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4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Enforcements!$A$6:$Z$67</definedName>
    <definedName name="_xlnm._FilterDatabase" localSheetId="2" hidden="1">'Missing Trips'!$B$2:$I$2</definedName>
    <definedName name="_xlnm._FilterDatabase" localSheetId="0" hidden="1">'Train Runs'!$A$12:$AG$228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L14" i="1"/>
  <c r="M14" i="1"/>
  <c r="N14" i="1" s="1"/>
  <c r="V14" i="1"/>
  <c r="Y14" i="1"/>
  <c r="Z14" i="1"/>
  <c r="AB14" i="1"/>
  <c r="AC14" i="1"/>
  <c r="AD14" i="1"/>
  <c r="AE14" i="1"/>
  <c r="AF14" i="1"/>
  <c r="K15" i="1"/>
  <c r="L15" i="1"/>
  <c r="M15" i="1"/>
  <c r="N15" i="1" s="1"/>
  <c r="V15" i="1"/>
  <c r="Y15" i="1"/>
  <c r="AA15" i="1" s="1"/>
  <c r="Z15" i="1"/>
  <c r="AB15" i="1"/>
  <c r="AC15" i="1"/>
  <c r="AD15" i="1"/>
  <c r="AE15" i="1"/>
  <c r="AF15" i="1"/>
  <c r="K16" i="1"/>
  <c r="L16" i="1"/>
  <c r="M16" i="1"/>
  <c r="N16" i="1" s="1"/>
  <c r="V16" i="1"/>
  <c r="Y16" i="1"/>
  <c r="Z16" i="1"/>
  <c r="AB16" i="1"/>
  <c r="AC16" i="1"/>
  <c r="AD16" i="1"/>
  <c r="X16" i="1" s="1"/>
  <c r="AE16" i="1"/>
  <c r="AF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K37" i="1"/>
  <c r="L37" i="1"/>
  <c r="M37" i="1"/>
  <c r="P37" i="1" s="1"/>
  <c r="V37" i="1"/>
  <c r="Y37" i="1"/>
  <c r="Z37" i="1"/>
  <c r="AB37" i="1"/>
  <c r="AC37" i="1"/>
  <c r="AD37" i="1"/>
  <c r="T37" i="1" s="1"/>
  <c r="AE37" i="1"/>
  <c r="AF37" i="1"/>
  <c r="K38" i="1"/>
  <c r="L38" i="1"/>
  <c r="M38" i="1"/>
  <c r="V38" i="1"/>
  <c r="Y38" i="1"/>
  <c r="Z38" i="1"/>
  <c r="AB38" i="1"/>
  <c r="AC38" i="1"/>
  <c r="AD38" i="1"/>
  <c r="AE38" i="1"/>
  <c r="AF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K48" i="1"/>
  <c r="L48" i="1"/>
  <c r="M48" i="1"/>
  <c r="P48" i="1" s="1"/>
  <c r="V48" i="1"/>
  <c r="Y48" i="1"/>
  <c r="Z48" i="1"/>
  <c r="AB48" i="1"/>
  <c r="AC48" i="1"/>
  <c r="AD48" i="1"/>
  <c r="AE48" i="1"/>
  <c r="AF48" i="1"/>
  <c r="K49" i="1"/>
  <c r="L49" i="1"/>
  <c r="M49" i="1"/>
  <c r="V49" i="1"/>
  <c r="Y49" i="1"/>
  <c r="Z49" i="1"/>
  <c r="AB49" i="1"/>
  <c r="AC49" i="1"/>
  <c r="AD49" i="1"/>
  <c r="AE49" i="1"/>
  <c r="AF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K160" i="1"/>
  <c r="L160" i="1"/>
  <c r="M160" i="1"/>
  <c r="N160" i="1" s="1"/>
  <c r="V160" i="1"/>
  <c r="Y160" i="1"/>
  <c r="Z160" i="1"/>
  <c r="AB160" i="1"/>
  <c r="AC160" i="1"/>
  <c r="AD160" i="1"/>
  <c r="X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G189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K109" i="1"/>
  <c r="L109" i="1"/>
  <c r="M109" i="1"/>
  <c r="P109" i="1" s="1"/>
  <c r="V109" i="1"/>
  <c r="Y109" i="1"/>
  <c r="Z109" i="1"/>
  <c r="AB109" i="1"/>
  <c r="AC109" i="1"/>
  <c r="AD109" i="1"/>
  <c r="AG109" i="1" s="1"/>
  <c r="AE109" i="1"/>
  <c r="AF109" i="1"/>
  <c r="K110" i="1"/>
  <c r="L110" i="1"/>
  <c r="M110" i="1"/>
  <c r="V110" i="1"/>
  <c r="Y110" i="1"/>
  <c r="Z110" i="1"/>
  <c r="AB110" i="1"/>
  <c r="AC110" i="1"/>
  <c r="AD110" i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K112" i="1"/>
  <c r="L112" i="1"/>
  <c r="M112" i="1"/>
  <c r="P112" i="1" s="1"/>
  <c r="V112" i="1"/>
  <c r="Y112" i="1"/>
  <c r="Z112" i="1"/>
  <c r="AB112" i="1"/>
  <c r="AC112" i="1"/>
  <c r="AD112" i="1"/>
  <c r="T112" i="1" s="1"/>
  <c r="AE112" i="1"/>
  <c r="AF112" i="1"/>
  <c r="K113" i="1"/>
  <c r="L113" i="1"/>
  <c r="M113" i="1"/>
  <c r="P113" i="1" s="1"/>
  <c r="V113" i="1"/>
  <c r="Y113" i="1"/>
  <c r="Z113" i="1"/>
  <c r="AB113" i="1"/>
  <c r="AC113" i="1"/>
  <c r="AD113" i="1"/>
  <c r="AG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K118" i="1"/>
  <c r="L118" i="1"/>
  <c r="M118" i="1"/>
  <c r="P118" i="1" s="1"/>
  <c r="V118" i="1"/>
  <c r="Y118" i="1"/>
  <c r="Z118" i="1"/>
  <c r="AB118" i="1"/>
  <c r="AC118" i="1"/>
  <c r="AD118" i="1"/>
  <c r="AG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K122" i="1"/>
  <c r="L122" i="1"/>
  <c r="M122" i="1"/>
  <c r="P122" i="1" s="1"/>
  <c r="V122" i="1"/>
  <c r="Y122" i="1"/>
  <c r="Z122" i="1"/>
  <c r="AB122" i="1"/>
  <c r="AC122" i="1"/>
  <c r="AD122" i="1"/>
  <c r="AG122" i="1" s="1"/>
  <c r="AE122" i="1"/>
  <c r="AF122" i="1"/>
  <c r="K123" i="1"/>
  <c r="L123" i="1"/>
  <c r="M123" i="1"/>
  <c r="V123" i="1"/>
  <c r="Y123" i="1"/>
  <c r="Z123" i="1"/>
  <c r="AB123" i="1"/>
  <c r="AC123" i="1"/>
  <c r="AD123" i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K125" i="1"/>
  <c r="L125" i="1"/>
  <c r="M125" i="1"/>
  <c r="P125" i="1" s="1"/>
  <c r="V125" i="1"/>
  <c r="Y125" i="1"/>
  <c r="Z125" i="1"/>
  <c r="AB125" i="1"/>
  <c r="AC125" i="1"/>
  <c r="AD125" i="1"/>
  <c r="AG125" i="1" s="1"/>
  <c r="AE125" i="1"/>
  <c r="AF125" i="1"/>
  <c r="K126" i="1"/>
  <c r="L126" i="1"/>
  <c r="M126" i="1"/>
  <c r="V126" i="1"/>
  <c r="Y126" i="1"/>
  <c r="Z126" i="1"/>
  <c r="AB126" i="1"/>
  <c r="AC126" i="1"/>
  <c r="AD126" i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K128" i="1"/>
  <c r="L128" i="1"/>
  <c r="M128" i="1"/>
  <c r="P128" i="1" s="1"/>
  <c r="V128" i="1"/>
  <c r="Y128" i="1"/>
  <c r="Z128" i="1"/>
  <c r="AB128" i="1"/>
  <c r="AC128" i="1"/>
  <c r="AD128" i="1"/>
  <c r="X128" i="1" s="1"/>
  <c r="AE128" i="1"/>
  <c r="AF128" i="1"/>
  <c r="K129" i="1"/>
  <c r="L129" i="1"/>
  <c r="M129" i="1"/>
  <c r="P129" i="1" s="1"/>
  <c r="V129" i="1"/>
  <c r="Y129" i="1"/>
  <c r="Z129" i="1"/>
  <c r="AB129" i="1"/>
  <c r="AC129" i="1"/>
  <c r="AD129" i="1"/>
  <c r="AG129" i="1" s="1"/>
  <c r="AE129" i="1"/>
  <c r="AF129" i="1"/>
  <c r="K130" i="1"/>
  <c r="L130" i="1"/>
  <c r="M130" i="1"/>
  <c r="V130" i="1"/>
  <c r="Y130" i="1"/>
  <c r="Z130" i="1"/>
  <c r="AB130" i="1"/>
  <c r="AC130" i="1"/>
  <c r="AD130" i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K132" i="1"/>
  <c r="L132" i="1"/>
  <c r="M132" i="1"/>
  <c r="P132" i="1" s="1"/>
  <c r="V132" i="1"/>
  <c r="Y132" i="1"/>
  <c r="Z132" i="1"/>
  <c r="AB132" i="1"/>
  <c r="AC132" i="1"/>
  <c r="AD132" i="1"/>
  <c r="AG132" i="1" s="1"/>
  <c r="AE132" i="1"/>
  <c r="AF132" i="1"/>
  <c r="K133" i="1"/>
  <c r="L133" i="1"/>
  <c r="M133" i="1"/>
  <c r="N133" i="1"/>
  <c r="V133" i="1"/>
  <c r="Y133" i="1"/>
  <c r="Z133" i="1"/>
  <c r="AB133" i="1"/>
  <c r="AC133" i="1"/>
  <c r="AD133" i="1"/>
  <c r="AE133" i="1"/>
  <c r="AF133" i="1"/>
  <c r="K134" i="1"/>
  <c r="L134" i="1"/>
  <c r="M134" i="1"/>
  <c r="P134" i="1" s="1"/>
  <c r="V134" i="1"/>
  <c r="Y134" i="1"/>
  <c r="Z134" i="1"/>
  <c r="AB134" i="1"/>
  <c r="AC134" i="1"/>
  <c r="AD134" i="1"/>
  <c r="AG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K136" i="1"/>
  <c r="L136" i="1"/>
  <c r="M136" i="1"/>
  <c r="P136" i="1" s="1"/>
  <c r="V136" i="1"/>
  <c r="Y136" i="1"/>
  <c r="Z136" i="1"/>
  <c r="AB136" i="1"/>
  <c r="AC136" i="1"/>
  <c r="AD136" i="1"/>
  <c r="T136" i="1" s="1"/>
  <c r="AE136" i="1"/>
  <c r="AF136" i="1"/>
  <c r="K137" i="1"/>
  <c r="L137" i="1"/>
  <c r="M137" i="1"/>
  <c r="V137" i="1"/>
  <c r="Y137" i="1"/>
  <c r="Z137" i="1"/>
  <c r="AB137" i="1"/>
  <c r="AC137" i="1"/>
  <c r="AD137" i="1"/>
  <c r="T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K148" i="1"/>
  <c r="L148" i="1"/>
  <c r="M148" i="1"/>
  <c r="N148" i="1" s="1"/>
  <c r="V148" i="1"/>
  <c r="Y148" i="1"/>
  <c r="Z148" i="1"/>
  <c r="AA148" i="1" s="1"/>
  <c r="AB148" i="1"/>
  <c r="AC148" i="1"/>
  <c r="AD148" i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K156" i="1"/>
  <c r="L156" i="1"/>
  <c r="M156" i="1"/>
  <c r="P156" i="1" s="1"/>
  <c r="V156" i="1"/>
  <c r="Y156" i="1"/>
  <c r="Z156" i="1"/>
  <c r="AB156" i="1"/>
  <c r="AC156" i="1"/>
  <c r="AD156" i="1"/>
  <c r="AE156" i="1"/>
  <c r="AF156" i="1"/>
  <c r="K157" i="1"/>
  <c r="L157" i="1"/>
  <c r="M157" i="1"/>
  <c r="V157" i="1"/>
  <c r="Y157" i="1"/>
  <c r="Z157" i="1"/>
  <c r="AB157" i="1"/>
  <c r="AC157" i="1"/>
  <c r="AD157" i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K202" i="1"/>
  <c r="L202" i="1"/>
  <c r="M202" i="1"/>
  <c r="N202" i="1" s="1"/>
  <c r="V202" i="1"/>
  <c r="Y202" i="1"/>
  <c r="Z202" i="1"/>
  <c r="AB202" i="1"/>
  <c r="AC202" i="1"/>
  <c r="AD202" i="1"/>
  <c r="X202" i="1" s="1"/>
  <c r="AE202" i="1"/>
  <c r="AF202" i="1"/>
  <c r="K203" i="1"/>
  <c r="L203" i="1"/>
  <c r="M203" i="1"/>
  <c r="N203" i="1"/>
  <c r="V203" i="1"/>
  <c r="Y203" i="1"/>
  <c r="Z203" i="1"/>
  <c r="AB203" i="1"/>
  <c r="AC203" i="1"/>
  <c r="AD203" i="1"/>
  <c r="AG203" i="1" s="1"/>
  <c r="AE203" i="1"/>
  <c r="AF203" i="1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S32" i="3"/>
  <c r="R32" i="3" s="1"/>
  <c r="T32" i="3"/>
  <c r="U32" i="3"/>
  <c r="W32" i="3" s="1"/>
  <c r="V32" i="3"/>
  <c r="S33" i="3"/>
  <c r="R33" i="3" s="1"/>
  <c r="T33" i="3"/>
  <c r="U33" i="3"/>
  <c r="V33" i="3"/>
  <c r="S15" i="3"/>
  <c r="R15" i="3" s="1"/>
  <c r="T15" i="3"/>
  <c r="U15" i="3"/>
  <c r="V15" i="3"/>
  <c r="S28" i="3"/>
  <c r="R28" i="3" s="1"/>
  <c r="T28" i="3"/>
  <c r="U28" i="3"/>
  <c r="V28" i="3"/>
  <c r="S29" i="3"/>
  <c r="R29" i="3" s="1"/>
  <c r="T29" i="3"/>
  <c r="U29" i="3"/>
  <c r="V29" i="3"/>
  <c r="S12" i="3"/>
  <c r="R12" i="3" s="1"/>
  <c r="T12" i="3"/>
  <c r="U12" i="3"/>
  <c r="V12" i="3"/>
  <c r="S7" i="3"/>
  <c r="R7" i="3" s="1"/>
  <c r="T7" i="3"/>
  <c r="U7" i="3"/>
  <c r="V7" i="3"/>
  <c r="S21" i="3"/>
  <c r="R21" i="3" s="1"/>
  <c r="T21" i="3"/>
  <c r="U21" i="3"/>
  <c r="V21" i="3"/>
  <c r="S19" i="3"/>
  <c r="R19" i="3" s="1"/>
  <c r="T19" i="3"/>
  <c r="U19" i="3"/>
  <c r="V19" i="3"/>
  <c r="W19" i="3"/>
  <c r="S18" i="3"/>
  <c r="R18" i="3" s="1"/>
  <c r="T18" i="3"/>
  <c r="U18" i="3"/>
  <c r="V18" i="3"/>
  <c r="S46" i="3"/>
  <c r="R46" i="3" s="1"/>
  <c r="T46" i="3"/>
  <c r="U46" i="3"/>
  <c r="V46" i="3"/>
  <c r="S13" i="3"/>
  <c r="R13" i="3" s="1"/>
  <c r="T13" i="3"/>
  <c r="U13" i="3"/>
  <c r="V13" i="3"/>
  <c r="S47" i="3"/>
  <c r="R47" i="3" s="1"/>
  <c r="T47" i="3"/>
  <c r="U47" i="3"/>
  <c r="V47" i="3"/>
  <c r="S34" i="3"/>
  <c r="R34" i="3" s="1"/>
  <c r="T34" i="3"/>
  <c r="U34" i="3"/>
  <c r="V34" i="3"/>
  <c r="S11" i="3"/>
  <c r="R11" i="3" s="1"/>
  <c r="T11" i="3"/>
  <c r="U11" i="3"/>
  <c r="V11" i="3"/>
  <c r="S23" i="3"/>
  <c r="R23" i="3" s="1"/>
  <c r="T23" i="3"/>
  <c r="U23" i="3"/>
  <c r="V23" i="3"/>
  <c r="S48" i="3"/>
  <c r="R48" i="3" s="1"/>
  <c r="T48" i="3"/>
  <c r="U48" i="3"/>
  <c r="V48" i="3"/>
  <c r="S16" i="3"/>
  <c r="R16" i="3" s="1"/>
  <c r="T16" i="3"/>
  <c r="U16" i="3"/>
  <c r="V16" i="3"/>
  <c r="S20" i="3"/>
  <c r="R20" i="3" s="1"/>
  <c r="T20" i="3"/>
  <c r="U20" i="3"/>
  <c r="V20" i="3"/>
  <c r="S49" i="3"/>
  <c r="R49" i="3" s="1"/>
  <c r="T49" i="3"/>
  <c r="U49" i="3"/>
  <c r="V49" i="3"/>
  <c r="S35" i="3"/>
  <c r="R35" i="3" s="1"/>
  <c r="T35" i="3"/>
  <c r="U35" i="3"/>
  <c r="V35" i="3"/>
  <c r="S43" i="3"/>
  <c r="R43" i="3" s="1"/>
  <c r="T43" i="3"/>
  <c r="U43" i="3"/>
  <c r="V43" i="3"/>
  <c r="S10" i="3"/>
  <c r="R10" i="3" s="1"/>
  <c r="T10" i="3"/>
  <c r="U10" i="3"/>
  <c r="V10" i="3"/>
  <c r="S36" i="3"/>
  <c r="R36" i="3" s="1"/>
  <c r="T36" i="3"/>
  <c r="U36" i="3"/>
  <c r="V36" i="3"/>
  <c r="S37" i="3"/>
  <c r="R37" i="3" s="1"/>
  <c r="T37" i="3"/>
  <c r="U37" i="3"/>
  <c r="V37" i="3"/>
  <c r="S8" i="3"/>
  <c r="R8" i="3" s="1"/>
  <c r="T8" i="3"/>
  <c r="U8" i="3"/>
  <c r="V8" i="3"/>
  <c r="S17" i="3"/>
  <c r="R17" i="3" s="1"/>
  <c r="T17" i="3"/>
  <c r="U17" i="3"/>
  <c r="V17" i="3"/>
  <c r="S45" i="3"/>
  <c r="R45" i="3" s="1"/>
  <c r="T45" i="3"/>
  <c r="U45" i="3"/>
  <c r="V45" i="3"/>
  <c r="S50" i="3"/>
  <c r="R50" i="3" s="1"/>
  <c r="T50" i="3"/>
  <c r="U50" i="3"/>
  <c r="V50" i="3"/>
  <c r="S24" i="3"/>
  <c r="R24" i="3" s="1"/>
  <c r="T24" i="3"/>
  <c r="U24" i="3"/>
  <c r="V24" i="3"/>
  <c r="S38" i="3"/>
  <c r="R38" i="3" s="1"/>
  <c r="T38" i="3"/>
  <c r="U38" i="3"/>
  <c r="V38" i="3"/>
  <c r="S25" i="3"/>
  <c r="R25" i="3" s="1"/>
  <c r="T25" i="3"/>
  <c r="U25" i="3"/>
  <c r="V25" i="3"/>
  <c r="S41" i="3"/>
  <c r="R41" i="3" s="1"/>
  <c r="T41" i="3"/>
  <c r="U41" i="3"/>
  <c r="V41" i="3"/>
  <c r="S26" i="3"/>
  <c r="R26" i="3" s="1"/>
  <c r="T26" i="3"/>
  <c r="U26" i="3"/>
  <c r="V26" i="3"/>
  <c r="S27" i="3"/>
  <c r="R27" i="3" s="1"/>
  <c r="T27" i="3"/>
  <c r="U27" i="3"/>
  <c r="V27" i="3"/>
  <c r="S30" i="3"/>
  <c r="R30" i="3" s="1"/>
  <c r="T30" i="3"/>
  <c r="U30" i="3"/>
  <c r="V30" i="3"/>
  <c r="S44" i="3"/>
  <c r="R44" i="3" s="1"/>
  <c r="T44" i="3"/>
  <c r="U44" i="3"/>
  <c r="V44" i="3"/>
  <c r="S22" i="3"/>
  <c r="R22" i="3" s="1"/>
  <c r="T22" i="3"/>
  <c r="U22" i="3"/>
  <c r="V22" i="3"/>
  <c r="S39" i="3"/>
  <c r="R39" i="3" s="1"/>
  <c r="T39" i="3"/>
  <c r="U39" i="3"/>
  <c r="V39" i="3"/>
  <c r="W39" i="3"/>
  <c r="S14" i="3"/>
  <c r="R14" i="3" s="1"/>
  <c r="T14" i="3"/>
  <c r="U14" i="3"/>
  <c r="V14" i="3"/>
  <c r="S40" i="3"/>
  <c r="R40" i="3" s="1"/>
  <c r="T40" i="3"/>
  <c r="U40" i="3"/>
  <c r="V40" i="3"/>
  <c r="S42" i="3"/>
  <c r="R42" i="3" s="1"/>
  <c r="T42" i="3"/>
  <c r="U42" i="3"/>
  <c r="V42" i="3"/>
  <c r="S31" i="3"/>
  <c r="R31" i="3" s="1"/>
  <c r="T31" i="3"/>
  <c r="U31" i="3"/>
  <c r="V31" i="3"/>
  <c r="AG161" i="1" l="1"/>
  <c r="X161" i="1"/>
  <c r="AG157" i="1"/>
  <c r="X157" i="1"/>
  <c r="AG159" i="1"/>
  <c r="X159" i="1"/>
  <c r="T162" i="1"/>
  <c r="X162" i="1"/>
  <c r="X158" i="1"/>
  <c r="T128" i="1"/>
  <c r="AA199" i="1"/>
  <c r="AG156" i="1"/>
  <c r="U156" i="1" s="1"/>
  <c r="S156" i="1" s="1"/>
  <c r="X156" i="1"/>
  <c r="AG174" i="1"/>
  <c r="X174" i="1"/>
  <c r="AA171" i="1"/>
  <c r="T163" i="1"/>
  <c r="X163" i="1"/>
  <c r="AA163" i="1"/>
  <c r="AA84" i="1"/>
  <c r="AG74" i="1"/>
  <c r="U74" i="1" s="1"/>
  <c r="AA43" i="1"/>
  <c r="AI43" i="1" s="1"/>
  <c r="T156" i="1"/>
  <c r="AA99" i="1"/>
  <c r="AA193" i="1"/>
  <c r="AA155" i="1"/>
  <c r="T17" i="1"/>
  <c r="X17" i="1"/>
  <c r="AI15" i="1"/>
  <c r="T22" i="1"/>
  <c r="AA20" i="1"/>
  <c r="AG15" i="1"/>
  <c r="X15" i="1"/>
  <c r="W21" i="3"/>
  <c r="X46" i="1"/>
  <c r="AA136" i="1"/>
  <c r="AA125" i="1"/>
  <c r="T14" i="1"/>
  <c r="W48" i="3"/>
  <c r="W23" i="3"/>
  <c r="W11" i="3"/>
  <c r="W47" i="3"/>
  <c r="W13" i="3"/>
  <c r="W18" i="3"/>
  <c r="W45" i="3"/>
  <c r="W37" i="3"/>
  <c r="W50" i="3"/>
  <c r="W8" i="3"/>
  <c r="W36" i="3"/>
  <c r="W30" i="3"/>
  <c r="W41" i="3"/>
  <c r="W25" i="3"/>
  <c r="W38" i="3"/>
  <c r="W31" i="3"/>
  <c r="W40" i="3"/>
  <c r="W14" i="3"/>
  <c r="W22" i="3"/>
  <c r="W26" i="3"/>
  <c r="W10" i="3"/>
  <c r="W35" i="3"/>
  <c r="W49" i="3"/>
  <c r="W16" i="3"/>
  <c r="W7" i="3"/>
  <c r="W29" i="3"/>
  <c r="W28" i="3"/>
  <c r="W33" i="3"/>
  <c r="AA154" i="1"/>
  <c r="W154" i="1" s="1"/>
  <c r="AA146" i="1"/>
  <c r="AI146" i="1" s="1"/>
  <c r="X146" i="1"/>
  <c r="AG144" i="1"/>
  <c r="AA121" i="1"/>
  <c r="AI121" i="1" s="1"/>
  <c r="X107" i="1"/>
  <c r="AG17" i="1"/>
  <c r="U17" i="1" s="1"/>
  <c r="S17" i="1" s="1"/>
  <c r="AA194" i="1"/>
  <c r="AG120" i="1"/>
  <c r="U120" i="1" s="1"/>
  <c r="S120" i="1" s="1"/>
  <c r="AA117" i="1"/>
  <c r="AA105" i="1"/>
  <c r="AI105" i="1" s="1"/>
  <c r="AA178" i="1"/>
  <c r="AG92" i="1"/>
  <c r="U92" i="1" s="1"/>
  <c r="S92" i="1" s="1"/>
  <c r="X92" i="1"/>
  <c r="AG90" i="1"/>
  <c r="U90" i="1" s="1"/>
  <c r="S90" i="1" s="1"/>
  <c r="AA58" i="1"/>
  <c r="X54" i="1"/>
  <c r="AA27" i="1"/>
  <c r="AI27" i="1" s="1"/>
  <c r="AA26" i="1"/>
  <c r="AA114" i="1"/>
  <c r="AA110" i="1"/>
  <c r="U189" i="1"/>
  <c r="AA186" i="1"/>
  <c r="AA167" i="1"/>
  <c r="AA56" i="1"/>
  <c r="AA28" i="1"/>
  <c r="AA23" i="1"/>
  <c r="AI23" i="1" s="1"/>
  <c r="X194" i="1"/>
  <c r="AA130" i="1"/>
  <c r="X123" i="1"/>
  <c r="AG115" i="1"/>
  <c r="U115" i="1" s="1"/>
  <c r="S115" i="1" s="1"/>
  <c r="X115" i="1"/>
  <c r="AG111" i="1"/>
  <c r="U111" i="1" s="1"/>
  <c r="S111" i="1" s="1"/>
  <c r="AA108" i="1"/>
  <c r="AG191" i="1"/>
  <c r="U191" i="1" s="1"/>
  <c r="AA185" i="1"/>
  <c r="AA162" i="1"/>
  <c r="AG84" i="1"/>
  <c r="U84" i="1" s="1"/>
  <c r="S84" i="1" s="1"/>
  <c r="X84" i="1"/>
  <c r="AG76" i="1"/>
  <c r="U76" i="1" s="1"/>
  <c r="S76" i="1" s="1"/>
  <c r="AA57" i="1"/>
  <c r="X55" i="1"/>
  <c r="AA14" i="1"/>
  <c r="X154" i="1"/>
  <c r="AA197" i="1"/>
  <c r="AA157" i="1"/>
  <c r="W157" i="1" s="1"/>
  <c r="AA138" i="1"/>
  <c r="W138" i="1" s="1"/>
  <c r="AA137" i="1"/>
  <c r="AA132" i="1"/>
  <c r="W132" i="1" s="1"/>
  <c r="AG124" i="1"/>
  <c r="U124" i="1" s="1"/>
  <c r="S124" i="1" s="1"/>
  <c r="AA120" i="1"/>
  <c r="T113" i="1"/>
  <c r="U113" i="1" s="1"/>
  <c r="S113" i="1" s="1"/>
  <c r="T101" i="1"/>
  <c r="U101" i="1" s="1"/>
  <c r="S101" i="1" s="1"/>
  <c r="T181" i="1"/>
  <c r="U181" i="1" s="1"/>
  <c r="S181" i="1" s="1"/>
  <c r="T83" i="1"/>
  <c r="U83" i="1" s="1"/>
  <c r="S83" i="1" s="1"/>
  <c r="X71" i="1"/>
  <c r="AA195" i="1"/>
  <c r="AA147" i="1"/>
  <c r="AA116" i="1"/>
  <c r="W116" i="1" s="1"/>
  <c r="AA111" i="1"/>
  <c r="W111" i="1" s="1"/>
  <c r="X95" i="1"/>
  <c r="X189" i="1"/>
  <c r="AA170" i="1"/>
  <c r="W170" i="1" s="1"/>
  <c r="AG163" i="1"/>
  <c r="W163" i="1" s="1"/>
  <c r="AA83" i="1"/>
  <c r="W83" i="1" s="1"/>
  <c r="AA77" i="1"/>
  <c r="AG71" i="1"/>
  <c r="U71" i="1" s="1"/>
  <c r="S71" i="1" s="1"/>
  <c r="AG57" i="1"/>
  <c r="AA55" i="1"/>
  <c r="W55" i="1" s="1"/>
  <c r="T55" i="1"/>
  <c r="U55" i="1" s="1"/>
  <c r="S55" i="1" s="1"/>
  <c r="T54" i="1"/>
  <c r="X43" i="1"/>
  <c r="AA40" i="1"/>
  <c r="AI40" i="1" s="1"/>
  <c r="AA36" i="1"/>
  <c r="AA32" i="1"/>
  <c r="AA30" i="1"/>
  <c r="AA18" i="1"/>
  <c r="AG14" i="1"/>
  <c r="U14" i="1" s="1"/>
  <c r="S14" i="1" s="1"/>
  <c r="AA153" i="1"/>
  <c r="T129" i="1"/>
  <c r="U129" i="1" s="1"/>
  <c r="X125" i="1"/>
  <c r="X121" i="1"/>
  <c r="AG112" i="1"/>
  <c r="U112" i="1" s="1"/>
  <c r="S112" i="1" s="1"/>
  <c r="X112" i="1"/>
  <c r="AG108" i="1"/>
  <c r="U108" i="1" s="1"/>
  <c r="X108" i="1"/>
  <c r="AA192" i="1"/>
  <c r="W192" i="1" s="1"/>
  <c r="AG185" i="1"/>
  <c r="U185" i="1" s="1"/>
  <c r="S185" i="1" s="1"/>
  <c r="AA181" i="1"/>
  <c r="W181" i="1" s="1"/>
  <c r="AG177" i="1"/>
  <c r="X175" i="1"/>
  <c r="AG167" i="1"/>
  <c r="AG79" i="1"/>
  <c r="AG75" i="1"/>
  <c r="U75" i="1" s="1"/>
  <c r="S75" i="1" s="1"/>
  <c r="X75" i="1"/>
  <c r="AG72" i="1"/>
  <c r="U72" i="1" s="1"/>
  <c r="S72" i="1" s="1"/>
  <c r="X72" i="1"/>
  <c r="AG58" i="1"/>
  <c r="U58" i="1" s="1"/>
  <c r="X58" i="1"/>
  <c r="AA42" i="1"/>
  <c r="T35" i="1"/>
  <c r="U35" i="1" s="1"/>
  <c r="S35" i="1" s="1"/>
  <c r="AG26" i="1"/>
  <c r="U26" i="1" s="1"/>
  <c r="S26" i="1" s="1"/>
  <c r="X26" i="1"/>
  <c r="AA203" i="1"/>
  <c r="W203" i="1" s="1"/>
  <c r="T202" i="1"/>
  <c r="AA198" i="1"/>
  <c r="W198" i="1" s="1"/>
  <c r="AG153" i="1"/>
  <c r="X153" i="1"/>
  <c r="AA152" i="1"/>
  <c r="W152" i="1" s="1"/>
  <c r="AA149" i="1"/>
  <c r="AG145" i="1"/>
  <c r="U145" i="1" s="1"/>
  <c r="X145" i="1"/>
  <c r="AA144" i="1"/>
  <c r="W144" i="1" s="1"/>
  <c r="AA143" i="1"/>
  <c r="AA142" i="1"/>
  <c r="AG136" i="1"/>
  <c r="U136" i="1" s="1"/>
  <c r="AA133" i="1"/>
  <c r="AG128" i="1"/>
  <c r="U128" i="1" s="1"/>
  <c r="S128" i="1" s="1"/>
  <c r="AA127" i="1"/>
  <c r="AA126" i="1"/>
  <c r="AA109" i="1"/>
  <c r="AI144" i="1" s="1"/>
  <c r="AA104" i="1"/>
  <c r="AI104" i="1" s="1"/>
  <c r="AA98" i="1"/>
  <c r="X192" i="1"/>
  <c r="AA95" i="1"/>
  <c r="W95" i="1" s="1"/>
  <c r="T95" i="1"/>
  <c r="U95" i="1" s="1"/>
  <c r="S95" i="1" s="1"/>
  <c r="X186" i="1"/>
  <c r="AA174" i="1"/>
  <c r="W174" i="1" s="1"/>
  <c r="AA173" i="1"/>
  <c r="AG162" i="1"/>
  <c r="AG91" i="1"/>
  <c r="X91" i="1"/>
  <c r="AG86" i="1"/>
  <c r="U86" i="1" s="1"/>
  <c r="S86" i="1" s="1"/>
  <c r="X83" i="1"/>
  <c r="AA80" i="1"/>
  <c r="W80" i="1" s="1"/>
  <c r="T70" i="1"/>
  <c r="AA67" i="1"/>
  <c r="AI67" i="1" s="1"/>
  <c r="AA66" i="1"/>
  <c r="AA63" i="1"/>
  <c r="AG61" i="1"/>
  <c r="U61" i="1" s="1"/>
  <c r="S61" i="1" s="1"/>
  <c r="X61" i="1"/>
  <c r="AA60" i="1"/>
  <c r="W60" i="1" s="1"/>
  <c r="AA59" i="1"/>
  <c r="AG54" i="1"/>
  <c r="AA53" i="1"/>
  <c r="AA47" i="1"/>
  <c r="T46" i="1"/>
  <c r="AG42" i="1"/>
  <c r="U42" i="1" s="1"/>
  <c r="S42" i="1" s="1"/>
  <c r="AG37" i="1"/>
  <c r="U37" i="1" s="1"/>
  <c r="S37" i="1" s="1"/>
  <c r="X37" i="1"/>
  <c r="AA35" i="1"/>
  <c r="AA196" i="1"/>
  <c r="T132" i="1"/>
  <c r="U132" i="1" s="1"/>
  <c r="S132" i="1" s="1"/>
  <c r="X124" i="1"/>
  <c r="AA123" i="1"/>
  <c r="AA122" i="1"/>
  <c r="W122" i="1" s="1"/>
  <c r="X109" i="1"/>
  <c r="AA188" i="1"/>
  <c r="X80" i="1"/>
  <c r="AA79" i="1"/>
  <c r="X76" i="1"/>
  <c r="AA62" i="1"/>
  <c r="AA52" i="1"/>
  <c r="W52" i="1" s="1"/>
  <c r="AA39" i="1"/>
  <c r="AA38" i="1"/>
  <c r="X27" i="1"/>
  <c r="AA202" i="1"/>
  <c r="X198" i="1"/>
  <c r="AG197" i="1"/>
  <c r="U197" i="1" s="1"/>
  <c r="S197" i="1" s="1"/>
  <c r="X150" i="1"/>
  <c r="AG149" i="1"/>
  <c r="U149" i="1" s="1"/>
  <c r="S149" i="1" s="1"/>
  <c r="AG140" i="1"/>
  <c r="U140" i="1" s="1"/>
  <c r="S140" i="1" s="1"/>
  <c r="AA134" i="1"/>
  <c r="W134" i="1" s="1"/>
  <c r="AG131" i="1"/>
  <c r="U131" i="1" s="1"/>
  <c r="S131" i="1" s="1"/>
  <c r="X131" i="1"/>
  <c r="AA118" i="1"/>
  <c r="W118" i="1" s="1"/>
  <c r="T104" i="1"/>
  <c r="U104" i="1" s="1"/>
  <c r="S104" i="1" s="1"/>
  <c r="AA102" i="1"/>
  <c r="W102" i="1" s="1"/>
  <c r="X97" i="1"/>
  <c r="AG97" i="1"/>
  <c r="AA97" i="1"/>
  <c r="X88" i="1"/>
  <c r="AG88" i="1"/>
  <c r="T88" i="1"/>
  <c r="AG51" i="1"/>
  <c r="X51" i="1"/>
  <c r="T51" i="1"/>
  <c r="T203" i="1"/>
  <c r="U203" i="1" s="1"/>
  <c r="S203" i="1" s="1"/>
  <c r="AG62" i="1"/>
  <c r="T62" i="1"/>
  <c r="T194" i="1"/>
  <c r="U194" i="1" s="1"/>
  <c r="S194" i="1" s="1"/>
  <c r="T157" i="1"/>
  <c r="U157" i="1" s="1"/>
  <c r="X203" i="1"/>
  <c r="AG202" i="1"/>
  <c r="AA159" i="1"/>
  <c r="W159" i="1" s="1"/>
  <c r="AA156" i="1"/>
  <c r="T154" i="1"/>
  <c r="U154" i="1" s="1"/>
  <c r="S154" i="1" s="1"/>
  <c r="AA151" i="1"/>
  <c r="T146" i="1"/>
  <c r="U146" i="1" s="1"/>
  <c r="S146" i="1" s="1"/>
  <c r="X141" i="1"/>
  <c r="AG141" i="1"/>
  <c r="U141" i="1" s="1"/>
  <c r="AA141" i="1"/>
  <c r="AG137" i="1"/>
  <c r="U137" i="1" s="1"/>
  <c r="X137" i="1"/>
  <c r="AG98" i="1"/>
  <c r="U98" i="1" s="1"/>
  <c r="X98" i="1"/>
  <c r="AI125" i="1"/>
  <c r="X87" i="1"/>
  <c r="AG87" i="1"/>
  <c r="T87" i="1"/>
  <c r="AG66" i="1"/>
  <c r="T66" i="1"/>
  <c r="X67" i="1"/>
  <c r="AA200" i="1"/>
  <c r="W200" i="1" s="1"/>
  <c r="T198" i="1"/>
  <c r="U198" i="1" s="1"/>
  <c r="S198" i="1" s="1"/>
  <c r="AA158" i="1"/>
  <c r="AA150" i="1"/>
  <c r="W150" i="1" s="1"/>
  <c r="T150" i="1"/>
  <c r="U150" i="1" s="1"/>
  <c r="S150" i="1" s="1"/>
  <c r="AG142" i="1"/>
  <c r="U142" i="1" s="1"/>
  <c r="X142" i="1"/>
  <c r="AA140" i="1"/>
  <c r="AA139" i="1"/>
  <c r="X138" i="1"/>
  <c r="T127" i="1"/>
  <c r="AG127" i="1"/>
  <c r="T125" i="1"/>
  <c r="U125" i="1" s="1"/>
  <c r="T116" i="1"/>
  <c r="U116" i="1" s="1"/>
  <c r="S116" i="1" s="1"/>
  <c r="AA107" i="1"/>
  <c r="X105" i="1"/>
  <c r="AA101" i="1"/>
  <c r="W101" i="1" s="1"/>
  <c r="T97" i="1"/>
  <c r="AA189" i="1"/>
  <c r="W189" i="1" s="1"/>
  <c r="X178" i="1"/>
  <c r="AG178" i="1"/>
  <c r="T178" i="1"/>
  <c r="U174" i="1"/>
  <c r="AG164" i="1"/>
  <c r="T164" i="1"/>
  <c r="T78" i="1"/>
  <c r="AG78" i="1"/>
  <c r="X79" i="1"/>
  <c r="T69" i="1"/>
  <c r="X69" i="1"/>
  <c r="AG69" i="1"/>
  <c r="T49" i="1"/>
  <c r="AG49" i="1"/>
  <c r="AG47" i="1"/>
  <c r="X47" i="1"/>
  <c r="T47" i="1"/>
  <c r="AG179" i="1"/>
  <c r="T179" i="1"/>
  <c r="AA175" i="1"/>
  <c r="T175" i="1"/>
  <c r="U175" i="1" s="1"/>
  <c r="S175" i="1" s="1"/>
  <c r="AA92" i="1"/>
  <c r="W92" i="1" s="1"/>
  <c r="AA91" i="1"/>
  <c r="W91" i="1" s="1"/>
  <c r="AA89" i="1"/>
  <c r="AA81" i="1"/>
  <c r="AA72" i="1"/>
  <c r="AA71" i="1"/>
  <c r="T38" i="1"/>
  <c r="AG38" i="1"/>
  <c r="W38" i="1" s="1"/>
  <c r="AG171" i="1"/>
  <c r="AI171" i="1" s="1"/>
  <c r="X171" i="1"/>
  <c r="T166" i="1"/>
  <c r="X166" i="1"/>
  <c r="AG166" i="1"/>
  <c r="AA165" i="1"/>
  <c r="AA164" i="1"/>
  <c r="AA88" i="1"/>
  <c r="AA87" i="1"/>
  <c r="T82" i="1"/>
  <c r="AG82" i="1"/>
  <c r="X70" i="1"/>
  <c r="AA69" i="1"/>
  <c r="AA51" i="1"/>
  <c r="X50" i="1"/>
  <c r="X34" i="1"/>
  <c r="AA31" i="1"/>
  <c r="AA19" i="1"/>
  <c r="AA145" i="1"/>
  <c r="U144" i="1"/>
  <c r="S144" i="1" s="1"/>
  <c r="T138" i="1"/>
  <c r="U138" i="1" s="1"/>
  <c r="S138" i="1" s="1"/>
  <c r="AA129" i="1"/>
  <c r="W129" i="1" s="1"/>
  <c r="AA128" i="1"/>
  <c r="AA124" i="1"/>
  <c r="AA113" i="1"/>
  <c r="AI113" i="1" s="1"/>
  <c r="AA112" i="1"/>
  <c r="T109" i="1"/>
  <c r="AA201" i="1"/>
  <c r="T192" i="1"/>
  <c r="U192" i="1" s="1"/>
  <c r="S192" i="1" s="1"/>
  <c r="AA191" i="1"/>
  <c r="AA190" i="1"/>
  <c r="X188" i="1"/>
  <c r="AA187" i="1"/>
  <c r="W187" i="1" s="1"/>
  <c r="T180" i="1"/>
  <c r="X180" i="1"/>
  <c r="AG180" i="1"/>
  <c r="U180" i="1" s="1"/>
  <c r="S180" i="1" s="1"/>
  <c r="AA94" i="1"/>
  <c r="AA179" i="1"/>
  <c r="T170" i="1"/>
  <c r="U170" i="1" s="1"/>
  <c r="S170" i="1" s="1"/>
  <c r="AA169" i="1"/>
  <c r="W169" i="1" s="1"/>
  <c r="AA160" i="1"/>
  <c r="T80" i="1"/>
  <c r="U80" i="1" s="1"/>
  <c r="S80" i="1" s="1"/>
  <c r="AA76" i="1"/>
  <c r="AA75" i="1"/>
  <c r="AA73" i="1"/>
  <c r="AA64" i="1"/>
  <c r="W64" i="1" s="1"/>
  <c r="AG59" i="1"/>
  <c r="AI59" i="1" s="1"/>
  <c r="T59" i="1"/>
  <c r="T30" i="1"/>
  <c r="X30" i="1"/>
  <c r="AG30" i="1"/>
  <c r="X31" i="1"/>
  <c r="T18" i="1"/>
  <c r="X18" i="1"/>
  <c r="AG18" i="1"/>
  <c r="X19" i="1"/>
  <c r="AA70" i="1"/>
  <c r="AA50" i="1"/>
  <c r="AA46" i="1"/>
  <c r="AA34" i="1"/>
  <c r="T23" i="1"/>
  <c r="U23" i="1" s="1"/>
  <c r="S23" i="1" s="1"/>
  <c r="AA183" i="1"/>
  <c r="W183" i="1" s="1"/>
  <c r="AA182" i="1"/>
  <c r="AA177" i="1"/>
  <c r="AA176" i="1"/>
  <c r="X173" i="1"/>
  <c r="AA168" i="1"/>
  <c r="AA90" i="1"/>
  <c r="AI90" i="1" s="1"/>
  <c r="AA85" i="1"/>
  <c r="AA78" i="1"/>
  <c r="AA74" i="1"/>
  <c r="AI74" i="1" s="1"/>
  <c r="AG70" i="1"/>
  <c r="T67" i="1"/>
  <c r="U67" i="1" s="1"/>
  <c r="S67" i="1" s="1"/>
  <c r="AA54" i="1"/>
  <c r="AG53" i="1"/>
  <c r="X53" i="1"/>
  <c r="AG50" i="1"/>
  <c r="U50" i="1" s="1"/>
  <c r="S50" i="1" s="1"/>
  <c r="AG46" i="1"/>
  <c r="U46" i="1" s="1"/>
  <c r="AA45" i="1"/>
  <c r="AG34" i="1"/>
  <c r="AI34" i="1" s="1"/>
  <c r="AA29" i="1"/>
  <c r="W29" i="1" s="1"/>
  <c r="T27" i="1"/>
  <c r="U27" i="1" s="1"/>
  <c r="S27" i="1" s="1"/>
  <c r="AA25" i="1"/>
  <c r="W25" i="1" s="1"/>
  <c r="AA22" i="1"/>
  <c r="W22" i="1" s="1"/>
  <c r="AG21" i="1"/>
  <c r="U21" i="1" s="1"/>
  <c r="S21" i="1" s="1"/>
  <c r="AA17" i="1"/>
  <c r="T15" i="1"/>
  <c r="U15" i="1" s="1"/>
  <c r="S15" i="1" s="1"/>
  <c r="AA49" i="1"/>
  <c r="AA48" i="1"/>
  <c r="X45" i="1"/>
  <c r="AA44" i="1"/>
  <c r="W44" i="1" s="1"/>
  <c r="T31" i="1"/>
  <c r="U31" i="1" s="1"/>
  <c r="S31" i="1" s="1"/>
  <c r="AA24" i="1"/>
  <c r="X23" i="1"/>
  <c r="X22" i="1"/>
  <c r="T19" i="1"/>
  <c r="U19" i="1" s="1"/>
  <c r="S19" i="1" s="1"/>
  <c r="AA16" i="1"/>
  <c r="T158" i="1"/>
  <c r="AG158" i="1"/>
  <c r="AI186" i="1"/>
  <c r="X135" i="1"/>
  <c r="AG135" i="1"/>
  <c r="X104" i="1"/>
  <c r="X103" i="1"/>
  <c r="AG103" i="1"/>
  <c r="T195" i="1"/>
  <c r="X195" i="1"/>
  <c r="AG195" i="1"/>
  <c r="W194" i="1"/>
  <c r="T159" i="1"/>
  <c r="U159" i="1" s="1"/>
  <c r="S159" i="1" s="1"/>
  <c r="T147" i="1"/>
  <c r="X147" i="1"/>
  <c r="AG147" i="1"/>
  <c r="T110" i="1"/>
  <c r="X110" i="1"/>
  <c r="X111" i="1"/>
  <c r="AG110" i="1"/>
  <c r="W105" i="1"/>
  <c r="T148" i="1"/>
  <c r="X148" i="1"/>
  <c r="S145" i="1"/>
  <c r="T143" i="1"/>
  <c r="X143" i="1"/>
  <c r="AG143" i="1"/>
  <c r="T135" i="1"/>
  <c r="AG133" i="1"/>
  <c r="X133" i="1"/>
  <c r="T133" i="1"/>
  <c r="X120" i="1"/>
  <c r="X119" i="1"/>
  <c r="AG119" i="1"/>
  <c r="T103" i="1"/>
  <c r="AG201" i="1"/>
  <c r="AI201" i="1" s="1"/>
  <c r="X201" i="1"/>
  <c r="T201" i="1"/>
  <c r="AG117" i="1"/>
  <c r="X117" i="1"/>
  <c r="T117" i="1"/>
  <c r="T199" i="1"/>
  <c r="X199" i="1"/>
  <c r="AG199" i="1"/>
  <c r="AI199" i="1" s="1"/>
  <c r="T196" i="1"/>
  <c r="X196" i="1"/>
  <c r="AI194" i="1"/>
  <c r="U153" i="1"/>
  <c r="S153" i="1" s="1"/>
  <c r="T151" i="1"/>
  <c r="X151" i="1"/>
  <c r="AG151" i="1"/>
  <c r="T200" i="1"/>
  <c r="U200" i="1" s="1"/>
  <c r="S200" i="1" s="1"/>
  <c r="X200" i="1"/>
  <c r="X197" i="1"/>
  <c r="AG196" i="1"/>
  <c r="T155" i="1"/>
  <c r="X155" i="1"/>
  <c r="AG155" i="1"/>
  <c r="AI155" i="1" s="1"/>
  <c r="T152" i="1"/>
  <c r="U152" i="1" s="1"/>
  <c r="S152" i="1" s="1"/>
  <c r="X152" i="1"/>
  <c r="X149" i="1"/>
  <c r="AG148" i="1"/>
  <c r="W148" i="1" s="1"/>
  <c r="T139" i="1"/>
  <c r="X139" i="1"/>
  <c r="AG139" i="1"/>
  <c r="T126" i="1"/>
  <c r="X126" i="1"/>
  <c r="X127" i="1"/>
  <c r="AG126" i="1"/>
  <c r="AA106" i="1"/>
  <c r="W106" i="1" s="1"/>
  <c r="T100" i="1"/>
  <c r="X100" i="1"/>
  <c r="AG182" i="1"/>
  <c r="X182" i="1"/>
  <c r="T182" i="1"/>
  <c r="AG39" i="1"/>
  <c r="X39" i="1"/>
  <c r="T39" i="1"/>
  <c r="T24" i="1"/>
  <c r="X24" i="1"/>
  <c r="AG24" i="1"/>
  <c r="X136" i="1"/>
  <c r="T130" i="1"/>
  <c r="X130" i="1"/>
  <c r="X129" i="1"/>
  <c r="W125" i="1"/>
  <c r="T123" i="1"/>
  <c r="T114" i="1"/>
  <c r="X114" i="1"/>
  <c r="X113" i="1"/>
  <c r="T107" i="1"/>
  <c r="X101" i="1"/>
  <c r="AG100" i="1"/>
  <c r="T176" i="1"/>
  <c r="X176" i="1"/>
  <c r="X177" i="1"/>
  <c r="AG176" i="1"/>
  <c r="AG85" i="1"/>
  <c r="T85" i="1"/>
  <c r="X85" i="1"/>
  <c r="X170" i="1"/>
  <c r="X93" i="1"/>
  <c r="AG93" i="1"/>
  <c r="X144" i="1"/>
  <c r="AI174" i="1"/>
  <c r="X140" i="1"/>
  <c r="T134" i="1"/>
  <c r="U134" i="1" s="1"/>
  <c r="S134" i="1" s="1"/>
  <c r="X134" i="1"/>
  <c r="X132" i="1"/>
  <c r="AA131" i="1"/>
  <c r="AG130" i="1"/>
  <c r="AG123" i="1"/>
  <c r="W123" i="1" s="1"/>
  <c r="T121" i="1"/>
  <c r="U121" i="1" s="1"/>
  <c r="S121" i="1" s="1"/>
  <c r="T118" i="1"/>
  <c r="U118" i="1" s="1"/>
  <c r="S118" i="1" s="1"/>
  <c r="X118" i="1"/>
  <c r="X116" i="1"/>
  <c r="AA115" i="1"/>
  <c r="AG114" i="1"/>
  <c r="U109" i="1"/>
  <c r="S109" i="1" s="1"/>
  <c r="AG107" i="1"/>
  <c r="T105" i="1"/>
  <c r="U105" i="1" s="1"/>
  <c r="S105" i="1" s="1"/>
  <c r="T102" i="1"/>
  <c r="U102" i="1" s="1"/>
  <c r="S102" i="1" s="1"/>
  <c r="X102" i="1"/>
  <c r="S98" i="1"/>
  <c r="AA96" i="1"/>
  <c r="W96" i="1" s="1"/>
  <c r="T193" i="1"/>
  <c r="X193" i="1"/>
  <c r="AG193" i="1"/>
  <c r="X185" i="1"/>
  <c r="X184" i="1"/>
  <c r="AG184" i="1"/>
  <c r="U177" i="1"/>
  <c r="S177" i="1" s="1"/>
  <c r="T93" i="1"/>
  <c r="AG168" i="1"/>
  <c r="X168" i="1"/>
  <c r="T168" i="1"/>
  <c r="AG63" i="1"/>
  <c r="T63" i="1"/>
  <c r="X63" i="1"/>
  <c r="AA135" i="1"/>
  <c r="T122" i="1"/>
  <c r="U122" i="1" s="1"/>
  <c r="X122" i="1"/>
  <c r="AA119" i="1"/>
  <c r="W119" i="1" s="1"/>
  <c r="T106" i="1"/>
  <c r="U106" i="1" s="1"/>
  <c r="S106" i="1" s="1"/>
  <c r="X106" i="1"/>
  <c r="AA103" i="1"/>
  <c r="AA100" i="1"/>
  <c r="T99" i="1"/>
  <c r="X99" i="1"/>
  <c r="AG99" i="1"/>
  <c r="T96" i="1"/>
  <c r="U96" i="1" s="1"/>
  <c r="S96" i="1" s="1"/>
  <c r="X96" i="1"/>
  <c r="T190" i="1"/>
  <c r="X190" i="1"/>
  <c r="X191" i="1"/>
  <c r="AG190" i="1"/>
  <c r="AI190" i="1" s="1"/>
  <c r="W186" i="1"/>
  <c r="AA172" i="1"/>
  <c r="W172" i="1" s="1"/>
  <c r="S189" i="1"/>
  <c r="T188" i="1"/>
  <c r="AI118" i="1"/>
  <c r="T94" i="1"/>
  <c r="X94" i="1"/>
  <c r="X179" i="1"/>
  <c r="W175" i="1"/>
  <c r="S174" i="1"/>
  <c r="T173" i="1"/>
  <c r="T165" i="1"/>
  <c r="X165" i="1"/>
  <c r="X164" i="1"/>
  <c r="AG81" i="1"/>
  <c r="T81" i="1"/>
  <c r="X81" i="1"/>
  <c r="AG188" i="1"/>
  <c r="T186" i="1"/>
  <c r="U186" i="1" s="1"/>
  <c r="S186" i="1" s="1"/>
  <c r="T183" i="1"/>
  <c r="U183" i="1" s="1"/>
  <c r="S183" i="1" s="1"/>
  <c r="X183" i="1"/>
  <c r="X181" i="1"/>
  <c r="AA180" i="1"/>
  <c r="AG94" i="1"/>
  <c r="AG173" i="1"/>
  <c r="T171" i="1"/>
  <c r="T169" i="1"/>
  <c r="U169" i="1" s="1"/>
  <c r="S169" i="1" s="1"/>
  <c r="X169" i="1"/>
  <c r="X167" i="1"/>
  <c r="AA166" i="1"/>
  <c r="AG165" i="1"/>
  <c r="AA161" i="1"/>
  <c r="W161" i="1" s="1"/>
  <c r="AG160" i="1"/>
  <c r="T160" i="1"/>
  <c r="AA86" i="1"/>
  <c r="W86" i="1" s="1"/>
  <c r="AG77" i="1"/>
  <c r="T77" i="1"/>
  <c r="X77" i="1"/>
  <c r="AA68" i="1"/>
  <c r="W68" i="1" s="1"/>
  <c r="T56" i="1"/>
  <c r="X56" i="1"/>
  <c r="AG56" i="1"/>
  <c r="X57" i="1"/>
  <c r="T187" i="1"/>
  <c r="U187" i="1" s="1"/>
  <c r="S187" i="1" s="1"/>
  <c r="X187" i="1"/>
  <c r="AA184" i="1"/>
  <c r="T172" i="1"/>
  <c r="U172" i="1" s="1"/>
  <c r="S172" i="1" s="1"/>
  <c r="X172" i="1"/>
  <c r="AA93" i="1"/>
  <c r="T161" i="1"/>
  <c r="U161" i="1" s="1"/>
  <c r="S161" i="1" s="1"/>
  <c r="AG89" i="1"/>
  <c r="T89" i="1"/>
  <c r="X89" i="1"/>
  <c r="AA82" i="1"/>
  <c r="S74" i="1"/>
  <c r="AG73" i="1"/>
  <c r="T73" i="1"/>
  <c r="X73" i="1"/>
  <c r="W67" i="1"/>
  <c r="X65" i="1"/>
  <c r="AG65" i="1"/>
  <c r="X66" i="1"/>
  <c r="S58" i="1"/>
  <c r="T64" i="1"/>
  <c r="U64" i="1" s="1"/>
  <c r="S64" i="1" s="1"/>
  <c r="X64" i="1"/>
  <c r="X62" i="1"/>
  <c r="AA61" i="1"/>
  <c r="AI53" i="1"/>
  <c r="X42" i="1"/>
  <c r="X41" i="1"/>
  <c r="AG41" i="1"/>
  <c r="U91" i="1"/>
  <c r="S91" i="1" s="1"/>
  <c r="U79" i="1"/>
  <c r="S79" i="1" s="1"/>
  <c r="T68" i="1"/>
  <c r="U68" i="1" s="1"/>
  <c r="S68" i="1" s="1"/>
  <c r="X68" i="1"/>
  <c r="AA65" i="1"/>
  <c r="T52" i="1"/>
  <c r="U52" i="1" s="1"/>
  <c r="S52" i="1" s="1"/>
  <c r="X52" i="1"/>
  <c r="T48" i="1"/>
  <c r="X48" i="1"/>
  <c r="AG48" i="1"/>
  <c r="W43" i="1"/>
  <c r="U22" i="1"/>
  <c r="S22" i="1" s="1"/>
  <c r="W15" i="1"/>
  <c r="X90" i="1"/>
  <c r="X86" i="1"/>
  <c r="X82" i="1"/>
  <c r="X78" i="1"/>
  <c r="X74" i="1"/>
  <c r="T60" i="1"/>
  <c r="U60" i="1" s="1"/>
  <c r="S60" i="1" s="1"/>
  <c r="X60" i="1"/>
  <c r="X59" i="1"/>
  <c r="U57" i="1"/>
  <c r="S57" i="1" s="1"/>
  <c r="X49" i="1"/>
  <c r="AI35" i="1"/>
  <c r="W35" i="1"/>
  <c r="W23" i="1"/>
  <c r="S46" i="1"/>
  <c r="T45" i="1"/>
  <c r="T36" i="1"/>
  <c r="X36" i="1"/>
  <c r="X35" i="1"/>
  <c r="T28" i="1"/>
  <c r="X28" i="1"/>
  <c r="AG28" i="1"/>
  <c r="T25" i="1"/>
  <c r="U25" i="1" s="1"/>
  <c r="S25" i="1" s="1"/>
  <c r="X25" i="1"/>
  <c r="T20" i="1"/>
  <c r="X20" i="1"/>
  <c r="AG20" i="1"/>
  <c r="AG45" i="1"/>
  <c r="T43" i="1"/>
  <c r="U43" i="1" s="1"/>
  <c r="S43" i="1" s="1"/>
  <c r="T40" i="1"/>
  <c r="U40" i="1" s="1"/>
  <c r="S40" i="1" s="1"/>
  <c r="X40" i="1"/>
  <c r="X38" i="1"/>
  <c r="AA37" i="1"/>
  <c r="AG36" i="1"/>
  <c r="AA33" i="1"/>
  <c r="W33" i="1" s="1"/>
  <c r="T32" i="1"/>
  <c r="X32" i="1"/>
  <c r="AG32" i="1"/>
  <c r="T29" i="1"/>
  <c r="U29" i="1" s="1"/>
  <c r="S29" i="1" s="1"/>
  <c r="X29" i="1"/>
  <c r="T16" i="1"/>
  <c r="AG16" i="1"/>
  <c r="T44" i="1"/>
  <c r="U44" i="1" s="1"/>
  <c r="S44" i="1" s="1"/>
  <c r="X44" i="1"/>
  <c r="AA41" i="1"/>
  <c r="T33" i="1"/>
  <c r="U33" i="1" s="1"/>
  <c r="S33" i="1" s="1"/>
  <c r="X33" i="1"/>
  <c r="AA21" i="1"/>
  <c r="X21" i="1"/>
  <c r="W42" i="3"/>
  <c r="W44" i="3"/>
  <c r="W27" i="3"/>
  <c r="W24" i="3"/>
  <c r="W17" i="3"/>
  <c r="W43" i="3"/>
  <c r="W20" i="3"/>
  <c r="W34" i="3"/>
  <c r="W46" i="3"/>
  <c r="W12" i="3"/>
  <c r="W15" i="3"/>
  <c r="Q12" i="3"/>
  <c r="P12" i="3"/>
  <c r="Q7" i="3"/>
  <c r="P7" i="3"/>
  <c r="Q18" i="3"/>
  <c r="P18" i="3"/>
  <c r="Q34" i="3"/>
  <c r="P34" i="3"/>
  <c r="Q13" i="3"/>
  <c r="P13" i="3"/>
  <c r="Q16" i="3"/>
  <c r="P16" i="3"/>
  <c r="Q37" i="3"/>
  <c r="P37" i="3"/>
  <c r="Q8" i="3"/>
  <c r="P8" i="3"/>
  <c r="Q24" i="3"/>
  <c r="P24" i="3"/>
  <c r="Q25" i="3"/>
  <c r="P25" i="3"/>
  <c r="Q14" i="3"/>
  <c r="P14" i="3"/>
  <c r="Q22" i="3"/>
  <c r="P22" i="3"/>
  <c r="Q40" i="3"/>
  <c r="P40" i="3"/>
  <c r="Q42" i="3"/>
  <c r="P42" i="3"/>
  <c r="Q31" i="3"/>
  <c r="P31" i="3"/>
  <c r="Q46" i="3"/>
  <c r="P46" i="3"/>
  <c r="Q47" i="3"/>
  <c r="P47" i="3"/>
  <c r="Q48" i="3"/>
  <c r="P48" i="3"/>
  <c r="Q49" i="3"/>
  <c r="P49" i="3"/>
  <c r="Q41" i="3"/>
  <c r="P41" i="3"/>
  <c r="Q43" i="3"/>
  <c r="P43" i="3"/>
  <c r="Q44" i="3"/>
  <c r="P44" i="3"/>
  <c r="Q26" i="3"/>
  <c r="P26" i="3"/>
  <c r="Q30" i="3"/>
  <c r="P30" i="3"/>
  <c r="Q39" i="3"/>
  <c r="P39" i="3"/>
  <c r="S9" i="3"/>
  <c r="R9" i="3" s="1"/>
  <c r="T9" i="3"/>
  <c r="U9" i="3"/>
  <c r="V9" i="3"/>
  <c r="AI29" i="1" l="1"/>
  <c r="AI26" i="1"/>
  <c r="W110" i="1"/>
  <c r="W113" i="1"/>
  <c r="W14" i="1"/>
  <c r="U59" i="1"/>
  <c r="S59" i="1" s="1"/>
  <c r="W75" i="1"/>
  <c r="W140" i="1"/>
  <c r="W58" i="1"/>
  <c r="W166" i="1"/>
  <c r="U171" i="1"/>
  <c r="S171" i="1" s="1"/>
  <c r="AI99" i="1"/>
  <c r="U18" i="1"/>
  <c r="S18" i="1" s="1"/>
  <c r="W128" i="1"/>
  <c r="W156" i="1"/>
  <c r="U54" i="1"/>
  <c r="S54" i="1" s="1"/>
  <c r="AI49" i="1"/>
  <c r="W93" i="1"/>
  <c r="W26" i="1"/>
  <c r="AI78" i="1"/>
  <c r="W51" i="1"/>
  <c r="W71" i="1"/>
  <c r="W127" i="1"/>
  <c r="W146" i="1"/>
  <c r="W76" i="1"/>
  <c r="AI127" i="1"/>
  <c r="W120" i="1"/>
  <c r="AI167" i="1"/>
  <c r="W37" i="1"/>
  <c r="AI55" i="1"/>
  <c r="W182" i="1"/>
  <c r="AI150" i="1"/>
  <c r="AI147" i="1"/>
  <c r="AI191" i="1"/>
  <c r="W40" i="1"/>
  <c r="W79" i="1"/>
  <c r="W16" i="1"/>
  <c r="AI58" i="1"/>
  <c r="W184" i="1"/>
  <c r="W77" i="1"/>
  <c r="AI193" i="1"/>
  <c r="U179" i="1"/>
  <c r="S179" i="1" s="1"/>
  <c r="AI47" i="1"/>
  <c r="U97" i="1"/>
  <c r="S97" i="1" s="1"/>
  <c r="AI116" i="1"/>
  <c r="S136" i="1"/>
  <c r="AI14" i="1"/>
  <c r="W57" i="1"/>
  <c r="U202" i="1"/>
  <c r="S202" i="1" s="1"/>
  <c r="AI46" i="1"/>
  <c r="AI44" i="1"/>
  <c r="W180" i="1"/>
  <c r="AI108" i="1"/>
  <c r="W121" i="1"/>
  <c r="W18" i="1"/>
  <c r="W145" i="1"/>
  <c r="U82" i="1"/>
  <c r="S82" i="1" s="1"/>
  <c r="W164" i="1"/>
  <c r="U49" i="1"/>
  <c r="AI178" i="1"/>
  <c r="W62" i="1"/>
  <c r="W59" i="1"/>
  <c r="AI153" i="1"/>
  <c r="AI120" i="1"/>
  <c r="U34" i="1"/>
  <c r="S34" i="1" s="1"/>
  <c r="AI17" i="1"/>
  <c r="AI54" i="1"/>
  <c r="AI83" i="1"/>
  <c r="S191" i="1"/>
  <c r="W90" i="1"/>
  <c r="W115" i="1"/>
  <c r="AI106" i="1"/>
  <c r="S108" i="1"/>
  <c r="AI169" i="1"/>
  <c r="AI135" i="1"/>
  <c r="AI60" i="1"/>
  <c r="AI69" i="1"/>
  <c r="W167" i="1"/>
  <c r="W108" i="1"/>
  <c r="AI91" i="1"/>
  <c r="W45" i="1"/>
  <c r="W28" i="1"/>
  <c r="AI75" i="1"/>
  <c r="AI165" i="1"/>
  <c r="W74" i="1"/>
  <c r="AI122" i="1"/>
  <c r="U163" i="1"/>
  <c r="S163" i="1" s="1"/>
  <c r="AI170" i="1"/>
  <c r="AI156" i="1"/>
  <c r="W153" i="1"/>
  <c r="AI158" i="1"/>
  <c r="W24" i="1"/>
  <c r="U70" i="1"/>
  <c r="S70" i="1" s="1"/>
  <c r="W177" i="1"/>
  <c r="AI80" i="1"/>
  <c r="W179" i="1"/>
  <c r="AI112" i="1"/>
  <c r="AI132" i="1"/>
  <c r="AI202" i="1"/>
  <c r="W162" i="1"/>
  <c r="W149" i="1"/>
  <c r="W42" i="1"/>
  <c r="W30" i="1"/>
  <c r="AI57" i="1"/>
  <c r="AI182" i="1"/>
  <c r="W47" i="1"/>
  <c r="AI160" i="1"/>
  <c r="W109" i="1"/>
  <c r="W17" i="1"/>
  <c r="AI18" i="1"/>
  <c r="AI25" i="1"/>
  <c r="W27" i="1"/>
  <c r="W61" i="1"/>
  <c r="AI95" i="1"/>
  <c r="AI111" i="1"/>
  <c r="AI52" i="1"/>
  <c r="W56" i="1"/>
  <c r="AI173" i="1"/>
  <c r="W168" i="1"/>
  <c r="AI130" i="1"/>
  <c r="W136" i="1"/>
  <c r="AI203" i="1"/>
  <c r="W49" i="1"/>
  <c r="W176" i="1"/>
  <c r="U47" i="1"/>
  <c r="S47" i="1" s="1"/>
  <c r="U69" i="1"/>
  <c r="S69" i="1" s="1"/>
  <c r="AI100" i="1"/>
  <c r="AI30" i="1"/>
  <c r="AI50" i="1"/>
  <c r="AI79" i="1"/>
  <c r="AI124" i="1"/>
  <c r="W131" i="1"/>
  <c r="AI162" i="1"/>
  <c r="AI198" i="1"/>
  <c r="U162" i="1"/>
  <c r="S162" i="1" s="1"/>
  <c r="U164" i="1"/>
  <c r="S164" i="1" s="1"/>
  <c r="W104" i="1"/>
  <c r="W21" i="1"/>
  <c r="W41" i="1"/>
  <c r="AI139" i="1"/>
  <c r="W202" i="1"/>
  <c r="AI143" i="1"/>
  <c r="W124" i="1"/>
  <c r="U78" i="1"/>
  <c r="S78" i="1" s="1"/>
  <c r="U127" i="1"/>
  <c r="S127" i="1" s="1"/>
  <c r="W197" i="1"/>
  <c r="W97" i="1"/>
  <c r="W84" i="1"/>
  <c r="AI151" i="1"/>
  <c r="W133" i="1"/>
  <c r="AI195" i="1"/>
  <c r="W54" i="1"/>
  <c r="AI84" i="1"/>
  <c r="W81" i="1"/>
  <c r="U167" i="1"/>
  <c r="S167" i="1" s="1"/>
  <c r="AI76" i="1"/>
  <c r="AI179" i="1"/>
  <c r="W173" i="1"/>
  <c r="AI51" i="1"/>
  <c r="AI159" i="1"/>
  <c r="W137" i="1"/>
  <c r="AI42" i="1"/>
  <c r="AI33" i="1"/>
  <c r="W191" i="1"/>
  <c r="AI97" i="1"/>
  <c r="AI185" i="1"/>
  <c r="W53" i="1"/>
  <c r="U166" i="1"/>
  <c r="S166" i="1" s="1"/>
  <c r="W185" i="1"/>
  <c r="W171" i="1"/>
  <c r="AI137" i="1"/>
  <c r="W112" i="1"/>
  <c r="W78" i="1"/>
  <c r="U30" i="1"/>
  <c r="S30" i="1" s="1"/>
  <c r="AI128" i="1"/>
  <c r="W72" i="1"/>
  <c r="U178" i="1"/>
  <c r="AI70" i="1"/>
  <c r="AI37" i="1"/>
  <c r="U87" i="1"/>
  <c r="S87" i="1" s="1"/>
  <c r="AI64" i="1"/>
  <c r="AI102" i="1"/>
  <c r="W99" i="1"/>
  <c r="AI161" i="1"/>
  <c r="U53" i="1"/>
  <c r="S53" i="1" s="1"/>
  <c r="W19" i="1"/>
  <c r="AI19" i="1"/>
  <c r="AI109" i="1"/>
  <c r="AI175" i="1"/>
  <c r="AI187" i="1"/>
  <c r="U38" i="1"/>
  <c r="S38" i="1" s="1"/>
  <c r="AI38" i="1"/>
  <c r="U88" i="1"/>
  <c r="S88" i="1" s="1"/>
  <c r="AI88" i="1"/>
  <c r="W142" i="1"/>
  <c r="W34" i="1"/>
  <c r="AI71" i="1"/>
  <c r="AI87" i="1"/>
  <c r="W65" i="1"/>
  <c r="W100" i="1"/>
  <c r="S178" i="1"/>
  <c r="AI96" i="1"/>
  <c r="AI131" i="1"/>
  <c r="S142" i="1"/>
  <c r="AI177" i="1"/>
  <c r="AI148" i="1"/>
  <c r="W155" i="1"/>
  <c r="W46" i="1"/>
  <c r="W70" i="1"/>
  <c r="W31" i="1"/>
  <c r="AI31" i="1"/>
  <c r="W87" i="1"/>
  <c r="AI72" i="1"/>
  <c r="W178" i="1"/>
  <c r="AI183" i="1"/>
  <c r="U66" i="1"/>
  <c r="S66" i="1" s="1"/>
  <c r="AI66" i="1"/>
  <c r="U51" i="1"/>
  <c r="S51" i="1" s="1"/>
  <c r="AI140" i="1"/>
  <c r="W98" i="1"/>
  <c r="AI22" i="1"/>
  <c r="W82" i="1"/>
  <c r="W103" i="1"/>
  <c r="W135" i="1"/>
  <c r="S141" i="1"/>
  <c r="AI141" i="1"/>
  <c r="W50" i="1"/>
  <c r="W69" i="1"/>
  <c r="W88" i="1"/>
  <c r="W141" i="1"/>
  <c r="U62" i="1"/>
  <c r="S62" i="1" s="1"/>
  <c r="AI62" i="1"/>
  <c r="W66" i="1"/>
  <c r="AI92" i="1"/>
  <c r="U36" i="1"/>
  <c r="S36" i="1" s="1"/>
  <c r="AI36" i="1"/>
  <c r="AI41" i="1"/>
  <c r="U41" i="1"/>
  <c r="S41" i="1" s="1"/>
  <c r="U165" i="1"/>
  <c r="S165" i="1" s="1"/>
  <c r="AI98" i="1"/>
  <c r="AI123" i="1"/>
  <c r="U188" i="1"/>
  <c r="S188" i="1" s="1"/>
  <c r="U63" i="1"/>
  <c r="S63" i="1" s="1"/>
  <c r="AI63" i="1"/>
  <c r="W165" i="1"/>
  <c r="U193" i="1"/>
  <c r="S193" i="1" s="1"/>
  <c r="AI129" i="1"/>
  <c r="U114" i="1"/>
  <c r="S114" i="1" s="1"/>
  <c r="AI149" i="1"/>
  <c r="U85" i="1"/>
  <c r="S85" i="1" s="1"/>
  <c r="AI85" i="1"/>
  <c r="W193" i="1"/>
  <c r="U39" i="1"/>
  <c r="S39" i="1" s="1"/>
  <c r="AI39" i="1"/>
  <c r="U126" i="1"/>
  <c r="S125" i="1" s="1"/>
  <c r="AI172" i="1"/>
  <c r="U139" i="1"/>
  <c r="S139" i="1" s="1"/>
  <c r="AI197" i="1"/>
  <c r="U196" i="1"/>
  <c r="S196" i="1" s="1"/>
  <c r="U151" i="1"/>
  <c r="S151" i="1" s="1"/>
  <c r="AI184" i="1"/>
  <c r="U117" i="1"/>
  <c r="S117" i="1" s="1"/>
  <c r="AI152" i="1"/>
  <c r="U201" i="1"/>
  <c r="S201" i="1" s="1"/>
  <c r="AI136" i="1"/>
  <c r="U158" i="1"/>
  <c r="S158" i="1" s="1"/>
  <c r="AI192" i="1"/>
  <c r="W39" i="1"/>
  <c r="AI61" i="1"/>
  <c r="AI65" i="1"/>
  <c r="U65" i="1"/>
  <c r="S65" i="1" s="1"/>
  <c r="AI56" i="1"/>
  <c r="U56" i="1"/>
  <c r="S56" i="1" s="1"/>
  <c r="U77" i="1"/>
  <c r="S77" i="1" s="1"/>
  <c r="AI77" i="1"/>
  <c r="U94" i="1"/>
  <c r="S94" i="1" s="1"/>
  <c r="AI114" i="1"/>
  <c r="U81" i="1"/>
  <c r="S81" i="1" s="1"/>
  <c r="AI81" i="1"/>
  <c r="W188" i="1"/>
  <c r="U99" i="1"/>
  <c r="S99" i="1" s="1"/>
  <c r="AI133" i="1"/>
  <c r="AI94" i="1"/>
  <c r="U130" i="1"/>
  <c r="S129" i="1" s="1"/>
  <c r="AI163" i="1"/>
  <c r="AI103" i="1"/>
  <c r="U93" i="1"/>
  <c r="S93" i="1" s="1"/>
  <c r="W94" i="1"/>
  <c r="AI110" i="1"/>
  <c r="U176" i="1"/>
  <c r="S176" i="1" s="1"/>
  <c r="AI134" i="1"/>
  <c r="U100" i="1"/>
  <c r="S100" i="1" s="1"/>
  <c r="AI181" i="1"/>
  <c r="U148" i="1"/>
  <c r="S148" i="1" s="1"/>
  <c r="U155" i="1"/>
  <c r="S155" i="1" s="1"/>
  <c r="AI188" i="1"/>
  <c r="U199" i="1"/>
  <c r="S199" i="1" s="1"/>
  <c r="AI200" i="1"/>
  <c r="W199" i="1"/>
  <c r="W139" i="1"/>
  <c r="U147" i="1"/>
  <c r="S147" i="1" s="1"/>
  <c r="AI180" i="1"/>
  <c r="W196" i="1"/>
  <c r="AI138" i="1"/>
  <c r="U103" i="1"/>
  <c r="S103" i="1" s="1"/>
  <c r="W114" i="1"/>
  <c r="W151" i="1"/>
  <c r="AI189" i="1"/>
  <c r="U20" i="1"/>
  <c r="S20" i="1" s="1"/>
  <c r="AI20" i="1"/>
  <c r="U48" i="1"/>
  <c r="S48" i="1" s="1"/>
  <c r="AI48" i="1"/>
  <c r="W20" i="1"/>
  <c r="U73" i="1"/>
  <c r="S73" i="1" s="1"/>
  <c r="AI73" i="1"/>
  <c r="U89" i="1"/>
  <c r="S89" i="1" s="1"/>
  <c r="AI89" i="1"/>
  <c r="W73" i="1"/>
  <c r="U160" i="1"/>
  <c r="S160" i="1" s="1"/>
  <c r="AI93" i="1"/>
  <c r="AI82" i="1"/>
  <c r="W160" i="1"/>
  <c r="AI126" i="1"/>
  <c r="U190" i="1"/>
  <c r="S190" i="1" s="1"/>
  <c r="AI68" i="1"/>
  <c r="AI86" i="1"/>
  <c r="W190" i="1"/>
  <c r="AI142" i="1"/>
  <c r="U107" i="1"/>
  <c r="S107" i="1" s="1"/>
  <c r="W117" i="1"/>
  <c r="W126" i="1"/>
  <c r="U133" i="1"/>
  <c r="S133" i="1" s="1"/>
  <c r="AI166" i="1"/>
  <c r="W201" i="1"/>
  <c r="W107" i="1"/>
  <c r="U195" i="1"/>
  <c r="S195" i="1" s="1"/>
  <c r="AI196" i="1"/>
  <c r="U135" i="1"/>
  <c r="S135" i="1" s="1"/>
  <c r="AI168" i="1"/>
  <c r="W195" i="1"/>
  <c r="U32" i="1"/>
  <c r="S32" i="1" s="1"/>
  <c r="AI32" i="1"/>
  <c r="W32" i="1"/>
  <c r="U16" i="1"/>
  <c r="S16" i="1" s="1"/>
  <c r="AI16" i="1"/>
  <c r="AI45" i="1"/>
  <c r="U45" i="1"/>
  <c r="S45" i="1" s="1"/>
  <c r="AI21" i="1"/>
  <c r="U28" i="1"/>
  <c r="S28" i="1" s="1"/>
  <c r="AI28" i="1"/>
  <c r="W48" i="1"/>
  <c r="W36" i="1"/>
  <c r="W63" i="1"/>
  <c r="W85" i="1"/>
  <c r="W89" i="1"/>
  <c r="AI107" i="1"/>
  <c r="U173" i="1"/>
  <c r="S173" i="1" s="1"/>
  <c r="AI115" i="1"/>
  <c r="U168" i="1"/>
  <c r="S168" i="1" s="1"/>
  <c r="AI101" i="1"/>
  <c r="AI119" i="1"/>
  <c r="U184" i="1"/>
  <c r="S184" i="1" s="1"/>
  <c r="AI157" i="1"/>
  <c r="U123" i="1"/>
  <c r="S122" i="1" s="1"/>
  <c r="U24" i="1"/>
  <c r="S24" i="1" s="1"/>
  <c r="AI24" i="1"/>
  <c r="U182" i="1"/>
  <c r="S182" i="1" s="1"/>
  <c r="AI117" i="1"/>
  <c r="AI154" i="1"/>
  <c r="U119" i="1"/>
  <c r="S119" i="1" s="1"/>
  <c r="W130" i="1"/>
  <c r="AI176" i="1"/>
  <c r="U143" i="1"/>
  <c r="S143" i="1" s="1"/>
  <c r="AI145" i="1"/>
  <c r="U110" i="1"/>
  <c r="S110" i="1" s="1"/>
  <c r="AI164" i="1"/>
  <c r="W143" i="1"/>
  <c r="W147" i="1"/>
  <c r="W158" i="1"/>
  <c r="Q27" i="3"/>
  <c r="Q11" i="3"/>
  <c r="Q23" i="3"/>
  <c r="P17" i="3"/>
  <c r="P38" i="3"/>
  <c r="P36" i="3"/>
  <c r="P10" i="3"/>
  <c r="P20" i="3"/>
  <c r="P35" i="3"/>
  <c r="Q21" i="3"/>
  <c r="Q19" i="3"/>
  <c r="P28" i="3"/>
  <c r="P15" i="3"/>
  <c r="P29" i="3"/>
  <c r="P27" i="3"/>
  <c r="P45" i="3"/>
  <c r="P50" i="3"/>
  <c r="P11" i="3"/>
  <c r="P23" i="3"/>
  <c r="P32" i="3"/>
  <c r="P33" i="3"/>
  <c r="Q50" i="3"/>
  <c r="Q45" i="3"/>
  <c r="Q33" i="3"/>
  <c r="Q32" i="3"/>
  <c r="Q17" i="3"/>
  <c r="Q38" i="3"/>
  <c r="Q36" i="3"/>
  <c r="Q10" i="3"/>
  <c r="Q35" i="3"/>
  <c r="Q20" i="3"/>
  <c r="P19" i="3"/>
  <c r="P21" i="3"/>
  <c r="Q28" i="3"/>
  <c r="Q15" i="3"/>
  <c r="Q29" i="3"/>
  <c r="W9" i="3"/>
  <c r="P9" i="3" l="1"/>
  <c r="Q9" i="3"/>
  <c r="J7" i="1"/>
  <c r="B3" i="6"/>
  <c r="B4" i="6"/>
  <c r="B5" i="6"/>
  <c r="B6" i="6"/>
  <c r="F6" i="6" s="1"/>
  <c r="B7" i="6"/>
  <c r="H7" i="6" s="1"/>
  <c r="B8" i="6"/>
  <c r="G8" i="6" s="1"/>
  <c r="B9" i="6"/>
  <c r="F9" i="6" s="1"/>
  <c r="B10" i="6"/>
  <c r="F10" i="6" s="1"/>
  <c r="L7" i="3"/>
  <c r="F7" i="6" l="1"/>
  <c r="G7" i="6"/>
  <c r="I10" i="6"/>
  <c r="F8" i="6"/>
  <c r="G9" i="6"/>
  <c r="I9" i="6"/>
  <c r="H8" i="6"/>
  <c r="I8" i="6"/>
  <c r="I7" i="6"/>
  <c r="I6" i="6"/>
  <c r="H10" i="6"/>
  <c r="G10" i="6"/>
  <c r="H9" i="6"/>
  <c r="F3" i="6" l="1"/>
  <c r="I3" i="6"/>
  <c r="F4" i="6"/>
  <c r="I4" i="6"/>
  <c r="F5" i="6"/>
  <c r="I5" i="6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M26" i="5"/>
  <c r="AH17" i="1" l="1"/>
  <c r="AH18" i="1"/>
  <c r="AH19" i="1"/>
  <c r="AH20" i="1"/>
  <c r="AH21" i="1"/>
  <c r="AH27" i="1"/>
  <c r="AH28" i="1"/>
  <c r="AH29" i="1"/>
  <c r="AH30" i="1"/>
  <c r="AH41" i="1"/>
  <c r="AH42" i="1"/>
  <c r="AH47" i="1"/>
  <c r="AH48" i="1"/>
  <c r="AH49" i="1"/>
  <c r="AH55" i="1"/>
  <c r="AH56" i="1"/>
  <c r="AH67" i="1"/>
  <c r="AH83" i="1"/>
  <c r="AH96" i="1"/>
  <c r="AH97" i="1"/>
  <c r="AH98" i="1"/>
  <c r="AH99" i="1"/>
  <c r="AH100" i="1"/>
  <c r="AH113" i="1"/>
  <c r="AH114" i="1"/>
  <c r="AH115" i="1"/>
  <c r="AH119" i="1"/>
  <c r="AH120" i="1"/>
  <c r="AH125" i="1"/>
  <c r="AH126" i="1"/>
  <c r="AH135" i="1"/>
  <c r="AH136" i="1"/>
  <c r="AH137" i="1"/>
  <c r="AH146" i="1"/>
  <c r="AH147" i="1"/>
  <c r="AH150" i="1"/>
  <c r="AH151" i="1"/>
  <c r="AH152" i="1"/>
  <c r="AH153" i="1"/>
  <c r="AH154" i="1"/>
  <c r="AH158" i="1"/>
  <c r="AH159" i="1"/>
  <c r="AH160" i="1"/>
  <c r="AH171" i="1"/>
  <c r="AH172" i="1"/>
  <c r="AH173" i="1"/>
  <c r="AH174" i="1"/>
  <c r="AH199" i="1"/>
  <c r="AH196" i="1"/>
  <c r="AH14" i="1"/>
  <c r="AH22" i="1"/>
  <c r="AH23" i="1"/>
  <c r="AH24" i="1"/>
  <c r="AH31" i="1"/>
  <c r="AH32" i="1"/>
  <c r="AH33" i="1"/>
  <c r="AH50" i="1"/>
  <c r="AH51" i="1"/>
  <c r="AH52" i="1"/>
  <c r="AH53" i="1"/>
  <c r="AH57" i="1"/>
  <c r="AH58" i="1"/>
  <c r="AH59" i="1"/>
  <c r="AH68" i="1"/>
  <c r="AH69" i="1"/>
  <c r="AH70" i="1"/>
  <c r="AH74" i="1"/>
  <c r="AH75" i="1"/>
  <c r="AH92" i="1"/>
  <c r="AH93" i="1"/>
  <c r="AH101" i="1"/>
  <c r="AH102" i="1"/>
  <c r="AH103" i="1"/>
  <c r="AH104" i="1"/>
  <c r="AH105" i="1"/>
  <c r="AH106" i="1"/>
  <c r="AH107" i="1"/>
  <c r="AH116" i="1"/>
  <c r="AH121" i="1"/>
  <c r="AH122" i="1"/>
  <c r="AH123" i="1"/>
  <c r="AH127" i="1"/>
  <c r="AH128" i="1"/>
  <c r="AH129" i="1"/>
  <c r="AH130" i="1"/>
  <c r="AH131" i="1"/>
  <c r="AH138" i="1"/>
  <c r="AH139" i="1"/>
  <c r="AH148" i="1"/>
  <c r="AH161" i="1"/>
  <c r="AH162" i="1"/>
  <c r="AH163" i="1"/>
  <c r="AH164" i="1"/>
  <c r="AH165" i="1"/>
  <c r="AH175" i="1"/>
  <c r="AH176" i="1"/>
  <c r="AH185" i="1"/>
  <c r="AH186" i="1"/>
  <c r="AH193" i="1"/>
  <c r="AH194" i="1"/>
  <c r="AH169" i="1"/>
  <c r="AH180" i="1"/>
  <c r="AH183" i="1"/>
  <c r="AH191" i="1"/>
  <c r="AH197" i="1"/>
  <c r="AH34" i="1"/>
  <c r="AH35" i="1"/>
  <c r="AH36" i="1"/>
  <c r="AH37" i="1"/>
  <c r="AH38" i="1"/>
  <c r="AH39" i="1"/>
  <c r="AH40" i="1"/>
  <c r="AH54" i="1"/>
  <c r="AH60" i="1"/>
  <c r="AH61" i="1"/>
  <c r="AH62" i="1"/>
  <c r="AH76" i="1"/>
  <c r="AH77" i="1"/>
  <c r="AH78" i="1"/>
  <c r="AH79" i="1"/>
  <c r="AH84" i="1"/>
  <c r="AH85" i="1"/>
  <c r="AH86" i="1"/>
  <c r="AH87" i="1"/>
  <c r="AH88" i="1"/>
  <c r="AH89" i="1"/>
  <c r="AH94" i="1"/>
  <c r="AH95" i="1"/>
  <c r="AH117" i="1"/>
  <c r="AH132" i="1"/>
  <c r="AH140" i="1"/>
  <c r="AH149" i="1"/>
  <c r="AH155" i="1"/>
  <c r="AH156" i="1"/>
  <c r="AH157" i="1"/>
  <c r="AH166" i="1"/>
  <c r="AH177" i="1"/>
  <c r="AH178" i="1"/>
  <c r="AH187" i="1"/>
  <c r="AH188" i="1"/>
  <c r="AH189" i="1"/>
  <c r="AH200" i="1"/>
  <c r="AH201" i="1"/>
  <c r="AH202" i="1"/>
  <c r="AH134" i="1"/>
  <c r="AH142" i="1"/>
  <c r="AH144" i="1"/>
  <c r="AH167" i="1"/>
  <c r="AH170" i="1"/>
  <c r="AH181" i="1"/>
  <c r="AH184" i="1"/>
  <c r="AH192" i="1"/>
  <c r="AH198" i="1"/>
  <c r="AH15" i="1"/>
  <c r="AH16" i="1"/>
  <c r="AH25" i="1"/>
  <c r="AH26" i="1"/>
  <c r="AH43" i="1"/>
  <c r="AH44" i="1"/>
  <c r="AH45" i="1"/>
  <c r="AH46" i="1"/>
  <c r="AH63" i="1"/>
  <c r="AH64" i="1"/>
  <c r="AH65" i="1"/>
  <c r="AH66" i="1"/>
  <c r="AH71" i="1"/>
  <c r="AH72" i="1"/>
  <c r="AH73" i="1"/>
  <c r="AH80" i="1"/>
  <c r="AH81" i="1"/>
  <c r="AH82" i="1"/>
  <c r="AH90" i="1"/>
  <c r="AH91" i="1"/>
  <c r="AH108" i="1"/>
  <c r="AH109" i="1"/>
  <c r="AH110" i="1"/>
  <c r="AH111" i="1"/>
  <c r="AH112" i="1"/>
  <c r="AH118" i="1"/>
  <c r="AH124" i="1"/>
  <c r="AH133" i="1"/>
  <c r="AH141" i="1"/>
  <c r="AH143" i="1"/>
  <c r="AH145" i="1"/>
  <c r="AH168" i="1"/>
  <c r="AH179" i="1"/>
  <c r="AH182" i="1"/>
  <c r="AH190" i="1"/>
  <c r="AH195" i="1"/>
  <c r="AH203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4" i="6" s="1"/>
  <c r="G150" i="4"/>
  <c r="H4" i="6" s="1"/>
  <c r="F151" i="4"/>
  <c r="G151" i="4"/>
  <c r="F152" i="4"/>
  <c r="G152" i="4"/>
  <c r="F153" i="4"/>
  <c r="G153" i="4"/>
  <c r="F154" i="4"/>
  <c r="G154" i="4"/>
  <c r="F155" i="4"/>
  <c r="G155" i="4"/>
  <c r="F156" i="4"/>
  <c r="G6" i="6" s="1"/>
  <c r="G156" i="4"/>
  <c r="H6" i="6" s="1"/>
  <c r="F157" i="4"/>
  <c r="G157" i="4"/>
  <c r="F158" i="4"/>
  <c r="G3" i="6" s="1"/>
  <c r="G158" i="4"/>
  <c r="H3" i="6" s="1"/>
  <c r="F159" i="4"/>
  <c r="G159" i="4"/>
  <c r="F160" i="4"/>
  <c r="G160" i="4"/>
  <c r="F161" i="4"/>
  <c r="G5" i="6" s="1"/>
  <c r="G161" i="4"/>
  <c r="H5" i="6" s="1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<sst xmlns="http://schemas.openxmlformats.org/spreadsheetml/2006/main" count="2134" uniqueCount="723">
  <si>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</si>
  <si>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</si>
  <si>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</si>
  <si>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</si>
  <si>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</si>
  <si>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</si>
  <si>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</si>
  <si>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</si>
  <si>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</si>
  <si>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</si>
  <si>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</si>
  <si>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</si>
  <si>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</si>
  <si>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</si>
  <si>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</si>
  <si>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</si>
  <si>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</si>
  <si>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</si>
  <si>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</si>
  <si>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</si>
  <si>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</si>
  <si>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</si>
  <si>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</si>
  <si>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</si>
  <si>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</si>
  <si>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</si>
  <si>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</si>
  <si>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</si>
  <si>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</si>
  <si>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</si>
  <si>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</si>
  <si>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</si>
  <si>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</si>
  <si>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</si>
  <si>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</si>
  <si>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</si>
  <si>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</si>
  <si>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</si>
  <si>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</si>
  <si>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</si>
  <si>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</si>
  <si>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</si>
  <si>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</si>
  <si>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</si>
  <si>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</si>
  <si>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</si>
  <si>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</si>
  <si>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</si>
  <si>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</si>
  <si>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</si>
  <si>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</si>
  <si>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</si>
  <si>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</si>
  <si>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</si>
  <si>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</si>
  <si>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</si>
  <si>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</si>
  <si>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</si>
  <si>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</si>
  <si>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</si>
  <si>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</si>
  <si>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</si>
  <si>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</si>
  <si>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</si>
  <si>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</si>
  <si>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</si>
  <si>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</si>
  <si>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</si>
  <si>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</si>
  <si>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</si>
  <si>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</si>
  <si>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</si>
  <si>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</si>
  <si>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</si>
  <si>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</si>
  <si>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</si>
  <si>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</si>
  <si>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</si>
  <si>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</si>
  <si>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</si>
  <si>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</si>
  <si>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</si>
  <si>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</si>
  <si>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</si>
  <si>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</si>
  <si>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</si>
  <si>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</si>
  <si>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</si>
  <si>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</si>
  <si>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</si>
  <si>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</si>
  <si>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</si>
  <si>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</si>
  <si>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</si>
  <si>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</si>
  <si>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</si>
  <si>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</si>
  <si>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</si>
  <si>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</si>
  <si>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</si>
  <si>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</si>
  <si>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</si>
  <si>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</si>
  <si>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</si>
  <si>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</si>
  <si>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</si>
  <si>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</si>
  <si>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</si>
  <si>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</si>
  <si>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</si>
  <si>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</si>
  <si>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</si>
  <si>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</si>
  <si>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</si>
  <si>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</si>
  <si>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</si>
  <si>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</si>
  <si>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</si>
  <si>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</si>
  <si>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</si>
  <si>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</si>
  <si>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</si>
  <si>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</si>
  <si>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</si>
  <si>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</si>
  <si>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</si>
  <si>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</si>
  <si>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</si>
  <si>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</si>
  <si>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</si>
  <si>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</si>
  <si>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</si>
  <si>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</si>
  <si>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204:232994</t>
  </si>
  <si>
    <t>204:449</t>
  </si>
  <si>
    <t>204:149</t>
  </si>
  <si>
    <t>ISHMAEL</t>
  </si>
  <si>
    <t>LEVIN</t>
  </si>
  <si>
    <t>204:457</t>
  </si>
  <si>
    <t>STAMBAUGH</t>
  </si>
  <si>
    <t>rtdc.l.rtdc.4037:itc</t>
  </si>
  <si>
    <t xml:space="preserve">baselines for EC: </t>
  </si>
  <si>
    <t>baselines for NWES:</t>
  </si>
  <si>
    <t>M - F = 47 trips</t>
  </si>
  <si>
    <t>Sat - Sun = 33 Trips</t>
  </si>
  <si>
    <t>rtdc.l.rtdc.4038:itc</t>
  </si>
  <si>
    <t>204:156</t>
  </si>
  <si>
    <t>204:451</t>
  </si>
  <si>
    <t>204:233291</t>
  </si>
  <si>
    <t>204:154</t>
  </si>
  <si>
    <t>236-12</t>
  </si>
  <si>
    <t>238-12</t>
  </si>
  <si>
    <t>240-12</t>
  </si>
  <si>
    <t>241-12</t>
  </si>
  <si>
    <t>242-12</t>
  </si>
  <si>
    <t>243-12</t>
  </si>
  <si>
    <t>244-12</t>
  </si>
  <si>
    <t>245-12</t>
  </si>
  <si>
    <t>246-12</t>
  </si>
  <si>
    <t>309-12</t>
  </si>
  <si>
    <t>311-12</t>
  </si>
  <si>
    <t>315-12</t>
  </si>
  <si>
    <t>YANAI</t>
  </si>
  <si>
    <t>313-12</t>
  </si>
  <si>
    <t>204:152</t>
  </si>
  <si>
    <t>rtdc.l.rtdc.4009:itc</t>
  </si>
  <si>
    <t>rtdc.l.rtdc.4010:itc</t>
  </si>
  <si>
    <t>CHANDLER</t>
  </si>
  <si>
    <t>204:471</t>
  </si>
  <si>
    <t>rtdc.l.rtdc.4002:itc</t>
  </si>
  <si>
    <t>:.+((SYSTEM_STATE.+slice.+state.+changed )|(ment ac)|(system.+state.+changed )|(\|lc)|(penalty)|(\[timeout)|(PRM\|1\|D)|(kpr)|(kdp))</t>
  </si>
  <si>
    <t>204:145</t>
  </si>
  <si>
    <t>204:447</t>
  </si>
  <si>
    <t>204:160</t>
  </si>
  <si>
    <t>204:233293</t>
  </si>
  <si>
    <t>204:460</t>
  </si>
  <si>
    <t>HAITHCOX</t>
  </si>
  <si>
    <t>204:232989</t>
  </si>
  <si>
    <t>rtdc.l.rtdc.4004:itc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</si>
  <si>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</si>
  <si>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</si>
  <si>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</si>
  <si>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</si>
  <si>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</si>
  <si>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</si>
  <si>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</si>
  <si>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</si>
  <si>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</si>
  <si>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</si>
  <si>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</si>
  <si>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</si>
  <si>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</si>
  <si>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</si>
  <si>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</si>
  <si>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</si>
  <si>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</si>
  <si>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</si>
  <si>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</si>
  <si>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</si>
  <si>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</si>
  <si>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</si>
  <si>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</si>
  <si>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</si>
  <si>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</si>
  <si>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</si>
  <si>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</si>
  <si>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</si>
  <si>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</si>
  <si>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</si>
  <si>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</si>
  <si>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</si>
  <si>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</si>
  <si>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</si>
  <si>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</si>
  <si>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204:232980</t>
  </si>
  <si>
    <t>204:232977</t>
  </si>
  <si>
    <t>204:438</t>
  </si>
  <si>
    <t>rtdc.l.rtdc.4019:itc</t>
  </si>
  <si>
    <t>rtdc.l.rtdc.4020:itc</t>
  </si>
  <si>
    <t>Output Refined Run Times to File?</t>
  </si>
  <si>
    <t>RefinedRTDCRunTimesOutputFile</t>
  </si>
  <si>
    <t>rtdc.l.rtdc.4040:itc</t>
  </si>
  <si>
    <t>rtdc.l.rtdc.4028:itc</t>
  </si>
  <si>
    <t>309-26</t>
  </si>
  <si>
    <t>244-26</t>
  </si>
  <si>
    <t>311-26</t>
  </si>
  <si>
    <t>246-26</t>
  </si>
  <si>
    <t>313-26</t>
  </si>
  <si>
    <t>Bulletin (2)</t>
  </si>
  <si>
    <t>GRADE CROSSING</t>
  </si>
  <si>
    <t>204:232971</t>
  </si>
  <si>
    <t>204:458</t>
  </si>
  <si>
    <t>204:232985</t>
  </si>
  <si>
    <t>204:466</t>
  </si>
  <si>
    <t>204:233297</t>
  </si>
  <si>
    <t>204:475</t>
  </si>
  <si>
    <t>204:442</t>
  </si>
  <si>
    <t>204:233008</t>
  </si>
  <si>
    <t>Trip Number</t>
  </si>
  <si>
    <t>Early arrival</t>
  </si>
  <si>
    <t>rtdc.l.rtdc.4011:itc</t>
  </si>
  <si>
    <t>204:233314</t>
  </si>
  <si>
    <t>204:163</t>
  </si>
  <si>
    <t>204:233303</t>
  </si>
  <si>
    <t>204:232996</t>
  </si>
  <si>
    <t>204:232993</t>
  </si>
  <si>
    <t>204:233307</t>
  </si>
  <si>
    <t>HILLS</t>
  </si>
  <si>
    <t>204:233302</t>
  </si>
  <si>
    <t>204:161</t>
  </si>
  <si>
    <t>204:138</t>
  </si>
  <si>
    <t>300:23346</t>
  </si>
  <si>
    <t>204:141</t>
  </si>
  <si>
    <t>204:150</t>
  </si>
  <si>
    <t>204:444</t>
  </si>
  <si>
    <t>204:233304</t>
  </si>
  <si>
    <t>204:469</t>
  </si>
  <si>
    <t>204:233317</t>
  </si>
  <si>
    <t>300:58617</t>
  </si>
  <si>
    <t>rtdc.l.rtdc.4043:itc</t>
  </si>
  <si>
    <t>rtdc.l.rtdc.4001:itc</t>
  </si>
  <si>
    <t>rtdc.l.rtdc.4044:itc</t>
  </si>
  <si>
    <t>MAELZER</t>
  </si>
  <si>
    <t>STRICKLAND</t>
  </si>
  <si>
    <t>MOSES</t>
  </si>
  <si>
    <t>Reactive Warning (1)</t>
  </si>
  <si>
    <t>204:752</t>
  </si>
  <si>
    <t>204:233280</t>
  </si>
  <si>
    <t>204:473</t>
  </si>
  <si>
    <t>204:233315</t>
  </si>
  <si>
    <t>204:437</t>
  </si>
  <si>
    <t>204:233312</t>
  </si>
  <si>
    <t>204:232998</t>
  </si>
  <si>
    <t>204:134</t>
  </si>
  <si>
    <t>300:58626</t>
  </si>
  <si>
    <t>300:58623</t>
  </si>
  <si>
    <t>300:58944</t>
  </si>
  <si>
    <t>300:58632</t>
  </si>
  <si>
    <t>300:58937</t>
  </si>
  <si>
    <t>MALAVE</t>
  </si>
  <si>
    <t>YORK</t>
  </si>
  <si>
    <t>SHOOK</t>
  </si>
  <si>
    <t>204:233334</t>
  </si>
  <si>
    <t>204:233019</t>
  </si>
  <si>
    <t>204:136</t>
  </si>
  <si>
    <t>204:232973</t>
  </si>
  <si>
    <t>204:232987</t>
  </si>
  <si>
    <t>204:464</t>
  </si>
  <si>
    <t>204:233326</t>
  </si>
  <si>
    <t>204:232982</t>
  </si>
  <si>
    <t>204:478</t>
  </si>
  <si>
    <t>204:233000</t>
  </si>
  <si>
    <t>204:233002</t>
  </si>
  <si>
    <t>204:232986</t>
  </si>
  <si>
    <t>204:427</t>
  </si>
  <si>
    <t>204:167</t>
  </si>
  <si>
    <t>204:233298</t>
  </si>
  <si>
    <t>204:233282</t>
  </si>
  <si>
    <t>204:232969</t>
  </si>
  <si>
    <t>204:233316</t>
  </si>
  <si>
    <t>244-02</t>
  </si>
  <si>
    <t>245-02</t>
  </si>
  <si>
    <t>246-02</t>
  </si>
  <si>
    <t>309-02</t>
  </si>
  <si>
    <t>311-02</t>
  </si>
  <si>
    <t>313-02</t>
  </si>
  <si>
    <t>315-02</t>
  </si>
  <si>
    <t>300:58628</t>
  </si>
  <si>
    <t>300:58634</t>
  </si>
  <si>
    <t>300:58929</t>
  </si>
  <si>
    <t>300:58608</t>
  </si>
  <si>
    <t>Track device (7)</t>
  </si>
  <si>
    <t>SWITCH UNKNOWN</t>
  </si>
  <si>
    <t>Y</t>
  </si>
  <si>
    <t>rtdc.l.rtdc.4046:itc</t>
  </si>
  <si>
    <t>rtdc.l.rtdc.4045:itc</t>
  </si>
  <si>
    <t>STEWART</t>
  </si>
  <si>
    <t>CLARK</t>
  </si>
  <si>
    <t>STURGEON</t>
  </si>
  <si>
    <t>rtdc.l.rtdc.4017:itc</t>
  </si>
  <si>
    <t>ACKERMAN</t>
  </si>
  <si>
    <t>KILLION</t>
  </si>
  <si>
    <t>rtdc.l.rtdc.4018:itc</t>
  </si>
  <si>
    <t>rtdc.l.rtdc.4039:itc</t>
  </si>
  <si>
    <t>BRUDER</t>
  </si>
  <si>
    <t>NEWELL</t>
  </si>
  <si>
    <t>245-03</t>
  </si>
  <si>
    <t>242-03</t>
  </si>
  <si>
    <t>309-03</t>
  </si>
  <si>
    <t>244-03</t>
  </si>
  <si>
    <t>311-03</t>
  </si>
  <si>
    <t>246-03</t>
  </si>
  <si>
    <t>313-03</t>
  </si>
  <si>
    <t>315-03</t>
  </si>
  <si>
    <t>204:232648</t>
  </si>
  <si>
    <t>204:233278</t>
  </si>
  <si>
    <t>204:233301</t>
  </si>
  <si>
    <t>204:233295</t>
  </si>
  <si>
    <t>204:232972</t>
  </si>
  <si>
    <t>204:467</t>
  </si>
  <si>
    <t>204:232967</t>
  </si>
  <si>
    <t>204:233310</t>
  </si>
  <si>
    <t>204:132</t>
  </si>
  <si>
    <t>204:233359</t>
  </si>
  <si>
    <t>204:233325</t>
  </si>
  <si>
    <t>204:1492</t>
  </si>
  <si>
    <t>204:704</t>
  </si>
  <si>
    <t>204:233323</t>
  </si>
  <si>
    <t>300:58619</t>
  </si>
  <si>
    <t>300:58928</t>
  </si>
  <si>
    <t>204:659</t>
  </si>
  <si>
    <t>204:969</t>
  </si>
  <si>
    <t>204:967</t>
  </si>
  <si>
    <t>300:58922</t>
  </si>
  <si>
    <t>204:663</t>
  </si>
  <si>
    <t>300:58933</t>
  </si>
  <si>
    <t>300:58941</t>
  </si>
  <si>
    <t>204:233299</t>
  </si>
  <si>
    <t>204:232957</t>
  </si>
  <si>
    <t>204:203</t>
  </si>
  <si>
    <t>204:174</t>
  </si>
  <si>
    <t>204:232974</t>
  </si>
  <si>
    <t>300:23310</t>
  </si>
  <si>
    <t>At approx 12:31:28.530, EC0618RH 75-1T 1N dropped from 270 to STOP &amp; PROCEED. This seemed like it was undesirable. Do the logs tell us anything out of the ordinary?</t>
  </si>
  <si>
    <t>Time (US/Mountain)</t>
  </si>
  <si>
    <t>Source</t>
  </si>
  <si>
    <t>Employee Identifier</t>
  </si>
  <si>
    <t>Employee Last Name</t>
  </si>
  <si>
    <t>rtdc.l.rtdc.4025:itc</t>
  </si>
  <si>
    <t>101-04</t>
  </si>
  <si>
    <t>rtdc.l.rtdc.4016:itc</t>
  </si>
  <si>
    <t>103-04</t>
  </si>
  <si>
    <t>102-04</t>
  </si>
  <si>
    <t>105-04</t>
  </si>
  <si>
    <t>107-04</t>
  </si>
  <si>
    <t>DAVIS</t>
  </si>
  <si>
    <t>104-04</t>
  </si>
  <si>
    <t>109-04</t>
  </si>
  <si>
    <t>111-04</t>
  </si>
  <si>
    <t>113-04</t>
  </si>
  <si>
    <t>106-04</t>
  </si>
  <si>
    <t>108-04</t>
  </si>
  <si>
    <t>115-04</t>
  </si>
  <si>
    <t>117-04</t>
  </si>
  <si>
    <t>1800-04</t>
  </si>
  <si>
    <t>STARKS</t>
  </si>
  <si>
    <t>110-04</t>
  </si>
  <si>
    <t>rtdc.l.rtdc.4026:itc</t>
  </si>
  <si>
    <t>112-04</t>
  </si>
  <si>
    <t>119-04</t>
  </si>
  <si>
    <t>114-04</t>
  </si>
  <si>
    <t>rtdc.l.rtdc.4015:itc</t>
  </si>
  <si>
    <t>116-04</t>
  </si>
  <si>
    <t>121-04</t>
  </si>
  <si>
    <t>1801-04</t>
  </si>
  <si>
    <t>123-04</t>
  </si>
  <si>
    <t>118-04</t>
  </si>
  <si>
    <t>1802-04</t>
  </si>
  <si>
    <t>125-04</t>
  </si>
  <si>
    <t>120-04</t>
  </si>
  <si>
    <t>127-04</t>
  </si>
  <si>
    <t>122-04</t>
  </si>
  <si>
    <t>129-04</t>
  </si>
  <si>
    <t>1803-04</t>
  </si>
  <si>
    <t>124-04</t>
  </si>
  <si>
    <t>131-04</t>
  </si>
  <si>
    <t>1804-04</t>
  </si>
  <si>
    <t>133-04</t>
  </si>
  <si>
    <t>128-04</t>
  </si>
  <si>
    <t>130-04</t>
  </si>
  <si>
    <t>135-04</t>
  </si>
  <si>
    <t>137-04</t>
  </si>
  <si>
    <t>1805-04</t>
  </si>
  <si>
    <t>132-04</t>
  </si>
  <si>
    <t>139-04</t>
  </si>
  <si>
    <t>OUN</t>
  </si>
  <si>
    <t>134-04</t>
  </si>
  <si>
    <t>1806-04</t>
  </si>
  <si>
    <t>141-04</t>
  </si>
  <si>
    <t>136-04</t>
  </si>
  <si>
    <t>143-04</t>
  </si>
  <si>
    <t>138-04</t>
  </si>
  <si>
    <t>145-04</t>
  </si>
  <si>
    <t>140-04</t>
  </si>
  <si>
    <t>1807-04</t>
  </si>
  <si>
    <t>147-04</t>
  </si>
  <si>
    <t>142-04</t>
  </si>
  <si>
    <t>144-04</t>
  </si>
  <si>
    <t>1808-04</t>
  </si>
  <si>
    <t>149-04</t>
  </si>
  <si>
    <t>151-04</t>
  </si>
  <si>
    <t>146-04</t>
  </si>
  <si>
    <t>153-04</t>
  </si>
  <si>
    <t>1809-04</t>
  </si>
  <si>
    <t>148-04</t>
  </si>
  <si>
    <t>155-04</t>
  </si>
  <si>
    <t>150-04</t>
  </si>
  <si>
    <t>157-04</t>
  </si>
  <si>
    <t>1810-04</t>
  </si>
  <si>
    <t>159-04</t>
  </si>
  <si>
    <t>152-04</t>
  </si>
  <si>
    <t>154-04</t>
  </si>
  <si>
    <t>161-04</t>
  </si>
  <si>
    <t>BARTLETT</t>
  </si>
  <si>
    <t>1811-04</t>
  </si>
  <si>
    <t>156-04</t>
  </si>
  <si>
    <t>158-04</t>
  </si>
  <si>
    <t>163-04</t>
  </si>
  <si>
    <t>1812-04</t>
  </si>
  <si>
    <t>165-04</t>
  </si>
  <si>
    <t>160-04</t>
  </si>
  <si>
    <t>162-04</t>
  </si>
  <si>
    <t>167-04</t>
  </si>
  <si>
    <t>YOUNG</t>
  </si>
  <si>
    <t>169-04</t>
  </si>
  <si>
    <t>164-04</t>
  </si>
  <si>
    <t>1813-04</t>
  </si>
  <si>
    <t>171-04</t>
  </si>
  <si>
    <t>1814-04</t>
  </si>
  <si>
    <t>166-04</t>
  </si>
  <si>
    <t>173-04</t>
  </si>
  <si>
    <t>168-04</t>
  </si>
  <si>
    <t>170-04</t>
  </si>
  <si>
    <t>177-04</t>
  </si>
  <si>
    <t>1815-04</t>
  </si>
  <si>
    <t>172-04</t>
  </si>
  <si>
    <t>179-04</t>
  </si>
  <si>
    <t>1816-04</t>
  </si>
  <si>
    <t>174-04</t>
  </si>
  <si>
    <t>181-04</t>
  </si>
  <si>
    <t>183-04</t>
  </si>
  <si>
    <t>176-04</t>
  </si>
  <si>
    <t>178-04</t>
  </si>
  <si>
    <t>1817-04</t>
  </si>
  <si>
    <t>185-04</t>
  </si>
  <si>
    <t>180-04</t>
  </si>
  <si>
    <t>187-04</t>
  </si>
  <si>
    <t>182-04</t>
  </si>
  <si>
    <t>1818-04</t>
  </si>
  <si>
    <t>189-04</t>
  </si>
  <si>
    <t>184-04</t>
  </si>
  <si>
    <t>191-04</t>
  </si>
  <si>
    <t>1819-04</t>
  </si>
  <si>
    <t>186-04</t>
  </si>
  <si>
    <t>193-04</t>
  </si>
  <si>
    <t>188-04</t>
  </si>
  <si>
    <t>195-04</t>
  </si>
  <si>
    <t>1820-04</t>
  </si>
  <si>
    <t>190-04</t>
  </si>
  <si>
    <t>197-04</t>
  </si>
  <si>
    <t>192-04</t>
  </si>
  <si>
    <t>199-04</t>
  </si>
  <si>
    <t>194-04</t>
  </si>
  <si>
    <t>201-04</t>
  </si>
  <si>
    <t>1821-04</t>
  </si>
  <si>
    <t>196-04</t>
  </si>
  <si>
    <t>203-04</t>
  </si>
  <si>
    <t>198-04</t>
  </si>
  <si>
    <t>1822-04</t>
  </si>
  <si>
    <t>205-04</t>
  </si>
  <si>
    <t>200-04</t>
  </si>
  <si>
    <t>207-04</t>
  </si>
  <si>
    <t>1823-04</t>
  </si>
  <si>
    <t>209-04</t>
  </si>
  <si>
    <t>LEVERE</t>
  </si>
  <si>
    <t>202-04</t>
  </si>
  <si>
    <t>204-04</t>
  </si>
  <si>
    <t>211-04</t>
  </si>
  <si>
    <t>206-04</t>
  </si>
  <si>
    <t>1824-04</t>
  </si>
  <si>
    <t>213-04</t>
  </si>
  <si>
    <t>COOLAHAN</t>
  </si>
  <si>
    <t>215-04</t>
  </si>
  <si>
    <t>208-04</t>
  </si>
  <si>
    <t>1825-04</t>
  </si>
  <si>
    <t>210-04</t>
  </si>
  <si>
    <t>217-04</t>
  </si>
  <si>
    <t>56-04</t>
  </si>
  <si>
    <t>212-04</t>
  </si>
  <si>
    <t>219-04</t>
  </si>
  <si>
    <t>1826-04</t>
  </si>
  <si>
    <t>214-04</t>
  </si>
  <si>
    <t>57-04</t>
  </si>
  <si>
    <t>221-04</t>
  </si>
  <si>
    <t>218-04</t>
  </si>
  <si>
    <t>1827-04</t>
  </si>
  <si>
    <t>223-04</t>
  </si>
  <si>
    <t>220-04</t>
  </si>
  <si>
    <t>1828-04</t>
  </si>
  <si>
    <t>307-04</t>
  </si>
  <si>
    <t>225-04</t>
  </si>
  <si>
    <t>222-04</t>
  </si>
  <si>
    <t>1829-04</t>
  </si>
  <si>
    <t>224-04</t>
  </si>
  <si>
    <t>227-04</t>
  </si>
  <si>
    <t>1830-04</t>
  </si>
  <si>
    <t>226-04</t>
  </si>
  <si>
    <t>229-04</t>
  </si>
  <si>
    <t>1831-04</t>
  </si>
  <si>
    <t>228-04</t>
  </si>
  <si>
    <t>231-04</t>
  </si>
  <si>
    <t>1832-04</t>
  </si>
  <si>
    <t>233-04</t>
  </si>
  <si>
    <t>230-04</t>
  </si>
  <si>
    <t>1833-04</t>
  </si>
  <si>
    <t>232-04</t>
  </si>
  <si>
    <t>235-04</t>
  </si>
  <si>
    <t>1902-04</t>
  </si>
  <si>
    <t>234-04</t>
  </si>
  <si>
    <t>237-04</t>
  </si>
  <si>
    <t>236-04</t>
  </si>
  <si>
    <t>239-04</t>
  </si>
  <si>
    <t>241-04</t>
  </si>
  <si>
    <t>238-04</t>
  </si>
  <si>
    <t>240-04</t>
  </si>
  <si>
    <t>243-04</t>
  </si>
  <si>
    <t>309-04</t>
  </si>
  <si>
    <t>242-04</t>
  </si>
  <si>
    <t>311-04</t>
  </si>
  <si>
    <t>244-04</t>
  </si>
  <si>
    <t>313-04</t>
  </si>
  <si>
    <t>315-04</t>
  </si>
  <si>
    <t>204:653</t>
  </si>
  <si>
    <t>204:233391</t>
  </si>
  <si>
    <t>204:232733</t>
  </si>
  <si>
    <t>204:233339</t>
  </si>
  <si>
    <t>204:232673</t>
  </si>
  <si>
    <t>204:424</t>
  </si>
  <si>
    <t>204:777</t>
  </si>
  <si>
    <t>204:728</t>
  </si>
  <si>
    <t>204:233287</t>
  </si>
  <si>
    <t>204:232979</t>
  </si>
  <si>
    <t>204:763</t>
  </si>
  <si>
    <t>204:233300</t>
  </si>
  <si>
    <t>204:37193</t>
  </si>
  <si>
    <t>204:1264</t>
  </si>
  <si>
    <t>204:233117</t>
  </si>
  <si>
    <t>204:232788</t>
  </si>
  <si>
    <t>204:462</t>
  </si>
  <si>
    <t>204:233101</t>
  </si>
  <si>
    <t>204:232785</t>
  </si>
  <si>
    <t>204:232991</t>
  </si>
  <si>
    <t>204:95686</t>
  </si>
  <si>
    <t>204:86353</t>
  </si>
  <si>
    <t>204:233130</t>
  </si>
  <si>
    <t>204:232798</t>
  </si>
  <si>
    <t>204:233308</t>
  </si>
  <si>
    <t>204:233240</t>
  </si>
  <si>
    <t>204:232984</t>
  </si>
  <si>
    <t>204:233274</t>
  </si>
  <si>
    <t>204:181</t>
  </si>
  <si>
    <t>204:233368</t>
  </si>
  <si>
    <t>204:233009</t>
  </si>
  <si>
    <t>300:57354</t>
  </si>
  <si>
    <t>204:696</t>
  </si>
  <si>
    <t>204:993</t>
  </si>
  <si>
    <t>204:951</t>
  </si>
  <si>
    <t>204:1000</t>
  </si>
  <si>
    <t>300:58609</t>
  </si>
  <si>
    <t>204:757</t>
  </si>
  <si>
    <t>204:1048</t>
  </si>
  <si>
    <t>204:762</t>
  </si>
  <si>
    <t>204:1023</t>
  </si>
  <si>
    <t>204:233311</t>
  </si>
  <si>
    <t>204:724</t>
  </si>
  <si>
    <t>204:1014</t>
  </si>
  <si>
    <t>300:58943</t>
  </si>
  <si>
    <t>204:713</t>
  </si>
  <si>
    <t>204:1020</t>
  </si>
  <si>
    <t>204:708</t>
  </si>
  <si>
    <t>204:1009</t>
  </si>
  <si>
    <t>204:1021</t>
  </si>
  <si>
    <t>300:58960</t>
  </si>
  <si>
    <t>204:664</t>
  </si>
  <si>
    <t>204:965</t>
  </si>
  <si>
    <t>300:58613</t>
  </si>
  <si>
    <t>204:691</t>
  </si>
  <si>
    <t>204:971</t>
  </si>
  <si>
    <t>300:58594</t>
  </si>
  <si>
    <t>204:687</t>
  </si>
  <si>
    <t>300:58598</t>
  </si>
  <si>
    <t>204:668</t>
  </si>
  <si>
    <t>204:684</t>
  </si>
  <si>
    <t>204:489</t>
  </si>
  <si>
    <t>300:58625</t>
  </si>
  <si>
    <t>204:972</t>
  </si>
  <si>
    <t>204:233357</t>
  </si>
  <si>
    <t>204:233049</t>
  </si>
  <si>
    <t>204:233336</t>
  </si>
  <si>
    <t>204:233015</t>
  </si>
  <si>
    <t>300:21850</t>
  </si>
  <si>
    <t>204:127867</t>
  </si>
  <si>
    <t>204:225188</t>
  </si>
  <si>
    <t>204:233364</t>
  </si>
  <si>
    <t>204:155046</t>
  </si>
  <si>
    <t>204:73062</t>
  </si>
  <si>
    <t>204:233283</t>
  </si>
  <si>
    <t>204:232968</t>
  </si>
  <si>
    <t>204:232978</t>
  </si>
  <si>
    <t>204:193645</t>
  </si>
  <si>
    <t>204:325</t>
  </si>
  <si>
    <t>204:528</t>
  </si>
  <si>
    <t>204:183</t>
  </si>
  <si>
    <t>204:1481</t>
  </si>
  <si>
    <t>204:54771</t>
  </si>
  <si>
    <t>204:64704</t>
  </si>
  <si>
    <t>204:233306</t>
  </si>
  <si>
    <t>204:55480</t>
  </si>
  <si>
    <t>204:64682</t>
  </si>
  <si>
    <t>204:232938</t>
  </si>
  <si>
    <t>204:24729</t>
  </si>
  <si>
    <t>204:56174</t>
  </si>
  <si>
    <t>204:86375</t>
  </si>
  <si>
    <t>204:1490</t>
  </si>
  <si>
    <t>204:1989</t>
  </si>
  <si>
    <t>204:502</t>
  </si>
  <si>
    <t>204:54724</t>
  </si>
  <si>
    <t>204:37182</t>
  </si>
  <si>
    <t>204:64677</t>
  </si>
  <si>
    <t>204:232981</t>
  </si>
  <si>
    <t>204:233329</t>
  </si>
  <si>
    <t>204:109</t>
  </si>
  <si>
    <t>204:233234</t>
  </si>
  <si>
    <t>204:232915</t>
  </si>
  <si>
    <t>204:176</t>
  </si>
  <si>
    <t>204:192</t>
  </si>
  <si>
    <t>204:422</t>
  </si>
  <si>
    <t>204:105213</t>
  </si>
  <si>
    <t>204:86351</t>
  </si>
  <si>
    <t>204:488</t>
  </si>
  <si>
    <t>300:23306</t>
  </si>
  <si>
    <t>300:22113</t>
  </si>
  <si>
    <t>204:504</t>
  </si>
  <si>
    <t>300:23064</t>
  </si>
  <si>
    <t>204:446</t>
  </si>
  <si>
    <t>300:23308</t>
  </si>
  <si>
    <t>300:22856</t>
  </si>
  <si>
    <t>204:1488</t>
  </si>
  <si>
    <t>204:641</t>
  </si>
  <si>
    <t>DUS 4N was STOP because 22N was STOP</t>
  </si>
  <si>
    <t>Wi-MAX outage</t>
  </si>
  <si>
    <t>78th 4S stuck at STOP… possible equipment failure?</t>
  </si>
  <si>
    <t>At approx 16:43:01, 78th 4S downgraded from PROCEED CAB to STOP, and stayed that way for at least the next 5 minutes. Seems like this wasn't desired, and dispatcher had to talk the train past the signal. Any ideas after looking at logs?</t>
  </si>
  <si>
    <t>Power Outage across EC</t>
  </si>
  <si>
    <t>Sand Creek 4S needed to wait until Ulster gates were down to clear?</t>
  </si>
  <si>
    <t>At 17:43:16, a clear control was sent to Sand Creek 4S. Did not clear until 17:46:41. Is this by design since the signal was waiting for Ulster (and maybe other crossings) gates to finish?</t>
  </si>
  <si>
    <t>Pena 2N premature downgrade</t>
  </si>
  <si>
    <t>Pena 2N dropped from PROCEED CAB to STOP at approx 17:40:14. The train had not yet gone past the signal (it was about to). Do we have an OS circuit issue here, or does anything else seem out of the ordinary?</t>
  </si>
  <si>
    <t>Quebec 2N signal unable to clear</t>
  </si>
  <si>
    <t>EC0286RH 21-1T 1N was STOP &amp; PROCEED.</t>
  </si>
  <si>
    <t>Departure from DUS Main 3</t>
  </si>
  <si>
    <t>NW0376RH was briefly unavailable</t>
  </si>
  <si>
    <t>40th 4S STOP, cleared shortly</t>
  </si>
  <si>
    <t>Power outage across EC</t>
  </si>
  <si>
    <t>Overspeed</t>
  </si>
  <si>
    <t>Premature downgrade at EC2108RH 205-1T 1N</t>
  </si>
  <si>
    <t>At approx 05:35:01,  EC2108RH 205-1T 1N dropped from 270 to STOP &amp; PROCEED. Do the logs tell us anything out of the ordinary?</t>
  </si>
  <si>
    <t>This location was not beaconing wayside statuses from 09:01 to 10:04. Was it down for maintenance?</t>
  </si>
  <si>
    <t>Human Readable Time</t>
  </si>
  <si>
    <t>ozone</t>
  </si>
  <si>
    <t>temperature</t>
  </si>
  <si>
    <t>icon</t>
  </si>
  <si>
    <t>precipType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</si>
  <si>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</si>
  <si>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</si>
  <si>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</si>
  <si>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</si>
  <si>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</si>
  <si>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</si>
  <si>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</si>
  <si>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</si>
  <si>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</si>
  <si>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</si>
  <si>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dewPoint</t>
  </si>
  <si>
    <t>precipProbability</t>
  </si>
  <si>
    <t>clear-night</t>
  </si>
  <si>
    <t>rain</t>
  </si>
  <si>
    <t>Clear</t>
  </si>
  <si>
    <t>clear-day</t>
  </si>
  <si>
    <t>partly-cloudy-day</t>
  </si>
  <si>
    <t>Partly Cloudy</t>
  </si>
  <si>
    <t>Summary for DUS 2016-09-04: Clear throughout the day.</t>
  </si>
  <si>
    <t>Powered by Forecast [forecast.io]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</si>
</sst>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0" fontId="10" fillId="0" borderId="0"/>
  </cellStyleXfs>
  <cellXfs count="16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1" xfId="0" applyFill="1" applyBorder="1" applyAlignment="1">
      <alignment vertical="center"/>
    </xf>
    <xf numFmtId="169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169" fontId="0" fillId="0" borderId="0" xfId="0" applyAlignment="1"/>
    <xf numFmtId="169" fontId="0" fillId="0" borderId="14" xfId="0" applyBorder="1" applyAlignment="1">
      <alignment vertical="center"/>
    </xf>
    <xf numFmtId="169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" fontId="1" fillId="0" borderId="0" xfId="0" applyNumberFormat="1" applyFont="1" applyBorder="1"/>
    <xf numFmtId="169" fontId="0" fillId="9" borderId="0" xfId="0" applyFill="1"/>
    <xf numFmtId="0" fontId="1" fillId="0" borderId="0" xfId="3" applyFont="1"/>
    <xf numFmtId="0" fontId="10" fillId="0" borderId="0" xfId="3"/>
    <xf numFmtId="0" fontId="12" fillId="0" borderId="0" xfId="0" applyNumberFormat="1" applyFont="1"/>
    <xf numFmtId="0" fontId="10" fillId="0" borderId="0" xfId="3" applyNumberFormat="1"/>
    <xf numFmtId="0" fontId="0" fillId="0" borderId="0" xfId="3" applyFont="1"/>
    <xf numFmtId="0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0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352425</xdr:colOff>
          <xdr:row>1</xdr:row>
          <xdr:rowOff>28575</xdr:rowOff>
        </xdr:from>
        <xdr:to>
          <xdr:col>13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28"/>
  <sheetViews>
    <sheetView topLeftCell="A106" zoomScaleNormal="100" workbookViewId="0">
      <selection activeCell="R4" sqref="R4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4.7109375" style="2" customWidth="1"/>
    <col min="16" max="16" width="4" style="2" customWidth="1"/>
    <col min="17" max="17" width="5.85546875" hidden="1" customWidth="1"/>
    <col min="18" max="18" width="34.28515625" customWidth="1"/>
    <col min="19" max="19" width="7.7109375" style="23" customWidth="1"/>
    <col min="20" max="20" width="3.85546875" customWidth="1"/>
    <col min="21" max="21" width="5" style="114" customWidth="1"/>
    <col min="22" max="22" width="5.7109375" style="104" customWidth="1"/>
    <col min="23" max="23" width="3.85546875" style="22" customWidth="1"/>
    <col min="24" max="24" width="5.28515625" style="118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41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121</v>
      </c>
      <c r="J1" s="43"/>
      <c r="K1" s="30"/>
      <c r="L1" s="30"/>
      <c r="M1" s="42"/>
      <c r="N1" s="43"/>
      <c r="O1" s="2"/>
      <c r="P1" s="2"/>
      <c r="R1" s="40" t="s">
        <v>122</v>
      </c>
      <c r="S1" s="43"/>
      <c r="T1" s="30"/>
      <c r="U1" s="121"/>
      <c r="V1" s="42"/>
      <c r="W1" s="43"/>
      <c r="X1" s="114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42617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42617</v>
      </c>
      <c r="S2" s="79"/>
      <c r="T2" s="80"/>
      <c r="U2" s="122"/>
      <c r="V2" s="102" t="s">
        <v>8</v>
      </c>
      <c r="W2" s="82"/>
      <c r="X2" s="115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23"/>
      <c r="V3" s="44" t="s">
        <v>11</v>
      </c>
      <c r="W3" s="45" t="s">
        <v>12</v>
      </c>
      <c r="X3" s="116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139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34</v>
      </c>
      <c r="T4" s="46"/>
      <c r="U4" s="124"/>
      <c r="V4" s="47" t="s">
        <v>15</v>
      </c>
      <c r="W4" s="45" t="s">
        <v>15</v>
      </c>
      <c r="X4" s="116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COUNTIFS($N$13:$N$9383,"&gt;0",$AG$13:$AG$9383,I1)</f>
        <v>125</v>
      </c>
      <c r="K5" s="46"/>
      <c r="L5" s="46"/>
      <c r="M5" s="47">
        <f>AVERAGEIFS($N$13:$N$9383,$AG$13:$AG$9383,I1)</f>
        <v>39.316133332774044</v>
      </c>
      <c r="N5" s="45">
        <f t="array" ref="N5">MIN(IF($AG$13:$AG$9383=I1,IF(ISNUMBER($N$13:$N$9383),IF($N$13:$N$9383&gt;0,$N$13:$N$9383))))</f>
        <v>34.333333333488554</v>
      </c>
      <c r="O5" s="3">
        <f t="array" ref="O5">MAX(IF($AG$13:$AG$9383=I1,IF(ISNUMBER($N$13:$N$9383),IF($N$13:$N$9383&gt;0,$N$13:$N$9383))))</f>
        <v>51.300000005867332</v>
      </c>
      <c r="P5" s="2"/>
      <c r="R5" s="87" t="s">
        <v>17</v>
      </c>
      <c r="S5" s="57">
        <f>COUNTIFS($N$13:$N$9383,"&gt;0",$AG$13:$AG$9383,R1)</f>
        <v>34</v>
      </c>
      <c r="T5" s="46"/>
      <c r="U5" s="124"/>
      <c r="V5" s="47">
        <f>AVERAGEIFS($N$13:$N$9383,$AG$13:$AG$9383,R1)</f>
        <v>15.545588234843521</v>
      </c>
      <c r="W5" s="45">
        <f t="array" ref="W5">MIN(IF($AG$13:$AG$9383=R1,IF(ISNUMBER($N$13:$N$9383),IF($N$13:$N$9383&gt;0,$N$13:$N$9383))))</f>
        <v>13.266666666604578</v>
      </c>
      <c r="X5" s="116">
        <f t="array" ref="X5">MAX(IF($AG$13:$AG$9383=R1,IF(ISNUMBER($N$13:$N$9383),IF($N$13:$N$9383&gt;0,$N$13:$N$9383))))</f>
        <v>18.78333333414048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COUNT($O$13:$O$151)</f>
        <v>0</v>
      </c>
      <c r="K6" s="46"/>
      <c r="L6" s="46"/>
      <c r="M6" s="47">
        <f>IFERROR(AVERAGE($O$13:$O$151),0)</f>
        <v>0</v>
      </c>
      <c r="N6" s="45">
        <f>MIN($O$13:$O$151)</f>
        <v>0</v>
      </c>
      <c r="O6" s="3">
        <f>MAX($O$13:$O$151)</f>
        <v>0</v>
      </c>
      <c r="P6" s="2"/>
      <c r="R6" s="88" t="s">
        <v>43</v>
      </c>
      <c r="S6" s="57">
        <f>COUNT($O$13:$O$151)</f>
        <v>0</v>
      </c>
      <c r="T6" s="46"/>
      <c r="U6" s="124"/>
      <c r="V6" s="47">
        <f>IFERROR(AVERAGE($O$13:$O$151),0)</f>
        <v>0</v>
      </c>
      <c r="W6" s="45">
        <f>MIN($O$13:$O$151)</f>
        <v>0</v>
      </c>
      <c r="X6" s="116">
        <f>MAX($O$13:$O$151)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COUNTIFS($P$13:$P$9383,"&gt;0",$AG$13:$AG$9383,I1)</f>
        <v>14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COUNTIFS($P$13:$P$9383,"&gt;0",$AG$13:$AG$9383,R1)</f>
        <v>0</v>
      </c>
      <c r="T7" s="46"/>
      <c r="U7" s="124"/>
      <c r="V7" s="47" t="s">
        <v>15</v>
      </c>
      <c r="W7" s="45" t="s">
        <v>15</v>
      </c>
      <c r="X7" s="116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125</v>
      </c>
      <c r="K8" s="46"/>
      <c r="L8" s="46"/>
      <c r="M8" s="47">
        <f>M5</f>
        <v>39.316133332774044</v>
      </c>
      <c r="N8" s="45">
        <f>N5</f>
        <v>34.333333333488554</v>
      </c>
      <c r="O8" s="3">
        <f>O5</f>
        <v>51.300000005867332</v>
      </c>
      <c r="P8" s="2"/>
      <c r="R8" s="87" t="s">
        <v>16</v>
      </c>
      <c r="S8" s="57">
        <f>S5</f>
        <v>34</v>
      </c>
      <c r="T8" s="46"/>
      <c r="U8" s="124"/>
      <c r="V8" s="47">
        <f>V5</f>
        <v>15.545588234843521</v>
      </c>
      <c r="W8" s="45">
        <f>W5</f>
        <v>13.266666666604578</v>
      </c>
      <c r="X8" s="116">
        <f>X5</f>
        <v>18.78333333414048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0.89928057553956831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1</v>
      </c>
      <c r="T9" s="48"/>
      <c r="U9" s="121"/>
      <c r="V9" s="90"/>
      <c r="W9" s="43"/>
      <c r="X9" s="117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14"/>
      <c r="V10" s="103"/>
      <c r="W10" s="22"/>
      <c r="X10" s="118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64" t="str">
        <f>"Eagle P3 System Performance - "&amp;TEXT(Variables!A2,"yyyy-mm-dd")</f>
        <v>Eagle P3 System Performance - 2016-09-04</v>
      </c>
      <c r="B11" s="164"/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S11" s="72">
        <f>AVERAGE(S13:S101)</f>
        <v>0.98579545454545459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25" t="s">
        <v>71</v>
      </c>
      <c r="V12" s="105" t="s">
        <v>45</v>
      </c>
      <c r="W12" s="53" t="s">
        <v>23</v>
      </c>
      <c r="X12" s="119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94</v>
      </c>
      <c r="AE12" s="98" t="s">
        <v>101</v>
      </c>
      <c r="AF12" s="95" t="s">
        <v>106</v>
      </c>
      <c r="AG12" s="4" t="s">
        <v>123</v>
      </c>
      <c r="AH12" s="101" t="s">
        <v>126</v>
      </c>
      <c r="AI12" s="148" t="s">
        <v>211</v>
      </c>
      <c r="AJ12" s="53" t="s">
        <v>212</v>
      </c>
      <c r="AK12" s="53" t="s">
        <v>184</v>
      </c>
      <c r="AL12" s="53" t="s">
        <v>213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369</v>
      </c>
      <c r="B13" s="7">
        <v>4025</v>
      </c>
      <c r="C13" s="24" t="s">
        <v>112</v>
      </c>
      <c r="D13" s="24" t="s">
        <v>266</v>
      </c>
      <c r="E13" s="15">
        <v>42617.128831018519</v>
      </c>
      <c r="F13" s="15">
        <v>42617.137418981481</v>
      </c>
      <c r="G13" s="7">
        <v>1</v>
      </c>
      <c r="H13" s="15" t="s">
        <v>337</v>
      </c>
      <c r="I13" s="15">
        <v>42617.161944444444</v>
      </c>
      <c r="J13" s="7">
        <v>0</v>
      </c>
      <c r="K13" s="132" t="str">
        <f t="shared" ref="K13:K43" si="0">IF(ISEVEN(B13),(B13-1)&amp;"/"&amp;B13,B13&amp;"/"&amp;(B13+1))</f>
        <v>4025/4026</v>
      </c>
      <c r="L13" s="24" t="str">
        <f>VLOOKUP(A13,'Trips&amp;Operators'!$C$1:$E$10000,3,FALSE)</f>
        <v>KILLION</v>
      </c>
      <c r="M13" s="6">
        <f t="shared" ref="M13:M43" si="1">I13-F13</f>
        <v>2.4525462962628808E-2</v>
      </c>
      <c r="N13" s="7">
        <f t="shared" ref="N13:N36" si="2">24*60*SUM($M13:$M13)</f>
        <v>35.316666666185483</v>
      </c>
      <c r="O13" s="7"/>
      <c r="P13" s="7"/>
      <c r="Q13" s="25"/>
      <c r="R13" s="25"/>
      <c r="S13" s="37">
        <f t="shared" ref="S13:S47" si="3">SUM(U13:U13)/IF(AG13="EC",12,1)</f>
        <v>1</v>
      </c>
      <c r="T13" s="52" t="str">
        <f t="shared" ref="T13:T43" si="4">IF(ISEVEN(LEFT(AD13,4)),"Southbound","NorthBound")</f>
        <v>NorthBound</v>
      </c>
      <c r="U13" s="12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43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https://search-rtdc-monitor-bjffxe2xuh6vdkpspy63sjmuny.us-east-1.es.amazonaws.com/_plugin/kibana/#/discover/Steve-Slow-Train-Analysis-(2080s-and-2083s)?_g=(refreshInterval:(display:Off,section:0,value:0),time:(from:'2016-09-04 02:05:31-0600',mode:absolute,to:'2016-09-04 04:53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3" s="54" t="str">
        <f t="shared" ref="W13:W43" si="6">IF(AA13&lt;IF(AG13="EC",23,5.65),"Y","N")</f>
        <v>N</v>
      </c>
      <c r="X13" s="120" t="e">
        <f t="shared" ref="X13:X43" si="7">VALUE(LEFT(AD13,4))-VALUE(LEFT(AD12,4))</f>
        <v>#VALUE!</v>
      </c>
      <c r="Y13" s="69">
        <f t="shared" ref="Y13:Y43" si="8">RIGHT(D13,LEN(D13)-4)/10000</f>
        <v>7.5200000000000003E-2</v>
      </c>
      <c r="Z13" s="69">
        <f t="shared" ref="Z13:Z43" si="9">RIGHT(H13,LEN(H13)-4)/10000</f>
        <v>23.329499999999999</v>
      </c>
      <c r="AA13" s="69">
        <f t="shared" ref="AA13:AA43" si="10">ABS(Z13-Y13)</f>
        <v>23.254300000000001</v>
      </c>
      <c r="AB13" s="66" t="e">
        <f>VLOOKUP(A13,Enforcements!$C$7:$J$21,8,0)</f>
        <v>#N/A</v>
      </c>
      <c r="AC13" s="62" t="e">
        <f>VLOOKUP(A13,Enforcements!$C$7:$E$21,3,0)</f>
        <v>#N/A</v>
      </c>
      <c r="AD13" s="63" t="str">
        <f t="shared" ref="AD13:AD43" si="11">IF(LEN(A13)=6,"0"&amp;A13,A13)</f>
        <v>0101-04</v>
      </c>
      <c r="AE13" s="99" t="str">
        <f t="shared" ref="AE13:AE43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s3://rtdc.mdm.uploadarchive/RTDC4025/2016-09-04/ "%USERPROFILE%\AppData\Local\Temp\OnboardLogs"\RTDC4025\2016-09-04 --recursive &amp; "%USERPROFILE%\Documents\GitHub\mrs-test-scripts\Headless Mode &amp; Sideloading\WalkAndUnGZ.bat" "%USERPROFILE%\AppData\Local\Temp\OnboardLogs"\RTDC4025\2016-09-04 &amp; 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</v>
      </c>
      <c r="AF13" s="96" t="str">
        <f t="shared" ref="AF13:AF43" si="13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/stypes="*4025*20160904*" /stext=" 09:.+((SYSTEM_STATE.+slice.+state.+changed )|(ment ac)|(system.+state.+changed )|(\|lc)|(penalty)|(\[timeout)|(PRM\|1\|D)|(kpr)|(kdp))" /e /r /s</v>
      </c>
      <c r="AG13" s="1" t="str">
        <f t="shared" ref="AG13:AG43" si="14">IFERROR(IF(VALUE(LEFT(AD13,2))&lt;=2,"EC",IF(OR(VALUE(LEFT(AD13,2))=8,VALUE(LEFT(AD13,2))=18),"NW","Other")),"Other")</f>
        <v>EC</v>
      </c>
      <c r="AH13" s="100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101-04 --locoid 4025 --swversion DE.1.0.7.0 --startMP 204:752 --initTime 2016-09-04T03:05:31 --startdatetime 2016-09-04T03:17:53 --delay 1 --endMP 204:233295 --enddatetime 2016-09-04T03:53:12 --enforcementcount 0 &gt;&gt;C:\Users\stu\Documents\GitHub\eaglep3-reporting\EC\2016-09-04-refined-times.txt</v>
      </c>
      <c r="AI13" s="14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{"issue":{"subject":"","project_id":79,"tracker_id":40,"status_id":1,"priority_id":2,"assigned_to_id":23,"start_date":"2016-09-04","description":"","custom_fields":[{"id":1,"name":"Subdivision","value":"EC"},{"id":4,"name":"Milepost","value":"23.2543"},{"id":17,"name":"Train ID","value":"101-04"},{"id":16,"name":"Locomotive ID","value":"4025"},{"id":130,"name":"Impact","value":""},{"id":150,"name":"Time of Event (Mountain Time)","value":"03:53:12"},{"id":151,"name":"Denver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372</v>
      </c>
      <c r="B14" s="7">
        <v>4010</v>
      </c>
      <c r="C14" s="24" t="s">
        <v>112</v>
      </c>
      <c r="D14" s="24" t="s">
        <v>334</v>
      </c>
      <c r="E14" s="15">
        <v>42617.167210648149</v>
      </c>
      <c r="F14" s="15">
        <v>42617.174513888887</v>
      </c>
      <c r="G14" s="7">
        <v>1</v>
      </c>
      <c r="H14" s="15" t="s">
        <v>149</v>
      </c>
      <c r="I14" s="15">
        <v>42617.201342592591</v>
      </c>
      <c r="J14" s="7">
        <v>0</v>
      </c>
      <c r="K14" s="132" t="str">
        <f t="shared" si="0"/>
        <v>4009/4010</v>
      </c>
      <c r="L14" s="24" t="str">
        <f>VLOOKUP(A14,'Trips&amp;Operators'!$C$1:$E$10000,3,FALSE)</f>
        <v>KILLION</v>
      </c>
      <c r="M14" s="6">
        <f t="shared" si="1"/>
        <v>2.6828703703358769E-2</v>
      </c>
      <c r="N14" s="7">
        <f t="shared" si="2"/>
        <v>38.633333332836628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2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https://search-rtdc-monitor-bjffxe2xuh6vdkpspy63sjmuny.us-east-1.es.amazonaws.com/_plugin/kibana/#/discover/Steve-Slow-Train-Analysis-(2080s-and-2083s)?_g=(refreshInterval:(display:Off,section:0,value:0),time:(from:'2016-09-04 03:00:47-0600',mode:absolute,to:'2016-09-04 05:49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4" s="54" t="str">
        <f t="shared" si="6"/>
        <v>N</v>
      </c>
      <c r="X14" s="120">
        <f t="shared" si="7"/>
        <v>1</v>
      </c>
      <c r="Y14" s="69">
        <f t="shared" si="8"/>
        <v>23.264800000000001</v>
      </c>
      <c r="Z14" s="69">
        <f t="shared" si="9"/>
        <v>1.54E-2</v>
      </c>
      <c r="AA14" s="69">
        <f t="shared" si="10"/>
        <v>23.249400000000001</v>
      </c>
      <c r="AB14" s="66" t="e">
        <f>VLOOKUP(A14,Enforcements!$C$7:$J$21,8,0)</f>
        <v>#N/A</v>
      </c>
      <c r="AC14" s="62" t="e">
        <f>VLOOKUP(A14,Enforcements!$C$7:$E$21,3,0)</f>
        <v>#N/A</v>
      </c>
      <c r="AD14" s="63" t="str">
        <f t="shared" si="11"/>
        <v>0102-04</v>
      </c>
      <c r="AE14" s="99" t="str">
        <f t="shared" si="12"/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AF14" s="96" t="str">
        <f t="shared" si="13"/>
        <v>"C:\Program Files (x86)\AstroGrep\AstroGrep.exe" /spath="%USERPROFILE%\AppData\Local\Temp\OnboardLogs" /stypes="*4010*20160904*"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0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102-04 --locoid 4010 --swversion DE.1.0.7.0 --startMP 204:232648 --initTime 2016-09-04T04:00:47 --startdatetime 2016-09-04T04:11:18 --delay 1 --endMP 204:154 --enddatetime 2016-09-04T04:49:56 --enforcementcount 0 &gt;&gt;C:\Users\stu\Documents\GitHub\eaglep3-reporting\EC\2016-09-04-refined-times.txt</v>
      </c>
      <c r="AI14" s="149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{"issue":{"subject":"","project_id":79,"tracker_id":40,"status_id":1,"priority_id":2,"assigned_to_id":23,"start_date":"2016-09-04","description":"","custom_fields":[{"id":1,"name":"Subdivision","value":"EC"},{"id":4,"name":"Milepost","value":"23.2494"},{"id":17,"name":"Train ID","value":"102-04"},{"id":16,"name":"Locomotive ID","value":"4010"},{"id":130,"name":"Impact","value":""},{"id":150,"name":"Time of Event (Mountain Time)","value":"04:49:56"},{"id":151,"name":"Denver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371</v>
      </c>
      <c r="B15" s="7">
        <v>4016</v>
      </c>
      <c r="C15" s="24" t="s">
        <v>112</v>
      </c>
      <c r="D15" s="24" t="s">
        <v>562</v>
      </c>
      <c r="E15" s="15">
        <v>42617.150706018518</v>
      </c>
      <c r="F15" s="15">
        <v>42617.156574074077</v>
      </c>
      <c r="G15" s="7">
        <v>2</v>
      </c>
      <c r="H15" s="15" t="s">
        <v>563</v>
      </c>
      <c r="I15" s="15">
        <v>42617.181701388887</v>
      </c>
      <c r="J15" s="7">
        <v>0</v>
      </c>
      <c r="K15" s="132" t="str">
        <f t="shared" si="0"/>
        <v>4015/4016</v>
      </c>
      <c r="L15" s="24" t="str">
        <f>VLOOKUP(A15,'Trips&amp;Operators'!$C$1:$E$10000,3,FALSE)</f>
        <v>ACKERMAN</v>
      </c>
      <c r="M15" s="6">
        <f t="shared" si="1"/>
        <v>2.512731480965158E-2</v>
      </c>
      <c r="N15" s="7">
        <f t="shared" si="2"/>
        <v>36.183333325898275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2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https://search-rtdc-monitor-bjffxe2xuh6vdkpspy63sjmuny.us-east-1.es.amazonaws.com/_plugin/kibana/#/discover/Steve-Slow-Train-Analysis-(2080s-and-2083s)?_g=(refreshInterval:(display:Off,section:0,value:0),time:(from:'2016-09-04 02:37:01-0600',mode:absolute,to:'2016-09-04 05:21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15" s="54" t="str">
        <f t="shared" si="6"/>
        <v>N</v>
      </c>
      <c r="X15" s="120">
        <f t="shared" si="7"/>
        <v>1</v>
      </c>
      <c r="Y15" s="69">
        <f t="shared" si="8"/>
        <v>6.5299999999999997E-2</v>
      </c>
      <c r="Z15" s="69">
        <f t="shared" si="9"/>
        <v>23.339099999999998</v>
      </c>
      <c r="AA15" s="69">
        <f t="shared" si="10"/>
        <v>23.273799999999998</v>
      </c>
      <c r="AB15" s="66" t="e">
        <f>VLOOKUP(A15,Enforcements!$C$7:$J$21,8,0)</f>
        <v>#N/A</v>
      </c>
      <c r="AC15" s="62" t="e">
        <f>VLOOKUP(A15,Enforcements!$C$7:$E$21,3,0)</f>
        <v>#N/A</v>
      </c>
      <c r="AD15" s="63" t="str">
        <f t="shared" si="11"/>
        <v>0103-04</v>
      </c>
      <c r="AE15" s="99" t="str">
        <f t="shared" si="12"/>
        <v>aws s3 cp s3://rtdc.mdm.uploadarchive/RTDC4016/2016-09-04/ "%USERPROFILE%\AppData\Local\Temp\OnboardLogs"\RTDC4016\2016-09-04 --recursive &amp; "%USERPROFILE%\Documents\GitHub\mrs-test-scripts\Headless Mode &amp; Sideloading\WalkAndUnGZ.bat" "%USERPROFILE%\AppData\Local\Temp\OnboardLogs"\RTDC4016\2016-09-04 &amp; 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</v>
      </c>
      <c r="AF15" s="96" t="str">
        <f t="shared" si="13"/>
        <v>"C:\Program Files (x86)\AstroGrep\AstroGrep.exe" /spath="%USERPROFILE%\AppData\Local\Temp\OnboardLogs" /stypes="*4016*20160904*"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0" t="str">
        <f t="shared" si="17"/>
        <v>"%USERPROFILE%\Documents\GitHub\eaglep3\Utilities\RefineRTDCRunTimes.py" --tripid 103-04 --locoid 4016 --swversion DE.1.0.7.0 --startMP 204:653 --initTime 2016-09-04T03:37:01 --startdatetime 2016-09-04T03:45:28 --delay 2 --endMP 204:233391 --enddatetime 2016-09-04T04:21:39 --enforcementcount 0 &gt;&gt;C:\Users\stu\Documents\GitHub\eaglep3-reporting\EC\2016-09-04-refined-times.txt</v>
      </c>
      <c r="AI15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{"issue":{"subject":"","project_id":79,"tracker_id":40,"status_id":1,"priority_id":2,"assigned_to_id":23,"start_date":"2016-09-04","description":"","custom_fields":[{"id":1,"name":"Subdivision","value":"EC"},{"id":4,"name":"Milepost","value":"23.2738"},{"id":17,"name":"Train ID","value":"103-04"},{"id":16,"name":"Locomotive ID","value":"4016"},{"id":130,"name":"Impact","value":""},{"id":150,"name":"Time of Event (Mountain Time)","value":"04:21:39"},{"id":151,"name":"Denver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376</v>
      </c>
      <c r="B16" s="7">
        <v>4032</v>
      </c>
      <c r="C16" s="24" t="s">
        <v>112</v>
      </c>
      <c r="D16" s="24" t="s">
        <v>564</v>
      </c>
      <c r="E16" s="15">
        <v>42617.189583333333</v>
      </c>
      <c r="F16" s="15">
        <v>42617.195381944446</v>
      </c>
      <c r="G16" s="7">
        <v>1</v>
      </c>
      <c r="H16" s="15" t="s">
        <v>250</v>
      </c>
      <c r="I16" s="15">
        <v>42617.222939814812</v>
      </c>
      <c r="J16" s="7">
        <v>0</v>
      </c>
      <c r="K16" s="132" t="str">
        <f t="shared" si="0"/>
        <v>4031/4032</v>
      </c>
      <c r="L16" s="24" t="str">
        <f>VLOOKUP(A16,'Trips&amp;Operators'!$C$1:$E$10000,3,FALSE)</f>
        <v>ACKERMAN</v>
      </c>
      <c r="M16" s="6">
        <f t="shared" si="1"/>
        <v>2.7557870365853887E-2</v>
      </c>
      <c r="N16" s="7">
        <f t="shared" si="2"/>
        <v>39.683333326829597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2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https://search-rtdc-monitor-bjffxe2xuh6vdkpspy63sjmuny.us-east-1.es.amazonaws.com/_plugin/kibana/#/discover/Steve-Slow-Train-Analysis-(2080s-and-2083s)?_g=(refreshInterval:(display:Off,section:0,value:0),time:(from:'2016-09-04 03:33:00-0600',mode:absolute,to:'2016-09-04 06:21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6" s="54" t="str">
        <f t="shared" si="6"/>
        <v>N</v>
      </c>
      <c r="X16" s="120">
        <f t="shared" si="7"/>
        <v>1</v>
      </c>
      <c r="Y16" s="69">
        <f t="shared" si="8"/>
        <v>23.273299999999999</v>
      </c>
      <c r="Z16" s="69">
        <f t="shared" si="9"/>
        <v>1.38E-2</v>
      </c>
      <c r="AA16" s="69">
        <f t="shared" si="10"/>
        <v>23.259499999999999</v>
      </c>
      <c r="AB16" s="66" t="e">
        <f>VLOOKUP(A16,Enforcements!$C$7:$J$21,8,0)</f>
        <v>#N/A</v>
      </c>
      <c r="AC16" s="62" t="e">
        <f>VLOOKUP(A16,Enforcements!$C$7:$E$21,3,0)</f>
        <v>#N/A</v>
      </c>
      <c r="AD16" s="63" t="str">
        <f t="shared" si="11"/>
        <v>0104-04</v>
      </c>
      <c r="AE16" s="99" t="str">
        <f t="shared" si="12"/>
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</c>
      <c r="AF16" s="96" t="str">
        <f t="shared" si="13"/>
        <v>"C:\Program Files (x86)\AstroGrep\AstroGrep.exe" /spath="%USERPROFILE%\AppData\Local\Temp\OnboardLogs" /stypes="*4032*20160904*"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0" t="str">
        <f t="shared" si="17"/>
        <v>"%USERPROFILE%\Documents\GitHub\eaglep3\Utilities\RefineRTDCRunTimes.py" --tripid 104-04 --locoid 4032 --swversion DE.1.0.7.0 --startMP 204:232733 --initTime 2016-09-04T04:33:00 --startdatetime 2016-09-04T04:41:21 --delay 1 --endMP 204:138 --enddatetime 2016-09-04T05:21:02 --enforcementcount 0 &gt;&gt;C:\Users\stu\Documents\GitHub\eaglep3-reporting\EC\2016-09-04-refined-times.txt</v>
      </c>
      <c r="AI16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{"issue":{"subject":"","project_id":79,"tracker_id":40,"status_id":1,"priority_id":2,"assigned_to_id":23,"start_date":"2016-09-04","description":"","custom_fields":[{"id":1,"name":"Subdivision","value":"EC"},{"id":4,"name":"Milepost","value":"23.2595"},{"id":17,"name":"Train ID","value":"104-04"},{"id":16,"name":"Locomotive ID","value":"4032"},{"id":130,"name":"Impact","value":""},{"id":150,"name":"Time of Event (Mountain Time)","value":"05:21:02"},{"id":151,"name":"Denver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373</v>
      </c>
      <c r="B17" s="7">
        <v>4018</v>
      </c>
      <c r="C17" s="24" t="s">
        <v>112</v>
      </c>
      <c r="D17" s="24" t="s">
        <v>346</v>
      </c>
      <c r="E17" s="15">
        <v>42617.169618055559</v>
      </c>
      <c r="F17" s="15">
        <v>42617.177314814813</v>
      </c>
      <c r="G17" s="7">
        <v>1</v>
      </c>
      <c r="H17" s="15" t="s">
        <v>565</v>
      </c>
      <c r="I17" s="15">
        <v>42617.203217592592</v>
      </c>
      <c r="J17" s="7">
        <v>0</v>
      </c>
      <c r="K17" s="132" t="str">
        <f t="shared" si="0"/>
        <v>4017/4018</v>
      </c>
      <c r="L17" s="24" t="str">
        <f>VLOOKUP(A17,'Trips&amp;Operators'!$C$1:$E$10000,3,FALSE)</f>
        <v>MAELZER</v>
      </c>
      <c r="M17" s="6">
        <f t="shared" si="1"/>
        <v>2.5902777779265307E-2</v>
      </c>
      <c r="N17" s="7">
        <f t="shared" si="2"/>
        <v>37.300000002142042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2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https://search-rtdc-monitor-bjffxe2xuh6vdkpspy63sjmuny.us-east-1.es.amazonaws.com/_plugin/kibana/#/discover/Steve-Slow-Train-Analysis-(2080s-and-2083s)?_g=(refreshInterval:(display:Off,section:0,value:0),time:(from:'2016-09-04 03:04:15-0600',mode:absolute,to:'2016-09-04 05:52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7" s="54" t="str">
        <f t="shared" si="6"/>
        <v>N</v>
      </c>
      <c r="X17" s="120">
        <f t="shared" si="7"/>
        <v>1</v>
      </c>
      <c r="Y17" s="69">
        <f t="shared" si="8"/>
        <v>7.0400000000000004E-2</v>
      </c>
      <c r="Z17" s="69">
        <f t="shared" si="9"/>
        <v>23.3339</v>
      </c>
      <c r="AA17" s="69">
        <f t="shared" si="10"/>
        <v>23.263500000000001</v>
      </c>
      <c r="AB17" s="66" t="e">
        <f>VLOOKUP(A17,Enforcements!$C$7:$J$21,8,0)</f>
        <v>#N/A</v>
      </c>
      <c r="AC17" s="62" t="e">
        <f>VLOOKUP(A17,Enforcements!$C$7:$E$21,3,0)</f>
        <v>#N/A</v>
      </c>
      <c r="AD17" s="63" t="str">
        <f t="shared" si="11"/>
        <v>0105-04</v>
      </c>
      <c r="AE17" s="99" t="str">
        <f t="shared" si="12"/>
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</c>
      <c r="AF17" s="96" t="str">
        <f t="shared" si="13"/>
        <v>"C:\Program Files (x86)\AstroGrep\AstroGrep.exe" /spath="%USERPROFILE%\AppData\Local\Temp\OnboardLogs" /stypes="*4018*20160904*"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0" t="str">
        <f t="shared" si="17"/>
        <v>"%USERPROFILE%\Documents\GitHub\eaglep3\Utilities\RefineRTDCRunTimes.py" --tripid 105-04 --locoid 4018 --swversion DE.1.0.7.0 --startMP 204:704 --initTime 2016-09-04T04:04:15 --startdatetime 2016-09-04T04:15:20 --delay 1 --endMP 204:233339 --enddatetime 2016-09-04T04:52:38 --enforcementcount 0 &gt;&gt;C:\Users\stu\Documents\GitHub\eaglep3-reporting\EC\2016-09-04-refined-times.txt</v>
      </c>
      <c r="AI17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{"issue":{"subject":"","project_id":79,"tracker_id":40,"status_id":1,"priority_id":2,"assigned_to_id":23,"start_date":"2016-09-04","description":"","custom_fields":[{"id":1,"name":"Subdivision","value":"EC"},{"id":4,"name":"Milepost","value":"23.2635"},{"id":17,"name":"Train ID","value":"105-04"},{"id":16,"name":"Locomotive ID","value":"4018"},{"id":130,"name":"Impact","value":""},{"id":150,"name":"Time of Event (Mountain Time)","value":"04:52:38"},{"id":151,"name":"Denver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380</v>
      </c>
      <c r="B18" s="7">
        <v>4043</v>
      </c>
      <c r="C18" s="24" t="s">
        <v>112</v>
      </c>
      <c r="D18" s="24" t="s">
        <v>566</v>
      </c>
      <c r="E18" s="15">
        <v>42617.211712962962</v>
      </c>
      <c r="F18" s="15">
        <v>42617.216238425928</v>
      </c>
      <c r="G18" s="7">
        <v>1</v>
      </c>
      <c r="H18" s="15" t="s">
        <v>89</v>
      </c>
      <c r="I18" s="15">
        <v>42617.244490740741</v>
      </c>
      <c r="J18" s="7">
        <v>0</v>
      </c>
      <c r="K18" s="132" t="str">
        <f t="shared" si="0"/>
        <v>4043/4044</v>
      </c>
      <c r="L18" s="24" t="str">
        <f>VLOOKUP(A18,'Trips&amp;Operators'!$C$1:$E$10000,3,FALSE)</f>
        <v>MAELZER</v>
      </c>
      <c r="M18" s="6">
        <f t="shared" si="1"/>
        <v>2.8252314812561963E-2</v>
      </c>
      <c r="N18" s="7">
        <f t="shared" si="2"/>
        <v>40.683333330089226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2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https://search-rtdc-monitor-bjffxe2xuh6vdkpspy63sjmuny.us-east-1.es.amazonaws.com/_plugin/kibana/#/discover/Steve-Slow-Train-Analysis-(2080s-and-2083s)?_g=(refreshInterval:(display:Off,section:0,value:0),time:(from:'2016-09-04 04:04:52-0600',mode:absolute,to:'2016-09-04 06:52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8" s="54" t="str">
        <f t="shared" si="6"/>
        <v>N</v>
      </c>
      <c r="X18" s="120">
        <f t="shared" si="7"/>
        <v>1</v>
      </c>
      <c r="Y18" s="69">
        <f t="shared" si="8"/>
        <v>23.267299999999999</v>
      </c>
      <c r="Z18" s="69">
        <f t="shared" si="9"/>
        <v>1.43E-2</v>
      </c>
      <c r="AA18" s="69">
        <f t="shared" si="10"/>
        <v>23.253</v>
      </c>
      <c r="AB18" s="66" t="e">
        <f>VLOOKUP(A18,Enforcements!$C$7:$J$21,8,0)</f>
        <v>#N/A</v>
      </c>
      <c r="AC18" s="62" t="e">
        <f>VLOOKUP(A18,Enforcements!$C$7:$E$21,3,0)</f>
        <v>#N/A</v>
      </c>
      <c r="AD18" s="63" t="str">
        <f t="shared" si="11"/>
        <v>0106-04</v>
      </c>
      <c r="AE18" s="99" t="str">
        <f t="shared" si="12"/>
        <v>aws s3 cp s3://rtdc.mdm.uploadarchive/RTDC4043/2016-09-04/ "%USERPROFILE%\AppData\Local\Temp\OnboardLogs"\RTDC4043\2016-09-04 --recursive &amp; "%USERPROFILE%\Documents\GitHub\mrs-test-scripts\Headless Mode &amp; Sideloading\WalkAndUnGZ.bat" "%USERPROFILE%\AppData\Local\Temp\OnboardLogs"\RTDC4043\2016-09-04 &amp; 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</v>
      </c>
      <c r="AF18" s="96" t="str">
        <f t="shared" si="13"/>
        <v>"C:\Program Files (x86)\AstroGrep\AstroGrep.exe" /spath="%USERPROFILE%\AppData\Local\Temp\OnboardLogs" /stypes="*4043*20160904*"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0" t="str">
        <f t="shared" si="17"/>
        <v>"%USERPROFILE%\Documents\GitHub\eaglep3\Utilities\RefineRTDCRunTimes.py" --tripid 106-04 --locoid 4043 --swversion DE.1.0.7.0 --startMP 204:232673 --initTime 2016-09-04T05:04:52 --startdatetime 2016-09-04T05:11:23 --delay 1 --endMP 204:143 --enddatetime 2016-09-04T05:52:04 --enforcementcount 0 &gt;&gt;C:\Users\stu\Documents\GitHub\eaglep3-reporting\EC\2016-09-04-refined-times.txt</v>
      </c>
      <c r="AI18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{"issue":{"subject":"","project_id":79,"tracker_id":40,"status_id":1,"priority_id":2,"assigned_to_id":23,"start_date":"2016-09-04","description":"","custom_fields":[{"id":1,"name":"Subdivision","value":"EC"},{"id":4,"name":"Milepost","value":"23.253"},{"id":17,"name":"Train ID","value":"106-04"},{"id":16,"name":"Locomotive ID","value":"4043"},{"id":130,"name":"Impact","value":""},{"id":150,"name":"Time of Event (Mountain Time)","value":"05:52:04"},{"id":151,"name":"Denver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374</v>
      </c>
      <c r="B19" s="7">
        <v>4038</v>
      </c>
      <c r="C19" s="24" t="s">
        <v>112</v>
      </c>
      <c r="D19" s="24" t="s">
        <v>231</v>
      </c>
      <c r="E19" s="15">
        <v>42617.182152777779</v>
      </c>
      <c r="F19" s="15">
        <v>42617.187638888892</v>
      </c>
      <c r="G19" s="7">
        <v>2</v>
      </c>
      <c r="H19" s="15" t="s">
        <v>347</v>
      </c>
      <c r="I19" s="15">
        <v>42617.213773148149</v>
      </c>
      <c r="J19" s="7">
        <v>0</v>
      </c>
      <c r="K19" s="132" t="str">
        <f t="shared" si="0"/>
        <v>4037/4038</v>
      </c>
      <c r="L19" s="24" t="str">
        <f>VLOOKUP(A19,'Trips&amp;Operators'!$C$1:$E$10000,3,FALSE)</f>
        <v>DAVIS</v>
      </c>
      <c r="M19" s="6">
        <f t="shared" si="1"/>
        <v>2.6134259256650694E-2</v>
      </c>
      <c r="N19" s="7">
        <f t="shared" si="2"/>
        <v>37.633333329576999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2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https://search-rtdc-monitor-bjffxe2xuh6vdkpspy63sjmuny.us-east-1.es.amazonaws.com/_plugin/kibana/#/discover/Steve-Slow-Train-Analysis-(2080s-and-2083s)?_g=(refreshInterval:(display:Off,section:0,value:0),time:(from:'2016-09-04 03:22:18-0600',mode:absolute,to:'2016-09-04 06:07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9" s="54" t="str">
        <f t="shared" si="6"/>
        <v>N</v>
      </c>
      <c r="X19" s="120">
        <f t="shared" si="7"/>
        <v>1</v>
      </c>
      <c r="Y19" s="69">
        <f t="shared" si="8"/>
        <v>4.58E-2</v>
      </c>
      <c r="Z19" s="69">
        <f t="shared" si="9"/>
        <v>23.3323</v>
      </c>
      <c r="AA19" s="69">
        <f t="shared" si="10"/>
        <v>23.2865</v>
      </c>
      <c r="AB19" s="66" t="e">
        <f>VLOOKUP(A19,Enforcements!$C$7:$J$21,8,0)</f>
        <v>#N/A</v>
      </c>
      <c r="AC19" s="62" t="e">
        <f>VLOOKUP(A19,Enforcements!$C$7:$E$21,3,0)</f>
        <v>#N/A</v>
      </c>
      <c r="AD19" s="63" t="str">
        <f t="shared" si="11"/>
        <v>0107-04</v>
      </c>
      <c r="AE19" s="99" t="str">
        <f t="shared" si="12"/>
        <v>aws s3 cp s3://rtdc.mdm.uploadarchive/RTDC4038/2016-09-04/ "%USERPROFILE%\AppData\Local\Temp\OnboardLogs"\RTDC4038\2016-09-04 --recursive &amp; "%USERPROFILE%\Documents\GitHub\mrs-test-scripts\Headless Mode &amp; Sideloading\WalkAndUnGZ.bat" "%USERPROFILE%\AppData\Local\Temp\OnboardLogs"\RTDC4038\2016-09-04 &amp; 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</v>
      </c>
      <c r="AF19" s="96" t="str">
        <f t="shared" si="13"/>
        <v>"C:\Program Files (x86)\AstroGrep\AstroGrep.exe" /spath="%USERPROFILE%\AppData\Local\Temp\OnboardLogs" /stypes="*4038*20160904*"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0" t="str">
        <f t="shared" si="17"/>
        <v>"%USERPROFILE%\Documents\GitHub\eaglep3\Utilities\RefineRTDCRunTimes.py" --tripid 107-04 --locoid 4038 --swversion DE.1.0.7.0 --startMP 204:458 --initTime 2016-09-04T04:22:18 --startdatetime 2016-09-04T04:30:12 --delay 2 --endMP 204:233323 --enddatetime 2016-09-04T05:07:50 --enforcementcount 0 &gt;&gt;C:\Users\stu\Documents\GitHub\eaglep3-reporting\EC\2016-09-04-refined-times.txt</v>
      </c>
      <c r="AI19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{"issue":{"subject":"","project_id":79,"tracker_id":40,"status_id":1,"priority_id":2,"assigned_to_id":23,"start_date":"2016-09-04","description":"","custom_fields":[{"id":1,"name":"Subdivision","value":"EC"},{"id":4,"name":"Milepost","value":"23.2865"},{"id":17,"name":"Train ID","value":"107-04"},{"id":16,"name":"Locomotive ID","value":"4038"},{"id":130,"name":"Impact","value":""},{"id":150,"name":"Time of Event (Mountain Time)","value":"05:07:50"},{"id":151,"name":"Denver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381</v>
      </c>
      <c r="B20" s="7">
        <v>4037</v>
      </c>
      <c r="C20" s="24" t="s">
        <v>112</v>
      </c>
      <c r="D20" s="24" t="s">
        <v>286</v>
      </c>
      <c r="E20" s="15">
        <v>42617.220185185186</v>
      </c>
      <c r="F20" s="15">
        <v>42617.226909722223</v>
      </c>
      <c r="G20" s="7">
        <v>1</v>
      </c>
      <c r="H20" s="15" t="s">
        <v>249</v>
      </c>
      <c r="I20" s="15">
        <v>42617.255370370367</v>
      </c>
      <c r="J20" s="7">
        <v>0</v>
      </c>
      <c r="K20" s="132" t="str">
        <f t="shared" si="0"/>
        <v>4037/4038</v>
      </c>
      <c r="L20" s="24" t="str">
        <f>VLOOKUP(A20,'Trips&amp;Operators'!$C$1:$E$10000,3,FALSE)</f>
        <v>DAVIS</v>
      </c>
      <c r="M20" s="6">
        <f t="shared" si="1"/>
        <v>2.8460648143664002E-2</v>
      </c>
      <c r="N20" s="7">
        <f t="shared" si="2"/>
        <v>40.983333326876163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2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https://search-rtdc-monitor-bjffxe2xuh6vdkpspy63sjmuny.us-east-1.es.amazonaws.com/_plugin/kibana/#/discover/Steve-Slow-Train-Analysis-(2080s-and-2083s)?_g=(refreshInterval:(display:Off,section:0,value:0),time:(from:'2016-09-04 04:17:04-0600',mode:absolute,to:'2016-09-04 07:07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20" s="54" t="str">
        <f t="shared" si="6"/>
        <v>N</v>
      </c>
      <c r="X20" s="120">
        <f t="shared" si="7"/>
        <v>1</v>
      </c>
      <c r="Y20" s="69">
        <f t="shared" si="8"/>
        <v>23.2987</v>
      </c>
      <c r="Z20" s="69">
        <f t="shared" si="9"/>
        <v>1.61E-2</v>
      </c>
      <c r="AA20" s="69">
        <f t="shared" si="10"/>
        <v>23.282599999999999</v>
      </c>
      <c r="AB20" s="66" t="e">
        <f>VLOOKUP(A20,Enforcements!$C$7:$J$21,8,0)</f>
        <v>#N/A</v>
      </c>
      <c r="AC20" s="62" t="e">
        <f>VLOOKUP(A20,Enforcements!$C$7:$E$21,3,0)</f>
        <v>#N/A</v>
      </c>
      <c r="AD20" s="63" t="str">
        <f t="shared" si="11"/>
        <v>0108-04</v>
      </c>
      <c r="AE20" s="99" t="str">
        <f t="shared" si="12"/>
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</c>
      <c r="AF20" s="96" t="str">
        <f t="shared" si="13"/>
        <v>"C:\Program Files (x86)\AstroGrep\AstroGrep.exe" /spath="%USERPROFILE%\AppData\Local\Temp\OnboardLogs" /stypes="*4037*20160904*"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0" t="str">
        <f t="shared" si="17"/>
        <v>"%USERPROFILE%\Documents\GitHub\eaglep3\Utilities\RefineRTDCRunTimes.py" --tripid 108-04 --locoid 4037 --swversion DE.1.0.7.0 --startMP 204:232987 --initTime 2016-09-04T05:17:04 --startdatetime 2016-09-04T05:26:45 --delay 1 --endMP 204:161 --enddatetime 2016-09-04T06:07:44 --enforcementcount 0 &gt;&gt;C:\Users\stu\Documents\GitHub\eaglep3-reporting\EC\2016-09-04-refined-times.txt</v>
      </c>
      <c r="AI20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{"issue":{"subject":"","project_id":79,"tracker_id":40,"status_id":1,"priority_id":2,"assigned_to_id":23,"start_date":"2016-09-04","description":"","custom_fields":[{"id":1,"name":"Subdivision","value":"EC"},{"id":4,"name":"Milepost","value":"23.2826"},{"id":17,"name":"Train ID","value":"108-04"},{"id":16,"name":"Locomotive ID","value":"4037"},{"id":130,"name":"Impact","value":""},{"id":150,"name":"Time of Event (Mountain Time)","value":"06:07:44"},{"id":151,"name":"Denver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377</v>
      </c>
      <c r="B21" s="7">
        <v>4002</v>
      </c>
      <c r="C21" s="24" t="s">
        <v>112</v>
      </c>
      <c r="D21" s="24" t="s">
        <v>567</v>
      </c>
      <c r="E21" s="15">
        <v>42617.196192129632</v>
      </c>
      <c r="F21" s="15">
        <v>42617.198159722226</v>
      </c>
      <c r="G21" s="7">
        <v>1</v>
      </c>
      <c r="H21" s="15" t="s">
        <v>271</v>
      </c>
      <c r="I21" s="15">
        <v>42617.224756944444</v>
      </c>
      <c r="J21" s="7">
        <v>0</v>
      </c>
      <c r="K21" s="132" t="str">
        <f t="shared" si="0"/>
        <v>4001/4002</v>
      </c>
      <c r="L21" s="24" t="str">
        <f>VLOOKUP(A21,'Trips&amp;Operators'!$C$1:$E$10000,3,FALSE)</f>
        <v>MALAVE</v>
      </c>
      <c r="M21" s="6">
        <f t="shared" si="1"/>
        <v>2.6597222218697425E-2</v>
      </c>
      <c r="N21" s="7">
        <f t="shared" si="2"/>
        <v>38.299999994924292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2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https://search-rtdc-monitor-bjffxe2xuh6vdkpspy63sjmuny.us-east-1.es.amazonaws.com/_plugin/kibana/#/discover/Steve-Slow-Train-Analysis-(2080s-and-2083s)?_g=(refreshInterval:(display:Off,section:0,value:0),time:(from:'2016-09-04 03:42:31-0600',mode:absolute,to:'2016-09-04 06:23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1" s="54" t="str">
        <f t="shared" si="6"/>
        <v>N</v>
      </c>
      <c r="X21" s="120">
        <f t="shared" si="7"/>
        <v>1</v>
      </c>
      <c r="Y21" s="69">
        <f t="shared" si="8"/>
        <v>4.24E-2</v>
      </c>
      <c r="Z21" s="69">
        <f t="shared" si="9"/>
        <v>23.331199999999999</v>
      </c>
      <c r="AA21" s="69">
        <f t="shared" si="10"/>
        <v>23.288799999999998</v>
      </c>
      <c r="AB21" s="66">
        <f>VLOOKUP(A21,Enforcements!$C$7:$J$21,8,0)</f>
        <v>33137</v>
      </c>
      <c r="AC21" s="62" t="str">
        <f>VLOOKUP(A21,Enforcements!$C$7:$E$21,3,0)</f>
        <v>GRADE CROSSING</v>
      </c>
      <c r="AD21" s="63" t="str">
        <f t="shared" si="11"/>
        <v>0109-04</v>
      </c>
      <c r="AE21" s="99" t="str">
        <f t="shared" si="12"/>
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</c>
      <c r="AF21" s="96" t="str">
        <f t="shared" si="13"/>
        <v>"C:\Program Files (x86)\AstroGrep\AstroGrep.exe" /spath="%USERPROFILE%\AppData\Local\Temp\OnboardLogs" /stypes="*4002*20160904*"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0" t="str">
        <f t="shared" si="17"/>
        <v>"%USERPROFILE%\Documents\GitHub\eaglep3\Utilities\RefineRTDCRunTimes.py" --tripid 109-04 --locoid 4002 --swversion DE.1.0.7.0 --startMP 204:424 --initTime 2016-09-04T04:42:31 --startdatetime 2016-09-04T04:45:21 --delay 1 --endMP 204:233312 --enddatetime 2016-09-04T05:23:39 --enforcementcount 0 &gt;&gt;C:\Users\stu\Documents\GitHub\eaglep3-reporting\EC\2016-09-04-refined-times.txt</v>
      </c>
      <c r="AI21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{"issue":{"subject":"","project_id":79,"tracker_id":40,"status_id":1,"priority_id":2,"assigned_to_id":23,"start_date":"2016-09-04","description":"","custom_fields":[{"id":1,"name":"Subdivision","value":"EC"},{"id":4,"name":"Milepost","value":"23.2888"},{"id":17,"name":"Train ID","value":"109-04"},{"id":16,"name":"Locomotive ID","value":"4002"},{"id":130,"name":"Impact","value":""},{"id":150,"name":"Time of Event (Mountain Time)","value":"05:23:39"},{"id":151,"name":"Denver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386</v>
      </c>
      <c r="B22" s="7">
        <v>4001</v>
      </c>
      <c r="C22" s="24" t="s">
        <v>112</v>
      </c>
      <c r="D22" s="24" t="s">
        <v>340</v>
      </c>
      <c r="E22" s="15">
        <v>42617.235937500001</v>
      </c>
      <c r="F22" s="15">
        <v>42617.237233796295</v>
      </c>
      <c r="G22" s="7">
        <v>1</v>
      </c>
      <c r="H22" s="15" t="s">
        <v>146</v>
      </c>
      <c r="I22" s="15">
        <v>42617.265127314815</v>
      </c>
      <c r="J22" s="7">
        <v>0</v>
      </c>
      <c r="K22" s="132" t="str">
        <f t="shared" si="0"/>
        <v>4001/4002</v>
      </c>
      <c r="L22" s="24" t="str">
        <f>VLOOKUP(A22,'Trips&amp;Operators'!$C$1:$E$10000,3,FALSE)</f>
        <v>MALAVE</v>
      </c>
      <c r="M22" s="6">
        <f t="shared" si="1"/>
        <v>2.789351851970423E-2</v>
      </c>
      <c r="N22" s="7">
        <f t="shared" si="2"/>
        <v>40.166666668374091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2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https://search-rtdc-monitor-bjffxe2xuh6vdkpspy63sjmuny.us-east-1.es.amazonaws.com/_plugin/kibana/#/discover/Steve-Slow-Train-Analysis-(2080s-and-2083s)?_g=(refreshInterval:(display:Off,section:0,value:0),time:(from:'2016-09-04 04:39:45-0600',mode:absolute,to:'2016-09-04 07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22" s="54" t="str">
        <f t="shared" si="6"/>
        <v>N</v>
      </c>
      <c r="X22" s="120">
        <f t="shared" si="7"/>
        <v>1</v>
      </c>
      <c r="Y22" s="69">
        <f t="shared" si="8"/>
        <v>23.296700000000001</v>
      </c>
      <c r="Z22" s="69">
        <f t="shared" si="9"/>
        <v>1.5599999999999999E-2</v>
      </c>
      <c r="AA22" s="69">
        <f t="shared" si="10"/>
        <v>23.281100000000002</v>
      </c>
      <c r="AB22" s="66">
        <f>VLOOKUP(A22,Enforcements!$C$7:$J$21,8,0)</f>
        <v>109135</v>
      </c>
      <c r="AC22" s="62" t="str">
        <f>VLOOKUP(A22,Enforcements!$C$7:$E$21,3,0)</f>
        <v>GRADE CROSSING</v>
      </c>
      <c r="AD22" s="63" t="str">
        <f t="shared" si="11"/>
        <v>0110-04</v>
      </c>
      <c r="AE22" s="99" t="str">
        <f t="shared" si="12"/>
        <v>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 &amp; 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</v>
      </c>
      <c r="AF22" s="96" t="str">
        <f t="shared" si="13"/>
        <v>"C:\Program Files (x86)\AstroGrep\AstroGrep.exe" /spath="%USERPROFILE%\AppData\Local\Temp\OnboardLogs" /stypes="*4001*20160904*"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0" t="str">
        <f t="shared" si="17"/>
        <v>"%USERPROFILE%\Documents\GitHub\eaglep3\Utilities\RefineRTDCRunTimes.py" --tripid 110-04 --locoid 4001 --swversion DE.1.0.7.0 --startMP 204:232967 --initTime 2016-09-04T05:39:45 --startdatetime 2016-09-04T05:41:37 --delay 1 --endMP 204:156 --enddatetime 2016-09-04T06:21:47 --enforcementcount 0 &gt;&gt;C:\Users\stu\Documents\GitHub\eaglep3-reporting\EC\2016-09-04-refined-times.txt</v>
      </c>
      <c r="AI22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{"issue":{"subject":"","project_id":79,"tracker_id":40,"status_id":1,"priority_id":2,"assigned_to_id":23,"start_date":"2016-09-04","description":"","custom_fields":[{"id":1,"name":"Subdivision","value":"EC"},{"id":4,"name":"Milepost","value":"23.2811"},{"id":17,"name":"Train ID","value":"110-04"},{"id":16,"name":"Locomotive ID","value":"4001"},{"id":130,"name":"Impact","value":""},{"id":150,"name":"Time of Event (Mountain Time)","value":"06:21:47"},{"id":151,"name":"Denver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378</v>
      </c>
      <c r="B23" s="7">
        <v>4025</v>
      </c>
      <c r="C23" s="24" t="s">
        <v>112</v>
      </c>
      <c r="D23" s="24" t="s">
        <v>568</v>
      </c>
      <c r="E23" s="15">
        <v>42617.203541666669</v>
      </c>
      <c r="F23" s="15">
        <v>42617.208645833336</v>
      </c>
      <c r="G23" s="7">
        <v>2</v>
      </c>
      <c r="H23" s="15" t="s">
        <v>174</v>
      </c>
      <c r="I23" s="15">
        <v>42617.237291666665</v>
      </c>
      <c r="J23" s="7">
        <v>0</v>
      </c>
      <c r="K23" s="132" t="str">
        <f t="shared" si="0"/>
        <v>4025/4026</v>
      </c>
      <c r="L23" s="24" t="str">
        <f>VLOOKUP(A23,'Trips&amp;Operators'!$C$1:$E$10000,3,FALSE)</f>
        <v>STRICKLAND</v>
      </c>
      <c r="M23" s="6">
        <f t="shared" si="1"/>
        <v>2.8645833328482695E-2</v>
      </c>
      <c r="N23" s="7">
        <f t="shared" si="2"/>
        <v>41.249999993015081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2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https://search-rtdc-monitor-bjffxe2xuh6vdkpspy63sjmuny.us-east-1.es.amazonaws.com/_plugin/kibana/#/discover/Steve-Slow-Train-Analysis-(2080s-and-2083s)?_g=(refreshInterval:(display:Off,section:0,value:0),time:(from:'2016-09-04 03:53:06-0600',mode:absolute,to:'2016-09-04 06:41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23" s="54" t="str">
        <f t="shared" si="6"/>
        <v>N</v>
      </c>
      <c r="X23" s="120">
        <f t="shared" si="7"/>
        <v>1</v>
      </c>
      <c r="Y23" s="69">
        <f t="shared" si="8"/>
        <v>7.7700000000000005E-2</v>
      </c>
      <c r="Z23" s="69">
        <f t="shared" si="9"/>
        <v>23.3293</v>
      </c>
      <c r="AA23" s="69">
        <f t="shared" si="10"/>
        <v>23.2516</v>
      </c>
      <c r="AB23" s="66">
        <f>VLOOKUP(A23,Enforcements!$C$7:$J$21,8,0)</f>
        <v>183829</v>
      </c>
      <c r="AC23" s="62" t="str">
        <f>VLOOKUP(A23,Enforcements!$C$7:$E$21,3,0)</f>
        <v>PERMANENT SPEED RESTRICTION</v>
      </c>
      <c r="AD23" s="63" t="str">
        <f t="shared" si="11"/>
        <v>0111-04</v>
      </c>
      <c r="AE23" s="99" t="str">
        <f t="shared" si="12"/>
        <v>aws s3 cp s3://rtdc.mdm.uploadarchive/RTDC4025/2016-09-04/ "%USERPROFILE%\AppData\Local\Temp\OnboardLogs"\RTDC4025\2016-09-04 --recursive &amp; "%USERPROFILE%\Documents\GitHub\mrs-test-scripts\Headless Mode &amp; Sideloading\WalkAndUnGZ.bat" "%USERPROFILE%\AppData\Local\Temp\OnboardLogs"\RTDC4025\2016-09-04 &amp; 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</v>
      </c>
      <c r="AF23" s="96" t="str">
        <f t="shared" si="13"/>
        <v>"C:\Program Files (x86)\AstroGrep\AstroGrep.exe" /spath="%USERPROFILE%\AppData\Local\Temp\OnboardLogs" /stypes="*4025*20160904*"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0" t="str">
        <f t="shared" si="17"/>
        <v>"%USERPROFILE%\Documents\GitHub\eaglep3\Utilities\RefineRTDCRunTimes.py" --tripid 111-04 --locoid 4025 --swversion DE.1.0.7.0 --startMP 204:777 --initTime 2016-09-04T04:53:06 --startdatetime 2016-09-04T05:00:27 --delay 2 --endMP 204:233293 --enddatetime 2016-09-04T05:41:42 --enforcementcount 0 &gt;&gt;C:\Users\stu\Documents\GitHub\eaglep3-reporting\EC\2016-09-04-refined-times.txt</v>
      </c>
      <c r="AI23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{"issue":{"subject":"","project_id":79,"tracker_id":40,"status_id":1,"priority_id":2,"assigned_to_id":23,"start_date":"2016-09-04","description":"","custom_fields":[{"id":1,"name":"Subdivision","value":"EC"},{"id":4,"name":"Milepost","value":"23.2516"},{"id":17,"name":"Train ID","value":"111-04"},{"id":16,"name":"Locomotive ID","value":"4025"},{"id":130,"name":"Impact","value":""},{"id":150,"name":"Time of Event (Mountain Time)","value":"05:41:42"},{"id":151,"name":"Denver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388</v>
      </c>
      <c r="B24" s="7">
        <v>4026</v>
      </c>
      <c r="C24" s="24" t="s">
        <v>112</v>
      </c>
      <c r="D24" s="24" t="s">
        <v>361</v>
      </c>
      <c r="E24" s="15">
        <v>42617.244444444441</v>
      </c>
      <c r="F24" s="15">
        <v>42617.247476851851</v>
      </c>
      <c r="G24" s="7">
        <v>1</v>
      </c>
      <c r="H24" s="15" t="s">
        <v>242</v>
      </c>
      <c r="I24" s="15">
        <v>42617.275254629632</v>
      </c>
      <c r="J24" s="7">
        <v>0</v>
      </c>
      <c r="K24" s="132" t="str">
        <f t="shared" si="0"/>
        <v>4025/4026</v>
      </c>
      <c r="L24" s="24" t="str">
        <f>VLOOKUP(A24,'Trips&amp;Operators'!$C$1:$E$10000,3,FALSE)</f>
        <v>STRICKLAND</v>
      </c>
      <c r="M24" s="6">
        <f t="shared" si="1"/>
        <v>2.7777777781011537E-2</v>
      </c>
      <c r="N24" s="7">
        <f t="shared" si="2"/>
        <v>40.000000004656613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2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https://search-rtdc-monitor-bjffxe2xuh6vdkpspy63sjmuny.us-east-1.es.amazonaws.com/_plugin/kibana/#/discover/Steve-Slow-Train-Analysis-(2080s-and-2083s)?_g=(refreshInterval:(display:Off,section:0,value:0),time:(from:'2016-09-04 04:52:00-0600',mode:absolute,to:'2016-09-04 07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24" s="54" t="str">
        <f t="shared" si="6"/>
        <v>N</v>
      </c>
      <c r="X24" s="120">
        <f t="shared" si="7"/>
        <v>1</v>
      </c>
      <c r="Y24" s="69">
        <f t="shared" si="8"/>
        <v>23.2974</v>
      </c>
      <c r="Z24" s="69">
        <f t="shared" si="9"/>
        <v>1.6299999999999999E-2</v>
      </c>
      <c r="AA24" s="69">
        <f t="shared" si="10"/>
        <v>23.281099999999999</v>
      </c>
      <c r="AB24" s="66">
        <f>VLOOKUP(A24,Enforcements!$C$7:$J$21,8,0)</f>
        <v>27350</v>
      </c>
      <c r="AC24" s="62" t="str">
        <f>VLOOKUP(A24,Enforcements!$C$7:$E$21,3,0)</f>
        <v>GRADE CROSSING</v>
      </c>
      <c r="AD24" s="63" t="str">
        <f t="shared" si="11"/>
        <v>0112-04</v>
      </c>
      <c r="AE24" s="99" t="str">
        <f t="shared" si="12"/>
        <v>aws s3 cp s3://rtdc.mdm.uploadarchive/RTDC4026/2016-09-04/ "%USERPROFILE%\AppData\Local\Temp\OnboardLogs"\RTDC4026\2016-09-04 --recursive &amp; "%USERPROFILE%\Documents\GitHub\mrs-test-scripts\Headless Mode &amp; Sideloading\WalkAndUnGZ.bat" "%USERPROFILE%\AppData\Local\Temp\OnboardLogs"\RTDC4026\2016-09-04 &amp; aws s3 cp s3://rtdc.mdm.uploadarchive/RTDC4026/2016-09-05/ "%USERPROFILE%\AppData\Local\Temp\OnboardLogs"\RTDC4026\2016-09-05 --recursive &amp; "%USERPROFILE%\Documents\GitHub\mrs-test-scripts\Headless Mode &amp; Sideloading\WalkAndUnGZ.bat" "%USERPROFILE%\AppData\Local\Temp\OnboardLogs"\RTDC4026\2016-09-05</v>
      </c>
      <c r="AF24" s="96" t="str">
        <f t="shared" si="13"/>
        <v>"C:\Program Files (x86)\AstroGrep\AstroGrep.exe" /spath="%USERPROFILE%\AppData\Local\Temp\OnboardLogs" /stypes="*4026*20160904*"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0" t="str">
        <f t="shared" si="17"/>
        <v>"%USERPROFILE%\Documents\GitHub\eaglep3\Utilities\RefineRTDCRunTimes.py" --tripid 112-04 --locoid 4026 --swversion DE.1.0.7.0 --startMP 204:232974 --initTime 2016-09-04T05:52:00 --startdatetime 2016-09-04T05:56:22 --delay 1 --endMP 204:163 --enddatetime 2016-09-04T06:36:22 --enforcementcount 0 &gt;&gt;C:\Users\stu\Documents\GitHub\eaglep3-reporting\EC\2016-09-04-refined-times.txt</v>
      </c>
      <c r="AI24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{"issue":{"subject":"","project_id":79,"tracker_id":40,"status_id":1,"priority_id":2,"assigned_to_id":23,"start_date":"2016-09-04","description":"","custom_fields":[{"id":1,"name":"Subdivision","value":"EC"},{"id":4,"name":"Milepost","value":"23.2811"},{"id":17,"name":"Train ID","value":"112-04"},{"id":16,"name":"Locomotive ID","value":"4026"},{"id":130,"name":"Impact","value":""},{"id":150,"name":"Time of Event (Mountain Time)","value":"06:36:22"},{"id":151,"name":"Denver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379</v>
      </c>
      <c r="B25" s="7">
        <v>4009</v>
      </c>
      <c r="C25" s="24" t="s">
        <v>112</v>
      </c>
      <c r="D25" s="24" t="s">
        <v>339</v>
      </c>
      <c r="E25" s="15">
        <v>42617.204594907409</v>
      </c>
      <c r="F25" s="15">
        <v>42617.218958333331</v>
      </c>
      <c r="G25" s="7">
        <v>1</v>
      </c>
      <c r="H25" s="15" t="s">
        <v>335</v>
      </c>
      <c r="I25" s="15">
        <v>42617.244027777779</v>
      </c>
      <c r="J25" s="7">
        <v>0</v>
      </c>
      <c r="K25" s="132" t="str">
        <f t="shared" si="0"/>
        <v>4009/4010</v>
      </c>
      <c r="L25" s="24" t="str">
        <f>VLOOKUP(A25,'Trips&amp;Operators'!$C$1:$E$10000,3,FALSE)</f>
        <v>KILLION</v>
      </c>
      <c r="M25" s="6">
        <f t="shared" si="1"/>
        <v>2.5069444447581191E-2</v>
      </c>
      <c r="N25" s="7">
        <f t="shared" si="2"/>
        <v>36.100000004516914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2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https://search-rtdc-monitor-bjffxe2xuh6vdkpspy63sjmuny.us-east-1.es.amazonaws.com/_plugin/kibana/#/discover/Steve-Slow-Train-Analysis-(2080s-and-2083s)?_g=(refreshInterval:(display:Off,section:0,value:0),time:(from:'2016-09-04 03:54:37-0600',mode:absolute,to:'2016-09-04 06:51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25" s="54" t="str">
        <f t="shared" si="6"/>
        <v>N</v>
      </c>
      <c r="X25" s="120">
        <f t="shared" si="7"/>
        <v>1</v>
      </c>
      <c r="Y25" s="69">
        <f t="shared" si="8"/>
        <v>4.6699999999999998E-2</v>
      </c>
      <c r="Z25" s="69">
        <f t="shared" si="9"/>
        <v>23.3278</v>
      </c>
      <c r="AA25" s="69">
        <f t="shared" si="10"/>
        <v>23.281099999999999</v>
      </c>
      <c r="AB25" s="66" t="e">
        <f>VLOOKUP(A25,Enforcements!$C$7:$J$21,8,0)</f>
        <v>#N/A</v>
      </c>
      <c r="AC25" s="62" t="e">
        <f>VLOOKUP(A25,Enforcements!$C$7:$E$21,3,0)</f>
        <v>#N/A</v>
      </c>
      <c r="AD25" s="63" t="str">
        <f t="shared" si="11"/>
        <v>0113-04</v>
      </c>
      <c r="AE25" s="99" t="str">
        <f t="shared" si="12"/>
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</c>
      <c r="AF25" s="96" t="str">
        <f t="shared" si="13"/>
        <v>"C:\Program Files (x86)\AstroGrep\AstroGrep.exe" /spath="%USERPROFILE%\AppData\Local\Temp\OnboardLogs" /stypes="*4009*20160904*"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100" t="str">
        <f t="shared" si="17"/>
        <v>"%USERPROFILE%\Documents\GitHub\eaglep3\Utilities\RefineRTDCRunTimes.py" --tripid 113-04 --locoid 4009 --swversion DE.1.0.7.0 --startMP 204:467 --initTime 2016-09-04T04:54:37 --startdatetime 2016-09-04T05:15:18 --delay 1 --endMP 204:233278 --enddatetime 2016-09-04T05:51:24 --enforcementcount 0 &gt;&gt;C:\Users\stu\Documents\GitHub\eaglep3-reporting\EC\2016-09-04-refined-times.txt</v>
      </c>
      <c r="AI25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{"issue":{"subject":"","project_id":79,"tracker_id":40,"status_id":1,"priority_id":2,"assigned_to_id":23,"start_date":"2016-09-04","description":"","custom_fields":[{"id":1,"name":"Subdivision","value":"EC"},{"id":4,"name":"Milepost","value":"23.2811"},{"id":17,"name":"Train ID","value":"113-04"},{"id":16,"name":"Locomotive ID","value":"4009"},{"id":130,"name":"Impact","value":""},{"id":150,"name":"Time of Event (Mountain Time)","value":"05:51:24"},{"id":151,"name":"Denver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390</v>
      </c>
      <c r="B26" s="7">
        <v>4010</v>
      </c>
      <c r="C26" s="24" t="s">
        <v>112</v>
      </c>
      <c r="D26" s="24" t="s">
        <v>358</v>
      </c>
      <c r="E26" s="15">
        <v>42617.251226851855</v>
      </c>
      <c r="F26" s="15">
        <v>42617.2578125</v>
      </c>
      <c r="G26" s="7">
        <v>1</v>
      </c>
      <c r="H26" s="15" t="s">
        <v>146</v>
      </c>
      <c r="I26" s="15">
        <v>42617.284467592595</v>
      </c>
      <c r="J26" s="7">
        <v>0</v>
      </c>
      <c r="K26" s="132" t="str">
        <f t="shared" si="0"/>
        <v>4009/4010</v>
      </c>
      <c r="L26" s="24" t="str">
        <f>VLOOKUP(A26,'Trips&amp;Operators'!$C$1:$E$10000,3,FALSE)</f>
        <v>KILLION</v>
      </c>
      <c r="M26" s="6">
        <f t="shared" si="1"/>
        <v>2.6655092595319729E-2</v>
      </c>
      <c r="N26" s="7">
        <f t="shared" si="2"/>
        <v>38.38333333726041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2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https://search-rtdc-monitor-bjffxe2xuh6vdkpspy63sjmuny.us-east-1.es.amazonaws.com/_plugin/kibana/#/discover/Steve-Slow-Train-Analysis-(2080s-and-2083s)?_g=(refreshInterval:(display:Off,section:0,value:0),time:(from:'2016-09-04 05:01:46-0600',mode:absolute,to:'2016-09-04 07:49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26" s="54" t="str">
        <f t="shared" si="6"/>
        <v>N</v>
      </c>
      <c r="X26" s="120">
        <f t="shared" si="7"/>
        <v>1</v>
      </c>
      <c r="Y26" s="69">
        <f t="shared" si="8"/>
        <v>23.2957</v>
      </c>
      <c r="Z26" s="69">
        <f t="shared" si="9"/>
        <v>1.5599999999999999E-2</v>
      </c>
      <c r="AA26" s="69">
        <f t="shared" si="10"/>
        <v>23.280100000000001</v>
      </c>
      <c r="AB26" s="66" t="e">
        <f>VLOOKUP(A26,Enforcements!$C$7:$J$21,8,0)</f>
        <v>#N/A</v>
      </c>
      <c r="AC26" s="62" t="e">
        <f>VLOOKUP(A26,Enforcements!$C$7:$E$21,3,0)</f>
        <v>#N/A</v>
      </c>
      <c r="AD26" s="63" t="str">
        <f t="shared" si="11"/>
        <v>0114-04</v>
      </c>
      <c r="AE26" s="99" t="str">
        <f t="shared" si="12"/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AF26" s="96" t="str">
        <f t="shared" si="13"/>
        <v>"C:\Program Files (x86)\AstroGrep\AstroGrep.exe" /spath="%USERPROFILE%\AppData\Local\Temp\OnboardLogs" /stypes="*4010*20160904*"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0" t="str">
        <f t="shared" si="17"/>
        <v>"%USERPROFILE%\Documents\GitHub\eaglep3\Utilities\RefineRTDCRunTimes.py" --tripid 114-04 --locoid 4010 --swversion DE.1.0.7.0 --startMP 204:232957 --initTime 2016-09-04T06:01:46 --startdatetime 2016-09-04T06:11:15 --delay 1 --endMP 204:156 --enddatetime 2016-09-04T06:49:38 --enforcementcount 0 &gt;&gt;C:\Users\stu\Documents\GitHub\eaglep3-reporting\EC\2016-09-04-refined-times.txt</v>
      </c>
      <c r="AI26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{"issue":{"subject":"","project_id":79,"tracker_id":40,"status_id":1,"priority_id":2,"assigned_to_id":23,"start_date":"2016-09-04","description":"","custom_fields":[{"id":1,"name":"Subdivision","value":"EC"},{"id":4,"name":"Milepost","value":"23.2801"},{"id":17,"name":"Train ID","value":"114-04"},{"id":16,"name":"Locomotive ID","value":"4010"},{"id":130,"name":"Impact","value":""},{"id":150,"name":"Time of Event (Mountain Time)","value":"06:49:38"},{"id":151,"name":"Denver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382</v>
      </c>
      <c r="B27" s="7">
        <v>4016</v>
      </c>
      <c r="C27" s="24" t="s">
        <v>112</v>
      </c>
      <c r="D27" s="24" t="s">
        <v>569</v>
      </c>
      <c r="E27" s="15">
        <v>42617.224930555552</v>
      </c>
      <c r="F27" s="15">
        <v>42617.230092592596</v>
      </c>
      <c r="G27" s="7">
        <v>1</v>
      </c>
      <c r="H27" s="15" t="s">
        <v>570</v>
      </c>
      <c r="I27" s="15">
        <v>42617.253935185188</v>
      </c>
      <c r="J27" s="7">
        <v>0</v>
      </c>
      <c r="K27" s="132" t="str">
        <f t="shared" si="0"/>
        <v>4015/4016</v>
      </c>
      <c r="L27" s="24" t="str">
        <f>VLOOKUP(A27,'Trips&amp;Operators'!$C$1:$E$10000,3,FALSE)</f>
        <v>YORK</v>
      </c>
      <c r="M27" s="6">
        <f t="shared" si="1"/>
        <v>2.3842592592700385E-2</v>
      </c>
      <c r="N27" s="7">
        <f t="shared" si="2"/>
        <v>34.333333333488554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2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https://search-rtdc-monitor-bjffxe2xuh6vdkpspy63sjmuny.us-east-1.es.amazonaws.com/_plugin/kibana/#/discover/Steve-Slow-Train-Analysis-(2080s-and-2083s)?_g=(refreshInterval:(display:Off,section:0,value:0),time:(from:'2016-09-04 04:23:54-0600',mode:absolute,to:'2016-09-04 07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27" s="54" t="str">
        <f t="shared" si="6"/>
        <v>N</v>
      </c>
      <c r="X27" s="120">
        <f t="shared" si="7"/>
        <v>1</v>
      </c>
      <c r="Y27" s="69">
        <f t="shared" si="8"/>
        <v>7.2800000000000004E-2</v>
      </c>
      <c r="Z27" s="69">
        <f t="shared" si="9"/>
        <v>23.328700000000001</v>
      </c>
      <c r="AA27" s="69">
        <f t="shared" si="10"/>
        <v>23.2559</v>
      </c>
      <c r="AB27" s="66" t="e">
        <f>VLOOKUP(A27,Enforcements!$C$7:$J$21,8,0)</f>
        <v>#N/A</v>
      </c>
      <c r="AC27" s="62" t="e">
        <f>VLOOKUP(A27,Enforcements!$C$7:$E$21,3,0)</f>
        <v>#N/A</v>
      </c>
      <c r="AD27" s="63" t="str">
        <f t="shared" si="11"/>
        <v>0115-04</v>
      </c>
      <c r="AE27" s="99" t="str">
        <f t="shared" si="12"/>
        <v>aws s3 cp s3://rtdc.mdm.uploadarchive/RTDC4016/2016-09-04/ "%USERPROFILE%\AppData\Local\Temp\OnboardLogs"\RTDC4016\2016-09-04 --recursive &amp; "%USERPROFILE%\Documents\GitHub\mrs-test-scripts\Headless Mode &amp; Sideloading\WalkAndUnGZ.bat" "%USERPROFILE%\AppData\Local\Temp\OnboardLogs"\RTDC4016\2016-09-04 &amp; 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</v>
      </c>
      <c r="AF27" s="96" t="str">
        <f t="shared" si="13"/>
        <v>"C:\Program Files (x86)\AstroGrep\AstroGrep.exe" /spath="%USERPROFILE%\AppData\Local\Temp\OnboardLogs" /stypes="*4016*20160904*"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0" t="str">
        <f t="shared" si="17"/>
        <v>"%USERPROFILE%\Documents\GitHub\eaglep3\Utilities\RefineRTDCRunTimes.py" --tripid 115-04 --locoid 4016 --swversion DE.1.0.7.0 --startMP 204:728 --initTime 2016-09-04T05:23:54 --startdatetime 2016-09-04T05:31:20 --delay 1 --endMP 204:233287 --enddatetime 2016-09-04T06:05:40 --enforcementcount 0 &gt;&gt;C:\Users\stu\Documents\GitHub\eaglep3-reporting\EC\2016-09-04-refined-times.txt</v>
      </c>
      <c r="AI27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{"issue":{"subject":"","project_id":79,"tracker_id":40,"status_id":1,"priority_id":2,"assigned_to_id":23,"start_date":"2016-09-04","description":"","custom_fields":[{"id":1,"name":"Subdivision","value":"EC"},{"id":4,"name":"Milepost","value":"23.2559"},{"id":17,"name":"Train ID","value":"115-04"},{"id":16,"name":"Locomotive ID","value":"4016"},{"id":130,"name":"Impact","value":""},{"id":150,"name":"Time of Event (Mountain Time)","value":"06:05:40"},{"id":151,"name":"Denver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392</v>
      </c>
      <c r="B28" s="7">
        <v>4015</v>
      </c>
      <c r="C28" s="24" t="s">
        <v>112</v>
      </c>
      <c r="D28" s="24" t="s">
        <v>571</v>
      </c>
      <c r="E28" s="15">
        <v>42617.255023148151</v>
      </c>
      <c r="F28" s="15">
        <v>42617.26835648148</v>
      </c>
      <c r="G28" s="7">
        <v>1</v>
      </c>
      <c r="H28" s="15" t="s">
        <v>253</v>
      </c>
      <c r="I28" s="15">
        <v>42617.293449074074</v>
      </c>
      <c r="J28" s="7">
        <v>0</v>
      </c>
      <c r="K28" s="132" t="str">
        <f t="shared" si="0"/>
        <v>4015/4016</v>
      </c>
      <c r="L28" s="24" t="str">
        <f>VLOOKUP(A28,'Trips&amp;Operators'!$C$1:$E$10000,3,FALSE)</f>
        <v>YORK</v>
      </c>
      <c r="M28" s="6">
        <f t="shared" si="1"/>
        <v>2.5092592593864538E-2</v>
      </c>
      <c r="N28" s="7">
        <f t="shared" si="2"/>
        <v>36.133333335164934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2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https://search-rtdc-monitor-bjffxe2xuh6vdkpspy63sjmuny.us-east-1.es.amazonaws.com/_plugin/kibana/#/discover/Steve-Slow-Train-Analysis-(2080s-and-2083s)?_g=(refreshInterval:(display:Off,section:0,value:0),time:(from:'2016-09-04 05:07:14-0600',mode:absolute,to:'2016-09-04 08:02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28" s="54" t="str">
        <f t="shared" si="6"/>
        <v>N</v>
      </c>
      <c r="X28" s="120">
        <f t="shared" si="7"/>
        <v>1</v>
      </c>
      <c r="Y28" s="69">
        <f t="shared" si="8"/>
        <v>23.297899999999998</v>
      </c>
      <c r="Z28" s="69">
        <f t="shared" si="9"/>
        <v>1.4999999999999999E-2</v>
      </c>
      <c r="AA28" s="69">
        <f t="shared" si="10"/>
        <v>23.282899999999998</v>
      </c>
      <c r="AB28" s="66" t="e">
        <f>VLOOKUP(A28,Enforcements!$C$7:$J$21,8,0)</f>
        <v>#N/A</v>
      </c>
      <c r="AC28" s="62" t="e">
        <f>VLOOKUP(A28,Enforcements!$C$7:$E$21,3,0)</f>
        <v>#N/A</v>
      </c>
      <c r="AD28" s="63" t="str">
        <f t="shared" si="11"/>
        <v>0116-04</v>
      </c>
      <c r="AE28" s="99" t="str">
        <f t="shared" si="12"/>
        <v>aws s3 cp s3://rtdc.mdm.uploadarchive/RTDC4015/2016-09-04/ "%USERPROFILE%\AppData\Local\Temp\OnboardLogs"\RTDC4015\2016-09-04 --recursive &amp; "%USERPROFILE%\Documents\GitHub\mrs-test-scripts\Headless Mode &amp; Sideloading\WalkAndUnGZ.bat" "%USERPROFILE%\AppData\Local\Temp\OnboardLogs"\RTDC4015\2016-09-04 &amp; 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</v>
      </c>
      <c r="AF28" s="96" t="str">
        <f t="shared" si="13"/>
        <v>"C:\Program Files (x86)\AstroGrep\AstroGrep.exe" /spath="%USERPROFILE%\AppData\Local\Temp\OnboardLogs" /stypes="*4015*20160904*"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0" t="str">
        <f t="shared" si="17"/>
        <v>"%USERPROFILE%\Documents\GitHub\eaglep3\Utilities\RefineRTDCRunTimes.py" --tripid 116-04 --locoid 4015 --swversion DE.1.0.7.0 --startMP 204:232979 --initTime 2016-09-04T06:07:14 --startdatetime 2016-09-04T06:26:26 --delay 1 --endMP 204:150 --enddatetime 2016-09-04T07:02:34 --enforcementcount 0 &gt;&gt;C:\Users\stu\Documents\GitHub\eaglep3-reporting\EC\2016-09-04-refined-times.txt</v>
      </c>
      <c r="AI28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{"issue":{"subject":"","project_id":79,"tracker_id":40,"status_id":1,"priority_id":2,"assigned_to_id":23,"start_date":"2016-09-04","description":"","custom_fields":[{"id":1,"name":"Subdivision","value":"EC"},{"id":4,"name":"Milepost","value":"23.2829"},{"id":17,"name":"Train ID","value":"116-04"},{"id":16,"name":"Locomotive ID","value":"4015"},{"id":130,"name":"Impact","value":""},{"id":150,"name":"Time of Event (Mountain Time)","value":"07:02:34"},{"id":151,"name":"Denver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383</v>
      </c>
      <c r="B29" s="7">
        <v>4031</v>
      </c>
      <c r="C29" s="24" t="s">
        <v>112</v>
      </c>
      <c r="D29" s="24" t="s">
        <v>270</v>
      </c>
      <c r="E29" s="15">
        <v>42617.233229166668</v>
      </c>
      <c r="F29" s="15">
        <v>42617.239768518521</v>
      </c>
      <c r="G29" s="7">
        <v>1</v>
      </c>
      <c r="H29" s="15" t="s">
        <v>297</v>
      </c>
      <c r="I29" s="15">
        <v>42617.264502314814</v>
      </c>
      <c r="J29" s="7">
        <v>0</v>
      </c>
      <c r="K29" s="132" t="str">
        <f t="shared" si="0"/>
        <v>4031/4032</v>
      </c>
      <c r="L29" s="24" t="str">
        <f>VLOOKUP(A29,'Trips&amp;Operators'!$C$1:$E$10000,3,FALSE)</f>
        <v>ACKERMAN</v>
      </c>
      <c r="M29" s="6">
        <f t="shared" si="1"/>
        <v>2.4733796293730848E-2</v>
      </c>
      <c r="N29" s="7">
        <f t="shared" si="2"/>
        <v>35.61666666297242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2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https://search-rtdc-monitor-bjffxe2xuh6vdkpspy63sjmuny.us-east-1.es.amazonaws.com/_plugin/kibana/#/discover/Steve-Slow-Train-Analysis-(2080s-and-2083s)?_g=(refreshInterval:(display:Off,section:0,value:0),time:(from:'2016-09-04 04:35:51-0600',mode:absolute,to:'2016-09-04 07:20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9" s="54" t="str">
        <f t="shared" si="6"/>
        <v>N</v>
      </c>
      <c r="X29" s="120">
        <f t="shared" si="7"/>
        <v>1</v>
      </c>
      <c r="Y29" s="69">
        <f t="shared" si="8"/>
        <v>4.3700000000000003E-2</v>
      </c>
      <c r="Z29" s="69">
        <f t="shared" si="9"/>
        <v>23.328199999999999</v>
      </c>
      <c r="AA29" s="69">
        <f t="shared" si="10"/>
        <v>23.284499999999998</v>
      </c>
      <c r="AB29" s="66" t="e">
        <f>VLOOKUP(A29,Enforcements!$C$7:$J$21,8,0)</f>
        <v>#N/A</v>
      </c>
      <c r="AC29" s="62" t="e">
        <f>VLOOKUP(A29,Enforcements!$C$7:$E$21,3,0)</f>
        <v>#N/A</v>
      </c>
      <c r="AD29" s="63" t="str">
        <f t="shared" si="11"/>
        <v>0117-04</v>
      </c>
      <c r="AE29" s="99" t="str">
        <f t="shared" si="12"/>
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</c>
      <c r="AF29" s="96" t="str">
        <f t="shared" si="13"/>
        <v>"C:\Program Files (x86)\AstroGrep\AstroGrep.exe" /spath="%USERPROFILE%\AppData\Local\Temp\OnboardLogs" /stypes="*4031*20160904*"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0" t="str">
        <f t="shared" si="17"/>
        <v>"%USERPROFILE%\Documents\GitHub\eaglep3\Utilities\RefineRTDCRunTimes.py" --tripid 117-04 --locoid 4031 --swversion DE.1.0.7.0 --startMP 204:437 --initTime 2016-09-04T05:35:51 --startdatetime 2016-09-04T05:45:16 --delay 1 --endMP 204:233282 --enddatetime 2016-09-04T06:20:53 --enforcementcount 0 &gt;&gt;C:\Users\stu\Documents\GitHub\eaglep3-reporting\EC\2016-09-04-refined-times.txt</v>
      </c>
      <c r="AI29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{"issue":{"subject":"","project_id":79,"tracker_id":40,"status_id":1,"priority_id":2,"assigned_to_id":23,"start_date":"2016-09-04","description":"","custom_fields":[{"id":1,"name":"Subdivision","value":"EC"},{"id":4,"name":"Milepost","value":"23.2845"},{"id":17,"name":"Train ID","value":"117-04"},{"id":16,"name":"Locomotive ID","value":"4031"},{"id":130,"name":"Impact","value":""},{"id":150,"name":"Time of Event (Mountain Time)","value":"06:20:53"},{"id":151,"name":"Denver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396</v>
      </c>
      <c r="B30" s="7">
        <v>4032</v>
      </c>
      <c r="C30" s="24" t="s">
        <v>112</v>
      </c>
      <c r="D30" s="24" t="s">
        <v>285</v>
      </c>
      <c r="E30" s="15">
        <v>42617.272337962961</v>
      </c>
      <c r="F30" s="15">
        <v>42617.278692129628</v>
      </c>
      <c r="G30" s="7">
        <v>1</v>
      </c>
      <c r="H30" s="15" t="s">
        <v>250</v>
      </c>
      <c r="I30" s="15">
        <v>42617.305486111109</v>
      </c>
      <c r="J30" s="7">
        <v>0</v>
      </c>
      <c r="K30" s="132" t="str">
        <f t="shared" si="0"/>
        <v>4031/4032</v>
      </c>
      <c r="L30" s="24" t="str">
        <f>VLOOKUP(A30,'Trips&amp;Operators'!$C$1:$E$10000,3,FALSE)</f>
        <v>ACKERMAN</v>
      </c>
      <c r="M30" s="6">
        <f t="shared" si="1"/>
        <v>2.679398148029577E-2</v>
      </c>
      <c r="N30" s="7">
        <f t="shared" si="2"/>
        <v>38.583333331625909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2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https://search-rtdc-monitor-bjffxe2xuh6vdkpspy63sjmuny.us-east-1.es.amazonaws.com/_plugin/kibana/#/discover/Steve-Slow-Train-Analysis-(2080s-and-2083s)?_g=(refreshInterval:(display:Off,section:0,value:0),time:(from:'2016-09-04 05:32:10-0600',mode:absolute,to:'2016-09-04 08:19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30" s="54" t="str">
        <f t="shared" si="6"/>
        <v>N</v>
      </c>
      <c r="X30" s="120">
        <f t="shared" si="7"/>
        <v>1</v>
      </c>
      <c r="Y30" s="69">
        <f t="shared" si="8"/>
        <v>23.2973</v>
      </c>
      <c r="Z30" s="69">
        <f t="shared" si="9"/>
        <v>1.38E-2</v>
      </c>
      <c r="AA30" s="69">
        <f t="shared" si="10"/>
        <v>23.2835</v>
      </c>
      <c r="AB30" s="66" t="e">
        <f>VLOOKUP(A30,Enforcements!$C$7:$J$21,8,0)</f>
        <v>#N/A</v>
      </c>
      <c r="AC30" s="62" t="e">
        <f>VLOOKUP(A30,Enforcements!$C$7:$E$21,3,0)</f>
        <v>#N/A</v>
      </c>
      <c r="AD30" s="63" t="str">
        <f t="shared" si="11"/>
        <v>0118-04</v>
      </c>
      <c r="AE30" s="99" t="str">
        <f t="shared" si="12"/>
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</c>
      <c r="AF30" s="96" t="str">
        <f t="shared" si="13"/>
        <v>"C:\Program Files (x86)\AstroGrep\AstroGrep.exe" /spath="%USERPROFILE%\AppData\Local\Temp\OnboardLogs" /stypes="*4032*20160904*"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0" t="str">
        <f t="shared" si="17"/>
        <v>"%USERPROFILE%\Documents\GitHub\eaglep3\Utilities\RefineRTDCRunTimes.py" --tripid 118-04 --locoid 4032 --swversion DE.1.0.7.0 --startMP 204:232973 --initTime 2016-09-04T06:32:10 --startdatetime 2016-09-04T06:41:19 --delay 1 --endMP 204:138 --enddatetime 2016-09-04T07:19:54 --enforcementcount 0 &gt;&gt;C:\Users\stu\Documents\GitHub\eaglep3-reporting\EC\2016-09-04-refined-times.txt</v>
      </c>
      <c r="AI30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{"issue":{"subject":"","project_id":79,"tracker_id":40,"status_id":1,"priority_id":2,"assigned_to_id":23,"start_date":"2016-09-04","description":"","custom_fields":[{"id":1,"name":"Subdivision","value":"EC"},{"id":4,"name":"Milepost","value":"23.2835"},{"id":17,"name":"Train ID","value":"118-04"},{"id":16,"name":"Locomotive ID","value":"4032"},{"id":130,"name":"Impact","value":""},{"id":150,"name":"Time of Event (Mountain Time)","value":"07:19:54"},{"id":151,"name":"Denver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389</v>
      </c>
      <c r="B31" s="7">
        <v>4018</v>
      </c>
      <c r="C31" s="24" t="s">
        <v>112</v>
      </c>
      <c r="D31" s="24" t="s">
        <v>572</v>
      </c>
      <c r="E31" s="15">
        <v>42617.24832175926</v>
      </c>
      <c r="F31" s="15">
        <v>42617.250231481485</v>
      </c>
      <c r="G31" s="7">
        <v>1</v>
      </c>
      <c r="H31" s="15" t="s">
        <v>248</v>
      </c>
      <c r="I31" s="15">
        <v>42617.276030092595</v>
      </c>
      <c r="J31" s="7">
        <v>0</v>
      </c>
      <c r="K31" s="132" t="str">
        <f t="shared" si="0"/>
        <v>4017/4018</v>
      </c>
      <c r="L31" s="24" t="str">
        <f>VLOOKUP(A31,'Trips&amp;Operators'!$C$1:$E$10000,3,FALSE)</f>
        <v>MAELZER</v>
      </c>
      <c r="M31" s="6">
        <f t="shared" si="1"/>
        <v>2.5798611110076308E-2</v>
      </c>
      <c r="N31" s="7">
        <f t="shared" si="2"/>
        <v>37.149999998509884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2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https://search-rtdc-monitor-bjffxe2xuh6vdkpspy63sjmuny.us-east-1.es.amazonaws.com/_plugin/kibana/#/discover/Steve-Slow-Train-Analysis-(2080s-and-2083s)?_g=(refreshInterval:(display:Off,section:0,value:0),time:(from:'2016-09-04 04:57:35-0600',mode:absolute,to:'2016-09-04 07:37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31" s="54" t="str">
        <f t="shared" si="6"/>
        <v>N</v>
      </c>
      <c r="X31" s="120">
        <f t="shared" si="7"/>
        <v>1</v>
      </c>
      <c r="Y31" s="69">
        <f t="shared" si="8"/>
        <v>7.6300000000000007E-2</v>
      </c>
      <c r="Z31" s="69">
        <f t="shared" si="9"/>
        <v>23.330200000000001</v>
      </c>
      <c r="AA31" s="69">
        <f t="shared" si="10"/>
        <v>23.253900000000002</v>
      </c>
      <c r="AB31" s="66" t="e">
        <f>VLOOKUP(A31,Enforcements!$C$7:$J$21,8,0)</f>
        <v>#N/A</v>
      </c>
      <c r="AC31" s="62" t="e">
        <f>VLOOKUP(A31,Enforcements!$C$7:$E$21,3,0)</f>
        <v>#N/A</v>
      </c>
      <c r="AD31" s="63" t="str">
        <f t="shared" si="11"/>
        <v>0119-04</v>
      </c>
      <c r="AE31" s="99" t="str">
        <f t="shared" si="12"/>
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</c>
      <c r="AF31" s="96" t="str">
        <f t="shared" si="13"/>
        <v>"C:\Program Files (x86)\AstroGrep\AstroGrep.exe" /spath="%USERPROFILE%\AppData\Local\Temp\OnboardLogs" /stypes="*4018*20160904*"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0" t="str">
        <f t="shared" si="17"/>
        <v>"%USERPROFILE%\Documents\GitHub\eaglep3\Utilities\RefineRTDCRunTimes.py" --tripid 119-04 --locoid 4018 --swversion DE.1.0.7.0 --startMP 204:763 --initTime 2016-09-04T05:57:35 --startdatetime 2016-09-04T06:00:20 --delay 1 --endMP 204:233302 --enddatetime 2016-09-04T06:37:29 --enforcementcount 0 &gt;&gt;C:\Users\stu\Documents\GitHub\eaglep3-reporting\EC\2016-09-04-refined-times.txt</v>
      </c>
      <c r="AI31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{"issue":{"subject":"","project_id":79,"tracker_id":40,"status_id":1,"priority_id":2,"assigned_to_id":23,"start_date":"2016-09-04","description":"","custom_fields":[{"id":1,"name":"Subdivision","value":"EC"},{"id":4,"name":"Milepost","value":"23.2539"},{"id":17,"name":"Train ID","value":"119-04"},{"id":16,"name":"Locomotive ID","value":"4018"},{"id":130,"name":"Impact","value":""},{"id":150,"name":"Time of Event (Mountain Time)","value":"06:37:29"},{"id":151,"name":"Denver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399</v>
      </c>
      <c r="B32" s="7">
        <v>4017</v>
      </c>
      <c r="C32" s="24" t="s">
        <v>112</v>
      </c>
      <c r="D32" s="24" t="s">
        <v>133</v>
      </c>
      <c r="E32" s="15">
        <v>42617.2815625</v>
      </c>
      <c r="F32" s="15">
        <v>42617.289178240739</v>
      </c>
      <c r="G32" s="7">
        <v>1</v>
      </c>
      <c r="H32" s="15" t="s">
        <v>249</v>
      </c>
      <c r="I32" s="15">
        <v>42617.316250000003</v>
      </c>
      <c r="J32" s="7">
        <v>0</v>
      </c>
      <c r="K32" s="132" t="str">
        <f t="shared" si="0"/>
        <v>4017/4018</v>
      </c>
      <c r="L32" s="24" t="str">
        <f>VLOOKUP(A32,'Trips&amp;Operators'!$C$1:$E$10000,3,FALSE)</f>
        <v>MAELZER</v>
      </c>
      <c r="M32" s="6">
        <f t="shared" si="1"/>
        <v>2.7071759264799766E-2</v>
      </c>
      <c r="N32" s="7">
        <f t="shared" si="2"/>
        <v>38.983333341311663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2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https://search-rtdc-monitor-bjffxe2xuh6vdkpspy63sjmuny.us-east-1.es.amazonaws.com/_plugin/kibana/#/discover/Steve-Slow-Train-Analysis-(2080s-and-2083s)?_g=(refreshInterval:(display:Off,section:0,value:0),time:(from:'2016-09-04 05:45:27-0600',mode:absolute,to:'2016-09-04 08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32" s="54" t="str">
        <f t="shared" si="6"/>
        <v>N</v>
      </c>
      <c r="X32" s="120">
        <f t="shared" si="7"/>
        <v>1</v>
      </c>
      <c r="Y32" s="69">
        <f t="shared" si="8"/>
        <v>23.299399999999999</v>
      </c>
      <c r="Z32" s="69">
        <f t="shared" si="9"/>
        <v>1.61E-2</v>
      </c>
      <c r="AA32" s="69">
        <f t="shared" si="10"/>
        <v>23.283299999999997</v>
      </c>
      <c r="AB32" s="66" t="e">
        <f>VLOOKUP(A32,Enforcements!$C$7:$J$21,8,0)</f>
        <v>#N/A</v>
      </c>
      <c r="AC32" s="62" t="e">
        <f>VLOOKUP(A32,Enforcements!$C$7:$E$21,3,0)</f>
        <v>#N/A</v>
      </c>
      <c r="AD32" s="63" t="str">
        <f t="shared" si="11"/>
        <v>0120-04</v>
      </c>
      <c r="AE32" s="99" t="str">
        <f t="shared" si="12"/>
        <v>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 &amp; 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</v>
      </c>
      <c r="AF32" s="96" t="str">
        <f t="shared" si="13"/>
        <v>"C:\Program Files (x86)\AstroGrep\AstroGrep.exe" /spath="%USERPROFILE%\AppData\Local\Temp\OnboardLogs" /stypes="*4017*20160904*"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100" t="str">
        <f t="shared" si="17"/>
        <v>"%USERPROFILE%\Documents\GitHub\eaglep3\Utilities\RefineRTDCRunTimes.py" --tripid 120-04 --locoid 4017 --swversion DE.1.0.7.0 --startMP 204:232994 --initTime 2016-09-04T06:45:27 --startdatetime 2016-09-04T06:56:25 --delay 1 --endMP 204:161 --enddatetime 2016-09-04T07:35:24 --enforcementcount 0 &gt;&gt;C:\Users\stu\Documents\GitHub\eaglep3-reporting\EC\2016-09-04-refined-times.txt</v>
      </c>
      <c r="AI32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{"issue":{"subject":"","project_id":79,"tracker_id":40,"status_id":1,"priority_id":2,"assigned_to_id":23,"start_date":"2016-09-04","description":"","custom_fields":[{"id":1,"name":"Subdivision","value":"EC"},{"id":4,"name":"Milepost","value":"23.2833"},{"id":17,"name":"Train ID","value":"120-04"},{"id":16,"name":"Locomotive ID","value":"4017"},{"id":130,"name":"Impact","value":""},{"id":150,"name":"Time of Event (Mountain Time)","value":"07:35:24"},{"id":151,"name":"Denver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393</v>
      </c>
      <c r="B33" s="7">
        <v>4038</v>
      </c>
      <c r="C33" s="24" t="s">
        <v>112</v>
      </c>
      <c r="D33" s="24" t="s">
        <v>231</v>
      </c>
      <c r="E33" s="15">
        <v>42617.256944444445</v>
      </c>
      <c r="F33" s="15">
        <v>42617.260555555556</v>
      </c>
      <c r="G33" s="7">
        <v>1</v>
      </c>
      <c r="H33" s="15" t="s">
        <v>336</v>
      </c>
      <c r="I33" s="15">
        <v>42617.285358796296</v>
      </c>
      <c r="J33" s="7">
        <v>0</v>
      </c>
      <c r="K33" s="132" t="str">
        <f t="shared" si="0"/>
        <v>4037/4038</v>
      </c>
      <c r="L33" s="24" t="str">
        <f>VLOOKUP(A33,'Trips&amp;Operators'!$C$1:$E$10000,3,FALSE)</f>
        <v>DAVIS</v>
      </c>
      <c r="M33" s="6">
        <f t="shared" si="1"/>
        <v>2.4803240739856847E-2</v>
      </c>
      <c r="N33" s="7">
        <f t="shared" si="2"/>
        <v>35.716666665393859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2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https://search-rtdc-monitor-bjffxe2xuh6vdkpspy63sjmuny.us-east-1.es.amazonaws.com/_plugin/kibana/#/discover/Steve-Slow-Train-Analysis-(2080s-and-2083s)?_g=(refreshInterval:(display:Off,section:0,value:0),time:(from:'2016-09-04 05:10:00-0600',mode:absolute,to:'2016-09-04 07:50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33" s="54" t="str">
        <f t="shared" si="6"/>
        <v>N</v>
      </c>
      <c r="X33" s="120">
        <f t="shared" si="7"/>
        <v>1</v>
      </c>
      <c r="Y33" s="69">
        <f t="shared" si="8"/>
        <v>4.58E-2</v>
      </c>
      <c r="Z33" s="69">
        <f t="shared" si="9"/>
        <v>23.330100000000002</v>
      </c>
      <c r="AA33" s="69">
        <f t="shared" si="10"/>
        <v>23.284300000000002</v>
      </c>
      <c r="AB33" s="66" t="e">
        <f>VLOOKUP(A33,Enforcements!$C$7:$J$21,8,0)</f>
        <v>#N/A</v>
      </c>
      <c r="AC33" s="62" t="e">
        <f>VLOOKUP(A33,Enforcements!$C$7:$E$21,3,0)</f>
        <v>#N/A</v>
      </c>
      <c r="AD33" s="63" t="str">
        <f t="shared" si="11"/>
        <v>0121-04</v>
      </c>
      <c r="AE33" s="99" t="str">
        <f t="shared" si="12"/>
        <v>aws s3 cp s3://rtdc.mdm.uploadarchive/RTDC4038/2016-09-04/ "%USERPROFILE%\AppData\Local\Temp\OnboardLogs"\RTDC4038\2016-09-04 --recursive &amp; "%USERPROFILE%\Documents\GitHub\mrs-test-scripts\Headless Mode &amp; Sideloading\WalkAndUnGZ.bat" "%USERPROFILE%\AppData\Local\Temp\OnboardLogs"\RTDC4038\2016-09-04 &amp; 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</v>
      </c>
      <c r="AF33" s="96" t="str">
        <f t="shared" si="13"/>
        <v>"C:\Program Files (x86)\AstroGrep\AstroGrep.exe" /spath="%USERPROFILE%\AppData\Local\Temp\OnboardLogs" /stypes="*4038*20160904*" /stext=" 12:.+((SYSTEM_STATE.+slice.+state.+changed )|(ment ac)|(system.+state.+changed )|(\|lc)|(penalty)|(\[timeout)|(PRM\|1\|D)|(kpr)|(kdp))" /e /r /s</v>
      </c>
      <c r="AG33" s="1" t="str">
        <f t="shared" si="14"/>
        <v>EC</v>
      </c>
      <c r="AH33" s="100" t="str">
        <f t="shared" si="17"/>
        <v>"%USERPROFILE%\Documents\GitHub\eaglep3\Utilities\RefineRTDCRunTimes.py" --tripid 121-04 --locoid 4038 --swversion DE.1.0.7.0 --startMP 204:458 --initTime 2016-09-04T06:10:00 --startdatetime 2016-09-04T06:15:12 --delay 1 --endMP 204:233301 --enddatetime 2016-09-04T06:50:55 --enforcementcount 0 &gt;&gt;C:\Users\stu\Documents\GitHub\eaglep3-reporting\EC\2016-09-04-refined-times.txt</v>
      </c>
      <c r="AI33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{"issue":{"subject":"","project_id":79,"tracker_id":40,"status_id":1,"priority_id":2,"assigned_to_id":23,"start_date":"2016-09-04","description":"","custom_fields":[{"id":1,"name":"Subdivision","value":"EC"},{"id":4,"name":"Milepost","value":"23.2843"},{"id":17,"name":"Train ID","value":"121-04"},{"id":16,"name":"Locomotive ID","value":"4038"},{"id":130,"name":"Impact","value":""},{"id":150,"name":"Time of Event (Mountain Time)","value":"06:50:55"},{"id":151,"name":"Denver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401</v>
      </c>
      <c r="B34" s="7">
        <v>4037</v>
      </c>
      <c r="C34" s="24" t="s">
        <v>112</v>
      </c>
      <c r="D34" s="24" t="s">
        <v>289</v>
      </c>
      <c r="E34" s="15">
        <v>42617.293402777781</v>
      </c>
      <c r="F34" s="15">
        <v>42617.299456018518</v>
      </c>
      <c r="G34" s="7">
        <v>1</v>
      </c>
      <c r="H34" s="15" t="s">
        <v>252</v>
      </c>
      <c r="I34" s="15">
        <v>42617.335081018522</v>
      </c>
      <c r="J34" s="7">
        <v>0</v>
      </c>
      <c r="K34" s="132" t="str">
        <f t="shared" si="0"/>
        <v>4037/4038</v>
      </c>
      <c r="L34" s="24" t="str">
        <f>VLOOKUP(A34,'Trips&amp;Operators'!$C$1:$E$10000,3,FALSE)</f>
        <v>DAVIS</v>
      </c>
      <c r="M34" s="6">
        <f t="shared" si="1"/>
        <v>3.5625000004074536E-2</v>
      </c>
      <c r="N34" s="7">
        <f t="shared" si="2"/>
        <v>51.300000005867332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2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https://search-rtdc-monitor-bjffxe2xuh6vdkpspy63sjmuny.us-east-1.es.amazonaws.com/_plugin/kibana/#/discover/Steve-Slow-Train-Analysis-(2080s-and-2083s)?_g=(refreshInterval:(display:Off,section:0,value:0),time:(from:'2016-09-04 06:02:30-0600',mode:absolute,to:'2016-09-04 09:02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34" s="54" t="str">
        <f t="shared" si="6"/>
        <v>N</v>
      </c>
      <c r="X34" s="120">
        <f t="shared" si="7"/>
        <v>1</v>
      </c>
      <c r="Y34" s="69">
        <f t="shared" si="8"/>
        <v>23.298200000000001</v>
      </c>
      <c r="Z34" s="69">
        <f t="shared" si="9"/>
        <v>1.41E-2</v>
      </c>
      <c r="AA34" s="69">
        <f t="shared" si="10"/>
        <v>23.284100000000002</v>
      </c>
      <c r="AB34" s="66" t="e">
        <f>VLOOKUP(A34,Enforcements!$C$7:$J$21,8,0)</f>
        <v>#N/A</v>
      </c>
      <c r="AC34" s="62" t="e">
        <f>VLOOKUP(A34,Enforcements!$C$7:$E$21,3,0)</f>
        <v>#N/A</v>
      </c>
      <c r="AD34" s="63" t="str">
        <f t="shared" si="11"/>
        <v>0122-04</v>
      </c>
      <c r="AE34" s="99" t="str">
        <f t="shared" si="12"/>
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</c>
      <c r="AF34" s="96" t="str">
        <f t="shared" si="13"/>
        <v>"C:\Program Files (x86)\AstroGrep\AstroGrep.exe" /spath="%USERPROFILE%\AppData\Local\Temp\OnboardLogs" /stypes="*4037*20160904*" /stext=" 14:.+((SYSTEM_STATE.+slice.+state.+changed )|(ment ac)|(system.+state.+changed )|(\|lc)|(penalty)|(\[timeout)|(PRM\|1\|D)|(kpr)|(kdp))" /e /r /s</v>
      </c>
      <c r="AG34" s="1" t="str">
        <f t="shared" si="14"/>
        <v>EC</v>
      </c>
      <c r="AH34" s="100" t="str">
        <f t="shared" si="17"/>
        <v>"%USERPROFILE%\Documents\GitHub\eaglep3\Utilities\RefineRTDCRunTimes.py" --tripid 122-04 --locoid 4037 --swversion DE.1.0.7.0 --startMP 204:232982 --initTime 2016-09-04T07:02:30 --startdatetime 2016-09-04T07:11:13 --delay 1 --endMP 204:141 --enddatetime 2016-09-04T08:02:31 --enforcementcount 0 &gt;&gt;C:\Users\stu\Documents\GitHub\eaglep3-reporting\EC\2016-09-04-refined-times.txt</v>
      </c>
      <c r="AI34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{"issue":{"subject":"","project_id":79,"tracker_id":40,"status_id":1,"priority_id":2,"assigned_to_id":23,"start_date":"2016-09-04","description":"","custom_fields":[{"id":1,"name":"Subdivision","value":"EC"},{"id":4,"name":"Milepost","value":"23.2841"},{"id":17,"name":"Train ID","value":"122-04"},{"id":16,"name":"Locomotive ID","value":"4037"},{"id":130,"name":"Impact","value":""},{"id":150,"name":"Time of Event (Mountain Time)","value":"08:02:31"},{"id":151,"name":"Denver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ht="16.5" customHeight="1" x14ac:dyDescent="0.25">
      <c r="A35" s="39" t="s">
        <v>395</v>
      </c>
      <c r="B35" s="7">
        <v>4002</v>
      </c>
      <c r="C35" s="24" t="s">
        <v>112</v>
      </c>
      <c r="D35" s="24" t="s">
        <v>147</v>
      </c>
      <c r="E35" s="15">
        <v>42617.269016203703</v>
      </c>
      <c r="F35" s="15">
        <v>42617.271064814813</v>
      </c>
      <c r="G35" s="7">
        <v>1</v>
      </c>
      <c r="H35" s="15" t="s">
        <v>573</v>
      </c>
      <c r="I35" s="15">
        <v>42617.296631944446</v>
      </c>
      <c r="J35" s="7">
        <v>0</v>
      </c>
      <c r="K35" s="132" t="str">
        <f t="shared" si="0"/>
        <v>4001/4002</v>
      </c>
      <c r="L35" s="24" t="str">
        <f>VLOOKUP(A35,'Trips&amp;Operators'!$C$1:$E$10000,3,FALSE)</f>
        <v>MALAVE</v>
      </c>
      <c r="M35" s="6">
        <f t="shared" si="1"/>
        <v>2.5567129632690921E-2</v>
      </c>
      <c r="N35" s="7">
        <f t="shared" si="2"/>
        <v>36.816666671074927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2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https://search-rtdc-monitor-bjffxe2xuh6vdkpspy63sjmuny.us-east-1.es.amazonaws.com/_plugin/kibana/#/discover/Steve-Slow-Train-Analysis-(2080s-and-2083s)?_g=(refreshInterval:(display:Off,section:0,value:0),time:(from:'2016-09-04 05:27:23-0600',mode:absolute,to:'2016-09-04 08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35" s="54" t="str">
        <f t="shared" si="6"/>
        <v>N</v>
      </c>
      <c r="X35" s="120">
        <f t="shared" si="7"/>
        <v>1</v>
      </c>
      <c r="Y35" s="69">
        <f t="shared" si="8"/>
        <v>4.5100000000000001E-2</v>
      </c>
      <c r="Z35" s="69">
        <f t="shared" si="9"/>
        <v>23.33</v>
      </c>
      <c r="AA35" s="69">
        <f t="shared" si="10"/>
        <v>23.284899999999997</v>
      </c>
      <c r="AB35" s="66" t="e">
        <f>VLOOKUP(A35,Enforcements!$C$7:$J$21,8,0)</f>
        <v>#N/A</v>
      </c>
      <c r="AC35" s="62" t="e">
        <f>VLOOKUP(A35,Enforcements!$C$7:$E$21,3,0)</f>
        <v>#N/A</v>
      </c>
      <c r="AD35" s="63" t="str">
        <f t="shared" si="11"/>
        <v>0123-04</v>
      </c>
      <c r="AE35" s="99" t="str">
        <f t="shared" si="12"/>
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</c>
      <c r="AF35" s="96" t="str">
        <f t="shared" si="13"/>
        <v>"C:\Program Files (x86)\AstroGrep\AstroGrep.exe" /spath="%USERPROFILE%\AppData\Local\Temp\OnboardLogs" /stypes="*4002*20160904*"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0" t="str">
        <f t="shared" si="17"/>
        <v>"%USERPROFILE%\Documents\GitHub\eaglep3\Utilities\RefineRTDCRunTimes.py" --tripid 123-04 --locoid 4002 --swversion DE.1.0.7.0 --startMP 204:451 --initTime 2016-09-04T06:27:23 --startdatetime 2016-09-04T06:30:20 --delay 1 --endMP 204:233300 --enddatetime 2016-09-04T07:07:09 --enforcementcount 0 &gt;&gt;C:\Users\stu\Documents\GitHub\eaglep3-reporting\EC\2016-09-04-refined-times.txt</v>
      </c>
      <c r="AI35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{"issue":{"subject":"","project_id":79,"tracker_id":40,"status_id":1,"priority_id":2,"assigned_to_id":23,"start_date":"2016-09-04","description":"","custom_fields":[{"id":1,"name":"Subdivision","value":"EC"},{"id":4,"name":"Milepost","value":"23.2849"},{"id":17,"name":"Train ID","value":"123-04"},{"id":16,"name":"Locomotive ID","value":"4002"},{"id":130,"name":"Impact","value":""},{"id":150,"name":"Time of Event (Mountain Time)","value":"07:07:09"},{"id":151,"name":"Denver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404</v>
      </c>
      <c r="B36" s="7">
        <v>4001</v>
      </c>
      <c r="C36" s="24" t="s">
        <v>112</v>
      </c>
      <c r="D36" s="24" t="s">
        <v>232</v>
      </c>
      <c r="E36" s="15">
        <v>42617.305405092593</v>
      </c>
      <c r="F36" s="15">
        <v>42617.310023148151</v>
      </c>
      <c r="G36" s="7">
        <v>6</v>
      </c>
      <c r="H36" s="15" t="s">
        <v>135</v>
      </c>
      <c r="I36" s="15">
        <v>42617.340474537035</v>
      </c>
      <c r="J36" s="7">
        <v>0</v>
      </c>
      <c r="K36" s="132" t="str">
        <f t="shared" si="0"/>
        <v>4001/4002</v>
      </c>
      <c r="L36" s="24" t="str">
        <f>VLOOKUP(A36,'Trips&amp;Operators'!$C$1:$E$10000,3,FALSE)</f>
        <v>MALAVE</v>
      </c>
      <c r="M36" s="6">
        <f t="shared" si="1"/>
        <v>3.0451388884102926E-2</v>
      </c>
      <c r="N36" s="7">
        <f t="shared" si="2"/>
        <v>43.849999993108213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2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https://search-rtdc-monitor-bjffxe2xuh6vdkpspy63sjmuny.us-east-1.es.amazonaws.com/_plugin/kibana/#/discover/Steve-Slow-Train-Analysis-(2080s-and-2083s)?_g=(refreshInterval:(display:Off,section:0,value:0),time:(from:'2016-09-04 06:19:47-0600',mode:absolute,to:'2016-09-04 09:10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36" s="54" t="str">
        <f t="shared" si="6"/>
        <v>N</v>
      </c>
      <c r="X36" s="120">
        <f t="shared" si="7"/>
        <v>1</v>
      </c>
      <c r="Y36" s="69">
        <f t="shared" si="8"/>
        <v>23.298500000000001</v>
      </c>
      <c r="Z36" s="69">
        <f t="shared" si="9"/>
        <v>1.49E-2</v>
      </c>
      <c r="AA36" s="69">
        <f t="shared" si="10"/>
        <v>23.2836</v>
      </c>
      <c r="AB36" s="66">
        <f>VLOOKUP(A36,Enforcements!$C$7:$J$21,8,0)</f>
        <v>200464</v>
      </c>
      <c r="AC36" s="62" t="str">
        <f>VLOOKUP(A36,Enforcements!$C$7:$E$21,3,0)</f>
        <v>PERMANENT SPEED RESTRICTION</v>
      </c>
      <c r="AD36" s="63" t="str">
        <f t="shared" si="11"/>
        <v>0124-04</v>
      </c>
      <c r="AE36" s="99" t="str">
        <f t="shared" si="12"/>
        <v>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 &amp; 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</v>
      </c>
      <c r="AF36" s="96" t="str">
        <f t="shared" si="13"/>
        <v>"C:\Program Files (x86)\AstroGrep\AstroGrep.exe" /spath="%USERPROFILE%\AppData\Local\Temp\OnboardLogs" /stypes="*4001*20160904*"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100" t="str">
        <f t="shared" si="17"/>
        <v>"%USERPROFILE%\Documents\GitHub\eaglep3\Utilities\RefineRTDCRunTimes.py" --tripid 124-04 --locoid 4001 --swversion DE.1.0.7.0 --startMP 204:232985 --initTime 2016-09-04T07:19:47 --startdatetime 2016-09-04T07:26:26 --delay 6 --endMP 204:149 --enddatetime 2016-09-04T08:10:17 --enforcementcount 0 &gt;&gt;C:\Users\stu\Documents\GitHub\eaglep3-reporting\EC\2016-09-04-refined-times.txt</v>
      </c>
      <c r="AI36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{"issue":{"subject":"","project_id":79,"tracker_id":40,"status_id":1,"priority_id":2,"assigned_to_id":23,"start_date":"2016-09-04","description":"","custom_fields":[{"id":1,"name":"Subdivision","value":"EC"},{"id":4,"name":"Milepost","value":"23.2836"},{"id":17,"name":"Train ID","value":"124-04"},{"id":16,"name":"Locomotive ID","value":"4001"},{"id":130,"name":"Impact","value":""},{"id":150,"name":"Time of Event (Mountain Time)","value":"08:10:17"},{"id":151,"name":"Denver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31" customFormat="1" x14ac:dyDescent="0.25">
      <c r="A37" s="39" t="s">
        <v>398</v>
      </c>
      <c r="B37" s="7">
        <v>4025</v>
      </c>
      <c r="C37" s="24" t="s">
        <v>112</v>
      </c>
      <c r="D37" s="24" t="s">
        <v>574</v>
      </c>
      <c r="E37" s="15">
        <v>42617.289224537039</v>
      </c>
      <c r="F37" s="15">
        <v>42617.290266203701</v>
      </c>
      <c r="G37" s="7">
        <v>1</v>
      </c>
      <c r="H37" s="15" t="s">
        <v>243</v>
      </c>
      <c r="I37" s="15">
        <v>42617.314120370371</v>
      </c>
      <c r="J37" s="7">
        <v>0</v>
      </c>
      <c r="K37" s="132" t="str">
        <f t="shared" si="0"/>
        <v>4025/4026</v>
      </c>
      <c r="L37" s="24" t="str">
        <f>VLOOKUP(A37,'Trips&amp;Operators'!$C$1:$E$10000,3,FALSE)</f>
        <v>STRICKLAND</v>
      </c>
      <c r="M37" s="6">
        <f t="shared" si="1"/>
        <v>2.3854166669480037E-2</v>
      </c>
      <c r="N37" s="7"/>
      <c r="O37" s="7"/>
      <c r="P37" s="7">
        <f>24*60*SUM($M37:$M37)</f>
        <v>34.350000004051253</v>
      </c>
      <c r="Q37" s="25"/>
      <c r="R37" s="25" t="s">
        <v>679</v>
      </c>
      <c r="S37" s="37">
        <f t="shared" si="3"/>
        <v>0.75</v>
      </c>
      <c r="T37" s="52" t="str">
        <f t="shared" si="4"/>
        <v>NorthBound</v>
      </c>
      <c r="U37" s="12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9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https://search-rtdc-monitor-bjffxe2xuh6vdkpspy63sjmuny.us-east-1.es.amazonaws.com/_plugin/kibana/#/discover/Steve-Slow-Train-Analysis-(2080s-and-2083s)?_g=(refreshInterval:(display:Off,section:0,value:0),time:(from:'2016-09-04 05:56:29-0600',mode:absolute,to:'2016-09-04 08:32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37" s="54" t="str">
        <f t="shared" si="6"/>
        <v>Y</v>
      </c>
      <c r="X37" s="120">
        <f t="shared" si="7"/>
        <v>1</v>
      </c>
      <c r="Y37" s="69">
        <f t="shared" si="8"/>
        <v>3.7193000000000001</v>
      </c>
      <c r="Z37" s="69">
        <f t="shared" si="9"/>
        <v>23.330300000000001</v>
      </c>
      <c r="AA37" s="69">
        <f t="shared" si="10"/>
        <v>19.611000000000001</v>
      </c>
      <c r="AB37" s="66">
        <f>VLOOKUP(A37,Enforcements!$C$7:$J$21,8,0)</f>
        <v>224578</v>
      </c>
      <c r="AC37" s="62" t="str">
        <f>VLOOKUP(A37,Enforcements!$C$7:$E$21,3,0)</f>
        <v>PERMANENT SPEED RESTRICTION</v>
      </c>
      <c r="AD37" s="63" t="str">
        <f t="shared" si="11"/>
        <v>0125-04</v>
      </c>
      <c r="AE37" s="99" t="str">
        <f t="shared" si="12"/>
        <v>aws s3 cp s3://rtdc.mdm.uploadarchive/RTDC4025/2016-09-04/ "%USERPROFILE%\AppData\Local\Temp\OnboardLogs"\RTDC4025\2016-09-04 --recursive &amp; "%USERPROFILE%\Documents\GitHub\mrs-test-scripts\Headless Mode &amp; Sideloading\WalkAndUnGZ.bat" "%USERPROFILE%\AppData\Local\Temp\OnboardLogs"\RTDC4025\2016-09-04 &amp; 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</v>
      </c>
      <c r="AF37" s="96" t="str">
        <f t="shared" si="13"/>
        <v>"C:\Program Files (x86)\AstroGrep\AstroGrep.exe" /spath="%USERPROFILE%\AppData\Local\Temp\OnboardLogs" /stypes="*4025*20160904*"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0" t="str">
        <f t="shared" si="17"/>
        <v>"%USERPROFILE%\Documents\GitHub\eaglep3\Utilities\RefineRTDCRunTimes.py" --tripid 125-04 --locoid 4025 --swversion DE.1.0.7.0 --startMP 204:37193 --initTime 2016-09-04T06:56:29 --startdatetime 2016-09-04T06:57:59 --delay 1 --endMP 204:233303 --enddatetime 2016-09-04T07:32:20 --enforcementcount 0 &gt;&gt;C:\Users\stu\Documents\GitHub\eaglep3-reporting\EC\2016-09-04-refined-times.txt</v>
      </c>
      <c r="AI37" s="149" t="str">
        <f t="shared" si="18"/>
        <v>echo {"issue":{"subject":"DUS 4N was STOP because 22N was STOP","project_id":79,"tracker_id":40,"status_id":1,"priority_id":2,"assigned_to_id":23,"start_date":"2016-09-04","description":"","custom_fields":[{"id":1,"name":"Subdivision","value":"EC"},{"id":4,"name":"Milepost","value":"19.611"},{"id":17,"name":"Train ID","value":"125-04"},{"id":16,"name":"Locomotive ID","value":"4025"},{"id":130,"name":"Impact","value":""},{"id":150,"name":"Time of Event (Mountain Time)","value":"07:32:20"},{"id":151,"name":"Denver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398</v>
      </c>
      <c r="B38" s="7">
        <v>4025</v>
      </c>
      <c r="C38" s="24" t="s">
        <v>112</v>
      </c>
      <c r="D38" s="24" t="s">
        <v>231</v>
      </c>
      <c r="E38" s="15">
        <v>42617.27716435185</v>
      </c>
      <c r="F38" s="15">
        <v>42617.290266203701</v>
      </c>
      <c r="G38" s="7">
        <v>3</v>
      </c>
      <c r="H38" s="15" t="s">
        <v>575</v>
      </c>
      <c r="I38" s="15">
        <v>42617.314120370371</v>
      </c>
      <c r="J38" s="7">
        <v>0</v>
      </c>
      <c r="K38" s="132" t="str">
        <f t="shared" si="0"/>
        <v>4025/4026</v>
      </c>
      <c r="L38" s="24" t="str">
        <f>VLOOKUP(A38,'Trips&amp;Operators'!$C$1:$E$10000,3,FALSE)</f>
        <v>STRICKLAND</v>
      </c>
      <c r="M38" s="6">
        <f t="shared" si="1"/>
        <v>2.3854166669480037E-2</v>
      </c>
      <c r="N38" s="7"/>
      <c r="O38" s="7"/>
      <c r="P38" s="7"/>
      <c r="Q38" s="25"/>
      <c r="R38" s="25"/>
      <c r="S38" s="37">
        <f t="shared" si="3"/>
        <v>0</v>
      </c>
      <c r="T38" s="52" t="str">
        <f t="shared" si="4"/>
        <v>NorthBound</v>
      </c>
      <c r="U38" s="12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0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https://search-rtdc-monitor-bjffxe2xuh6vdkpspy63sjmuny.us-east-1.es.amazonaws.com/_plugin/kibana/#/discover/Steve-Slow-Train-Analysis-(2080s-and-2083s)?_g=(refreshInterval:(display:Off,section:0,value:0),time:(from:'2016-09-04 05:39:07-0600',mode:absolute,to:'2016-09-04 08:32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38" s="54" t="str">
        <f t="shared" si="6"/>
        <v>Y</v>
      </c>
      <c r="X38" s="120">
        <f t="shared" si="7"/>
        <v>0</v>
      </c>
      <c r="Y38" s="69">
        <f t="shared" si="8"/>
        <v>4.58E-2</v>
      </c>
      <c r="Z38" s="69">
        <f t="shared" si="9"/>
        <v>0.12640000000000001</v>
      </c>
      <c r="AA38" s="69">
        <f t="shared" si="10"/>
        <v>8.0600000000000005E-2</v>
      </c>
      <c r="AB38" s="66">
        <f>VLOOKUP(A38,Enforcements!$C$7:$J$21,8,0)</f>
        <v>224578</v>
      </c>
      <c r="AC38" s="62" t="str">
        <f>VLOOKUP(A38,Enforcements!$C$7:$E$21,3,0)</f>
        <v>PERMANENT SPEED RESTRICTION</v>
      </c>
      <c r="AD38" s="63" t="str">
        <f t="shared" si="11"/>
        <v>0125-04</v>
      </c>
      <c r="AE38" s="99" t="str">
        <f t="shared" si="12"/>
        <v>aws s3 cp s3://rtdc.mdm.uploadarchive/RTDC4025/2016-09-04/ "%USERPROFILE%\AppData\Local\Temp\OnboardLogs"\RTDC4025\2016-09-04 --recursive &amp; "%USERPROFILE%\Documents\GitHub\mrs-test-scripts\Headless Mode &amp; Sideloading\WalkAndUnGZ.bat" "%USERPROFILE%\AppData\Local\Temp\OnboardLogs"\RTDC4025\2016-09-04 &amp; 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</v>
      </c>
      <c r="AF38" s="96" t="str">
        <f t="shared" si="13"/>
        <v>"C:\Program Files (x86)\AstroGrep\AstroGrep.exe" /spath="%USERPROFILE%\AppData\Local\Temp\OnboardLogs" /stypes="*4025*20160904*" /stext=" 13:.+((SYSTEM_STATE.+slice.+state.+changed )|(ment ac)|(system.+state.+changed )|(\|lc)|(penalty)|(\[timeout)|(PRM\|1\|D)|(kpr)|(kdp))" /e /r /s</v>
      </c>
      <c r="AG38" s="1" t="str">
        <f t="shared" si="14"/>
        <v>EC</v>
      </c>
      <c r="AH38" s="100" t="str">
        <f t="shared" si="17"/>
        <v>"%USERPROFILE%\Documents\GitHub\eaglep3\Utilities\RefineRTDCRunTimes.py" --tripid 125-04 --locoid 4025 --swversion DE.1.0.7.0 --startMP 204:458 --initTime 2016-09-04T06:39:07 --startdatetime 2016-09-04T06:57:59 --delay 3 --endMP 204:1264 --enddatetime 2016-09-04T07:32:20 --enforcementcount 0 &gt;&gt;C:\Users\stu\Documents\GitHub\eaglep3-reporting\EC\2016-09-04-refined-times.txt</v>
      </c>
      <c r="AI38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{"issue":{"subject":"","project_id":79,"tracker_id":40,"status_id":1,"priority_id":2,"assigned_to_id":23,"start_date":"2016-09-04","description":"","custom_fields":[{"id":1,"name":"Subdivision","value":"EC"},{"id":4,"name":"Milepost","value":"0.0806"},{"id":17,"name":"Train ID","value":"125-04"},{"id":16,"name":"Locomotive ID","value":"4025"},{"id":130,"name":"Impact","value":""},{"id":150,"name":"Time of Event (Mountain Time)","value":"07:32:20"},{"id":151,"name":"Denver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400</v>
      </c>
      <c r="B39" s="7">
        <v>4009</v>
      </c>
      <c r="C39" s="24" t="s">
        <v>112</v>
      </c>
      <c r="D39" s="24" t="s">
        <v>256</v>
      </c>
      <c r="E39" s="15">
        <v>42617.286053240743</v>
      </c>
      <c r="F39" s="15">
        <v>42617.292118055557</v>
      </c>
      <c r="G39" s="7">
        <v>1</v>
      </c>
      <c r="H39" s="15" t="s">
        <v>248</v>
      </c>
      <c r="I39" s="15">
        <v>42617.320949074077</v>
      </c>
      <c r="J39" s="7">
        <v>0</v>
      </c>
      <c r="K39" s="132" t="str">
        <f t="shared" si="0"/>
        <v>4009/4010</v>
      </c>
      <c r="L39" s="24" t="str">
        <f>VLOOKUP(A39,'Trips&amp;Operators'!$C$1:$E$10000,3,FALSE)</f>
        <v>KILLION</v>
      </c>
      <c r="M39" s="6">
        <f t="shared" si="1"/>
        <v>2.8831018520577345E-2</v>
      </c>
      <c r="N39" s="7">
        <f t="shared" ref="N39:N47" si="19">24*60*SUM($M39:$M39)</f>
        <v>41.516666669631377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2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https://search-rtdc-monitor-bjffxe2xuh6vdkpspy63sjmuny.us-east-1.es.amazonaws.com/_plugin/kibana/#/discover/Steve-Slow-Train-Analysis-(2080s-and-2083s)?_g=(refreshInterval:(display:Off,section:0,value:0),time:(from:'2016-09-04 05:51:55-0600',mode:absolute,to:'2016-09-04 08:42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39" s="54" t="str">
        <f t="shared" si="6"/>
        <v>N</v>
      </c>
      <c r="X39" s="120">
        <f t="shared" si="7"/>
        <v>2</v>
      </c>
      <c r="Y39" s="69">
        <f t="shared" si="8"/>
        <v>4.6899999999999997E-2</v>
      </c>
      <c r="Z39" s="69">
        <f t="shared" si="9"/>
        <v>23.330200000000001</v>
      </c>
      <c r="AA39" s="69">
        <f t="shared" si="10"/>
        <v>23.283300000000001</v>
      </c>
      <c r="AB39" s="66" t="e">
        <f>VLOOKUP(A39,Enforcements!$C$7:$J$21,8,0)</f>
        <v>#N/A</v>
      </c>
      <c r="AC39" s="62" t="e">
        <f>VLOOKUP(A39,Enforcements!$C$7:$E$21,3,0)</f>
        <v>#N/A</v>
      </c>
      <c r="AD39" s="63" t="str">
        <f t="shared" si="11"/>
        <v>0127-04</v>
      </c>
      <c r="AE39" s="99" t="str">
        <f t="shared" si="12"/>
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</c>
      <c r="AF39" s="96" t="str">
        <f t="shared" si="13"/>
        <v>"C:\Program Files (x86)\AstroGrep\AstroGrep.exe" /spath="%USERPROFILE%\AppData\Local\Temp\OnboardLogs" /stypes="*4009*20160904*"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0" t="str">
        <f t="shared" si="17"/>
        <v>"%USERPROFILE%\Documents\GitHub\eaglep3\Utilities\RefineRTDCRunTimes.py" --tripid 127-04 --locoid 4009 --swversion DE.1.0.7.0 --startMP 204:469 --initTime 2016-09-04T06:51:55 --startdatetime 2016-09-04T07:00:39 --delay 1 --endMP 204:233302 --enddatetime 2016-09-04T07:42:10 --enforcementcount 0 &gt;&gt;C:\Users\stu\Documents\GitHub\eaglep3-reporting\EC\2016-09-04-refined-times.txt</v>
      </c>
      <c r="AI39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{"issue":{"subject":"","project_id":79,"tracker_id":40,"status_id":1,"priority_id":2,"assigned_to_id":23,"start_date":"2016-09-04","description":"","custom_fields":[{"id":1,"name":"Subdivision","value":"EC"},{"id":4,"name":"Milepost","value":"23.2833"},{"id":17,"name":"Train ID","value":"127-04"},{"id":16,"name":"Locomotive ID","value":"4009"},{"id":130,"name":"Impact","value":""},{"id":150,"name":"Time of Event (Mountain Time)","value":"07:42:10"},{"id":151,"name":"Denver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408</v>
      </c>
      <c r="B40" s="7">
        <v>4010</v>
      </c>
      <c r="C40" s="24" t="s">
        <v>112</v>
      </c>
      <c r="D40" s="24" t="s">
        <v>286</v>
      </c>
      <c r="E40" s="15">
        <v>42617.325787037036</v>
      </c>
      <c r="F40" s="15">
        <v>42617.330740740741</v>
      </c>
      <c r="G40" s="7">
        <v>1</v>
      </c>
      <c r="H40" s="15" t="s">
        <v>146</v>
      </c>
      <c r="I40" s="15">
        <v>42617.356932870367</v>
      </c>
      <c r="J40" s="7">
        <v>0</v>
      </c>
      <c r="K40" s="132" t="str">
        <f t="shared" si="0"/>
        <v>4009/4010</v>
      </c>
      <c r="L40" s="24" t="str">
        <f>VLOOKUP(A40,'Trips&amp;Operators'!$C$1:$E$10000,3,FALSE)</f>
        <v>KILLION</v>
      </c>
      <c r="M40" s="6">
        <f t="shared" si="1"/>
        <v>2.619212962599704E-2</v>
      </c>
      <c r="N40" s="7">
        <f t="shared" si="19"/>
        <v>37.716666661435738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2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https://search-rtdc-monitor-bjffxe2xuh6vdkpspy63sjmuny.us-east-1.es.amazonaws.com/_plugin/kibana/#/discover/Steve-Slow-Train-Analysis-(2080s-and-2083s)?_g=(refreshInterval:(display:Off,section:0,value:0),time:(from:'2016-09-04 06:49:08-0600',mode:absolute,to:'2016-09-04 09:33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40" s="54" t="str">
        <f t="shared" si="6"/>
        <v>N</v>
      </c>
      <c r="X40" s="120">
        <f t="shared" si="7"/>
        <v>1</v>
      </c>
      <c r="Y40" s="69">
        <f t="shared" si="8"/>
        <v>23.2987</v>
      </c>
      <c r="Z40" s="69">
        <f t="shared" si="9"/>
        <v>1.5599999999999999E-2</v>
      </c>
      <c r="AA40" s="69">
        <f t="shared" si="10"/>
        <v>23.283100000000001</v>
      </c>
      <c r="AB40" s="66" t="e">
        <f>VLOOKUP(A40,Enforcements!$C$7:$J$21,8,0)</f>
        <v>#N/A</v>
      </c>
      <c r="AC40" s="62" t="e">
        <f>VLOOKUP(A40,Enforcements!$C$7:$E$21,3,0)</f>
        <v>#N/A</v>
      </c>
      <c r="AD40" s="63" t="str">
        <f t="shared" si="11"/>
        <v>0128-04</v>
      </c>
      <c r="AE40" s="99" t="str">
        <f t="shared" si="12"/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AF40" s="96" t="str">
        <f t="shared" si="13"/>
        <v>"C:\Program Files (x86)\AstroGrep\AstroGrep.exe" /spath="%USERPROFILE%\AppData\Local\Temp\OnboardLogs" /stypes="*4010*20160904*"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0" t="str">
        <f t="shared" si="17"/>
        <v>"%USERPROFILE%\Documents\GitHub\eaglep3\Utilities\RefineRTDCRunTimes.py" --tripid 128-04 --locoid 4010 --swversion DE.1.0.7.0 --startMP 204:232987 --initTime 2016-09-04T07:49:08 --startdatetime 2016-09-04T07:56:16 --delay 1 --endMP 204:156 --enddatetime 2016-09-04T08:33:59 --enforcementcount 0 &gt;&gt;C:\Users\stu\Documents\GitHub\eaglep3-reporting\EC\2016-09-04-refined-times.txt</v>
      </c>
      <c r="AI40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{"issue":{"subject":"","project_id":79,"tracker_id":40,"status_id":1,"priority_id":2,"assigned_to_id":23,"start_date":"2016-09-04","description":"","custom_fields":[{"id":1,"name":"Subdivision","value":"EC"},{"id":4,"name":"Milepost","value":"23.2831"},{"id":17,"name":"Train ID","value":"128-04"},{"id":16,"name":"Locomotive ID","value":"4010"},{"id":130,"name":"Impact","value":""},{"id":150,"name":"Time of Event (Mountain Time)","value":"08:33:59"},{"id":151,"name":"Denver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402</v>
      </c>
      <c r="B41" s="7">
        <v>4016</v>
      </c>
      <c r="C41" s="24" t="s">
        <v>112</v>
      </c>
      <c r="D41" s="24" t="s">
        <v>254</v>
      </c>
      <c r="E41" s="15">
        <v>42617.294432870367</v>
      </c>
      <c r="F41" s="15">
        <v>42617.302951388891</v>
      </c>
      <c r="G41" s="7">
        <v>1</v>
      </c>
      <c r="H41" s="15" t="s">
        <v>576</v>
      </c>
      <c r="I41" s="15">
        <v>42617.328194444446</v>
      </c>
      <c r="J41" s="7">
        <v>0</v>
      </c>
      <c r="K41" s="132" t="str">
        <f t="shared" si="0"/>
        <v>4015/4016</v>
      </c>
      <c r="L41" s="24" t="str">
        <f>VLOOKUP(A41,'Trips&amp;Operators'!$C$1:$E$10000,3,FALSE)</f>
        <v>YORK</v>
      </c>
      <c r="M41" s="6">
        <f t="shared" si="1"/>
        <v>2.5243055555620231E-2</v>
      </c>
      <c r="N41" s="7">
        <f t="shared" si="19"/>
        <v>36.350000000093132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2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https://search-rtdc-monitor-bjffxe2xuh6vdkpspy63sjmuny.us-east-1.es.amazonaws.com/_plugin/kibana/#/discover/Steve-Slow-Train-Analysis-(2080s-and-2083s)?_g=(refreshInterval:(display:Off,section:0,value:0),time:(from:'2016-09-04 06:03:59-0600',mode:absolute,to:'2016-09-04 08:52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41" s="54" t="str">
        <f t="shared" si="6"/>
        <v>N</v>
      </c>
      <c r="X41" s="120">
        <f t="shared" si="7"/>
        <v>1</v>
      </c>
      <c r="Y41" s="69">
        <f t="shared" si="8"/>
        <v>4.4400000000000002E-2</v>
      </c>
      <c r="Z41" s="69">
        <f t="shared" si="9"/>
        <v>23.311699999999998</v>
      </c>
      <c r="AA41" s="69">
        <f t="shared" si="10"/>
        <v>23.267299999999999</v>
      </c>
      <c r="AB41" s="66" t="e">
        <f>VLOOKUP(A41,Enforcements!$C$7:$J$21,8,0)</f>
        <v>#N/A</v>
      </c>
      <c r="AC41" s="62" t="e">
        <f>VLOOKUP(A41,Enforcements!$C$7:$E$21,3,0)</f>
        <v>#N/A</v>
      </c>
      <c r="AD41" s="63" t="str">
        <f t="shared" si="11"/>
        <v>0129-04</v>
      </c>
      <c r="AE41" s="99" t="str">
        <f t="shared" si="12"/>
        <v>aws s3 cp s3://rtdc.mdm.uploadarchive/RTDC4016/2016-09-04/ "%USERPROFILE%\AppData\Local\Temp\OnboardLogs"\RTDC4016\2016-09-04 --recursive &amp; "%USERPROFILE%\Documents\GitHub\mrs-test-scripts\Headless Mode &amp; Sideloading\WalkAndUnGZ.bat" "%USERPROFILE%\AppData\Local\Temp\OnboardLogs"\RTDC4016\2016-09-04 &amp; 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</v>
      </c>
      <c r="AF41" s="96" t="str">
        <f t="shared" si="13"/>
        <v>"C:\Program Files (x86)\AstroGrep\AstroGrep.exe" /spath="%USERPROFILE%\AppData\Local\Temp\OnboardLogs" /stypes="*4016*20160904*"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0" t="str">
        <f t="shared" si="17"/>
        <v>"%USERPROFILE%\Documents\GitHub\eaglep3\Utilities\RefineRTDCRunTimes.py" --tripid 129-04 --locoid 4016 --swversion DE.1.0.7.0 --startMP 204:444 --initTime 2016-09-04T07:03:59 --startdatetime 2016-09-04T07:16:15 --delay 1 --endMP 204:233117 --enddatetime 2016-09-04T07:52:36 --enforcementcount 0 &gt;&gt;C:\Users\stu\Documents\GitHub\eaglep3-reporting\EC\2016-09-04-refined-times.txt</v>
      </c>
      <c r="AI41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{"issue":{"subject":"","project_id":79,"tracker_id":40,"status_id":1,"priority_id":2,"assigned_to_id":23,"start_date":"2016-09-04","description":"","custom_fields":[{"id":1,"name":"Subdivision","value":"EC"},{"id":4,"name":"Milepost","value":"23.2673"},{"id":17,"name":"Train ID","value":"129-04"},{"id":16,"name":"Locomotive ID","value":"4016"},{"id":130,"name":"Impact","value":""},{"id":150,"name":"Time of Event (Mountain Time)","value":"07:52:36"},{"id":151,"name":"Denver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409</v>
      </c>
      <c r="B42" s="7">
        <v>4015</v>
      </c>
      <c r="C42" s="24" t="s">
        <v>112</v>
      </c>
      <c r="D42" s="24" t="s">
        <v>577</v>
      </c>
      <c r="E42" s="15">
        <v>42617.330023148148</v>
      </c>
      <c r="F42" s="15">
        <v>42617.341435185182</v>
      </c>
      <c r="G42" s="7">
        <v>0</v>
      </c>
      <c r="H42" s="15" t="s">
        <v>164</v>
      </c>
      <c r="I42" s="15">
        <v>42617.366296296299</v>
      </c>
      <c r="J42" s="7">
        <v>0</v>
      </c>
      <c r="K42" s="132" t="str">
        <f t="shared" si="0"/>
        <v>4015/4016</v>
      </c>
      <c r="L42" s="24" t="str">
        <f>VLOOKUP(A42,'Trips&amp;Operators'!$C$1:$E$10000,3,FALSE)</f>
        <v>YORK</v>
      </c>
      <c r="M42" s="6">
        <f t="shared" si="1"/>
        <v>2.4861111116479151E-2</v>
      </c>
      <c r="N42" s="7">
        <f t="shared" si="19"/>
        <v>35.800000007729977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2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https://search-rtdc-monitor-bjffxe2xuh6vdkpspy63sjmuny.us-east-1.es.amazonaws.com/_plugin/kibana/#/discover/Steve-Slow-Train-Analysis-(2080s-and-2083s)?_g=(refreshInterval:(display:Off,section:0,value:0),time:(from:'2016-09-04 06:55:14-0600',mode:absolute,to:'2016-09-04 09:47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42" s="54" t="str">
        <f t="shared" si="6"/>
        <v>N</v>
      </c>
      <c r="X42" s="120">
        <f t="shared" si="7"/>
        <v>1</v>
      </c>
      <c r="Y42" s="69">
        <f t="shared" si="8"/>
        <v>23.2788</v>
      </c>
      <c r="Z42" s="69">
        <f t="shared" si="9"/>
        <v>1.52E-2</v>
      </c>
      <c r="AA42" s="69">
        <f t="shared" si="10"/>
        <v>23.2636</v>
      </c>
      <c r="AB42" s="66" t="e">
        <f>VLOOKUP(A42,Enforcements!$C$7:$J$21,8,0)</f>
        <v>#N/A</v>
      </c>
      <c r="AC42" s="62" t="e">
        <f>VLOOKUP(A42,Enforcements!$C$7:$E$21,3,0)</f>
        <v>#N/A</v>
      </c>
      <c r="AD42" s="63" t="str">
        <f t="shared" si="11"/>
        <v>0130-04</v>
      </c>
      <c r="AE42" s="99" t="str">
        <f t="shared" si="12"/>
        <v>aws s3 cp s3://rtdc.mdm.uploadarchive/RTDC4015/2016-09-04/ "%USERPROFILE%\AppData\Local\Temp\OnboardLogs"\RTDC4015\2016-09-04 --recursive &amp; "%USERPROFILE%\Documents\GitHub\mrs-test-scripts\Headless Mode &amp; Sideloading\WalkAndUnGZ.bat" "%USERPROFILE%\AppData\Local\Temp\OnboardLogs"\RTDC4015\2016-09-04 &amp; 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</v>
      </c>
      <c r="AF42" s="96" t="str">
        <f t="shared" si="13"/>
        <v>"C:\Program Files (x86)\AstroGrep\AstroGrep.exe" /spath="%USERPROFILE%\AppData\Local\Temp\OnboardLogs" /stypes="*4015*20160904*"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0" t="str">
        <f t="shared" si="17"/>
        <v>"%USERPROFILE%\Documents\GitHub\eaglep3\Utilities\RefineRTDCRunTimes.py" --tripid 130-04 --locoid 4015 --swversion DE.1.0.7.0 --startMP 204:232788 --initTime 2016-09-04T07:55:14 --startdatetime 2016-09-04T08:11:40 --delay 0 --endMP 204:152 --enddatetime 2016-09-04T08:47:28 --enforcementcount 0 &gt;&gt;C:\Users\stu\Documents\GitHub\eaglep3-reporting\EC\2016-09-04-refined-times.txt</v>
      </c>
      <c r="AI42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{"issue":{"subject":"","project_id":79,"tracker_id":40,"status_id":1,"priority_id":2,"assigned_to_id":23,"start_date":"2016-09-04","description":"","custom_fields":[{"id":1,"name":"Subdivision","value":"EC"},{"id":4,"name":"Milepost","value":"23.2636"},{"id":17,"name":"Train ID","value":"130-04"},{"id":16,"name":"Locomotive ID","value":"4015"},{"id":130,"name":"Impact","value":""},{"id":150,"name":"Time of Event (Mountain Time)","value":"08:47:28"},{"id":151,"name":"Denver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405</v>
      </c>
      <c r="B43" s="7">
        <v>4031</v>
      </c>
      <c r="C43" s="24" t="s">
        <v>112</v>
      </c>
      <c r="D43" s="24" t="s">
        <v>124</v>
      </c>
      <c r="E43" s="15">
        <v>42617.307766203703</v>
      </c>
      <c r="F43" s="15">
        <v>42617.3127662037</v>
      </c>
      <c r="G43" s="7">
        <v>1</v>
      </c>
      <c r="H43" s="15" t="s">
        <v>269</v>
      </c>
      <c r="I43" s="15">
        <v>42617.337847222225</v>
      </c>
      <c r="J43" s="7">
        <v>0</v>
      </c>
      <c r="K43" s="132" t="str">
        <f t="shared" si="0"/>
        <v>4031/4032</v>
      </c>
      <c r="L43" s="24" t="str">
        <f>VLOOKUP(A43,'Trips&amp;Operators'!$C$1:$E$10000,3,FALSE)</f>
        <v>ACKERMAN</v>
      </c>
      <c r="M43" s="6">
        <f t="shared" si="1"/>
        <v>2.5081018524360843E-2</v>
      </c>
      <c r="N43" s="7">
        <f t="shared" si="19"/>
        <v>36.116666675079614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2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https://search-rtdc-monitor-bjffxe2xuh6vdkpspy63sjmuny.us-east-1.es.amazonaws.com/_plugin/kibana/#/discover/Steve-Slow-Train-Analysis-(2080s-and-2083s)?_g=(refreshInterval:(display:Off,section:0,value:0),time:(from:'2016-09-04 06:23:11-0600',mode:absolute,to:'2016-09-04 09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43" s="54" t="str">
        <f t="shared" si="6"/>
        <v>N</v>
      </c>
      <c r="X43" s="120">
        <f t="shared" si="7"/>
        <v>1</v>
      </c>
      <c r="Y43" s="69">
        <f t="shared" si="8"/>
        <v>4.5499999999999999E-2</v>
      </c>
      <c r="Z43" s="69">
        <f t="shared" si="9"/>
        <v>23.331499999999998</v>
      </c>
      <c r="AA43" s="69">
        <f t="shared" si="10"/>
        <v>23.285999999999998</v>
      </c>
      <c r="AB43" s="66" t="e">
        <f>VLOOKUP(A43,Enforcements!$C$7:$J$21,8,0)</f>
        <v>#N/A</v>
      </c>
      <c r="AC43" s="62" t="e">
        <f>VLOOKUP(A43,Enforcements!$C$7:$E$21,3,0)</f>
        <v>#N/A</v>
      </c>
      <c r="AD43" s="63" t="str">
        <f t="shared" si="11"/>
        <v>0131-04</v>
      </c>
      <c r="AE43" s="99" t="str">
        <f t="shared" si="12"/>
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</c>
      <c r="AF43" s="96" t="str">
        <f t="shared" si="13"/>
        <v>"C:\Program Files (x86)\AstroGrep\AstroGrep.exe" /spath="%USERPROFILE%\AppData\Local\Temp\OnboardLogs" /stypes="*4031*20160904*"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00" t="str">
        <f t="shared" si="17"/>
        <v>"%USERPROFILE%\Documents\GitHub\eaglep3\Utilities\RefineRTDCRunTimes.py" --tripid 131-04 --locoid 4031 --swversion DE.1.0.7.0 --startMP 204:455 --initTime 2016-09-04T07:23:11 --startdatetime 2016-09-04T07:30:23 --delay 1 --endMP 204:233315 --enddatetime 2016-09-04T08:06:30 --enforcementcount 0 &gt;&gt;C:\Users\stu\Documents\GitHub\eaglep3-reporting\EC\2016-09-04-refined-times.txt</v>
      </c>
      <c r="AI43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{"issue":{"subject":"","project_id":79,"tracker_id":40,"status_id":1,"priority_id":2,"assigned_to_id":23,"start_date":"2016-09-04","description":"","custom_fields":[{"id":1,"name":"Subdivision","value":"EC"},{"id":4,"name":"Milepost","value":"23.286"},{"id":17,"name":"Train ID","value":"131-04"},{"id":16,"name":"Locomotive ID","value":"4031"},{"id":130,"name":"Impact","value":""},{"id":150,"name":"Time of Event (Mountain Time)","value":"08:06:30"},{"id":151,"name":"Denver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413</v>
      </c>
      <c r="B44" s="7">
        <v>4032</v>
      </c>
      <c r="C44" s="24" t="s">
        <v>112</v>
      </c>
      <c r="D44" s="24" t="s">
        <v>237</v>
      </c>
      <c r="E44" s="15">
        <v>42617.345682870371</v>
      </c>
      <c r="F44" s="15">
        <v>42617.351620370369</v>
      </c>
      <c r="G44" s="7">
        <v>1</v>
      </c>
      <c r="H44" s="15" t="s">
        <v>250</v>
      </c>
      <c r="I44" s="15">
        <v>42617.379259259258</v>
      </c>
      <c r="J44" s="7">
        <v>0</v>
      </c>
      <c r="K44" s="132" t="str">
        <f t="shared" ref="K44:K75" si="20">IF(ISEVEN(B44),(B44-1)&amp;"/"&amp;B44,B44&amp;"/"&amp;(B44+1))</f>
        <v>4031/4032</v>
      </c>
      <c r="L44" s="24" t="str">
        <f>VLOOKUP(A44,'Trips&amp;Operators'!$C$1:$E$10000,3,FALSE)</f>
        <v>ACKERMAN</v>
      </c>
      <c r="M44" s="6">
        <f t="shared" ref="M44:M75" si="21">I44-F44</f>
        <v>2.7638888888759539E-2</v>
      </c>
      <c r="N44" s="7">
        <f t="shared" si="19"/>
        <v>39.799999999813735</v>
      </c>
      <c r="O44" s="7"/>
      <c r="P44" s="7"/>
      <c r="Q44" s="25"/>
      <c r="R44" s="25"/>
      <c r="S44" s="37">
        <f t="shared" si="3"/>
        <v>1</v>
      </c>
      <c r="T44" s="52" t="str">
        <f t="shared" ref="T44:T75" si="22">IF(ISEVEN(LEFT(AD44,4)),"Southbound","NorthBound")</f>
        <v>Southbound</v>
      </c>
      <c r="U44" s="12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ref="V44:V75" si="23">"https://search-rtdc-monitor-bjffxe2xuh6vdkpspy63sjmuny.us-east-1.es.amazonaws.com/_plugin/kibana/#/discover/Steve-Slow-Train-Analysis-(2080s-and-2083s)?_g=(refreshInterval:(display:Off,section:0,value:0),time:(from:'"&amp;TEXT(E44-1/24,"yyyy-MM-DD hh:mm:ss")&amp;"-0600',mode:absolute,to:'"&amp;TEXT(I44+1/24,"yyyy-MM-DD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44&amp;"%22')),sort:!(Time,asc))"</f>
        <v>https://search-rtdc-monitor-bjffxe2xuh6vdkpspy63sjmuny.us-east-1.es.amazonaws.com/_plugin/kibana/#/discover/Steve-Slow-Train-Analysis-(2080s-and-2083s)?_g=(refreshInterval:(display:Off,section:0,value:0),time:(from:'2016-09-04 07:17:47-0600',mode:absolute,to:'2016-09-04 10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44" s="54" t="str">
        <f t="shared" ref="W44:W75" si="24">IF(AA44&lt;IF(AG44="EC",23,5.65),"Y","N")</f>
        <v>N</v>
      </c>
      <c r="X44" s="120">
        <f t="shared" ref="X44:X75" si="25">VALUE(LEFT(AD44,4))-VALUE(LEFT(AD43,4))</f>
        <v>1</v>
      </c>
      <c r="Y44" s="69">
        <f t="shared" ref="Y44:Y75" si="26">RIGHT(D44,LEN(D44)-4)/10000</f>
        <v>23.300799999999999</v>
      </c>
      <c r="Z44" s="69">
        <f t="shared" ref="Z44:Z75" si="27">RIGHT(H44,LEN(H44)-4)/10000</f>
        <v>1.38E-2</v>
      </c>
      <c r="AA44" s="69">
        <f t="shared" ref="AA44:AA75" si="28">ABS(Z44-Y44)</f>
        <v>23.286999999999999</v>
      </c>
      <c r="AB44" s="66" t="e">
        <f>VLOOKUP(A44,Enforcements!$C$7:$J$21,8,0)</f>
        <v>#N/A</v>
      </c>
      <c r="AC44" s="62" t="e">
        <f>VLOOKUP(A44,Enforcements!$C$7:$E$21,3,0)</f>
        <v>#N/A</v>
      </c>
      <c r="AD44" s="63" t="str">
        <f t="shared" ref="AD44:AD75" si="29">IF(LEN(A44)=6,"0"&amp;A44,A44)</f>
        <v>0132-04</v>
      </c>
      <c r="AE44" s="99" t="str">
        <f t="shared" ref="AE44:AE75" si="30">"aws s3 cp "&amp;s3_bucket&amp;"/RTDC"&amp;B44&amp;"/"&amp;TEXT(F44,"YYYY-MM-DD")&amp;"/ "&amp;search_path&amp;"\RTDC"&amp;B44&amp;"\"&amp;TEXT(F44,"YYYY-MM-DD")&amp;" --recursive &amp; """&amp;walkandungz&amp;""" "&amp;search_path&amp;"\RTDC"&amp;B44&amp;"\"&amp;TEXT(F44,"YYYY-MM-DD")
&amp;" &amp; "&amp;"aws s3 cp "&amp;s3_bucket&amp;"/RTDC"&amp;B44&amp;"/"&amp;TEXT(F44+1,"YYYY-MM-DD")&amp;"/ "&amp;search_path&amp;"\RTDC"&amp;B44&amp;"\"&amp;TEXT(F44+1,"YYYY-MM-DD")&amp;" --recursive &amp; """&amp;walkandungz&amp;""" "&amp;search_path&amp;"\RTDC"&amp;B44&amp;"\"&amp;TEXT(F44+1,"YYYY-MM-DD")</f>
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</c>
      <c r="AF44" s="96" t="str">
        <f t="shared" ref="AF44:AF75" si="31">astrogrep_path&amp;" /spath="&amp;search_path&amp;" /stypes=""*"&amp;B44&amp;"*"&amp;TEXT(I44-utc_offset/24,"YYYYMMDD")&amp;"*"" /stext="" "&amp;TEXT(I44-utc_offset/24,"HH")&amp;search_regexp&amp;""" /e /r /s"</f>
        <v>"C:\Program Files (x86)\AstroGrep\AstroGrep.exe" /spath="%USERPROFILE%\AppData\Local\Temp\OnboardLogs" /stypes="*4032*20160904*" /stext=" 15:.+((SYSTEM_STATE.+slice.+state.+changed )|(ment ac)|(system.+state.+changed )|(\|lc)|(penalty)|(\[timeout)|(PRM\|1\|D)|(kpr)|(kdp))" /e /r /s</v>
      </c>
      <c r="AG44" s="1" t="str">
        <f t="shared" ref="AG44:AG75" si="32">IFERROR(IF(VALUE(LEFT(AD44,2))&lt;=2,"EC",IF(OR(VALUE(LEFT(AD44,2))=8,VALUE(LEFT(AD44,2))=18),"NW","Other")),"Other")</f>
        <v>EC</v>
      </c>
      <c r="AH44" s="100" t="str">
        <f t="shared" si="17"/>
        <v>"%USERPROFILE%\Documents\GitHub\eaglep3\Utilities\RefineRTDCRunTimes.py" --tripid 132-04 --locoid 4032 --swversion DE.1.0.7.0 --startMP 204:233008 --initTime 2016-09-04T08:17:47 --startdatetime 2016-09-04T08:26:20 --delay 1 --endMP 204:138 --enddatetime 2016-09-04T09:06:08 --enforcementcount 0 &gt;&gt;C:\Users\stu\Documents\GitHub\eaglep3-reporting\EC\2016-09-04-refined-times.txt</v>
      </c>
      <c r="AI44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{"issue":{"subject":"","project_id":79,"tracker_id":40,"status_id":1,"priority_id":2,"assigned_to_id":23,"start_date":"2016-09-04","description":"","custom_fields":[{"id":1,"name":"Subdivision","value":"EC"},{"id":4,"name":"Milepost","value":"23.287"},{"id":17,"name":"Train ID","value":"132-04"},{"id":16,"name":"Locomotive ID","value":"4032"},{"id":130,"name":"Impact","value":""},{"id":150,"name":"Time of Event (Mountain Time)","value":"09:06:08"},{"id":151,"name":"Denver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407</v>
      </c>
      <c r="B45" s="7">
        <v>4018</v>
      </c>
      <c r="C45" s="24" t="s">
        <v>112</v>
      </c>
      <c r="D45" s="24" t="s">
        <v>578</v>
      </c>
      <c r="E45" s="15">
        <v>42617.31821759259</v>
      </c>
      <c r="F45" s="15">
        <v>42617.323125000003</v>
      </c>
      <c r="G45" s="7">
        <v>1</v>
      </c>
      <c r="H45" s="15" t="s">
        <v>579</v>
      </c>
      <c r="I45" s="15">
        <v>42617.349652777775</v>
      </c>
      <c r="J45" s="7">
        <v>0</v>
      </c>
      <c r="K45" s="132" t="str">
        <f t="shared" si="20"/>
        <v>4017/4018</v>
      </c>
      <c r="L45" s="24" t="str">
        <f>VLOOKUP(A45,'Trips&amp;Operators'!$C$1:$E$10000,3,FALSE)</f>
        <v>MAELZER</v>
      </c>
      <c r="M45" s="6">
        <f t="shared" si="21"/>
        <v>2.6527777772571426E-2</v>
      </c>
      <c r="N45" s="7">
        <f t="shared" si="19"/>
        <v>38.199999992502853</v>
      </c>
      <c r="O45" s="7"/>
      <c r="P45" s="7"/>
      <c r="Q45" s="25"/>
      <c r="R45" s="25"/>
      <c r="S45" s="37">
        <f t="shared" si="3"/>
        <v>1</v>
      </c>
      <c r="T45" s="52" t="str">
        <f t="shared" si="22"/>
        <v>NorthBound</v>
      </c>
      <c r="U45" s="12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https://search-rtdc-monitor-bjffxe2xuh6vdkpspy63sjmuny.us-east-1.es.amazonaws.com/_plugin/kibana/#/discover/Steve-Slow-Train-Analysis-(2080s-and-2083s)?_g=(refreshInterval:(display:Off,section:0,value:0),time:(from:'2016-09-04 06:38:14-0600',mode:absolute,to:'2016-09-04 09:23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45" s="54" t="str">
        <f t="shared" si="24"/>
        <v>N</v>
      </c>
      <c r="X45" s="120">
        <f t="shared" si="25"/>
        <v>1</v>
      </c>
      <c r="Y45" s="69">
        <f t="shared" si="26"/>
        <v>4.6199999999999998E-2</v>
      </c>
      <c r="Z45" s="69">
        <f t="shared" si="27"/>
        <v>23.310099999999998</v>
      </c>
      <c r="AA45" s="69">
        <f t="shared" si="28"/>
        <v>23.2639</v>
      </c>
      <c r="AB45" s="66" t="e">
        <f>VLOOKUP(A45,Enforcements!$C$7:$J$21,8,0)</f>
        <v>#N/A</v>
      </c>
      <c r="AC45" s="62" t="e">
        <f>VLOOKUP(A45,Enforcements!$C$7:$E$21,3,0)</f>
        <v>#N/A</v>
      </c>
      <c r="AD45" s="63" t="str">
        <f t="shared" si="29"/>
        <v>0133-04</v>
      </c>
      <c r="AE45" s="99" t="str">
        <f t="shared" si="30"/>
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</c>
      <c r="AF45" s="96" t="str">
        <f t="shared" si="31"/>
        <v>"C:\Program Files (x86)\AstroGrep\AstroGrep.exe" /spath="%USERPROFILE%\AppData\Local\Temp\OnboardLogs" /stypes="*4018*20160904*" /stext=" 14:.+((SYSTEM_STATE.+slice.+state.+changed )|(ment ac)|(system.+state.+changed )|(\|lc)|(penalty)|(\[timeout)|(PRM\|1\|D)|(kpr)|(kdp))" /e /r /s</v>
      </c>
      <c r="AG45" s="1" t="str">
        <f t="shared" si="32"/>
        <v>EC</v>
      </c>
      <c r="AH45" s="100" t="str">
        <f t="shared" si="17"/>
        <v>"%USERPROFILE%\Documents\GitHub\eaglep3\Utilities\RefineRTDCRunTimes.py" --tripid 133-04 --locoid 4018 --swversion DE.1.0.7.0 --startMP 204:462 --initTime 2016-09-04T07:38:14 --startdatetime 2016-09-04T07:45:18 --delay 1 --endMP 204:233101 --enddatetime 2016-09-04T08:23:30 --enforcementcount 0 &gt;&gt;C:\Users\stu\Documents\GitHub\eaglep3-reporting\EC\2016-09-04-refined-times.txt</v>
      </c>
      <c r="AI45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{"issue":{"subject":"","project_id":79,"tracker_id":40,"status_id":1,"priority_id":2,"assigned_to_id":23,"start_date":"2016-09-04","description":"","custom_fields":[{"id":1,"name":"Subdivision","value":"EC"},{"id":4,"name":"Milepost","value":"23.2639"},{"id":17,"name":"Train ID","value":"133-04"},{"id":16,"name":"Locomotive ID","value":"4018"},{"id":130,"name":"Impact","value":""},{"id":150,"name":"Time of Event (Mountain Time)","value":"08:23:30"},{"id":151,"name":"Denver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416</v>
      </c>
      <c r="B46" s="7">
        <v>4017</v>
      </c>
      <c r="C46" s="24" t="s">
        <v>112</v>
      </c>
      <c r="D46" s="24" t="s">
        <v>580</v>
      </c>
      <c r="E46" s="15">
        <v>42617.358900462961</v>
      </c>
      <c r="F46" s="15">
        <v>42617.362037037034</v>
      </c>
      <c r="G46" s="7">
        <v>1</v>
      </c>
      <c r="H46" s="15" t="s">
        <v>135</v>
      </c>
      <c r="I46" s="15">
        <v>42617.391423611109</v>
      </c>
      <c r="J46" s="7">
        <v>0</v>
      </c>
      <c r="K46" s="132" t="str">
        <f t="shared" si="20"/>
        <v>4017/4018</v>
      </c>
      <c r="L46" s="24" t="str">
        <f>VLOOKUP(A46,'Trips&amp;Operators'!$C$1:$E$10000,3,FALSE)</f>
        <v>MAELZER</v>
      </c>
      <c r="M46" s="6">
        <f t="shared" si="21"/>
        <v>2.9386574075033423E-2</v>
      </c>
      <c r="N46" s="7">
        <f t="shared" si="19"/>
        <v>42.316666668048128</v>
      </c>
      <c r="O46" s="7"/>
      <c r="P46" s="7"/>
      <c r="Q46" s="25"/>
      <c r="R46" s="25"/>
      <c r="S46" s="37">
        <f t="shared" si="3"/>
        <v>1</v>
      </c>
      <c r="T46" s="52" t="str">
        <f t="shared" si="22"/>
        <v>Southbound</v>
      </c>
      <c r="U46" s="12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https://search-rtdc-monitor-bjffxe2xuh6vdkpspy63sjmuny.us-east-1.es.amazonaws.com/_plugin/kibana/#/discover/Steve-Slow-Train-Analysis-(2080s-and-2083s)?_g=(refreshInterval:(display:Off,section:0,value:0),time:(from:'2016-09-04 07:36:49-0600',mode:absolute,to:'2016-09-04 10:23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46" s="54" t="str">
        <f t="shared" si="24"/>
        <v>N</v>
      </c>
      <c r="X46" s="120">
        <f t="shared" si="25"/>
        <v>1</v>
      </c>
      <c r="Y46" s="69">
        <f t="shared" si="26"/>
        <v>23.278500000000001</v>
      </c>
      <c r="Z46" s="69">
        <f t="shared" si="27"/>
        <v>1.49E-2</v>
      </c>
      <c r="AA46" s="69">
        <f t="shared" si="28"/>
        <v>23.2636</v>
      </c>
      <c r="AB46" s="66" t="e">
        <f>VLOOKUP(A46,Enforcements!$C$7:$J$21,8,0)</f>
        <v>#N/A</v>
      </c>
      <c r="AC46" s="62" t="e">
        <f>VLOOKUP(A46,Enforcements!$C$7:$E$21,3,0)</f>
        <v>#N/A</v>
      </c>
      <c r="AD46" s="63" t="str">
        <f t="shared" si="29"/>
        <v>0134-04</v>
      </c>
      <c r="AE46" s="99" t="str">
        <f t="shared" si="30"/>
        <v>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 &amp; 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</v>
      </c>
      <c r="AF46" s="96" t="str">
        <f t="shared" si="31"/>
        <v>"C:\Program Files (x86)\AstroGrep\AstroGrep.exe" /spath="%USERPROFILE%\AppData\Local\Temp\OnboardLogs" /stypes="*4017*20160904*" /stext=" 15:.+((SYSTEM_STATE.+slice.+state.+changed )|(ment ac)|(system.+state.+changed )|(\|lc)|(penalty)|(\[timeout)|(PRM\|1\|D)|(kpr)|(kdp))" /e /r /s</v>
      </c>
      <c r="AG46" s="1" t="str">
        <f t="shared" si="32"/>
        <v>EC</v>
      </c>
      <c r="AH46" s="100" t="str">
        <f t="shared" si="17"/>
        <v>"%USERPROFILE%\Documents\GitHub\eaglep3\Utilities\RefineRTDCRunTimes.py" --tripid 134-04 --locoid 4017 --swversion DE.1.0.7.0 --startMP 204:232785 --initTime 2016-09-04T08:36:49 --startdatetime 2016-09-04T08:41:20 --delay 1 --endMP 204:149 --enddatetime 2016-09-04T09:23:39 --enforcementcount 0 &gt;&gt;C:\Users\stu\Documents\GitHub\eaglep3-reporting\EC\2016-09-04-refined-times.txt</v>
      </c>
      <c r="AI46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{"issue":{"subject":"","project_id":79,"tracker_id":40,"status_id":1,"priority_id":2,"assigned_to_id":23,"start_date":"2016-09-04","description":"","custom_fields":[{"id":1,"name":"Subdivision","value":"EC"},{"id":4,"name":"Milepost","value":"23.2636"},{"id":17,"name":"Train ID","value":"134-04"},{"id":16,"name":"Locomotive ID","value":"4017"},{"id":130,"name":"Impact","value":""},{"id":150,"name":"Time of Event (Mountain Time)","value":"09:23:39"},{"id":151,"name":"Denver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410</v>
      </c>
      <c r="B47" s="7">
        <v>4038</v>
      </c>
      <c r="C47" s="24" t="s">
        <v>112</v>
      </c>
      <c r="D47" s="24" t="s">
        <v>172</v>
      </c>
      <c r="E47" s="15">
        <v>42617.335925925923</v>
      </c>
      <c r="F47" s="15">
        <v>42617.337280092594</v>
      </c>
      <c r="G47" s="7">
        <v>1</v>
      </c>
      <c r="H47" s="15" t="s">
        <v>255</v>
      </c>
      <c r="I47" s="15">
        <v>42617.36614583333</v>
      </c>
      <c r="J47" s="7">
        <v>0</v>
      </c>
      <c r="K47" s="132" t="str">
        <f t="shared" si="20"/>
        <v>4037/4038</v>
      </c>
      <c r="L47" s="24" t="str">
        <f>VLOOKUP(A47,'Trips&amp;Operators'!$C$1:$E$10000,3,FALSE)</f>
        <v>DAVIS</v>
      </c>
      <c r="M47" s="6">
        <f t="shared" si="21"/>
        <v>2.8865740736364387E-2</v>
      </c>
      <c r="N47" s="7">
        <f t="shared" si="19"/>
        <v>41.566666660364717</v>
      </c>
      <c r="O47" s="7"/>
      <c r="P47" s="7"/>
      <c r="Q47" s="25"/>
      <c r="R47" s="25"/>
      <c r="S47" s="37">
        <f t="shared" si="3"/>
        <v>1</v>
      </c>
      <c r="T47" s="52" t="str">
        <f t="shared" si="22"/>
        <v>NorthBound</v>
      </c>
      <c r="U47" s="12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https://search-rtdc-monitor-bjffxe2xuh6vdkpspy63sjmuny.us-east-1.es.amazonaws.com/_plugin/kibana/#/discover/Steve-Slow-Train-Analysis-(2080s-and-2083s)?_g=(refreshInterval:(display:Off,section:0,value:0),time:(from:'2016-09-04 07:03:44-0600',mode:absolute,to:'2016-09-04 09:47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47" s="54" t="str">
        <f t="shared" si="24"/>
        <v>N</v>
      </c>
      <c r="X47" s="120">
        <f t="shared" si="25"/>
        <v>1</v>
      </c>
      <c r="Y47" s="69">
        <f t="shared" si="26"/>
        <v>4.4699999999999997E-2</v>
      </c>
      <c r="Z47" s="69">
        <f t="shared" si="27"/>
        <v>23.330400000000001</v>
      </c>
      <c r="AA47" s="69">
        <f t="shared" si="28"/>
        <v>23.285700000000002</v>
      </c>
      <c r="AB47" s="66" t="e">
        <f>VLOOKUP(A47,Enforcements!$C$7:$J$21,8,0)</f>
        <v>#N/A</v>
      </c>
      <c r="AC47" s="62" t="e">
        <f>VLOOKUP(A47,Enforcements!$C$7:$E$21,3,0)</f>
        <v>#N/A</v>
      </c>
      <c r="AD47" s="63" t="str">
        <f t="shared" si="29"/>
        <v>0135-04</v>
      </c>
      <c r="AE47" s="99" t="str">
        <f t="shared" si="30"/>
        <v>aws s3 cp s3://rtdc.mdm.uploadarchive/RTDC4038/2016-09-04/ "%USERPROFILE%\AppData\Local\Temp\OnboardLogs"\RTDC4038\2016-09-04 --recursive &amp; "%USERPROFILE%\Documents\GitHub\mrs-test-scripts\Headless Mode &amp; Sideloading\WalkAndUnGZ.bat" "%USERPROFILE%\AppData\Local\Temp\OnboardLogs"\RTDC4038\2016-09-04 &amp; 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</v>
      </c>
      <c r="AF47" s="96" t="str">
        <f t="shared" si="31"/>
        <v>"C:\Program Files (x86)\AstroGrep\AstroGrep.exe" /spath="%USERPROFILE%\AppData\Local\Temp\OnboardLogs" /stypes="*4038*20160904*" /stext=" 14:.+((SYSTEM_STATE.+slice.+state.+changed )|(ment ac)|(system.+state.+changed )|(\|lc)|(penalty)|(\[timeout)|(PRM\|1\|D)|(kpr)|(kdp))" /e /r /s</v>
      </c>
      <c r="AG47" s="1" t="str">
        <f t="shared" si="32"/>
        <v>EC</v>
      </c>
      <c r="AH47" s="100" t="str">
        <f t="shared" si="17"/>
        <v>"%USERPROFILE%\Documents\GitHub\eaglep3\Utilities\RefineRTDCRunTimes.py" --tripid 135-04 --locoid 4038 --swversion DE.1.0.7.0 --startMP 204:447 --initTime 2016-09-04T08:03:44 --startdatetime 2016-09-04T08:05:41 --delay 1 --endMP 204:233304 --enddatetime 2016-09-04T08:47:15 --enforcementcount 0 &gt;&gt;C:\Users\stu\Documents\GitHub\eaglep3-reporting\EC\2016-09-04-refined-times.txt</v>
      </c>
      <c r="AI47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{"issue":{"subject":"","project_id":79,"tracker_id":40,"status_id":1,"priority_id":2,"assigned_to_id":23,"start_date":"2016-09-04","description":"","custom_fields":[{"id":1,"name":"Subdivision","value":"EC"},{"id":4,"name":"Milepost","value":"23.2857"},{"id":17,"name":"Train ID","value":"135-04"},{"id":16,"name":"Locomotive ID","value":"4038"},{"id":130,"name":"Impact","value":""},{"id":150,"name":"Time of Event (Mountain Time)","value":"08:47:15"},{"id":151,"name":"Denver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419</v>
      </c>
      <c r="B48" s="7">
        <v>4037</v>
      </c>
      <c r="C48" s="24" t="s">
        <v>112</v>
      </c>
      <c r="D48" s="24" t="s">
        <v>581</v>
      </c>
      <c r="E48" s="15">
        <v>42617.367245370369</v>
      </c>
      <c r="F48" s="15">
        <v>42617.391099537039</v>
      </c>
      <c r="G48" s="7">
        <v>1</v>
      </c>
      <c r="H48" s="15" t="s">
        <v>582</v>
      </c>
      <c r="I48" s="15">
        <v>42617.40457175926</v>
      </c>
      <c r="J48" s="7">
        <v>0</v>
      </c>
      <c r="K48" s="132" t="str">
        <f t="shared" si="20"/>
        <v>4037/4038</v>
      </c>
      <c r="L48" s="24" t="str">
        <f>VLOOKUP(A48,'Trips&amp;Operators'!$C$1:$E$10000,3,FALSE)</f>
        <v>DAVIS</v>
      </c>
      <c r="M48" s="6">
        <f t="shared" si="21"/>
        <v>1.3472222221025731E-2</v>
      </c>
      <c r="N48" s="7"/>
      <c r="O48" s="7"/>
      <c r="P48" s="7">
        <f>24*60*SUM($M48:$M48)</f>
        <v>19.399999998277053</v>
      </c>
      <c r="Q48" s="25"/>
      <c r="R48" s="25" t="s">
        <v>680</v>
      </c>
      <c r="S48" s="37">
        <f>SUM(U48:U49)/IF(AG48="EC",12,1)</f>
        <v>1</v>
      </c>
      <c r="T48" s="52" t="str">
        <f t="shared" si="22"/>
        <v>Southbound</v>
      </c>
      <c r="U48" s="12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2</v>
      </c>
      <c r="V48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https://search-rtdc-monitor-bjffxe2xuh6vdkpspy63sjmuny.us-east-1.es.amazonaws.com/_plugin/kibana/#/discover/Steve-Slow-Train-Analysis-(2080s-and-2083s)?_g=(refreshInterval:(display:Off,section:0,value:0),time:(from:'2016-09-04 07:48:50-0600',mode:absolute,to:'2016-09-04 10:42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48" s="54" t="str">
        <f t="shared" si="24"/>
        <v>Y</v>
      </c>
      <c r="X48" s="120">
        <f t="shared" si="25"/>
        <v>1</v>
      </c>
      <c r="Y48" s="69">
        <f t="shared" si="26"/>
        <v>23.299099999999999</v>
      </c>
      <c r="Z48" s="69">
        <f t="shared" si="27"/>
        <v>9.5686</v>
      </c>
      <c r="AA48" s="69">
        <f t="shared" si="28"/>
        <v>13.730499999999999</v>
      </c>
      <c r="AB48" s="66">
        <f>VLOOKUP(A48,Enforcements!$C$7:$J$21,8,0)</f>
        <v>103800</v>
      </c>
      <c r="AC48" s="62" t="str">
        <f>VLOOKUP(A48,Enforcements!$C$7:$E$21,3,0)</f>
        <v>GRADE CROSSING</v>
      </c>
      <c r="AD48" s="63" t="str">
        <f t="shared" si="29"/>
        <v>0136-04</v>
      </c>
      <c r="AE48" s="99" t="str">
        <f t="shared" si="30"/>
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</c>
      <c r="AF48" s="96" t="str">
        <f t="shared" si="31"/>
        <v>"C:\Program Files (x86)\AstroGrep\AstroGrep.exe" /spath="%USERPROFILE%\AppData\Local\Temp\OnboardLogs" /stypes="*4037*20160904*" /stext=" 15:.+((SYSTEM_STATE.+slice.+state.+changed )|(ment ac)|(system.+state.+changed )|(\|lc)|(penalty)|(\[timeout)|(PRM\|1\|D)|(kpr)|(kdp))" /e /r /s</v>
      </c>
      <c r="AG48" s="1" t="str">
        <f t="shared" si="32"/>
        <v>EC</v>
      </c>
      <c r="AH48" s="100" t="str">
        <f t="shared" si="17"/>
        <v>"%USERPROFILE%\Documents\GitHub\eaglep3\Utilities\RefineRTDCRunTimes.py" --tripid 136-04 --locoid 4037 --swversion DE.1.0.7.0 --startMP 204:232991 --initTime 2016-09-04T08:48:50 --startdatetime 2016-09-04T09:23:11 --delay 1 --endMP 204:95686 --enddatetime 2016-09-04T09:42:35 --enforcementcount 0 &gt;&gt;C:\Users\stu\Documents\GitHub\eaglep3-reporting\EC\2016-09-04-refined-times.txt</v>
      </c>
      <c r="AI48" s="149" t="str">
        <f t="shared" si="18"/>
        <v>echo {"issue":{"subject":"Wi-MAX outage","project_id":79,"tracker_id":40,"status_id":1,"priority_id":2,"assigned_to_id":23,"start_date":"2016-09-04","description":"","custom_fields":[{"id":1,"name":"Subdivision","value":"EC"},{"id":4,"name":"Milepost","value":"13.7305"},{"id":17,"name":"Train ID","value":"136-04"},{"id":16,"name":"Locomotive ID","value":"4037"},{"id":130,"name":"Impact","value":""},{"id":150,"name":"Time of Event (Mountain Time)","value":"09:42:35"},{"id":151,"name":"Denver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419</v>
      </c>
      <c r="B49" s="7">
        <v>4037</v>
      </c>
      <c r="C49" s="24" t="s">
        <v>112</v>
      </c>
      <c r="D49" s="24" t="s">
        <v>583</v>
      </c>
      <c r="E49" s="15">
        <v>42617.390092592592</v>
      </c>
      <c r="F49" s="15">
        <v>42617.391099537039</v>
      </c>
      <c r="G49" s="7">
        <v>1</v>
      </c>
      <c r="H49" s="15" t="s">
        <v>146</v>
      </c>
      <c r="I49" s="15">
        <v>42617.40457175926</v>
      </c>
      <c r="J49" s="7">
        <v>0</v>
      </c>
      <c r="K49" s="132" t="str">
        <f t="shared" si="20"/>
        <v>4037/4038</v>
      </c>
      <c r="L49" s="24" t="str">
        <f>VLOOKUP(A49,'Trips&amp;Operators'!$C$1:$E$10000,3,FALSE)</f>
        <v>DAVIS</v>
      </c>
      <c r="M49" s="6">
        <f t="shared" si="21"/>
        <v>1.3472222221025731E-2</v>
      </c>
      <c r="N49" s="7"/>
      <c r="O49" s="7"/>
      <c r="P49" s="7"/>
      <c r="Q49" s="25"/>
      <c r="R49" s="25"/>
      <c r="S49" s="37"/>
      <c r="T49" s="52" t="str">
        <f t="shared" si="22"/>
        <v>Southbound</v>
      </c>
      <c r="U49" s="12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10</v>
      </c>
      <c r="V49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https://search-rtdc-monitor-bjffxe2xuh6vdkpspy63sjmuny.us-east-1.es.amazonaws.com/_plugin/kibana/#/discover/Steve-Slow-Train-Analysis-(2080s-and-2083s)?_g=(refreshInterval:(display:Off,section:0,value:0),time:(from:'2016-09-04 08:21:44-0600',mode:absolute,to:'2016-09-04 10:42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49" s="54" t="str">
        <f t="shared" si="24"/>
        <v>Y</v>
      </c>
      <c r="X49" s="120">
        <f t="shared" si="25"/>
        <v>0</v>
      </c>
      <c r="Y49" s="69">
        <f t="shared" si="26"/>
        <v>8.6353000000000009</v>
      </c>
      <c r="Z49" s="69">
        <f t="shared" si="27"/>
        <v>1.5599999999999999E-2</v>
      </c>
      <c r="AA49" s="69">
        <f t="shared" si="28"/>
        <v>8.6197000000000017</v>
      </c>
      <c r="AB49" s="66">
        <f>VLOOKUP(A49,Enforcements!$C$7:$J$21,8,0)</f>
        <v>103800</v>
      </c>
      <c r="AC49" s="62" t="str">
        <f>VLOOKUP(A49,Enforcements!$C$7:$E$21,3,0)</f>
        <v>GRADE CROSSING</v>
      </c>
      <c r="AD49" s="63" t="str">
        <f t="shared" si="29"/>
        <v>0136-04</v>
      </c>
      <c r="AE49" s="99" t="str">
        <f t="shared" si="30"/>
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</c>
      <c r="AF49" s="96" t="str">
        <f t="shared" si="31"/>
        <v>"C:\Program Files (x86)\AstroGrep\AstroGrep.exe" /spath="%USERPROFILE%\AppData\Local\Temp\OnboardLogs" /stypes="*4037*20160904*" /stext=" 15:.+((SYSTEM_STATE.+slice.+state.+changed )|(ment ac)|(system.+state.+changed )|(\|lc)|(penalty)|(\[timeout)|(PRM\|1\|D)|(kpr)|(kdp))" /e /r /s</v>
      </c>
      <c r="AG49" s="1" t="str">
        <f t="shared" si="32"/>
        <v>EC</v>
      </c>
      <c r="AH49" s="100" t="str">
        <f t="shared" si="17"/>
        <v>"%USERPROFILE%\Documents\GitHub\eaglep3\Utilities\RefineRTDCRunTimes.py" --tripid 136-04 --locoid 4037 --swversion DE.1.0.7.0 --startMP 204:86353 --initTime 2016-09-04T09:21:44 --startdatetime 2016-09-04T09:23:11 --delay 1 --endMP 204:156 --enddatetime 2016-09-04T09:42:35 --enforcementcount 0 &gt;&gt;C:\Users\stu\Documents\GitHub\eaglep3-reporting\EC\2016-09-04-refined-times.txt</v>
      </c>
      <c r="AI49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{"issue":{"subject":"","project_id":79,"tracker_id":40,"status_id":1,"priority_id":2,"assigned_to_id":23,"start_date":"2016-09-04","description":"","custom_fields":[{"id":1,"name":"Subdivision","value":"EC"},{"id":4,"name":"Milepost","value":"8.6197"},{"id":17,"name":"Train ID","value":"136-04"},{"id":16,"name":"Locomotive ID","value":"4037"},{"id":130,"name":"Impact","value":""},{"id":150,"name":"Time of Event (Mountain Time)","value":"09:42:35"},{"id":151,"name":"Denver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411</v>
      </c>
      <c r="B50" s="7">
        <v>4002</v>
      </c>
      <c r="C50" s="24" t="s">
        <v>112</v>
      </c>
      <c r="D50" s="24" t="s">
        <v>147</v>
      </c>
      <c r="E50" s="15">
        <v>42617.343425925923</v>
      </c>
      <c r="F50" s="15">
        <v>42617.344780092593</v>
      </c>
      <c r="G50" s="7">
        <v>1</v>
      </c>
      <c r="H50" s="15" t="s">
        <v>584</v>
      </c>
      <c r="I50" s="15">
        <v>42617.37222222222</v>
      </c>
      <c r="J50" s="7">
        <v>0</v>
      </c>
      <c r="K50" s="132" t="str">
        <f t="shared" si="20"/>
        <v>4001/4002</v>
      </c>
      <c r="L50" s="24" t="str">
        <f>VLOOKUP(A50,'Trips&amp;Operators'!$C$1:$E$10000,3,FALSE)</f>
        <v>MALAVE</v>
      </c>
      <c r="M50" s="6">
        <f t="shared" si="21"/>
        <v>2.7442129627161194E-2</v>
      </c>
      <c r="N50" s="7">
        <f t="shared" ref="N50:N81" si="33">24*60*SUM($M50:$M50)</f>
        <v>39.516666663112119</v>
      </c>
      <c r="O50" s="7"/>
      <c r="P50" s="7"/>
      <c r="Q50" s="25"/>
      <c r="R50" s="25"/>
      <c r="S50" s="37">
        <f t="shared" ref="S50:S81" si="34">SUM(U50:U50)/IF(AG50="EC",12,1)</f>
        <v>1</v>
      </c>
      <c r="T50" s="52" t="str">
        <f t="shared" si="22"/>
        <v>NorthBound</v>
      </c>
      <c r="U50" s="12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https://search-rtdc-monitor-bjffxe2xuh6vdkpspy63sjmuny.us-east-1.es.amazonaws.com/_plugin/kibana/#/discover/Steve-Slow-Train-Analysis-(2080s-and-2083s)?_g=(refreshInterval:(display:Off,section:0,value:0),time:(from:'2016-09-04 07:14:32-0600',mode:absolute,to:'2016-09-04 09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50" s="54" t="str">
        <f t="shared" si="24"/>
        <v>N</v>
      </c>
      <c r="X50" s="120">
        <f t="shared" si="25"/>
        <v>1</v>
      </c>
      <c r="Y50" s="69">
        <f t="shared" si="26"/>
        <v>4.5100000000000001E-2</v>
      </c>
      <c r="Z50" s="69">
        <f t="shared" si="27"/>
        <v>23.312999999999999</v>
      </c>
      <c r="AA50" s="69">
        <f t="shared" si="28"/>
        <v>23.267899999999997</v>
      </c>
      <c r="AB50" s="66">
        <f>VLOOKUP(A50,Enforcements!$C$7:$J$21,8,0)</f>
        <v>20338</v>
      </c>
      <c r="AC50" s="62" t="str">
        <f>VLOOKUP(A50,Enforcements!$C$7:$E$21,3,0)</f>
        <v>PERMANENT SPEED RESTRICTION</v>
      </c>
      <c r="AD50" s="63" t="str">
        <f t="shared" si="29"/>
        <v>0137-04</v>
      </c>
      <c r="AE50" s="99" t="str">
        <f t="shared" si="30"/>
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</c>
      <c r="AF50" s="96" t="str">
        <f t="shared" si="31"/>
        <v>"C:\Program Files (x86)\AstroGrep\AstroGrep.exe" /spath="%USERPROFILE%\AppData\Local\Temp\OnboardLogs" /stypes="*4002*20160904*" /stext=" 14:.+((SYSTEM_STATE.+slice.+state.+changed )|(ment ac)|(system.+state.+changed )|(\|lc)|(penalty)|(\[timeout)|(PRM\|1\|D)|(kpr)|(kdp))" /e /r /s</v>
      </c>
      <c r="AG50" s="1" t="str">
        <f t="shared" si="32"/>
        <v>EC</v>
      </c>
      <c r="AH50" s="100" t="str">
        <f t="shared" si="17"/>
        <v>"%USERPROFILE%\Documents\GitHub\eaglep3\Utilities\RefineRTDCRunTimes.py" --tripid 137-04 --locoid 4002 --swversion DE.1.0.7.0 --startMP 204:451 --initTime 2016-09-04T08:14:32 --startdatetime 2016-09-04T08:16:29 --delay 1 --endMP 204:233130 --enddatetime 2016-09-04T08:56:00 --enforcementcount 0 &gt;&gt;C:\Users\stu\Documents\GitHub\eaglep3-reporting\EC\2016-09-04-refined-times.txt</v>
      </c>
      <c r="AI50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{"issue":{"subject":"","project_id":79,"tracker_id":40,"status_id":1,"priority_id":2,"assigned_to_id":23,"start_date":"2016-09-04","description":"","custom_fields":[{"id":1,"name":"Subdivision","value":"EC"},{"id":4,"name":"Milepost","value":"23.2679"},{"id":17,"name":"Train ID","value":"137-04"},{"id":16,"name":"Locomotive ID","value":"4002"},{"id":130,"name":"Impact","value":""},{"id":150,"name":"Time of Event (Mountain Time)","value":"08:56:00"},{"id":151,"name":"Denver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421</v>
      </c>
      <c r="B51" s="7">
        <v>4001</v>
      </c>
      <c r="C51" s="24" t="s">
        <v>112</v>
      </c>
      <c r="D51" s="24" t="s">
        <v>585</v>
      </c>
      <c r="E51" s="15">
        <v>42617.380555555559</v>
      </c>
      <c r="F51" s="15">
        <v>42617.3828587963</v>
      </c>
      <c r="G51" s="7">
        <v>3</v>
      </c>
      <c r="H51" s="15" t="s">
        <v>242</v>
      </c>
      <c r="I51" s="15">
        <v>42617.408935185187</v>
      </c>
      <c r="J51" s="7">
        <v>0</v>
      </c>
      <c r="K51" s="132" t="str">
        <f t="shared" si="20"/>
        <v>4001/4002</v>
      </c>
      <c r="L51" s="24" t="str">
        <f>VLOOKUP(A51,'Trips&amp;Operators'!$C$1:$E$10000,3,FALSE)</f>
        <v>MALAVE</v>
      </c>
      <c r="M51" s="6">
        <f t="shared" si="21"/>
        <v>2.6076388887304347E-2</v>
      </c>
      <c r="N51" s="7">
        <f t="shared" si="33"/>
        <v>37.54999999771826</v>
      </c>
      <c r="O51" s="7"/>
      <c r="P51" s="7"/>
      <c r="Q51" s="25"/>
      <c r="R51" s="25"/>
      <c r="S51" s="37">
        <f t="shared" si="34"/>
        <v>1</v>
      </c>
      <c r="T51" s="52" t="str">
        <f t="shared" si="22"/>
        <v>Southbound</v>
      </c>
      <c r="U51" s="12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https://search-rtdc-monitor-bjffxe2xuh6vdkpspy63sjmuny.us-east-1.es.amazonaws.com/_plugin/kibana/#/discover/Steve-Slow-Train-Analysis-(2080s-and-2083s)?_g=(refreshInterval:(display:Off,section:0,value:0),time:(from:'2016-09-04 08:08:00-0600',mode:absolute,to:'2016-09-04 10:48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51" s="54" t="str">
        <f t="shared" si="24"/>
        <v>N</v>
      </c>
      <c r="X51" s="120">
        <f t="shared" si="25"/>
        <v>1</v>
      </c>
      <c r="Y51" s="69">
        <f t="shared" si="26"/>
        <v>23.279800000000002</v>
      </c>
      <c r="Z51" s="69">
        <f t="shared" si="27"/>
        <v>1.6299999999999999E-2</v>
      </c>
      <c r="AA51" s="69">
        <f t="shared" si="28"/>
        <v>23.263500000000001</v>
      </c>
      <c r="AB51" s="66" t="e">
        <f>VLOOKUP(A51,Enforcements!$C$7:$J$21,8,0)</f>
        <v>#N/A</v>
      </c>
      <c r="AC51" s="62" t="e">
        <f>VLOOKUP(A51,Enforcements!$C$7:$E$21,3,0)</f>
        <v>#N/A</v>
      </c>
      <c r="AD51" s="63" t="str">
        <f t="shared" si="29"/>
        <v>0138-04</v>
      </c>
      <c r="AE51" s="99" t="str">
        <f t="shared" si="30"/>
        <v>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 &amp; 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</v>
      </c>
      <c r="AF51" s="96" t="str">
        <f t="shared" si="31"/>
        <v>"C:\Program Files (x86)\AstroGrep\AstroGrep.exe" /spath="%USERPROFILE%\AppData\Local\Temp\OnboardLogs" /stypes="*4001*20160904*" /stext=" 15:.+((SYSTEM_STATE.+slice.+state.+changed )|(ment ac)|(system.+state.+changed )|(\|lc)|(penalty)|(\[timeout)|(PRM\|1\|D)|(kpr)|(kdp))" /e /r /s</v>
      </c>
      <c r="AG51" s="1" t="str">
        <f t="shared" si="32"/>
        <v>EC</v>
      </c>
      <c r="AH51" s="100" t="str">
        <f t="shared" si="17"/>
        <v>"%USERPROFILE%\Documents\GitHub\eaglep3\Utilities\RefineRTDCRunTimes.py" --tripid 138-04 --locoid 4001 --swversion DE.1.0.7.0 --startMP 204:232798 --initTime 2016-09-04T09:08:00 --startdatetime 2016-09-04T09:11:19 --delay 3 --endMP 204:163 --enddatetime 2016-09-04T09:48:52 --enforcementcount 0 &gt;&gt;C:\Users\stu\Documents\GitHub\eaglep3-reporting\EC\2016-09-04-refined-times.txt</v>
      </c>
      <c r="AI51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{"issue":{"subject":"","project_id":79,"tracker_id":40,"status_id":1,"priority_id":2,"assigned_to_id":23,"start_date":"2016-09-04","description":"","custom_fields":[{"id":1,"name":"Subdivision","value":"EC"},{"id":4,"name":"Milepost","value":"23.2635"},{"id":17,"name":"Train ID","value":"138-04"},{"id":16,"name":"Locomotive ID","value":"4001"},{"id":130,"name":"Impact","value":""},{"id":150,"name":"Time of Event (Mountain Time)","value":"09:48:52"},{"id":151,"name":"Denver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414</v>
      </c>
      <c r="B52" s="7">
        <v>4046</v>
      </c>
      <c r="C52" s="24" t="s">
        <v>112</v>
      </c>
      <c r="D52" s="24" t="s">
        <v>231</v>
      </c>
      <c r="E52" s="15">
        <v>42617.350451388891</v>
      </c>
      <c r="F52" s="15">
        <v>42617.354444444441</v>
      </c>
      <c r="G52" s="7">
        <v>1</v>
      </c>
      <c r="H52" s="15" t="s">
        <v>586</v>
      </c>
      <c r="I52" s="15">
        <v>42617.379907407405</v>
      </c>
      <c r="J52" s="7">
        <v>0</v>
      </c>
      <c r="K52" s="132" t="str">
        <f t="shared" si="20"/>
        <v>4045/4046</v>
      </c>
      <c r="L52" s="24" t="str">
        <f>VLOOKUP(A52,'Trips&amp;Operators'!$C$1:$E$10000,3,FALSE)</f>
        <v>OUN</v>
      </c>
      <c r="M52" s="6">
        <f t="shared" si="21"/>
        <v>2.5462962963501923E-2</v>
      </c>
      <c r="N52" s="7">
        <f t="shared" si="33"/>
        <v>36.666666667442769</v>
      </c>
      <c r="O52" s="7"/>
      <c r="P52" s="7"/>
      <c r="Q52" s="25"/>
      <c r="R52" s="25"/>
      <c r="S52" s="37">
        <f t="shared" si="34"/>
        <v>1</v>
      </c>
      <c r="T52" s="52" t="str">
        <f t="shared" si="22"/>
        <v>NorthBound</v>
      </c>
      <c r="U52" s="12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https://search-rtdc-monitor-bjffxe2xuh6vdkpspy63sjmuny.us-east-1.es.amazonaws.com/_plugin/kibana/#/discover/Steve-Slow-Train-Analysis-(2080s-and-2083s)?_g=(refreshInterval:(display:Off,section:0,value:0),time:(from:'2016-09-04 07:24:39-0600',mode:absolute,to:'2016-09-04 10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</c>
      <c r="W52" s="54" t="str">
        <f t="shared" si="24"/>
        <v>N</v>
      </c>
      <c r="X52" s="120">
        <f t="shared" si="25"/>
        <v>1</v>
      </c>
      <c r="Y52" s="69">
        <f t="shared" si="26"/>
        <v>4.58E-2</v>
      </c>
      <c r="Z52" s="69">
        <f t="shared" si="27"/>
        <v>23.3308</v>
      </c>
      <c r="AA52" s="69">
        <f t="shared" si="28"/>
        <v>23.285</v>
      </c>
      <c r="AB52" s="66" t="e">
        <f>VLOOKUP(A52,Enforcements!$C$7:$J$21,8,0)</f>
        <v>#N/A</v>
      </c>
      <c r="AC52" s="62" t="e">
        <f>VLOOKUP(A52,Enforcements!$C$7:$E$21,3,0)</f>
        <v>#N/A</v>
      </c>
      <c r="AD52" s="63" t="str">
        <f t="shared" si="29"/>
        <v>0139-04</v>
      </c>
      <c r="AE52" s="99" t="str">
        <f t="shared" si="30"/>
        <v>aws s3 cp s3://rtdc.mdm.uploadarchive/RTDC4046/2016-09-04/ "%USERPROFILE%\AppData\Local\Temp\OnboardLogs"\RTDC4046\2016-09-04 --recursive &amp; "%USERPROFILE%\Documents\GitHub\mrs-test-scripts\Headless Mode &amp; Sideloading\WalkAndUnGZ.bat" "%USERPROFILE%\AppData\Local\Temp\OnboardLogs"\RTDC4046\2016-09-04 &amp; 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</v>
      </c>
      <c r="AF52" s="96" t="str">
        <f t="shared" si="31"/>
        <v>"C:\Program Files (x86)\AstroGrep\AstroGrep.exe" /spath="%USERPROFILE%\AppData\Local\Temp\OnboardLogs" /stypes="*4046*20160904*" /stext=" 15:.+((SYSTEM_STATE.+slice.+state.+changed )|(ment ac)|(system.+state.+changed )|(\|lc)|(penalty)|(\[timeout)|(PRM\|1\|D)|(kpr)|(kdp))" /e /r /s</v>
      </c>
      <c r="AG52" s="1" t="str">
        <f t="shared" si="32"/>
        <v>EC</v>
      </c>
      <c r="AH52" s="100" t="str">
        <f t="shared" si="17"/>
        <v>"%USERPROFILE%\Documents\GitHub\eaglep3\Utilities\RefineRTDCRunTimes.py" --tripid 139-04 --locoid 4046 --swversion DE.1.0.7.0 --startMP 204:458 --initTime 2016-09-04T08:24:39 --startdatetime 2016-09-04T08:30:24 --delay 1 --endMP 204:233308 --enddatetime 2016-09-04T09:07:04 --enforcementcount 0 &gt;&gt;C:\Users\stu\Documents\GitHub\eaglep3-reporting\EC\2016-09-04-refined-times.txt</v>
      </c>
      <c r="AI52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{"issue":{"subject":"","project_id":79,"tracker_id":40,"status_id":1,"priority_id":2,"assigned_to_id":23,"start_date":"2016-09-04","description":"","custom_fields":[{"id":1,"name":"Subdivision","value":"EC"},{"id":4,"name":"Milepost","value":"23.285"},{"id":17,"name":"Train ID","value":"139-04"},{"id":16,"name":"Locomotive ID","value":"4046"},{"id":130,"name":"Impact","value":""},{"id":150,"name":"Time of Event (Mountain Time)","value":"09:07:04"},{"id":151,"name":"Denver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423</v>
      </c>
      <c r="B53" s="7">
        <v>4045</v>
      </c>
      <c r="C53" s="24" t="s">
        <v>112</v>
      </c>
      <c r="D53" s="24" t="s">
        <v>133</v>
      </c>
      <c r="E53" s="15">
        <v>42617.385127314818</v>
      </c>
      <c r="F53" s="15">
        <v>42617.393379629626</v>
      </c>
      <c r="G53" s="7">
        <v>2</v>
      </c>
      <c r="H53" s="15" t="s">
        <v>252</v>
      </c>
      <c r="I53" s="15">
        <v>42617.420925925922</v>
      </c>
      <c r="J53" s="7">
        <v>0</v>
      </c>
      <c r="K53" s="132" t="str">
        <f t="shared" si="20"/>
        <v>4045/4046</v>
      </c>
      <c r="L53" s="24" t="str">
        <f>VLOOKUP(A53,'Trips&amp;Operators'!$C$1:$E$10000,3,FALSE)</f>
        <v>STRICKLAND</v>
      </c>
      <c r="M53" s="6">
        <f t="shared" si="21"/>
        <v>2.7546296296350192E-2</v>
      </c>
      <c r="N53" s="7">
        <f t="shared" si="33"/>
        <v>39.666666666744277</v>
      </c>
      <c r="O53" s="7"/>
      <c r="P53" s="7"/>
      <c r="Q53" s="25"/>
      <c r="R53" s="25"/>
      <c r="S53" s="37">
        <f t="shared" si="34"/>
        <v>1</v>
      </c>
      <c r="T53" s="52" t="str">
        <f t="shared" si="22"/>
        <v>Southbound</v>
      </c>
      <c r="U53" s="12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https://search-rtdc-monitor-bjffxe2xuh6vdkpspy63sjmuny.us-east-1.es.amazonaws.com/_plugin/kibana/#/discover/Steve-Slow-Train-Analysis-(2080s-and-2083s)?_g=(refreshInterval:(display:Off,section:0,value:0),time:(from:'2016-09-04 08:14:35-0600',mode:absolute,to:'2016-09-04 11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W53" s="54" t="str">
        <f t="shared" si="24"/>
        <v>N</v>
      </c>
      <c r="X53" s="120">
        <f t="shared" si="25"/>
        <v>1</v>
      </c>
      <c r="Y53" s="69">
        <f t="shared" si="26"/>
        <v>23.299399999999999</v>
      </c>
      <c r="Z53" s="69">
        <f t="shared" si="27"/>
        <v>1.41E-2</v>
      </c>
      <c r="AA53" s="69">
        <f t="shared" si="28"/>
        <v>23.285299999999999</v>
      </c>
      <c r="AB53" s="66">
        <f>VLOOKUP(A53,Enforcements!$C$7:$J$21,8,0)</f>
        <v>183829</v>
      </c>
      <c r="AC53" s="62" t="str">
        <f>VLOOKUP(A53,Enforcements!$C$7:$E$21,3,0)</f>
        <v>PERMANENT SPEED RESTRICTION</v>
      </c>
      <c r="AD53" s="63" t="str">
        <f t="shared" si="29"/>
        <v>0140-04</v>
      </c>
      <c r="AE53" s="99" t="str">
        <f t="shared" si="30"/>
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</c>
      <c r="AF53" s="96" t="str">
        <f t="shared" si="31"/>
        <v>"C:\Program Files (x86)\AstroGrep\AstroGrep.exe" /spath="%USERPROFILE%\AppData\Local\Temp\OnboardLogs" /stypes="*4045*20160904*" /stext=" 16:.+((SYSTEM_STATE.+slice.+state.+changed )|(ment ac)|(system.+state.+changed )|(\|lc)|(penalty)|(\[timeout)|(PRM\|1\|D)|(kpr)|(kdp))" /e /r /s</v>
      </c>
      <c r="AG53" s="1" t="str">
        <f t="shared" si="32"/>
        <v>EC</v>
      </c>
      <c r="AH53" s="100" t="str">
        <f t="shared" si="17"/>
        <v>"%USERPROFILE%\Documents\GitHub\eaglep3\Utilities\RefineRTDCRunTimes.py" --tripid 140-04 --locoid 4045 --swversion DE.1.0.7.0 --startMP 204:232994 --initTime 2016-09-04T09:14:35 --startdatetime 2016-09-04T09:26:28 --delay 2 --endMP 204:141 --enddatetime 2016-09-04T10:06:08 --enforcementcount 0 &gt;&gt;C:\Users\stu\Documents\GitHub\eaglep3-reporting\EC\2016-09-04-refined-times.txt</v>
      </c>
      <c r="AI53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{"issue":{"subject":"","project_id":79,"tracker_id":40,"status_id":1,"priority_id":2,"assigned_to_id":23,"start_date":"2016-09-04","description":"","custom_fields":[{"id":1,"name":"Subdivision","value":"EC"},{"id":4,"name":"Milepost","value":"23.2853"},{"id":17,"name":"Train ID","value":"140-04"},{"id":16,"name":"Locomotive ID","value":"4045"},{"id":130,"name":"Impact","value":""},{"id":150,"name":"Time of Event (Mountain Time)","value":"10:06:08"},{"id":151,"name":"Denver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418</v>
      </c>
      <c r="B54" s="7">
        <v>4009</v>
      </c>
      <c r="C54" s="24" t="s">
        <v>112</v>
      </c>
      <c r="D54" s="24" t="s">
        <v>231</v>
      </c>
      <c r="E54" s="15">
        <v>42617.361192129632</v>
      </c>
      <c r="F54" s="15">
        <v>42617.364942129629</v>
      </c>
      <c r="G54" s="7">
        <v>1</v>
      </c>
      <c r="H54" s="15" t="s">
        <v>587</v>
      </c>
      <c r="I54" s="15">
        <v>42617.389351851853</v>
      </c>
      <c r="J54" s="7">
        <v>0</v>
      </c>
      <c r="K54" s="132" t="str">
        <f t="shared" si="20"/>
        <v>4009/4010</v>
      </c>
      <c r="L54" s="24" t="str">
        <f>VLOOKUP(A54,'Trips&amp;Operators'!$C$1:$E$10000,3,FALSE)</f>
        <v>KILLION</v>
      </c>
      <c r="M54" s="6">
        <f t="shared" si="21"/>
        <v>2.4409722223936114E-2</v>
      </c>
      <c r="N54" s="7">
        <f t="shared" si="33"/>
        <v>35.150000002468005</v>
      </c>
      <c r="O54" s="7"/>
      <c r="P54" s="7"/>
      <c r="Q54" s="25"/>
      <c r="R54" s="25"/>
      <c r="S54" s="37">
        <f t="shared" si="34"/>
        <v>1</v>
      </c>
      <c r="T54" s="52" t="str">
        <f t="shared" si="22"/>
        <v>NorthBound</v>
      </c>
      <c r="U54" s="12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https://search-rtdc-monitor-bjffxe2xuh6vdkpspy63sjmuny.us-east-1.es.amazonaws.com/_plugin/kibana/#/discover/Steve-Slow-Train-Analysis-(2080s-and-2083s)?_g=(refreshInterval:(display:Off,section:0,value:0),time:(from:'2016-09-04 07:40:07-0600',mode:absolute,to:'2016-09-04 10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54" s="54" t="str">
        <f t="shared" si="24"/>
        <v>N</v>
      </c>
      <c r="X54" s="120">
        <f t="shared" si="25"/>
        <v>1</v>
      </c>
      <c r="Y54" s="69">
        <f t="shared" si="26"/>
        <v>4.58E-2</v>
      </c>
      <c r="Z54" s="69">
        <f t="shared" si="27"/>
        <v>23.324000000000002</v>
      </c>
      <c r="AA54" s="69">
        <f t="shared" si="28"/>
        <v>23.278200000000002</v>
      </c>
      <c r="AB54" s="66" t="e">
        <f>VLOOKUP(A54,Enforcements!$C$7:$J$21,8,0)</f>
        <v>#N/A</v>
      </c>
      <c r="AC54" s="62" t="e">
        <f>VLOOKUP(A54,Enforcements!$C$7:$E$21,3,0)</f>
        <v>#N/A</v>
      </c>
      <c r="AD54" s="63" t="str">
        <f t="shared" si="29"/>
        <v>0141-04</v>
      </c>
      <c r="AE54" s="99" t="str">
        <f t="shared" si="30"/>
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</c>
      <c r="AF54" s="96" t="str">
        <f t="shared" si="31"/>
        <v>"C:\Program Files (x86)\AstroGrep\AstroGrep.exe" /spath="%USERPROFILE%\AppData\Local\Temp\OnboardLogs" /stypes="*4009*20160904*" /stext=" 15:.+((SYSTEM_STATE.+slice.+state.+changed )|(ment ac)|(system.+state.+changed )|(\|lc)|(penalty)|(\[timeout)|(PRM\|1\|D)|(kpr)|(kdp))" /e /r /s</v>
      </c>
      <c r="AG54" s="1" t="str">
        <f t="shared" si="32"/>
        <v>EC</v>
      </c>
      <c r="AH54" s="100" t="str">
        <f t="shared" si="17"/>
        <v>"%USERPROFILE%\Documents\GitHub\eaglep3\Utilities\RefineRTDCRunTimes.py" --tripid 141-04 --locoid 4009 --swversion DE.1.0.7.0 --startMP 204:458 --initTime 2016-09-04T08:40:07 --startdatetime 2016-09-04T08:45:31 --delay 1 --endMP 204:233240 --enddatetime 2016-09-04T09:20:40 --enforcementcount 0 &gt;&gt;C:\Users\stu\Documents\GitHub\eaglep3-reporting\EC\2016-09-04-refined-times.txt</v>
      </c>
      <c r="AI54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{"issue":{"subject":"","project_id":79,"tracker_id":40,"status_id":1,"priority_id":2,"assigned_to_id":23,"start_date":"2016-09-04","description":"","custom_fields":[{"id":1,"name":"Subdivision","value":"EC"},{"id":4,"name":"Milepost","value":"23.2782"},{"id":17,"name":"Train ID","value":"141-04"},{"id":16,"name":"Locomotive ID","value":"4009"},{"id":130,"name":"Impact","value":""},{"id":150,"name":"Time of Event (Mountain Time)","value":"09:20:40"},{"id":151,"name":"Denver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426</v>
      </c>
      <c r="B55" s="7">
        <v>4010</v>
      </c>
      <c r="C55" s="24" t="s">
        <v>112</v>
      </c>
      <c r="D55" s="24" t="s">
        <v>289</v>
      </c>
      <c r="E55" s="15">
        <v>42617.397789351853</v>
      </c>
      <c r="F55" s="15">
        <v>42617.403715277775</v>
      </c>
      <c r="G55" s="7">
        <v>1</v>
      </c>
      <c r="H55" s="15" t="s">
        <v>252</v>
      </c>
      <c r="I55" s="15">
        <v>42617.430023148147</v>
      </c>
      <c r="J55" s="7">
        <v>0</v>
      </c>
      <c r="K55" s="132" t="str">
        <f t="shared" si="20"/>
        <v>4009/4010</v>
      </c>
      <c r="L55" s="24" t="str">
        <f>VLOOKUP(A55,'Trips&amp;Operators'!$C$1:$E$10000,3,FALSE)</f>
        <v>KILLION</v>
      </c>
      <c r="M55" s="6">
        <f t="shared" si="21"/>
        <v>2.6307870371965691E-2</v>
      </c>
      <c r="N55" s="7">
        <f t="shared" si="33"/>
        <v>37.883333335630596</v>
      </c>
      <c r="O55" s="7"/>
      <c r="P55" s="7"/>
      <c r="Q55" s="25"/>
      <c r="R55" s="25"/>
      <c r="S55" s="37">
        <f t="shared" si="34"/>
        <v>1</v>
      </c>
      <c r="T55" s="52" t="str">
        <f t="shared" si="22"/>
        <v>Southbound</v>
      </c>
      <c r="U55" s="12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https://search-rtdc-monitor-bjffxe2xuh6vdkpspy63sjmuny.us-east-1.es.amazonaws.com/_plugin/kibana/#/discover/Steve-Slow-Train-Analysis-(2080s-and-2083s)?_g=(refreshInterval:(display:Off,section:0,value:0),time:(from:'2016-09-04 08:32:49-0600',mode:absolute,to:'2016-09-04 11:19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55" s="54" t="str">
        <f t="shared" si="24"/>
        <v>N</v>
      </c>
      <c r="X55" s="120">
        <f t="shared" si="25"/>
        <v>1</v>
      </c>
      <c r="Y55" s="69">
        <f t="shared" si="26"/>
        <v>23.298200000000001</v>
      </c>
      <c r="Z55" s="69">
        <f t="shared" si="27"/>
        <v>1.41E-2</v>
      </c>
      <c r="AA55" s="69">
        <f t="shared" si="28"/>
        <v>23.284100000000002</v>
      </c>
      <c r="AB55" s="66">
        <f>VLOOKUP(A55,Enforcements!$C$7:$J$21,8,0)</f>
        <v>229055</v>
      </c>
      <c r="AC55" s="62" t="str">
        <f>VLOOKUP(A55,Enforcements!$C$7:$E$21,3,0)</f>
        <v>PERMANENT SPEED RESTRICTION</v>
      </c>
      <c r="AD55" s="63" t="str">
        <f t="shared" si="29"/>
        <v>0142-04</v>
      </c>
      <c r="AE55" s="99" t="str">
        <f t="shared" si="30"/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AF55" s="96" t="str">
        <f t="shared" si="31"/>
        <v>"C:\Program Files (x86)\AstroGrep\AstroGrep.exe" /spath="%USERPROFILE%\AppData\Local\Temp\OnboardLogs" /stypes="*4010*20160904*" /stext=" 16:.+((SYSTEM_STATE.+slice.+state.+changed )|(ment ac)|(system.+state.+changed )|(\|lc)|(penalty)|(\[timeout)|(PRM\|1\|D)|(kpr)|(kdp))" /e /r /s</v>
      </c>
      <c r="AG55" s="1" t="str">
        <f t="shared" si="32"/>
        <v>EC</v>
      </c>
      <c r="AH55" s="100" t="str">
        <f t="shared" si="17"/>
        <v>"%USERPROFILE%\Documents\GitHub\eaglep3\Utilities\RefineRTDCRunTimes.py" --tripid 142-04 --locoid 4010 --swversion DE.1.0.7.0 --startMP 204:232982 --initTime 2016-09-04T09:32:49 --startdatetime 2016-09-04T09:41:21 --delay 1 --endMP 204:141 --enddatetime 2016-09-04T10:19:14 --enforcementcount 0 &gt;&gt;C:\Users\stu\Documents\GitHub\eaglep3-reporting\EC\2016-09-04-refined-times.txt</v>
      </c>
      <c r="AI55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{"issue":{"subject":"","project_id":79,"tracker_id":40,"status_id":1,"priority_id":2,"assigned_to_id":23,"start_date":"2016-09-04","description":"","custom_fields":[{"id":1,"name":"Subdivision","value":"EC"},{"id":4,"name":"Milepost","value":"23.2841"},{"id":17,"name":"Train ID","value":"142-04"},{"id":16,"name":"Locomotive ID","value":"4010"},{"id":130,"name":"Impact","value":""},{"id":150,"name":"Time of Event (Mountain Time)","value":"10:19:14"},{"id":151,"name":"Denver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420</v>
      </c>
      <c r="B56" s="7">
        <v>4016</v>
      </c>
      <c r="C56" s="24" t="s">
        <v>112</v>
      </c>
      <c r="D56" s="24" t="s">
        <v>168</v>
      </c>
      <c r="E56" s="15">
        <v>42617.36791666667</v>
      </c>
      <c r="F56" s="15">
        <v>42617.375405092593</v>
      </c>
      <c r="G56" s="7">
        <v>1</v>
      </c>
      <c r="H56" s="15" t="s">
        <v>174</v>
      </c>
      <c r="I56" s="15">
        <v>42617.399502314816</v>
      </c>
      <c r="J56" s="7">
        <v>0</v>
      </c>
      <c r="K56" s="132" t="str">
        <f t="shared" si="20"/>
        <v>4015/4016</v>
      </c>
      <c r="L56" s="24" t="str">
        <f>VLOOKUP(A56,'Trips&amp;Operators'!$C$1:$E$10000,3,FALSE)</f>
        <v>YORK</v>
      </c>
      <c r="M56" s="6">
        <f t="shared" si="21"/>
        <v>2.4097222223645076E-2</v>
      </c>
      <c r="N56" s="7">
        <f t="shared" si="33"/>
        <v>34.70000000204891</v>
      </c>
      <c r="O56" s="7"/>
      <c r="P56" s="7"/>
      <c r="Q56" s="25"/>
      <c r="R56" s="25"/>
      <c r="S56" s="37">
        <f t="shared" si="34"/>
        <v>1</v>
      </c>
      <c r="T56" s="52" t="str">
        <f t="shared" si="22"/>
        <v>NorthBound</v>
      </c>
      <c r="U56" s="12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https://search-rtdc-monitor-bjffxe2xuh6vdkpspy63sjmuny.us-east-1.es.amazonaws.com/_plugin/kibana/#/discover/Steve-Slow-Train-Analysis-(2080s-and-2083s)?_g=(refreshInterval:(display:Off,section:0,value:0),time:(from:'2016-09-04 07:49:48-0600',mode:absolute,to:'2016-09-04 10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56" s="54" t="str">
        <f t="shared" si="24"/>
        <v>N</v>
      </c>
      <c r="X56" s="120">
        <f t="shared" si="25"/>
        <v>1</v>
      </c>
      <c r="Y56" s="69">
        <f t="shared" si="26"/>
        <v>4.7100000000000003E-2</v>
      </c>
      <c r="Z56" s="69">
        <f t="shared" si="27"/>
        <v>23.3293</v>
      </c>
      <c r="AA56" s="69">
        <f t="shared" si="28"/>
        <v>23.2822</v>
      </c>
      <c r="AB56" s="66" t="e">
        <f>VLOOKUP(A56,Enforcements!$C$7:$J$21,8,0)</f>
        <v>#N/A</v>
      </c>
      <c r="AC56" s="62" t="e">
        <f>VLOOKUP(A56,Enforcements!$C$7:$E$21,3,0)</f>
        <v>#N/A</v>
      </c>
      <c r="AD56" s="63" t="str">
        <f t="shared" si="29"/>
        <v>0143-04</v>
      </c>
      <c r="AE56" s="99" t="str">
        <f t="shared" si="30"/>
        <v>aws s3 cp s3://rtdc.mdm.uploadarchive/RTDC4016/2016-09-04/ "%USERPROFILE%\AppData\Local\Temp\OnboardLogs"\RTDC4016\2016-09-04 --recursive &amp; "%USERPROFILE%\Documents\GitHub\mrs-test-scripts\Headless Mode &amp; Sideloading\WalkAndUnGZ.bat" "%USERPROFILE%\AppData\Local\Temp\OnboardLogs"\RTDC4016\2016-09-04 &amp; 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</v>
      </c>
      <c r="AF56" s="96" t="str">
        <f t="shared" si="31"/>
        <v>"C:\Program Files (x86)\AstroGrep\AstroGrep.exe" /spath="%USERPROFILE%\AppData\Local\Temp\OnboardLogs" /stypes="*4016*20160904*" /stext=" 15:.+((SYSTEM_STATE.+slice.+state.+changed )|(ment ac)|(system.+state.+changed )|(\|lc)|(penalty)|(\[timeout)|(PRM\|1\|D)|(kpr)|(kdp))" /e /r /s</v>
      </c>
      <c r="AG56" s="1" t="str">
        <f t="shared" si="32"/>
        <v>EC</v>
      </c>
      <c r="AH56" s="100" t="str">
        <f t="shared" si="17"/>
        <v>"%USERPROFILE%\Documents\GitHub\eaglep3\Utilities\RefineRTDCRunTimes.py" --tripid 143-04 --locoid 4016 --swversion DE.1.0.7.0 --startMP 204:471 --initTime 2016-09-04T08:49:48 --startdatetime 2016-09-04T09:00:35 --delay 1 --endMP 204:233293 --enddatetime 2016-09-04T09:35:17 --enforcementcount 0 &gt;&gt;C:\Users\stu\Documents\GitHub\eaglep3-reporting\EC\2016-09-04-refined-times.txt</v>
      </c>
      <c r="AI56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{"issue":{"subject":"","project_id":79,"tracker_id":40,"status_id":1,"priority_id":2,"assigned_to_id":23,"start_date":"2016-09-04","description":"","custom_fields":[{"id":1,"name":"Subdivision","value":"EC"},{"id":4,"name":"Milepost","value":"23.2822"},{"id":17,"name":"Train ID","value":"143-04"},{"id":16,"name":"Locomotive ID","value":"4016"},{"id":130,"name":"Impact","value":""},{"id":150,"name":"Time of Event (Mountain Time)","value":"09:35:17"},{"id":151,"name":"Denver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427</v>
      </c>
      <c r="B57" s="7">
        <v>4015</v>
      </c>
      <c r="C57" s="24" t="s">
        <v>112</v>
      </c>
      <c r="D57" s="24" t="s">
        <v>581</v>
      </c>
      <c r="E57" s="15">
        <v>42617.400555555556</v>
      </c>
      <c r="F57" s="15">
        <v>42617.414340277777</v>
      </c>
      <c r="G57" s="7">
        <v>0</v>
      </c>
      <c r="H57" s="15" t="s">
        <v>146</v>
      </c>
      <c r="I57" s="15">
        <v>42617.43954861111</v>
      </c>
      <c r="J57" s="7">
        <v>0</v>
      </c>
      <c r="K57" s="132" t="str">
        <f t="shared" si="20"/>
        <v>4015/4016</v>
      </c>
      <c r="L57" s="24" t="str">
        <f>VLOOKUP(A57,'Trips&amp;Operators'!$C$1:$E$10000,3,FALSE)</f>
        <v>YORK</v>
      </c>
      <c r="M57" s="6">
        <f t="shared" si="21"/>
        <v>2.5208333332557231E-2</v>
      </c>
      <c r="N57" s="7">
        <f t="shared" si="33"/>
        <v>36.299999998882413</v>
      </c>
      <c r="O57" s="7"/>
      <c r="P57" s="7"/>
      <c r="Q57" s="25"/>
      <c r="R57" s="25"/>
      <c r="S57" s="37">
        <f t="shared" si="34"/>
        <v>1</v>
      </c>
      <c r="T57" s="52" t="str">
        <f t="shared" si="22"/>
        <v>Southbound</v>
      </c>
      <c r="U57" s="12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https://search-rtdc-monitor-bjffxe2xuh6vdkpspy63sjmuny.us-east-1.es.amazonaws.com/_plugin/kibana/#/discover/Steve-Slow-Train-Analysis-(2080s-and-2083s)?_g=(refreshInterval:(display:Off,section:0,value:0),time:(from:'2016-09-04 08:36:48-0600',mode:absolute,to:'2016-09-04 11:32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57" s="54" t="str">
        <f t="shared" si="24"/>
        <v>N</v>
      </c>
      <c r="X57" s="120">
        <f t="shared" si="25"/>
        <v>1</v>
      </c>
      <c r="Y57" s="69">
        <f t="shared" si="26"/>
        <v>23.299099999999999</v>
      </c>
      <c r="Z57" s="69">
        <f t="shared" si="27"/>
        <v>1.5599999999999999E-2</v>
      </c>
      <c r="AA57" s="69">
        <f t="shared" si="28"/>
        <v>23.2835</v>
      </c>
      <c r="AB57" s="66" t="e">
        <f>VLOOKUP(A57,Enforcements!$C$7:$J$21,8,0)</f>
        <v>#N/A</v>
      </c>
      <c r="AC57" s="62" t="e">
        <f>VLOOKUP(A57,Enforcements!$C$7:$E$21,3,0)</f>
        <v>#N/A</v>
      </c>
      <c r="AD57" s="63" t="str">
        <f t="shared" si="29"/>
        <v>0144-04</v>
      </c>
      <c r="AE57" s="99" t="str">
        <f t="shared" si="30"/>
        <v>aws s3 cp s3://rtdc.mdm.uploadarchive/RTDC4015/2016-09-04/ "%USERPROFILE%\AppData\Local\Temp\OnboardLogs"\RTDC4015\2016-09-04 --recursive &amp; "%USERPROFILE%\Documents\GitHub\mrs-test-scripts\Headless Mode &amp; Sideloading\WalkAndUnGZ.bat" "%USERPROFILE%\AppData\Local\Temp\OnboardLogs"\RTDC4015\2016-09-04 &amp; 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</v>
      </c>
      <c r="AF57" s="96" t="str">
        <f t="shared" si="31"/>
        <v>"C:\Program Files (x86)\AstroGrep\AstroGrep.exe" /spath="%USERPROFILE%\AppData\Local\Temp\OnboardLogs" /stypes="*4015*20160904*" /stext=" 16:.+((SYSTEM_STATE.+slice.+state.+changed )|(ment ac)|(system.+state.+changed )|(\|lc)|(penalty)|(\[timeout)|(PRM\|1\|D)|(kpr)|(kdp))" /e /r /s</v>
      </c>
      <c r="AG57" s="1" t="str">
        <f t="shared" si="32"/>
        <v>EC</v>
      </c>
      <c r="AH57" s="100" t="str">
        <f t="shared" si="17"/>
        <v>"%USERPROFILE%\Documents\GitHub\eaglep3\Utilities\RefineRTDCRunTimes.py" --tripid 144-04 --locoid 4015 --swversion DE.1.0.7.0 --startMP 204:232991 --initTime 2016-09-04T09:36:48 --startdatetime 2016-09-04T09:56:39 --delay 0 --endMP 204:156 --enddatetime 2016-09-04T10:32:57 --enforcementcount 0 &gt;&gt;C:\Users\stu\Documents\GitHub\eaglep3-reporting\EC\2016-09-04-refined-times.txt</v>
      </c>
      <c r="AI57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{"issue":{"subject":"","project_id":79,"tracker_id":40,"status_id":1,"priority_id":2,"assigned_to_id":23,"start_date":"2016-09-04","description":"","custom_fields":[{"id":1,"name":"Subdivision","value":"EC"},{"id":4,"name":"Milepost","value":"23.2835"},{"id":17,"name":"Train ID","value":"144-04"},{"id":16,"name":"Locomotive ID","value":"4015"},{"id":130,"name":"Impact","value":""},{"id":150,"name":"Time of Event (Mountain Time)","value":"10:32:57"},{"id":151,"name":"Denver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422</v>
      </c>
      <c r="B58" s="7">
        <v>4031</v>
      </c>
      <c r="C58" s="24" t="s">
        <v>112</v>
      </c>
      <c r="D58" s="24" t="s">
        <v>132</v>
      </c>
      <c r="E58" s="15">
        <v>42617.381828703707</v>
      </c>
      <c r="F58" s="15">
        <v>42617.42465277778</v>
      </c>
      <c r="G58" s="7">
        <v>1</v>
      </c>
      <c r="H58" s="15" t="s">
        <v>357</v>
      </c>
      <c r="I58" s="15">
        <v>42617.45171296296</v>
      </c>
      <c r="J58" s="7">
        <v>0</v>
      </c>
      <c r="K58" s="132" t="str">
        <f t="shared" si="20"/>
        <v>4031/4032</v>
      </c>
      <c r="L58" s="24" t="str">
        <f>VLOOKUP(A58,'Trips&amp;Operators'!$C$1:$E$10000,3,FALSE)</f>
        <v>ACKERMAN</v>
      </c>
      <c r="M58" s="6">
        <f t="shared" si="21"/>
        <v>2.7060185180744156E-2</v>
      </c>
      <c r="N58" s="7">
        <f t="shared" si="33"/>
        <v>38.966666660271585</v>
      </c>
      <c r="O58" s="7"/>
      <c r="P58" s="7"/>
      <c r="Q58" s="25"/>
      <c r="R58" s="25"/>
      <c r="S58" s="37">
        <f t="shared" si="34"/>
        <v>1</v>
      </c>
      <c r="T58" s="52" t="str">
        <f t="shared" si="22"/>
        <v>NorthBound</v>
      </c>
      <c r="U58" s="12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https://search-rtdc-monitor-bjffxe2xuh6vdkpspy63sjmuny.us-east-1.es.amazonaws.com/_plugin/kibana/#/discover/Steve-Slow-Train-Analysis-(2080s-and-2083s)?_g=(refreshInterval:(display:Off,section:0,value:0),time:(from:'2016-09-04 08:09:50-0600',mode:absolute,to:'2016-09-04 11:50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58" s="54" t="str">
        <f t="shared" si="24"/>
        <v>N</v>
      </c>
      <c r="X58" s="120">
        <f t="shared" si="25"/>
        <v>1</v>
      </c>
      <c r="Y58" s="69">
        <f t="shared" si="26"/>
        <v>4.53E-2</v>
      </c>
      <c r="Z58" s="69">
        <f t="shared" si="27"/>
        <v>23.329899999999999</v>
      </c>
      <c r="AA58" s="69">
        <f t="shared" si="28"/>
        <v>23.284599999999998</v>
      </c>
      <c r="AB58" s="66" t="e">
        <f>VLOOKUP(A58,Enforcements!$C$7:$J$21,8,0)</f>
        <v>#N/A</v>
      </c>
      <c r="AC58" s="62" t="e">
        <f>VLOOKUP(A58,Enforcements!$C$7:$E$21,3,0)</f>
        <v>#N/A</v>
      </c>
      <c r="AD58" s="63" t="str">
        <f t="shared" si="29"/>
        <v>0145-04</v>
      </c>
      <c r="AE58" s="99" t="str">
        <f t="shared" si="30"/>
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</c>
      <c r="AF58" s="96" t="str">
        <f t="shared" si="31"/>
        <v>"C:\Program Files (x86)\AstroGrep\AstroGrep.exe" /spath="%USERPROFILE%\AppData\Local\Temp\OnboardLogs" /stypes="*4031*20160904*" /stext=" 16:.+((SYSTEM_STATE.+slice.+state.+changed )|(ment ac)|(system.+state.+changed )|(\|lc)|(penalty)|(\[timeout)|(PRM\|1\|D)|(kpr)|(kdp))" /e /r /s</v>
      </c>
      <c r="AG58" s="1" t="str">
        <f t="shared" si="32"/>
        <v>EC</v>
      </c>
      <c r="AH58" s="100" t="str">
        <f t="shared" si="17"/>
        <v>"%USERPROFILE%\Documents\GitHub\eaglep3\Utilities\RefineRTDCRunTimes.py" --tripid 145-04 --locoid 4031 --swversion DE.1.0.7.0 --startMP 204:453 --initTime 2016-09-04T09:09:50 --startdatetime 2016-09-04T10:11:30 --delay 1 --endMP 204:233299 --enddatetime 2016-09-04T10:50:28 --enforcementcount 0 &gt;&gt;C:\Users\stu\Documents\GitHub\eaglep3-reporting\EC\2016-09-04-refined-times.txt</v>
      </c>
      <c r="AI58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{"issue":{"subject":"","project_id":79,"tracker_id":40,"status_id":1,"priority_id":2,"assigned_to_id":23,"start_date":"2016-09-04","description":"","custom_fields":[{"id":1,"name":"Subdivision","value":"EC"},{"id":4,"name":"Milepost","value":"23.2846"},{"id":17,"name":"Train ID","value":"145-04"},{"id":16,"name":"Locomotive ID","value":"4031"},{"id":130,"name":"Impact","value":""},{"id":150,"name":"Time of Event (Mountain Time)","value":"10:50:28"},{"id":151,"name":"Denver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431</v>
      </c>
      <c r="B59" s="7">
        <v>4032</v>
      </c>
      <c r="C59" s="24" t="s">
        <v>112</v>
      </c>
      <c r="D59" s="24" t="s">
        <v>588</v>
      </c>
      <c r="E59" s="15">
        <v>42617.419525462959</v>
      </c>
      <c r="F59" s="15">
        <v>42617.42465277778</v>
      </c>
      <c r="G59" s="7">
        <v>1</v>
      </c>
      <c r="H59" s="15" t="s">
        <v>250</v>
      </c>
      <c r="I59" s="15">
        <v>42617.45171296296</v>
      </c>
      <c r="J59" s="7">
        <v>0</v>
      </c>
      <c r="K59" s="132" t="str">
        <f t="shared" si="20"/>
        <v>4031/4032</v>
      </c>
      <c r="L59" s="24" t="str">
        <f>VLOOKUP(A59,'Trips&amp;Operators'!$C$1:$E$10000,3,FALSE)</f>
        <v>ACKERMAN</v>
      </c>
      <c r="M59" s="6">
        <f t="shared" si="21"/>
        <v>2.7060185180744156E-2</v>
      </c>
      <c r="N59" s="7">
        <f t="shared" si="33"/>
        <v>38.966666660271585</v>
      </c>
      <c r="O59" s="7"/>
      <c r="P59" s="7"/>
      <c r="Q59" s="25"/>
      <c r="R59" s="25"/>
      <c r="S59" s="37">
        <f t="shared" si="34"/>
        <v>1</v>
      </c>
      <c r="T59" s="52" t="str">
        <f t="shared" si="22"/>
        <v>Southbound</v>
      </c>
      <c r="U59" s="12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https://search-rtdc-monitor-bjffxe2xuh6vdkpspy63sjmuny.us-east-1.es.amazonaws.com/_plugin/kibana/#/discover/Steve-Slow-Train-Analysis-(2080s-and-2083s)?_g=(refreshInterval:(display:Off,section:0,value:0),time:(from:'2016-09-04 09:04:07-0600',mode:absolute,to:'2016-09-04 11:50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59" s="54" t="str">
        <f t="shared" si="24"/>
        <v>N</v>
      </c>
      <c r="X59" s="120">
        <f t="shared" si="25"/>
        <v>1</v>
      </c>
      <c r="Y59" s="69">
        <f t="shared" si="26"/>
        <v>23.298400000000001</v>
      </c>
      <c r="Z59" s="69">
        <f t="shared" si="27"/>
        <v>1.38E-2</v>
      </c>
      <c r="AA59" s="69">
        <f t="shared" si="28"/>
        <v>23.284600000000001</v>
      </c>
      <c r="AB59" s="66" t="e">
        <f>VLOOKUP(A59,Enforcements!$C$7:$J$21,8,0)</f>
        <v>#N/A</v>
      </c>
      <c r="AC59" s="62" t="e">
        <f>VLOOKUP(A59,Enforcements!$C$7:$E$21,3,0)</f>
        <v>#N/A</v>
      </c>
      <c r="AD59" s="63" t="str">
        <f t="shared" si="29"/>
        <v>0146-04</v>
      </c>
      <c r="AE59" s="99" t="str">
        <f t="shared" si="30"/>
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</c>
      <c r="AF59" s="96" t="str">
        <f t="shared" si="31"/>
        <v>"C:\Program Files (x86)\AstroGrep\AstroGrep.exe" /spath="%USERPROFILE%\AppData\Local\Temp\OnboardLogs" /stypes="*4032*20160904*" /stext=" 16:.+((SYSTEM_STATE.+slice.+state.+changed )|(ment ac)|(system.+state.+changed )|(\|lc)|(penalty)|(\[timeout)|(PRM\|1\|D)|(kpr)|(kdp))" /e /r /s</v>
      </c>
      <c r="AG59" s="1" t="str">
        <f t="shared" si="32"/>
        <v>EC</v>
      </c>
      <c r="AH59" s="100" t="str">
        <f t="shared" si="17"/>
        <v>"%USERPROFILE%\Documents\GitHub\eaglep3\Utilities\RefineRTDCRunTimes.py" --tripid 146-04 --locoid 4032 --swversion DE.1.0.7.0 --startMP 204:232984 --initTime 2016-09-04T10:04:07 --startdatetime 2016-09-04T10:11:30 --delay 1 --endMP 204:138 --enddatetime 2016-09-04T10:50:28 --enforcementcount 0 &gt;&gt;C:\Users\stu\Documents\GitHub\eaglep3-reporting\EC\2016-09-04-refined-times.txt</v>
      </c>
      <c r="AI59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{"issue":{"subject":"","project_id":79,"tracker_id":40,"status_id":1,"priority_id":2,"assigned_to_id":23,"start_date":"2016-09-04","description":"","custom_fields":[{"id":1,"name":"Subdivision","value":"EC"},{"id":4,"name":"Milepost","value":"23.2846"},{"id":17,"name":"Train ID","value":"146-04"},{"id":16,"name":"Locomotive ID","value":"4032"},{"id":130,"name":"Impact","value":""},{"id":150,"name":"Time of Event (Mountain Time)","value":"10:50:28"},{"id":151,"name":"Denver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425</v>
      </c>
      <c r="B60" s="7">
        <v>4018</v>
      </c>
      <c r="C60" s="24" t="s">
        <v>112</v>
      </c>
      <c r="D60" s="24" t="s">
        <v>138</v>
      </c>
      <c r="E60" s="15">
        <v>42617.393784722219</v>
      </c>
      <c r="F60" s="15">
        <v>42617.39607638889</v>
      </c>
      <c r="G60" s="7">
        <v>1</v>
      </c>
      <c r="H60" s="15" t="s">
        <v>257</v>
      </c>
      <c r="I60" s="15">
        <v>42617.42087962963</v>
      </c>
      <c r="J60" s="7">
        <v>0</v>
      </c>
      <c r="K60" s="132" t="str">
        <f t="shared" si="20"/>
        <v>4017/4018</v>
      </c>
      <c r="L60" s="24" t="str">
        <f>VLOOKUP(A60,'Trips&amp;Operators'!$C$1:$E$10000,3,FALSE)</f>
        <v>MAELZER</v>
      </c>
      <c r="M60" s="6">
        <f t="shared" si="21"/>
        <v>2.4803240739856847E-2</v>
      </c>
      <c r="N60" s="7">
        <f t="shared" si="33"/>
        <v>35.716666665393859</v>
      </c>
      <c r="O60" s="7"/>
      <c r="P60" s="7"/>
      <c r="Q60" s="25"/>
      <c r="R60" s="25"/>
      <c r="S60" s="37">
        <f t="shared" si="34"/>
        <v>1</v>
      </c>
      <c r="T60" s="52" t="str">
        <f t="shared" si="22"/>
        <v>NorthBound</v>
      </c>
      <c r="U60" s="12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https://search-rtdc-monitor-bjffxe2xuh6vdkpspy63sjmuny.us-east-1.es.amazonaws.com/_plugin/kibana/#/discover/Steve-Slow-Train-Analysis-(2080s-and-2083s)?_g=(refreshInterval:(display:Off,section:0,value:0),time:(from:'2016-09-04 08:27:03-0600',mode:absolute,to:'2016-09-04 11:06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60" s="54" t="str">
        <f t="shared" si="24"/>
        <v>N</v>
      </c>
      <c r="X60" s="120">
        <f t="shared" si="25"/>
        <v>1</v>
      </c>
      <c r="Y60" s="69">
        <f t="shared" si="26"/>
        <v>4.5699999999999998E-2</v>
      </c>
      <c r="Z60" s="69">
        <f t="shared" si="27"/>
        <v>23.331700000000001</v>
      </c>
      <c r="AA60" s="69">
        <f t="shared" si="28"/>
        <v>23.286000000000001</v>
      </c>
      <c r="AB60" s="66" t="e">
        <f>VLOOKUP(A60,Enforcements!$C$7:$J$21,8,0)</f>
        <v>#N/A</v>
      </c>
      <c r="AC60" s="62" t="e">
        <f>VLOOKUP(A60,Enforcements!$C$7:$E$21,3,0)</f>
        <v>#N/A</v>
      </c>
      <c r="AD60" s="63" t="str">
        <f t="shared" si="29"/>
        <v>0147-04</v>
      </c>
      <c r="AE60" s="99" t="str">
        <f t="shared" si="30"/>
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</c>
      <c r="AF60" s="96" t="str">
        <f t="shared" si="31"/>
        <v>"C:\Program Files (x86)\AstroGrep\AstroGrep.exe" /spath="%USERPROFILE%\AppData\Local\Temp\OnboardLogs" /stypes="*4018*20160904*" /stext=" 16:.+((SYSTEM_STATE.+slice.+state.+changed )|(ment ac)|(system.+state.+changed )|(\|lc)|(penalty)|(\[timeout)|(PRM\|1\|D)|(kpr)|(kdp))" /e /r /s</v>
      </c>
      <c r="AG60" s="1" t="str">
        <f t="shared" si="32"/>
        <v>EC</v>
      </c>
      <c r="AH60" s="100" t="str">
        <f t="shared" si="17"/>
        <v>"%USERPROFILE%\Documents\GitHub\eaglep3\Utilities\RefineRTDCRunTimes.py" --tripid 147-04 --locoid 4018 --swversion DE.1.0.7.0 --startMP 204:457 --initTime 2016-09-04T09:27:03 --startdatetime 2016-09-04T09:30:21 --delay 1 --endMP 204:233317 --enddatetime 2016-09-04T10:06:04 --enforcementcount 0 &gt;&gt;C:\Users\stu\Documents\GitHub\eaglep3-reporting\EC\2016-09-04-refined-times.txt</v>
      </c>
      <c r="AI60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{"issue":{"subject":"","project_id":79,"tracker_id":40,"status_id":1,"priority_id":2,"assigned_to_id":23,"start_date":"2016-09-04","description":"","custom_fields":[{"id":1,"name":"Subdivision","value":"EC"},{"id":4,"name":"Milepost","value":"23.286"},{"id":17,"name":"Train ID","value":"147-04"},{"id":16,"name":"Locomotive ID","value":"4018"},{"id":130,"name":"Impact","value":""},{"id":150,"name":"Time of Event (Mountain Time)","value":"10:06:04"},{"id":151,"name":"Denver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434</v>
      </c>
      <c r="B61" s="7">
        <v>4017</v>
      </c>
      <c r="C61" s="24" t="s">
        <v>112</v>
      </c>
      <c r="D61" s="24" t="s">
        <v>286</v>
      </c>
      <c r="E61" s="15">
        <v>42617.430625000001</v>
      </c>
      <c r="F61" s="15">
        <v>42617.435196759259</v>
      </c>
      <c r="G61" s="7">
        <v>1</v>
      </c>
      <c r="H61" s="15" t="s">
        <v>171</v>
      </c>
      <c r="I61" s="15">
        <v>42617.462476851855</v>
      </c>
      <c r="J61" s="7">
        <v>0</v>
      </c>
      <c r="K61" s="132" t="str">
        <f t="shared" si="20"/>
        <v>4017/4018</v>
      </c>
      <c r="L61" s="24" t="str">
        <f>VLOOKUP(A61,'Trips&amp;Operators'!$C$1:$E$10000,3,FALSE)</f>
        <v>MAELZER</v>
      </c>
      <c r="M61" s="6">
        <f t="shared" si="21"/>
        <v>2.7280092595901806E-2</v>
      </c>
      <c r="N61" s="7">
        <f t="shared" si="33"/>
        <v>39.283333338098601</v>
      </c>
      <c r="O61" s="7"/>
      <c r="P61" s="7"/>
      <c r="Q61" s="25"/>
      <c r="R61" s="25"/>
      <c r="S61" s="37">
        <f t="shared" si="34"/>
        <v>1</v>
      </c>
      <c r="T61" s="52" t="str">
        <f t="shared" si="22"/>
        <v>Southbound</v>
      </c>
      <c r="U61" s="12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https://search-rtdc-monitor-bjffxe2xuh6vdkpspy63sjmuny.us-east-1.es.amazonaws.com/_plugin/kibana/#/discover/Steve-Slow-Train-Analysis-(2080s-and-2083s)?_g=(refreshInterval:(display:Off,section:0,value:0),time:(from:'2016-09-04 09:20:06-0600',mode:absolute,to:'2016-09-04 12:05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61" s="54" t="str">
        <f t="shared" si="24"/>
        <v>N</v>
      </c>
      <c r="X61" s="120">
        <f t="shared" si="25"/>
        <v>1</v>
      </c>
      <c r="Y61" s="69">
        <f t="shared" si="26"/>
        <v>23.2987</v>
      </c>
      <c r="Z61" s="69">
        <f t="shared" si="27"/>
        <v>1.4500000000000001E-2</v>
      </c>
      <c r="AA61" s="69">
        <f t="shared" si="28"/>
        <v>23.284199999999998</v>
      </c>
      <c r="AB61" s="66" t="e">
        <f>VLOOKUP(A61,Enforcements!$C$7:$J$21,8,0)</f>
        <v>#N/A</v>
      </c>
      <c r="AC61" s="62" t="e">
        <f>VLOOKUP(A61,Enforcements!$C$7:$E$21,3,0)</f>
        <v>#N/A</v>
      </c>
      <c r="AD61" s="63" t="str">
        <f t="shared" si="29"/>
        <v>0148-04</v>
      </c>
      <c r="AE61" s="99" t="str">
        <f t="shared" si="30"/>
        <v>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 &amp; 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</v>
      </c>
      <c r="AF61" s="96" t="str">
        <f t="shared" si="31"/>
        <v>"C:\Program Files (x86)\AstroGrep\AstroGrep.exe" /spath="%USERPROFILE%\AppData\Local\Temp\OnboardLogs" /stypes="*4017*20160904*" /stext=" 17:.+((SYSTEM_STATE.+slice.+state.+changed )|(ment ac)|(system.+state.+changed )|(\|lc)|(penalty)|(\[timeout)|(PRM\|1\|D)|(kpr)|(kdp))" /e /r /s</v>
      </c>
      <c r="AG61" s="1" t="str">
        <f t="shared" si="32"/>
        <v>EC</v>
      </c>
      <c r="AH61" s="100" t="str">
        <f t="shared" si="17"/>
        <v>"%USERPROFILE%\Documents\GitHub\eaglep3\Utilities\RefineRTDCRunTimes.py" --tripid 148-04 --locoid 4017 --swversion DE.1.0.7.0 --startMP 204:232987 --initTime 2016-09-04T10:20:06 --startdatetime 2016-09-04T10:26:41 --delay 1 --endMP 204:145 --enddatetime 2016-09-04T11:05:58 --enforcementcount 0 &gt;&gt;C:\Users\stu\Documents\GitHub\eaglep3-reporting\EC\2016-09-04-refined-times.txt</v>
      </c>
      <c r="AI61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{"issue":{"subject":"","project_id":79,"tracker_id":40,"status_id":1,"priority_id":2,"assigned_to_id":23,"start_date":"2016-09-04","description":"","custom_fields":[{"id":1,"name":"Subdivision","value":"EC"},{"id":4,"name":"Milepost","value":"23.2842"},{"id":17,"name":"Train ID","value":"148-04"},{"id":16,"name":"Locomotive ID","value":"4017"},{"id":130,"name":"Impact","value":""},{"id":150,"name":"Time of Event (Mountain Time)","value":"11:05:58"},{"id":151,"name":"Denver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429</v>
      </c>
      <c r="B62" s="7">
        <v>4038</v>
      </c>
      <c r="C62" s="24" t="s">
        <v>112</v>
      </c>
      <c r="D62" s="24" t="s">
        <v>294</v>
      </c>
      <c r="E62" s="15">
        <v>42617.405358796299</v>
      </c>
      <c r="F62" s="15">
        <v>42617.406643518516</v>
      </c>
      <c r="G62" s="7">
        <v>1</v>
      </c>
      <c r="H62" s="15" t="s">
        <v>336</v>
      </c>
      <c r="I62" s="15">
        <v>42617.431840277779</v>
      </c>
      <c r="J62" s="7">
        <v>0</v>
      </c>
      <c r="K62" s="132" t="str">
        <f t="shared" si="20"/>
        <v>4037/4038</v>
      </c>
      <c r="L62" s="24" t="str">
        <f>VLOOKUP(A62,'Trips&amp;Operators'!$C$1:$E$10000,3,FALSE)</f>
        <v>DAVIS</v>
      </c>
      <c r="M62" s="6">
        <f t="shared" si="21"/>
        <v>2.5196759263053536E-2</v>
      </c>
      <c r="N62" s="7">
        <f t="shared" si="33"/>
        <v>36.283333338797092</v>
      </c>
      <c r="O62" s="7"/>
      <c r="P62" s="7"/>
      <c r="Q62" s="25"/>
      <c r="R62" s="25"/>
      <c r="S62" s="37">
        <f t="shared" si="34"/>
        <v>1</v>
      </c>
      <c r="T62" s="52" t="str">
        <f t="shared" si="22"/>
        <v>NorthBound</v>
      </c>
      <c r="U62" s="12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https://search-rtdc-monitor-bjffxe2xuh6vdkpspy63sjmuny.us-east-1.es.amazonaws.com/_plugin/kibana/#/discover/Steve-Slow-Train-Analysis-(2080s-and-2083s)?_g=(refreshInterval:(display:Off,section:0,value:0),time:(from:'2016-09-04 08:43:43-0600',mode:absolute,to:'2016-09-04 11:21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62" s="54" t="str">
        <f t="shared" si="24"/>
        <v>N</v>
      </c>
      <c r="X62" s="120">
        <f t="shared" si="25"/>
        <v>1</v>
      </c>
      <c r="Y62" s="69">
        <f t="shared" si="26"/>
        <v>4.2700000000000002E-2</v>
      </c>
      <c r="Z62" s="69">
        <f t="shared" si="27"/>
        <v>23.330100000000002</v>
      </c>
      <c r="AA62" s="69">
        <f t="shared" si="28"/>
        <v>23.287400000000002</v>
      </c>
      <c r="AB62" s="66" t="e">
        <f>VLOOKUP(A62,Enforcements!$C$7:$J$21,8,0)</f>
        <v>#N/A</v>
      </c>
      <c r="AC62" s="62" t="e">
        <f>VLOOKUP(A62,Enforcements!$C$7:$E$21,3,0)</f>
        <v>#N/A</v>
      </c>
      <c r="AD62" s="63" t="str">
        <f t="shared" si="29"/>
        <v>0149-04</v>
      </c>
      <c r="AE62" s="99" t="str">
        <f t="shared" si="30"/>
        <v>aws s3 cp s3://rtdc.mdm.uploadarchive/RTDC4038/2016-09-04/ "%USERPROFILE%\AppData\Local\Temp\OnboardLogs"\RTDC4038\2016-09-04 --recursive &amp; "%USERPROFILE%\Documents\GitHub\mrs-test-scripts\Headless Mode &amp; Sideloading\WalkAndUnGZ.bat" "%USERPROFILE%\AppData\Local\Temp\OnboardLogs"\RTDC4038\2016-09-04 &amp; 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</v>
      </c>
      <c r="AF62" s="96" t="str">
        <f t="shared" si="31"/>
        <v>"C:\Program Files (x86)\AstroGrep\AstroGrep.exe" /spath="%USERPROFILE%\AppData\Local\Temp\OnboardLogs" /stypes="*4038*20160904*" /stext=" 16:.+((SYSTEM_STATE.+slice.+state.+changed )|(ment ac)|(system.+state.+changed )|(\|lc)|(penalty)|(\[timeout)|(PRM\|1\|D)|(kpr)|(kdp))" /e /r /s</v>
      </c>
      <c r="AG62" s="1" t="str">
        <f t="shared" si="32"/>
        <v>EC</v>
      </c>
      <c r="AH62" s="100" t="str">
        <f t="shared" si="17"/>
        <v>"%USERPROFILE%\Documents\GitHub\eaglep3\Utilities\RefineRTDCRunTimes.py" --tripid 149-04 --locoid 4038 --swversion DE.1.0.7.0 --startMP 204:427 --initTime 2016-09-04T09:43:43 --startdatetime 2016-09-04T09:45:34 --delay 1 --endMP 204:233301 --enddatetime 2016-09-04T10:21:51 --enforcementcount 0 &gt;&gt;C:\Users\stu\Documents\GitHub\eaglep3-reporting\EC\2016-09-04-refined-times.txt</v>
      </c>
      <c r="AI62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{"issue":{"subject":"","project_id":79,"tracker_id":40,"status_id":1,"priority_id":2,"assigned_to_id":23,"start_date":"2016-09-04","description":"","custom_fields":[{"id":1,"name":"Subdivision","value":"EC"},{"id":4,"name":"Milepost","value":"23.2874"},{"id":17,"name":"Train ID","value":"149-04"},{"id":16,"name":"Locomotive ID","value":"4038"},{"id":130,"name":"Impact","value":""},{"id":150,"name":"Time of Event (Mountain Time)","value":"10:21:51"},{"id":151,"name":"Denver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436</v>
      </c>
      <c r="B63" s="7">
        <v>4037</v>
      </c>
      <c r="C63" s="24" t="s">
        <v>112</v>
      </c>
      <c r="D63" s="24" t="s">
        <v>293</v>
      </c>
      <c r="E63" s="15">
        <v>42617.43954861111</v>
      </c>
      <c r="F63" s="15">
        <v>42617.445231481484</v>
      </c>
      <c r="G63" s="7">
        <v>1</v>
      </c>
      <c r="H63" s="15" t="s">
        <v>250</v>
      </c>
      <c r="I63" s="15">
        <v>42617.473321759258</v>
      </c>
      <c r="J63" s="7">
        <v>0</v>
      </c>
      <c r="K63" s="132" t="str">
        <f t="shared" si="20"/>
        <v>4037/4038</v>
      </c>
      <c r="L63" s="24" t="str">
        <f>VLOOKUP(A63,'Trips&amp;Operators'!$C$1:$E$10000,3,FALSE)</f>
        <v>DAVIS</v>
      </c>
      <c r="M63" s="6">
        <f t="shared" si="21"/>
        <v>2.8090277774026617E-2</v>
      </c>
      <c r="N63" s="7">
        <f t="shared" si="33"/>
        <v>40.449999994598329</v>
      </c>
      <c r="O63" s="7"/>
      <c r="P63" s="7"/>
      <c r="Q63" s="25"/>
      <c r="R63" s="25"/>
      <c r="S63" s="37">
        <f t="shared" si="34"/>
        <v>1</v>
      </c>
      <c r="T63" s="52" t="str">
        <f t="shared" si="22"/>
        <v>Southbound</v>
      </c>
      <c r="U63" s="12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https://search-rtdc-monitor-bjffxe2xuh6vdkpspy63sjmuny.us-east-1.es.amazonaws.com/_plugin/kibana/#/discover/Steve-Slow-Train-Analysis-(2080s-and-2083s)?_g=(refreshInterval:(display:Off,section:0,value:0),time:(from:'2016-09-04 09:32:57-0600',mode:absolute,to:'2016-09-04 12:21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63" s="54" t="str">
        <f t="shared" si="24"/>
        <v>N</v>
      </c>
      <c r="X63" s="120">
        <f t="shared" si="25"/>
        <v>1</v>
      </c>
      <c r="Y63" s="69">
        <f t="shared" si="26"/>
        <v>23.2986</v>
      </c>
      <c r="Z63" s="69">
        <f t="shared" si="27"/>
        <v>1.38E-2</v>
      </c>
      <c r="AA63" s="69">
        <f t="shared" si="28"/>
        <v>23.284800000000001</v>
      </c>
      <c r="AB63" s="66" t="e">
        <f>VLOOKUP(A63,Enforcements!$C$7:$J$21,8,0)</f>
        <v>#N/A</v>
      </c>
      <c r="AC63" s="62" t="e">
        <f>VLOOKUP(A63,Enforcements!$C$7:$E$21,3,0)</f>
        <v>#N/A</v>
      </c>
      <c r="AD63" s="63" t="str">
        <f t="shared" si="29"/>
        <v>0150-04</v>
      </c>
      <c r="AE63" s="99" t="str">
        <f t="shared" si="30"/>
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</c>
      <c r="AF63" s="96" t="str">
        <f t="shared" si="31"/>
        <v>"C:\Program Files (x86)\AstroGrep\AstroGrep.exe" /spath="%USERPROFILE%\AppData\Local\Temp\OnboardLogs" /stypes="*4037*20160904*" /stext=" 17:.+((SYSTEM_STATE.+slice.+state.+changed )|(ment ac)|(system.+state.+changed )|(\|lc)|(penalty)|(\[timeout)|(PRM\|1\|D)|(kpr)|(kdp))" /e /r /s</v>
      </c>
      <c r="AG63" s="1" t="str">
        <f t="shared" si="32"/>
        <v>EC</v>
      </c>
      <c r="AH63" s="100" t="str">
        <f t="shared" si="17"/>
        <v>"%USERPROFILE%\Documents\GitHub\eaglep3\Utilities\RefineRTDCRunTimes.py" --tripid 150-04 --locoid 4037 --swversion DE.1.0.7.0 --startMP 204:232986 --initTime 2016-09-04T10:32:57 --startdatetime 2016-09-04T10:41:08 --delay 1 --endMP 204:138 --enddatetime 2016-09-04T11:21:35 --enforcementcount 0 &gt;&gt;C:\Users\stu\Documents\GitHub\eaglep3-reporting\EC\2016-09-04-refined-times.txt</v>
      </c>
      <c r="AI63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{"issue":{"subject":"","project_id":79,"tracker_id":40,"status_id":1,"priority_id":2,"assigned_to_id":23,"start_date":"2016-09-04","description":"","custom_fields":[{"id":1,"name":"Subdivision","value":"EC"},{"id":4,"name":"Milepost","value":"23.2848"},{"id":17,"name":"Train ID","value":"150-04"},{"id":16,"name":"Locomotive ID","value":"4037"},{"id":130,"name":"Impact","value":""},{"id":150,"name":"Time of Event (Mountain Time)","value":"11:21:35"},{"id":151,"name":"Denver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430</v>
      </c>
      <c r="B64" s="7">
        <v>4002</v>
      </c>
      <c r="C64" s="24" t="s">
        <v>112</v>
      </c>
      <c r="D64" s="24" t="s">
        <v>233</v>
      </c>
      <c r="E64" s="15">
        <v>42617.413159722222</v>
      </c>
      <c r="F64" s="15">
        <v>42617.45585648148</v>
      </c>
      <c r="G64" s="7">
        <v>2</v>
      </c>
      <c r="H64" s="15" t="s">
        <v>570</v>
      </c>
      <c r="I64" s="15">
        <v>42617.483541666668</v>
      </c>
      <c r="J64" s="7">
        <v>0</v>
      </c>
      <c r="K64" s="132" t="str">
        <f t="shared" si="20"/>
        <v>4001/4002</v>
      </c>
      <c r="L64" s="24" t="str">
        <f>VLOOKUP(A64,'Trips&amp;Operators'!$C$1:$E$10000,3,FALSE)</f>
        <v>MALAVE</v>
      </c>
      <c r="M64" s="6">
        <f t="shared" si="21"/>
        <v>2.768518518860219E-2</v>
      </c>
      <c r="N64" s="7">
        <f t="shared" si="33"/>
        <v>39.866666671587154</v>
      </c>
      <c r="O64" s="7"/>
      <c r="P64" s="7"/>
      <c r="Q64" s="25"/>
      <c r="R64" s="25"/>
      <c r="S64" s="37">
        <f t="shared" si="34"/>
        <v>1</v>
      </c>
      <c r="T64" s="52" t="str">
        <f t="shared" si="22"/>
        <v>NorthBound</v>
      </c>
      <c r="U64" s="12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https://search-rtdc-monitor-bjffxe2xuh6vdkpspy63sjmuny.us-east-1.es.amazonaws.com/_plugin/kibana/#/discover/Steve-Slow-Train-Analysis-(2080s-and-2083s)?_g=(refreshInterval:(display:Off,section:0,value:0),time:(from:'2016-09-04 08:54:57-0600',mode:absolute,to:'2016-09-04 12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64" s="54" t="str">
        <f t="shared" si="24"/>
        <v>N</v>
      </c>
      <c r="X64" s="120">
        <f t="shared" si="25"/>
        <v>1</v>
      </c>
      <c r="Y64" s="69">
        <f t="shared" si="26"/>
        <v>4.6600000000000003E-2</v>
      </c>
      <c r="Z64" s="69">
        <f t="shared" si="27"/>
        <v>23.328700000000001</v>
      </c>
      <c r="AA64" s="69">
        <f t="shared" si="28"/>
        <v>23.2821</v>
      </c>
      <c r="AB64" s="66" t="e">
        <f>VLOOKUP(A64,Enforcements!$C$7:$J$21,8,0)</f>
        <v>#N/A</v>
      </c>
      <c r="AC64" s="62" t="e">
        <f>VLOOKUP(A64,Enforcements!$C$7:$E$21,3,0)</f>
        <v>#N/A</v>
      </c>
      <c r="AD64" s="63" t="str">
        <f t="shared" si="29"/>
        <v>0151-04</v>
      </c>
      <c r="AE64" s="99" t="str">
        <f t="shared" si="30"/>
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</c>
      <c r="AF64" s="96" t="str">
        <f t="shared" si="31"/>
        <v>"C:\Program Files (x86)\AstroGrep\AstroGrep.exe" /spath="%USERPROFILE%\AppData\Local\Temp\OnboardLogs" /stypes="*4002*20160904*" /stext=" 17:.+((SYSTEM_STATE.+slice.+state.+changed )|(ment ac)|(system.+state.+changed )|(\|lc)|(penalty)|(\[timeout)|(PRM\|1\|D)|(kpr)|(kdp))" /e /r /s</v>
      </c>
      <c r="AG64" s="1" t="str">
        <f t="shared" si="32"/>
        <v>EC</v>
      </c>
      <c r="AH64" s="100" t="str">
        <f t="shared" si="17"/>
        <v>"%USERPROFILE%\Documents\GitHub\eaglep3\Utilities\RefineRTDCRunTimes.py" --tripid 151-04 --locoid 4002 --swversion DE.1.0.7.0 --startMP 204:466 --initTime 2016-09-04T09:54:57 --startdatetime 2016-09-04T10:56:26 --delay 2 --endMP 204:233287 --enddatetime 2016-09-04T11:36:18 --enforcementcount 0 &gt;&gt;C:\Users\stu\Documents\GitHub\eaglep3-reporting\EC\2016-09-04-refined-times.txt</v>
      </c>
      <c r="AI64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{"issue":{"subject":"","project_id":79,"tracker_id":40,"status_id":1,"priority_id":2,"assigned_to_id":23,"start_date":"2016-09-04","description":"","custom_fields":[{"id":1,"name":"Subdivision","value":"EC"},{"id":4,"name":"Milepost","value":"23.2821"},{"id":17,"name":"Train ID","value":"151-04"},{"id":16,"name":"Locomotive ID","value":"4002"},{"id":130,"name":"Impact","value":""},{"id":150,"name":"Time of Event (Mountain Time)","value":"11:36:18"},{"id":151,"name":"Denver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440</v>
      </c>
      <c r="B65" s="7">
        <v>4001</v>
      </c>
      <c r="C65" s="24" t="s">
        <v>112</v>
      </c>
      <c r="D65" s="24" t="s">
        <v>338</v>
      </c>
      <c r="E65" s="15">
        <v>42617.454432870371</v>
      </c>
      <c r="F65" s="15">
        <v>42617.45585648148</v>
      </c>
      <c r="G65" s="7">
        <v>1</v>
      </c>
      <c r="H65" s="15" t="s">
        <v>89</v>
      </c>
      <c r="I65" s="15">
        <v>42617.483541666668</v>
      </c>
      <c r="J65" s="7">
        <v>0</v>
      </c>
      <c r="K65" s="132" t="str">
        <f t="shared" si="20"/>
        <v>4001/4002</v>
      </c>
      <c r="L65" s="24" t="str">
        <f>VLOOKUP(A65,'Trips&amp;Operators'!$C$1:$E$10000,3,FALSE)</f>
        <v>MALAVE</v>
      </c>
      <c r="M65" s="6">
        <f t="shared" si="21"/>
        <v>2.768518518860219E-2</v>
      </c>
      <c r="N65" s="7">
        <f t="shared" si="33"/>
        <v>39.866666671587154</v>
      </c>
      <c r="O65" s="7"/>
      <c r="P65" s="7"/>
      <c r="Q65" s="25"/>
      <c r="R65" s="25"/>
      <c r="S65" s="37">
        <f t="shared" si="34"/>
        <v>1</v>
      </c>
      <c r="T65" s="52" t="str">
        <f t="shared" si="22"/>
        <v>Southbound</v>
      </c>
      <c r="U65" s="12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https://search-rtdc-monitor-bjffxe2xuh6vdkpspy63sjmuny.us-east-1.es.amazonaws.com/_plugin/kibana/#/discover/Steve-Slow-Train-Analysis-(2080s-and-2083s)?_g=(refreshInterval:(display:Off,section:0,value:0),time:(from:'2016-09-04 09:54:23-0600',mode:absolute,to:'2016-09-04 12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65" s="54" t="str">
        <f t="shared" si="24"/>
        <v>N</v>
      </c>
      <c r="X65" s="120">
        <f t="shared" si="25"/>
        <v>1</v>
      </c>
      <c r="Y65" s="69">
        <f t="shared" si="26"/>
        <v>23.2972</v>
      </c>
      <c r="Z65" s="69">
        <f t="shared" si="27"/>
        <v>1.43E-2</v>
      </c>
      <c r="AA65" s="69">
        <f t="shared" si="28"/>
        <v>23.282900000000001</v>
      </c>
      <c r="AB65" s="66" t="e">
        <f>VLOOKUP(A65,Enforcements!$C$7:$J$21,8,0)</f>
        <v>#N/A</v>
      </c>
      <c r="AC65" s="62" t="e">
        <f>VLOOKUP(A65,Enforcements!$C$7:$E$21,3,0)</f>
        <v>#N/A</v>
      </c>
      <c r="AD65" s="63" t="str">
        <f t="shared" si="29"/>
        <v>0152-04</v>
      </c>
      <c r="AE65" s="99" t="str">
        <f t="shared" si="30"/>
        <v>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 &amp; 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</v>
      </c>
      <c r="AF65" s="96" t="str">
        <f t="shared" si="31"/>
        <v>"C:\Program Files (x86)\AstroGrep\AstroGrep.exe" /spath="%USERPROFILE%\AppData\Local\Temp\OnboardLogs" /stypes="*4001*20160904*" /stext=" 17:.+((SYSTEM_STATE.+slice.+state.+changed )|(ment ac)|(system.+state.+changed )|(\|lc)|(penalty)|(\[timeout)|(PRM\|1\|D)|(kpr)|(kdp))" /e /r /s</v>
      </c>
      <c r="AG65" s="1" t="str">
        <f t="shared" si="32"/>
        <v>EC</v>
      </c>
      <c r="AH65" s="100" t="str">
        <f t="shared" si="17"/>
        <v>"%USERPROFILE%\Documents\GitHub\eaglep3\Utilities\RefineRTDCRunTimes.py" --tripid 152-04 --locoid 4001 --swversion DE.1.0.7.0 --startMP 204:232972 --initTime 2016-09-04T10:54:23 --startdatetime 2016-09-04T10:56:26 --delay 1 --endMP 204:143 --enddatetime 2016-09-04T11:36:18 --enforcementcount 0 &gt;&gt;C:\Users\stu\Documents\GitHub\eaglep3-reporting\EC\2016-09-04-refined-times.txt</v>
      </c>
      <c r="AI65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{"issue":{"subject":"","project_id":79,"tracker_id":40,"status_id":1,"priority_id":2,"assigned_to_id":23,"start_date":"2016-09-04","description":"","custom_fields":[{"id":1,"name":"Subdivision","value":"EC"},{"id":4,"name":"Milepost","value":"23.2829"},{"id":17,"name":"Train ID","value":"152-04"},{"id":16,"name":"Locomotive ID","value":"4001"},{"id":130,"name":"Impact","value":""},{"id":150,"name":"Time of Event (Mountain Time)","value":"11:36:18"},{"id":151,"name":"Denver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432</v>
      </c>
      <c r="B66" s="7">
        <v>4046</v>
      </c>
      <c r="C66" s="24" t="s">
        <v>112</v>
      </c>
      <c r="D66" s="24" t="s">
        <v>216</v>
      </c>
      <c r="E66" s="15">
        <v>42617.422766203701</v>
      </c>
      <c r="F66" s="15">
        <v>42617.427395833336</v>
      </c>
      <c r="G66" s="7">
        <v>1</v>
      </c>
      <c r="H66" s="15" t="s">
        <v>288</v>
      </c>
      <c r="I66" s="15">
        <v>42617.453923611109</v>
      </c>
      <c r="J66" s="7">
        <v>0</v>
      </c>
      <c r="K66" s="132" t="str">
        <f t="shared" si="20"/>
        <v>4045/4046</v>
      </c>
      <c r="L66" s="24" t="str">
        <f>VLOOKUP(A66,'Trips&amp;Operators'!$C$1:$E$10000,3,FALSE)</f>
        <v>STRICKLAND</v>
      </c>
      <c r="M66" s="6">
        <f t="shared" si="21"/>
        <v>2.6527777772571426E-2</v>
      </c>
      <c r="N66" s="7">
        <f t="shared" si="33"/>
        <v>38.199999992502853</v>
      </c>
      <c r="O66" s="7"/>
      <c r="P66" s="7"/>
      <c r="Q66" s="25"/>
      <c r="R66" s="25"/>
      <c r="S66" s="37">
        <f t="shared" si="34"/>
        <v>1</v>
      </c>
      <c r="T66" s="52" t="str">
        <f t="shared" si="22"/>
        <v>NorthBound</v>
      </c>
      <c r="U66" s="12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https://search-rtdc-monitor-bjffxe2xuh6vdkpspy63sjmuny.us-east-1.es.amazonaws.com/_plugin/kibana/#/discover/Steve-Slow-Train-Analysis-(2080s-and-2083s)?_g=(refreshInterval:(display:Off,section:0,value:0),time:(from:'2016-09-04 09:08:47-0600',mode:absolute,to:'2016-09-04 11:53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</c>
      <c r="W66" s="54" t="str">
        <f t="shared" si="24"/>
        <v>N</v>
      </c>
      <c r="X66" s="120">
        <f t="shared" si="25"/>
        <v>1</v>
      </c>
      <c r="Y66" s="69">
        <f t="shared" si="26"/>
        <v>4.3799999999999999E-2</v>
      </c>
      <c r="Z66" s="69">
        <f t="shared" si="27"/>
        <v>23.332599999999999</v>
      </c>
      <c r="AA66" s="69">
        <f t="shared" si="28"/>
        <v>23.288799999999998</v>
      </c>
      <c r="AB66" s="66" t="e">
        <f>VLOOKUP(A66,Enforcements!$C$7:$J$21,8,0)</f>
        <v>#N/A</v>
      </c>
      <c r="AC66" s="62" t="e">
        <f>VLOOKUP(A66,Enforcements!$C$7:$E$21,3,0)</f>
        <v>#N/A</v>
      </c>
      <c r="AD66" s="63" t="str">
        <f t="shared" si="29"/>
        <v>0153-04</v>
      </c>
      <c r="AE66" s="99" t="str">
        <f t="shared" si="30"/>
        <v>aws s3 cp s3://rtdc.mdm.uploadarchive/RTDC4046/2016-09-04/ "%USERPROFILE%\AppData\Local\Temp\OnboardLogs"\RTDC4046\2016-09-04 --recursive &amp; "%USERPROFILE%\Documents\GitHub\mrs-test-scripts\Headless Mode &amp; Sideloading\WalkAndUnGZ.bat" "%USERPROFILE%\AppData\Local\Temp\OnboardLogs"\RTDC4046\2016-09-04 &amp; 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</v>
      </c>
      <c r="AF66" s="96" t="str">
        <f t="shared" si="31"/>
        <v>"C:\Program Files (x86)\AstroGrep\AstroGrep.exe" /spath="%USERPROFILE%\AppData\Local\Temp\OnboardLogs" /stypes="*4046*20160904*" /stext=" 16:.+((SYSTEM_STATE.+slice.+state.+changed )|(ment ac)|(system.+state.+changed )|(\|lc)|(penalty)|(\[timeout)|(PRM\|1\|D)|(kpr)|(kdp))" /e /r /s</v>
      </c>
      <c r="AG66" s="1" t="str">
        <f t="shared" si="32"/>
        <v>EC</v>
      </c>
      <c r="AH66" s="100" t="str">
        <f t="shared" si="17"/>
        <v>"%USERPROFILE%\Documents\GitHub\eaglep3\Utilities\RefineRTDCRunTimes.py" --tripid 153-04 --locoid 4046 --swversion DE.1.0.7.0 --startMP 204:438 --initTime 2016-09-04T10:08:47 --startdatetime 2016-09-04T10:15:27 --delay 1 --endMP 204:233326 --enddatetime 2016-09-04T10:53:39 --enforcementcount 0 &gt;&gt;C:\Users\stu\Documents\GitHub\eaglep3-reporting\EC\2016-09-04-refined-times.txt</v>
      </c>
      <c r="AI66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{"issue":{"subject":"","project_id":79,"tracker_id":40,"status_id":1,"priority_id":2,"assigned_to_id":23,"start_date":"2016-09-04","description":"","custom_fields":[{"id":1,"name":"Subdivision","value":"EC"},{"id":4,"name":"Milepost","value":"23.2888"},{"id":17,"name":"Train ID","value":"153-04"},{"id":16,"name":"Locomotive ID","value":"4046"},{"id":130,"name":"Impact","value":""},{"id":150,"name":"Time of Event (Mountain Time)","value":"10:53:39"},{"id":151,"name":"Denver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441</v>
      </c>
      <c r="B67" s="7">
        <v>4045</v>
      </c>
      <c r="C67" s="24" t="s">
        <v>112</v>
      </c>
      <c r="D67" s="24" t="s">
        <v>272</v>
      </c>
      <c r="E67" s="15">
        <v>42617.462430555555</v>
      </c>
      <c r="F67" s="15">
        <v>42617.466689814813</v>
      </c>
      <c r="G67" s="7">
        <v>2</v>
      </c>
      <c r="H67" s="15" t="s">
        <v>130</v>
      </c>
      <c r="I67" s="15">
        <v>42617.494872685187</v>
      </c>
      <c r="J67" s="7">
        <v>0</v>
      </c>
      <c r="K67" s="132" t="str">
        <f t="shared" si="20"/>
        <v>4045/4046</v>
      </c>
      <c r="L67" s="24" t="str">
        <f>VLOOKUP(A67,'Trips&amp;Operators'!$C$1:$E$10000,3,FALSE)</f>
        <v>STRICKLAND</v>
      </c>
      <c r="M67" s="6">
        <f t="shared" si="21"/>
        <v>2.8182870373711921E-2</v>
      </c>
      <c r="N67" s="7">
        <f t="shared" si="33"/>
        <v>40.583333338145167</v>
      </c>
      <c r="O67" s="7"/>
      <c r="P67" s="7"/>
      <c r="Q67" s="25"/>
      <c r="R67" s="25"/>
      <c r="S67" s="37">
        <f t="shared" si="34"/>
        <v>1</v>
      </c>
      <c r="T67" s="52" t="str">
        <f t="shared" si="22"/>
        <v>Southbound</v>
      </c>
      <c r="U67" s="12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https://search-rtdc-monitor-bjffxe2xuh6vdkpspy63sjmuny.us-east-1.es.amazonaws.com/_plugin/kibana/#/discover/Steve-Slow-Train-Analysis-(2080s-and-2083s)?_g=(refreshInterval:(display:Off,section:0,value:0),time:(from:'2016-09-04 10:05:54-0600',mode:absolute,to:'2016-09-04 12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W67" s="54" t="str">
        <f t="shared" si="24"/>
        <v>N</v>
      </c>
      <c r="X67" s="120">
        <f t="shared" si="25"/>
        <v>1</v>
      </c>
      <c r="Y67" s="69">
        <f t="shared" si="26"/>
        <v>23.299800000000001</v>
      </c>
      <c r="Z67" s="69">
        <f t="shared" si="27"/>
        <v>1.5800000000000002E-2</v>
      </c>
      <c r="AA67" s="69">
        <f t="shared" si="28"/>
        <v>23.284000000000002</v>
      </c>
      <c r="AB67" s="66">
        <f>VLOOKUP(A67,Enforcements!$C$7:$J$21,8,0)</f>
        <v>58301</v>
      </c>
      <c r="AC67" s="62" t="str">
        <f>VLOOKUP(A67,Enforcements!$C$7:$E$21,3,0)</f>
        <v>GRADE CROSSING</v>
      </c>
      <c r="AD67" s="63" t="str">
        <f t="shared" si="29"/>
        <v>0154-04</v>
      </c>
      <c r="AE67" s="99" t="str">
        <f t="shared" si="30"/>
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</c>
      <c r="AF67" s="96" t="str">
        <f t="shared" si="31"/>
        <v>"C:\Program Files (x86)\AstroGrep\AstroGrep.exe" /spath="%USERPROFILE%\AppData\Local\Temp\OnboardLogs" /stypes="*4045*20160904*" /stext=" 17:.+((SYSTEM_STATE.+slice.+state.+changed )|(ment ac)|(system.+state.+changed )|(\|lc)|(penalty)|(\[timeout)|(PRM\|1\|D)|(kpr)|(kdp))" /e /r /s</v>
      </c>
      <c r="AG67" s="1" t="str">
        <f t="shared" si="32"/>
        <v>EC</v>
      </c>
      <c r="AH67" s="100" t="str">
        <f t="shared" si="17"/>
        <v>"%USERPROFILE%\Documents\GitHub\eaglep3\Utilities\RefineRTDCRunTimes.py" --tripid 154-04 --locoid 4045 --swversion DE.1.0.7.0 --startMP 204:232998 --initTime 2016-09-04T11:05:54 --startdatetime 2016-09-04T11:12:02 --delay 2 --endMP 204:158 --enddatetime 2016-09-04T11:52:37 --enforcementcount 0 &gt;&gt;C:\Users\stu\Documents\GitHub\eaglep3-reporting\EC\2016-09-04-refined-times.txt</v>
      </c>
      <c r="AI67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{"issue":{"subject":"","project_id":79,"tracker_id":40,"status_id":1,"priority_id":2,"assigned_to_id":23,"start_date":"2016-09-04","description":"","custom_fields":[{"id":1,"name":"Subdivision","value":"EC"},{"id":4,"name":"Milepost","value":"23.284"},{"id":17,"name":"Train ID","value":"154-04"},{"id":16,"name":"Locomotive ID","value":"4045"},{"id":130,"name":"Impact","value":""},{"id":150,"name":"Time of Event (Mountain Time)","value":"11:52:37"},{"id":151,"name":"Denver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435</v>
      </c>
      <c r="B68" s="7">
        <v>4009</v>
      </c>
      <c r="C68" s="24" t="s">
        <v>112</v>
      </c>
      <c r="D68" s="24" t="s">
        <v>175</v>
      </c>
      <c r="E68" s="15">
        <v>42617.432939814818</v>
      </c>
      <c r="F68" s="15">
        <v>42617.437881944446</v>
      </c>
      <c r="G68" s="7">
        <v>1</v>
      </c>
      <c r="H68" s="15" t="s">
        <v>341</v>
      </c>
      <c r="I68" s="15">
        <v>42617.464247685188</v>
      </c>
      <c r="J68" s="7">
        <v>0</v>
      </c>
      <c r="K68" s="132" t="str">
        <f t="shared" si="20"/>
        <v>4009/4010</v>
      </c>
      <c r="L68" s="24" t="str">
        <f>VLOOKUP(A68,'Trips&amp;Operators'!$C$1:$E$10000,3,FALSE)</f>
        <v>CLARK</v>
      </c>
      <c r="M68" s="6">
        <f t="shared" si="21"/>
        <v>2.6365740741312038E-2</v>
      </c>
      <c r="N68" s="7">
        <f t="shared" si="33"/>
        <v>37.966666667489335</v>
      </c>
      <c r="O68" s="7"/>
      <c r="P68" s="7"/>
      <c r="Q68" s="25"/>
      <c r="R68" s="25"/>
      <c r="S68" s="37">
        <f t="shared" si="34"/>
        <v>1</v>
      </c>
      <c r="T68" s="52" t="str">
        <f t="shared" si="22"/>
        <v>NorthBound</v>
      </c>
      <c r="U68" s="12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https://search-rtdc-monitor-bjffxe2xuh6vdkpspy63sjmuny.us-east-1.es.amazonaws.com/_plugin/kibana/#/discover/Steve-Slow-Train-Analysis-(2080s-and-2083s)?_g=(refreshInterval:(display:Off,section:0,value:0),time:(from:'2016-09-04 09:23:26-0600',mode:absolute,to:'2016-09-04 12:08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68" s="54" t="str">
        <f t="shared" si="24"/>
        <v>N</v>
      </c>
      <c r="X68" s="120">
        <f t="shared" si="25"/>
        <v>1</v>
      </c>
      <c r="Y68" s="69">
        <f t="shared" si="26"/>
        <v>4.5999999999999999E-2</v>
      </c>
      <c r="Z68" s="69">
        <f t="shared" si="27"/>
        <v>23.331</v>
      </c>
      <c r="AA68" s="69">
        <f t="shared" si="28"/>
        <v>23.285</v>
      </c>
      <c r="AB68" s="66" t="e">
        <f>VLOOKUP(A68,Enforcements!$C$7:$J$21,8,0)</f>
        <v>#N/A</v>
      </c>
      <c r="AC68" s="62" t="e">
        <f>VLOOKUP(A68,Enforcements!$C$7:$E$21,3,0)</f>
        <v>#N/A</v>
      </c>
      <c r="AD68" s="63" t="str">
        <f t="shared" si="29"/>
        <v>0155-04</v>
      </c>
      <c r="AE68" s="99" t="str">
        <f t="shared" si="30"/>
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</c>
      <c r="AF68" s="96" t="str">
        <f t="shared" si="31"/>
        <v>"C:\Program Files (x86)\AstroGrep\AstroGrep.exe" /spath="%USERPROFILE%\AppData\Local\Temp\OnboardLogs" /stypes="*4009*20160904*" /stext=" 17:.+((SYSTEM_STATE.+slice.+state.+changed )|(ment ac)|(system.+state.+changed )|(\|lc)|(penalty)|(\[timeout)|(PRM\|1\|D)|(kpr)|(kdp))" /e /r /s</v>
      </c>
      <c r="AG68" s="1" t="str">
        <f t="shared" si="32"/>
        <v>EC</v>
      </c>
      <c r="AH68" s="100" t="str">
        <f t="shared" si="17"/>
        <v>"%USERPROFILE%\Documents\GitHub\eaglep3\Utilities\RefineRTDCRunTimes.py" --tripid 155-04 --locoid 4009 --swversion DE.1.0.7.0 --startMP 204:460 --initTime 2016-09-04T10:23:26 --startdatetime 2016-09-04T10:30:33 --delay 1 --endMP 204:233310 --enddatetime 2016-09-04T11:08:31 --enforcementcount 0 &gt;&gt;C:\Users\stu\Documents\GitHub\eaglep3-reporting\EC\2016-09-04-refined-times.txt</v>
      </c>
      <c r="AI68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{"issue":{"subject":"","project_id":79,"tracker_id":40,"status_id":1,"priority_id":2,"assigned_to_id":23,"start_date":"2016-09-04","description":"","custom_fields":[{"id":1,"name":"Subdivision","value":"EC"},{"id":4,"name":"Milepost","value":"23.285"},{"id":17,"name":"Train ID","value":"155-04"},{"id":16,"name":"Locomotive ID","value":"4009"},{"id":130,"name":"Impact","value":""},{"id":150,"name":"Time of Event (Mountain Time)","value":"11:08:31"},{"id":151,"name":"Denver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445</v>
      </c>
      <c r="B69" s="7">
        <v>4010</v>
      </c>
      <c r="C69" s="24" t="s">
        <v>112</v>
      </c>
      <c r="D69" s="24" t="s">
        <v>177</v>
      </c>
      <c r="E69" s="15">
        <v>42617.472581018519</v>
      </c>
      <c r="F69" s="15">
        <v>42617.476678240739</v>
      </c>
      <c r="G69" s="7">
        <v>1</v>
      </c>
      <c r="H69" s="15" t="s">
        <v>252</v>
      </c>
      <c r="I69" s="15">
        <v>42617.50577546296</v>
      </c>
      <c r="J69" s="7">
        <v>0</v>
      </c>
      <c r="K69" s="132" t="str">
        <f t="shared" si="20"/>
        <v>4009/4010</v>
      </c>
      <c r="L69" s="24" t="str">
        <f>VLOOKUP(A69,'Trips&amp;Operators'!$C$1:$E$10000,3,FALSE)</f>
        <v>CLARK</v>
      </c>
      <c r="M69" s="6">
        <f t="shared" si="21"/>
        <v>2.9097222221025731E-2</v>
      </c>
      <c r="N69" s="7">
        <f t="shared" si="33"/>
        <v>41.899999998277053</v>
      </c>
      <c r="O69" s="7"/>
      <c r="P69" s="7"/>
      <c r="Q69" s="25"/>
      <c r="R69" s="25"/>
      <c r="S69" s="37">
        <f t="shared" si="34"/>
        <v>1</v>
      </c>
      <c r="T69" s="52" t="str">
        <f t="shared" si="22"/>
        <v>Southbound</v>
      </c>
      <c r="U69" s="12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https://search-rtdc-monitor-bjffxe2xuh6vdkpspy63sjmuny.us-east-1.es.amazonaws.com/_plugin/kibana/#/discover/Steve-Slow-Train-Analysis-(2080s-and-2083s)?_g=(refreshInterval:(display:Off,section:0,value:0),time:(from:'2016-09-04 10:20:31-0600',mode:absolute,to:'2016-09-04 13:08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69" s="54" t="str">
        <f t="shared" si="24"/>
        <v>N</v>
      </c>
      <c r="X69" s="120">
        <f t="shared" si="25"/>
        <v>1</v>
      </c>
      <c r="Y69" s="69">
        <f t="shared" si="26"/>
        <v>23.2989</v>
      </c>
      <c r="Z69" s="69">
        <f t="shared" si="27"/>
        <v>1.41E-2</v>
      </c>
      <c r="AA69" s="69">
        <f t="shared" si="28"/>
        <v>23.284800000000001</v>
      </c>
      <c r="AB69" s="66" t="e">
        <f>VLOOKUP(A69,Enforcements!$C$7:$J$21,8,0)</f>
        <v>#N/A</v>
      </c>
      <c r="AC69" s="62" t="e">
        <f>VLOOKUP(A69,Enforcements!$C$7:$E$21,3,0)</f>
        <v>#N/A</v>
      </c>
      <c r="AD69" s="63" t="str">
        <f t="shared" si="29"/>
        <v>0156-04</v>
      </c>
      <c r="AE69" s="99" t="str">
        <f t="shared" si="30"/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AF69" s="96" t="str">
        <f t="shared" si="31"/>
        <v>"C:\Program Files (x86)\AstroGrep\AstroGrep.exe" /spath="%USERPROFILE%\AppData\Local\Temp\OnboardLogs" /stypes="*4010*20160904*" /stext=" 18:.+((SYSTEM_STATE.+slice.+state.+changed )|(ment ac)|(system.+state.+changed )|(\|lc)|(penalty)|(\[timeout)|(PRM\|1\|D)|(kpr)|(kdp))" /e /r /s</v>
      </c>
      <c r="AG69" s="1" t="str">
        <f t="shared" si="32"/>
        <v>EC</v>
      </c>
      <c r="AH69" s="100" t="str">
        <f t="shared" si="17"/>
        <v>"%USERPROFILE%\Documents\GitHub\eaglep3\Utilities\RefineRTDCRunTimes.py" --tripid 156-04 --locoid 4010 --swversion DE.1.0.7.0 --startMP 204:232989 --initTime 2016-09-04T11:20:31 --startdatetime 2016-09-04T11:26:25 --delay 1 --endMP 204:141 --enddatetime 2016-09-04T12:08:19 --enforcementcount 0 &gt;&gt;C:\Users\stu\Documents\GitHub\eaglep3-reporting\EC\2016-09-04-refined-times.txt</v>
      </c>
      <c r="AI69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{"issue":{"subject":"","project_id":79,"tracker_id":40,"status_id":1,"priority_id":2,"assigned_to_id":23,"start_date":"2016-09-04","description":"","custom_fields":[{"id":1,"name":"Subdivision","value":"EC"},{"id":4,"name":"Milepost","value":"23.2848"},{"id":17,"name":"Train ID","value":"156-04"},{"id":16,"name":"Locomotive ID","value":"4010"},{"id":130,"name":"Impact","value":""},{"id":150,"name":"Time of Event (Mountain Time)","value":"12:08:19"},{"id":151,"name":"Denver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437</v>
      </c>
      <c r="B70" s="7">
        <v>4016</v>
      </c>
      <c r="C70" s="24" t="s">
        <v>112</v>
      </c>
      <c r="D70" s="24" t="s">
        <v>147</v>
      </c>
      <c r="E70" s="15">
        <v>42617.442025462966</v>
      </c>
      <c r="F70" s="15">
        <v>42617.448067129626</v>
      </c>
      <c r="G70" s="7">
        <v>1</v>
      </c>
      <c r="H70" s="15" t="s">
        <v>297</v>
      </c>
      <c r="I70" s="15">
        <v>42617.472199074073</v>
      </c>
      <c r="J70" s="7">
        <v>0</v>
      </c>
      <c r="K70" s="132" t="str">
        <f t="shared" si="20"/>
        <v>4015/4016</v>
      </c>
      <c r="L70" s="24" t="str">
        <f>VLOOKUP(A70,'Trips&amp;Operators'!$C$1:$E$10000,3,FALSE)</f>
        <v>YORK</v>
      </c>
      <c r="M70" s="6">
        <f t="shared" si="21"/>
        <v>2.4131944446708076E-2</v>
      </c>
      <c r="N70" s="7">
        <f t="shared" si="33"/>
        <v>34.750000003259629</v>
      </c>
      <c r="O70" s="7"/>
      <c r="P70" s="7"/>
      <c r="Q70" s="25"/>
      <c r="R70" s="25"/>
      <c r="S70" s="37">
        <f t="shared" si="34"/>
        <v>1</v>
      </c>
      <c r="T70" s="52" t="str">
        <f t="shared" si="22"/>
        <v>NorthBound</v>
      </c>
      <c r="U70" s="12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https://search-rtdc-monitor-bjffxe2xuh6vdkpspy63sjmuny.us-east-1.es.amazonaws.com/_plugin/kibana/#/discover/Steve-Slow-Train-Analysis-(2080s-and-2083s)?_g=(refreshInterval:(display:Off,section:0,value:0),time:(from:'2016-09-04 09:36:31-0600',mode:absolute,to:'2016-09-04 12:19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70" s="54" t="str">
        <f t="shared" si="24"/>
        <v>N</v>
      </c>
      <c r="X70" s="120">
        <f t="shared" si="25"/>
        <v>1</v>
      </c>
      <c r="Y70" s="69">
        <f t="shared" si="26"/>
        <v>4.5100000000000001E-2</v>
      </c>
      <c r="Z70" s="69">
        <f t="shared" si="27"/>
        <v>23.328199999999999</v>
      </c>
      <c r="AA70" s="69">
        <f t="shared" si="28"/>
        <v>23.283099999999997</v>
      </c>
      <c r="AB70" s="66" t="e">
        <f>VLOOKUP(A70,Enforcements!$C$7:$J$21,8,0)</f>
        <v>#N/A</v>
      </c>
      <c r="AC70" s="62" t="e">
        <f>VLOOKUP(A70,Enforcements!$C$7:$E$21,3,0)</f>
        <v>#N/A</v>
      </c>
      <c r="AD70" s="63" t="str">
        <f t="shared" si="29"/>
        <v>0157-04</v>
      </c>
      <c r="AE70" s="99" t="str">
        <f t="shared" si="30"/>
        <v>aws s3 cp s3://rtdc.mdm.uploadarchive/RTDC4016/2016-09-04/ "%USERPROFILE%\AppData\Local\Temp\OnboardLogs"\RTDC4016\2016-09-04 --recursive &amp; "%USERPROFILE%\Documents\GitHub\mrs-test-scripts\Headless Mode &amp; Sideloading\WalkAndUnGZ.bat" "%USERPROFILE%\AppData\Local\Temp\OnboardLogs"\RTDC4016\2016-09-04 &amp; 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</v>
      </c>
      <c r="AF70" s="96" t="str">
        <f t="shared" si="31"/>
        <v>"C:\Program Files (x86)\AstroGrep\AstroGrep.exe" /spath="%USERPROFILE%\AppData\Local\Temp\OnboardLogs" /stypes="*4016*20160904*" /stext=" 17:.+((SYSTEM_STATE.+slice.+state.+changed )|(ment ac)|(system.+state.+changed )|(\|lc)|(penalty)|(\[timeout)|(PRM\|1\|D)|(kpr)|(kdp))" /e /r /s</v>
      </c>
      <c r="AG70" s="1" t="str">
        <f t="shared" si="32"/>
        <v>EC</v>
      </c>
      <c r="AH70" s="100" t="str">
        <f t="shared" si="17"/>
        <v>"%USERPROFILE%\Documents\GitHub\eaglep3\Utilities\RefineRTDCRunTimes.py" --tripid 157-04 --locoid 4016 --swversion DE.1.0.7.0 --startMP 204:451 --initTime 2016-09-04T10:36:31 --startdatetime 2016-09-04T10:45:13 --delay 1 --endMP 204:233282 --enddatetime 2016-09-04T11:19:58 --enforcementcount 0 &gt;&gt;C:\Users\stu\Documents\GitHub\eaglep3-reporting\EC\2016-09-04-refined-times.txt</v>
      </c>
      <c r="AI70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{"issue":{"subject":"","project_id":79,"tracker_id":40,"status_id":1,"priority_id":2,"assigned_to_id":23,"start_date":"2016-09-04","description":"","custom_fields":[{"id":1,"name":"Subdivision","value":"EC"},{"id":4,"name":"Milepost","value":"23.2831"},{"id":17,"name":"Train ID","value":"157-04"},{"id":16,"name":"Locomotive ID","value":"4016"},{"id":130,"name":"Impact","value":""},{"id":150,"name":"Time of Event (Mountain Time)","value":"11:19:58"},{"id":151,"name":"Denver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446</v>
      </c>
      <c r="B71" s="7">
        <v>4015</v>
      </c>
      <c r="C71" s="24" t="s">
        <v>112</v>
      </c>
      <c r="D71" s="24" t="s">
        <v>230</v>
      </c>
      <c r="E71" s="15">
        <v>42617.47315972222</v>
      </c>
      <c r="F71" s="15">
        <v>42617.487002314818</v>
      </c>
      <c r="G71" s="7">
        <v>1</v>
      </c>
      <c r="H71" s="15" t="s">
        <v>249</v>
      </c>
      <c r="I71" s="15">
        <v>42617.512280092589</v>
      </c>
      <c r="J71" s="7">
        <v>0</v>
      </c>
      <c r="K71" s="132" t="str">
        <f t="shared" si="20"/>
        <v>4015/4016</v>
      </c>
      <c r="L71" s="24" t="str">
        <f>VLOOKUP(A71,'Trips&amp;Operators'!$C$1:$E$10000,3,FALSE)</f>
        <v>YORK</v>
      </c>
      <c r="M71" s="6">
        <f t="shared" si="21"/>
        <v>2.5277777771407273E-2</v>
      </c>
      <c r="N71" s="7">
        <f t="shared" si="33"/>
        <v>36.399999990826473</v>
      </c>
      <c r="O71" s="7"/>
      <c r="P71" s="7"/>
      <c r="Q71" s="25"/>
      <c r="R71" s="25"/>
      <c r="S71" s="37">
        <f t="shared" si="34"/>
        <v>1</v>
      </c>
      <c r="T71" s="52" t="str">
        <f t="shared" si="22"/>
        <v>Southbound</v>
      </c>
      <c r="U71" s="12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https://search-rtdc-monitor-bjffxe2xuh6vdkpspy63sjmuny.us-east-1.es.amazonaws.com/_plugin/kibana/#/discover/Steve-Slow-Train-Analysis-(2080s-and-2083s)?_g=(refreshInterval:(display:Off,section:0,value:0),time:(from:'2016-09-04 10:21:21-0600',mode:absolute,to:'2016-09-04 13:17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71" s="54" t="str">
        <f t="shared" si="24"/>
        <v>N</v>
      </c>
      <c r="X71" s="120">
        <f t="shared" si="25"/>
        <v>1</v>
      </c>
      <c r="Y71" s="69">
        <f t="shared" si="26"/>
        <v>23.2971</v>
      </c>
      <c r="Z71" s="69">
        <f t="shared" si="27"/>
        <v>1.61E-2</v>
      </c>
      <c r="AA71" s="69">
        <f t="shared" si="28"/>
        <v>23.280999999999999</v>
      </c>
      <c r="AB71" s="66" t="e">
        <f>VLOOKUP(A71,Enforcements!$C$7:$J$21,8,0)</f>
        <v>#N/A</v>
      </c>
      <c r="AC71" s="62" t="e">
        <f>VLOOKUP(A71,Enforcements!$C$7:$E$21,3,0)</f>
        <v>#N/A</v>
      </c>
      <c r="AD71" s="63" t="str">
        <f t="shared" si="29"/>
        <v>0158-04</v>
      </c>
      <c r="AE71" s="99" t="str">
        <f t="shared" si="30"/>
        <v>aws s3 cp s3://rtdc.mdm.uploadarchive/RTDC4015/2016-09-04/ "%USERPROFILE%\AppData\Local\Temp\OnboardLogs"\RTDC4015\2016-09-04 --recursive &amp; "%USERPROFILE%\Documents\GitHub\mrs-test-scripts\Headless Mode &amp; Sideloading\WalkAndUnGZ.bat" "%USERPROFILE%\AppData\Local\Temp\OnboardLogs"\RTDC4015\2016-09-04 &amp; 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</v>
      </c>
      <c r="AF71" s="96" t="str">
        <f t="shared" si="31"/>
        <v>"C:\Program Files (x86)\AstroGrep\AstroGrep.exe" /spath="%USERPROFILE%\AppData\Local\Temp\OnboardLogs" /stypes="*4015*20160904*" /stext=" 18:.+((SYSTEM_STATE.+slice.+state.+changed )|(ment ac)|(system.+state.+changed )|(\|lc)|(penalty)|(\[timeout)|(PRM\|1\|D)|(kpr)|(kdp))" /e /r /s</v>
      </c>
      <c r="AG71" s="1" t="str">
        <f t="shared" si="32"/>
        <v>EC</v>
      </c>
      <c r="AH71" s="100" t="str">
        <f t="shared" si="17"/>
        <v>"%USERPROFILE%\Documents\GitHub\eaglep3\Utilities\RefineRTDCRunTimes.py" --tripid 158-04 --locoid 4015 --swversion DE.1.0.7.0 --startMP 204:232971 --initTime 2016-09-04T11:21:21 --startdatetime 2016-09-04T11:41:17 --delay 1 --endMP 204:161 --enddatetime 2016-09-04T12:17:41 --enforcementcount 0 &gt;&gt;C:\Users\stu\Documents\GitHub\eaglep3-reporting\EC\2016-09-04-refined-times.txt</v>
      </c>
      <c r="AI71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{"issue":{"subject":"","project_id":79,"tracker_id":40,"status_id":1,"priority_id":2,"assigned_to_id":23,"start_date":"2016-09-04","description":"","custom_fields":[{"id":1,"name":"Subdivision","value":"EC"},{"id":4,"name":"Milepost","value":"23.281"},{"id":17,"name":"Train ID","value":"158-04"},{"id":16,"name":"Locomotive ID","value":"4015"},{"id":130,"name":"Impact","value":""},{"id":150,"name":"Time of Event (Mountain Time)","value":"12:17:41"},{"id":151,"name":"Denver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439</v>
      </c>
      <c r="B72" s="7">
        <v>4031</v>
      </c>
      <c r="C72" s="24" t="s">
        <v>112</v>
      </c>
      <c r="D72" s="24" t="s">
        <v>132</v>
      </c>
      <c r="E72" s="15">
        <v>42617.453900462962</v>
      </c>
      <c r="F72" s="15">
        <v>42617.458645833336</v>
      </c>
      <c r="G72" s="7">
        <v>1</v>
      </c>
      <c r="H72" s="15" t="s">
        <v>573</v>
      </c>
      <c r="I72" s="15">
        <v>42617.484768518516</v>
      </c>
      <c r="J72" s="7">
        <v>0</v>
      </c>
      <c r="K72" s="132" t="str">
        <f t="shared" si="20"/>
        <v>4031/4032</v>
      </c>
      <c r="L72" s="24" t="str">
        <f>VLOOKUP(A72,'Trips&amp;Operators'!$C$1:$E$10000,3,FALSE)</f>
        <v>STEWART</v>
      </c>
      <c r="M72" s="6">
        <f t="shared" si="21"/>
        <v>2.6122685179871041E-2</v>
      </c>
      <c r="N72" s="7">
        <f t="shared" si="33"/>
        <v>37.6166666590143</v>
      </c>
      <c r="O72" s="7"/>
      <c r="P72" s="7"/>
      <c r="Q72" s="25"/>
      <c r="R72" s="25"/>
      <c r="S72" s="37">
        <f t="shared" si="34"/>
        <v>1</v>
      </c>
      <c r="T72" s="52" t="str">
        <f t="shared" si="22"/>
        <v>NorthBound</v>
      </c>
      <c r="U72" s="12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https://search-rtdc-monitor-bjffxe2xuh6vdkpspy63sjmuny.us-east-1.es.amazonaws.com/_plugin/kibana/#/discover/Steve-Slow-Train-Analysis-(2080s-and-2083s)?_g=(refreshInterval:(display:Off,section:0,value:0),time:(from:'2016-09-04 09:53:37-0600',mode:absolute,to:'2016-09-04 12:38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72" s="54" t="str">
        <f t="shared" si="24"/>
        <v>N</v>
      </c>
      <c r="X72" s="120">
        <f t="shared" si="25"/>
        <v>1</v>
      </c>
      <c r="Y72" s="69">
        <f t="shared" si="26"/>
        <v>4.53E-2</v>
      </c>
      <c r="Z72" s="69">
        <f t="shared" si="27"/>
        <v>23.33</v>
      </c>
      <c r="AA72" s="69">
        <f t="shared" si="28"/>
        <v>23.284699999999997</v>
      </c>
      <c r="AB72" s="66" t="e">
        <f>VLOOKUP(A72,Enforcements!$C$7:$J$21,8,0)</f>
        <v>#N/A</v>
      </c>
      <c r="AC72" s="62" t="e">
        <f>VLOOKUP(A72,Enforcements!$C$7:$E$21,3,0)</f>
        <v>#N/A</v>
      </c>
      <c r="AD72" s="63" t="str">
        <f t="shared" si="29"/>
        <v>0159-04</v>
      </c>
      <c r="AE72" s="99" t="str">
        <f t="shared" si="30"/>
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</c>
      <c r="AF72" s="96" t="str">
        <f t="shared" si="31"/>
        <v>"C:\Program Files (x86)\AstroGrep\AstroGrep.exe" /spath="%USERPROFILE%\AppData\Local\Temp\OnboardLogs" /stypes="*4031*20160904*" /stext=" 17:.+((SYSTEM_STATE.+slice.+state.+changed )|(ment ac)|(system.+state.+changed )|(\|lc)|(penalty)|(\[timeout)|(PRM\|1\|D)|(kpr)|(kdp))" /e /r /s</v>
      </c>
      <c r="AG72" s="1" t="str">
        <f t="shared" si="32"/>
        <v>EC</v>
      </c>
      <c r="AH72" s="100" t="str">
        <f t="shared" si="17"/>
        <v>"%USERPROFILE%\Documents\GitHub\eaglep3\Utilities\RefineRTDCRunTimes.py" --tripid 159-04 --locoid 4031 --swversion DE.1.0.7.0 --startMP 204:453 --initTime 2016-09-04T10:53:37 --startdatetime 2016-09-04T11:00:27 --delay 1 --endMP 204:233300 --enddatetime 2016-09-04T11:38:04 --enforcementcount 0 &gt;&gt;C:\Users\stu\Documents\GitHub\eaglep3-reporting\EC\2016-09-04-refined-times.txt</v>
      </c>
      <c r="AI72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{"issue":{"subject":"","project_id":79,"tracker_id":40,"status_id":1,"priority_id":2,"assigned_to_id":23,"start_date":"2016-09-04","description":"","custom_fields":[{"id":1,"name":"Subdivision","value":"EC"},{"id":4,"name":"Milepost","value":"23.2847"},{"id":17,"name":"Train ID","value":"159-04"},{"id":16,"name":"Locomotive ID","value":"4031"},{"id":130,"name":"Impact","value":""},{"id":150,"name":"Time of Event (Mountain Time)","value":"11:38:04"},{"id":151,"name":"Denver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450</v>
      </c>
      <c r="B73" s="7">
        <v>4032</v>
      </c>
      <c r="C73" s="24" t="s">
        <v>112</v>
      </c>
      <c r="D73" s="24" t="s">
        <v>133</v>
      </c>
      <c r="E73" s="15">
        <v>42617.494710648149</v>
      </c>
      <c r="F73" s="15">
        <v>42617.497511574074</v>
      </c>
      <c r="G73" s="7">
        <v>2</v>
      </c>
      <c r="H73" s="15" t="s">
        <v>171</v>
      </c>
      <c r="I73" s="15">
        <v>42617.525092592594</v>
      </c>
      <c r="J73" s="7">
        <v>0</v>
      </c>
      <c r="K73" s="132" t="str">
        <f t="shared" si="20"/>
        <v>4031/4032</v>
      </c>
      <c r="L73" s="24" t="str">
        <f>VLOOKUP(A73,'Trips&amp;Operators'!$C$1:$E$10000,3,FALSE)</f>
        <v>STEWART</v>
      </c>
      <c r="M73" s="6">
        <f t="shared" si="21"/>
        <v>2.7581018519413192E-2</v>
      </c>
      <c r="N73" s="7">
        <f t="shared" si="33"/>
        <v>39.716666667954996</v>
      </c>
      <c r="O73" s="7"/>
      <c r="P73" s="7"/>
      <c r="Q73" s="25"/>
      <c r="R73" s="25"/>
      <c r="S73" s="37">
        <f t="shared" si="34"/>
        <v>1</v>
      </c>
      <c r="T73" s="52" t="str">
        <f t="shared" si="22"/>
        <v>Southbound</v>
      </c>
      <c r="U73" s="12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https://search-rtdc-monitor-bjffxe2xuh6vdkpspy63sjmuny.us-east-1.es.amazonaws.com/_plugin/kibana/#/discover/Steve-Slow-Train-Analysis-(2080s-and-2083s)?_g=(refreshInterval:(display:Off,section:0,value:0),time:(from:'2016-09-04 10:52:23-0600',mode:absolute,to:'2016-09-04 13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73" s="54" t="str">
        <f t="shared" si="24"/>
        <v>N</v>
      </c>
      <c r="X73" s="120">
        <f t="shared" si="25"/>
        <v>1</v>
      </c>
      <c r="Y73" s="69">
        <f t="shared" si="26"/>
        <v>23.299399999999999</v>
      </c>
      <c r="Z73" s="69">
        <f t="shared" si="27"/>
        <v>1.4500000000000001E-2</v>
      </c>
      <c r="AA73" s="69">
        <f t="shared" si="28"/>
        <v>23.284899999999997</v>
      </c>
      <c r="AB73" s="66" t="e">
        <f>VLOOKUP(A73,Enforcements!$C$7:$J$21,8,0)</f>
        <v>#N/A</v>
      </c>
      <c r="AC73" s="62" t="e">
        <f>VLOOKUP(A73,Enforcements!$C$7:$E$21,3,0)</f>
        <v>#N/A</v>
      </c>
      <c r="AD73" s="63" t="str">
        <f t="shared" si="29"/>
        <v>0160-04</v>
      </c>
      <c r="AE73" s="99" t="str">
        <f t="shared" si="30"/>
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</c>
      <c r="AF73" s="96" t="str">
        <f t="shared" si="31"/>
        <v>"C:\Program Files (x86)\AstroGrep\AstroGrep.exe" /spath="%USERPROFILE%\AppData\Local\Temp\OnboardLogs" /stypes="*4032*20160904*" /stext=" 18:.+((SYSTEM_STATE.+slice.+state.+changed )|(ment ac)|(system.+state.+changed )|(\|lc)|(penalty)|(\[timeout)|(PRM\|1\|D)|(kpr)|(kdp))" /e /r /s</v>
      </c>
      <c r="AG73" s="1" t="str">
        <f t="shared" si="32"/>
        <v>EC</v>
      </c>
      <c r="AH73" s="100" t="str">
        <f t="shared" si="17"/>
        <v>"%USERPROFILE%\Documents\GitHub\eaglep3\Utilities\RefineRTDCRunTimes.py" --tripid 160-04 --locoid 4032 --swversion DE.1.0.7.0 --startMP 204:232994 --initTime 2016-09-04T11:52:23 --startdatetime 2016-09-04T11:56:25 --delay 2 --endMP 204:145 --enddatetime 2016-09-04T12:36:08 --enforcementcount 0 &gt;&gt;C:\Users\stu\Documents\GitHub\eaglep3-reporting\EC\2016-09-04-refined-times.txt</v>
      </c>
      <c r="AI73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{"issue":{"subject":"","project_id":79,"tracker_id":40,"status_id":1,"priority_id":2,"assigned_to_id":23,"start_date":"2016-09-04","description":"","custom_fields":[{"id":1,"name":"Subdivision","value":"EC"},{"id":4,"name":"Milepost","value":"23.2849"},{"id":17,"name":"Train ID","value":"160-04"},{"id":16,"name":"Locomotive ID","value":"4032"},{"id":130,"name":"Impact","value":""},{"id":150,"name":"Time of Event (Mountain Time)","value":"12:36:08"},{"id":151,"name":"Denver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442</v>
      </c>
      <c r="B74" s="7">
        <v>4018</v>
      </c>
      <c r="C74" s="24" t="s">
        <v>112</v>
      </c>
      <c r="D74" s="24" t="s">
        <v>132</v>
      </c>
      <c r="E74" s="15">
        <v>42617.464375000003</v>
      </c>
      <c r="F74" s="15">
        <v>42617.468958333331</v>
      </c>
      <c r="G74" s="7">
        <v>1</v>
      </c>
      <c r="H74" s="15" t="s">
        <v>357</v>
      </c>
      <c r="I74" s="15">
        <v>42617.494259259256</v>
      </c>
      <c r="J74" s="7">
        <v>0</v>
      </c>
      <c r="K74" s="132" t="str">
        <f t="shared" si="20"/>
        <v>4017/4018</v>
      </c>
      <c r="L74" s="24" t="str">
        <f>VLOOKUP(A74,'Trips&amp;Operators'!$C$1:$E$10000,3,FALSE)</f>
        <v>BARTLETT</v>
      </c>
      <c r="M74" s="6">
        <f t="shared" si="21"/>
        <v>2.5300925924966577E-2</v>
      </c>
      <c r="N74" s="7">
        <f t="shared" si="33"/>
        <v>36.433333331951872</v>
      </c>
      <c r="O74" s="7"/>
      <c r="P74" s="7"/>
      <c r="Q74" s="25"/>
      <c r="R74" s="25"/>
      <c r="S74" s="37">
        <f t="shared" si="34"/>
        <v>1</v>
      </c>
      <c r="T74" s="52" t="str">
        <f t="shared" si="22"/>
        <v>NorthBound</v>
      </c>
      <c r="U74" s="12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https://search-rtdc-monitor-bjffxe2xuh6vdkpspy63sjmuny.us-east-1.es.amazonaws.com/_plugin/kibana/#/discover/Steve-Slow-Train-Analysis-(2080s-and-2083s)?_g=(refreshInterval:(display:Off,section:0,value:0),time:(from:'2016-09-04 10:08:42-0600',mode:absolute,to:'2016-09-04 12:51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74" s="54" t="str">
        <f t="shared" si="24"/>
        <v>N</v>
      </c>
      <c r="X74" s="120">
        <f t="shared" si="25"/>
        <v>1</v>
      </c>
      <c r="Y74" s="69">
        <f t="shared" si="26"/>
        <v>4.53E-2</v>
      </c>
      <c r="Z74" s="69">
        <f t="shared" si="27"/>
        <v>23.329899999999999</v>
      </c>
      <c r="AA74" s="69">
        <f t="shared" si="28"/>
        <v>23.284599999999998</v>
      </c>
      <c r="AB74" s="66" t="e">
        <f>VLOOKUP(A74,Enforcements!$C$7:$J$21,8,0)</f>
        <v>#N/A</v>
      </c>
      <c r="AC74" s="62" t="e">
        <f>VLOOKUP(A74,Enforcements!$C$7:$E$21,3,0)</f>
        <v>#N/A</v>
      </c>
      <c r="AD74" s="63" t="str">
        <f t="shared" si="29"/>
        <v>0161-04</v>
      </c>
      <c r="AE74" s="99" t="str">
        <f t="shared" si="30"/>
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</c>
      <c r="AF74" s="96" t="str">
        <f t="shared" si="31"/>
        <v>"C:\Program Files (x86)\AstroGrep\AstroGrep.exe" /spath="%USERPROFILE%\AppData\Local\Temp\OnboardLogs" /stypes="*4018*20160904*" /stext=" 17:.+((SYSTEM_STATE.+slice.+state.+changed )|(ment ac)|(system.+state.+changed )|(\|lc)|(penalty)|(\[timeout)|(PRM\|1\|D)|(kpr)|(kdp))" /e /r /s</v>
      </c>
      <c r="AG74" s="1" t="str">
        <f t="shared" si="32"/>
        <v>EC</v>
      </c>
      <c r="AH74" s="100" t="str">
        <f t="shared" si="17"/>
        <v>"%USERPROFILE%\Documents\GitHub\eaglep3\Utilities\RefineRTDCRunTimes.py" --tripid 161-04 --locoid 4018 --swversion DE.1.0.7.0 --startMP 204:453 --initTime 2016-09-04T11:08:42 --startdatetime 2016-09-04T11:15:18 --delay 1 --endMP 204:233299 --enddatetime 2016-09-04T11:51:44 --enforcementcount 0 &gt;&gt;C:\Users\stu\Documents\GitHub\eaglep3-reporting\EC\2016-09-04-refined-times.txt</v>
      </c>
      <c r="AI74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{"issue":{"subject":"","project_id":79,"tracker_id":40,"status_id":1,"priority_id":2,"assigned_to_id":23,"start_date":"2016-09-04","description":"","custom_fields":[{"id":1,"name":"Subdivision","value":"EC"},{"id":4,"name":"Milepost","value":"23.2846"},{"id":17,"name":"Train ID","value":"161-04"},{"id":16,"name":"Locomotive ID","value":"4018"},{"id":130,"name":"Impact","value":""},{"id":150,"name":"Time of Event (Mountain Time)","value":"11:51:44"},{"id":151,"name":"Denver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451</v>
      </c>
      <c r="B75" s="7">
        <v>4017</v>
      </c>
      <c r="C75" s="24" t="s">
        <v>112</v>
      </c>
      <c r="D75" s="24" t="s">
        <v>214</v>
      </c>
      <c r="E75" s="15">
        <v>42617.496342592596</v>
      </c>
      <c r="F75" s="15">
        <v>42617.508020833331</v>
      </c>
      <c r="G75" s="7">
        <v>1</v>
      </c>
      <c r="H75" s="15" t="s">
        <v>149</v>
      </c>
      <c r="I75" s="15">
        <v>42617.536006944443</v>
      </c>
      <c r="J75" s="7">
        <v>0</v>
      </c>
      <c r="K75" s="132" t="str">
        <f t="shared" si="20"/>
        <v>4017/4018</v>
      </c>
      <c r="L75" s="24" t="str">
        <f>VLOOKUP(A75,'Trips&amp;Operators'!$C$1:$E$10000,3,FALSE)</f>
        <v>BARTLETT</v>
      </c>
      <c r="M75" s="6">
        <f t="shared" si="21"/>
        <v>2.7986111112113576E-2</v>
      </c>
      <c r="N75" s="7">
        <f t="shared" si="33"/>
        <v>40.30000000144355</v>
      </c>
      <c r="O75" s="7"/>
      <c r="P75" s="7"/>
      <c r="Q75" s="25"/>
      <c r="R75" s="25"/>
      <c r="S75" s="37">
        <f t="shared" si="34"/>
        <v>1</v>
      </c>
      <c r="T75" s="52" t="str">
        <f t="shared" si="22"/>
        <v>Southbound</v>
      </c>
      <c r="U75" s="12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https://search-rtdc-monitor-bjffxe2xuh6vdkpspy63sjmuny.us-east-1.es.amazonaws.com/_plugin/kibana/#/discover/Steve-Slow-Train-Analysis-(2080s-and-2083s)?_g=(refreshInterval:(display:Off,section:0,value:0),time:(from:'2016-09-04 10:54:44-0600',mode:absolute,to:'2016-09-04 13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75" s="54" t="str">
        <f t="shared" si="24"/>
        <v>N</v>
      </c>
      <c r="X75" s="120">
        <f t="shared" si="25"/>
        <v>1</v>
      </c>
      <c r="Y75" s="69">
        <f t="shared" si="26"/>
        <v>23.297999999999998</v>
      </c>
      <c r="Z75" s="69">
        <f t="shared" si="27"/>
        <v>1.54E-2</v>
      </c>
      <c r="AA75" s="69">
        <f t="shared" si="28"/>
        <v>23.282599999999999</v>
      </c>
      <c r="AB75" s="66" t="e">
        <f>VLOOKUP(A75,Enforcements!$C$7:$J$21,8,0)</f>
        <v>#N/A</v>
      </c>
      <c r="AC75" s="62" t="e">
        <f>VLOOKUP(A75,Enforcements!$C$7:$E$21,3,0)</f>
        <v>#N/A</v>
      </c>
      <c r="AD75" s="63" t="str">
        <f t="shared" si="29"/>
        <v>0162-04</v>
      </c>
      <c r="AE75" s="99" t="str">
        <f t="shared" si="30"/>
        <v>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 &amp; 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</v>
      </c>
      <c r="AF75" s="96" t="str">
        <f t="shared" si="31"/>
        <v>"C:\Program Files (x86)\AstroGrep\AstroGrep.exe" /spath="%USERPROFILE%\AppData\Local\Temp\OnboardLogs" /stypes="*4017*20160904*" /stext=" 18:.+((SYSTEM_STATE.+slice.+state.+changed )|(ment ac)|(system.+state.+changed )|(\|lc)|(penalty)|(\[timeout)|(PRM\|1\|D)|(kpr)|(kdp))" /e /r /s</v>
      </c>
      <c r="AG75" s="1" t="str">
        <f t="shared" si="32"/>
        <v>EC</v>
      </c>
      <c r="AH75" s="100" t="str">
        <f t="shared" si="17"/>
        <v>"%USERPROFILE%\Documents\GitHub\eaglep3\Utilities\RefineRTDCRunTimes.py" --tripid 162-04 --locoid 4017 --swversion DE.1.0.7.0 --startMP 204:232980 --initTime 2016-09-04T11:54:44 --startdatetime 2016-09-04T12:11:33 --delay 1 --endMP 204:154 --enddatetime 2016-09-04T12:51:51 --enforcementcount 0 &gt;&gt;C:\Users\stu\Documents\GitHub\eaglep3-reporting\EC\2016-09-04-refined-times.txt</v>
      </c>
      <c r="AI75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{"issue":{"subject":"","project_id":79,"tracker_id":40,"status_id":1,"priority_id":2,"assigned_to_id":23,"start_date":"2016-09-04","description":"","custom_fields":[{"id":1,"name":"Subdivision","value":"EC"},{"id":4,"name":"Milepost","value":"23.2826"},{"id":17,"name":"Train ID","value":"162-04"},{"id":16,"name":"Locomotive ID","value":"4017"},{"id":130,"name":"Impact","value":""},{"id":150,"name":"Time of Event (Mountain Time)","value":"12:51:51"},{"id":151,"name":"Denver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447</v>
      </c>
      <c r="B76" s="7">
        <v>4038</v>
      </c>
      <c r="C76" s="24" t="s">
        <v>112</v>
      </c>
      <c r="D76" s="24" t="s">
        <v>287</v>
      </c>
      <c r="E76" s="15">
        <v>42617.476145833331</v>
      </c>
      <c r="F76" s="15">
        <v>42617.479861111111</v>
      </c>
      <c r="G76" s="7">
        <v>2</v>
      </c>
      <c r="H76" s="15" t="s">
        <v>267</v>
      </c>
      <c r="I76" s="15">
        <v>42617.505185185182</v>
      </c>
      <c r="J76" s="7">
        <v>0</v>
      </c>
      <c r="K76" s="132" t="str">
        <f t="shared" ref="K76:K107" si="35">IF(ISEVEN(B76),(B76-1)&amp;"/"&amp;B76,B76&amp;"/"&amp;(B76+1))</f>
        <v>4037/4038</v>
      </c>
      <c r="L76" s="24" t="str">
        <f>VLOOKUP(A76,'Trips&amp;Operators'!$C$1:$E$10000,3,FALSE)</f>
        <v>BRUDER</v>
      </c>
      <c r="M76" s="6">
        <f t="shared" ref="M76:M107" si="36">I76-F76</f>
        <v>2.5324074071249925E-2</v>
      </c>
      <c r="N76" s="7">
        <f t="shared" si="33"/>
        <v>36.466666662599891</v>
      </c>
      <c r="O76" s="7"/>
      <c r="P76" s="7"/>
      <c r="Q76" s="25"/>
      <c r="R76" s="25"/>
      <c r="S76" s="37">
        <f t="shared" si="34"/>
        <v>1</v>
      </c>
      <c r="T76" s="52" t="str">
        <f t="shared" ref="T76:T107" si="37">IF(ISEVEN(LEFT(AD76,4)),"Southbound","NorthBound")</f>
        <v>NorthBound</v>
      </c>
      <c r="U76" s="12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ref="V76:V107" si="38">"https://search-rtdc-monitor-bjffxe2xuh6vdkpspy63sjmuny.us-east-1.es.amazonaws.com/_plugin/kibana/#/discover/Steve-Slow-Train-Analysis-(2080s-and-2083s)?_g=(refreshInterval:(display:Off,section:0,value:0),time:(from:'"&amp;TEXT(E76-1/24,"yyyy-MM-DD hh:mm:ss")&amp;"-0600',mode:absolute,to:'"&amp;TEXT(I76+1/24,"yyyy-MM-DD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https://search-rtdc-monitor-bjffxe2xuh6vdkpspy63sjmuny.us-east-1.es.amazonaws.com/_plugin/kibana/#/discover/Steve-Slow-Train-Analysis-(2080s-and-2083s)?_g=(refreshInterval:(display:Off,section:0,value:0),time:(from:'2016-09-04 10:25:39-0600',mode:absolute,to:'2016-09-04 13:07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76" s="54" t="str">
        <f t="shared" ref="W76:W107" si="39">IF(AA76&lt;IF(AG76="EC",23,5.65),"Y","N")</f>
        <v>N</v>
      </c>
      <c r="X76" s="120">
        <f t="shared" ref="X76:X107" si="40">VALUE(LEFT(AD76,4))-VALUE(LEFT(AD75,4))</f>
        <v>1</v>
      </c>
      <c r="Y76" s="69">
        <f t="shared" ref="Y76:Y107" si="41">RIGHT(D76,LEN(D76)-4)/10000</f>
        <v>4.6399999999999997E-2</v>
      </c>
      <c r="Z76" s="69">
        <f t="shared" ref="Z76:Z107" si="42">RIGHT(H76,LEN(H76)-4)/10000</f>
        <v>23.327999999999999</v>
      </c>
      <c r="AA76" s="69">
        <f t="shared" ref="AA76:AA107" si="43">ABS(Z76-Y76)</f>
        <v>23.281600000000001</v>
      </c>
      <c r="AB76" s="66" t="e">
        <f>VLOOKUP(A76,Enforcements!$C$7:$J$21,8,0)</f>
        <v>#N/A</v>
      </c>
      <c r="AC76" s="62" t="e">
        <f>VLOOKUP(A76,Enforcements!$C$7:$E$21,3,0)</f>
        <v>#N/A</v>
      </c>
      <c r="AD76" s="63" t="str">
        <f t="shared" ref="AD76:AD107" si="44">IF(LEN(A76)=6,"0"&amp;A76,A76)</f>
        <v>0163-04</v>
      </c>
      <c r="AE76" s="99" t="str">
        <f t="shared" ref="AE76:AE107" si="45">"aws s3 cp "&amp;s3_bucket&amp;"/RTDC"&amp;B76&amp;"/"&amp;TEXT(F76,"YYYY-MM-DD")&amp;"/ "&amp;search_path&amp;"\RTDC"&amp;B76&amp;"\"&amp;TEXT(F76,"YYYY-MM-DD")&amp;" --recursive &amp; """&amp;walkandungz&amp;""" "&amp;search_path&amp;"\RTDC"&amp;B76&amp;"\"&amp;TEXT(F76,"YYYY-MM-DD")
&amp;" &amp; "&amp;"aws s3 cp "&amp;s3_bucket&amp;"/RTDC"&amp;B76&amp;"/"&amp;TEXT(F76+1,"YYYY-MM-DD")&amp;"/ "&amp;search_path&amp;"\RTDC"&amp;B76&amp;"\"&amp;TEXT(F76+1,"YYYY-MM-DD")&amp;" --recursive &amp; """&amp;walkandungz&amp;""" "&amp;search_path&amp;"\RTDC"&amp;B76&amp;"\"&amp;TEXT(F76+1,"YYYY-MM-DD")</f>
        <v>aws s3 cp s3://rtdc.mdm.uploadarchive/RTDC4038/2016-09-04/ "%USERPROFILE%\AppData\Local\Temp\OnboardLogs"\RTDC4038\2016-09-04 --recursive &amp; "%USERPROFILE%\Documents\GitHub\mrs-test-scripts\Headless Mode &amp; Sideloading\WalkAndUnGZ.bat" "%USERPROFILE%\AppData\Local\Temp\OnboardLogs"\RTDC4038\2016-09-04 &amp; 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</v>
      </c>
      <c r="AF76" s="96" t="str">
        <f t="shared" ref="AF76:AF107" si="46">astrogrep_path&amp;" /spath="&amp;search_path&amp;" /stypes=""*"&amp;B76&amp;"*"&amp;TEXT(I76-utc_offset/24,"YYYYMMDD")&amp;"*"" /stext="" "&amp;TEXT(I76-utc_offset/24,"HH")&amp;search_regexp&amp;""" /e /r /s"</f>
        <v>"C:\Program Files (x86)\AstroGrep\AstroGrep.exe" /spath="%USERPROFILE%\AppData\Local\Temp\OnboardLogs" /stypes="*4038*20160904*" /stext=" 18:.+((SYSTEM_STATE.+slice.+state.+changed )|(ment ac)|(system.+state.+changed )|(\|lc)|(penalty)|(\[timeout)|(PRM\|1\|D)|(kpr)|(kdp))" /e /r /s</v>
      </c>
      <c r="AG76" s="1" t="str">
        <f t="shared" ref="AG76:AG107" si="47">IFERROR(IF(VALUE(LEFT(AD76,2))&lt;=2,"EC",IF(OR(VALUE(LEFT(AD76,2))=8,VALUE(LEFT(AD76,2))=18),"NW","Other")),"Other")</f>
        <v>EC</v>
      </c>
      <c r="AH76" s="100" t="str">
        <f t="shared" si="17"/>
        <v>"%USERPROFILE%\Documents\GitHub\eaglep3\Utilities\RefineRTDCRunTimes.py" --tripid 163-04 --locoid 4038 --swversion DE.1.0.7.0 --startMP 204:464 --initTime 2016-09-04T11:25:39 --startdatetime 2016-09-04T11:31:00 --delay 2 --endMP 204:233280 --enddatetime 2016-09-04T12:07:28 --enforcementcount 0 &gt;&gt;C:\Users\stu\Documents\GitHub\eaglep3-reporting\EC\2016-09-04-refined-times.txt</v>
      </c>
      <c r="AI76" s="149" t="str">
        <f t="shared" si="18"/>
        <v>echo {"issue":{"subject":"","project_id":79,"tracker_id":40,"status_id":1,"priority_id":2,"assigned_to_id":23,"start_date":"2016-09-04","description":"","custom_fields":[{"id":1,"name":"Subdivision","value":"EC"},{"id":4,"name":"Milepost","value":"23.2816"},{"id":17,"name":"Train ID","value":"163-04"},{"id":16,"name":"Locomotive ID","value":"4038"},{"id":130,"name":"Impact","value":""},{"id":150,"name":"Time of Event (Mountain Time)","value":"12:07:28"},{"id":151,"name":"Denver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455</v>
      </c>
      <c r="B77" s="7">
        <v>4037</v>
      </c>
      <c r="C77" s="24" t="s">
        <v>112</v>
      </c>
      <c r="D77" s="24" t="s">
        <v>133</v>
      </c>
      <c r="E77" s="15">
        <v>42617.511956018519</v>
      </c>
      <c r="F77" s="15">
        <v>42617.518263888887</v>
      </c>
      <c r="G77" s="7">
        <v>1</v>
      </c>
      <c r="H77" s="15" t="s">
        <v>164</v>
      </c>
      <c r="I77" s="15">
        <v>42617.547222222223</v>
      </c>
      <c r="J77" s="7">
        <v>0</v>
      </c>
      <c r="K77" s="132" t="str">
        <f t="shared" si="35"/>
        <v>4037/4038</v>
      </c>
      <c r="L77" s="24" t="str">
        <f>VLOOKUP(A77,'Trips&amp;Operators'!$C$1:$E$10000,3,FALSE)</f>
        <v>BRUDER</v>
      </c>
      <c r="M77" s="6">
        <f t="shared" si="36"/>
        <v>2.8958333336049691E-2</v>
      </c>
      <c r="N77" s="7">
        <f t="shared" si="33"/>
        <v>41.700000003911555</v>
      </c>
      <c r="O77" s="7"/>
      <c r="P77" s="7"/>
      <c r="Q77" s="25"/>
      <c r="R77" s="25"/>
      <c r="S77" s="37">
        <f t="shared" si="34"/>
        <v>1</v>
      </c>
      <c r="T77" s="52" t="str">
        <f t="shared" si="37"/>
        <v>Southbound</v>
      </c>
      <c r="U77" s="12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https://search-rtdc-monitor-bjffxe2xuh6vdkpspy63sjmuny.us-east-1.es.amazonaws.com/_plugin/kibana/#/discover/Steve-Slow-Train-Analysis-(2080s-and-2083s)?_g=(refreshInterval:(display:Off,section:0,value:0),time:(from:'2016-09-04 11:17:13-0600',mode:absolute,to:'2016-09-04 14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77" s="54" t="str">
        <f t="shared" si="39"/>
        <v>N</v>
      </c>
      <c r="X77" s="120">
        <f t="shared" si="40"/>
        <v>1</v>
      </c>
      <c r="Y77" s="69">
        <f t="shared" si="41"/>
        <v>23.299399999999999</v>
      </c>
      <c r="Z77" s="69">
        <f t="shared" si="42"/>
        <v>1.52E-2</v>
      </c>
      <c r="AA77" s="69">
        <f t="shared" si="43"/>
        <v>23.284199999999998</v>
      </c>
      <c r="AB77" s="66" t="e">
        <f>VLOOKUP(A77,Enforcements!$C$7:$J$21,8,0)</f>
        <v>#N/A</v>
      </c>
      <c r="AC77" s="62" t="e">
        <f>VLOOKUP(A77,Enforcements!$C$7:$E$21,3,0)</f>
        <v>#N/A</v>
      </c>
      <c r="AD77" s="63" t="str">
        <f t="shared" si="44"/>
        <v>0164-04</v>
      </c>
      <c r="AE77" s="99" t="str">
        <f t="shared" si="45"/>
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</c>
      <c r="AF77" s="96" t="str">
        <f t="shared" si="46"/>
        <v>"C:\Program Files (x86)\AstroGrep\AstroGrep.exe" /spath="%USERPROFILE%\AppData\Local\Temp\OnboardLogs" /stypes="*4037*20160904*" /stext=" 19:.+((SYSTEM_STATE.+slice.+state.+changed )|(ment ac)|(system.+state.+changed )|(\|lc)|(penalty)|(\[timeout)|(PRM\|1\|D)|(kpr)|(kdp))" /e /r /s</v>
      </c>
      <c r="AG77" s="1" t="str">
        <f t="shared" si="47"/>
        <v>EC</v>
      </c>
      <c r="AH77" s="100" t="str">
        <f t="shared" ref="AH77:AH140" si="48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164-04 --locoid 4037 --swversion DE.1.0.7.0 --startMP 204:232994 --initTime 2016-09-04T12:17:13 --startdatetime 2016-09-04T12:26:18 --delay 1 --endMP 204:152 --enddatetime 2016-09-04T13:08:00 --enforcementcount 0 &gt;&gt;C:\Users\stu\Documents\GitHub\eaglep3-reporting\EC\2016-09-04-refined-times.txt</v>
      </c>
      <c r="AI77" s="149" t="str">
        <f t="shared" ref="AI77:AI140" si="49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AA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{"issue":{"subject":"","project_id":79,"tracker_id":40,"status_id":1,"priority_id":2,"assigned_to_id":23,"start_date":"2016-09-04","description":"","custom_fields":[{"id":1,"name":"Subdivision","value":"EC"},{"id":4,"name":"Milepost","value":"23.2842"},{"id":17,"name":"Train ID","value":"164-04"},{"id":16,"name":"Locomotive ID","value":"4037"},{"id":130,"name":"Impact","value":""},{"id":150,"name":"Time of Event (Mountain Time)","value":"13:08:00"},{"id":151,"name":"Denver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449</v>
      </c>
      <c r="B78" s="7">
        <v>4002</v>
      </c>
      <c r="C78" s="24" t="s">
        <v>112</v>
      </c>
      <c r="D78" s="24" t="s">
        <v>124</v>
      </c>
      <c r="E78" s="15">
        <v>42617.486261574071</v>
      </c>
      <c r="F78" s="15">
        <v>42617.490532407406</v>
      </c>
      <c r="G78" s="7">
        <v>3</v>
      </c>
      <c r="H78" s="15" t="s">
        <v>589</v>
      </c>
      <c r="I78" s="15">
        <v>42617.516053240739</v>
      </c>
      <c r="J78" s="7">
        <v>0</v>
      </c>
      <c r="K78" s="132" t="str">
        <f t="shared" si="35"/>
        <v>4001/4002</v>
      </c>
      <c r="L78" s="24" t="str">
        <f>VLOOKUP(A78,'Trips&amp;Operators'!$C$1:$E$10000,3,FALSE)</f>
        <v>MOSES</v>
      </c>
      <c r="M78" s="6">
        <f t="shared" si="36"/>
        <v>2.5520833332848269E-2</v>
      </c>
      <c r="N78" s="7">
        <f t="shared" si="33"/>
        <v>36.749999999301508</v>
      </c>
      <c r="O78" s="7"/>
      <c r="P78" s="7"/>
      <c r="Q78" s="25"/>
      <c r="R78" s="25"/>
      <c r="S78" s="37">
        <f t="shared" si="34"/>
        <v>1</v>
      </c>
      <c r="T78" s="52" t="str">
        <f t="shared" si="37"/>
        <v>NorthBound</v>
      </c>
      <c r="U78" s="12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https://search-rtdc-monitor-bjffxe2xuh6vdkpspy63sjmuny.us-east-1.es.amazonaws.com/_plugin/kibana/#/discover/Steve-Slow-Train-Analysis-(2080s-and-2083s)?_g=(refreshInterval:(display:Off,section:0,value:0),time:(from:'2016-09-04 10:40:13-0600',mode:absolute,to:'2016-09-04 13:23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78" s="54" t="str">
        <f t="shared" si="39"/>
        <v>N</v>
      </c>
      <c r="X78" s="120">
        <f t="shared" si="40"/>
        <v>1</v>
      </c>
      <c r="Y78" s="69">
        <f t="shared" si="41"/>
        <v>4.5499999999999999E-2</v>
      </c>
      <c r="Z78" s="69">
        <f t="shared" si="42"/>
        <v>23.327400000000001</v>
      </c>
      <c r="AA78" s="69">
        <f t="shared" si="43"/>
        <v>23.2819</v>
      </c>
      <c r="AB78" s="66" t="e">
        <f>VLOOKUP(A78,Enforcements!$C$7:$J$21,8,0)</f>
        <v>#N/A</v>
      </c>
      <c r="AC78" s="62" t="e">
        <f>VLOOKUP(A78,Enforcements!$C$7:$E$21,3,0)</f>
        <v>#N/A</v>
      </c>
      <c r="AD78" s="63" t="str">
        <f t="shared" si="44"/>
        <v>0165-04</v>
      </c>
      <c r="AE78" s="99" t="str">
        <f t="shared" si="45"/>
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</c>
      <c r="AF78" s="96" t="str">
        <f t="shared" si="46"/>
        <v>"C:\Program Files (x86)\AstroGrep\AstroGrep.exe" /spath="%USERPROFILE%\AppData\Local\Temp\OnboardLogs" /stypes="*4002*20160904*" /stext=" 18:.+((SYSTEM_STATE.+slice.+state.+changed )|(ment ac)|(system.+state.+changed )|(\|lc)|(penalty)|(\[timeout)|(PRM\|1\|D)|(kpr)|(kdp))" /e /r /s</v>
      </c>
      <c r="AG78" s="1" t="str">
        <f t="shared" si="47"/>
        <v>EC</v>
      </c>
      <c r="AH78" s="100" t="str">
        <f t="shared" si="48"/>
        <v>"%USERPROFILE%\Documents\GitHub\eaglep3\Utilities\RefineRTDCRunTimes.py" --tripid 165-04 --locoid 4002 --swversion DE.1.0.7.0 --startMP 204:455 --initTime 2016-09-04T11:40:13 --startdatetime 2016-09-04T11:46:22 --delay 3 --endMP 204:233274 --enddatetime 2016-09-04T12:23:07 --enforcementcount 0 &gt;&gt;C:\Users\stu\Documents\GitHub\eaglep3-reporting\EC\2016-09-04-refined-times.txt</v>
      </c>
      <c r="AI78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{"issue":{"subject":"","project_id":79,"tracker_id":40,"status_id":1,"priority_id":2,"assigned_to_id":23,"start_date":"2016-09-04","description":"","custom_fields":[{"id":1,"name":"Subdivision","value":"EC"},{"id":4,"name":"Milepost","value":"23.2819"},{"id":17,"name":"Train ID","value":"165-04"},{"id":16,"name":"Locomotive ID","value":"4002"},{"id":130,"name":"Impact","value":""},{"id":150,"name":"Time of Event (Mountain Time)","value":"12:23:07"},{"id":151,"name":"Denver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459</v>
      </c>
      <c r="B79" s="7">
        <v>4001</v>
      </c>
      <c r="C79" s="24" t="s">
        <v>112</v>
      </c>
      <c r="D79" s="24" t="s">
        <v>285</v>
      </c>
      <c r="E79" s="15">
        <v>42617.526296296295</v>
      </c>
      <c r="F79" s="15">
        <v>42617.528703703705</v>
      </c>
      <c r="G79" s="7">
        <v>1</v>
      </c>
      <c r="H79" s="15" t="s">
        <v>342</v>
      </c>
      <c r="I79" s="15">
        <v>42617.558206018519</v>
      </c>
      <c r="J79" s="7">
        <v>0</v>
      </c>
      <c r="K79" s="132" t="str">
        <f t="shared" si="35"/>
        <v>4001/4002</v>
      </c>
      <c r="L79" s="24" t="str">
        <f>VLOOKUP(A79,'Trips&amp;Operators'!$C$1:$E$10000,3,FALSE)</f>
        <v>MOSES</v>
      </c>
      <c r="M79" s="6">
        <f t="shared" si="36"/>
        <v>2.9502314813726116E-2</v>
      </c>
      <c r="N79" s="7">
        <f t="shared" si="33"/>
        <v>42.483333331765607</v>
      </c>
      <c r="O79" s="7"/>
      <c r="P79" s="7"/>
      <c r="Q79" s="25"/>
      <c r="R79" s="25"/>
      <c r="S79" s="37">
        <f t="shared" si="34"/>
        <v>1</v>
      </c>
      <c r="T79" s="52" t="str">
        <f t="shared" si="37"/>
        <v>Southbound</v>
      </c>
      <c r="U79" s="12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https://search-rtdc-monitor-bjffxe2xuh6vdkpspy63sjmuny.us-east-1.es.amazonaws.com/_plugin/kibana/#/discover/Steve-Slow-Train-Analysis-(2080s-and-2083s)?_g=(refreshInterval:(display:Off,section:0,value:0),time:(from:'2016-09-04 11:37:52-0600',mode:absolute,to:'2016-09-04 14:23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79" s="54" t="str">
        <f t="shared" si="39"/>
        <v>N</v>
      </c>
      <c r="X79" s="120">
        <f t="shared" si="40"/>
        <v>1</v>
      </c>
      <c r="Y79" s="69">
        <f t="shared" si="41"/>
        <v>23.2973</v>
      </c>
      <c r="Z79" s="69">
        <f t="shared" si="42"/>
        <v>1.32E-2</v>
      </c>
      <c r="AA79" s="69">
        <f t="shared" si="43"/>
        <v>23.284099999999999</v>
      </c>
      <c r="AB79" s="66" t="e">
        <f>VLOOKUP(A79,Enforcements!$C$7:$J$21,8,0)</f>
        <v>#N/A</v>
      </c>
      <c r="AC79" s="62" t="e">
        <f>VLOOKUP(A79,Enforcements!$C$7:$E$21,3,0)</f>
        <v>#N/A</v>
      </c>
      <c r="AD79" s="63" t="str">
        <f t="shared" si="44"/>
        <v>0166-04</v>
      </c>
      <c r="AE79" s="99" t="str">
        <f t="shared" si="45"/>
        <v>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 &amp; 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</v>
      </c>
      <c r="AF79" s="96" t="str">
        <f t="shared" si="46"/>
        <v>"C:\Program Files (x86)\AstroGrep\AstroGrep.exe" /spath="%USERPROFILE%\AppData\Local\Temp\OnboardLogs" /stypes="*4001*20160904*" /stext=" 19:.+((SYSTEM_STATE.+slice.+state.+changed )|(ment ac)|(system.+state.+changed )|(\|lc)|(penalty)|(\[timeout)|(PRM\|1\|D)|(kpr)|(kdp))" /e /r /s</v>
      </c>
      <c r="AG79" s="1" t="str">
        <f t="shared" si="47"/>
        <v>EC</v>
      </c>
      <c r="AH79" s="100" t="str">
        <f t="shared" si="48"/>
        <v>"%USERPROFILE%\Documents\GitHub\eaglep3\Utilities\RefineRTDCRunTimes.py" --tripid 166-04 --locoid 4001 --swversion DE.1.0.7.0 --startMP 204:232973 --initTime 2016-09-04T12:37:52 --startdatetime 2016-09-04T12:41:20 --delay 1 --endMP 204:132 --enddatetime 2016-09-04T13:23:49 --enforcementcount 0 &gt;&gt;C:\Users\stu\Documents\GitHub\eaglep3-reporting\EC\2016-09-04-refined-times.txt</v>
      </c>
      <c r="AI79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{"issue":{"subject":"","project_id":79,"tracker_id":40,"status_id":1,"priority_id":2,"assigned_to_id":23,"start_date":"2016-09-04","description":"","custom_fields":[{"id":1,"name":"Subdivision","value":"EC"},{"id":4,"name":"Milepost","value":"23.2841"},{"id":17,"name":"Train ID","value":"166-04"},{"id":16,"name":"Locomotive ID","value":"4001"},{"id":130,"name":"Impact","value":""},{"id":150,"name":"Time of Event (Mountain Time)","value":"13:23:49"},{"id":151,"name":"Denver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x14ac:dyDescent="0.25">
      <c r="A80" s="39" t="s">
        <v>452</v>
      </c>
      <c r="B80" s="7">
        <v>4046</v>
      </c>
      <c r="C80" s="24" t="s">
        <v>112</v>
      </c>
      <c r="D80" s="24" t="s">
        <v>339</v>
      </c>
      <c r="E80" s="15">
        <v>42617.498229166667</v>
      </c>
      <c r="F80" s="15">
        <v>42617.500196759262</v>
      </c>
      <c r="G80" s="7">
        <v>1</v>
      </c>
      <c r="H80" s="15" t="s">
        <v>341</v>
      </c>
      <c r="I80" s="15">
        <v>42617.528541666667</v>
      </c>
      <c r="J80" s="7">
        <v>0</v>
      </c>
      <c r="K80" s="132" t="str">
        <f t="shared" si="35"/>
        <v>4045/4046</v>
      </c>
      <c r="L80" s="24" t="str">
        <f>VLOOKUP(A80,'Trips&amp;Operators'!$C$1:$E$10000,3,FALSE)</f>
        <v>YOUNG</v>
      </c>
      <c r="M80" s="6">
        <f t="shared" si="36"/>
        <v>2.8344907404971309E-2</v>
      </c>
      <c r="N80" s="7">
        <f t="shared" si="33"/>
        <v>40.816666663158685</v>
      </c>
      <c r="O80" s="7"/>
      <c r="P80" s="7"/>
      <c r="Q80" s="25"/>
      <c r="R80" s="25"/>
      <c r="S80" s="37">
        <f t="shared" si="34"/>
        <v>1</v>
      </c>
      <c r="T80" s="52" t="str">
        <f t="shared" si="37"/>
        <v>NorthBound</v>
      </c>
      <c r="U80" s="12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https://search-rtdc-monitor-bjffxe2xuh6vdkpspy63sjmuny.us-east-1.es.amazonaws.com/_plugin/kibana/#/discover/Steve-Slow-Train-Analysis-(2080s-and-2083s)?_g=(refreshInterval:(display:Off,section:0,value:0),time:(from:'2016-09-04 10:57:27-0600',mode:absolute,to:'2016-09-04 13:41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</c>
      <c r="W80" s="54" t="str">
        <f t="shared" si="39"/>
        <v>N</v>
      </c>
      <c r="X80" s="120">
        <f t="shared" si="40"/>
        <v>1</v>
      </c>
      <c r="Y80" s="69">
        <f t="shared" si="41"/>
        <v>4.6699999999999998E-2</v>
      </c>
      <c r="Z80" s="69">
        <f t="shared" si="42"/>
        <v>23.331</v>
      </c>
      <c r="AA80" s="69">
        <f t="shared" si="43"/>
        <v>23.284299999999998</v>
      </c>
      <c r="AB80" s="66" t="e">
        <f>VLOOKUP(A80,Enforcements!$C$7:$J$21,8,0)</f>
        <v>#N/A</v>
      </c>
      <c r="AC80" s="62" t="e">
        <f>VLOOKUP(A80,Enforcements!$C$7:$E$21,3,0)</f>
        <v>#N/A</v>
      </c>
      <c r="AD80" s="63" t="str">
        <f t="shared" si="44"/>
        <v>0167-04</v>
      </c>
      <c r="AE80" s="99" t="str">
        <f t="shared" si="45"/>
        <v>aws s3 cp s3://rtdc.mdm.uploadarchive/RTDC4046/2016-09-04/ "%USERPROFILE%\AppData\Local\Temp\OnboardLogs"\RTDC4046\2016-09-04 --recursive &amp; "%USERPROFILE%\Documents\GitHub\mrs-test-scripts\Headless Mode &amp; Sideloading\WalkAndUnGZ.bat" "%USERPROFILE%\AppData\Local\Temp\OnboardLogs"\RTDC4046\2016-09-04 &amp; 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</v>
      </c>
      <c r="AF80" s="96" t="str">
        <f t="shared" si="46"/>
        <v>"C:\Program Files (x86)\AstroGrep\AstroGrep.exe" /spath="%USERPROFILE%\AppData\Local\Temp\OnboardLogs" /stypes="*4046*20160904*" /stext=" 18:.+((SYSTEM_STATE.+slice.+state.+changed )|(ment ac)|(system.+state.+changed )|(\|lc)|(penalty)|(\[timeout)|(PRM\|1\|D)|(kpr)|(kdp))" /e /r /s</v>
      </c>
      <c r="AG80" s="1" t="str">
        <f t="shared" si="47"/>
        <v>EC</v>
      </c>
      <c r="AH80" s="100" t="str">
        <f t="shared" si="48"/>
        <v>"%USERPROFILE%\Documents\GitHub\eaglep3\Utilities\RefineRTDCRunTimes.py" --tripid 167-04 --locoid 4046 --swversion DE.1.0.7.0 --startMP 204:467 --initTime 2016-09-04T11:57:27 --startdatetime 2016-09-04T12:00:17 --delay 1 --endMP 204:233310 --enddatetime 2016-09-04T12:41:06 --enforcementcount 0 &gt;&gt;C:\Users\stu\Documents\GitHub\eaglep3-reporting\EC\2016-09-04-refined-times.txt</v>
      </c>
      <c r="AI80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{"issue":{"subject":"","project_id":79,"tracker_id":40,"status_id":1,"priority_id":2,"assigned_to_id":23,"start_date":"2016-09-04","description":"","custom_fields":[{"id":1,"name":"Subdivision","value":"EC"},{"id":4,"name":"Milepost","value":"23.2843"},{"id":17,"name":"Train ID","value":"167-04"},{"id":16,"name":"Locomotive ID","value":"4046"},{"id":130,"name":"Impact","value":""},{"id":150,"name":"Time of Event (Mountain Time)","value":"12:41:06"},{"id":151,"name":"Denver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461</v>
      </c>
      <c r="B81" s="7">
        <v>4045</v>
      </c>
      <c r="C81" s="24" t="s">
        <v>112</v>
      </c>
      <c r="D81" s="24" t="s">
        <v>272</v>
      </c>
      <c r="E81" s="15">
        <v>42617.530289351853</v>
      </c>
      <c r="F81" s="15">
        <v>42617.539305555554</v>
      </c>
      <c r="G81" s="7">
        <v>1</v>
      </c>
      <c r="H81" s="15" t="s">
        <v>590</v>
      </c>
      <c r="I81" s="15">
        <v>42617.574641203704</v>
      </c>
      <c r="J81" s="7">
        <v>0</v>
      </c>
      <c r="K81" s="132" t="str">
        <f t="shared" si="35"/>
        <v>4045/4046</v>
      </c>
      <c r="L81" s="24" t="str">
        <f>VLOOKUP(A81,'Trips&amp;Operators'!$C$1:$E$10000,3,FALSE)</f>
        <v>YOUNG</v>
      </c>
      <c r="M81" s="6">
        <f t="shared" si="36"/>
        <v>3.5335648150066845E-2</v>
      </c>
      <c r="N81" s="7">
        <f t="shared" si="33"/>
        <v>50.883333336096257</v>
      </c>
      <c r="O81" s="7"/>
      <c r="P81" s="7"/>
      <c r="Q81" s="25"/>
      <c r="R81" s="25"/>
      <c r="S81" s="37">
        <f t="shared" si="34"/>
        <v>1</v>
      </c>
      <c r="T81" s="52" t="str">
        <f t="shared" si="37"/>
        <v>Southbound</v>
      </c>
      <c r="U81" s="12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https://search-rtdc-monitor-bjffxe2xuh6vdkpspy63sjmuny.us-east-1.es.amazonaws.com/_plugin/kibana/#/discover/Steve-Slow-Train-Analysis-(2080s-and-2083s)?_g=(refreshInterval:(display:Off,section:0,value:0),time:(from:'2016-09-04 11:43:37-0600',mode:absolute,to:'2016-09-04 14:47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W81" s="54" t="str">
        <f t="shared" si="39"/>
        <v>N</v>
      </c>
      <c r="X81" s="120">
        <f t="shared" si="40"/>
        <v>1</v>
      </c>
      <c r="Y81" s="69">
        <f t="shared" si="41"/>
        <v>23.299800000000001</v>
      </c>
      <c r="Z81" s="69">
        <f t="shared" si="42"/>
        <v>1.8100000000000002E-2</v>
      </c>
      <c r="AA81" s="69">
        <f t="shared" si="43"/>
        <v>23.281700000000001</v>
      </c>
      <c r="AB81" s="66" t="e">
        <f>VLOOKUP(A81,Enforcements!$C$7:$J$21,8,0)</f>
        <v>#N/A</v>
      </c>
      <c r="AC81" s="62" t="e">
        <f>VLOOKUP(A81,Enforcements!$C$7:$E$21,3,0)</f>
        <v>#N/A</v>
      </c>
      <c r="AD81" s="63" t="str">
        <f t="shared" si="44"/>
        <v>0168-04</v>
      </c>
      <c r="AE81" s="99" t="str">
        <f t="shared" si="45"/>
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</c>
      <c r="AF81" s="96" t="str">
        <f t="shared" si="46"/>
        <v>"C:\Program Files (x86)\AstroGrep\AstroGrep.exe" /spath="%USERPROFILE%\AppData\Local\Temp\OnboardLogs" /stypes="*4045*20160904*" /stext=" 19:.+((SYSTEM_STATE.+slice.+state.+changed )|(ment ac)|(system.+state.+changed )|(\|lc)|(penalty)|(\[timeout)|(PRM\|1\|D)|(kpr)|(kdp))" /e /r /s</v>
      </c>
      <c r="AG81" s="1" t="str">
        <f t="shared" si="47"/>
        <v>EC</v>
      </c>
      <c r="AH81" s="100" t="str">
        <f t="shared" si="48"/>
        <v>"%USERPROFILE%\Documents\GitHub\eaglep3\Utilities\RefineRTDCRunTimes.py" --tripid 168-04 --locoid 4045 --swversion DE.1.0.7.0 --startMP 204:232998 --initTime 2016-09-04T12:43:37 --startdatetime 2016-09-04T12:56:36 --delay 1 --endMP 204:181 --enddatetime 2016-09-04T13:47:29 --enforcementcount 0 &gt;&gt;C:\Users\stu\Documents\GitHub\eaglep3-reporting\EC\2016-09-04-refined-times.txt</v>
      </c>
      <c r="AI81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{"issue":{"subject":"","project_id":79,"tracker_id":40,"status_id":1,"priority_id":2,"assigned_to_id":23,"start_date":"2016-09-04","description":"","custom_fields":[{"id":1,"name":"Subdivision","value":"EC"},{"id":4,"name":"Milepost","value":"23.2817"},{"id":17,"name":"Train ID","value":"168-04"},{"id":16,"name":"Locomotive ID","value":"4045"},{"id":130,"name":"Impact","value":""},{"id":150,"name":"Time of Event (Mountain Time)","value":"13:47:29"},{"id":151,"name":"Denver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454</v>
      </c>
      <c r="B82" s="7">
        <v>4009</v>
      </c>
      <c r="C82" s="24" t="s">
        <v>112</v>
      </c>
      <c r="D82" s="24" t="s">
        <v>138</v>
      </c>
      <c r="E82" s="15">
        <v>42617.507118055553</v>
      </c>
      <c r="F82" s="15">
        <v>42617.511006944442</v>
      </c>
      <c r="G82" s="7">
        <v>1</v>
      </c>
      <c r="H82" s="15" t="s">
        <v>299</v>
      </c>
      <c r="I82" s="15">
        <v>42617.537245370368</v>
      </c>
      <c r="J82" s="7">
        <v>0</v>
      </c>
      <c r="K82" s="132" t="str">
        <f t="shared" si="35"/>
        <v>4009/4010</v>
      </c>
      <c r="L82" s="24" t="str">
        <f>VLOOKUP(A82,'Trips&amp;Operators'!$C$1:$E$10000,3,FALSE)</f>
        <v>CLARK</v>
      </c>
      <c r="M82" s="6">
        <f t="shared" si="36"/>
        <v>2.6238425925839692E-2</v>
      </c>
      <c r="N82" s="7">
        <f t="shared" ref="N82:N108" si="50">24*60*SUM($M82:$M82)</f>
        <v>37.783333333209157</v>
      </c>
      <c r="O82" s="7"/>
      <c r="P82" s="7"/>
      <c r="Q82" s="25"/>
      <c r="R82" s="25"/>
      <c r="S82" s="37">
        <f t="shared" ref="S82:S113" si="51">SUM(U82:U82)/IF(AG82="EC",12,1)</f>
        <v>1</v>
      </c>
      <c r="T82" s="52" t="str">
        <f t="shared" si="37"/>
        <v>NorthBound</v>
      </c>
      <c r="U82" s="12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https://search-rtdc-monitor-bjffxe2xuh6vdkpspy63sjmuny.us-east-1.es.amazonaws.com/_plugin/kibana/#/discover/Steve-Slow-Train-Analysis-(2080s-and-2083s)?_g=(refreshInterval:(display:Off,section:0,value:0),time:(from:'2016-09-04 11:10:15-0600',mode:absolute,to:'2016-09-04 13:53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82" s="54" t="str">
        <f t="shared" si="39"/>
        <v>N</v>
      </c>
      <c r="X82" s="120">
        <f t="shared" si="40"/>
        <v>1</v>
      </c>
      <c r="Y82" s="69">
        <f t="shared" si="41"/>
        <v>4.5699999999999998E-2</v>
      </c>
      <c r="Z82" s="69">
        <f t="shared" si="42"/>
        <v>23.331600000000002</v>
      </c>
      <c r="AA82" s="69">
        <f t="shared" si="43"/>
        <v>23.285900000000002</v>
      </c>
      <c r="AB82" s="66" t="e">
        <f>VLOOKUP(A82,Enforcements!$C$7:$J$21,8,0)</f>
        <v>#N/A</v>
      </c>
      <c r="AC82" s="62" t="e">
        <f>VLOOKUP(A82,Enforcements!$C$7:$E$21,3,0)</f>
        <v>#N/A</v>
      </c>
      <c r="AD82" s="63" t="str">
        <f t="shared" si="44"/>
        <v>0169-04</v>
      </c>
      <c r="AE82" s="99" t="str">
        <f t="shared" si="45"/>
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</c>
      <c r="AF82" s="96" t="str">
        <f t="shared" si="46"/>
        <v>"C:\Program Files (x86)\AstroGrep\AstroGrep.exe" /spath="%USERPROFILE%\AppData\Local\Temp\OnboardLogs" /stypes="*4009*20160904*" /stext=" 18:.+((SYSTEM_STATE.+slice.+state.+changed )|(ment ac)|(system.+state.+changed )|(\|lc)|(penalty)|(\[timeout)|(PRM\|1\|D)|(kpr)|(kdp))" /e /r /s</v>
      </c>
      <c r="AG82" s="1" t="str">
        <f t="shared" si="47"/>
        <v>EC</v>
      </c>
      <c r="AH82" s="100" t="str">
        <f t="shared" si="48"/>
        <v>"%USERPROFILE%\Documents\GitHub\eaglep3\Utilities\RefineRTDCRunTimes.py" --tripid 169-04 --locoid 4009 --swversion DE.1.0.7.0 --startMP 204:457 --initTime 2016-09-04T12:10:15 --startdatetime 2016-09-04T12:15:51 --delay 1 --endMP 204:233316 --enddatetime 2016-09-04T12:53:38 --enforcementcount 0 &gt;&gt;C:\Users\stu\Documents\GitHub\eaglep3-reporting\EC\2016-09-04-refined-times.txt</v>
      </c>
      <c r="AI82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{"issue":{"subject":"","project_id":79,"tracker_id":40,"status_id":1,"priority_id":2,"assigned_to_id":23,"start_date":"2016-09-04","description":"","custom_fields":[{"id":1,"name":"Subdivision","value":"EC"},{"id":4,"name":"Milepost","value":"23.2859"},{"id":17,"name":"Train ID","value":"169-04"},{"id":16,"name":"Locomotive ID","value":"4009"},{"id":130,"name":"Impact","value":""},{"id":150,"name":"Time of Event (Mountain Time)","value":"12:53:38"},{"id":151,"name":"Denver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462</v>
      </c>
      <c r="B83" s="7">
        <v>4010</v>
      </c>
      <c r="C83" s="24" t="s">
        <v>112</v>
      </c>
      <c r="D83" s="24" t="s">
        <v>244</v>
      </c>
      <c r="E83" s="15">
        <v>42617.543946759259</v>
      </c>
      <c r="F83" s="15">
        <v>42617.54954861111</v>
      </c>
      <c r="G83" s="7">
        <v>1</v>
      </c>
      <c r="H83" s="15" t="s">
        <v>590</v>
      </c>
      <c r="I83" s="15">
        <v>42617.580451388887</v>
      </c>
      <c r="J83" s="7">
        <v>0</v>
      </c>
      <c r="K83" s="132" t="str">
        <f t="shared" si="35"/>
        <v>4009/4010</v>
      </c>
      <c r="L83" s="24" t="str">
        <f>VLOOKUP(A83,'Trips&amp;Operators'!$C$1:$E$10000,3,FALSE)</f>
        <v>CLARK</v>
      </c>
      <c r="M83" s="6">
        <f t="shared" si="36"/>
        <v>3.0902777776645962E-2</v>
      </c>
      <c r="N83" s="7">
        <f t="shared" si="50"/>
        <v>44.499999998370185</v>
      </c>
      <c r="O83" s="7"/>
      <c r="P83" s="7"/>
      <c r="Q83" s="25"/>
      <c r="R83" s="25"/>
      <c r="S83" s="37">
        <f t="shared" si="51"/>
        <v>1</v>
      </c>
      <c r="T83" s="52" t="str">
        <f t="shared" si="37"/>
        <v>Southbound</v>
      </c>
      <c r="U83" s="12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https://search-rtdc-monitor-bjffxe2xuh6vdkpspy63sjmuny.us-east-1.es.amazonaws.com/_plugin/kibana/#/discover/Steve-Slow-Train-Analysis-(2080s-and-2083s)?_g=(refreshInterval:(display:Off,section:0,value:0),time:(from:'2016-09-04 12:03:17-0600',mode:absolute,to:'2016-09-04 14:55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83" s="54" t="str">
        <f t="shared" si="39"/>
        <v>N</v>
      </c>
      <c r="X83" s="120">
        <f t="shared" si="40"/>
        <v>1</v>
      </c>
      <c r="Y83" s="69">
        <f t="shared" si="41"/>
        <v>23.299600000000002</v>
      </c>
      <c r="Z83" s="69">
        <f t="shared" si="42"/>
        <v>1.8100000000000002E-2</v>
      </c>
      <c r="AA83" s="69">
        <f t="shared" si="43"/>
        <v>23.281500000000001</v>
      </c>
      <c r="AB83" s="66">
        <f>VLOOKUP(A83,Enforcements!$C$7:$J$21,8,0)</f>
        <v>191108</v>
      </c>
      <c r="AC83" s="62" t="str">
        <f>VLOOKUP(A83,Enforcements!$C$7:$E$21,3,0)</f>
        <v>PERMANENT SPEED RESTRICTION</v>
      </c>
      <c r="AD83" s="63" t="str">
        <f t="shared" si="44"/>
        <v>0170-04</v>
      </c>
      <c r="AE83" s="99" t="str">
        <f t="shared" si="45"/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AF83" s="96" t="str">
        <f t="shared" si="46"/>
        <v>"C:\Program Files (x86)\AstroGrep\AstroGrep.exe" /spath="%USERPROFILE%\AppData\Local\Temp\OnboardLogs" /stypes="*4010*20160904*" /stext=" 19:.+((SYSTEM_STATE.+slice.+state.+changed )|(ment ac)|(system.+state.+changed )|(\|lc)|(penalty)|(\[timeout)|(PRM\|1\|D)|(kpr)|(kdp))" /e /r /s</v>
      </c>
      <c r="AG83" s="1" t="str">
        <f t="shared" si="47"/>
        <v>EC</v>
      </c>
      <c r="AH83" s="100" t="str">
        <f t="shared" si="48"/>
        <v>"%USERPROFILE%\Documents\GitHub\eaglep3\Utilities\RefineRTDCRunTimes.py" --tripid 170-04 --locoid 4010 --swversion DE.1.0.7.0 --startMP 204:232996 --initTime 2016-09-04T13:03:17 --startdatetime 2016-09-04T13:11:21 --delay 1 --endMP 204:181 --enddatetime 2016-09-04T13:55:51 --enforcementcount 0 &gt;&gt;C:\Users\stu\Documents\GitHub\eaglep3-reporting\EC\2016-09-04-refined-times.txt</v>
      </c>
      <c r="AI83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{"issue":{"subject":"","project_id":79,"tracker_id":40,"status_id":1,"priority_id":2,"assigned_to_id":23,"start_date":"2016-09-04","description":"","custom_fields":[{"id":1,"name":"Subdivision","value":"EC"},{"id":4,"name":"Milepost","value":"23.2815"},{"id":17,"name":"Train ID","value":"170-04"},{"id":16,"name":"Locomotive ID","value":"4010"},{"id":130,"name":"Impact","value":""},{"id":150,"name":"Time of Event (Mountain Time)","value":"13:55:51"},{"id":151,"name":"Denver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23" customFormat="1" x14ac:dyDescent="0.25">
      <c r="A84" s="39" t="s">
        <v>457</v>
      </c>
      <c r="B84" s="7">
        <v>4016</v>
      </c>
      <c r="C84" s="24" t="s">
        <v>112</v>
      </c>
      <c r="D84" s="24" t="s">
        <v>287</v>
      </c>
      <c r="E84" s="15">
        <v>42617.515092592592</v>
      </c>
      <c r="F84" s="15">
        <v>42617.521064814813</v>
      </c>
      <c r="G84" s="7">
        <v>1</v>
      </c>
      <c r="H84" s="15" t="s">
        <v>282</v>
      </c>
      <c r="I84" s="15">
        <v>42617.548900462964</v>
      </c>
      <c r="J84" s="7">
        <v>0</v>
      </c>
      <c r="K84" s="132" t="str">
        <f t="shared" si="35"/>
        <v>4015/4016</v>
      </c>
      <c r="L84" s="24" t="str">
        <f>VLOOKUP(A84,'Trips&amp;Operators'!$C$1:$E$10000,3,FALSE)</f>
        <v>SHOOK</v>
      </c>
      <c r="M84" s="6">
        <f t="shared" si="36"/>
        <v>2.7835648150357883E-2</v>
      </c>
      <c r="N84" s="7">
        <f t="shared" si="50"/>
        <v>40.083333336515352</v>
      </c>
      <c r="O84" s="7"/>
      <c r="P84" s="7"/>
      <c r="Q84" s="25"/>
      <c r="R84" s="25"/>
      <c r="S84" s="37">
        <f t="shared" si="51"/>
        <v>1</v>
      </c>
      <c r="T84" s="52" t="str">
        <f t="shared" si="37"/>
        <v>NorthBound</v>
      </c>
      <c r="U84" s="12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https://search-rtdc-monitor-bjffxe2xuh6vdkpspy63sjmuny.us-east-1.es.amazonaws.com/_plugin/kibana/#/discover/Steve-Slow-Train-Analysis-(2080s-and-2083s)?_g=(refreshInterval:(display:Off,section:0,value:0),time:(from:'2016-09-04 11:21:44-0600',mode:absolute,to:'2016-09-04 14:10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84" s="54" t="str">
        <f t="shared" si="39"/>
        <v>N</v>
      </c>
      <c r="X84" s="120">
        <f t="shared" si="40"/>
        <v>1</v>
      </c>
      <c r="Y84" s="69">
        <f t="shared" si="41"/>
        <v>4.6399999999999997E-2</v>
      </c>
      <c r="Z84" s="69">
        <f t="shared" si="42"/>
        <v>23.333400000000001</v>
      </c>
      <c r="AA84" s="69">
        <f t="shared" si="43"/>
        <v>23.287000000000003</v>
      </c>
      <c r="AB84" s="66">
        <f>VLOOKUP(A84,Enforcements!$C$7:$J$21,8,0)</f>
        <v>30830</v>
      </c>
      <c r="AC84" s="62" t="str">
        <f>VLOOKUP(A84,Enforcements!$C$7:$E$21,3,0)</f>
        <v>GRADE CROSSING</v>
      </c>
      <c r="AD84" s="63" t="str">
        <f t="shared" si="44"/>
        <v>0171-04</v>
      </c>
      <c r="AE84" s="99" t="str">
        <f t="shared" si="45"/>
        <v>aws s3 cp s3://rtdc.mdm.uploadarchive/RTDC4016/2016-09-04/ "%USERPROFILE%\AppData\Local\Temp\OnboardLogs"\RTDC4016\2016-09-04 --recursive &amp; "%USERPROFILE%\Documents\GitHub\mrs-test-scripts\Headless Mode &amp; Sideloading\WalkAndUnGZ.bat" "%USERPROFILE%\AppData\Local\Temp\OnboardLogs"\RTDC4016\2016-09-04 &amp; 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</v>
      </c>
      <c r="AF84" s="96" t="str">
        <f t="shared" si="46"/>
        <v>"C:\Program Files (x86)\AstroGrep\AstroGrep.exe" /spath="%USERPROFILE%\AppData\Local\Temp\OnboardLogs" /stypes="*4016*20160904*" /stext=" 19:.+((SYSTEM_STATE.+slice.+state.+changed )|(ment ac)|(system.+state.+changed )|(\|lc)|(penalty)|(\[timeout)|(PRM\|1\|D)|(kpr)|(kdp))" /e /r /s</v>
      </c>
      <c r="AG84" s="1" t="str">
        <f t="shared" si="47"/>
        <v>EC</v>
      </c>
      <c r="AH84" s="100" t="str">
        <f t="shared" si="48"/>
        <v>"%USERPROFILE%\Documents\GitHub\eaglep3\Utilities\RefineRTDCRunTimes.py" --tripid 171-04 --locoid 4016 --swversion DE.1.0.7.0 --startMP 204:464 --initTime 2016-09-04T12:21:44 --startdatetime 2016-09-04T12:30:20 --delay 1 --endMP 204:233334 --enddatetime 2016-09-04T13:10:25 --enforcementcount 0 &gt;&gt;C:\Users\stu\Documents\GitHub\eaglep3-reporting\EC\2016-09-04-refined-times.txt</v>
      </c>
      <c r="AI84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{"issue":{"subject":"","project_id":79,"tracker_id":40,"status_id":1,"priority_id":2,"assigned_to_id":23,"start_date":"2016-09-04","description":"","custom_fields":[{"id":1,"name":"Subdivision","value":"EC"},{"id":4,"name":"Milepost","value":"23.287"},{"id":17,"name":"Train ID","value":"171-04"},{"id":16,"name":"Locomotive ID","value":"4016"},{"id":130,"name":"Impact","value":""},{"id":150,"name":"Time of Event (Mountain Time)","value":"13:10:25"},{"id":151,"name":"Denver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23" customFormat="1" x14ac:dyDescent="0.25">
      <c r="A85" s="39" t="s">
        <v>465</v>
      </c>
      <c r="B85" s="7">
        <v>4015</v>
      </c>
      <c r="C85" s="24" t="s">
        <v>112</v>
      </c>
      <c r="D85" s="24" t="s">
        <v>283</v>
      </c>
      <c r="E85" s="15">
        <v>42617.556134259263</v>
      </c>
      <c r="F85" s="15">
        <v>42617.560011574074</v>
      </c>
      <c r="G85" s="7">
        <v>1</v>
      </c>
      <c r="H85" s="15" t="s">
        <v>146</v>
      </c>
      <c r="I85" s="15">
        <v>42617.592268518521</v>
      </c>
      <c r="J85" s="7">
        <v>0</v>
      </c>
      <c r="K85" s="132" t="str">
        <f t="shared" si="35"/>
        <v>4015/4016</v>
      </c>
      <c r="L85" s="24" t="str">
        <f>VLOOKUP(A85,'Trips&amp;Operators'!$C$1:$E$10000,3,FALSE)</f>
        <v>SHOOK</v>
      </c>
      <c r="M85" s="6">
        <f t="shared" si="36"/>
        <v>3.2256944446999114E-2</v>
      </c>
      <c r="N85" s="7">
        <f t="shared" si="50"/>
        <v>46.450000003678724</v>
      </c>
      <c r="O85" s="7"/>
      <c r="P85" s="7"/>
      <c r="Q85" s="25"/>
      <c r="R85" s="25"/>
      <c r="S85" s="37">
        <f t="shared" si="51"/>
        <v>1</v>
      </c>
      <c r="T85" s="52" t="str">
        <f t="shared" si="37"/>
        <v>Southbound</v>
      </c>
      <c r="U85" s="12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https://search-rtdc-monitor-bjffxe2xuh6vdkpspy63sjmuny.us-east-1.es.amazonaws.com/_plugin/kibana/#/discover/Steve-Slow-Train-Analysis-(2080s-and-2083s)?_g=(refreshInterval:(display:Off,section:0,value:0),time:(from:'2016-09-04 12:20:50-0600',mode:absolute,to:'2016-09-04 15:12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85" s="54" t="str">
        <f t="shared" si="39"/>
        <v>N</v>
      </c>
      <c r="X85" s="120">
        <f t="shared" si="40"/>
        <v>1</v>
      </c>
      <c r="Y85" s="69">
        <f t="shared" si="41"/>
        <v>23.3019</v>
      </c>
      <c r="Z85" s="69">
        <f t="shared" si="42"/>
        <v>1.5599999999999999E-2</v>
      </c>
      <c r="AA85" s="69">
        <f t="shared" si="43"/>
        <v>23.286300000000001</v>
      </c>
      <c r="AB85" s="66" t="e">
        <f>VLOOKUP(A85,Enforcements!$C$7:$J$21,8,0)</f>
        <v>#N/A</v>
      </c>
      <c r="AC85" s="62" t="e">
        <f>VLOOKUP(A85,Enforcements!$C$7:$E$21,3,0)</f>
        <v>#N/A</v>
      </c>
      <c r="AD85" s="63" t="str">
        <f t="shared" si="44"/>
        <v>0172-04</v>
      </c>
      <c r="AE85" s="99" t="str">
        <f t="shared" si="45"/>
        <v>aws s3 cp s3://rtdc.mdm.uploadarchive/RTDC4015/2016-09-04/ "%USERPROFILE%\AppData\Local\Temp\OnboardLogs"\RTDC4015\2016-09-04 --recursive &amp; "%USERPROFILE%\Documents\GitHub\mrs-test-scripts\Headless Mode &amp; Sideloading\WalkAndUnGZ.bat" "%USERPROFILE%\AppData\Local\Temp\OnboardLogs"\RTDC4015\2016-09-04 &amp; 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</v>
      </c>
      <c r="AF85" s="96" t="str">
        <f t="shared" si="46"/>
        <v>"C:\Program Files (x86)\AstroGrep\AstroGrep.exe" /spath="%USERPROFILE%\AppData\Local\Temp\OnboardLogs" /stypes="*4015*20160904*" /stext=" 20:.+((SYSTEM_STATE.+slice.+state.+changed )|(ment ac)|(system.+state.+changed )|(\|lc)|(penalty)|(\[timeout)|(PRM\|1\|D)|(kpr)|(kdp))" /e /r /s</v>
      </c>
      <c r="AG85" s="1" t="str">
        <f t="shared" si="47"/>
        <v>EC</v>
      </c>
      <c r="AH85" s="100" t="str">
        <f t="shared" si="48"/>
        <v>"%USERPROFILE%\Documents\GitHub\eaglep3\Utilities\RefineRTDCRunTimes.py" --tripid 172-04 --locoid 4015 --swversion DE.1.0.7.0 --startMP 204:233019 --initTime 2016-09-04T13:20:50 --startdatetime 2016-09-04T13:26:25 --delay 1 --endMP 204:156 --enddatetime 2016-09-04T14:12:52 --enforcementcount 0 &gt;&gt;C:\Users\stu\Documents\GitHub\eaglep3-reporting\EC\2016-09-04-refined-times.txt</v>
      </c>
      <c r="AI85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{"issue":{"subject":"","project_id":79,"tracker_id":40,"status_id":1,"priority_id":2,"assigned_to_id":23,"start_date":"2016-09-04","description":"","custom_fields":[{"id":1,"name":"Subdivision","value":"EC"},{"id":4,"name":"Milepost","value":"23.2863"},{"id":17,"name":"Train ID","value":"172-04"},{"id":16,"name":"Locomotive ID","value":"4015"},{"id":130,"name":"Impact","value":""},{"id":150,"name":"Time of Event (Mountain Time)","value":"14:12:52"},{"id":151,"name":"Denver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x14ac:dyDescent="0.25">
      <c r="A86" s="39" t="s">
        <v>460</v>
      </c>
      <c r="B86" s="7">
        <v>4031</v>
      </c>
      <c r="C86" s="24" t="s">
        <v>112</v>
      </c>
      <c r="D86" s="24" t="s">
        <v>233</v>
      </c>
      <c r="E86" s="15">
        <v>42617.528391203705</v>
      </c>
      <c r="F86" s="15">
        <v>42617.531504629631</v>
      </c>
      <c r="G86" s="7">
        <v>1</v>
      </c>
      <c r="H86" s="15" t="s">
        <v>591</v>
      </c>
      <c r="I86" s="15">
        <v>42617.556481481479</v>
      </c>
      <c r="J86" s="7">
        <v>0</v>
      </c>
      <c r="K86" s="132" t="str">
        <f t="shared" si="35"/>
        <v>4031/4032</v>
      </c>
      <c r="L86" s="24" t="str">
        <f>VLOOKUP(A86,'Trips&amp;Operators'!$C$1:$E$10000,3,FALSE)</f>
        <v>STEWART</v>
      </c>
      <c r="M86" s="6">
        <f t="shared" si="36"/>
        <v>2.4976851847895887E-2</v>
      </c>
      <c r="N86" s="7">
        <f t="shared" si="50"/>
        <v>35.966666660970077</v>
      </c>
      <c r="O86" s="7"/>
      <c r="P86" s="7"/>
      <c r="Q86" s="25"/>
      <c r="R86" s="25"/>
      <c r="S86" s="37">
        <f t="shared" si="51"/>
        <v>1</v>
      </c>
      <c r="T86" s="52" t="str">
        <f t="shared" si="37"/>
        <v>NorthBound</v>
      </c>
      <c r="U86" s="12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https://search-rtdc-monitor-bjffxe2xuh6vdkpspy63sjmuny.us-east-1.es.amazonaws.com/_plugin/kibana/#/discover/Steve-Slow-Train-Analysis-(2080s-and-2083s)?_g=(refreshInterval:(display:Off,section:0,value:0),time:(from:'2016-09-04 11:40:53-0600',mode:absolute,to:'2016-09-04 14:21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86" s="54" t="str">
        <f t="shared" si="39"/>
        <v>N</v>
      </c>
      <c r="X86" s="120">
        <f t="shared" si="40"/>
        <v>1</v>
      </c>
      <c r="Y86" s="69">
        <f t="shared" si="41"/>
        <v>4.6600000000000003E-2</v>
      </c>
      <c r="Z86" s="69">
        <f t="shared" si="42"/>
        <v>23.3368</v>
      </c>
      <c r="AA86" s="69">
        <f t="shared" si="43"/>
        <v>23.290199999999999</v>
      </c>
      <c r="AB86" s="66" t="e">
        <f>VLOOKUP(A86,Enforcements!$C$7:$J$21,8,0)</f>
        <v>#N/A</v>
      </c>
      <c r="AC86" s="62" t="e">
        <f>VLOOKUP(A86,Enforcements!$C$7:$E$21,3,0)</f>
        <v>#N/A</v>
      </c>
      <c r="AD86" s="63" t="str">
        <f t="shared" si="44"/>
        <v>0173-04</v>
      </c>
      <c r="AE86" s="99" t="str">
        <f t="shared" si="45"/>
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</c>
      <c r="AF86" s="96" t="str">
        <f t="shared" si="46"/>
        <v>"C:\Program Files (x86)\AstroGrep\AstroGrep.exe" /spath="%USERPROFILE%\AppData\Local\Temp\OnboardLogs" /stypes="*4031*20160904*" /stext=" 19:.+((SYSTEM_STATE.+slice.+state.+changed )|(ment ac)|(system.+state.+changed )|(\|lc)|(penalty)|(\[timeout)|(PRM\|1\|D)|(kpr)|(kdp))" /e /r /s</v>
      </c>
      <c r="AG86" s="1" t="str">
        <f t="shared" si="47"/>
        <v>EC</v>
      </c>
      <c r="AH86" s="100" t="str">
        <f t="shared" si="48"/>
        <v>"%USERPROFILE%\Documents\GitHub\eaglep3\Utilities\RefineRTDCRunTimes.py" --tripid 173-04 --locoid 4031 --swversion DE.1.0.7.0 --startMP 204:466 --initTime 2016-09-04T12:40:53 --startdatetime 2016-09-04T12:45:22 --delay 1 --endMP 204:233368 --enddatetime 2016-09-04T13:21:20 --enforcementcount 0 &gt;&gt;C:\Users\stu\Documents\GitHub\eaglep3-reporting\EC\2016-09-04-refined-times.txt</v>
      </c>
      <c r="AI86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{"issue":{"subject":"","project_id":79,"tracker_id":40,"status_id":1,"priority_id":2,"assigned_to_id":23,"start_date":"2016-09-04","description":"","custom_fields":[{"id":1,"name":"Subdivision","value":"EC"},{"id":4,"name":"Milepost","value":"23.2902"},{"id":17,"name":"Train ID","value":"173-04"},{"id":16,"name":"Locomotive ID","value":"4031"},{"id":130,"name":"Impact","value":""},{"id":150,"name":"Time of Event (Mountain Time)","value":"13:21:20"},{"id":151,"name":"Denver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23" customFormat="1" x14ac:dyDescent="0.25">
      <c r="A87" s="39" t="s">
        <v>468</v>
      </c>
      <c r="B87" s="7">
        <v>4032</v>
      </c>
      <c r="C87" s="24" t="s">
        <v>112</v>
      </c>
      <c r="D87" s="24" t="s">
        <v>592</v>
      </c>
      <c r="E87" s="15">
        <v>42617.567893518521</v>
      </c>
      <c r="F87" s="15">
        <v>42617.570659722223</v>
      </c>
      <c r="G87" s="7">
        <v>1</v>
      </c>
      <c r="H87" s="15" t="s">
        <v>249</v>
      </c>
      <c r="I87" s="15">
        <v>42617.600324074076</v>
      </c>
      <c r="J87" s="7">
        <v>0</v>
      </c>
      <c r="K87" s="132" t="str">
        <f t="shared" si="35"/>
        <v>4031/4032</v>
      </c>
      <c r="L87" s="24" t="str">
        <f>VLOOKUP(A87,'Trips&amp;Operators'!$C$1:$E$10000,3,FALSE)</f>
        <v>STEWART</v>
      </c>
      <c r="M87" s="6">
        <f t="shared" si="36"/>
        <v>2.9664351852261461E-2</v>
      </c>
      <c r="N87" s="7">
        <f t="shared" si="50"/>
        <v>42.716666667256504</v>
      </c>
      <c r="O87" s="7"/>
      <c r="P87" s="7"/>
      <c r="Q87" s="25"/>
      <c r="R87" s="25"/>
      <c r="S87" s="37">
        <f t="shared" si="51"/>
        <v>1</v>
      </c>
      <c r="T87" s="52" t="str">
        <f t="shared" si="37"/>
        <v>Southbound</v>
      </c>
      <c r="U87" s="12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https://search-rtdc-monitor-bjffxe2xuh6vdkpspy63sjmuny.us-east-1.es.amazonaws.com/_plugin/kibana/#/discover/Steve-Slow-Train-Analysis-(2080s-and-2083s)?_g=(refreshInterval:(display:Off,section:0,value:0),time:(from:'2016-09-04 12:37:46-0600',mode:absolute,to:'2016-09-04 15:24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87" s="54" t="str">
        <f t="shared" si="39"/>
        <v>N</v>
      </c>
      <c r="X87" s="120">
        <f t="shared" si="40"/>
        <v>1</v>
      </c>
      <c r="Y87" s="69">
        <f t="shared" si="41"/>
        <v>23.300899999999999</v>
      </c>
      <c r="Z87" s="69">
        <f t="shared" si="42"/>
        <v>1.61E-2</v>
      </c>
      <c r="AA87" s="69">
        <f t="shared" si="43"/>
        <v>23.284799999999997</v>
      </c>
      <c r="AB87" s="66" t="e">
        <f>VLOOKUP(A87,Enforcements!$C$7:$J$21,8,0)</f>
        <v>#N/A</v>
      </c>
      <c r="AC87" s="62" t="e">
        <f>VLOOKUP(A87,Enforcements!$C$7:$E$21,3,0)</f>
        <v>#N/A</v>
      </c>
      <c r="AD87" s="63" t="str">
        <f t="shared" si="44"/>
        <v>0174-04</v>
      </c>
      <c r="AE87" s="99" t="str">
        <f t="shared" si="45"/>
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</c>
      <c r="AF87" s="96" t="str">
        <f t="shared" si="46"/>
        <v>"C:\Program Files (x86)\AstroGrep\AstroGrep.exe" /spath="%USERPROFILE%\AppData\Local\Temp\OnboardLogs" /stypes="*4032*20160904*" /stext=" 20:.+((SYSTEM_STATE.+slice.+state.+changed )|(ment ac)|(system.+state.+changed )|(\|lc)|(penalty)|(\[timeout)|(PRM\|1\|D)|(kpr)|(kdp))" /e /r /s</v>
      </c>
      <c r="AG87" s="1" t="str">
        <f t="shared" si="47"/>
        <v>EC</v>
      </c>
      <c r="AH87" s="100" t="str">
        <f t="shared" si="48"/>
        <v>"%USERPROFILE%\Documents\GitHub\eaglep3\Utilities\RefineRTDCRunTimes.py" --tripid 174-04 --locoid 4032 --swversion DE.1.0.7.0 --startMP 204:233009 --initTime 2016-09-04T13:37:46 --startdatetime 2016-09-04T13:41:45 --delay 1 --endMP 204:161 --enddatetime 2016-09-04T14:24:28 --enforcementcount 0 &gt;&gt;C:\Users\stu\Documents\GitHub\eaglep3-reporting\EC\2016-09-04-refined-times.txt</v>
      </c>
      <c r="AI87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{"issue":{"subject":"","project_id":79,"tracker_id":40,"status_id":1,"priority_id":2,"assigned_to_id":23,"start_date":"2016-09-04","description":"","custom_fields":[{"id":1,"name":"Subdivision","value":"EC"},{"id":4,"name":"Milepost","value":"23.2848"},{"id":17,"name":"Train ID","value":"174-04"},{"id":16,"name":"Locomotive ID","value":"4032"},{"id":130,"name":"Impact","value":""},{"id":150,"name":"Time of Event (Mountain Time)","value":"14:24:28"},{"id":151,"name":"Denver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23" customFormat="1" x14ac:dyDescent="0.25">
      <c r="A88" s="39" t="s">
        <v>471</v>
      </c>
      <c r="B88" s="7">
        <v>4017</v>
      </c>
      <c r="C88" s="24" t="s">
        <v>112</v>
      </c>
      <c r="D88" s="24" t="s">
        <v>133</v>
      </c>
      <c r="E88" s="15">
        <v>42617.583969907406</v>
      </c>
      <c r="F88" s="15">
        <v>42617.585138888891</v>
      </c>
      <c r="G88" s="7">
        <v>1</v>
      </c>
      <c r="H88" s="15" t="s">
        <v>284</v>
      </c>
      <c r="I88" s="15">
        <v>42617.611817129633</v>
      </c>
      <c r="J88" s="7">
        <v>0</v>
      </c>
      <c r="K88" s="132" t="str">
        <f t="shared" si="35"/>
        <v>4017/4018</v>
      </c>
      <c r="L88" s="24" t="str">
        <f>VLOOKUP(A88,'Trips&amp;Operators'!$C$1:$E$10000,3,FALSE)</f>
        <v>BARTLETT</v>
      </c>
      <c r="M88" s="6">
        <f t="shared" si="36"/>
        <v>2.6678240741603076E-2</v>
      </c>
      <c r="N88" s="7">
        <f t="shared" si="50"/>
        <v>38.41666666790843</v>
      </c>
      <c r="O88" s="7"/>
      <c r="P88" s="7"/>
      <c r="Q88" s="25"/>
      <c r="R88" s="25"/>
      <c r="S88" s="37">
        <f t="shared" si="51"/>
        <v>1</v>
      </c>
      <c r="T88" s="52" t="str">
        <f t="shared" si="37"/>
        <v>Southbound</v>
      </c>
      <c r="U88" s="12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https://search-rtdc-monitor-bjffxe2xuh6vdkpspy63sjmuny.us-east-1.es.amazonaws.com/_plugin/kibana/#/discover/Steve-Slow-Train-Analysis-(2080s-and-2083s)?_g=(refreshInterval:(display:Off,section:0,value:0),time:(from:'2016-09-04 13:00:55-0600',mode:absolute,to:'2016-09-04 15:41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88" s="54" t="str">
        <f t="shared" si="39"/>
        <v>N</v>
      </c>
      <c r="X88" s="120">
        <f t="shared" si="40"/>
        <v>2</v>
      </c>
      <c r="Y88" s="69">
        <f t="shared" si="41"/>
        <v>23.299399999999999</v>
      </c>
      <c r="Z88" s="69">
        <f t="shared" si="42"/>
        <v>1.3599999999999999E-2</v>
      </c>
      <c r="AA88" s="69">
        <f t="shared" si="43"/>
        <v>23.285799999999998</v>
      </c>
      <c r="AB88" s="66" t="e">
        <f>VLOOKUP(A88,Enforcements!$C$7:$J$21,8,0)</f>
        <v>#N/A</v>
      </c>
      <c r="AC88" s="62" t="e">
        <f>VLOOKUP(A88,Enforcements!$C$7:$E$21,3,0)</f>
        <v>#N/A</v>
      </c>
      <c r="AD88" s="63" t="str">
        <f t="shared" si="44"/>
        <v>0176-04</v>
      </c>
      <c r="AE88" s="99" t="str">
        <f t="shared" si="45"/>
        <v>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 &amp; 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</v>
      </c>
      <c r="AF88" s="96" t="str">
        <f t="shared" si="46"/>
        <v>"C:\Program Files (x86)\AstroGrep\AstroGrep.exe" /spath="%USERPROFILE%\AppData\Local\Temp\OnboardLogs" /stypes="*4017*20160904*" /stext=" 20:.+((SYSTEM_STATE.+slice.+state.+changed )|(ment ac)|(system.+state.+changed )|(\|lc)|(penalty)|(\[timeout)|(PRM\|1\|D)|(kpr)|(kdp))" /e /r /s</v>
      </c>
      <c r="AG88" s="1" t="str">
        <f t="shared" si="47"/>
        <v>EC</v>
      </c>
      <c r="AH88" s="100" t="str">
        <f t="shared" si="48"/>
        <v>"%USERPROFILE%\Documents\GitHub\eaglep3\Utilities\RefineRTDCRunTimes.py" --tripid 176-04 --locoid 4017 --swversion DE.1.0.7.0 --startMP 204:232994 --initTime 2016-09-04T14:00:55 --startdatetime 2016-09-04T14:02:36 --delay 1 --endMP 204:136 --enddatetime 2016-09-04T14:41:01 --enforcementcount 0 &gt;&gt;C:\Users\stu\Documents\GitHub\eaglep3-reporting\EC\2016-09-04-refined-times.txt</v>
      </c>
      <c r="AI88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{"issue":{"subject":"","project_id":79,"tracker_id":40,"status_id":1,"priority_id":2,"assigned_to_id":23,"start_date":"2016-09-04","description":"","custom_fields":[{"id":1,"name":"Subdivision","value":"EC"},{"id":4,"name":"Milepost","value":"23.2858"},{"id":17,"name":"Train ID","value":"176-04"},{"id":16,"name":"Locomotive ID","value":"4017"},{"id":130,"name":"Impact","value":""},{"id":150,"name":"Time of Event (Mountain Time)","value":"14:41:01"},{"id":151,"name":"Denver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x14ac:dyDescent="0.25">
      <c r="A89" s="39" t="s">
        <v>463</v>
      </c>
      <c r="B89" s="7">
        <v>4038</v>
      </c>
      <c r="C89" s="24" t="s">
        <v>112</v>
      </c>
      <c r="D89" s="24" t="s">
        <v>287</v>
      </c>
      <c r="E89" s="15">
        <v>42617.548425925925</v>
      </c>
      <c r="F89" s="15">
        <v>42617.55232638889</v>
      </c>
      <c r="G89" s="7">
        <v>1</v>
      </c>
      <c r="H89" s="15" t="s">
        <v>241</v>
      </c>
      <c r="I89" s="15">
        <v>42617.585844907408</v>
      </c>
      <c r="J89" s="7">
        <v>0</v>
      </c>
      <c r="K89" s="132" t="str">
        <f t="shared" si="35"/>
        <v>4037/4038</v>
      </c>
      <c r="L89" s="24" t="str">
        <f>VLOOKUP(A89,'Trips&amp;Operators'!$C$1:$E$10000,3,FALSE)</f>
        <v>BRUDER</v>
      </c>
      <c r="M89" s="6">
        <f t="shared" si="36"/>
        <v>3.3518518517666962E-2</v>
      </c>
      <c r="N89" s="7">
        <f t="shared" si="50"/>
        <v>48.266666665440425</v>
      </c>
      <c r="O89" s="7"/>
      <c r="P89" s="7"/>
      <c r="Q89" s="25"/>
      <c r="R89" s="25"/>
      <c r="S89" s="37">
        <f t="shared" si="51"/>
        <v>1</v>
      </c>
      <c r="T89" s="52" t="str">
        <f t="shared" si="37"/>
        <v>NorthBound</v>
      </c>
      <c r="U89" s="12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https://search-rtdc-monitor-bjffxe2xuh6vdkpspy63sjmuny.us-east-1.es.amazonaws.com/_plugin/kibana/#/discover/Steve-Slow-Train-Analysis-(2080s-and-2083s)?_g=(refreshInterval:(display:Off,section:0,value:0),time:(from:'2016-09-04 12:09:44-0600',mode:absolute,to:'2016-09-04 15:03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89" s="54" t="str">
        <f t="shared" si="39"/>
        <v>N</v>
      </c>
      <c r="X89" s="120">
        <f t="shared" si="40"/>
        <v>1</v>
      </c>
      <c r="Y89" s="69">
        <f t="shared" si="41"/>
        <v>4.6399999999999997E-2</v>
      </c>
      <c r="Z89" s="69">
        <f t="shared" si="42"/>
        <v>23.331399999999999</v>
      </c>
      <c r="AA89" s="69">
        <f t="shared" si="43"/>
        <v>23.285</v>
      </c>
      <c r="AB89" s="66" t="e">
        <f>VLOOKUP(A89,Enforcements!$C$7:$J$21,8,0)</f>
        <v>#N/A</v>
      </c>
      <c r="AC89" s="62" t="e">
        <f>VLOOKUP(A89,Enforcements!$C$7:$E$21,3,0)</f>
        <v>#N/A</v>
      </c>
      <c r="AD89" s="63" t="str">
        <f t="shared" si="44"/>
        <v>0177-04</v>
      </c>
      <c r="AE89" s="99" t="str">
        <f t="shared" si="45"/>
        <v>aws s3 cp s3://rtdc.mdm.uploadarchive/RTDC4038/2016-09-04/ "%USERPROFILE%\AppData\Local\Temp\OnboardLogs"\RTDC4038\2016-09-04 --recursive &amp; "%USERPROFILE%\Documents\GitHub\mrs-test-scripts\Headless Mode &amp; Sideloading\WalkAndUnGZ.bat" "%USERPROFILE%\AppData\Local\Temp\OnboardLogs"\RTDC4038\2016-09-04 &amp; 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</v>
      </c>
      <c r="AF89" s="96" t="str">
        <f t="shared" si="46"/>
        <v>"C:\Program Files (x86)\AstroGrep\AstroGrep.exe" /spath="%USERPROFILE%\AppData\Local\Temp\OnboardLogs" /stypes="*4038*20160904*" /stext=" 20:.+((SYSTEM_STATE.+slice.+state.+changed )|(ment ac)|(system.+state.+changed )|(\|lc)|(penalty)|(\[timeout)|(PRM\|1\|D)|(kpr)|(kdp))" /e /r /s</v>
      </c>
      <c r="AG89" s="1" t="str">
        <f t="shared" si="47"/>
        <v>EC</v>
      </c>
      <c r="AH89" s="100" t="str">
        <f t="shared" si="48"/>
        <v>"%USERPROFILE%\Documents\GitHub\eaglep3\Utilities\RefineRTDCRunTimes.py" --tripid 177-04 --locoid 4038 --swversion DE.1.0.7.0 --startMP 204:464 --initTime 2016-09-04T13:09:44 --startdatetime 2016-09-04T13:15:21 --delay 1 --endMP 204:233314 --enddatetime 2016-09-04T14:03:37 --enforcementcount 0 &gt;&gt;C:\Users\stu\Documents\GitHub\eaglep3-reporting\EC\2016-09-04-refined-times.txt</v>
      </c>
      <c r="AI89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{"issue":{"subject":"","project_id":79,"tracker_id":40,"status_id":1,"priority_id":2,"assigned_to_id":23,"start_date":"2016-09-04","description":"","custom_fields":[{"id":1,"name":"Subdivision","value":"EC"},{"id":4,"name":"Milepost","value":"23.285"},{"id":17,"name":"Train ID","value":"177-04"},{"id":16,"name":"Locomotive ID","value":"4038"},{"id":130,"name":"Impact","value":""},{"id":150,"name":"Time of Event (Mountain Time)","value":"14:03:37"},{"id":151,"name":"Denver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x14ac:dyDescent="0.25">
      <c r="A90" s="39" t="s">
        <v>472</v>
      </c>
      <c r="B90" s="7">
        <v>4037</v>
      </c>
      <c r="C90" s="24" t="s">
        <v>112</v>
      </c>
      <c r="D90" s="24" t="s">
        <v>214</v>
      </c>
      <c r="E90" s="15">
        <v>42617.587418981479</v>
      </c>
      <c r="F90" s="15">
        <v>42617.591168981482</v>
      </c>
      <c r="G90" s="7">
        <v>1</v>
      </c>
      <c r="H90" s="15" t="s">
        <v>135</v>
      </c>
      <c r="I90" s="15">
        <v>42617.617708333331</v>
      </c>
      <c r="J90" s="7">
        <v>0</v>
      </c>
      <c r="K90" s="132" t="str">
        <f t="shared" si="35"/>
        <v>4037/4038</v>
      </c>
      <c r="L90" s="24" t="str">
        <f>VLOOKUP(A90,'Trips&amp;Operators'!$C$1:$E$10000,3,FALSE)</f>
        <v>BRUDER</v>
      </c>
      <c r="M90" s="6">
        <f t="shared" si="36"/>
        <v>2.6539351849351078E-2</v>
      </c>
      <c r="N90" s="7">
        <f t="shared" si="50"/>
        <v>38.216666663065553</v>
      </c>
      <c r="O90" s="7"/>
      <c r="P90" s="7"/>
      <c r="Q90" s="25"/>
      <c r="R90" s="25"/>
      <c r="S90" s="37">
        <f t="shared" si="51"/>
        <v>1</v>
      </c>
      <c r="T90" s="52" t="str">
        <f t="shared" si="37"/>
        <v>Southbound</v>
      </c>
      <c r="U90" s="12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https://search-rtdc-monitor-bjffxe2xuh6vdkpspy63sjmuny.us-east-1.es.amazonaws.com/_plugin/kibana/#/discover/Steve-Slow-Train-Analysis-(2080s-and-2083s)?_g=(refreshInterval:(display:Off,section:0,value:0),time:(from:'2016-09-04 13:05:53-0600',mode:absolute,to:'2016-09-04 15:49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90" s="54" t="str">
        <f t="shared" si="39"/>
        <v>N</v>
      </c>
      <c r="X90" s="120">
        <f t="shared" si="40"/>
        <v>1</v>
      </c>
      <c r="Y90" s="69">
        <f t="shared" si="41"/>
        <v>23.297999999999998</v>
      </c>
      <c r="Z90" s="69">
        <f t="shared" si="42"/>
        <v>1.49E-2</v>
      </c>
      <c r="AA90" s="69">
        <f t="shared" si="43"/>
        <v>23.283099999999997</v>
      </c>
      <c r="AB90" s="66" t="e">
        <f>VLOOKUP(A90,Enforcements!$C$7:$J$21,8,0)</f>
        <v>#N/A</v>
      </c>
      <c r="AC90" s="62" t="e">
        <f>VLOOKUP(A90,Enforcements!$C$7:$E$21,3,0)</f>
        <v>#N/A</v>
      </c>
      <c r="AD90" s="63" t="str">
        <f t="shared" si="44"/>
        <v>0178-04</v>
      </c>
      <c r="AE90" s="99" t="str">
        <f t="shared" si="45"/>
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</c>
      <c r="AF90" s="96" t="str">
        <f t="shared" si="46"/>
        <v>"C:\Program Files (x86)\AstroGrep\AstroGrep.exe" /spath="%USERPROFILE%\AppData\Local\Temp\OnboardLogs" /stypes="*4037*20160904*" /stext=" 20:.+((SYSTEM_STATE.+slice.+state.+changed )|(ment ac)|(system.+state.+changed )|(\|lc)|(penalty)|(\[timeout)|(PRM\|1\|D)|(kpr)|(kdp))" /e /r /s</v>
      </c>
      <c r="AG90" s="1" t="str">
        <f t="shared" si="47"/>
        <v>EC</v>
      </c>
      <c r="AH90" s="100" t="str">
        <f t="shared" si="48"/>
        <v>"%USERPROFILE%\Documents\GitHub\eaglep3\Utilities\RefineRTDCRunTimes.py" --tripid 178-04 --locoid 4037 --swversion DE.1.0.7.0 --startMP 204:232980 --initTime 2016-09-04T14:05:53 --startdatetime 2016-09-04T14:11:17 --delay 1 --endMP 204:149 --enddatetime 2016-09-04T14:49:30 --enforcementcount 0 &gt;&gt;C:\Users\stu\Documents\GitHub\eaglep3-reporting\EC\2016-09-04-refined-times.txt</v>
      </c>
      <c r="AI90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{"issue":{"subject":"","project_id":79,"tracker_id":40,"status_id":1,"priority_id":2,"assigned_to_id":23,"start_date":"2016-09-04","description":"","custom_fields":[{"id":1,"name":"Subdivision","value":"EC"},{"id":4,"name":"Milepost","value":"23.2831"},{"id":17,"name":"Train ID","value":"178-04"},{"id":16,"name":"Locomotive ID","value":"4037"},{"id":130,"name":"Impact","value":""},{"id":150,"name":"Time of Event (Mountain Time)","value":"14:49:30"},{"id":151,"name":"Denver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23" customFormat="1" x14ac:dyDescent="0.25">
      <c r="A91" s="39" t="s">
        <v>466</v>
      </c>
      <c r="B91" s="7">
        <v>4002</v>
      </c>
      <c r="C91" s="24" t="s">
        <v>112</v>
      </c>
      <c r="D91" s="24" t="s">
        <v>172</v>
      </c>
      <c r="E91" s="15">
        <v>42617.56082175926</v>
      </c>
      <c r="F91" s="15">
        <v>42617.564791666664</v>
      </c>
      <c r="G91" s="7">
        <v>1</v>
      </c>
      <c r="H91" s="15" t="s">
        <v>341</v>
      </c>
      <c r="I91" s="15">
        <v>42617.590914351851</v>
      </c>
      <c r="J91" s="7">
        <v>0</v>
      </c>
      <c r="K91" s="132" t="str">
        <f t="shared" si="35"/>
        <v>4001/4002</v>
      </c>
      <c r="L91" s="24" t="str">
        <f>VLOOKUP(A91,'Trips&amp;Operators'!$C$1:$E$10000,3,FALSE)</f>
        <v>MOSES</v>
      </c>
      <c r="M91" s="6">
        <f t="shared" si="36"/>
        <v>2.6122685187146999E-2</v>
      </c>
      <c r="N91" s="7">
        <f t="shared" si="50"/>
        <v>37.616666669491678</v>
      </c>
      <c r="O91" s="7"/>
      <c r="P91" s="7"/>
      <c r="Q91" s="25"/>
      <c r="R91" s="25"/>
      <c r="S91" s="37">
        <f t="shared" si="51"/>
        <v>1</v>
      </c>
      <c r="T91" s="52" t="str">
        <f t="shared" si="37"/>
        <v>NorthBound</v>
      </c>
      <c r="U91" s="12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https://search-rtdc-monitor-bjffxe2xuh6vdkpspy63sjmuny.us-east-1.es.amazonaws.com/_plugin/kibana/#/discover/Steve-Slow-Train-Analysis-(2080s-and-2083s)?_g=(refreshInterval:(display:Off,section:0,value:0),time:(from:'2016-09-04 12:27:35-0600',mode:absolute,to:'2016-09-04 15:10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91" s="54" t="str">
        <f t="shared" si="39"/>
        <v>N</v>
      </c>
      <c r="X91" s="120">
        <f t="shared" si="40"/>
        <v>1</v>
      </c>
      <c r="Y91" s="69">
        <f t="shared" si="41"/>
        <v>4.4699999999999997E-2</v>
      </c>
      <c r="Z91" s="69">
        <f t="shared" si="42"/>
        <v>23.331</v>
      </c>
      <c r="AA91" s="69">
        <f t="shared" si="43"/>
        <v>23.286300000000001</v>
      </c>
      <c r="AB91" s="66" t="e">
        <f>VLOOKUP(A91,Enforcements!$C$7:$J$21,8,0)</f>
        <v>#N/A</v>
      </c>
      <c r="AC91" s="62" t="e">
        <f>VLOOKUP(A91,Enforcements!$C$7:$E$21,3,0)</f>
        <v>#N/A</v>
      </c>
      <c r="AD91" s="63" t="str">
        <f t="shared" si="44"/>
        <v>0179-04</v>
      </c>
      <c r="AE91" s="99" t="str">
        <f t="shared" si="45"/>
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</c>
      <c r="AF91" s="96" t="str">
        <f t="shared" si="46"/>
        <v>"C:\Program Files (x86)\AstroGrep\AstroGrep.exe" /spath="%USERPROFILE%\AppData\Local\Temp\OnboardLogs" /stypes="*4002*20160904*" /stext=" 20:.+((SYSTEM_STATE.+slice.+state.+changed )|(ment ac)|(system.+state.+changed )|(\|lc)|(penalty)|(\[timeout)|(PRM\|1\|D)|(kpr)|(kdp))" /e /r /s</v>
      </c>
      <c r="AG91" s="1" t="str">
        <f t="shared" si="47"/>
        <v>EC</v>
      </c>
      <c r="AH91" s="100" t="str">
        <f t="shared" si="48"/>
        <v>"%USERPROFILE%\Documents\GitHub\eaglep3\Utilities\RefineRTDCRunTimes.py" --tripid 179-04 --locoid 4002 --swversion DE.1.0.7.0 --startMP 204:447 --initTime 2016-09-04T13:27:35 --startdatetime 2016-09-04T13:33:18 --delay 1 --endMP 204:233310 --enddatetime 2016-09-04T14:10:55 --enforcementcount 0 &gt;&gt;C:\Users\stu\Documents\GitHub\eaglep3-reporting\EC\2016-09-04-refined-times.txt</v>
      </c>
      <c r="AI91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{"issue":{"subject":"","project_id":79,"tracker_id":40,"status_id":1,"priority_id":2,"assigned_to_id":23,"start_date":"2016-09-04","description":"","custom_fields":[{"id":1,"name":"Subdivision","value":"EC"},{"id":4,"name":"Milepost","value":"23.2863"},{"id":17,"name":"Train ID","value":"179-04"},{"id":16,"name":"Locomotive ID","value":"4002"},{"id":130,"name":"Impact","value":""},{"id":150,"name":"Time of Event (Mountain Time)","value":"14:10:55"},{"id":151,"name":"Denver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x14ac:dyDescent="0.25">
      <c r="A92" s="39" t="s">
        <v>475</v>
      </c>
      <c r="B92" s="7">
        <v>4001</v>
      </c>
      <c r="C92" s="24" t="s">
        <v>112</v>
      </c>
      <c r="D92" s="24" t="s">
        <v>571</v>
      </c>
      <c r="E92" s="15">
        <v>42617.597280092596</v>
      </c>
      <c r="F92" s="15">
        <v>42617.601840277777</v>
      </c>
      <c r="G92" s="7">
        <v>1</v>
      </c>
      <c r="H92" s="15" t="s">
        <v>250</v>
      </c>
      <c r="I92" s="15">
        <v>42617.630439814813</v>
      </c>
      <c r="J92" s="7">
        <v>0</v>
      </c>
      <c r="K92" s="132" t="str">
        <f t="shared" si="35"/>
        <v>4001/4002</v>
      </c>
      <c r="L92" s="24" t="str">
        <f>VLOOKUP(A92,'Trips&amp;Operators'!$C$1:$E$10000,3,FALSE)</f>
        <v>MOSES</v>
      </c>
      <c r="M92" s="6">
        <f t="shared" si="36"/>
        <v>2.8599537035916001E-2</v>
      </c>
      <c r="N92" s="7">
        <f t="shared" si="50"/>
        <v>41.183333331719041</v>
      </c>
      <c r="O92" s="7"/>
      <c r="P92" s="7"/>
      <c r="Q92" s="25"/>
      <c r="R92" s="25"/>
      <c r="S92" s="37">
        <f t="shared" si="51"/>
        <v>1</v>
      </c>
      <c r="T92" s="52" t="str">
        <f t="shared" si="37"/>
        <v>Southbound</v>
      </c>
      <c r="U92" s="12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https://search-rtdc-monitor-bjffxe2xuh6vdkpspy63sjmuny.us-east-1.es.amazonaws.com/_plugin/kibana/#/discover/Steve-Slow-Train-Analysis-(2080s-and-2083s)?_g=(refreshInterval:(display:Off,section:0,value:0),time:(from:'2016-09-04 13:20:05-0600',mode:absolute,to:'2016-09-04 16:07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92" s="54" t="str">
        <f t="shared" si="39"/>
        <v>N</v>
      </c>
      <c r="X92" s="120">
        <f t="shared" si="40"/>
        <v>1</v>
      </c>
      <c r="Y92" s="69">
        <f t="shared" si="41"/>
        <v>23.297899999999998</v>
      </c>
      <c r="Z92" s="69">
        <f t="shared" si="42"/>
        <v>1.38E-2</v>
      </c>
      <c r="AA92" s="69">
        <f t="shared" si="43"/>
        <v>23.284099999999999</v>
      </c>
      <c r="AB92" s="66" t="e">
        <f>VLOOKUP(A92,Enforcements!$C$7:$J$21,8,0)</f>
        <v>#N/A</v>
      </c>
      <c r="AC92" s="62" t="e">
        <f>VLOOKUP(A92,Enforcements!$C$7:$E$21,3,0)</f>
        <v>#N/A</v>
      </c>
      <c r="AD92" s="63" t="str">
        <f t="shared" si="44"/>
        <v>0180-04</v>
      </c>
      <c r="AE92" s="99" t="str">
        <f t="shared" si="45"/>
        <v>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 &amp; 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</v>
      </c>
      <c r="AF92" s="96" t="str">
        <f t="shared" si="46"/>
        <v>"C:\Program Files (x86)\AstroGrep\AstroGrep.exe" /spath="%USERPROFILE%\AppData\Local\Temp\OnboardLogs" /stypes="*4001*20160904*" /stext=" 21:.+((SYSTEM_STATE.+slice.+state.+changed )|(ment ac)|(system.+state.+changed )|(\|lc)|(penalty)|(\[timeout)|(PRM\|1\|D)|(kpr)|(kdp))" /e /r /s</v>
      </c>
      <c r="AG92" s="1" t="str">
        <f t="shared" si="47"/>
        <v>EC</v>
      </c>
      <c r="AH92" s="100" t="str">
        <f t="shared" si="48"/>
        <v>"%USERPROFILE%\Documents\GitHub\eaglep3\Utilities\RefineRTDCRunTimes.py" --tripid 180-04 --locoid 4001 --swversion DE.1.0.7.0 --startMP 204:232979 --initTime 2016-09-04T14:20:05 --startdatetime 2016-09-04T14:26:39 --delay 1 --endMP 204:138 --enddatetime 2016-09-04T15:07:50 --enforcementcount 0 &gt;&gt;C:\Users\stu\Documents\GitHub\eaglep3-reporting\EC\2016-09-04-refined-times.txt</v>
      </c>
      <c r="AI92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{"issue":{"subject":"","project_id":79,"tracker_id":40,"status_id":1,"priority_id":2,"assigned_to_id":23,"start_date":"2016-09-04","description":"","custom_fields":[{"id":1,"name":"Subdivision","value":"EC"},{"id":4,"name":"Milepost","value":"23.2841"},{"id":17,"name":"Train ID","value":"180-04"},{"id":16,"name":"Locomotive ID","value":"4001"},{"id":130,"name":"Impact","value":""},{"id":150,"name":"Time of Event (Mountain Time)","value":"15:07:50"},{"id":151,"name":"Denver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x14ac:dyDescent="0.25">
      <c r="A93" s="39" t="s">
        <v>469</v>
      </c>
      <c r="B93" s="7">
        <v>4046</v>
      </c>
      <c r="C93" s="24" t="s">
        <v>112</v>
      </c>
      <c r="D93" s="24" t="s">
        <v>235</v>
      </c>
      <c r="E93" s="15">
        <v>42617.576550925929</v>
      </c>
      <c r="F93" s="15">
        <v>42617.578263888892</v>
      </c>
      <c r="G93" s="7">
        <v>1</v>
      </c>
      <c r="H93" s="15" t="s">
        <v>603</v>
      </c>
      <c r="I93" s="15">
        <v>42617.604583333334</v>
      </c>
      <c r="J93" s="7">
        <v>0</v>
      </c>
      <c r="K93" s="132" t="str">
        <f t="shared" si="35"/>
        <v>4045/4046</v>
      </c>
      <c r="L93" s="24" t="str">
        <f>VLOOKUP(A93,'Trips&amp;Operators'!$C$1:$E$10000,3,FALSE)</f>
        <v>YOUNG</v>
      </c>
      <c r="M93" s="6">
        <f t="shared" si="36"/>
        <v>2.6319444441469386E-2</v>
      </c>
      <c r="N93" s="7">
        <f t="shared" si="50"/>
        <v>37.899999995715916</v>
      </c>
      <c r="O93" s="7"/>
      <c r="P93" s="7"/>
      <c r="Q93" s="25"/>
      <c r="R93" s="25"/>
      <c r="S93" s="37">
        <f t="shared" si="51"/>
        <v>1</v>
      </c>
      <c r="T93" s="52" t="str">
        <f t="shared" si="37"/>
        <v>NorthBound</v>
      </c>
      <c r="U93" s="12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https://search-rtdc-monitor-bjffxe2xuh6vdkpspy63sjmuny.us-east-1.es.amazonaws.com/_plugin/kibana/#/discover/Steve-Slow-Train-Analysis-(2080s-and-2083s)?_g=(refreshInterval:(display:Off,section:0,value:0),time:(from:'2016-09-04 12:50:14-0600',mode:absolute,to:'2016-09-04 15:30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</c>
      <c r="W93" s="54" t="str">
        <f t="shared" si="39"/>
        <v>N</v>
      </c>
      <c r="X93" s="120">
        <f t="shared" si="40"/>
        <v>1</v>
      </c>
      <c r="Y93" s="69">
        <f t="shared" si="41"/>
        <v>4.7500000000000001E-2</v>
      </c>
      <c r="Z93" s="69">
        <f t="shared" si="42"/>
        <v>23.331099999999999</v>
      </c>
      <c r="AA93" s="69">
        <f t="shared" si="43"/>
        <v>23.2836</v>
      </c>
      <c r="AB93" s="66" t="e">
        <f>VLOOKUP(A93,Enforcements!$C$7:$J$21,8,0)</f>
        <v>#N/A</v>
      </c>
      <c r="AC93" s="62" t="e">
        <f>VLOOKUP(A93,Enforcements!$C$7:$E$21,3,0)</f>
        <v>#N/A</v>
      </c>
      <c r="AD93" s="63" t="str">
        <f t="shared" si="44"/>
        <v>0181-04</v>
      </c>
      <c r="AE93" s="99" t="str">
        <f t="shared" si="45"/>
        <v>aws s3 cp s3://rtdc.mdm.uploadarchive/RTDC4046/2016-09-04/ "%USERPROFILE%\AppData\Local\Temp\OnboardLogs"\RTDC4046\2016-09-04 --recursive &amp; "%USERPROFILE%\Documents\GitHub\mrs-test-scripts\Headless Mode &amp; Sideloading\WalkAndUnGZ.bat" "%USERPROFILE%\AppData\Local\Temp\OnboardLogs"\RTDC4046\2016-09-04 &amp; 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</v>
      </c>
      <c r="AF93" s="96" t="str">
        <f t="shared" si="46"/>
        <v>"C:\Program Files (x86)\AstroGrep\AstroGrep.exe" /spath="%USERPROFILE%\AppData\Local\Temp\OnboardLogs" /stypes="*4046*20160904*" /stext=" 20:.+((SYSTEM_STATE.+slice.+state.+changed )|(ment ac)|(system.+state.+changed )|(\|lc)|(penalty)|(\[timeout)|(PRM\|1\|D)|(kpr)|(kdp))" /e /r /s</v>
      </c>
      <c r="AG93" s="1" t="str">
        <f t="shared" si="47"/>
        <v>EC</v>
      </c>
      <c r="AH93" s="100" t="str">
        <f t="shared" si="48"/>
        <v>"%USERPROFILE%\Documents\GitHub\eaglep3\Utilities\RefineRTDCRunTimes.py" --tripid 181-04 --locoid 4046 --swversion DE.1.0.7.0 --startMP 204:475 --initTime 2016-09-04T13:50:14 --startdatetime 2016-09-04T13:52:42 --delay 1 --endMP 204:233311 --enddatetime 2016-09-04T14:30:36 --enforcementcount 0 &gt;&gt;C:\Users\stu\Documents\GitHub\eaglep3-reporting\EC\2016-09-04-refined-times.txt</v>
      </c>
      <c r="AI93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{"issue":{"subject":"","project_id":79,"tracker_id":40,"status_id":1,"priority_id":2,"assigned_to_id":23,"start_date":"2016-09-04","description":"","custom_fields":[{"id":1,"name":"Subdivision","value":"EC"},{"id":4,"name":"Milepost","value":"23.2836"},{"id":17,"name":"Train ID","value":"181-04"},{"id":16,"name":"Locomotive ID","value":"4046"},{"id":130,"name":"Impact","value":""},{"id":150,"name":"Time of Event (Mountain Time)","value":"14:30:36"},{"id":151,"name":"Denver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x14ac:dyDescent="0.25">
      <c r="A94" s="39" t="s">
        <v>477</v>
      </c>
      <c r="B94" s="7">
        <v>4045</v>
      </c>
      <c r="C94" s="24" t="s">
        <v>112</v>
      </c>
      <c r="D94" s="24" t="s">
        <v>293</v>
      </c>
      <c r="E94" s="15">
        <v>42617.606585648151</v>
      </c>
      <c r="F94" s="15">
        <v>42617.612546296295</v>
      </c>
      <c r="G94" s="7">
        <v>1</v>
      </c>
      <c r="H94" s="15" t="s">
        <v>360</v>
      </c>
      <c r="I94" s="15">
        <v>42617.641087962962</v>
      </c>
      <c r="J94" s="7">
        <v>0</v>
      </c>
      <c r="K94" s="132" t="str">
        <f t="shared" si="35"/>
        <v>4045/4046</v>
      </c>
      <c r="L94" s="24" t="str">
        <f>VLOOKUP(A94,'Trips&amp;Operators'!$C$1:$E$10000,3,FALSE)</f>
        <v>YOUNG</v>
      </c>
      <c r="M94" s="6">
        <f t="shared" si="36"/>
        <v>2.8541666666569654E-2</v>
      </c>
      <c r="N94" s="7">
        <f t="shared" si="50"/>
        <v>41.099999999860302</v>
      </c>
      <c r="O94" s="7"/>
      <c r="P94" s="7"/>
      <c r="Q94" s="25"/>
      <c r="R94" s="25"/>
      <c r="S94" s="37">
        <f t="shared" si="51"/>
        <v>1</v>
      </c>
      <c r="T94" s="52" t="str">
        <f t="shared" si="37"/>
        <v>Southbound</v>
      </c>
      <c r="U94" s="12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https://search-rtdc-monitor-bjffxe2xuh6vdkpspy63sjmuny.us-east-1.es.amazonaws.com/_plugin/kibana/#/discover/Steve-Slow-Train-Analysis-(2080s-and-2083s)?_g=(refreshInterval:(display:Off,section:0,value:0),time:(from:'2016-09-04 13:33:29-0600',mode:absolute,to:'2016-09-04 16:23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W94" s="54" t="str">
        <f t="shared" si="39"/>
        <v>N</v>
      </c>
      <c r="X94" s="120">
        <f t="shared" si="40"/>
        <v>1</v>
      </c>
      <c r="Y94" s="69">
        <f t="shared" si="41"/>
        <v>23.2986</v>
      </c>
      <c r="Z94" s="69">
        <f t="shared" si="42"/>
        <v>1.7399999999999999E-2</v>
      </c>
      <c r="AA94" s="69">
        <f t="shared" si="43"/>
        <v>23.281200000000002</v>
      </c>
      <c r="AB94" s="66" t="e">
        <f>VLOOKUP(A94,Enforcements!$C$7:$J$21,8,0)</f>
        <v>#N/A</v>
      </c>
      <c r="AC94" s="62" t="e">
        <f>VLOOKUP(A94,Enforcements!$C$7:$E$21,3,0)</f>
        <v>#N/A</v>
      </c>
      <c r="AD94" s="63" t="str">
        <f t="shared" si="44"/>
        <v>0182-04</v>
      </c>
      <c r="AE94" s="99" t="str">
        <f t="shared" si="45"/>
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</c>
      <c r="AF94" s="96" t="str">
        <f t="shared" si="46"/>
        <v>"C:\Program Files (x86)\AstroGrep\AstroGrep.exe" /spath="%USERPROFILE%\AppData\Local\Temp\OnboardLogs" /stypes="*4045*20160904*" /stext=" 21:.+((SYSTEM_STATE.+slice.+state.+changed )|(ment ac)|(system.+state.+changed )|(\|lc)|(penalty)|(\[timeout)|(PRM\|1\|D)|(kpr)|(kdp))" /e /r /s</v>
      </c>
      <c r="AG94" s="1" t="str">
        <f t="shared" si="47"/>
        <v>EC</v>
      </c>
      <c r="AH94" s="100" t="str">
        <f t="shared" si="48"/>
        <v>"%USERPROFILE%\Documents\GitHub\eaglep3\Utilities\RefineRTDCRunTimes.py" --tripid 182-04 --locoid 4045 --swversion DE.1.0.7.0 --startMP 204:232986 --initTime 2016-09-04T14:33:29 --startdatetime 2016-09-04T14:42:04 --delay 1 --endMP 204:174 --enddatetime 2016-09-04T15:23:10 --enforcementcount 0 &gt;&gt;C:\Users\stu\Documents\GitHub\eaglep3-reporting\EC\2016-09-04-refined-times.txt</v>
      </c>
      <c r="AI94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{"issue":{"subject":"","project_id":79,"tracker_id":40,"status_id":1,"priority_id":2,"assigned_to_id":23,"start_date":"2016-09-04","description":"","custom_fields":[{"id":1,"name":"Subdivision","value":"EC"},{"id":4,"name":"Milepost","value":"23.2812"},{"id":17,"name":"Train ID","value":"182-04"},{"id":16,"name":"Locomotive ID","value":"4045"},{"id":130,"name":"Impact","value":""},{"id":150,"name":"Time of Event (Mountain Time)","value":"15:23:10"},{"id":151,"name":"Denver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x14ac:dyDescent="0.25">
      <c r="A95" s="39" t="s">
        <v>470</v>
      </c>
      <c r="B95" s="7">
        <v>4009</v>
      </c>
      <c r="C95" s="24" t="s">
        <v>112</v>
      </c>
      <c r="D95" s="24" t="s">
        <v>623</v>
      </c>
      <c r="E95" s="15">
        <v>42617.58222222222</v>
      </c>
      <c r="F95" s="15">
        <v>42617.584467592591</v>
      </c>
      <c r="G95" s="7">
        <v>1</v>
      </c>
      <c r="H95" s="15" t="s">
        <v>344</v>
      </c>
      <c r="I95" s="15">
        <v>42617.610937500001</v>
      </c>
      <c r="J95" s="7">
        <v>0</v>
      </c>
      <c r="K95" s="132" t="str">
        <f t="shared" si="35"/>
        <v>4009/4010</v>
      </c>
      <c r="L95" s="24" t="str">
        <f>VLOOKUP(A95,'Trips&amp;Operators'!$C$1:$E$10000,3,FALSE)</f>
        <v>CLARK</v>
      </c>
      <c r="M95" s="6">
        <f t="shared" si="36"/>
        <v>2.6469907410501037E-2</v>
      </c>
      <c r="N95" s="7">
        <f t="shared" si="50"/>
        <v>38.116666671121493</v>
      </c>
      <c r="O95" s="7"/>
      <c r="P95" s="7"/>
      <c r="Q95" s="25"/>
      <c r="R95" s="25"/>
      <c r="S95" s="37">
        <f t="shared" si="51"/>
        <v>1</v>
      </c>
      <c r="T95" s="52" t="str">
        <f t="shared" si="37"/>
        <v>NorthBound</v>
      </c>
      <c r="U95" s="12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https://search-rtdc-monitor-bjffxe2xuh6vdkpspy63sjmuny.us-east-1.es.amazonaws.com/_plugin/kibana/#/discover/Steve-Slow-Train-Analysis-(2080s-and-2083s)?_g=(refreshInterval:(display:Off,section:0,value:0),time:(from:'2016-09-04 12:58:24-0600',mode:absolute,to:'2016-09-04 15:39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95" s="54" t="str">
        <f t="shared" si="39"/>
        <v>N</v>
      </c>
      <c r="X95" s="120">
        <f t="shared" si="40"/>
        <v>1</v>
      </c>
      <c r="Y95" s="69">
        <f t="shared" si="41"/>
        <v>4.8899999999999999E-2</v>
      </c>
      <c r="Z95" s="69">
        <f t="shared" si="42"/>
        <v>23.3325</v>
      </c>
      <c r="AA95" s="69">
        <f t="shared" si="43"/>
        <v>23.2836</v>
      </c>
      <c r="AB95" s="66" t="e">
        <f>VLOOKUP(A95,Enforcements!$C$7:$J$21,8,0)</f>
        <v>#N/A</v>
      </c>
      <c r="AC95" s="62" t="e">
        <f>VLOOKUP(A95,Enforcements!$C$7:$E$21,3,0)</f>
        <v>#N/A</v>
      </c>
      <c r="AD95" s="63" t="str">
        <f t="shared" si="44"/>
        <v>0183-04</v>
      </c>
      <c r="AE95" s="99" t="str">
        <f t="shared" si="45"/>
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</c>
      <c r="AF95" s="96" t="str">
        <f t="shared" si="46"/>
        <v>"C:\Program Files (x86)\AstroGrep\AstroGrep.exe" /spath="%USERPROFILE%\AppData\Local\Temp\OnboardLogs" /stypes="*4009*20160904*" /stext=" 20:.+((SYSTEM_STATE.+slice.+state.+changed )|(ment ac)|(system.+state.+changed )|(\|lc)|(penalty)|(\[timeout)|(PRM\|1\|D)|(kpr)|(kdp))" /e /r /s</v>
      </c>
      <c r="AG95" s="1" t="str">
        <f t="shared" si="47"/>
        <v>EC</v>
      </c>
      <c r="AH95" s="100" t="str">
        <f t="shared" si="48"/>
        <v>"%USERPROFILE%\Documents\GitHub\eaglep3\Utilities\RefineRTDCRunTimes.py" --tripid 183-04 --locoid 4009 --swversion DE.1.0.7.0 --startMP 204:489 --initTime 2016-09-04T13:58:24 --startdatetime 2016-09-04T14:01:38 --delay 1 --endMP 204:233325 --enddatetime 2016-09-04T14:39:45 --enforcementcount 0 &gt;&gt;C:\Users\stu\Documents\GitHub\eaglep3-reporting\EC\2016-09-04-refined-times.txt</v>
      </c>
      <c r="AI95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{"issue":{"subject":"","project_id":79,"tracker_id":40,"status_id":1,"priority_id":2,"assigned_to_id":23,"start_date":"2016-09-04","description":"","custom_fields":[{"id":1,"name":"Subdivision","value":"EC"},{"id":4,"name":"Milepost","value":"23.2836"},{"id":17,"name":"Train ID","value":"183-04"},{"id":16,"name":"Locomotive ID","value":"4009"},{"id":130,"name":"Impact","value":""},{"id":150,"name":"Time of Event (Mountain Time)","value":"14:39:45"},{"id":151,"name":"Denver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x14ac:dyDescent="0.25">
      <c r="A96" s="39" t="s">
        <v>480</v>
      </c>
      <c r="B96" s="7">
        <v>4010</v>
      </c>
      <c r="C96" s="24" t="s">
        <v>112</v>
      </c>
      <c r="D96" s="24" t="s">
        <v>292</v>
      </c>
      <c r="E96" s="15">
        <v>42617.6174537037</v>
      </c>
      <c r="F96" s="15">
        <v>42617.622430555559</v>
      </c>
      <c r="G96" s="7">
        <v>1</v>
      </c>
      <c r="H96" s="15" t="s">
        <v>164</v>
      </c>
      <c r="I96" s="15">
        <v>42617.65053240741</v>
      </c>
      <c r="J96" s="7">
        <v>0</v>
      </c>
      <c r="K96" s="132" t="str">
        <f t="shared" si="35"/>
        <v>4009/4010</v>
      </c>
      <c r="L96" s="24" t="str">
        <f>VLOOKUP(A96,'Trips&amp;Operators'!$C$1:$E$10000,3,FALSE)</f>
        <v>CLARK</v>
      </c>
      <c r="M96" s="6">
        <f t="shared" si="36"/>
        <v>2.810185185080627E-2</v>
      </c>
      <c r="N96" s="7">
        <f t="shared" si="50"/>
        <v>40.466666665161029</v>
      </c>
      <c r="O96" s="7"/>
      <c r="P96" s="7"/>
      <c r="Q96" s="25"/>
      <c r="R96" s="25"/>
      <c r="S96" s="37">
        <f t="shared" si="51"/>
        <v>1</v>
      </c>
      <c r="T96" s="52" t="str">
        <f t="shared" si="37"/>
        <v>Southbound</v>
      </c>
      <c r="U96" s="12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https://search-rtdc-monitor-bjffxe2xuh6vdkpspy63sjmuny.us-east-1.es.amazonaws.com/_plugin/kibana/#/discover/Steve-Slow-Train-Analysis-(2080s-and-2083s)?_g=(refreshInterval:(display:Off,section:0,value:0),time:(from:'2016-09-04 13:49:08-0600',mode:absolute,to:'2016-09-04 16:36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96" s="54" t="str">
        <f t="shared" si="39"/>
        <v>N</v>
      </c>
      <c r="X96" s="120">
        <f t="shared" si="40"/>
        <v>1</v>
      </c>
      <c r="Y96" s="69">
        <f t="shared" si="41"/>
        <v>23.3002</v>
      </c>
      <c r="Z96" s="69">
        <f t="shared" si="42"/>
        <v>1.52E-2</v>
      </c>
      <c r="AA96" s="69">
        <f t="shared" si="43"/>
        <v>23.285</v>
      </c>
      <c r="AB96" s="66" t="e">
        <f>VLOOKUP(A96,Enforcements!$C$7:$J$21,8,0)</f>
        <v>#N/A</v>
      </c>
      <c r="AC96" s="62" t="e">
        <f>VLOOKUP(A96,Enforcements!$C$7:$E$21,3,0)</f>
        <v>#N/A</v>
      </c>
      <c r="AD96" s="63" t="str">
        <f t="shared" si="44"/>
        <v>0184-04</v>
      </c>
      <c r="AE96" s="99" t="str">
        <f t="shared" si="45"/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AF96" s="96" t="str">
        <f t="shared" si="46"/>
        <v>"C:\Program Files (x86)\AstroGrep\AstroGrep.exe" /spath="%USERPROFILE%\AppData\Local\Temp\OnboardLogs" /stypes="*4010*20160904*" /stext=" 21:.+((SYSTEM_STATE.+slice.+state.+changed )|(ment ac)|(system.+state.+changed )|(\|lc)|(penalty)|(\[timeout)|(PRM\|1\|D)|(kpr)|(kdp))" /e /r /s</v>
      </c>
      <c r="AG96" s="1" t="str">
        <f t="shared" si="47"/>
        <v>EC</v>
      </c>
      <c r="AH96" s="100" t="str">
        <f t="shared" si="48"/>
        <v>"%USERPROFILE%\Documents\GitHub\eaglep3\Utilities\RefineRTDCRunTimes.py" --tripid 184-04 --locoid 4010 --swversion DE.1.0.7.0 --startMP 204:233002 --initTime 2016-09-04T14:49:08 --startdatetime 2016-09-04T14:56:18 --delay 1 --endMP 204:152 --enddatetime 2016-09-04T15:36:46 --enforcementcount 0 &gt;&gt;C:\Users\stu\Documents\GitHub\eaglep3-reporting\EC\2016-09-04-refined-times.txt</v>
      </c>
      <c r="AI96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{"issue":{"subject":"","project_id":79,"tracker_id":40,"status_id":1,"priority_id":2,"assigned_to_id":23,"start_date":"2016-09-04","description":"","custom_fields":[{"id":1,"name":"Subdivision","value":"EC"},{"id":4,"name":"Milepost","value":"23.285"},{"id":17,"name":"Train ID","value":"184-04"},{"id":16,"name":"Locomotive ID","value":"4010"},{"id":130,"name":"Impact","value":""},{"id":150,"name":"Time of Event (Mountain Time)","value":"15:36:46"},{"id":151,"name":"Denver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x14ac:dyDescent="0.25">
      <c r="A97" s="39" t="s">
        <v>474</v>
      </c>
      <c r="B97" s="7">
        <v>4016</v>
      </c>
      <c r="C97" s="24" t="s">
        <v>112</v>
      </c>
      <c r="D97" s="24" t="s">
        <v>578</v>
      </c>
      <c r="E97" s="15">
        <v>42617.593206018515</v>
      </c>
      <c r="F97" s="15">
        <v>42617.594965277778</v>
      </c>
      <c r="G97" s="7">
        <v>1</v>
      </c>
      <c r="H97" s="15" t="s">
        <v>626</v>
      </c>
      <c r="I97" s="15">
        <v>42617.62027777778</v>
      </c>
      <c r="J97" s="7">
        <v>0</v>
      </c>
      <c r="K97" s="132" t="str">
        <f t="shared" si="35"/>
        <v>4015/4016</v>
      </c>
      <c r="L97" s="24" t="str">
        <f>VLOOKUP(A97,'Trips&amp;Operators'!$C$1:$E$10000,3,FALSE)</f>
        <v>SHOOK</v>
      </c>
      <c r="M97" s="6">
        <f t="shared" si="36"/>
        <v>2.531250000174623E-2</v>
      </c>
      <c r="N97" s="7">
        <f t="shared" si="50"/>
        <v>36.450000002514571</v>
      </c>
      <c r="O97" s="7"/>
      <c r="P97" s="7"/>
      <c r="Q97" s="25"/>
      <c r="R97" s="25"/>
      <c r="S97" s="37">
        <f t="shared" si="51"/>
        <v>1</v>
      </c>
      <c r="T97" s="52" t="str">
        <f t="shared" si="37"/>
        <v>NorthBound</v>
      </c>
      <c r="U97" s="12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https://search-rtdc-monitor-bjffxe2xuh6vdkpspy63sjmuny.us-east-1.es.amazonaws.com/_plugin/kibana/#/discover/Steve-Slow-Train-Analysis-(2080s-and-2083s)?_g=(refreshInterval:(display:Off,section:0,value:0),time:(from:'2016-09-04 13:14:13-0600',mode:absolute,to:'2016-09-04 15:53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97" s="54" t="str">
        <f t="shared" si="39"/>
        <v>N</v>
      </c>
      <c r="X97" s="120">
        <f t="shared" si="40"/>
        <v>1</v>
      </c>
      <c r="Y97" s="69">
        <f t="shared" si="41"/>
        <v>4.6199999999999998E-2</v>
      </c>
      <c r="Z97" s="69">
        <f t="shared" si="42"/>
        <v>23.335699999999999</v>
      </c>
      <c r="AA97" s="69">
        <f t="shared" si="43"/>
        <v>23.2895</v>
      </c>
      <c r="AB97" s="66" t="e">
        <f>VLOOKUP(A97,Enforcements!$C$7:$J$21,8,0)</f>
        <v>#N/A</v>
      </c>
      <c r="AC97" s="62" t="e">
        <f>VLOOKUP(A97,Enforcements!$C$7:$E$21,3,0)</f>
        <v>#N/A</v>
      </c>
      <c r="AD97" s="63" t="str">
        <f t="shared" si="44"/>
        <v>0185-04</v>
      </c>
      <c r="AE97" s="99" t="str">
        <f t="shared" si="45"/>
        <v>aws s3 cp s3://rtdc.mdm.uploadarchive/RTDC4016/2016-09-04/ "%USERPROFILE%\AppData\Local\Temp\OnboardLogs"\RTDC4016\2016-09-04 --recursive &amp; "%USERPROFILE%\Documents\GitHub\mrs-test-scripts\Headless Mode &amp; Sideloading\WalkAndUnGZ.bat" "%USERPROFILE%\AppData\Local\Temp\OnboardLogs"\RTDC4016\2016-09-04 &amp; 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</v>
      </c>
      <c r="AF97" s="96" t="str">
        <f t="shared" si="46"/>
        <v>"C:\Program Files (x86)\AstroGrep\AstroGrep.exe" /spath="%USERPROFILE%\AppData\Local\Temp\OnboardLogs" /stypes="*4016*20160904*" /stext=" 20:.+((SYSTEM_STATE.+slice.+state.+changed )|(ment ac)|(system.+state.+changed )|(\|lc)|(penalty)|(\[timeout)|(PRM\|1\|D)|(kpr)|(kdp))" /e /r /s</v>
      </c>
      <c r="AG97" s="1" t="str">
        <f t="shared" si="47"/>
        <v>EC</v>
      </c>
      <c r="AH97" s="100" t="str">
        <f t="shared" si="48"/>
        <v>"%USERPROFILE%\Documents\GitHub\eaglep3\Utilities\RefineRTDCRunTimes.py" --tripid 185-04 --locoid 4016 --swversion DE.1.0.7.0 --startMP 204:462 --initTime 2016-09-04T14:14:13 --startdatetime 2016-09-04T14:16:45 --delay 1 --endMP 204:233357 --enddatetime 2016-09-04T14:53:12 --enforcementcount 0 &gt;&gt;C:\Users\stu\Documents\GitHub\eaglep3-reporting\EC\2016-09-04-refined-times.txt</v>
      </c>
      <c r="AI97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{"issue":{"subject":"","project_id":79,"tracker_id":40,"status_id":1,"priority_id":2,"assigned_to_id":23,"start_date":"2016-09-04","description":"","custom_fields":[{"id":1,"name":"Subdivision","value":"EC"},{"id":4,"name":"Milepost","value":"23.2895"},{"id":17,"name":"Train ID","value":"185-04"},{"id":16,"name":"Locomotive ID","value":"4016"},{"id":130,"name":"Impact","value":""},{"id":150,"name":"Time of Event (Mountain Time)","value":"14:53:12"},{"id":151,"name":"Denver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476</v>
      </c>
      <c r="B98" s="7">
        <v>4031</v>
      </c>
      <c r="C98" s="24" t="s">
        <v>112</v>
      </c>
      <c r="D98" s="24" t="s">
        <v>233</v>
      </c>
      <c r="E98" s="15">
        <v>42617.602407407408</v>
      </c>
      <c r="F98" s="15">
        <v>42617.604456018518</v>
      </c>
      <c r="G98" s="7">
        <v>1</v>
      </c>
      <c r="H98" s="15" t="s">
        <v>343</v>
      </c>
      <c r="I98" s="15">
        <v>42617.629629629628</v>
      </c>
      <c r="J98" s="7">
        <v>0</v>
      </c>
      <c r="K98" s="132" t="str">
        <f t="shared" si="35"/>
        <v>4031/4032</v>
      </c>
      <c r="L98" s="24" t="str">
        <f>VLOOKUP(A98,'Trips&amp;Operators'!$C$1:$E$10000,3,FALSE)</f>
        <v>STEWART</v>
      </c>
      <c r="M98" s="6">
        <f t="shared" si="36"/>
        <v>2.5173611109494232E-2</v>
      </c>
      <c r="N98" s="7">
        <f t="shared" si="50"/>
        <v>36.249999997671694</v>
      </c>
      <c r="O98" s="7"/>
      <c r="P98" s="7"/>
      <c r="Q98" s="25"/>
      <c r="R98" s="25"/>
      <c r="S98" s="37">
        <f t="shared" si="51"/>
        <v>1</v>
      </c>
      <c r="T98" s="52" t="str">
        <f t="shared" si="37"/>
        <v>NorthBound</v>
      </c>
      <c r="U98" s="12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https://search-rtdc-monitor-bjffxe2xuh6vdkpspy63sjmuny.us-east-1.es.amazonaws.com/_plugin/kibana/#/discover/Steve-Slow-Train-Analysis-(2080s-and-2083s)?_g=(refreshInterval:(display:Off,section:0,value:0),time:(from:'2016-09-04 13:27:28-0600',mode:absolute,to:'2016-09-04 16:06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98" s="54" t="str">
        <f t="shared" si="39"/>
        <v>N</v>
      </c>
      <c r="X98" s="120">
        <f t="shared" si="40"/>
        <v>2</v>
      </c>
      <c r="Y98" s="69">
        <f t="shared" si="41"/>
        <v>4.6600000000000003E-2</v>
      </c>
      <c r="Z98" s="69">
        <f t="shared" si="42"/>
        <v>23.335899999999999</v>
      </c>
      <c r="AA98" s="69">
        <f t="shared" si="43"/>
        <v>23.289299999999997</v>
      </c>
      <c r="AB98" s="66" t="e">
        <f>VLOOKUP(A98,Enforcements!$C$7:$J$21,8,0)</f>
        <v>#N/A</v>
      </c>
      <c r="AC98" s="62" t="e">
        <f>VLOOKUP(A98,Enforcements!$C$7:$E$21,3,0)</f>
        <v>#N/A</v>
      </c>
      <c r="AD98" s="63" t="str">
        <f t="shared" si="44"/>
        <v>0187-04</v>
      </c>
      <c r="AE98" s="99" t="str">
        <f t="shared" si="45"/>
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</c>
      <c r="AF98" s="96" t="str">
        <f t="shared" si="46"/>
        <v>"C:\Program Files (x86)\AstroGrep\AstroGrep.exe" /spath="%USERPROFILE%\AppData\Local\Temp\OnboardLogs" /stypes="*4031*20160904*" /stext=" 21:.+((SYSTEM_STATE.+slice.+state.+changed )|(ment ac)|(system.+state.+changed )|(\|lc)|(penalty)|(\[timeout)|(PRM\|1\|D)|(kpr)|(kdp))" /e /r /s</v>
      </c>
      <c r="AG98" s="1" t="str">
        <f t="shared" si="47"/>
        <v>EC</v>
      </c>
      <c r="AH98" s="100" t="str">
        <f t="shared" si="48"/>
        <v>"%USERPROFILE%\Documents\GitHub\eaglep3\Utilities\RefineRTDCRunTimes.py" --tripid 187-04 --locoid 4031 --swversion DE.1.0.7.0 --startMP 204:466 --initTime 2016-09-04T14:27:28 --startdatetime 2016-09-04T14:30:25 --delay 1 --endMP 204:233359 --enddatetime 2016-09-04T15:06:40 --enforcementcount 0 &gt;&gt;C:\Users\stu\Documents\GitHub\eaglep3-reporting\EC\2016-09-04-refined-times.txt</v>
      </c>
      <c r="AI98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{"issue":{"subject":"","project_id":79,"tracker_id":40,"status_id":1,"priority_id":2,"assigned_to_id":23,"start_date":"2016-09-04","description":"","custom_fields":[{"id":1,"name":"Subdivision","value":"EC"},{"id":4,"name":"Milepost","value":"23.2893"},{"id":17,"name":"Train ID","value":"187-04"},{"id":16,"name":"Locomotive ID","value":"4031"},{"id":130,"name":"Impact","value":""},{"id":150,"name":"Time of Event (Mountain Time)","value":"15:06:40"},{"id":151,"name":"Denver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485</v>
      </c>
      <c r="B99" s="7">
        <v>4032</v>
      </c>
      <c r="C99" s="24" t="s">
        <v>112</v>
      </c>
      <c r="D99" s="24" t="s">
        <v>627</v>
      </c>
      <c r="E99" s="15">
        <v>42617.641886574071</v>
      </c>
      <c r="F99" s="15">
        <v>42617.643599537034</v>
      </c>
      <c r="G99" s="7">
        <v>1</v>
      </c>
      <c r="H99" s="15" t="s">
        <v>171</v>
      </c>
      <c r="I99" s="15">
        <v>42617.669745370367</v>
      </c>
      <c r="J99" s="7">
        <v>0</v>
      </c>
      <c r="K99" s="132" t="str">
        <f t="shared" si="35"/>
        <v>4031/4032</v>
      </c>
      <c r="L99" s="24" t="str">
        <f>VLOOKUP(A99,'Trips&amp;Operators'!$C$1:$E$10000,3,FALSE)</f>
        <v>STEWART</v>
      </c>
      <c r="M99" s="6">
        <f t="shared" si="36"/>
        <v>2.6145833333430346E-2</v>
      </c>
      <c r="N99" s="7">
        <f t="shared" si="50"/>
        <v>37.650000000139698</v>
      </c>
      <c r="O99" s="7"/>
      <c r="P99" s="7"/>
      <c r="Q99" s="25"/>
      <c r="R99" s="25"/>
      <c r="S99" s="37">
        <f t="shared" si="51"/>
        <v>1</v>
      </c>
      <c r="T99" s="52" t="str">
        <f t="shared" si="37"/>
        <v>Southbound</v>
      </c>
      <c r="U99" s="12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https://search-rtdc-monitor-bjffxe2xuh6vdkpspy63sjmuny.us-east-1.es.amazonaws.com/_plugin/kibana/#/discover/Steve-Slow-Train-Analysis-(2080s-and-2083s)?_g=(refreshInterval:(display:Off,section:0,value:0),time:(from:'2016-09-04 14:24:19-0600',mode:absolute,to:'2016-09-04 17:04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99" s="54" t="str">
        <f t="shared" si="39"/>
        <v>N</v>
      </c>
      <c r="X99" s="120">
        <f t="shared" si="40"/>
        <v>1</v>
      </c>
      <c r="Y99" s="69">
        <f t="shared" si="41"/>
        <v>23.3049</v>
      </c>
      <c r="Z99" s="69">
        <f t="shared" si="42"/>
        <v>1.4500000000000001E-2</v>
      </c>
      <c r="AA99" s="69">
        <f t="shared" si="43"/>
        <v>23.290399999999998</v>
      </c>
      <c r="AB99" s="66" t="e">
        <f>VLOOKUP(A99,Enforcements!$C$7:$J$21,8,0)</f>
        <v>#N/A</v>
      </c>
      <c r="AC99" s="62" t="e">
        <f>VLOOKUP(A99,Enforcements!$C$7:$E$21,3,0)</f>
        <v>#N/A</v>
      </c>
      <c r="AD99" s="63" t="str">
        <f t="shared" si="44"/>
        <v>0188-04</v>
      </c>
      <c r="AE99" s="99" t="str">
        <f t="shared" si="45"/>
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</c>
      <c r="AF99" s="96" t="str">
        <f t="shared" si="46"/>
        <v>"C:\Program Files (x86)\AstroGrep\AstroGrep.exe" /spath="%USERPROFILE%\AppData\Local\Temp\OnboardLogs" /stypes="*4032*20160904*" /stext=" 22:.+((SYSTEM_STATE.+slice.+state.+changed )|(ment ac)|(system.+state.+changed )|(\|lc)|(penalty)|(\[timeout)|(PRM\|1\|D)|(kpr)|(kdp))" /e /r /s</v>
      </c>
      <c r="AG99" s="1" t="str">
        <f t="shared" si="47"/>
        <v>EC</v>
      </c>
      <c r="AH99" s="100" t="str">
        <f t="shared" si="48"/>
        <v>"%USERPROFILE%\Documents\GitHub\eaglep3\Utilities\RefineRTDCRunTimes.py" --tripid 188-04 --locoid 4032 --swversion DE.1.0.7.0 --startMP 204:233049 --initTime 2016-09-04T15:24:19 --startdatetime 2016-09-04T15:26:47 --delay 1 --endMP 204:145 --enddatetime 2016-09-04T16:04:26 --enforcementcount 0 &gt;&gt;C:\Users\stu\Documents\GitHub\eaglep3-reporting\EC\2016-09-04-refined-times.txt</v>
      </c>
      <c r="AI99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{"issue":{"subject":"","project_id":79,"tracker_id":40,"status_id":1,"priority_id":2,"assigned_to_id":23,"start_date":"2016-09-04","description":"","custom_fields":[{"id":1,"name":"Subdivision","value":"EC"},{"id":4,"name":"Milepost","value":"23.2904"},{"id":17,"name":"Train ID","value":"188-04"},{"id":16,"name":"Locomotive ID","value":"4032"},{"id":130,"name":"Impact","value":""},{"id":150,"name":"Time of Event (Mountain Time)","value":"16:04:26"},{"id":151,"name":"Denver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479</v>
      </c>
      <c r="B100" s="7">
        <v>4018</v>
      </c>
      <c r="C100" s="24" t="s">
        <v>112</v>
      </c>
      <c r="D100" s="24" t="s">
        <v>231</v>
      </c>
      <c r="E100" s="15">
        <v>42617.613680555558</v>
      </c>
      <c r="F100" s="15">
        <v>42617.615393518521</v>
      </c>
      <c r="G100" s="7">
        <v>1</v>
      </c>
      <c r="H100" s="15" t="s">
        <v>628</v>
      </c>
      <c r="I100" s="15">
        <v>42617.640428240738</v>
      </c>
      <c r="J100" s="7">
        <v>0</v>
      </c>
      <c r="K100" s="132" t="str">
        <f t="shared" si="35"/>
        <v>4017/4018</v>
      </c>
      <c r="L100" s="24" t="str">
        <f>VLOOKUP(A100,'Trips&amp;Operators'!$C$1:$E$10000,3,FALSE)</f>
        <v>BARTLETT</v>
      </c>
      <c r="M100" s="6">
        <f t="shared" si="36"/>
        <v>2.5034722217242233E-2</v>
      </c>
      <c r="N100" s="7">
        <f t="shared" si="50"/>
        <v>36.049999992828816</v>
      </c>
      <c r="O100" s="7"/>
      <c r="P100" s="7"/>
      <c r="Q100" s="25"/>
      <c r="R100" s="25"/>
      <c r="S100" s="37">
        <f t="shared" si="51"/>
        <v>1</v>
      </c>
      <c r="T100" s="52" t="str">
        <f t="shared" si="37"/>
        <v>NorthBound</v>
      </c>
      <c r="U100" s="12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https://search-rtdc-monitor-bjffxe2xuh6vdkpspy63sjmuny.us-east-1.es.amazonaws.com/_plugin/kibana/#/discover/Steve-Slow-Train-Analysis-(2080s-and-2083s)?_g=(refreshInterval:(display:Off,section:0,value:0),time:(from:'2016-09-04 13:43:42-0600',mode:absolute,to:'2016-09-04 16:22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00" s="54" t="str">
        <f t="shared" si="39"/>
        <v>N</v>
      </c>
      <c r="X100" s="120">
        <f t="shared" si="40"/>
        <v>1</v>
      </c>
      <c r="Y100" s="69">
        <f t="shared" si="41"/>
        <v>4.58E-2</v>
      </c>
      <c r="Z100" s="69">
        <f t="shared" si="42"/>
        <v>23.333600000000001</v>
      </c>
      <c r="AA100" s="69">
        <f t="shared" si="43"/>
        <v>23.287800000000001</v>
      </c>
      <c r="AB100" s="66" t="e">
        <f>VLOOKUP(A100,Enforcements!$C$7:$J$21,8,0)</f>
        <v>#N/A</v>
      </c>
      <c r="AC100" s="62" t="e">
        <f>VLOOKUP(A100,Enforcements!$C$7:$E$21,3,0)</f>
        <v>#N/A</v>
      </c>
      <c r="AD100" s="63" t="str">
        <f t="shared" si="44"/>
        <v>0189-04</v>
      </c>
      <c r="AE100" s="99" t="str">
        <f t="shared" si="45"/>
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</c>
      <c r="AF100" s="96" t="str">
        <f t="shared" si="46"/>
        <v>"C:\Program Files (x86)\AstroGrep\AstroGrep.exe" /spath="%USERPROFILE%\AppData\Local\Temp\OnboardLogs" /stypes="*4018*20160904*" /stext=" 21:.+((SYSTEM_STATE.+slice.+state.+changed )|(ment ac)|(system.+state.+changed )|(\|lc)|(penalty)|(\[timeout)|(PRM\|1\|D)|(kpr)|(kdp))" /e /r /s</v>
      </c>
      <c r="AG100" s="1" t="str">
        <f t="shared" si="47"/>
        <v>EC</v>
      </c>
      <c r="AH100" s="100" t="str">
        <f t="shared" si="48"/>
        <v>"%USERPROFILE%\Documents\GitHub\eaglep3\Utilities\RefineRTDCRunTimes.py" --tripid 189-04 --locoid 4018 --swversion DE.1.0.7.0 --startMP 204:458 --initTime 2016-09-04T14:43:42 --startdatetime 2016-09-04T14:46:10 --delay 1 --endMP 204:233336 --enddatetime 2016-09-04T15:22:13 --enforcementcount 0 &gt;&gt;C:\Users\stu\Documents\GitHub\eaglep3-reporting\EC\2016-09-04-refined-times.txt</v>
      </c>
      <c r="AI100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{"issue":{"subject":"","project_id":79,"tracker_id":40,"status_id":1,"priority_id":2,"assigned_to_id":23,"start_date":"2016-09-04","description":"","custom_fields":[{"id":1,"name":"Subdivision","value":"EC"},{"id":4,"name":"Milepost","value":"23.2878"},{"id":17,"name":"Train ID","value":"189-04"},{"id":16,"name":"Locomotive ID","value":"4018"},{"id":130,"name":"Impact","value":""},{"id":150,"name":"Time of Event (Mountain Time)","value":"15:22:13"},{"id":151,"name":"Denver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488</v>
      </c>
      <c r="B101" s="7">
        <v>4017</v>
      </c>
      <c r="C101" s="24" t="s">
        <v>112</v>
      </c>
      <c r="D101" s="24" t="s">
        <v>629</v>
      </c>
      <c r="E101" s="15">
        <v>42617.650752314818</v>
      </c>
      <c r="F101" s="15">
        <v>42617.653865740744</v>
      </c>
      <c r="G101" s="7">
        <v>1</v>
      </c>
      <c r="H101" s="15" t="s">
        <v>253</v>
      </c>
      <c r="I101" s="15">
        <v>42617.681354166663</v>
      </c>
      <c r="J101" s="7">
        <v>0</v>
      </c>
      <c r="K101" s="132" t="str">
        <f t="shared" si="35"/>
        <v>4017/4018</v>
      </c>
      <c r="L101" s="24" t="str">
        <f>VLOOKUP(A101,'Trips&amp;Operators'!$C$1:$E$10000,3,FALSE)</f>
        <v>BARTLETT</v>
      </c>
      <c r="M101" s="6">
        <f t="shared" si="36"/>
        <v>2.7488425919727888E-2</v>
      </c>
      <c r="N101" s="7">
        <f t="shared" si="50"/>
        <v>39.583333324408159</v>
      </c>
      <c r="O101" s="7"/>
      <c r="P101" s="7"/>
      <c r="Q101" s="25"/>
      <c r="R101" s="25"/>
      <c r="S101" s="37">
        <f t="shared" si="51"/>
        <v>1</v>
      </c>
      <c r="T101" s="52" t="str">
        <f t="shared" si="37"/>
        <v>Southbound</v>
      </c>
      <c r="U101" s="12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https://search-rtdc-monitor-bjffxe2xuh6vdkpspy63sjmuny.us-east-1.es.amazonaws.com/_plugin/kibana/#/discover/Steve-Slow-Train-Analysis-(2080s-and-2083s)?_g=(refreshInterval:(display:Off,section:0,value:0),time:(from:'2016-09-04 14:37:05-0600',mode:absolute,to:'2016-09-04 17:21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01" s="54" t="str">
        <f t="shared" si="39"/>
        <v>N</v>
      </c>
      <c r="X101" s="120">
        <f t="shared" si="40"/>
        <v>1</v>
      </c>
      <c r="Y101" s="69">
        <f t="shared" si="41"/>
        <v>23.301500000000001</v>
      </c>
      <c r="Z101" s="69">
        <f t="shared" si="42"/>
        <v>1.4999999999999999E-2</v>
      </c>
      <c r="AA101" s="69">
        <f t="shared" si="43"/>
        <v>23.2865</v>
      </c>
      <c r="AB101" s="66" t="e">
        <f>VLOOKUP(A101,Enforcements!$C$7:$J$21,8,0)</f>
        <v>#N/A</v>
      </c>
      <c r="AC101" s="62" t="e">
        <f>VLOOKUP(A101,Enforcements!$C$7:$E$21,3,0)</f>
        <v>#N/A</v>
      </c>
      <c r="AD101" s="63" t="str">
        <f t="shared" si="44"/>
        <v>0190-04</v>
      </c>
      <c r="AE101" s="99" t="str">
        <f t="shared" si="45"/>
        <v>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 &amp; 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</v>
      </c>
      <c r="AF101" s="96" t="str">
        <f t="shared" si="46"/>
        <v>"C:\Program Files (x86)\AstroGrep\AstroGrep.exe" /spath="%USERPROFILE%\AppData\Local\Temp\OnboardLogs" /stypes="*4017*20160904*" /stext=" 22:.+((SYSTEM_STATE.+slice.+state.+changed )|(ment ac)|(system.+state.+changed )|(\|lc)|(penalty)|(\[timeout)|(PRM\|1\|D)|(kpr)|(kdp))" /e /r /s</v>
      </c>
      <c r="AG101" s="1" t="str">
        <f t="shared" si="47"/>
        <v>EC</v>
      </c>
      <c r="AH101" s="100" t="str">
        <f t="shared" si="48"/>
        <v>"%USERPROFILE%\Documents\GitHub\eaglep3\Utilities\RefineRTDCRunTimes.py" --tripid 190-04 --locoid 4017 --swversion DE.1.0.7.0 --startMP 204:233015 --initTime 2016-09-04T15:37:05 --startdatetime 2016-09-04T15:41:34 --delay 1 --endMP 204:150 --enddatetime 2016-09-04T16:21:09 --enforcementcount 0 &gt;&gt;C:\Users\stu\Documents\GitHub\eaglep3-reporting\EC\2016-09-04-refined-times.txt</v>
      </c>
      <c r="AI101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{"issue":{"subject":"","project_id":79,"tracker_id":40,"status_id":1,"priority_id":2,"assigned_to_id":23,"start_date":"2016-09-04","description":"","custom_fields":[{"id":1,"name":"Subdivision","value":"EC"},{"id":4,"name":"Milepost","value":"23.2865"},{"id":17,"name":"Train ID","value":"190-04"},{"id":16,"name":"Locomotive ID","value":"4017"},{"id":130,"name":"Impact","value":""},{"id":150,"name":"Time of Event (Mountain Time)","value":"16:21:09"},{"id":151,"name":"Denver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481</v>
      </c>
      <c r="B102" s="7">
        <v>4038</v>
      </c>
      <c r="C102" s="24" t="s">
        <v>112</v>
      </c>
      <c r="D102" s="24" t="s">
        <v>175</v>
      </c>
      <c r="E102" s="15">
        <v>42617.619710648149</v>
      </c>
      <c r="F102" s="15">
        <v>42617.625162037039</v>
      </c>
      <c r="G102" s="7">
        <v>1</v>
      </c>
      <c r="H102" s="15" t="s">
        <v>234</v>
      </c>
      <c r="I102" s="15">
        <v>42617.649525462963</v>
      </c>
      <c r="J102" s="7">
        <v>0</v>
      </c>
      <c r="K102" s="132" t="str">
        <f t="shared" si="35"/>
        <v>4037/4038</v>
      </c>
      <c r="L102" s="24" t="str">
        <f>VLOOKUP(A102,'Trips&amp;Operators'!$C$1:$E$10000,3,FALSE)</f>
        <v>BRUDER</v>
      </c>
      <c r="M102" s="6">
        <f t="shared" si="36"/>
        <v>2.4363425924093463E-2</v>
      </c>
      <c r="N102" s="7">
        <f t="shared" si="50"/>
        <v>35.083333330694586</v>
      </c>
      <c r="O102" s="7"/>
      <c r="P102" s="7"/>
      <c r="Q102" s="25"/>
      <c r="R102" s="25"/>
      <c r="S102" s="37">
        <f t="shared" si="51"/>
        <v>1</v>
      </c>
      <c r="T102" s="52" t="str">
        <f t="shared" si="37"/>
        <v>NorthBound</v>
      </c>
      <c r="U102" s="12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https://search-rtdc-monitor-bjffxe2xuh6vdkpspy63sjmuny.us-east-1.es.amazonaws.com/_plugin/kibana/#/discover/Steve-Slow-Train-Analysis-(2080s-and-2083s)?_g=(refreshInterval:(display:Off,section:0,value:0),time:(from:'2016-09-04 13:52:23-0600',mode:absolute,to:'2016-09-04 16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02" s="54" t="str">
        <f t="shared" si="39"/>
        <v>N</v>
      </c>
      <c r="X102" s="120">
        <f t="shared" si="40"/>
        <v>1</v>
      </c>
      <c r="Y102" s="69">
        <f t="shared" si="41"/>
        <v>4.5999999999999999E-2</v>
      </c>
      <c r="Z102" s="69">
        <f t="shared" si="42"/>
        <v>23.329699999999999</v>
      </c>
      <c r="AA102" s="69">
        <f t="shared" si="43"/>
        <v>23.2837</v>
      </c>
      <c r="AB102" s="66" t="e">
        <f>VLOOKUP(A102,Enforcements!$C$7:$J$21,8,0)</f>
        <v>#N/A</v>
      </c>
      <c r="AC102" s="62" t="e">
        <f>VLOOKUP(A102,Enforcements!$C$7:$E$21,3,0)</f>
        <v>#N/A</v>
      </c>
      <c r="AD102" s="63" t="str">
        <f t="shared" si="44"/>
        <v>0191-04</v>
      </c>
      <c r="AE102" s="99" t="str">
        <f t="shared" si="45"/>
        <v>aws s3 cp s3://rtdc.mdm.uploadarchive/RTDC4038/2016-09-04/ "%USERPROFILE%\AppData\Local\Temp\OnboardLogs"\RTDC4038\2016-09-04 --recursive &amp; "%USERPROFILE%\Documents\GitHub\mrs-test-scripts\Headless Mode &amp; Sideloading\WalkAndUnGZ.bat" "%USERPROFILE%\AppData\Local\Temp\OnboardLogs"\RTDC4038\2016-09-04 &amp; 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</v>
      </c>
      <c r="AF102" s="96" t="str">
        <f t="shared" si="46"/>
        <v>"C:\Program Files (x86)\AstroGrep\AstroGrep.exe" /spath="%USERPROFILE%\AppData\Local\Temp\OnboardLogs" /stypes="*4038*20160904*" /stext=" 21:.+((SYSTEM_STATE.+slice.+state.+changed )|(ment ac)|(system.+state.+changed )|(\|lc)|(penalty)|(\[timeout)|(PRM\|1\|D)|(kpr)|(kdp))" /e /r /s</v>
      </c>
      <c r="AG102" s="1" t="str">
        <f t="shared" si="47"/>
        <v>EC</v>
      </c>
      <c r="AH102" s="100" t="str">
        <f t="shared" si="48"/>
        <v>"%USERPROFILE%\Documents\GitHub\eaglep3\Utilities\RefineRTDCRunTimes.py" --tripid 191-04 --locoid 4038 --swversion DE.1.0.7.0 --startMP 204:460 --initTime 2016-09-04T14:52:23 --startdatetime 2016-09-04T15:00:14 --delay 1 --endMP 204:233297 --enddatetime 2016-09-04T15:35:19 --enforcementcount 0 &gt;&gt;C:\Users\stu\Documents\GitHub\eaglep3-reporting\EC\2016-09-04-refined-times.txt</v>
      </c>
      <c r="AI102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{"issue":{"subject":"","project_id":79,"tracker_id":40,"status_id":1,"priority_id":2,"assigned_to_id":23,"start_date":"2016-09-04","description":"","custom_fields":[{"id":1,"name":"Subdivision","value":"EC"},{"id":4,"name":"Milepost","value":"23.2837"},{"id":17,"name":"Train ID","value":"191-04"},{"id":16,"name":"Locomotive ID","value":"4038"},{"id":130,"name":"Impact","value":""},{"id":150,"name":"Time of Event (Mountain Time)","value":"15:35:19"},{"id":151,"name":"Denver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x14ac:dyDescent="0.25">
      <c r="A103" s="39" t="s">
        <v>490</v>
      </c>
      <c r="B103" s="7">
        <v>4037</v>
      </c>
      <c r="C103" s="24" t="s">
        <v>112</v>
      </c>
      <c r="D103" s="24" t="s">
        <v>286</v>
      </c>
      <c r="E103" s="15">
        <v>42617.658576388887</v>
      </c>
      <c r="F103" s="15">
        <v>42617.664189814815</v>
      </c>
      <c r="G103" s="7">
        <v>1</v>
      </c>
      <c r="H103" s="15" t="s">
        <v>250</v>
      </c>
      <c r="I103" s="15">
        <v>42617.691979166666</v>
      </c>
      <c r="J103" s="7">
        <v>0</v>
      </c>
      <c r="K103" s="132" t="str">
        <f t="shared" si="35"/>
        <v>4037/4038</v>
      </c>
      <c r="L103" s="24" t="str">
        <f>VLOOKUP(A103,'Trips&amp;Operators'!$C$1:$E$10000,3,FALSE)</f>
        <v>BRUDER</v>
      </c>
      <c r="M103" s="6">
        <f t="shared" si="36"/>
        <v>2.7789351850515231E-2</v>
      </c>
      <c r="N103" s="7">
        <f t="shared" si="50"/>
        <v>40.016666664741933</v>
      </c>
      <c r="O103" s="7"/>
      <c r="P103" s="7"/>
      <c r="Q103" s="25"/>
      <c r="R103" s="25"/>
      <c r="S103" s="37">
        <f t="shared" si="51"/>
        <v>1</v>
      </c>
      <c r="T103" s="52" t="str">
        <f t="shared" si="37"/>
        <v>Southbound</v>
      </c>
      <c r="U103" s="12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https://search-rtdc-monitor-bjffxe2xuh6vdkpspy63sjmuny.us-east-1.es.amazonaws.com/_plugin/kibana/#/discover/Steve-Slow-Train-Analysis-(2080s-and-2083s)?_g=(refreshInterval:(display:Off,section:0,value:0),time:(from:'2016-09-04 14:48:21-0600',mode:absolute,to:'2016-09-04 17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03" s="54" t="str">
        <f t="shared" si="39"/>
        <v>N</v>
      </c>
      <c r="X103" s="120">
        <f t="shared" si="40"/>
        <v>1</v>
      </c>
      <c r="Y103" s="69">
        <f t="shared" si="41"/>
        <v>23.2987</v>
      </c>
      <c r="Z103" s="69">
        <f t="shared" si="42"/>
        <v>1.38E-2</v>
      </c>
      <c r="AA103" s="69">
        <f t="shared" si="43"/>
        <v>23.2849</v>
      </c>
      <c r="AB103" s="66" t="e">
        <f>VLOOKUP(A103,Enforcements!$C$7:$J$21,8,0)</f>
        <v>#N/A</v>
      </c>
      <c r="AC103" s="62" t="e">
        <f>VLOOKUP(A103,Enforcements!$C$7:$E$21,3,0)</f>
        <v>#N/A</v>
      </c>
      <c r="AD103" s="63" t="str">
        <f t="shared" si="44"/>
        <v>0192-04</v>
      </c>
      <c r="AE103" s="99" t="str">
        <f t="shared" si="45"/>
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</c>
      <c r="AF103" s="96" t="str">
        <f t="shared" si="46"/>
        <v>"C:\Program Files (x86)\AstroGrep\AstroGrep.exe" /spath="%USERPROFILE%\AppData\Local\Temp\OnboardLogs" /stypes="*4037*20160904*" /stext=" 22:.+((SYSTEM_STATE.+slice.+state.+changed )|(ment ac)|(system.+state.+changed )|(\|lc)|(penalty)|(\[timeout)|(PRM\|1\|D)|(kpr)|(kdp))" /e /r /s</v>
      </c>
      <c r="AG103" s="1" t="str">
        <f t="shared" si="47"/>
        <v>EC</v>
      </c>
      <c r="AH103" s="100" t="str">
        <f t="shared" si="48"/>
        <v>"%USERPROFILE%\Documents\GitHub\eaglep3\Utilities\RefineRTDCRunTimes.py" --tripid 192-04 --locoid 4037 --swversion DE.1.0.7.0 --startMP 204:232987 --initTime 2016-09-04T15:48:21 --startdatetime 2016-09-04T15:56:26 --delay 1 --endMP 204:138 --enddatetime 2016-09-04T16:36:27 --enforcementcount 0 &gt;&gt;C:\Users\stu\Documents\GitHub\eaglep3-reporting\EC\2016-09-04-refined-times.txt</v>
      </c>
      <c r="AI103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{"issue":{"subject":"","project_id":79,"tracker_id":40,"status_id":1,"priority_id":2,"assigned_to_id":23,"start_date":"2016-09-04","description":"","custom_fields":[{"id":1,"name":"Subdivision","value":"EC"},{"id":4,"name":"Milepost","value":"23.2849"},{"id":17,"name":"Train ID","value":"192-04"},{"id":16,"name":"Locomotive ID","value":"4037"},{"id":130,"name":"Impact","value":""},{"id":150,"name":"Time of Event (Mountain Time)","value":"16:36:27"},{"id":151,"name":"Denver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484</v>
      </c>
      <c r="B104" s="7">
        <v>4002</v>
      </c>
      <c r="C104" s="24" t="s">
        <v>112</v>
      </c>
      <c r="D104" s="24" t="s">
        <v>134</v>
      </c>
      <c r="E104" s="15">
        <v>42617.632997685185</v>
      </c>
      <c r="F104" s="15">
        <v>42617.635821759257</v>
      </c>
      <c r="G104" s="7">
        <v>3</v>
      </c>
      <c r="H104" s="15" t="s">
        <v>148</v>
      </c>
      <c r="I104" s="15">
        <v>42617.661122685182</v>
      </c>
      <c r="J104" s="7">
        <v>0</v>
      </c>
      <c r="K104" s="132" t="str">
        <f t="shared" si="35"/>
        <v>4001/4002</v>
      </c>
      <c r="L104" s="24" t="str">
        <f>VLOOKUP(A104,'Trips&amp;Operators'!$C$1:$E$10000,3,FALSE)</f>
        <v>MOSES</v>
      </c>
      <c r="M104" s="6">
        <f t="shared" si="36"/>
        <v>2.5300925924966577E-2</v>
      </c>
      <c r="N104" s="7">
        <f t="shared" si="50"/>
        <v>36.433333331951872</v>
      </c>
      <c r="O104" s="7"/>
      <c r="P104" s="7"/>
      <c r="Q104" s="25"/>
      <c r="R104" s="25"/>
      <c r="S104" s="37">
        <f t="shared" si="51"/>
        <v>1</v>
      </c>
      <c r="T104" s="52" t="str">
        <f t="shared" si="37"/>
        <v>NorthBound</v>
      </c>
      <c r="U104" s="12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https://search-rtdc-monitor-bjffxe2xuh6vdkpspy63sjmuny.us-east-1.es.amazonaws.com/_plugin/kibana/#/discover/Steve-Slow-Train-Analysis-(2080s-and-2083s)?_g=(refreshInterval:(display:Off,section:0,value:0),time:(from:'2016-09-04 14:11:31-0600',mode:absolute,to:'2016-09-04 16:52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04" s="54" t="str">
        <f t="shared" si="39"/>
        <v>N</v>
      </c>
      <c r="X104" s="120">
        <f t="shared" si="40"/>
        <v>1</v>
      </c>
      <c r="Y104" s="69">
        <f t="shared" si="41"/>
        <v>4.4900000000000002E-2</v>
      </c>
      <c r="Z104" s="69">
        <f t="shared" si="42"/>
        <v>23.3291</v>
      </c>
      <c r="AA104" s="69">
        <f t="shared" si="43"/>
        <v>23.284200000000002</v>
      </c>
      <c r="AB104" s="66" t="e">
        <f>VLOOKUP(A104,Enforcements!$C$7:$J$21,8,0)</f>
        <v>#N/A</v>
      </c>
      <c r="AC104" s="62" t="e">
        <f>VLOOKUP(A104,Enforcements!$C$7:$E$21,3,0)</f>
        <v>#N/A</v>
      </c>
      <c r="AD104" s="63" t="str">
        <f t="shared" si="44"/>
        <v>0193-04</v>
      </c>
      <c r="AE104" s="99" t="str">
        <f t="shared" si="45"/>
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</c>
      <c r="AF104" s="96" t="str">
        <f t="shared" si="46"/>
        <v>"C:\Program Files (x86)\AstroGrep\AstroGrep.exe" /spath="%USERPROFILE%\AppData\Local\Temp\OnboardLogs" /stypes="*4002*20160904*" /stext=" 21:.+((SYSTEM_STATE.+slice.+state.+changed )|(ment ac)|(system.+state.+changed )|(\|lc)|(penalty)|(\[timeout)|(PRM\|1\|D)|(kpr)|(kdp))" /e /r /s</v>
      </c>
      <c r="AG104" s="1" t="str">
        <f t="shared" si="47"/>
        <v>EC</v>
      </c>
      <c r="AH104" s="100" t="str">
        <f t="shared" si="48"/>
        <v>"%USERPROFILE%\Documents\GitHub\eaglep3\Utilities\RefineRTDCRunTimes.py" --tripid 193-04 --locoid 4002 --swversion DE.1.0.7.0 --startMP 204:449 --initTime 2016-09-04T15:11:31 --startdatetime 2016-09-04T15:15:35 --delay 3 --endMP 204:233291 --enddatetime 2016-09-04T15:52:01 --enforcementcount 0 &gt;&gt;C:\Users\stu\Documents\GitHub\eaglep3-reporting\EC\2016-09-04-refined-times.txt</v>
      </c>
      <c r="AI104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{"issue":{"subject":"","project_id":79,"tracker_id":40,"status_id":1,"priority_id":2,"assigned_to_id":23,"start_date":"2016-09-04","description":"","custom_fields":[{"id":1,"name":"Subdivision","value":"EC"},{"id":4,"name":"Milepost","value":"23.2842"},{"id":17,"name":"Train ID","value":"193-04"},{"id":16,"name":"Locomotive ID","value":"4002"},{"id":130,"name":"Impact","value":""},{"id":150,"name":"Time of Event (Mountain Time)","value":"15:52:01"},{"id":151,"name":"Denver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x14ac:dyDescent="0.25">
      <c r="A105" s="39" t="s">
        <v>492</v>
      </c>
      <c r="B105" s="7">
        <v>4001</v>
      </c>
      <c r="C105" s="24" t="s">
        <v>112</v>
      </c>
      <c r="D105" s="24" t="s">
        <v>588</v>
      </c>
      <c r="E105" s="15">
        <v>42617.67046296296</v>
      </c>
      <c r="F105" s="15">
        <v>42617.674467592595</v>
      </c>
      <c r="G105" s="7">
        <v>1</v>
      </c>
      <c r="H105" s="15" t="s">
        <v>89</v>
      </c>
      <c r="I105" s="15">
        <v>42617.704004629632</v>
      </c>
      <c r="J105" s="7">
        <v>0</v>
      </c>
      <c r="K105" s="132" t="str">
        <f t="shared" si="35"/>
        <v>4001/4002</v>
      </c>
      <c r="L105" s="24" t="str">
        <f>VLOOKUP(A105,'Trips&amp;Operators'!$C$1:$E$10000,3,FALSE)</f>
        <v>MOSES</v>
      </c>
      <c r="M105" s="6">
        <f t="shared" si="36"/>
        <v>2.9537037036789116E-2</v>
      </c>
      <c r="N105" s="7">
        <f t="shared" si="50"/>
        <v>42.533333332976326</v>
      </c>
      <c r="O105" s="7"/>
      <c r="P105" s="7"/>
      <c r="Q105" s="25"/>
      <c r="R105" s="25"/>
      <c r="S105" s="37">
        <f t="shared" si="51"/>
        <v>1</v>
      </c>
      <c r="T105" s="52" t="str">
        <f t="shared" si="37"/>
        <v>Southbound</v>
      </c>
      <c r="U105" s="12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https://search-rtdc-monitor-bjffxe2xuh6vdkpspy63sjmuny.us-east-1.es.amazonaws.com/_plugin/kibana/#/discover/Steve-Slow-Train-Analysis-(2080s-and-2083s)?_g=(refreshInterval:(display:Off,section:0,value:0),time:(from:'2016-09-04 15:05:28-0600',mode:absolute,to:'2016-09-04 17:53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05" s="54" t="str">
        <f t="shared" si="39"/>
        <v>N</v>
      </c>
      <c r="X105" s="120">
        <f t="shared" si="40"/>
        <v>1</v>
      </c>
      <c r="Y105" s="69">
        <f t="shared" si="41"/>
        <v>23.298400000000001</v>
      </c>
      <c r="Z105" s="69">
        <f t="shared" si="42"/>
        <v>1.43E-2</v>
      </c>
      <c r="AA105" s="69">
        <f t="shared" si="43"/>
        <v>23.284100000000002</v>
      </c>
      <c r="AB105" s="66" t="e">
        <f>VLOOKUP(A105,Enforcements!$C$7:$J$21,8,0)</f>
        <v>#N/A</v>
      </c>
      <c r="AC105" s="62" t="e">
        <f>VLOOKUP(A105,Enforcements!$C$7:$E$21,3,0)</f>
        <v>#N/A</v>
      </c>
      <c r="AD105" s="63" t="str">
        <f t="shared" si="44"/>
        <v>0194-04</v>
      </c>
      <c r="AE105" s="99" t="str">
        <f t="shared" si="45"/>
        <v>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 &amp; 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</v>
      </c>
      <c r="AF105" s="96" t="str">
        <f t="shared" si="46"/>
        <v>"C:\Program Files (x86)\AstroGrep\AstroGrep.exe" /spath="%USERPROFILE%\AppData\Local\Temp\OnboardLogs" /stypes="*4001*20160904*" /stext=" 22:.+((SYSTEM_STATE.+slice.+state.+changed )|(ment ac)|(system.+state.+changed )|(\|lc)|(penalty)|(\[timeout)|(PRM\|1\|D)|(kpr)|(kdp))" /e /r /s</v>
      </c>
      <c r="AG105" s="1" t="str">
        <f t="shared" si="47"/>
        <v>EC</v>
      </c>
      <c r="AH105" s="100" t="str">
        <f t="shared" si="48"/>
        <v>"%USERPROFILE%\Documents\GitHub\eaglep3\Utilities\RefineRTDCRunTimes.py" --tripid 194-04 --locoid 4001 --swversion DE.1.0.7.0 --startMP 204:232984 --initTime 2016-09-04T16:05:28 --startdatetime 2016-09-04T16:11:14 --delay 1 --endMP 204:143 --enddatetime 2016-09-04T16:53:46 --enforcementcount 0 &gt;&gt;C:\Users\stu\Documents\GitHub\eaglep3-reporting\EC\2016-09-04-refined-times.txt</v>
      </c>
      <c r="AI105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{"issue":{"subject":"","project_id":79,"tracker_id":40,"status_id":1,"priority_id":2,"assigned_to_id":23,"start_date":"2016-09-04","description":"","custom_fields":[{"id":1,"name":"Subdivision","value":"EC"},{"id":4,"name":"Milepost","value":"23.2841"},{"id":17,"name":"Train ID","value":"194-04"},{"id":16,"name":"Locomotive ID","value":"4001"},{"id":130,"name":"Impact","value":""},{"id":150,"name":"Time of Event (Mountain Time)","value":"16:53:46"},{"id":151,"name":"Denver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486</v>
      </c>
      <c r="B106" s="7">
        <v>4046</v>
      </c>
      <c r="C106" s="24" t="s">
        <v>112</v>
      </c>
      <c r="D106" s="24" t="s">
        <v>290</v>
      </c>
      <c r="E106" s="15">
        <v>42617.642696759256</v>
      </c>
      <c r="F106" s="15">
        <v>42617.646099537036</v>
      </c>
      <c r="G106" s="7">
        <v>1</v>
      </c>
      <c r="H106" s="15" t="s">
        <v>271</v>
      </c>
      <c r="I106" s="15">
        <v>42617.673263888886</v>
      </c>
      <c r="J106" s="7">
        <v>0</v>
      </c>
      <c r="K106" s="132" t="str">
        <f t="shared" si="35"/>
        <v>4045/4046</v>
      </c>
      <c r="L106" s="24" t="str">
        <f>VLOOKUP(A106,'Trips&amp;Operators'!$C$1:$E$10000,3,FALSE)</f>
        <v>YOUNG</v>
      </c>
      <c r="M106" s="6">
        <f t="shared" si="36"/>
        <v>2.7164351849933155E-2</v>
      </c>
      <c r="N106" s="7">
        <f t="shared" si="50"/>
        <v>39.116666663903743</v>
      </c>
      <c r="O106" s="7"/>
      <c r="P106" s="7"/>
      <c r="Q106" s="25"/>
      <c r="R106" s="25"/>
      <c r="S106" s="37">
        <f t="shared" si="51"/>
        <v>1</v>
      </c>
      <c r="T106" s="52" t="str">
        <f t="shared" si="37"/>
        <v>NorthBound</v>
      </c>
      <c r="U106" s="12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https://search-rtdc-monitor-bjffxe2xuh6vdkpspy63sjmuny.us-east-1.es.amazonaws.com/_plugin/kibana/#/discover/Steve-Slow-Train-Analysis-(2080s-and-2083s)?_g=(refreshInterval:(display:Off,section:0,value:0),time:(from:'2016-09-04 14:25:29-0600',mode:absolute,to:'2016-09-04 17:09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</c>
      <c r="W106" s="54" t="str">
        <f t="shared" si="39"/>
        <v>N</v>
      </c>
      <c r="X106" s="120">
        <f t="shared" si="40"/>
        <v>1</v>
      </c>
      <c r="Y106" s="69">
        <f t="shared" si="41"/>
        <v>4.7800000000000002E-2</v>
      </c>
      <c r="Z106" s="69">
        <f t="shared" si="42"/>
        <v>23.331199999999999</v>
      </c>
      <c r="AA106" s="69">
        <f t="shared" si="43"/>
        <v>23.2834</v>
      </c>
      <c r="AB106" s="66" t="e">
        <f>VLOOKUP(A106,Enforcements!$C$7:$J$21,8,0)</f>
        <v>#N/A</v>
      </c>
      <c r="AC106" s="62" t="e">
        <f>VLOOKUP(A106,Enforcements!$C$7:$E$21,3,0)</f>
        <v>#N/A</v>
      </c>
      <c r="AD106" s="63" t="str">
        <f t="shared" si="44"/>
        <v>0195-04</v>
      </c>
      <c r="AE106" s="99" t="str">
        <f t="shared" si="45"/>
        <v>aws s3 cp s3://rtdc.mdm.uploadarchive/RTDC4046/2016-09-04/ "%USERPROFILE%\AppData\Local\Temp\OnboardLogs"\RTDC4046\2016-09-04 --recursive &amp; "%USERPROFILE%\Documents\GitHub\mrs-test-scripts\Headless Mode &amp; Sideloading\WalkAndUnGZ.bat" "%USERPROFILE%\AppData\Local\Temp\OnboardLogs"\RTDC4046\2016-09-04 &amp; 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</v>
      </c>
      <c r="AF106" s="96" t="str">
        <f t="shared" si="46"/>
        <v>"C:\Program Files (x86)\AstroGrep\AstroGrep.exe" /spath="%USERPROFILE%\AppData\Local\Temp\OnboardLogs" /stypes="*4046*20160904*" /stext=" 22:.+((SYSTEM_STATE.+slice.+state.+changed )|(ment ac)|(system.+state.+changed )|(\|lc)|(penalty)|(\[timeout)|(PRM\|1\|D)|(kpr)|(kdp))" /e /r /s</v>
      </c>
      <c r="AG106" s="1" t="str">
        <f t="shared" si="47"/>
        <v>EC</v>
      </c>
      <c r="AH106" s="100" t="str">
        <f t="shared" si="48"/>
        <v>"%USERPROFILE%\Documents\GitHub\eaglep3\Utilities\RefineRTDCRunTimes.py" --tripid 195-04 --locoid 4046 --swversion DE.1.0.7.0 --startMP 204:478 --initTime 2016-09-04T15:25:29 --startdatetime 2016-09-04T15:30:23 --delay 1 --endMP 204:233312 --enddatetime 2016-09-04T16:09:30 --enforcementcount 0 &gt;&gt;C:\Users\stu\Documents\GitHub\eaglep3-reporting\EC\2016-09-04-refined-times.txt</v>
      </c>
      <c r="AI106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{"issue":{"subject":"","project_id":79,"tracker_id":40,"status_id":1,"priority_id":2,"assigned_to_id":23,"start_date":"2016-09-04","description":"","custom_fields":[{"id":1,"name":"Subdivision","value":"EC"},{"id":4,"name":"Milepost","value":"23.2834"},{"id":17,"name":"Train ID","value":"195-04"},{"id":16,"name":"Locomotive ID","value":"4046"},{"id":130,"name":"Impact","value":""},{"id":150,"name":"Time of Event (Mountain Time)","value":"16:09:30"},{"id":151,"name":"Denver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495</v>
      </c>
      <c r="B107" s="7">
        <v>4045</v>
      </c>
      <c r="C107" s="24" t="s">
        <v>112</v>
      </c>
      <c r="D107" s="24" t="s">
        <v>283</v>
      </c>
      <c r="E107" s="15">
        <v>42617.676458333335</v>
      </c>
      <c r="F107" s="15">
        <v>42617.685034722221</v>
      </c>
      <c r="G107" s="7">
        <v>1</v>
      </c>
      <c r="H107" s="15" t="s">
        <v>359</v>
      </c>
      <c r="I107" s="15">
        <v>42617.715798611112</v>
      </c>
      <c r="J107" s="7">
        <v>0</v>
      </c>
      <c r="K107" s="132" t="str">
        <f t="shared" si="35"/>
        <v>4045/4046</v>
      </c>
      <c r="L107" s="24" t="str">
        <f>VLOOKUP(A107,'Trips&amp;Operators'!$C$1:$E$10000,3,FALSE)</f>
        <v>YOUNG</v>
      </c>
      <c r="M107" s="6">
        <f t="shared" si="36"/>
        <v>3.0763888891669922E-2</v>
      </c>
      <c r="N107" s="7">
        <f t="shared" si="50"/>
        <v>44.300000004004687</v>
      </c>
      <c r="O107" s="7"/>
      <c r="P107" s="7"/>
      <c r="Q107" s="25"/>
      <c r="R107" s="25"/>
      <c r="S107" s="37">
        <f t="shared" si="51"/>
        <v>1</v>
      </c>
      <c r="T107" s="52" t="str">
        <f t="shared" si="37"/>
        <v>Southbound</v>
      </c>
      <c r="U107" s="12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38"/>
        <v>https://search-rtdc-monitor-bjffxe2xuh6vdkpspy63sjmuny.us-east-1.es.amazonaws.com/_plugin/kibana/#/discover/Steve-Slow-Train-Analysis-(2080s-and-2083s)?_g=(refreshInterval:(display:Off,section:0,value:0),time:(from:'2016-09-04 15:14:06-0600',mode:absolute,to:'2016-09-04 18:10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W107" s="54" t="str">
        <f t="shared" si="39"/>
        <v>N</v>
      </c>
      <c r="X107" s="120">
        <f t="shared" si="40"/>
        <v>1</v>
      </c>
      <c r="Y107" s="69">
        <f t="shared" si="41"/>
        <v>23.3019</v>
      </c>
      <c r="Z107" s="69">
        <f t="shared" si="42"/>
        <v>2.0299999999999999E-2</v>
      </c>
      <c r="AA107" s="69">
        <f t="shared" si="43"/>
        <v>23.281600000000001</v>
      </c>
      <c r="AB107" s="66" t="e">
        <f>VLOOKUP(A107,Enforcements!$C$7:$J$21,8,0)</f>
        <v>#N/A</v>
      </c>
      <c r="AC107" s="62" t="e">
        <f>VLOOKUP(A107,Enforcements!$C$7:$E$21,3,0)</f>
        <v>#N/A</v>
      </c>
      <c r="AD107" s="63" t="str">
        <f t="shared" si="44"/>
        <v>0196-04</v>
      </c>
      <c r="AE107" s="99" t="str">
        <f t="shared" si="45"/>
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</c>
      <c r="AF107" s="96" t="str">
        <f t="shared" si="46"/>
        <v>"C:\Program Files (x86)\AstroGrep\AstroGrep.exe" /spath="%USERPROFILE%\AppData\Local\Temp\OnboardLogs" /stypes="*4045*20160904*" /stext=" 23:.+((SYSTEM_STATE.+slice.+state.+changed )|(ment ac)|(system.+state.+changed )|(\|lc)|(penalty)|(\[timeout)|(PRM\|1\|D)|(kpr)|(kdp))" /e /r /s</v>
      </c>
      <c r="AG107" s="1" t="str">
        <f t="shared" si="47"/>
        <v>EC</v>
      </c>
      <c r="AH107" s="100" t="str">
        <f t="shared" si="48"/>
        <v>"%USERPROFILE%\Documents\GitHub\eaglep3\Utilities\RefineRTDCRunTimes.py" --tripid 196-04 --locoid 4045 --swversion DE.1.0.7.0 --startMP 204:233019 --initTime 2016-09-04T16:14:06 --startdatetime 2016-09-04T16:26:27 --delay 1 --endMP 204:203 --enddatetime 2016-09-04T17:10:45 --enforcementcount 0 &gt;&gt;C:\Users\stu\Documents\GitHub\eaglep3-reporting\EC\2016-09-04-refined-times.txt</v>
      </c>
      <c r="AI107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{"issue":{"subject":"","project_id":79,"tracker_id":40,"status_id":1,"priority_id":2,"assigned_to_id":23,"start_date":"2016-09-04","description":"","custom_fields":[{"id":1,"name":"Subdivision","value":"EC"},{"id":4,"name":"Milepost","value":"23.2816"},{"id":17,"name":"Train ID","value":"196-04"},{"id":16,"name":"Locomotive ID","value":"4045"},{"id":130,"name":"Impact","value":""},{"id":150,"name":"Time of Event (Mountain Time)","value":"17:10:45"},{"id":151,"name":"Denver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s="23" customFormat="1" x14ac:dyDescent="0.25">
      <c r="A108" s="39" t="s">
        <v>489</v>
      </c>
      <c r="B108" s="7">
        <v>4009</v>
      </c>
      <c r="C108" s="24" t="s">
        <v>112</v>
      </c>
      <c r="D108" s="24" t="s">
        <v>172</v>
      </c>
      <c r="E108" s="15">
        <v>42617.653831018521</v>
      </c>
      <c r="F108" s="15">
        <v>42617.657210648147</v>
      </c>
      <c r="G108" s="7">
        <v>1</v>
      </c>
      <c r="H108" s="15" t="s">
        <v>246</v>
      </c>
      <c r="I108" s="15">
        <v>42617.683194444442</v>
      </c>
      <c r="J108" s="7">
        <v>0</v>
      </c>
      <c r="K108" s="132" t="str">
        <f t="shared" ref="K108:K139" si="52">IF(ISEVEN(B108),(B108-1)&amp;"/"&amp;B108,B108&amp;"/"&amp;(B108+1))</f>
        <v>4009/4010</v>
      </c>
      <c r="L108" s="24" t="str">
        <f>VLOOKUP(A108,'Trips&amp;Operators'!$C$1:$E$10000,3,FALSE)</f>
        <v>CLARK</v>
      </c>
      <c r="M108" s="6">
        <f t="shared" ref="M108:M139" si="53">I108-F108</f>
        <v>2.5983796294895001E-2</v>
      </c>
      <c r="N108" s="7">
        <f t="shared" si="50"/>
        <v>37.416666664648801</v>
      </c>
      <c r="O108" s="7"/>
      <c r="P108" s="7"/>
      <c r="Q108" s="25"/>
      <c r="R108" s="25"/>
      <c r="S108" s="37">
        <f t="shared" si="51"/>
        <v>1</v>
      </c>
      <c r="T108" s="52" t="str">
        <f t="shared" ref="T108:T139" si="54">IF(ISEVEN(LEFT(AD108,4)),"Southbound","NorthBound")</f>
        <v>NorthBound</v>
      </c>
      <c r="U108" s="12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ref="V108:V139" si="55">"https://search-rtdc-monitor-bjffxe2xuh6vdkpspy63sjmuny.us-east-1.es.amazonaws.com/_plugin/kibana/#/discover/Steve-Slow-Train-Analysis-(2080s-and-2083s)?_g=(refreshInterval:(display:Off,section:0,value:0),time:(from:'"&amp;TEXT(E108-1/24,"yyyy-MM-DD hh:mm:ss")&amp;"-0600',mode:absolute,to:'"&amp;TEXT(I108+1/24,"yyyy-MM-DD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108&amp;"%22')),sort:!(Time,asc))"</f>
        <v>https://search-rtdc-monitor-bjffxe2xuh6vdkpspy63sjmuny.us-east-1.es.amazonaws.com/_plugin/kibana/#/discover/Steve-Slow-Train-Analysis-(2080s-and-2083s)?_g=(refreshInterval:(display:Off,section:0,value:0),time:(from:'2016-09-04 14:41:31-0600',mode:absolute,to:'2016-09-04 17:23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08" s="54" t="str">
        <f t="shared" ref="W108:W139" si="56">IF(AA108&lt;IF(AG108="EC",23,5.65),"Y","N")</f>
        <v>N</v>
      </c>
      <c r="X108" s="120">
        <f t="shared" ref="X108:X139" si="57">VALUE(LEFT(AD108,4))-VALUE(LEFT(AD107,4))</f>
        <v>1</v>
      </c>
      <c r="Y108" s="69">
        <f t="shared" ref="Y108:Y139" si="58">RIGHT(D108,LEN(D108)-4)/10000</f>
        <v>4.4699999999999997E-2</v>
      </c>
      <c r="Z108" s="69">
        <f t="shared" ref="Z108:Z139" si="59">RIGHT(H108,LEN(H108)-4)/10000</f>
        <v>23.3307</v>
      </c>
      <c r="AA108" s="69">
        <f t="shared" ref="AA108:AA139" si="60">ABS(Z108-Y108)</f>
        <v>23.286000000000001</v>
      </c>
      <c r="AB108" s="66" t="e">
        <f>VLOOKUP(A108,Enforcements!$C$7:$J$21,8,0)</f>
        <v>#N/A</v>
      </c>
      <c r="AC108" s="62" t="e">
        <f>VLOOKUP(A108,Enforcements!$C$7:$E$21,3,0)</f>
        <v>#N/A</v>
      </c>
      <c r="AD108" s="63" t="str">
        <f t="shared" ref="AD108:AD139" si="61">IF(LEN(A108)=6,"0"&amp;A108,A108)</f>
        <v>0197-04</v>
      </c>
      <c r="AE108" s="99" t="str">
        <f t="shared" ref="AE108:AE139" si="62">"aws s3 cp "&amp;s3_bucket&amp;"/RTDC"&amp;B108&amp;"/"&amp;TEXT(F108,"YYYY-MM-DD")&amp;"/ "&amp;search_path&amp;"\RTDC"&amp;B108&amp;"\"&amp;TEXT(F108,"YYYY-MM-DD")&amp;" --recursive &amp; """&amp;walkandungz&amp;""" "&amp;search_path&amp;"\RTDC"&amp;B108&amp;"\"&amp;TEXT(F108,"YYYY-MM-DD")
&amp;" &amp; "&amp;"aws s3 cp "&amp;s3_bucket&amp;"/RTDC"&amp;B108&amp;"/"&amp;TEXT(F108+1,"YYYY-MM-DD")&amp;"/ "&amp;search_path&amp;"\RTDC"&amp;B108&amp;"\"&amp;TEXT(F108+1,"YYYY-MM-DD")&amp;" --recursive &amp; """&amp;walkandungz&amp;""" "&amp;search_path&amp;"\RTDC"&amp;B108&amp;"\"&amp;TEXT(F108+1,"YYYY-MM-DD")</f>
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</c>
      <c r="AF108" s="96" t="str">
        <f t="shared" ref="AF108:AF139" si="63">astrogrep_path&amp;" /spath="&amp;search_path&amp;" /stypes=""*"&amp;B108&amp;"*"&amp;TEXT(I108-utc_offset/24,"YYYYMMDD")&amp;"*"" /stext="" "&amp;TEXT(I108-utc_offset/24,"HH")&amp;search_regexp&amp;""" /e /r /s"</f>
        <v>"C:\Program Files (x86)\AstroGrep\AstroGrep.exe" /spath="%USERPROFILE%\AppData\Local\Temp\OnboardLogs" /stypes="*4009*20160904*" /stext=" 22:.+((SYSTEM_STATE.+slice.+state.+changed )|(ment ac)|(system.+state.+changed )|(\|lc)|(penalty)|(\[timeout)|(PRM\|1\|D)|(kpr)|(kdp))" /e /r /s</v>
      </c>
      <c r="AG108" s="1" t="str">
        <f t="shared" ref="AG108:AG139" si="64">IFERROR(IF(VALUE(LEFT(AD108,2))&lt;=2,"EC",IF(OR(VALUE(LEFT(AD108,2))=8,VALUE(LEFT(AD108,2))=18),"NW","Other")),"Other")</f>
        <v>EC</v>
      </c>
      <c r="AH108" s="100" t="str">
        <f t="shared" si="48"/>
        <v>"%USERPROFILE%\Documents\GitHub\eaglep3\Utilities\RefineRTDCRunTimes.py" --tripid 197-04 --locoid 4009 --swversion DE.1.0.7.0 --startMP 204:447 --initTime 2016-09-04T15:41:31 --startdatetime 2016-09-04T15:46:23 --delay 1 --endMP 204:233307 --enddatetime 2016-09-04T16:23:48 --enforcementcount 0 &gt;&gt;C:\Users\stu\Documents\GitHub\eaglep3-reporting\EC\2016-09-04-refined-times.txt</v>
      </c>
      <c r="AI108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{"issue":{"subject":"","project_id":79,"tracker_id":40,"status_id":1,"priority_id":2,"assigned_to_id":23,"start_date":"2016-09-04","description":"","custom_fields":[{"id":1,"name":"Subdivision","value":"EC"},{"id":4,"name":"Milepost","value":"23.286"},{"id":17,"name":"Train ID","value":"197-04"},{"id":16,"name":"Locomotive ID","value":"4009"},{"id":130,"name":"Impact","value":""},{"id":150,"name":"Time of Event (Mountain Time)","value":"16:23:48"},{"id":151,"name":"Denver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497</v>
      </c>
      <c r="B109" s="7">
        <v>4010</v>
      </c>
      <c r="C109" s="24" t="s">
        <v>112</v>
      </c>
      <c r="D109" s="24" t="s">
        <v>631</v>
      </c>
      <c r="E109" s="15">
        <v>42617.719097222223</v>
      </c>
      <c r="F109" s="15">
        <v>42617.720995370371</v>
      </c>
      <c r="G109" s="7">
        <v>1</v>
      </c>
      <c r="H109" s="15" t="s">
        <v>135</v>
      </c>
      <c r="I109" s="15">
        <v>42617.739594907405</v>
      </c>
      <c r="J109" s="7">
        <v>0</v>
      </c>
      <c r="K109" s="132" t="str">
        <f t="shared" si="52"/>
        <v>4009/4010</v>
      </c>
      <c r="L109" s="24" t="str">
        <f>VLOOKUP(A109,'Trips&amp;Operators'!$C$1:$E$10000,3,FALSE)</f>
        <v>CLARK</v>
      </c>
      <c r="M109" s="6">
        <f t="shared" si="53"/>
        <v>1.8599537033878732E-2</v>
      </c>
      <c r="N109" s="7"/>
      <c r="O109" s="7"/>
      <c r="P109" s="7">
        <f>24*60*SUM($M109:$M109)</f>
        <v>26.783333328785375</v>
      </c>
      <c r="Q109" s="25"/>
      <c r="R109" s="25" t="s">
        <v>681</v>
      </c>
      <c r="S109" s="37">
        <f t="shared" si="51"/>
        <v>1</v>
      </c>
      <c r="T109" s="52" t="str">
        <f t="shared" si="54"/>
        <v>Southbound</v>
      </c>
      <c r="U109" s="12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https://search-rtdc-monitor-bjffxe2xuh6vdkpspy63sjmuny.us-east-1.es.amazonaws.com/_plugin/kibana/#/discover/Steve-Slow-Train-Analysis-(2080s-and-2083s)?_g=(refreshInterval:(display:Off,section:0,value:0),time:(from:'2016-09-04 16:15:30-0600',mode:absolute,to:'2016-09-04 18:45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09" s="54" t="str">
        <f t="shared" si="56"/>
        <v>Y</v>
      </c>
      <c r="X109" s="120">
        <f t="shared" si="57"/>
        <v>1</v>
      </c>
      <c r="Y109" s="69">
        <f t="shared" si="58"/>
        <v>12.7867</v>
      </c>
      <c r="Z109" s="69">
        <f t="shared" si="59"/>
        <v>1.49E-2</v>
      </c>
      <c r="AA109" s="69">
        <f t="shared" si="60"/>
        <v>12.771799999999999</v>
      </c>
      <c r="AB109" s="66" t="e">
        <f>VLOOKUP(A109,Enforcements!$C$7:$J$21,8,0)</f>
        <v>#N/A</v>
      </c>
      <c r="AC109" s="62" t="e">
        <f>VLOOKUP(A109,Enforcements!$C$7:$E$21,3,0)</f>
        <v>#N/A</v>
      </c>
      <c r="AD109" s="63" t="str">
        <f t="shared" si="61"/>
        <v>0198-04</v>
      </c>
      <c r="AE109" s="99" t="str">
        <f t="shared" si="62"/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AF109" s="96" t="str">
        <f t="shared" si="63"/>
        <v>"C:\Program Files (x86)\AstroGrep\AstroGrep.exe" /spath="%USERPROFILE%\AppData\Local\Temp\OnboardLogs" /stypes="*4010*20160904*" /stext=" 23:.+((SYSTEM_STATE.+slice.+state.+changed )|(ment ac)|(system.+state.+changed )|(\|lc)|(penalty)|(\[timeout)|(PRM\|1\|D)|(kpr)|(kdp))" /e /r /s</v>
      </c>
      <c r="AG109" s="1" t="str">
        <f t="shared" si="64"/>
        <v>EC</v>
      </c>
      <c r="AH109" s="100" t="str">
        <f t="shared" si="48"/>
        <v>"%USERPROFILE%\Documents\GitHub\eaglep3\Utilities\RefineRTDCRunTimes.py" --tripid 198-04 --locoid 4010 --swversion DE.1.0.7.0 --startMP 204:127867 --initTime 2016-09-04T17:15:30 --startdatetime 2016-09-04T17:18:14 --delay 1 --endMP 204:149 --enddatetime 2016-09-04T17:45:01 --enforcementcount 0 &gt;&gt;C:\Users\stu\Documents\GitHub\eaglep3-reporting\EC\2016-09-04-refined-times.txt</v>
      </c>
      <c r="AI109" s="149" t="str">
        <f t="shared" si="49"/>
        <v>echo {"issue":{"subject":"78th 4S stuck at STOP… possible equipment failure?","project_id":79,"tracker_id":40,"status_id":1,"priority_id":2,"assigned_to_id":23,"start_date":"2016-09-04","description":"At approx 16:43:01, 78th 4S downgraded from PROCEED CAB to STOP, and stayed that way for at least the next 5 minutes. Seems like this wasn't desired, and dispatcher had to talk the train past the signal. Any ideas after looking at logs?","custom_fields":[{"id":1,"name":"Subdivision","value":"EC"},{"id":4,"name":"Milepost","value":"12.7718"},{"id":17,"name":"Train ID","value":"198-04"},{"id":16,"name":"Locomotive ID","value":"4010"},{"id":130,"name":"Impact","value":"Unexpected Cut-Out or Disengaged"},{"id":150,"name":"Time of Event (Mountain Time)","value":"17:45:01"},{"id":151,"name":"Denver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09" s="55" t="s">
        <v>682</v>
      </c>
      <c r="AK109" s="55" t="s">
        <v>193</v>
      </c>
      <c r="AL109" s="55" t="s">
        <v>192</v>
      </c>
    </row>
    <row r="110" spans="1:38" s="23" customFormat="1" x14ac:dyDescent="0.25">
      <c r="A110" s="39" t="s">
        <v>497</v>
      </c>
      <c r="B110" s="7">
        <v>4010</v>
      </c>
      <c r="C110" s="24" t="s">
        <v>112</v>
      </c>
      <c r="D110" s="24" t="s">
        <v>230</v>
      </c>
      <c r="E110" s="15">
        <v>42617.690335648149</v>
      </c>
      <c r="F110" s="15">
        <v>42617.720995370371</v>
      </c>
      <c r="G110" s="7">
        <v>1</v>
      </c>
      <c r="H110" s="15" t="s">
        <v>632</v>
      </c>
      <c r="I110" s="15">
        <v>42617.739594907405</v>
      </c>
      <c r="J110" s="7">
        <v>0</v>
      </c>
      <c r="K110" s="132" t="str">
        <f t="shared" si="52"/>
        <v>4009/4010</v>
      </c>
      <c r="L110" s="24" t="str">
        <f>VLOOKUP(A110,'Trips&amp;Operators'!$C$1:$E$10000,3,FALSE)</f>
        <v>CLARK</v>
      </c>
      <c r="M110" s="6">
        <f t="shared" si="53"/>
        <v>1.8599537033878732E-2</v>
      </c>
      <c r="N110" s="7"/>
      <c r="O110" s="7"/>
      <c r="P110" s="7"/>
      <c r="Q110" s="25"/>
      <c r="R110" s="25"/>
      <c r="S110" s="37">
        <f t="shared" si="51"/>
        <v>0</v>
      </c>
      <c r="T110" s="52" t="str">
        <f t="shared" si="54"/>
        <v>Southbound</v>
      </c>
      <c r="U110" s="12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0</v>
      </c>
      <c r="V110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https://search-rtdc-monitor-bjffxe2xuh6vdkpspy63sjmuny.us-east-1.es.amazonaws.com/_plugin/kibana/#/discover/Steve-Slow-Train-Analysis-(2080s-and-2083s)?_g=(refreshInterval:(display:Off,section:0,value:0),time:(from:'2016-09-04 15:34:05-0600',mode:absolute,to:'2016-09-04 18:45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10" s="54" t="str">
        <f t="shared" si="56"/>
        <v>Y</v>
      </c>
      <c r="X110" s="120">
        <f t="shared" si="57"/>
        <v>0</v>
      </c>
      <c r="Y110" s="69">
        <f t="shared" si="58"/>
        <v>23.2971</v>
      </c>
      <c r="Z110" s="69">
        <f t="shared" si="59"/>
        <v>22.518799999999999</v>
      </c>
      <c r="AA110" s="69">
        <f t="shared" si="60"/>
        <v>0.77830000000000155</v>
      </c>
      <c r="AB110" s="66" t="e">
        <f>VLOOKUP(A110,Enforcements!$C$7:$J$21,8,0)</f>
        <v>#N/A</v>
      </c>
      <c r="AC110" s="62" t="e">
        <f>VLOOKUP(A110,Enforcements!$C$7:$E$21,3,0)</f>
        <v>#N/A</v>
      </c>
      <c r="AD110" s="63" t="str">
        <f t="shared" si="61"/>
        <v>0198-04</v>
      </c>
      <c r="AE110" s="99" t="str">
        <f t="shared" si="62"/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AF110" s="96" t="str">
        <f t="shared" si="63"/>
        <v>"C:\Program Files (x86)\AstroGrep\AstroGrep.exe" /spath="%USERPROFILE%\AppData\Local\Temp\OnboardLogs" /stypes="*4010*20160904*" /stext=" 23:.+((SYSTEM_STATE.+slice.+state.+changed )|(ment ac)|(system.+state.+changed )|(\|lc)|(penalty)|(\[timeout)|(PRM\|1\|D)|(kpr)|(kdp))" /e /r /s</v>
      </c>
      <c r="AG110" s="1" t="str">
        <f t="shared" si="64"/>
        <v>EC</v>
      </c>
      <c r="AH110" s="100" t="str">
        <f t="shared" si="48"/>
        <v>"%USERPROFILE%\Documents\GitHub\eaglep3\Utilities\RefineRTDCRunTimes.py" --tripid 198-04 --locoid 4010 --swversion DE.1.0.7.0 --startMP 204:232971 --initTime 2016-09-04T16:34:05 --startdatetime 2016-09-04T17:18:14 --delay 1 --endMP 204:225188 --enddatetime 2016-09-04T17:45:01 --enforcementcount 0 &gt;&gt;C:\Users\stu\Documents\GitHub\eaglep3-reporting\EC\2016-09-04-refined-times.txt</v>
      </c>
      <c r="AI110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0.778300000000002"},{"id":17,"name":"Train ID","value":"198-04"},{"id":16,"name":"Locomotive ID","value":"4010"},{"id":130,"name":"Impact","value":""},{"id":150,"name":"Time of Event (Mountain Time)","value":"17:45:01"},{"id":151,"name":"Denver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491</v>
      </c>
      <c r="B111" s="7">
        <v>4016</v>
      </c>
      <c r="C111" s="24" t="s">
        <v>112</v>
      </c>
      <c r="D111" s="24" t="s">
        <v>132</v>
      </c>
      <c r="E111" s="15">
        <v>42617.662638888891</v>
      </c>
      <c r="F111" s="15">
        <v>42617.66684027778</v>
      </c>
      <c r="G111" s="7">
        <v>1</v>
      </c>
      <c r="H111" s="15" t="s">
        <v>633</v>
      </c>
      <c r="I111" s="15">
        <v>42617.692152777781</v>
      </c>
      <c r="J111" s="7">
        <v>0</v>
      </c>
      <c r="K111" s="132" t="str">
        <f t="shared" si="52"/>
        <v>4015/4016</v>
      </c>
      <c r="L111" s="24" t="str">
        <f>VLOOKUP(A111,'Trips&amp;Operators'!$C$1:$E$10000,3,FALSE)</f>
        <v>SHOOK</v>
      </c>
      <c r="M111" s="6">
        <f t="shared" si="53"/>
        <v>2.531250000174623E-2</v>
      </c>
      <c r="N111" s="7">
        <f t="shared" ref="N111:P142" si="65">24*60*SUM($M111:$M111)</f>
        <v>36.450000002514571</v>
      </c>
      <c r="O111" s="7"/>
      <c r="P111" s="7"/>
      <c r="Q111" s="25"/>
      <c r="R111" s="25"/>
      <c r="S111" s="37">
        <f t="shared" si="51"/>
        <v>1</v>
      </c>
      <c r="T111" s="52" t="str">
        <f t="shared" si="54"/>
        <v>NorthBound</v>
      </c>
      <c r="U111" s="12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https://search-rtdc-monitor-bjffxe2xuh6vdkpspy63sjmuny.us-east-1.es.amazonaws.com/_plugin/kibana/#/discover/Steve-Slow-Train-Analysis-(2080s-and-2083s)?_g=(refreshInterval:(display:Off,section:0,value:0),time:(from:'2016-09-04 14:54:12-0600',mode:absolute,to:'2016-09-04 17:36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111" s="54" t="str">
        <f t="shared" si="56"/>
        <v>N</v>
      </c>
      <c r="X111" s="120">
        <f t="shared" si="57"/>
        <v>1</v>
      </c>
      <c r="Y111" s="69">
        <f t="shared" si="58"/>
        <v>4.53E-2</v>
      </c>
      <c r="Z111" s="69">
        <f t="shared" si="59"/>
        <v>23.336400000000001</v>
      </c>
      <c r="AA111" s="69">
        <f t="shared" si="60"/>
        <v>23.2911</v>
      </c>
      <c r="AB111" s="66" t="e">
        <f>VLOOKUP(A111,Enforcements!$C$7:$J$21,8,0)</f>
        <v>#N/A</v>
      </c>
      <c r="AC111" s="62" t="e">
        <f>VLOOKUP(A111,Enforcements!$C$7:$E$21,3,0)</f>
        <v>#N/A</v>
      </c>
      <c r="AD111" s="63" t="str">
        <f t="shared" si="61"/>
        <v>0199-04</v>
      </c>
      <c r="AE111" s="99" t="str">
        <f t="shared" si="62"/>
        <v>aws s3 cp s3://rtdc.mdm.uploadarchive/RTDC4016/2016-09-04/ "%USERPROFILE%\AppData\Local\Temp\OnboardLogs"\RTDC4016\2016-09-04 --recursive &amp; "%USERPROFILE%\Documents\GitHub\mrs-test-scripts\Headless Mode &amp; Sideloading\WalkAndUnGZ.bat" "%USERPROFILE%\AppData\Local\Temp\OnboardLogs"\RTDC4016\2016-09-04 &amp; 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</v>
      </c>
      <c r="AF111" s="96" t="str">
        <f t="shared" si="63"/>
        <v>"C:\Program Files (x86)\AstroGrep\AstroGrep.exe" /spath="%USERPROFILE%\AppData\Local\Temp\OnboardLogs" /stypes="*4016*20160904*" /stext=" 22:.+((SYSTEM_STATE.+slice.+state.+changed )|(ment ac)|(system.+state.+changed )|(\|lc)|(penalty)|(\[timeout)|(PRM\|1\|D)|(kpr)|(kdp))" /e /r /s</v>
      </c>
      <c r="AG111" s="1" t="str">
        <f t="shared" si="64"/>
        <v>EC</v>
      </c>
      <c r="AH111" s="100" t="str">
        <f t="shared" si="48"/>
        <v>"%USERPROFILE%\Documents\GitHub\eaglep3\Utilities\RefineRTDCRunTimes.py" --tripid 199-04 --locoid 4016 --swversion DE.1.0.7.0 --startMP 204:453 --initTime 2016-09-04T15:54:12 --startdatetime 2016-09-04T16:00:15 --delay 1 --endMP 204:233364 --enddatetime 2016-09-04T16:36:42 --enforcementcount 0 &gt;&gt;C:\Users\stu\Documents\GitHub\eaglep3-reporting\EC\2016-09-04-refined-times.txt</v>
      </c>
      <c r="AI111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{"issue":{"subject":"","project_id":79,"tracker_id":40,"status_id":1,"priority_id":2,"assigned_to_id":23,"start_date":"2016-09-04","description":"","custom_fields":[{"id":1,"name":"Subdivision","value":"EC"},{"id":4,"name":"Milepost","value":"23.2911"},{"id":17,"name":"Train ID","value":"199-04"},{"id":16,"name":"Locomotive ID","value":"4016"},{"id":130,"name":"Impact","value":""},{"id":150,"name":"Time of Event (Mountain Time)","value":"16:36:42"},{"id":151,"name":"Denver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493</v>
      </c>
      <c r="B112" s="7">
        <v>4031</v>
      </c>
      <c r="C112" s="24" t="s">
        <v>112</v>
      </c>
      <c r="D112" s="24" t="s">
        <v>287</v>
      </c>
      <c r="E112" s="15">
        <v>42617.672372685185</v>
      </c>
      <c r="F112" s="15">
        <v>42617.677453703705</v>
      </c>
      <c r="G112" s="7">
        <v>2</v>
      </c>
      <c r="H112" s="15" t="s">
        <v>634</v>
      </c>
      <c r="I112" s="15">
        <v>42617.695925925924</v>
      </c>
      <c r="J112" s="7">
        <v>0</v>
      </c>
      <c r="K112" s="132" t="str">
        <f t="shared" si="52"/>
        <v>4031/4032</v>
      </c>
      <c r="L112" s="24" t="str">
        <f>VLOOKUP(A112,'Trips&amp;Operators'!$C$1:$E$10000,3,FALSE)</f>
        <v>STEWART</v>
      </c>
      <c r="M112" s="6">
        <f t="shared" si="53"/>
        <v>1.8472222218406387E-2</v>
      </c>
      <c r="N112" s="7"/>
      <c r="O112" s="7"/>
      <c r="P112" s="7">
        <f t="shared" si="65"/>
        <v>26.599999994505197</v>
      </c>
      <c r="Q112" s="25"/>
      <c r="R112" s="25" t="s">
        <v>683</v>
      </c>
      <c r="S112" s="37">
        <f t="shared" si="51"/>
        <v>1</v>
      </c>
      <c r="T112" s="52" t="str">
        <f t="shared" si="54"/>
        <v>NorthBound</v>
      </c>
      <c r="U112" s="12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https://search-rtdc-monitor-bjffxe2xuh6vdkpspy63sjmuny.us-east-1.es.amazonaws.com/_plugin/kibana/#/discover/Steve-Slow-Train-Analysis-(2080s-and-2083s)?_g=(refreshInterval:(display:Off,section:0,value:0),time:(from:'2016-09-04 15:08:13-0600',mode:absolute,to:'2016-09-04 17:42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12" s="54" t="str">
        <f t="shared" si="56"/>
        <v>Y</v>
      </c>
      <c r="X112" s="120">
        <f t="shared" si="57"/>
        <v>2</v>
      </c>
      <c r="Y112" s="69">
        <f t="shared" si="58"/>
        <v>4.6399999999999997E-2</v>
      </c>
      <c r="Z112" s="69">
        <f t="shared" si="59"/>
        <v>15.5046</v>
      </c>
      <c r="AA112" s="69">
        <f t="shared" si="60"/>
        <v>15.4582</v>
      </c>
      <c r="AB112" s="66" t="e">
        <f>VLOOKUP(A112,Enforcements!$C$7:$J$21,8,0)</f>
        <v>#N/A</v>
      </c>
      <c r="AC112" s="62" t="e">
        <f>VLOOKUP(A112,Enforcements!$C$7:$E$21,3,0)</f>
        <v>#N/A</v>
      </c>
      <c r="AD112" s="63" t="str">
        <f t="shared" si="61"/>
        <v>0201-04</v>
      </c>
      <c r="AE112" s="99" t="str">
        <f t="shared" si="62"/>
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</c>
      <c r="AF112" s="96" t="str">
        <f t="shared" si="63"/>
        <v>"C:\Program Files (x86)\AstroGrep\AstroGrep.exe" /spath="%USERPROFILE%\AppData\Local\Temp\OnboardLogs" /stypes="*4031*20160904*" /stext=" 22:.+((SYSTEM_STATE.+slice.+state.+changed )|(ment ac)|(system.+state.+changed )|(\|lc)|(penalty)|(\[timeout)|(PRM\|1\|D)|(kpr)|(kdp))" /e /r /s</v>
      </c>
      <c r="AG112" s="1" t="str">
        <f t="shared" si="64"/>
        <v>EC</v>
      </c>
      <c r="AH112" s="100" t="str">
        <f t="shared" si="48"/>
        <v>"%USERPROFILE%\Documents\GitHub\eaglep3\Utilities\RefineRTDCRunTimes.py" --tripid 201-04 --locoid 4031 --swversion DE.1.0.7.0 --startMP 204:464 --initTime 2016-09-04T16:08:13 --startdatetime 2016-09-04T16:15:32 --delay 2 --endMP 204:155046 --enddatetime 2016-09-04T16:42:08 --enforcementcount 0 &gt;&gt;C:\Users\stu\Documents\GitHub\eaglep3-reporting\EC\2016-09-04-refined-times.txt</v>
      </c>
      <c r="AI112" s="149" t="str">
        <f t="shared" si="49"/>
        <v>echo {"issue":{"subject":"Power Outage across EC","project_id":79,"tracker_id":40,"status_id":1,"priority_id":2,"assigned_to_id":23,"start_date":"2016-09-04","description":"","custom_fields":[{"id":1,"name":"Subdivision","value":"EC"},{"id":4,"name":"Milepost","value":"15.4582"},{"id":17,"name":"Train ID","value":"201-04"},{"id":16,"name":"Locomotive ID","value":"4031"},{"id":130,"name":"Impact","value":""},{"id":150,"name":"Time of Event (Mountain Time)","value":"16:42:08"},{"id":151,"name":"Denver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x14ac:dyDescent="0.25">
      <c r="A113" s="39" t="s">
        <v>505</v>
      </c>
      <c r="B113" s="7">
        <v>4032</v>
      </c>
      <c r="C113" s="24" t="s">
        <v>112</v>
      </c>
      <c r="D113" s="24" t="s">
        <v>133</v>
      </c>
      <c r="E113" s="15">
        <v>42617.718518518515</v>
      </c>
      <c r="F113" s="15">
        <v>42617.722442129627</v>
      </c>
      <c r="G113" s="7">
        <v>1</v>
      </c>
      <c r="H113" s="15" t="s">
        <v>635</v>
      </c>
      <c r="I113" s="15">
        <v>42617.738807870373</v>
      </c>
      <c r="J113" s="7">
        <v>0</v>
      </c>
      <c r="K113" s="132" t="str">
        <f t="shared" si="52"/>
        <v>4031/4032</v>
      </c>
      <c r="L113" s="24" t="str">
        <f>VLOOKUP(A113,'Trips&amp;Operators'!$C$1:$E$10000,3,FALSE)</f>
        <v>STEWART</v>
      </c>
      <c r="M113" s="6">
        <f t="shared" si="53"/>
        <v>1.6365740746550728E-2</v>
      </c>
      <c r="N113" s="7"/>
      <c r="O113" s="7"/>
      <c r="P113" s="7">
        <f t="shared" si="65"/>
        <v>23.566666675033048</v>
      </c>
      <c r="Q113" s="25"/>
      <c r="R113" s="25" t="s">
        <v>684</v>
      </c>
      <c r="S113" s="37">
        <f t="shared" si="51"/>
        <v>0.25</v>
      </c>
      <c r="T113" s="52" t="str">
        <f t="shared" si="54"/>
        <v>Southbound</v>
      </c>
      <c r="U113" s="12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3</v>
      </c>
      <c r="V113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https://search-rtdc-monitor-bjffxe2xuh6vdkpspy63sjmuny.us-east-1.es.amazonaws.com/_plugin/kibana/#/discover/Steve-Slow-Train-Analysis-(2080s-and-2083s)?_g=(refreshInterval:(display:Off,section:0,value:0),time:(from:'2016-09-04 16:14:40-0600',mode:absolute,to:'2016-09-04 18:43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13" s="54" t="str">
        <f t="shared" si="56"/>
        <v>Y</v>
      </c>
      <c r="X113" s="120">
        <f t="shared" si="57"/>
        <v>1</v>
      </c>
      <c r="Y113" s="69">
        <f t="shared" si="58"/>
        <v>23.299399999999999</v>
      </c>
      <c r="Z113" s="69">
        <f t="shared" si="59"/>
        <v>7.3061999999999996</v>
      </c>
      <c r="AA113" s="69">
        <f t="shared" si="60"/>
        <v>15.993199999999998</v>
      </c>
      <c r="AB113" s="66" t="e">
        <f>VLOOKUP(A113,Enforcements!$C$7:$J$21,8,0)</f>
        <v>#N/A</v>
      </c>
      <c r="AC113" s="62" t="e">
        <f>VLOOKUP(A113,Enforcements!$C$7:$E$21,3,0)</f>
        <v>#N/A</v>
      </c>
      <c r="AD113" s="63" t="str">
        <f t="shared" si="61"/>
        <v>0202-04</v>
      </c>
      <c r="AE113" s="99" t="str">
        <f t="shared" si="62"/>
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</c>
      <c r="AF113" s="96" t="str">
        <f t="shared" si="63"/>
        <v>"C:\Program Files (x86)\AstroGrep\AstroGrep.exe" /spath="%USERPROFILE%\AppData\Local\Temp\OnboardLogs" /stypes="*4032*20160904*" /stext=" 23:.+((SYSTEM_STATE.+slice.+state.+changed )|(ment ac)|(system.+state.+changed )|(\|lc)|(penalty)|(\[timeout)|(PRM\|1\|D)|(kpr)|(kdp))" /e /r /s</v>
      </c>
      <c r="AG113" s="1" t="str">
        <f t="shared" si="64"/>
        <v>EC</v>
      </c>
      <c r="AH113" s="100" t="str">
        <f t="shared" si="48"/>
        <v>"%USERPROFILE%\Documents\GitHub\eaglep3\Utilities\RefineRTDCRunTimes.py" --tripid 202-04 --locoid 4032 --swversion DE.1.0.7.0 --startMP 204:232994 --initTime 2016-09-04T17:14:40 --startdatetime 2016-09-04T17:20:19 --delay 1 --endMP 204:73062 --enddatetime 2016-09-04T17:43:53 --enforcementcount 0 &gt;&gt;C:\Users\stu\Documents\GitHub\eaglep3-reporting\EC\2016-09-04-refined-times.txt</v>
      </c>
      <c r="AI113" s="149" t="str">
        <f t="shared" si="49"/>
        <v>echo {"issue":{"subject":"Sand Creek 4S needed to wait until Ulster gates were down to clear?","project_id":79,"tracker_id":40,"status_id":1,"priority_id":2,"assigned_to_id":23,"start_date":"2016-09-04","description":"At 17:43:16, a clear control was sent to Sand Creek 4S. Did not clear until 17:46:41. Is this by design since the signal was waiting for Ulster (and maybe other crossings) gates to finish?","custom_fields":[{"id":1,"name":"Subdivision","value":"EC"},{"id":4,"name":"Milepost","value":"15.9932"},{"id":17,"name":"Train ID","value":"202-04"},{"id":16,"name":"Locomotive ID","value":"4032"},{"id":130,"name":"Impact","value":"Unexpected Cut-Out or Disengaged"},{"id":150,"name":"Time of Event (Mountain Time)","value":"17:43:53"},{"id":151,"name":"Denver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13" s="55" t="s">
        <v>685</v>
      </c>
      <c r="AK113" s="55" t="s">
        <v>193</v>
      </c>
      <c r="AL113" s="55" t="s">
        <v>192</v>
      </c>
    </row>
    <row r="114" spans="1:38" s="23" customFormat="1" x14ac:dyDescent="0.25">
      <c r="A114" s="39" t="s">
        <v>496</v>
      </c>
      <c r="B114" s="7">
        <v>4018</v>
      </c>
      <c r="C114" s="24" t="s">
        <v>112</v>
      </c>
      <c r="D114" s="24" t="s">
        <v>134</v>
      </c>
      <c r="E114" s="15">
        <v>42617.683229166665</v>
      </c>
      <c r="F114" s="15">
        <v>42617.687754629631</v>
      </c>
      <c r="G114" s="7">
        <v>1</v>
      </c>
      <c r="H114" s="15" t="s">
        <v>636</v>
      </c>
      <c r="I114" s="15">
        <v>42617.722013888888</v>
      </c>
      <c r="J114" s="7">
        <v>0</v>
      </c>
      <c r="K114" s="132" t="str">
        <f t="shared" si="52"/>
        <v>4017/4018</v>
      </c>
      <c r="L114" s="24" t="str">
        <f>VLOOKUP(A114,'Trips&amp;Operators'!$C$1:$E$10000,3,FALSE)</f>
        <v>BARTLETT</v>
      </c>
      <c r="M114" s="6">
        <f t="shared" si="53"/>
        <v>3.4259259256941732E-2</v>
      </c>
      <c r="N114" s="7">
        <f t="shared" si="65"/>
        <v>49.333333329996094</v>
      </c>
      <c r="O114" s="7"/>
      <c r="P114" s="7"/>
      <c r="Q114" s="25"/>
      <c r="R114" s="25"/>
      <c r="S114" s="37">
        <f t="shared" ref="S114:S145" si="66">SUM(U114:U114)/IF(AG114="EC",12,1)</f>
        <v>1</v>
      </c>
      <c r="T114" s="52" t="str">
        <f t="shared" si="54"/>
        <v>NorthBound</v>
      </c>
      <c r="U114" s="12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https://search-rtdc-monitor-bjffxe2xuh6vdkpspy63sjmuny.us-east-1.es.amazonaws.com/_plugin/kibana/#/discover/Steve-Slow-Train-Analysis-(2080s-and-2083s)?_g=(refreshInterval:(display:Off,section:0,value:0),time:(from:'2016-09-04 15:23:51-0600',mode:absolute,to:'2016-09-04 18:19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14" s="54" t="str">
        <f t="shared" si="56"/>
        <v>N</v>
      </c>
      <c r="X114" s="120">
        <f t="shared" si="57"/>
        <v>1</v>
      </c>
      <c r="Y114" s="69">
        <f t="shared" si="58"/>
        <v>4.4900000000000002E-2</v>
      </c>
      <c r="Z114" s="69">
        <f t="shared" si="59"/>
        <v>23.328299999999999</v>
      </c>
      <c r="AA114" s="69">
        <f t="shared" si="60"/>
        <v>23.2834</v>
      </c>
      <c r="AB114" s="66" t="e">
        <f>VLOOKUP(A114,Enforcements!$C$7:$J$21,8,0)</f>
        <v>#N/A</v>
      </c>
      <c r="AC114" s="62" t="e">
        <f>VLOOKUP(A114,Enforcements!$C$7:$E$21,3,0)</f>
        <v>#N/A</v>
      </c>
      <c r="AD114" s="63" t="str">
        <f t="shared" si="61"/>
        <v>0203-04</v>
      </c>
      <c r="AE114" s="99" t="str">
        <f t="shared" si="62"/>
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</c>
      <c r="AF114" s="96" t="str">
        <f t="shared" si="63"/>
        <v>"C:\Program Files (x86)\AstroGrep\AstroGrep.exe" /spath="%USERPROFILE%\AppData\Local\Temp\OnboardLogs" /stypes="*4018*20160904*" /stext=" 23:.+((SYSTEM_STATE.+slice.+state.+changed )|(ment ac)|(system.+state.+changed )|(\|lc)|(penalty)|(\[timeout)|(PRM\|1\|D)|(kpr)|(kdp))" /e /r /s</v>
      </c>
      <c r="AG114" s="1" t="str">
        <f t="shared" si="64"/>
        <v>EC</v>
      </c>
      <c r="AH114" s="100" t="str">
        <f t="shared" si="48"/>
        <v>"%USERPROFILE%\Documents\GitHub\eaglep3\Utilities\RefineRTDCRunTimes.py" --tripid 203-04 --locoid 4018 --swversion DE.1.0.7.0 --startMP 204:449 --initTime 2016-09-04T16:23:51 --startdatetime 2016-09-04T16:30:22 --delay 1 --endMP 204:233283 --enddatetime 2016-09-04T17:19:42 --enforcementcount 0 &gt;&gt;C:\Users\stu\Documents\GitHub\eaglep3-reporting\EC\2016-09-04-refined-times.txt</v>
      </c>
      <c r="AI114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{"issue":{"subject":"","project_id":79,"tracker_id":40,"status_id":1,"priority_id":2,"assigned_to_id":23,"start_date":"2016-09-04","description":"","custom_fields":[{"id":1,"name":"Subdivision","value":"EC"},{"id":4,"name":"Milepost","value":"23.2834"},{"id":17,"name":"Train ID","value":"203-04"},{"id":16,"name":"Locomotive ID","value":"4018"},{"id":130,"name":"Impact","value":""},{"id":150,"name":"Time of Event (Mountain Time)","value":"17:19:42"},{"id":151,"name":"Denver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x14ac:dyDescent="0.25">
      <c r="A115" s="39" t="s">
        <v>506</v>
      </c>
      <c r="B115" s="7">
        <v>4017</v>
      </c>
      <c r="C115" s="24" t="s">
        <v>112</v>
      </c>
      <c r="D115" s="24" t="s">
        <v>637</v>
      </c>
      <c r="E115" s="15">
        <v>42617.723680555559</v>
      </c>
      <c r="F115" s="15">
        <v>42617.726643518516</v>
      </c>
      <c r="G115" s="7">
        <v>4</v>
      </c>
      <c r="H115" s="15" t="s">
        <v>135</v>
      </c>
      <c r="I115" s="15">
        <v>42617.756608796299</v>
      </c>
      <c r="J115" s="7">
        <v>0</v>
      </c>
      <c r="K115" s="132" t="str">
        <f t="shared" si="52"/>
        <v>4017/4018</v>
      </c>
      <c r="L115" s="24" t="str">
        <f>VLOOKUP(A115,'Trips&amp;Operators'!$C$1:$E$10000,3,FALSE)</f>
        <v>BARTLETT</v>
      </c>
      <c r="M115" s="6">
        <f t="shared" si="53"/>
        <v>2.9965277783048805E-2</v>
      </c>
      <c r="N115" s="7">
        <f t="shared" si="65"/>
        <v>43.150000007590279</v>
      </c>
      <c r="O115" s="7"/>
      <c r="P115" s="7"/>
      <c r="Q115" s="25"/>
      <c r="R115" s="25"/>
      <c r="S115" s="37">
        <f t="shared" si="66"/>
        <v>1</v>
      </c>
      <c r="T115" s="52" t="str">
        <f t="shared" si="54"/>
        <v>Southbound</v>
      </c>
      <c r="U115" s="12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https://search-rtdc-monitor-bjffxe2xuh6vdkpspy63sjmuny.us-east-1.es.amazonaws.com/_plugin/kibana/#/discover/Steve-Slow-Train-Analysis-(2080s-and-2083s)?_g=(refreshInterval:(display:Off,section:0,value:0),time:(from:'2016-09-04 16:22:06-0600',mode:absolute,to:'2016-09-04 19:09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15" s="54" t="str">
        <f t="shared" si="56"/>
        <v>N</v>
      </c>
      <c r="X115" s="120">
        <f t="shared" si="57"/>
        <v>1</v>
      </c>
      <c r="Y115" s="69">
        <f t="shared" si="58"/>
        <v>23.296800000000001</v>
      </c>
      <c r="Z115" s="69">
        <f t="shared" si="59"/>
        <v>1.49E-2</v>
      </c>
      <c r="AA115" s="69">
        <f t="shared" si="60"/>
        <v>23.2819</v>
      </c>
      <c r="AB115" s="66" t="e">
        <f>VLOOKUP(A115,Enforcements!$C$7:$J$21,8,0)</f>
        <v>#N/A</v>
      </c>
      <c r="AC115" s="62" t="e">
        <f>VLOOKUP(A115,Enforcements!$C$7:$E$21,3,0)</f>
        <v>#N/A</v>
      </c>
      <c r="AD115" s="63" t="str">
        <f t="shared" si="61"/>
        <v>0204-04</v>
      </c>
      <c r="AE115" s="99" t="str">
        <f t="shared" si="62"/>
        <v>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 &amp; 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</v>
      </c>
      <c r="AF115" s="96" t="str">
        <f t="shared" si="63"/>
        <v>"C:\Program Files (x86)\AstroGrep\AstroGrep.exe" /spath="%USERPROFILE%\AppData\Local\Temp\OnboardLogs" /stypes="*4017*20160905*" /stext=" 00:.+((SYSTEM_STATE.+slice.+state.+changed )|(ment ac)|(system.+state.+changed )|(\|lc)|(penalty)|(\[timeout)|(PRM\|1\|D)|(kpr)|(kdp))" /e /r /s</v>
      </c>
      <c r="AG115" s="1" t="str">
        <f t="shared" si="64"/>
        <v>EC</v>
      </c>
      <c r="AH115" s="100" t="str">
        <f t="shared" si="48"/>
        <v>"%USERPROFILE%\Documents\GitHub\eaglep3\Utilities\RefineRTDCRunTimes.py" --tripid 204-04 --locoid 4017 --swversion DE.1.0.7.0 --startMP 204:232968 --initTime 2016-09-04T17:22:06 --startdatetime 2016-09-04T17:26:22 --delay 4 --endMP 204:149 --enddatetime 2016-09-04T18:09:31 --enforcementcount 0 &gt;&gt;C:\Users\stu\Documents\GitHub\eaglep3-reporting\EC\2016-09-04-refined-times.txt</v>
      </c>
      <c r="AI115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{"issue":{"subject":"","project_id":79,"tracker_id":40,"status_id":1,"priority_id":2,"assigned_to_id":23,"start_date":"2016-09-04","description":"","custom_fields":[{"id":1,"name":"Subdivision","value":"EC"},{"id":4,"name":"Milepost","value":"23.2819"},{"id":17,"name":"Train ID","value":"204-04"},{"id":16,"name":"Locomotive ID","value":"4017"},{"id":130,"name":"Impact","value":""},{"id":150,"name":"Time of Event (Mountain Time)","value":"18:09:31"},{"id":151,"name":"Denver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499</v>
      </c>
      <c r="B116" s="7">
        <v>4038</v>
      </c>
      <c r="C116" s="24" t="s">
        <v>112</v>
      </c>
      <c r="D116" s="24" t="s">
        <v>147</v>
      </c>
      <c r="E116" s="15">
        <v>42617.693715277775</v>
      </c>
      <c r="F116" s="15">
        <v>42617.698425925926</v>
      </c>
      <c r="G116" s="7">
        <v>1</v>
      </c>
      <c r="H116" s="15" t="s">
        <v>336</v>
      </c>
      <c r="I116" s="15">
        <v>42617.72965277778</v>
      </c>
      <c r="J116" s="7">
        <v>0</v>
      </c>
      <c r="K116" s="132" t="str">
        <f t="shared" si="52"/>
        <v>4037/4038</v>
      </c>
      <c r="L116" s="24" t="str">
        <f>VLOOKUP(A116,'Trips&amp;Operators'!$C$1:$E$10000,3,FALSE)</f>
        <v>BRUDER</v>
      </c>
      <c r="M116" s="6">
        <f t="shared" si="53"/>
        <v>3.1226851853716653E-2</v>
      </c>
      <c r="N116" s="7">
        <f t="shared" si="65"/>
        <v>44.96666666935198</v>
      </c>
      <c r="O116" s="7"/>
      <c r="P116" s="7"/>
      <c r="Q116" s="25"/>
      <c r="R116" s="25"/>
      <c r="S116" s="37">
        <f t="shared" si="66"/>
        <v>1</v>
      </c>
      <c r="T116" s="52" t="str">
        <f t="shared" si="54"/>
        <v>NorthBound</v>
      </c>
      <c r="U116" s="12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https://search-rtdc-monitor-bjffxe2xuh6vdkpspy63sjmuny.us-east-1.es.amazonaws.com/_plugin/kibana/#/discover/Steve-Slow-Train-Analysis-(2080s-and-2083s)?_g=(refreshInterval:(display:Off,section:0,value:0),time:(from:'2016-09-04 15:38:57-0600',mode:absolute,to:'2016-09-04 18:30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16" s="54" t="str">
        <f t="shared" si="56"/>
        <v>N</v>
      </c>
      <c r="X116" s="120">
        <f t="shared" si="57"/>
        <v>1</v>
      </c>
      <c r="Y116" s="69">
        <f t="shared" si="58"/>
        <v>4.5100000000000001E-2</v>
      </c>
      <c r="Z116" s="69">
        <f t="shared" si="59"/>
        <v>23.330100000000002</v>
      </c>
      <c r="AA116" s="69">
        <f t="shared" si="60"/>
        <v>23.285</v>
      </c>
      <c r="AB116" s="66" t="e">
        <f>VLOOKUP(A116,Enforcements!$C$7:$J$21,8,0)</f>
        <v>#N/A</v>
      </c>
      <c r="AC116" s="62" t="e">
        <f>VLOOKUP(A116,Enforcements!$C$7:$E$21,3,0)</f>
        <v>#N/A</v>
      </c>
      <c r="AD116" s="63" t="str">
        <f t="shared" si="61"/>
        <v>0205-04</v>
      </c>
      <c r="AE116" s="99" t="str">
        <f t="shared" si="62"/>
        <v>aws s3 cp s3://rtdc.mdm.uploadarchive/RTDC4038/2016-09-04/ "%USERPROFILE%\AppData\Local\Temp\OnboardLogs"\RTDC4038\2016-09-04 --recursive &amp; "%USERPROFILE%\Documents\GitHub\mrs-test-scripts\Headless Mode &amp; Sideloading\WalkAndUnGZ.bat" "%USERPROFILE%\AppData\Local\Temp\OnboardLogs"\RTDC4038\2016-09-04 &amp; 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</v>
      </c>
      <c r="AF116" s="96" t="str">
        <f t="shared" si="63"/>
        <v>"C:\Program Files (x86)\AstroGrep\AstroGrep.exe" /spath="%USERPROFILE%\AppData\Local\Temp\OnboardLogs" /stypes="*4038*20160904*" /stext=" 23:.+((SYSTEM_STATE.+slice.+state.+changed )|(ment ac)|(system.+state.+changed )|(\|lc)|(penalty)|(\[timeout)|(PRM\|1\|D)|(kpr)|(kdp))" /e /r /s</v>
      </c>
      <c r="AG116" s="1" t="str">
        <f t="shared" si="64"/>
        <v>EC</v>
      </c>
      <c r="AH116" s="100" t="str">
        <f t="shared" si="48"/>
        <v>"%USERPROFILE%\Documents\GitHub\eaglep3\Utilities\RefineRTDCRunTimes.py" --tripid 205-04 --locoid 4038 --swversion DE.1.0.7.0 --startMP 204:451 --initTime 2016-09-04T16:38:57 --startdatetime 2016-09-04T16:45:44 --delay 1 --endMP 204:233301 --enddatetime 2016-09-04T17:30:42 --enforcementcount 0 &gt;&gt;C:\Users\stu\Documents\GitHub\eaglep3-reporting\EC\2016-09-04-refined-times.txt</v>
      </c>
      <c r="AI116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{"issue":{"subject":"","project_id":79,"tracker_id":40,"status_id":1,"priority_id":2,"assigned_to_id":23,"start_date":"2016-09-04","description":"","custom_fields":[{"id":1,"name":"Subdivision","value":"EC"},{"id":4,"name":"Milepost","value":"23.285"},{"id":17,"name":"Train ID","value":"205-04"},{"id":16,"name":"Locomotive ID","value":"4038"},{"id":130,"name":"Impact","value":""},{"id":150,"name":"Time of Event (Mountain Time)","value":"17:30:42"},{"id":151,"name":"Denver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x14ac:dyDescent="0.25">
      <c r="A117" s="39" t="s">
        <v>508</v>
      </c>
      <c r="B117" s="7">
        <v>4037</v>
      </c>
      <c r="C117" s="24" t="s">
        <v>112</v>
      </c>
      <c r="D117" s="24" t="s">
        <v>638</v>
      </c>
      <c r="E117" s="15">
        <v>42617.73196759259</v>
      </c>
      <c r="F117" s="15">
        <v>42617.736990740741</v>
      </c>
      <c r="G117" s="7">
        <v>1</v>
      </c>
      <c r="H117" s="15" t="s">
        <v>253</v>
      </c>
      <c r="I117" s="15">
        <v>42617.768703703703</v>
      </c>
      <c r="J117" s="7">
        <v>0</v>
      </c>
      <c r="K117" s="132" t="str">
        <f t="shared" si="52"/>
        <v>4037/4038</v>
      </c>
      <c r="L117" s="24" t="str">
        <f>VLOOKUP(A117,'Trips&amp;Operators'!$C$1:$E$10000,3,FALSE)</f>
        <v>BRUDER</v>
      </c>
      <c r="M117" s="6">
        <f t="shared" si="53"/>
        <v>3.1712962962046731E-2</v>
      </c>
      <c r="N117" s="7">
        <f t="shared" si="65"/>
        <v>45.666666665347293</v>
      </c>
      <c r="O117" s="7"/>
      <c r="P117" s="7"/>
      <c r="Q117" s="25"/>
      <c r="R117" s="25"/>
      <c r="S117" s="37">
        <f t="shared" si="66"/>
        <v>1</v>
      </c>
      <c r="T117" s="52" t="str">
        <f t="shared" si="54"/>
        <v>Southbound</v>
      </c>
      <c r="U117" s="12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https://search-rtdc-monitor-bjffxe2xuh6vdkpspy63sjmuny.us-east-1.es.amazonaws.com/_plugin/kibana/#/discover/Steve-Slow-Train-Analysis-(2080s-and-2083s)?_g=(refreshInterval:(display:Off,section:0,value:0),time:(from:'2016-09-04 16:34:02-0600',mode:absolute,to:'2016-09-04 19:26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17" s="54" t="str">
        <f t="shared" si="56"/>
        <v>N</v>
      </c>
      <c r="X117" s="120">
        <f t="shared" si="57"/>
        <v>1</v>
      </c>
      <c r="Y117" s="69">
        <f t="shared" si="58"/>
        <v>23.297799999999999</v>
      </c>
      <c r="Z117" s="69">
        <f t="shared" si="59"/>
        <v>1.4999999999999999E-2</v>
      </c>
      <c r="AA117" s="69">
        <f t="shared" si="60"/>
        <v>23.282799999999998</v>
      </c>
      <c r="AB117" s="66" t="e">
        <f>VLOOKUP(A117,Enforcements!$C$7:$J$21,8,0)</f>
        <v>#N/A</v>
      </c>
      <c r="AC117" s="62" t="e">
        <f>VLOOKUP(A117,Enforcements!$C$7:$E$21,3,0)</f>
        <v>#N/A</v>
      </c>
      <c r="AD117" s="63" t="str">
        <f t="shared" si="61"/>
        <v>0206-04</v>
      </c>
      <c r="AE117" s="99" t="str">
        <f t="shared" si="62"/>
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</c>
      <c r="AF117" s="96" t="str">
        <f t="shared" si="63"/>
        <v>"C:\Program Files (x86)\AstroGrep\AstroGrep.exe" /spath="%USERPROFILE%\AppData\Local\Temp\OnboardLogs" /stypes="*4037*20160905*" /stext=" 00:.+((SYSTEM_STATE.+slice.+state.+changed )|(ment ac)|(system.+state.+changed )|(\|lc)|(penalty)|(\[timeout)|(PRM\|1\|D)|(kpr)|(kdp))" /e /r /s</v>
      </c>
      <c r="AG117" s="1" t="str">
        <f t="shared" si="64"/>
        <v>EC</v>
      </c>
      <c r="AH117" s="100" t="str">
        <f t="shared" si="48"/>
        <v>"%USERPROFILE%\Documents\GitHub\eaglep3\Utilities\RefineRTDCRunTimes.py" --tripid 206-04 --locoid 4037 --swversion DE.1.0.7.0 --startMP 204:232978 --initTime 2016-09-04T17:34:02 --startdatetime 2016-09-04T17:41:16 --delay 1 --endMP 204:150 --enddatetime 2016-09-04T18:26:56 --enforcementcount 0 &gt;&gt;C:\Users\stu\Documents\GitHub\eaglep3-reporting\EC\2016-09-04-refined-times.txt</v>
      </c>
      <c r="AI117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{"issue":{"subject":"","project_id":79,"tracker_id":40,"status_id":1,"priority_id":2,"assigned_to_id":23,"start_date":"2016-09-04","description":"","custom_fields":[{"id":1,"name":"Subdivision","value":"EC"},{"id":4,"name":"Milepost","value":"23.2828"},{"id":17,"name":"Train ID","value":"206-04"},{"id":16,"name":"Locomotive ID","value":"4037"},{"id":130,"name":"Impact","value":""},{"id":150,"name":"Time of Event (Mountain Time)","value":"18:26:56"},{"id":151,"name":"Denver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501</v>
      </c>
      <c r="B118" s="7">
        <v>4002</v>
      </c>
      <c r="C118" s="24" t="s">
        <v>112</v>
      </c>
      <c r="D118" s="24" t="s">
        <v>172</v>
      </c>
      <c r="E118" s="15">
        <v>42617.70826388889</v>
      </c>
      <c r="F118" s="15">
        <v>42617.709965277776</v>
      </c>
      <c r="G118" s="7">
        <v>1</v>
      </c>
      <c r="H118" s="15" t="s">
        <v>639</v>
      </c>
      <c r="I118" s="15">
        <v>42617.736793981479</v>
      </c>
      <c r="J118" s="7">
        <v>0</v>
      </c>
      <c r="K118" s="132" t="str">
        <f t="shared" si="52"/>
        <v>4001/4002</v>
      </c>
      <c r="L118" s="24" t="str">
        <f>VLOOKUP(A118,'Trips&amp;Operators'!$C$1:$E$10000,3,FALSE)</f>
        <v>MOSES</v>
      </c>
      <c r="M118" s="6">
        <f t="shared" si="53"/>
        <v>2.6828703703358769E-2</v>
      </c>
      <c r="N118" s="7"/>
      <c r="O118" s="7"/>
      <c r="P118" s="7">
        <f t="shared" si="65"/>
        <v>38.633333332836628</v>
      </c>
      <c r="Q118" s="25"/>
      <c r="R118" s="25" t="s">
        <v>686</v>
      </c>
      <c r="S118" s="37">
        <f t="shared" si="66"/>
        <v>1</v>
      </c>
      <c r="T118" s="52" t="str">
        <f t="shared" si="54"/>
        <v>NorthBound</v>
      </c>
      <c r="U118" s="12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https://search-rtdc-monitor-bjffxe2xuh6vdkpspy63sjmuny.us-east-1.es.amazonaws.com/_plugin/kibana/#/discover/Steve-Slow-Train-Analysis-(2080s-and-2083s)?_g=(refreshInterval:(display:Off,section:0,value:0),time:(from:'2016-09-04 15:59:54-0600',mode:absolute,to:'2016-09-04 18:40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18" s="54" t="str">
        <f t="shared" si="56"/>
        <v>Y</v>
      </c>
      <c r="X118" s="120">
        <f t="shared" si="57"/>
        <v>1</v>
      </c>
      <c r="Y118" s="69">
        <f t="shared" si="58"/>
        <v>4.4699999999999997E-2</v>
      </c>
      <c r="Z118" s="69">
        <f t="shared" si="59"/>
        <v>19.3645</v>
      </c>
      <c r="AA118" s="69">
        <f t="shared" si="60"/>
        <v>19.319800000000001</v>
      </c>
      <c r="AB118" s="66" t="e">
        <f>VLOOKUP(A118,Enforcements!$C$7:$J$21,8,0)</f>
        <v>#N/A</v>
      </c>
      <c r="AC118" s="62" t="e">
        <f>VLOOKUP(A118,Enforcements!$C$7:$E$21,3,0)</f>
        <v>#N/A</v>
      </c>
      <c r="AD118" s="63" t="str">
        <f t="shared" si="61"/>
        <v>0207-04</v>
      </c>
      <c r="AE118" s="99" t="str">
        <f t="shared" si="62"/>
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</c>
      <c r="AF118" s="96" t="str">
        <f t="shared" si="63"/>
        <v>"C:\Program Files (x86)\AstroGrep\AstroGrep.exe" /spath="%USERPROFILE%\AppData\Local\Temp\OnboardLogs" /stypes="*4002*20160904*" /stext=" 23:.+((SYSTEM_STATE.+slice.+state.+changed )|(ment ac)|(system.+state.+changed )|(\|lc)|(penalty)|(\[timeout)|(PRM\|1\|D)|(kpr)|(kdp))" /e /r /s</v>
      </c>
      <c r="AG118" s="1" t="str">
        <f t="shared" si="64"/>
        <v>EC</v>
      </c>
      <c r="AH118" s="100" t="str">
        <f t="shared" si="48"/>
        <v>"%USERPROFILE%\Documents\GitHub\eaglep3\Utilities\RefineRTDCRunTimes.py" --tripid 207-04 --locoid 4002 --swversion DE.1.0.7.0 --startMP 204:447 --initTime 2016-09-04T16:59:54 --startdatetime 2016-09-04T17:02:21 --delay 1 --endMP 204:193645 --enddatetime 2016-09-04T17:40:59 --enforcementcount 0 &gt;&gt;C:\Users\stu\Documents\GitHub\eaglep3-reporting\EC\2016-09-04-refined-times.txt</v>
      </c>
      <c r="AI118" s="149" t="str">
        <f t="shared" si="49"/>
        <v>echo {"issue":{"subject":"Pena 2N premature downgrade","project_id":79,"tracker_id":40,"status_id":1,"priority_id":2,"assigned_to_id":23,"start_date":"2016-09-04","description":"","custom_fields":[{"id":1,"name":"Subdivision","value":"EC"},{"id":4,"name":"Milepost","value":"19.3198"},{"id":17,"name":"Train ID","value":"207-04"},{"id":16,"name":"Locomotive ID","value":"4002"},{"id":130,"name":"Impact","value":""},{"id":150,"name":"Time of Event (Mountain Time)","value":"17:40:59"},{"id":151,"name":"Denver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513</v>
      </c>
      <c r="B119" s="7">
        <v>4001</v>
      </c>
      <c r="C119" s="24" t="s">
        <v>112</v>
      </c>
      <c r="D119" s="24" t="s">
        <v>237</v>
      </c>
      <c r="E119" s="15">
        <v>42617.747349537036</v>
      </c>
      <c r="F119" s="15">
        <v>42617.748749999999</v>
      </c>
      <c r="G119" s="7">
        <v>1</v>
      </c>
      <c r="H119" s="15" t="s">
        <v>640</v>
      </c>
      <c r="I119" s="15">
        <v>42617.783391203702</v>
      </c>
      <c r="J119" s="7">
        <v>0</v>
      </c>
      <c r="K119" s="132" t="str">
        <f t="shared" si="52"/>
        <v>4001/4002</v>
      </c>
      <c r="L119" s="24" t="str">
        <f>VLOOKUP(A119,'Trips&amp;Operators'!$C$1:$E$10000,3,FALSE)</f>
        <v>MOSES</v>
      </c>
      <c r="M119" s="6">
        <f t="shared" si="53"/>
        <v>3.4641203703358769E-2</v>
      </c>
      <c r="N119" s="7">
        <f t="shared" si="65"/>
        <v>49.883333332836628</v>
      </c>
      <c r="O119" s="7"/>
      <c r="P119" s="7"/>
      <c r="Q119" s="25"/>
      <c r="R119" s="25"/>
      <c r="S119" s="37">
        <f t="shared" si="66"/>
        <v>1</v>
      </c>
      <c r="T119" s="52" t="str">
        <f t="shared" si="54"/>
        <v>Southbound</v>
      </c>
      <c r="U119" s="12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https://search-rtdc-monitor-bjffxe2xuh6vdkpspy63sjmuny.us-east-1.es.amazonaws.com/_plugin/kibana/#/discover/Steve-Slow-Train-Analysis-(2080s-and-2083s)?_g=(refreshInterval:(display:Off,section:0,value:0),time:(from:'2016-09-04 16:56:11-0600',mode:absolute,to:'2016-09-04 19:48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19" s="54" t="str">
        <f t="shared" si="56"/>
        <v>N</v>
      </c>
      <c r="X119" s="120">
        <f t="shared" si="57"/>
        <v>1</v>
      </c>
      <c r="Y119" s="69">
        <f t="shared" si="58"/>
        <v>23.300799999999999</v>
      </c>
      <c r="Z119" s="69">
        <f t="shared" si="59"/>
        <v>3.2500000000000001E-2</v>
      </c>
      <c r="AA119" s="69">
        <f t="shared" si="60"/>
        <v>23.2683</v>
      </c>
      <c r="AB119" s="66" t="e">
        <f>VLOOKUP(A119,Enforcements!$C$7:$J$21,8,0)</f>
        <v>#N/A</v>
      </c>
      <c r="AC119" s="62" t="e">
        <f>VLOOKUP(A119,Enforcements!$C$7:$E$21,3,0)</f>
        <v>#N/A</v>
      </c>
      <c r="AD119" s="63" t="str">
        <f t="shared" si="61"/>
        <v>0208-04</v>
      </c>
      <c r="AE119" s="99" t="str">
        <f t="shared" si="62"/>
        <v>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 &amp; 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</v>
      </c>
      <c r="AF119" s="96" t="str">
        <f t="shared" si="63"/>
        <v>"C:\Program Files (x86)\AstroGrep\AstroGrep.exe" /spath="%USERPROFILE%\AppData\Local\Temp\OnboardLogs" /stypes="*4001*20160905*" /stext=" 00:.+((SYSTEM_STATE.+slice.+state.+changed )|(ment ac)|(system.+state.+changed )|(\|lc)|(penalty)|(\[timeout)|(PRM\|1\|D)|(kpr)|(kdp))" /e /r /s</v>
      </c>
      <c r="AG119" s="1" t="str">
        <f t="shared" si="64"/>
        <v>EC</v>
      </c>
      <c r="AH119" s="100" t="str">
        <f t="shared" si="48"/>
        <v>"%USERPROFILE%\Documents\GitHub\eaglep3\Utilities\RefineRTDCRunTimes.py" --tripid 208-04 --locoid 4001 --swversion DE.1.0.7.0 --startMP 204:233008 --initTime 2016-09-04T17:56:11 --startdatetime 2016-09-04T17:58:12 --delay 1 --endMP 204:325 --enddatetime 2016-09-04T18:48:05 --enforcementcount 0 &gt;&gt;C:\Users\stu\Documents\GitHub\eaglep3-reporting\EC\2016-09-04-refined-times.txt</v>
      </c>
      <c r="AI119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{"issue":{"subject":"","project_id":79,"tracker_id":40,"status_id":1,"priority_id":2,"assigned_to_id":23,"start_date":"2016-09-04","description":"","custom_fields":[{"id":1,"name":"Subdivision","value":"EC"},{"id":4,"name":"Milepost","value":"23.2683"},{"id":17,"name":"Train ID","value":"208-04"},{"id":16,"name":"Locomotive ID","value":"4001"},{"id":130,"name":"Impact","value":""},{"id":150,"name":"Time of Event (Mountain Time)","value":"18:48:05"},{"id":151,"name":"Denver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x14ac:dyDescent="0.25">
      <c r="A120" s="39" t="s">
        <v>503</v>
      </c>
      <c r="B120" s="7">
        <v>4046</v>
      </c>
      <c r="C120" s="24" t="s">
        <v>112</v>
      </c>
      <c r="D120" s="24" t="s">
        <v>641</v>
      </c>
      <c r="E120" s="15">
        <v>42617.718680555554</v>
      </c>
      <c r="F120" s="15">
        <v>42617.720868055556</v>
      </c>
      <c r="G120" s="7">
        <v>1</v>
      </c>
      <c r="H120" s="15" t="s">
        <v>267</v>
      </c>
      <c r="I120" s="15">
        <v>42617.752222222225</v>
      </c>
      <c r="J120" s="7">
        <v>0</v>
      </c>
      <c r="K120" s="132" t="str">
        <f t="shared" si="52"/>
        <v>4045/4046</v>
      </c>
      <c r="L120" s="24" t="str">
        <f>VLOOKUP(A120,'Trips&amp;Operators'!$C$1:$E$10000,3,FALSE)</f>
        <v>LEVERE</v>
      </c>
      <c r="M120" s="6">
        <f t="shared" si="53"/>
        <v>3.1354166669188999E-2</v>
      </c>
      <c r="N120" s="7">
        <f t="shared" si="65"/>
        <v>45.150000003632158</v>
      </c>
      <c r="O120" s="7"/>
      <c r="P120" s="7"/>
      <c r="Q120" s="25"/>
      <c r="R120" s="25"/>
      <c r="S120" s="37">
        <f t="shared" si="66"/>
        <v>1</v>
      </c>
      <c r="T120" s="52" t="str">
        <f t="shared" si="54"/>
        <v>NorthBound</v>
      </c>
      <c r="U120" s="12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https://search-rtdc-monitor-bjffxe2xuh6vdkpspy63sjmuny.us-east-1.es.amazonaws.com/_plugin/kibana/#/discover/Steve-Slow-Train-Analysis-(2080s-and-2083s)?_g=(refreshInterval:(display:Off,section:0,value:0),time:(from:'2016-09-04 16:14:54-0600',mode:absolute,to:'2016-09-04 19:03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</c>
      <c r="W120" s="54" t="str">
        <f t="shared" si="56"/>
        <v>N</v>
      </c>
      <c r="X120" s="120">
        <f t="shared" si="57"/>
        <v>1</v>
      </c>
      <c r="Y120" s="69">
        <f t="shared" si="58"/>
        <v>5.28E-2</v>
      </c>
      <c r="Z120" s="69">
        <f t="shared" si="59"/>
        <v>23.327999999999999</v>
      </c>
      <c r="AA120" s="69">
        <f t="shared" si="60"/>
        <v>23.275199999999998</v>
      </c>
      <c r="AB120" s="66" t="e">
        <f>VLOOKUP(A120,Enforcements!$C$7:$J$21,8,0)</f>
        <v>#N/A</v>
      </c>
      <c r="AC120" s="62" t="e">
        <f>VLOOKUP(A120,Enforcements!$C$7:$E$21,3,0)</f>
        <v>#N/A</v>
      </c>
      <c r="AD120" s="63" t="str">
        <f t="shared" si="61"/>
        <v>0209-04</v>
      </c>
      <c r="AE120" s="99" t="str">
        <f t="shared" si="62"/>
        <v>aws s3 cp s3://rtdc.mdm.uploadarchive/RTDC4046/2016-09-04/ "%USERPROFILE%\AppData\Local\Temp\OnboardLogs"\RTDC4046\2016-09-04 --recursive &amp; "%USERPROFILE%\Documents\GitHub\mrs-test-scripts\Headless Mode &amp; Sideloading\WalkAndUnGZ.bat" "%USERPROFILE%\AppData\Local\Temp\OnboardLogs"\RTDC4046\2016-09-04 &amp; 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</v>
      </c>
      <c r="AF120" s="96" t="str">
        <f t="shared" si="63"/>
        <v>"C:\Program Files (x86)\AstroGrep\AstroGrep.exe" /spath="%USERPROFILE%\AppData\Local\Temp\OnboardLogs" /stypes="*4046*20160905*" /stext=" 00:.+((SYSTEM_STATE.+slice.+state.+changed )|(ment ac)|(system.+state.+changed )|(\|lc)|(penalty)|(\[timeout)|(PRM\|1\|D)|(kpr)|(kdp))" /e /r /s</v>
      </c>
      <c r="AG120" s="1" t="str">
        <f t="shared" si="64"/>
        <v>EC</v>
      </c>
      <c r="AH120" s="100" t="str">
        <f t="shared" si="48"/>
        <v>"%USERPROFILE%\Documents\GitHub\eaglep3\Utilities\RefineRTDCRunTimes.py" --tripid 209-04 --locoid 4046 --swversion DE.1.0.7.0 --startMP 204:528 --initTime 2016-09-04T17:14:54 --startdatetime 2016-09-04T17:18:03 --delay 1 --endMP 204:233280 --enddatetime 2016-09-04T18:03:12 --enforcementcount 0 &gt;&gt;C:\Users\stu\Documents\GitHub\eaglep3-reporting\EC\2016-09-04-refined-times.txt</v>
      </c>
      <c r="AI120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{"issue":{"subject":"","project_id":79,"tracker_id":40,"status_id":1,"priority_id":2,"assigned_to_id":23,"start_date":"2016-09-04","description":"","custom_fields":[{"id":1,"name":"Subdivision","value":"EC"},{"id":4,"name":"Milepost","value":"23.2752"},{"id":17,"name":"Train ID","value":"209-04"},{"id":16,"name":"Locomotive ID","value":"4046"},{"id":130,"name":"Impact","value":""},{"id":150,"name":"Time of Event (Mountain Time)","value":"18:03:12"},{"id":151,"name":"Denver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x14ac:dyDescent="0.25">
      <c r="A121" s="39" t="s">
        <v>515</v>
      </c>
      <c r="B121" s="7">
        <v>4045</v>
      </c>
      <c r="C121" s="24" t="s">
        <v>112</v>
      </c>
      <c r="D121" s="24" t="s">
        <v>285</v>
      </c>
      <c r="E121" s="15">
        <v>42617.755196759259</v>
      </c>
      <c r="F121" s="15">
        <v>42617.760231481479</v>
      </c>
      <c r="G121" s="7">
        <v>1</v>
      </c>
      <c r="H121" s="15" t="s">
        <v>642</v>
      </c>
      <c r="I121" s="15">
        <v>42617.786365740743</v>
      </c>
      <c r="J121" s="7">
        <v>0</v>
      </c>
      <c r="K121" s="132" t="str">
        <f t="shared" si="52"/>
        <v>4045/4046</v>
      </c>
      <c r="L121" s="24" t="str">
        <f>VLOOKUP(A121,'Trips&amp;Operators'!$C$1:$E$10000,3,FALSE)</f>
        <v>LEVERE</v>
      </c>
      <c r="M121" s="6">
        <f t="shared" si="53"/>
        <v>2.6134259263926651E-2</v>
      </c>
      <c r="N121" s="7">
        <f t="shared" si="65"/>
        <v>37.633333340054378</v>
      </c>
      <c r="O121" s="7"/>
      <c r="P121" s="7"/>
      <c r="Q121" s="25"/>
      <c r="R121" s="25"/>
      <c r="S121" s="37">
        <f t="shared" si="66"/>
        <v>1</v>
      </c>
      <c r="T121" s="52" t="str">
        <f t="shared" si="54"/>
        <v>Southbound</v>
      </c>
      <c r="U121" s="12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https://search-rtdc-monitor-bjffxe2xuh6vdkpspy63sjmuny.us-east-1.es.amazonaws.com/_plugin/kibana/#/discover/Steve-Slow-Train-Analysis-(2080s-and-2083s)?_g=(refreshInterval:(display:Off,section:0,value:0),time:(from:'2016-09-04 17:07:29-0600',mode:absolute,to:'2016-09-04 19:52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W121" s="54" t="str">
        <f t="shared" si="56"/>
        <v>N</v>
      </c>
      <c r="X121" s="120">
        <f t="shared" si="57"/>
        <v>1</v>
      </c>
      <c r="Y121" s="69">
        <f t="shared" si="58"/>
        <v>23.2973</v>
      </c>
      <c r="Z121" s="69">
        <f t="shared" si="59"/>
        <v>1.83E-2</v>
      </c>
      <c r="AA121" s="69">
        <f t="shared" si="60"/>
        <v>23.279</v>
      </c>
      <c r="AB121" s="66" t="e">
        <f>VLOOKUP(A121,Enforcements!$C$7:$J$21,8,0)</f>
        <v>#N/A</v>
      </c>
      <c r="AC121" s="62" t="e">
        <f>VLOOKUP(A121,Enforcements!$C$7:$E$21,3,0)</f>
        <v>#N/A</v>
      </c>
      <c r="AD121" s="63" t="str">
        <f t="shared" si="61"/>
        <v>0210-04</v>
      </c>
      <c r="AE121" s="99" t="str">
        <f t="shared" si="62"/>
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</c>
      <c r="AF121" s="96" t="str">
        <f t="shared" si="63"/>
        <v>"C:\Program Files (x86)\AstroGrep\AstroGrep.exe" /spath="%USERPROFILE%\AppData\Local\Temp\OnboardLogs" /stypes="*4045*20160905*" /stext=" 00:.+((SYSTEM_STATE.+slice.+state.+changed )|(ment ac)|(system.+state.+changed )|(\|lc)|(penalty)|(\[timeout)|(PRM\|1\|D)|(kpr)|(kdp))" /e /r /s</v>
      </c>
      <c r="AG121" s="1" t="str">
        <f t="shared" si="64"/>
        <v>EC</v>
      </c>
      <c r="AH121" s="100" t="str">
        <f t="shared" si="48"/>
        <v>"%USERPROFILE%\Documents\GitHub\eaglep3\Utilities\RefineRTDCRunTimes.py" --tripid 210-04 --locoid 4045 --swversion DE.1.0.7.0 --startMP 204:232973 --initTime 2016-09-04T18:07:29 --startdatetime 2016-09-04T18:14:44 --delay 1 --endMP 204:183 --enddatetime 2016-09-04T18:52:22 --enforcementcount 0 &gt;&gt;C:\Users\stu\Documents\GitHub\eaglep3-reporting\EC\2016-09-04-refined-times.txt</v>
      </c>
      <c r="AI121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{"issue":{"subject":"","project_id":79,"tracker_id":40,"status_id":1,"priority_id":2,"assigned_to_id":23,"start_date":"2016-09-04","description":"","custom_fields":[{"id":1,"name":"Subdivision","value":"EC"},{"id":4,"name":"Milepost","value":"23.279"},{"id":17,"name":"Train ID","value":"210-04"},{"id":16,"name":"Locomotive ID","value":"4045"},{"id":130,"name":"Impact","value":""},{"id":150,"name":"Time of Event (Mountain Time)","value":"18:52:22"},{"id":151,"name":"Denver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x14ac:dyDescent="0.25">
      <c r="A122" s="39" t="s">
        <v>507</v>
      </c>
      <c r="B122" s="7">
        <v>4044</v>
      </c>
      <c r="C122" s="24" t="s">
        <v>112</v>
      </c>
      <c r="D122" s="24" t="s">
        <v>643</v>
      </c>
      <c r="E122" s="15">
        <v>42617.72452546296</v>
      </c>
      <c r="F122" s="15">
        <v>42617.743784722225</v>
      </c>
      <c r="G122" s="7">
        <v>1</v>
      </c>
      <c r="H122" s="15" t="s">
        <v>644</v>
      </c>
      <c r="I122" s="15">
        <v>42617.759953703702</v>
      </c>
      <c r="J122" s="7">
        <v>0</v>
      </c>
      <c r="K122" s="132" t="str">
        <f t="shared" si="52"/>
        <v>4043/4044</v>
      </c>
      <c r="L122" s="24" t="str">
        <f>VLOOKUP(A122,'Trips&amp;Operators'!$C$1:$E$10000,3,FALSE)</f>
        <v>YOUNG</v>
      </c>
      <c r="M122" s="6">
        <f t="shared" si="53"/>
        <v>1.6168981477676425E-2</v>
      </c>
      <c r="N122" s="7"/>
      <c r="O122" s="7"/>
      <c r="P122" s="7">
        <f t="shared" si="65"/>
        <v>23.283333327854052</v>
      </c>
      <c r="Q122" s="25"/>
      <c r="R122" s="25" t="s">
        <v>688</v>
      </c>
      <c r="S122" s="37">
        <f>SUM(U122:U123)/IF(AG122="EC",12,1)</f>
        <v>0.75</v>
      </c>
      <c r="T122" s="52" t="str">
        <f t="shared" si="54"/>
        <v>NorthBound</v>
      </c>
      <c r="U122" s="12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6</v>
      </c>
      <c r="V122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https://search-rtdc-monitor-bjffxe2xuh6vdkpspy63sjmuny.us-east-1.es.amazonaws.com/_plugin/kibana/#/discover/Steve-Slow-Train-Analysis-(2080s-and-2083s)?_g=(refreshInterval:(display:Off,section:0,value:0),time:(from:'2016-09-04 16:23:19-0600',mode:absolute,to:'2016-09-04 19:14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22" s="54" t="str">
        <f t="shared" si="56"/>
        <v>Y</v>
      </c>
      <c r="X122" s="120">
        <f t="shared" si="57"/>
        <v>1</v>
      </c>
      <c r="Y122" s="69">
        <f t="shared" si="58"/>
        <v>0.14810000000000001</v>
      </c>
      <c r="Z122" s="69">
        <f t="shared" si="59"/>
        <v>5.4771000000000001</v>
      </c>
      <c r="AA122" s="69">
        <f t="shared" si="60"/>
        <v>5.3289999999999997</v>
      </c>
      <c r="AB122" s="66" t="e">
        <f>VLOOKUP(A122,Enforcements!$C$7:$J$21,8,0)</f>
        <v>#N/A</v>
      </c>
      <c r="AC122" s="62" t="e">
        <f>VLOOKUP(A122,Enforcements!$C$7:$E$21,3,0)</f>
        <v>#N/A</v>
      </c>
      <c r="AD122" s="63" t="str">
        <f t="shared" si="61"/>
        <v>0211-04</v>
      </c>
      <c r="AE122" s="99" t="str">
        <f t="shared" si="62"/>
        <v>aws s3 cp s3://rtdc.mdm.uploadarchive/RTDC4044/2016-09-04/ "%USERPROFILE%\AppData\Local\Temp\OnboardLogs"\RTDC4044\2016-09-04 --recursive &amp; "%USERPROFILE%\Documents\GitHub\mrs-test-scripts\Headless Mode &amp; Sideloading\WalkAndUnGZ.bat" "%USERPROFILE%\AppData\Local\Temp\OnboardLogs"\RTDC4044\2016-09-04 &amp; 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</v>
      </c>
      <c r="AF122" s="96" t="str">
        <f t="shared" si="63"/>
        <v>"C:\Program Files (x86)\AstroGrep\AstroGrep.exe" /spath="%USERPROFILE%\AppData\Local\Temp\OnboardLogs" /stypes="*4044*20160905*" /stext=" 00:.+((SYSTEM_STATE.+slice.+state.+changed )|(ment ac)|(system.+state.+changed )|(\|lc)|(penalty)|(\[timeout)|(PRM\|1\|D)|(kpr)|(kdp))" /e /r /s</v>
      </c>
      <c r="AG122" s="1" t="str">
        <f t="shared" si="64"/>
        <v>EC</v>
      </c>
      <c r="AH122" s="100" t="str">
        <f t="shared" si="48"/>
        <v>"%USERPROFILE%\Documents\GitHub\eaglep3\Utilities\RefineRTDCRunTimes.py" --tripid 211-04 --locoid 4044 --swversion DE.1.0.7.0 --startMP 204:1481 --initTime 2016-09-04T17:23:19 --startdatetime 2016-09-04T17:51:03 --delay 1 --endMP 204:54771 --enddatetime 2016-09-04T18:14:20 --enforcementcount 0 &gt;&gt;C:\Users\stu\Documents\GitHub\eaglep3-reporting\EC\2016-09-04-refined-times.txt</v>
      </c>
      <c r="AI122" s="149" t="str">
        <f t="shared" si="49"/>
        <v>echo {"issue":{"subject":"Quebec 2N signal unable to clear","project_id":79,"tracker_id":40,"status_id":1,"priority_id":2,"assigned_to_id":23,"start_date":"2016-09-04","description":"","custom_fields":[{"id":1,"name":"Subdivision","value":"EC"},{"id":4,"name":"Milepost","value":"5.329"},{"id":17,"name":"Train ID","value":"211-04"},{"id":16,"name":"Locomotive ID","value":"4044"},{"id":130,"name":"Impact","value":""},{"id":150,"name":"Time of Event (Mountain Time)","value":"18:14:20"},{"id":151,"name":"Denver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507</v>
      </c>
      <c r="B123" s="7">
        <v>4044</v>
      </c>
      <c r="C123" s="24" t="s">
        <v>112</v>
      </c>
      <c r="D123" s="24" t="s">
        <v>645</v>
      </c>
      <c r="E123" s="15">
        <v>42617.742777777778</v>
      </c>
      <c r="F123" s="15">
        <v>42617.743784722225</v>
      </c>
      <c r="G123" s="7">
        <v>0</v>
      </c>
      <c r="H123" s="15" t="s">
        <v>646</v>
      </c>
      <c r="I123" s="15">
        <v>42617.759953703702</v>
      </c>
      <c r="J123" s="7">
        <v>0</v>
      </c>
      <c r="K123" s="132" t="str">
        <f t="shared" si="52"/>
        <v>4043/4044</v>
      </c>
      <c r="L123" s="24" t="str">
        <f>VLOOKUP(A123,'Trips&amp;Operators'!$C$1:$E$10000,3,FALSE)</f>
        <v>YOUNG</v>
      </c>
      <c r="M123" s="6">
        <f t="shared" si="53"/>
        <v>1.6168981477676425E-2</v>
      </c>
      <c r="N123" s="7"/>
      <c r="O123" s="7"/>
      <c r="P123" s="7"/>
      <c r="Q123" s="25"/>
      <c r="R123" s="25"/>
      <c r="S123" s="37"/>
      <c r="T123" s="52" t="str">
        <f t="shared" si="54"/>
        <v>NorthBound</v>
      </c>
      <c r="U123" s="12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3</v>
      </c>
      <c r="V123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https://search-rtdc-monitor-bjffxe2xuh6vdkpspy63sjmuny.us-east-1.es.amazonaws.com/_plugin/kibana/#/discover/Steve-Slow-Train-Analysis-(2080s-and-2083s)?_g=(refreshInterval:(display:Off,section:0,value:0),time:(from:'2016-09-04 16:49:36-0600',mode:absolute,to:'2016-09-04 19:14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23" s="54" t="str">
        <f t="shared" si="56"/>
        <v>Y</v>
      </c>
      <c r="X123" s="120">
        <f t="shared" si="57"/>
        <v>0</v>
      </c>
      <c r="Y123" s="69">
        <f t="shared" si="58"/>
        <v>6.4703999999999997</v>
      </c>
      <c r="Z123" s="69">
        <f t="shared" si="59"/>
        <v>23.3306</v>
      </c>
      <c r="AA123" s="69">
        <f t="shared" si="60"/>
        <v>16.860199999999999</v>
      </c>
      <c r="AB123" s="66" t="e">
        <f>VLOOKUP(A123,Enforcements!$C$7:$J$21,8,0)</f>
        <v>#N/A</v>
      </c>
      <c r="AC123" s="62" t="e">
        <f>VLOOKUP(A123,Enforcements!$C$7:$E$21,3,0)</f>
        <v>#N/A</v>
      </c>
      <c r="AD123" s="63" t="str">
        <f t="shared" si="61"/>
        <v>0211-04</v>
      </c>
      <c r="AE123" s="99" t="str">
        <f t="shared" si="62"/>
        <v>aws s3 cp s3://rtdc.mdm.uploadarchive/RTDC4044/2016-09-04/ "%USERPROFILE%\AppData\Local\Temp\OnboardLogs"\RTDC4044\2016-09-04 --recursive &amp; "%USERPROFILE%\Documents\GitHub\mrs-test-scripts\Headless Mode &amp; Sideloading\WalkAndUnGZ.bat" "%USERPROFILE%\AppData\Local\Temp\OnboardLogs"\RTDC4044\2016-09-04 &amp; 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</v>
      </c>
      <c r="AF123" s="96" t="str">
        <f t="shared" si="63"/>
        <v>"C:\Program Files (x86)\AstroGrep\AstroGrep.exe" /spath="%USERPROFILE%\AppData\Local\Temp\OnboardLogs" /stypes="*4044*20160905*" /stext=" 00:.+((SYSTEM_STATE.+slice.+state.+changed )|(ment ac)|(system.+state.+changed )|(\|lc)|(penalty)|(\[timeout)|(PRM\|1\|D)|(kpr)|(kdp))" /e /r /s</v>
      </c>
      <c r="AG123" s="1" t="str">
        <f t="shared" si="64"/>
        <v>EC</v>
      </c>
      <c r="AH123" s="100" t="str">
        <f t="shared" si="48"/>
        <v>"%USERPROFILE%\Documents\GitHub\eaglep3\Utilities\RefineRTDCRunTimes.py" --tripid 211-04 --locoid 4044 --swversion DE.1.0.7.0 --startMP 204:64704 --initTime 2016-09-04T17:49:36 --startdatetime 2016-09-04T17:51:03 --delay 0 --endMP 204:233306 --enddatetime 2016-09-04T18:14:20 --enforcementcount 0 &gt;&gt;C:\Users\stu\Documents\GitHub\eaglep3-reporting\EC\2016-09-04-refined-times.txt</v>
      </c>
      <c r="AI123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{"issue":{"subject":"","project_id":79,"tracker_id":40,"status_id":1,"priority_id":2,"assigned_to_id":23,"start_date":"2016-09-04","description":"","custom_fields":[{"id":1,"name":"Subdivision","value":"EC"},{"id":4,"name":"Milepost","value":"16.8602"},{"id":17,"name":"Train ID","value":"211-04"},{"id":16,"name":"Locomotive ID","value":"4044"},{"id":130,"name":"Impact","value":""},{"id":150,"name":"Time of Event (Mountain Time)","value":"18:14:20"},{"id":151,"name":"Denver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518</v>
      </c>
      <c r="B124" s="7">
        <v>4043</v>
      </c>
      <c r="C124" s="24" t="s">
        <v>112</v>
      </c>
      <c r="D124" s="24" t="s">
        <v>237</v>
      </c>
      <c r="E124" s="15">
        <v>42617.762164351851</v>
      </c>
      <c r="F124" s="15">
        <v>42617.768750000003</v>
      </c>
      <c r="G124" s="7">
        <v>2</v>
      </c>
      <c r="H124" s="15" t="s">
        <v>252</v>
      </c>
      <c r="I124" s="15">
        <v>42617.79824074074</v>
      </c>
      <c r="J124" s="7">
        <v>0</v>
      </c>
      <c r="K124" s="132" t="str">
        <f t="shared" si="52"/>
        <v>4043/4044</v>
      </c>
      <c r="L124" s="24" t="str">
        <f>VLOOKUP(A124,'Trips&amp;Operators'!$C$1:$E$10000,3,FALSE)</f>
        <v>YOUNG</v>
      </c>
      <c r="M124" s="6">
        <f t="shared" si="53"/>
        <v>2.9490740736946464E-2</v>
      </c>
      <c r="N124" s="7">
        <f t="shared" si="65"/>
        <v>42.466666661202908</v>
      </c>
      <c r="O124" s="7"/>
      <c r="P124" s="7"/>
      <c r="Q124" s="25"/>
      <c r="R124" s="25"/>
      <c r="S124" s="37">
        <f t="shared" si="66"/>
        <v>1</v>
      </c>
      <c r="T124" s="52" t="str">
        <f t="shared" si="54"/>
        <v>Southbound</v>
      </c>
      <c r="U124" s="12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https://search-rtdc-monitor-bjffxe2xuh6vdkpspy63sjmuny.us-east-1.es.amazonaws.com/_plugin/kibana/#/discover/Steve-Slow-Train-Analysis-(2080s-and-2083s)?_g=(refreshInterval:(display:Off,section:0,value:0),time:(from:'2016-09-04 17:17:31-0600',mode:absolute,to:'2016-09-04 20:09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24" s="54" t="str">
        <f t="shared" si="56"/>
        <v>N</v>
      </c>
      <c r="X124" s="120">
        <f t="shared" si="57"/>
        <v>1</v>
      </c>
      <c r="Y124" s="69">
        <f t="shared" si="58"/>
        <v>23.300799999999999</v>
      </c>
      <c r="Z124" s="69">
        <f t="shared" si="59"/>
        <v>1.41E-2</v>
      </c>
      <c r="AA124" s="69">
        <f t="shared" si="60"/>
        <v>23.2867</v>
      </c>
      <c r="AB124" s="66" t="e">
        <f>VLOOKUP(A124,Enforcements!$C$7:$J$21,8,0)</f>
        <v>#N/A</v>
      </c>
      <c r="AC124" s="62" t="e">
        <f>VLOOKUP(A124,Enforcements!$C$7:$E$21,3,0)</f>
        <v>#N/A</v>
      </c>
      <c r="AD124" s="63" t="str">
        <f t="shared" si="61"/>
        <v>0212-04</v>
      </c>
      <c r="AE124" s="99" t="str">
        <f t="shared" si="62"/>
        <v>aws s3 cp s3://rtdc.mdm.uploadarchive/RTDC4043/2016-09-04/ "%USERPROFILE%\AppData\Local\Temp\OnboardLogs"\RTDC4043\2016-09-04 --recursive &amp; "%USERPROFILE%\Documents\GitHub\mrs-test-scripts\Headless Mode &amp; Sideloading\WalkAndUnGZ.bat" "%USERPROFILE%\AppData\Local\Temp\OnboardLogs"\RTDC4043\2016-09-04 &amp; 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</v>
      </c>
      <c r="AF124" s="96" t="str">
        <f t="shared" si="63"/>
        <v>"C:\Program Files (x86)\AstroGrep\AstroGrep.exe" /spath="%USERPROFILE%\AppData\Local\Temp\OnboardLogs" /stypes="*4043*20160905*" /stext=" 01:.+((SYSTEM_STATE.+slice.+state.+changed )|(ment ac)|(system.+state.+changed )|(\|lc)|(penalty)|(\[timeout)|(PRM\|1\|D)|(kpr)|(kdp))" /e /r /s</v>
      </c>
      <c r="AG124" s="1" t="str">
        <f t="shared" si="64"/>
        <v>EC</v>
      </c>
      <c r="AH124" s="100" t="str">
        <f t="shared" si="48"/>
        <v>"%USERPROFILE%\Documents\GitHub\eaglep3\Utilities\RefineRTDCRunTimes.py" --tripid 212-04 --locoid 4043 --swversion DE.1.0.7.0 --startMP 204:233008 --initTime 2016-09-04T18:17:31 --startdatetime 2016-09-04T18:27:00 --delay 2 --endMP 204:141 --enddatetime 2016-09-04T19:09:28 --enforcementcount 0 &gt;&gt;C:\Users\stu\Documents\GitHub\eaglep3-reporting\EC\2016-09-04-refined-times.txt</v>
      </c>
      <c r="AI124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{"issue":{"subject":"","project_id":79,"tracker_id":40,"status_id":1,"priority_id":2,"assigned_to_id":23,"start_date":"2016-09-04","description":"","custom_fields":[{"id":1,"name":"Subdivision","value":"EC"},{"id":4,"name":"Milepost","value":"23.2867"},{"id":17,"name":"Train ID","value":"212-04"},{"id":16,"name":"Locomotive ID","value":"4043"},{"id":130,"name":"Impact","value":""},{"id":150,"name":"Time of Event (Mountain Time)","value":"19:09:28"},{"id":151,"name":"Denver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510</v>
      </c>
      <c r="B125" s="7">
        <v>4009</v>
      </c>
      <c r="C125" s="24" t="s">
        <v>112</v>
      </c>
      <c r="D125" s="24" t="s">
        <v>134</v>
      </c>
      <c r="E125" s="15">
        <v>42617.741585648146</v>
      </c>
      <c r="F125" s="15">
        <v>42617.7575462963</v>
      </c>
      <c r="G125" s="7">
        <v>2</v>
      </c>
      <c r="H125" s="15" t="s">
        <v>647</v>
      </c>
      <c r="I125" s="15">
        <v>42617.773379629631</v>
      </c>
      <c r="J125" s="7">
        <v>0</v>
      </c>
      <c r="K125" s="132" t="str">
        <f t="shared" si="52"/>
        <v>4009/4010</v>
      </c>
      <c r="L125" s="24" t="str">
        <f>VLOOKUP(A125,'Trips&amp;Operators'!$C$1:$E$10000,3,FALSE)</f>
        <v>COOLAHAN</v>
      </c>
      <c r="M125" s="6">
        <f t="shared" si="53"/>
        <v>1.583333333110204E-2</v>
      </c>
      <c r="N125" s="7"/>
      <c r="O125" s="7"/>
      <c r="P125" s="7">
        <f t="shared" si="65"/>
        <v>22.799999996786937</v>
      </c>
      <c r="Q125" s="25"/>
      <c r="R125" s="25" t="s">
        <v>688</v>
      </c>
      <c r="S125" s="37">
        <f>SUM(U125:U126)/IF(AG125="EC",12,1)</f>
        <v>0.75</v>
      </c>
      <c r="T125" s="52" t="str">
        <f t="shared" si="54"/>
        <v>NorthBound</v>
      </c>
      <c r="U125" s="12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6</v>
      </c>
      <c r="V125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https://search-rtdc-monitor-bjffxe2xuh6vdkpspy63sjmuny.us-east-1.es.amazonaws.com/_plugin/kibana/#/discover/Steve-Slow-Train-Analysis-(2080s-and-2083s)?_g=(refreshInterval:(display:Off,section:0,value:0),time:(from:'2016-09-04 16:47:53-0600',mode:absolute,to:'2016-09-04 19:33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25" s="54" t="str">
        <f t="shared" si="56"/>
        <v>Y</v>
      </c>
      <c r="X125" s="120">
        <f t="shared" si="57"/>
        <v>1</v>
      </c>
      <c r="Y125" s="69">
        <f t="shared" si="58"/>
        <v>4.4900000000000002E-2</v>
      </c>
      <c r="Z125" s="69">
        <f t="shared" si="59"/>
        <v>5.548</v>
      </c>
      <c r="AA125" s="69">
        <f t="shared" si="60"/>
        <v>5.5030999999999999</v>
      </c>
      <c r="AB125" s="66" t="e">
        <f>VLOOKUP(A125,Enforcements!$C$7:$J$21,8,0)</f>
        <v>#N/A</v>
      </c>
      <c r="AC125" s="62" t="e">
        <f>VLOOKUP(A125,Enforcements!$C$7:$E$21,3,0)</f>
        <v>#N/A</v>
      </c>
      <c r="AD125" s="63" t="str">
        <f t="shared" si="61"/>
        <v>0213-04</v>
      </c>
      <c r="AE125" s="99" t="str">
        <f t="shared" si="62"/>
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</c>
      <c r="AF125" s="96" t="str">
        <f t="shared" si="63"/>
        <v>"C:\Program Files (x86)\AstroGrep\AstroGrep.exe" /spath="%USERPROFILE%\AppData\Local\Temp\OnboardLogs" /stypes="*4009*20160905*" /stext=" 00:.+((SYSTEM_STATE.+slice.+state.+changed )|(ment ac)|(system.+state.+changed )|(\|lc)|(penalty)|(\[timeout)|(PRM\|1\|D)|(kpr)|(kdp))" /e /r /s</v>
      </c>
      <c r="AG125" s="1" t="str">
        <f t="shared" si="64"/>
        <v>EC</v>
      </c>
      <c r="AH125" s="100" t="str">
        <f t="shared" si="48"/>
        <v>"%USERPROFILE%\Documents\GitHub\eaglep3\Utilities\RefineRTDCRunTimes.py" --tripid 213-04 --locoid 4009 --swversion DE.1.0.7.0 --startMP 204:449 --initTime 2016-09-04T17:47:53 --startdatetime 2016-09-04T18:10:52 --delay 2 --endMP 204:55480 --enddatetime 2016-09-04T18:33:40 --enforcementcount 0 &gt;&gt;C:\Users\stu\Documents\GitHub\eaglep3-reporting\EC\2016-09-04-refined-times.txt</v>
      </c>
      <c r="AI125" s="149" t="str">
        <f t="shared" si="49"/>
        <v>echo {"issue":{"subject":"Quebec 2N signal unable to clear","project_id":79,"tracker_id":40,"status_id":1,"priority_id":2,"assigned_to_id":23,"start_date":"2016-09-04","description":"","custom_fields":[{"id":1,"name":"Subdivision","value":"EC"},{"id":4,"name":"Milepost","value":"5.5031"},{"id":17,"name":"Train ID","value":"213-04"},{"id":16,"name":"Locomotive ID","value":"4009"},{"id":130,"name":"Impact","value":""},{"id":150,"name":"Time of Event (Mountain Time)","value":"18:33:40"},{"id":151,"name":"Denver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510</v>
      </c>
      <c r="B126" s="7">
        <v>4009</v>
      </c>
      <c r="C126" s="24" t="s">
        <v>112</v>
      </c>
      <c r="D126" s="24" t="s">
        <v>648</v>
      </c>
      <c r="E126" s="15">
        <v>42617.756643518522</v>
      </c>
      <c r="F126" s="15">
        <v>42617.7575462963</v>
      </c>
      <c r="G126" s="7">
        <v>1</v>
      </c>
      <c r="H126" s="15" t="s">
        <v>335</v>
      </c>
      <c r="I126" s="15">
        <v>42617.773379629631</v>
      </c>
      <c r="J126" s="7">
        <v>0</v>
      </c>
      <c r="K126" s="132" t="str">
        <f t="shared" si="52"/>
        <v>4009/4010</v>
      </c>
      <c r="L126" s="24" t="str">
        <f>VLOOKUP(A126,'Trips&amp;Operators'!$C$1:$E$10000,3,FALSE)</f>
        <v>COOLAHAN</v>
      </c>
      <c r="M126" s="6">
        <f t="shared" si="53"/>
        <v>1.583333333110204E-2</v>
      </c>
      <c r="N126" s="7"/>
      <c r="O126" s="7"/>
      <c r="P126" s="7"/>
      <c r="Q126" s="25"/>
      <c r="R126" s="25"/>
      <c r="S126" s="37"/>
      <c r="T126" s="52" t="str">
        <f t="shared" si="54"/>
        <v>NorthBound</v>
      </c>
      <c r="U126" s="12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3</v>
      </c>
      <c r="V126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https://search-rtdc-monitor-bjffxe2xuh6vdkpspy63sjmuny.us-east-1.es.amazonaws.com/_plugin/kibana/#/discover/Steve-Slow-Train-Analysis-(2080s-and-2083s)?_g=(refreshInterval:(display:Off,section:0,value:0),time:(from:'2016-09-04 17:09:34-0600',mode:absolute,to:'2016-09-04 19:33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26" s="54" t="str">
        <f t="shared" si="56"/>
        <v>Y</v>
      </c>
      <c r="X126" s="120">
        <f t="shared" si="57"/>
        <v>0</v>
      </c>
      <c r="Y126" s="69">
        <f t="shared" si="58"/>
        <v>6.4682000000000004</v>
      </c>
      <c r="Z126" s="69">
        <f t="shared" si="59"/>
        <v>23.3278</v>
      </c>
      <c r="AA126" s="69">
        <f t="shared" si="60"/>
        <v>16.8596</v>
      </c>
      <c r="AB126" s="66" t="e">
        <f>VLOOKUP(A126,Enforcements!$C$7:$J$21,8,0)</f>
        <v>#N/A</v>
      </c>
      <c r="AC126" s="62" t="e">
        <f>VLOOKUP(A126,Enforcements!$C$7:$E$21,3,0)</f>
        <v>#N/A</v>
      </c>
      <c r="AD126" s="63" t="str">
        <f t="shared" si="61"/>
        <v>0213-04</v>
      </c>
      <c r="AE126" s="99" t="str">
        <f t="shared" si="62"/>
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</c>
      <c r="AF126" s="96" t="str">
        <f t="shared" si="63"/>
        <v>"C:\Program Files (x86)\AstroGrep\AstroGrep.exe" /spath="%USERPROFILE%\AppData\Local\Temp\OnboardLogs" /stypes="*4009*20160905*" /stext=" 00:.+((SYSTEM_STATE.+slice.+state.+changed )|(ment ac)|(system.+state.+changed )|(\|lc)|(penalty)|(\[timeout)|(PRM\|1\|D)|(kpr)|(kdp))" /e /r /s</v>
      </c>
      <c r="AG126" s="1" t="str">
        <f t="shared" si="64"/>
        <v>EC</v>
      </c>
      <c r="AH126" s="100" t="str">
        <f t="shared" si="48"/>
        <v>"%USERPROFILE%\Documents\GitHub\eaglep3\Utilities\RefineRTDCRunTimes.py" --tripid 213-04 --locoid 4009 --swversion DE.1.0.7.0 --startMP 204:64682 --initTime 2016-09-04T18:09:34 --startdatetime 2016-09-04T18:10:52 --delay 1 --endMP 204:233278 --enddatetime 2016-09-04T18:33:40 --enforcementcount 0 &gt;&gt;C:\Users\stu\Documents\GitHub\eaglep3-reporting\EC\2016-09-04-refined-times.txt</v>
      </c>
      <c r="AI126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{"issue":{"subject":"","project_id":79,"tracker_id":40,"status_id":1,"priority_id":2,"assigned_to_id":23,"start_date":"2016-09-04","description":"","custom_fields":[{"id":1,"name":"Subdivision","value":"EC"},{"id":4,"name":"Milepost","value":"16.8596"},{"id":17,"name":"Train ID","value":"213-04"},{"id":16,"name":"Locomotive ID","value":"4009"},{"id":130,"name":"Impact","value":""},{"id":150,"name":"Time of Event (Mountain Time)","value":"18:33:40"},{"id":151,"name":"Denver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521</v>
      </c>
      <c r="B127" s="7">
        <v>4010</v>
      </c>
      <c r="C127" s="24" t="s">
        <v>112</v>
      </c>
      <c r="D127" s="24" t="s">
        <v>649</v>
      </c>
      <c r="E127" s="15">
        <v>42617.776284722226</v>
      </c>
      <c r="F127" s="15">
        <v>42617.779548611114</v>
      </c>
      <c r="G127" s="7">
        <v>2</v>
      </c>
      <c r="H127" s="15" t="s">
        <v>284</v>
      </c>
      <c r="I127" s="15">
        <v>42617.80568287037</v>
      </c>
      <c r="J127" s="7">
        <v>0</v>
      </c>
      <c r="K127" s="132" t="str">
        <f t="shared" si="52"/>
        <v>4009/4010</v>
      </c>
      <c r="L127" s="24" t="str">
        <f>VLOOKUP(A127,'Trips&amp;Operators'!$C$1:$E$10000,3,FALSE)</f>
        <v>COOLAHAN</v>
      </c>
      <c r="M127" s="6">
        <f t="shared" si="53"/>
        <v>2.6134259256650694E-2</v>
      </c>
      <c r="N127" s="7">
        <f t="shared" si="65"/>
        <v>37.633333329576999</v>
      </c>
      <c r="O127" s="7"/>
      <c r="P127" s="7"/>
      <c r="Q127" s="25"/>
      <c r="R127" s="25"/>
      <c r="S127" s="37">
        <f t="shared" si="66"/>
        <v>1</v>
      </c>
      <c r="T127" s="52" t="str">
        <f t="shared" si="54"/>
        <v>Southbound</v>
      </c>
      <c r="U127" s="12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https://search-rtdc-monitor-bjffxe2xuh6vdkpspy63sjmuny.us-east-1.es.amazonaws.com/_plugin/kibana/#/discover/Steve-Slow-Train-Analysis-(2080s-and-2083s)?_g=(refreshInterval:(display:Off,section:0,value:0),time:(from:'2016-09-04 17:37:51-0600',mode:absolute,to:'2016-09-04 20:20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27" s="54" t="str">
        <f t="shared" si="56"/>
        <v>N</v>
      </c>
      <c r="X127" s="120">
        <f t="shared" si="57"/>
        <v>1</v>
      </c>
      <c r="Y127" s="69">
        <f t="shared" si="58"/>
        <v>23.293800000000001</v>
      </c>
      <c r="Z127" s="69">
        <f t="shared" si="59"/>
        <v>1.3599999999999999E-2</v>
      </c>
      <c r="AA127" s="69">
        <f t="shared" si="60"/>
        <v>23.280200000000001</v>
      </c>
      <c r="AB127" s="66">
        <f>VLOOKUP(A127,Enforcements!$C$7:$J$21,8,0)</f>
        <v>21848</v>
      </c>
      <c r="AC127" s="62" t="str">
        <f>VLOOKUP(A127,Enforcements!$C$7:$E$21,3,0)</f>
        <v>PERMANENT SPEED RESTRICTION</v>
      </c>
      <c r="AD127" s="63" t="str">
        <f t="shared" si="61"/>
        <v>0214-04</v>
      </c>
      <c r="AE127" s="99" t="str">
        <f t="shared" si="62"/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AF127" s="96" t="str">
        <f t="shared" si="63"/>
        <v>"C:\Program Files (x86)\AstroGrep\AstroGrep.exe" /spath="%USERPROFILE%\AppData\Local\Temp\OnboardLogs" /stypes="*4010*20160905*" /stext=" 01:.+((SYSTEM_STATE.+slice.+state.+changed )|(ment ac)|(system.+state.+changed )|(\|lc)|(penalty)|(\[timeout)|(PRM\|1\|D)|(kpr)|(kdp))" /e /r /s</v>
      </c>
      <c r="AG127" s="1" t="str">
        <f t="shared" si="64"/>
        <v>EC</v>
      </c>
      <c r="AH127" s="100" t="str">
        <f t="shared" si="48"/>
        <v>"%USERPROFILE%\Documents\GitHub\eaglep3\Utilities\RefineRTDCRunTimes.py" --tripid 214-04 --locoid 4010 --swversion DE.1.0.7.0 --startMP 204:232938 --initTime 2016-09-04T18:37:51 --startdatetime 2016-09-04T18:42:33 --delay 2 --endMP 204:136 --enddatetime 2016-09-04T19:20:11 --enforcementcount 0 &gt;&gt;C:\Users\stu\Documents\GitHub\eaglep3-reporting\EC\2016-09-04-refined-times.txt</v>
      </c>
      <c r="AI127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{"issue":{"subject":"","project_id":79,"tracker_id":40,"status_id":1,"priority_id":2,"assigned_to_id":23,"start_date":"2016-09-04","description":"","custom_fields":[{"id":1,"name":"Subdivision","value":"EC"},{"id":4,"name":"Milepost","value":"23.2802"},{"id":17,"name":"Train ID","value":"214-04"},{"id":16,"name":"Locomotive ID","value":"4010"},{"id":130,"name":"Impact","value":""},{"id":150,"name":"Time of Event (Mountain Time)","value":"19:20:11"},{"id":151,"name":"Denver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512</v>
      </c>
      <c r="B128" s="7">
        <v>4016</v>
      </c>
      <c r="C128" s="24" t="s">
        <v>112</v>
      </c>
      <c r="D128" s="24" t="s">
        <v>268</v>
      </c>
      <c r="E128" s="15">
        <v>42617.745925925927</v>
      </c>
      <c r="F128" s="15">
        <v>42617.750162037039</v>
      </c>
      <c r="G128" s="7">
        <v>1</v>
      </c>
      <c r="H128" s="15" t="s">
        <v>650</v>
      </c>
      <c r="I128" s="15">
        <v>42617.754872685182</v>
      </c>
      <c r="J128" s="7">
        <v>0</v>
      </c>
      <c r="K128" s="132" t="str">
        <f t="shared" si="52"/>
        <v>4015/4016</v>
      </c>
      <c r="L128" s="24" t="str">
        <f>VLOOKUP(A128,'Trips&amp;Operators'!$C$1:$E$10000,3,FALSE)</f>
        <v>SHOOK</v>
      </c>
      <c r="M128" s="6">
        <f t="shared" si="53"/>
        <v>4.7106481433729641E-3</v>
      </c>
      <c r="N128" s="7"/>
      <c r="O128" s="7"/>
      <c r="P128" s="7">
        <f t="shared" si="65"/>
        <v>6.7833333264570683</v>
      </c>
      <c r="Q128" s="25"/>
      <c r="R128" s="25" t="s">
        <v>689</v>
      </c>
      <c r="S128" s="37">
        <f t="shared" si="66"/>
        <v>0</v>
      </c>
      <c r="T128" s="52" t="str">
        <f t="shared" si="54"/>
        <v>NorthBound</v>
      </c>
      <c r="U128" s="12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0</v>
      </c>
      <c r="V128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https://search-rtdc-monitor-bjffxe2xuh6vdkpspy63sjmuny.us-east-1.es.amazonaws.com/_plugin/kibana/#/discover/Steve-Slow-Train-Analysis-(2080s-and-2083s)?_g=(refreshInterval:(display:Off,section:0,value:0),time:(from:'2016-09-04 16:54:08-0600',mode:absolute,to:'2016-09-04 19:07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128" s="54" t="str">
        <f t="shared" si="56"/>
        <v>Y</v>
      </c>
      <c r="X128" s="120">
        <f t="shared" si="57"/>
        <v>1</v>
      </c>
      <c r="Y128" s="69">
        <f t="shared" si="58"/>
        <v>4.7300000000000002E-2</v>
      </c>
      <c r="Z128" s="69">
        <f t="shared" si="59"/>
        <v>2.4729000000000001</v>
      </c>
      <c r="AA128" s="69">
        <f t="shared" si="60"/>
        <v>2.4256000000000002</v>
      </c>
      <c r="AB128" s="66" t="e">
        <f>VLOOKUP(A128,Enforcements!$C$7:$J$21,8,0)</f>
        <v>#N/A</v>
      </c>
      <c r="AC128" s="62" t="e">
        <f>VLOOKUP(A128,Enforcements!$C$7:$E$21,3,0)</f>
        <v>#N/A</v>
      </c>
      <c r="AD128" s="63" t="str">
        <f t="shared" si="61"/>
        <v>0215-04</v>
      </c>
      <c r="AE128" s="99" t="str">
        <f t="shared" si="62"/>
        <v>aws s3 cp s3://rtdc.mdm.uploadarchive/RTDC4016/2016-09-04/ "%USERPROFILE%\AppData\Local\Temp\OnboardLogs"\RTDC4016\2016-09-04 --recursive &amp; "%USERPROFILE%\Documents\GitHub\mrs-test-scripts\Headless Mode &amp; Sideloading\WalkAndUnGZ.bat" "%USERPROFILE%\AppData\Local\Temp\OnboardLogs"\RTDC4016\2016-09-04 &amp; 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</v>
      </c>
      <c r="AF128" s="96" t="str">
        <f t="shared" si="63"/>
        <v>"C:\Program Files (x86)\AstroGrep\AstroGrep.exe" /spath="%USERPROFILE%\AppData\Local\Temp\OnboardLogs" /stypes="*4016*20160905*" /stext=" 00:.+((SYSTEM_STATE.+slice.+state.+changed )|(ment ac)|(system.+state.+changed )|(\|lc)|(penalty)|(\[timeout)|(PRM\|1\|D)|(kpr)|(kdp))" /e /r /s</v>
      </c>
      <c r="AG128" s="1" t="str">
        <f t="shared" si="64"/>
        <v>EC</v>
      </c>
      <c r="AH128" s="100" t="str">
        <f t="shared" si="48"/>
        <v>"%USERPROFILE%\Documents\GitHub\eaglep3\Utilities\RefineRTDCRunTimes.py" --tripid 215-04 --locoid 4016 --swversion DE.1.0.7.0 --startMP 204:473 --initTime 2016-09-04T17:54:08 --startdatetime 2016-09-04T18:00:14 --delay 1 --endMP 204:24729 --enddatetime 2016-09-04T18:07:01 --enforcementcount 0 &gt;&gt;C:\Users\stu\Documents\GitHub\eaglep3-reporting\EC\2016-09-04-refined-times.txt</v>
      </c>
      <c r="AI128" s="149" t="str">
        <f t="shared" si="49"/>
        <v>echo {"issue":{"subject":"EC0286RH 21-1T 1N was STOP &amp; PROCEED.","project_id":79,"tracker_id":40,"status_id":1,"priority_id":2,"assigned_to_id":23,"start_date":"2016-09-04","description":"","custom_fields":[{"id":1,"name":"Subdivision","value":"EC"},{"id":4,"name":"Milepost","value":"2.4256"},{"id":17,"name":"Train ID","value":"215-04"},{"id":16,"name":"Locomotive ID","value":"4016"},{"id":130,"name":"Impact","value":""},{"id":150,"name":"Time of Event (Mountain Time)","value":"18:07:01"},{"id":151,"name":"Denver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516</v>
      </c>
      <c r="B129" s="7">
        <v>4018</v>
      </c>
      <c r="C129" s="24" t="s">
        <v>112</v>
      </c>
      <c r="D129" s="24" t="s">
        <v>287</v>
      </c>
      <c r="E129" s="15">
        <v>42617.759143518517</v>
      </c>
      <c r="F129" s="15">
        <v>42617.783437500002</v>
      </c>
      <c r="G129" s="7">
        <v>1</v>
      </c>
      <c r="H129" s="15" t="s">
        <v>651</v>
      </c>
      <c r="I129" s="15">
        <v>42617.796006944445</v>
      </c>
      <c r="J129" s="7">
        <v>0</v>
      </c>
      <c r="K129" s="132" t="str">
        <f t="shared" si="52"/>
        <v>4017/4018</v>
      </c>
      <c r="L129" s="24" t="str">
        <f>VLOOKUP(A129,'Trips&amp;Operators'!$C$1:$E$10000,3,FALSE)</f>
        <v>NEWELL</v>
      </c>
      <c r="M129" s="6">
        <f t="shared" si="53"/>
        <v>1.2569444443215616E-2</v>
      </c>
      <c r="N129" s="7"/>
      <c r="O129" s="7"/>
      <c r="P129" s="7">
        <f t="shared" si="65"/>
        <v>18.099999998230487</v>
      </c>
      <c r="Q129" s="25"/>
      <c r="R129" s="25" t="s">
        <v>688</v>
      </c>
      <c r="S129" s="37">
        <f>SUM(U129:U130)/IF(AG129="EC",12,1)</f>
        <v>0.66666666666666663</v>
      </c>
      <c r="T129" s="52" t="str">
        <f t="shared" si="54"/>
        <v>NorthBound</v>
      </c>
      <c r="U129" s="12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6</v>
      </c>
      <c r="V129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https://search-rtdc-monitor-bjffxe2xuh6vdkpspy63sjmuny.us-east-1.es.amazonaws.com/_plugin/kibana/#/discover/Steve-Slow-Train-Analysis-(2080s-and-2083s)?_g=(refreshInterval:(display:Off,section:0,value:0),time:(from:'2016-09-04 17:13:10-0600',mode:absolute,to:'2016-09-04 20:06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29" s="54" t="str">
        <f t="shared" si="56"/>
        <v>Y</v>
      </c>
      <c r="X129" s="120">
        <f t="shared" si="57"/>
        <v>2</v>
      </c>
      <c r="Y129" s="69">
        <f t="shared" si="58"/>
        <v>4.6399999999999997E-2</v>
      </c>
      <c r="Z129" s="69">
        <f t="shared" si="59"/>
        <v>5.6173999999999999</v>
      </c>
      <c r="AA129" s="69">
        <f t="shared" si="60"/>
        <v>5.5709999999999997</v>
      </c>
      <c r="AB129" s="66" t="e">
        <f>VLOOKUP(A129,Enforcements!$C$7:$J$21,8,0)</f>
        <v>#N/A</v>
      </c>
      <c r="AC129" s="62" t="e">
        <f>VLOOKUP(A129,Enforcements!$C$7:$E$21,3,0)</f>
        <v>#N/A</v>
      </c>
      <c r="AD129" s="63" t="str">
        <f t="shared" si="61"/>
        <v>0217-04</v>
      </c>
      <c r="AE129" s="99" t="str">
        <f t="shared" si="62"/>
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</c>
      <c r="AF129" s="96" t="str">
        <f t="shared" si="63"/>
        <v>"C:\Program Files (x86)\AstroGrep\AstroGrep.exe" /spath="%USERPROFILE%\AppData\Local\Temp\OnboardLogs" /stypes="*4018*20160905*" /stext=" 01:.+((SYSTEM_STATE.+slice.+state.+changed )|(ment ac)|(system.+state.+changed )|(\|lc)|(penalty)|(\[timeout)|(PRM\|1\|D)|(kpr)|(kdp))" /e /r /s</v>
      </c>
      <c r="AG129" s="1" t="str">
        <f t="shared" si="64"/>
        <v>EC</v>
      </c>
      <c r="AH129" s="100" t="str">
        <f t="shared" si="48"/>
        <v>"%USERPROFILE%\Documents\GitHub\eaglep3\Utilities\RefineRTDCRunTimes.py" --tripid 217-04 --locoid 4018 --swversion DE.1.0.7.0 --startMP 204:464 --initTime 2016-09-04T18:13:10 --startdatetime 2016-09-04T18:48:09 --delay 1 --endMP 204:56174 --enddatetime 2016-09-04T19:06:15 --enforcementcount 0 &gt;&gt;C:\Users\stu\Documents\GitHub\eaglep3-reporting\EC\2016-09-04-refined-times.txt</v>
      </c>
      <c r="AI129" s="149" t="str">
        <f t="shared" si="49"/>
        <v>echo {"issue":{"subject":"Quebec 2N signal unable to clear","project_id":79,"tracker_id":40,"status_id":1,"priority_id":2,"assigned_to_id":23,"start_date":"2016-09-04","description":"","custom_fields":[{"id":1,"name":"Subdivision","value":"EC"},{"id":4,"name":"Milepost","value":"5.571"},{"id":17,"name":"Train ID","value":"217-04"},{"id":16,"name":"Locomotive ID","value":"4018"},{"id":130,"name":"Impact","value":""},{"id":150,"name":"Time of Event (Mountain Time)","value":"19:06:15"},{"id":151,"name":"Denver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x14ac:dyDescent="0.25">
      <c r="A130" s="39" t="s">
        <v>516</v>
      </c>
      <c r="B130" s="7">
        <v>4018</v>
      </c>
      <c r="C130" s="24" t="s">
        <v>112</v>
      </c>
      <c r="D130" s="24" t="s">
        <v>652</v>
      </c>
      <c r="E130" s="15">
        <v>42617.782604166663</v>
      </c>
      <c r="F130" s="15">
        <v>42617.783437500002</v>
      </c>
      <c r="G130" s="7">
        <v>0</v>
      </c>
      <c r="H130" s="15" t="s">
        <v>347</v>
      </c>
      <c r="I130" s="15">
        <v>42617.796006944445</v>
      </c>
      <c r="J130" s="7">
        <v>0</v>
      </c>
      <c r="K130" s="132" t="str">
        <f t="shared" si="52"/>
        <v>4017/4018</v>
      </c>
      <c r="L130" s="24" t="str">
        <f>VLOOKUP(A130,'Trips&amp;Operators'!$C$1:$E$10000,3,FALSE)</f>
        <v>NEWELL</v>
      </c>
      <c r="M130" s="6">
        <f t="shared" si="53"/>
        <v>1.2569444443215616E-2</v>
      </c>
      <c r="N130" s="7"/>
      <c r="O130" s="7"/>
      <c r="P130" s="7"/>
      <c r="Q130" s="25"/>
      <c r="R130" s="25"/>
      <c r="S130" s="37"/>
      <c r="T130" s="52" t="str">
        <f t="shared" si="54"/>
        <v>NorthBound</v>
      </c>
      <c r="U130" s="12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2</v>
      </c>
      <c r="V130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https://search-rtdc-monitor-bjffxe2xuh6vdkpspy63sjmuny.us-east-1.es.amazonaws.com/_plugin/kibana/#/discover/Steve-Slow-Train-Analysis-(2080s-and-2083s)?_g=(refreshInterval:(display:Off,section:0,value:0),time:(from:'2016-09-04 17:46:57-0600',mode:absolute,to:'2016-09-04 20:06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30" s="54" t="str">
        <f t="shared" si="56"/>
        <v>Y</v>
      </c>
      <c r="X130" s="120">
        <f t="shared" si="57"/>
        <v>0</v>
      </c>
      <c r="Y130" s="69">
        <f t="shared" si="58"/>
        <v>8.6374999999999993</v>
      </c>
      <c r="Z130" s="69">
        <f t="shared" si="59"/>
        <v>23.3323</v>
      </c>
      <c r="AA130" s="69">
        <f t="shared" si="60"/>
        <v>14.694800000000001</v>
      </c>
      <c r="AB130" s="66" t="e">
        <f>VLOOKUP(A130,Enforcements!$C$7:$J$21,8,0)</f>
        <v>#N/A</v>
      </c>
      <c r="AC130" s="62" t="e">
        <f>VLOOKUP(A130,Enforcements!$C$7:$E$21,3,0)</f>
        <v>#N/A</v>
      </c>
      <c r="AD130" s="63" t="str">
        <f t="shared" si="61"/>
        <v>0217-04</v>
      </c>
      <c r="AE130" s="99" t="str">
        <f t="shared" si="62"/>
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</c>
      <c r="AF130" s="96" t="str">
        <f t="shared" si="63"/>
        <v>"C:\Program Files (x86)\AstroGrep\AstroGrep.exe" /spath="%USERPROFILE%\AppData\Local\Temp\OnboardLogs" /stypes="*4018*20160905*" /stext=" 01:.+((SYSTEM_STATE.+slice.+state.+changed )|(ment ac)|(system.+state.+changed )|(\|lc)|(penalty)|(\[timeout)|(PRM\|1\|D)|(kpr)|(kdp))" /e /r /s</v>
      </c>
      <c r="AG130" s="1" t="str">
        <f t="shared" si="64"/>
        <v>EC</v>
      </c>
      <c r="AH130" s="100" t="str">
        <f t="shared" si="48"/>
        <v>"%USERPROFILE%\Documents\GitHub\eaglep3\Utilities\RefineRTDCRunTimes.py" --tripid 217-04 --locoid 4018 --swversion DE.1.0.7.0 --startMP 204:86375 --initTime 2016-09-04T18:46:57 --startdatetime 2016-09-04T18:48:09 --delay 0 --endMP 204:233323 --enddatetime 2016-09-04T19:06:15 --enforcementcount 0 &gt;&gt;C:\Users\stu\Documents\GitHub\eaglep3-reporting\EC\2016-09-04-refined-times.txt</v>
      </c>
      <c r="AI130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{"issue":{"subject":"","project_id":79,"tracker_id":40,"status_id":1,"priority_id":2,"assigned_to_id":23,"start_date":"2016-09-04","description":"","custom_fields":[{"id":1,"name":"Subdivision","value":"EC"},{"id":4,"name":"Milepost","value":"14.6948"},{"id":17,"name":"Train ID","value":"217-04"},{"id":16,"name":"Locomotive ID","value":"4018"},{"id":130,"name":"Impact","value":""},{"id":150,"name":"Time of Event (Mountain Time)","value":"19:06:15"},{"id":151,"name":"Denver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524</v>
      </c>
      <c r="B131" s="7">
        <v>4017</v>
      </c>
      <c r="C131" s="24" t="s">
        <v>112</v>
      </c>
      <c r="D131" s="24" t="s">
        <v>291</v>
      </c>
      <c r="E131" s="15">
        <v>42617.797939814816</v>
      </c>
      <c r="F131" s="15">
        <v>42617.799490740741</v>
      </c>
      <c r="G131" s="7">
        <v>1</v>
      </c>
      <c r="H131" s="15" t="s">
        <v>89</v>
      </c>
      <c r="I131" s="15">
        <v>42617.826504629629</v>
      </c>
      <c r="J131" s="7">
        <v>0</v>
      </c>
      <c r="K131" s="132" t="str">
        <f t="shared" si="52"/>
        <v>4017/4018</v>
      </c>
      <c r="L131" s="24" t="str">
        <f>VLOOKUP(A131,'Trips&amp;Operators'!$C$1:$E$10000,3,FALSE)</f>
        <v>NEWELL</v>
      </c>
      <c r="M131" s="6">
        <f t="shared" si="53"/>
        <v>2.7013888888177462E-2</v>
      </c>
      <c r="N131" s="7">
        <f t="shared" si="65"/>
        <v>38.899999998975545</v>
      </c>
      <c r="O131" s="7"/>
      <c r="P131" s="7"/>
      <c r="Q131" s="25"/>
      <c r="R131" s="25"/>
      <c r="S131" s="37">
        <f t="shared" si="66"/>
        <v>1</v>
      </c>
      <c r="T131" s="52" t="str">
        <f t="shared" si="54"/>
        <v>Southbound</v>
      </c>
      <c r="U131" s="12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https://search-rtdc-monitor-bjffxe2xuh6vdkpspy63sjmuny.us-east-1.es.amazonaws.com/_plugin/kibana/#/discover/Steve-Slow-Train-Analysis-(2080s-and-2083s)?_g=(refreshInterval:(display:Off,section:0,value:0),time:(from:'2016-09-04 18:09:02-0600',mode:absolute,to:'2016-09-04 20:50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31" s="54" t="str">
        <f t="shared" si="56"/>
        <v>N</v>
      </c>
      <c r="X131" s="120">
        <f t="shared" si="57"/>
        <v>1</v>
      </c>
      <c r="Y131" s="69">
        <f t="shared" si="58"/>
        <v>23.3</v>
      </c>
      <c r="Z131" s="69">
        <f t="shared" si="59"/>
        <v>1.43E-2</v>
      </c>
      <c r="AA131" s="69">
        <f t="shared" si="60"/>
        <v>23.285700000000002</v>
      </c>
      <c r="AB131" s="66" t="e">
        <f>VLOOKUP(A131,Enforcements!$C$7:$J$21,8,0)</f>
        <v>#N/A</v>
      </c>
      <c r="AC131" s="62" t="e">
        <f>VLOOKUP(A131,Enforcements!$C$7:$E$21,3,0)</f>
        <v>#N/A</v>
      </c>
      <c r="AD131" s="63" t="str">
        <f t="shared" si="61"/>
        <v>0218-04</v>
      </c>
      <c r="AE131" s="99" t="str">
        <f t="shared" si="62"/>
        <v>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 &amp; 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</v>
      </c>
      <c r="AF131" s="96" t="str">
        <f t="shared" si="63"/>
        <v>"C:\Program Files (x86)\AstroGrep\AstroGrep.exe" /spath="%USERPROFILE%\AppData\Local\Temp\OnboardLogs" /stypes="*4017*20160905*" /stext=" 01:.+((SYSTEM_STATE.+slice.+state.+changed )|(ment ac)|(system.+state.+changed )|(\|lc)|(penalty)|(\[timeout)|(PRM\|1\|D)|(kpr)|(kdp))" /e /r /s</v>
      </c>
      <c r="AG131" s="1" t="str">
        <f t="shared" si="64"/>
        <v>EC</v>
      </c>
      <c r="AH131" s="100" t="str">
        <f t="shared" si="48"/>
        <v>"%USERPROFILE%\Documents\GitHub\eaglep3\Utilities\RefineRTDCRunTimes.py" --tripid 218-04 --locoid 4017 --swversion DE.1.0.7.0 --startMP 204:233000 --initTime 2016-09-04T19:09:02 --startdatetime 2016-09-04T19:11:16 --delay 1 --endMP 204:143 --enddatetime 2016-09-04T19:50:10 --enforcementcount 0 &gt;&gt;C:\Users\stu\Documents\GitHub\eaglep3-reporting\EC\2016-09-04-refined-times.txt</v>
      </c>
      <c r="AI131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{"issue":{"subject":"","project_id":79,"tracker_id":40,"status_id":1,"priority_id":2,"assigned_to_id":23,"start_date":"2016-09-04","description":"","custom_fields":[{"id":1,"name":"Subdivision","value":"EC"},{"id":4,"name":"Milepost","value":"23.2857"},{"id":17,"name":"Train ID","value":"218-04"},{"id":16,"name":"Locomotive ID","value":"4017"},{"id":130,"name":"Impact","value":""},{"id":150,"name":"Time of Event (Mountain Time)","value":"19:50:10"},{"id":151,"name":"Denver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s="23" customFormat="1" x14ac:dyDescent="0.25">
      <c r="A132" s="39" t="s">
        <v>519</v>
      </c>
      <c r="B132" s="7">
        <v>4031</v>
      </c>
      <c r="C132" s="24" t="s">
        <v>112</v>
      </c>
      <c r="D132" s="24" t="s">
        <v>653</v>
      </c>
      <c r="E132" s="15">
        <v>42617.772094907406</v>
      </c>
      <c r="F132" s="15">
        <v>42617.773287037038</v>
      </c>
      <c r="G132" s="7">
        <v>1</v>
      </c>
      <c r="H132" s="15" t="s">
        <v>654</v>
      </c>
      <c r="I132" s="15">
        <v>42617.7734375</v>
      </c>
      <c r="J132" s="7">
        <v>0</v>
      </c>
      <c r="K132" s="132" t="str">
        <f t="shared" si="52"/>
        <v>4031/4032</v>
      </c>
      <c r="L132" s="24" t="str">
        <f>VLOOKUP(A132,'Trips&amp;Operators'!$C$1:$E$10000,3,FALSE)</f>
        <v>CHANDLER</v>
      </c>
      <c r="M132" s="6">
        <f t="shared" si="53"/>
        <v>1.5046296175569296E-4</v>
      </c>
      <c r="N132" s="7"/>
      <c r="O132" s="7"/>
      <c r="P132" s="7">
        <f t="shared" si="65"/>
        <v>0.21666666492819786</v>
      </c>
      <c r="Q132" s="25"/>
      <c r="R132" s="25" t="s">
        <v>690</v>
      </c>
      <c r="S132" s="37">
        <f t="shared" si="66"/>
        <v>0</v>
      </c>
      <c r="T132" s="52" t="str">
        <f t="shared" si="54"/>
        <v>NorthBound</v>
      </c>
      <c r="U132" s="12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0</v>
      </c>
      <c r="V132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https://search-rtdc-monitor-bjffxe2xuh6vdkpspy63sjmuny.us-east-1.es.amazonaws.com/_plugin/kibana/#/discover/Steve-Slow-Train-Analysis-(2080s-and-2083s)?_g=(refreshInterval:(display:Off,section:0,value:0),time:(from:'2016-09-04 17:31:49-0600',mode:absolute,to:'2016-09-04 19:33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32" s="54" t="str">
        <f t="shared" si="56"/>
        <v>Y</v>
      </c>
      <c r="X132" s="120">
        <f t="shared" si="57"/>
        <v>1</v>
      </c>
      <c r="Y132" s="69">
        <f t="shared" si="58"/>
        <v>0.14899999999999999</v>
      </c>
      <c r="Z132" s="69">
        <f t="shared" si="59"/>
        <v>0.19889999999999999</v>
      </c>
      <c r="AA132" s="69">
        <f t="shared" si="60"/>
        <v>4.99E-2</v>
      </c>
      <c r="AB132" s="66" t="e">
        <f>VLOOKUP(A132,Enforcements!$C$7:$J$21,8,0)</f>
        <v>#N/A</v>
      </c>
      <c r="AC132" s="62" t="e">
        <f>VLOOKUP(A132,Enforcements!$C$7:$E$21,3,0)</f>
        <v>#N/A</v>
      </c>
      <c r="AD132" s="63" t="str">
        <f t="shared" si="61"/>
        <v>0219-04</v>
      </c>
      <c r="AE132" s="99" t="str">
        <f t="shared" si="62"/>
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</c>
      <c r="AF132" s="96" t="str">
        <f t="shared" si="63"/>
        <v>"C:\Program Files (x86)\AstroGrep\AstroGrep.exe" /spath="%USERPROFILE%\AppData\Local\Temp\OnboardLogs" /stypes="*4031*20160905*" /stext=" 00:.+((SYSTEM_STATE.+slice.+state.+changed )|(ment ac)|(system.+state.+changed )|(\|lc)|(penalty)|(\[timeout)|(PRM\|1\|D)|(kpr)|(kdp))" /e /r /s</v>
      </c>
      <c r="AG132" s="1" t="str">
        <f t="shared" si="64"/>
        <v>EC</v>
      </c>
      <c r="AH132" s="100" t="str">
        <f t="shared" si="48"/>
        <v>"%USERPROFILE%\Documents\GitHub\eaglep3\Utilities\RefineRTDCRunTimes.py" --tripid 219-04 --locoid 4031 --swversion DE.1.0.7.0 --startMP 204:1490 --initTime 2016-09-04T18:31:49 --startdatetime 2016-09-04T18:33:32 --delay 1 --endMP 204:1989 --enddatetime 2016-09-04T18:33:45 --enforcementcount 0 &gt;&gt;C:\Users\stu\Documents\GitHub\eaglep3-reporting\EC\2016-09-04-refined-times.txt</v>
      </c>
      <c r="AI132" s="149" t="str">
        <f t="shared" si="49"/>
        <v>echo {"issue":{"subject":"Departure from DUS Main 3","project_id":79,"tracker_id":40,"status_id":1,"priority_id":2,"assigned_to_id":23,"start_date":"2016-09-04","description":"","custom_fields":[{"id":1,"name":"Subdivision","value":"EC"},{"id":4,"name":"Milepost","value":"0.0499"},{"id":17,"name":"Train ID","value":"219-04"},{"id":16,"name":"Locomotive ID","value":"4031"},{"id":130,"name":"Impact","value":""},{"id":150,"name":"Time of Event (Mountain Time)","value":"18:33:45"},{"id":151,"name":"Denver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x14ac:dyDescent="0.25">
      <c r="A133" s="39" t="s">
        <v>527</v>
      </c>
      <c r="B133" s="7">
        <v>4032</v>
      </c>
      <c r="C133" s="24" t="s">
        <v>112</v>
      </c>
      <c r="D133" s="24" t="s">
        <v>232</v>
      </c>
      <c r="E133" s="15">
        <v>42617.810937499999</v>
      </c>
      <c r="F133" s="15">
        <v>42617.8122337963</v>
      </c>
      <c r="G133" s="7">
        <v>1</v>
      </c>
      <c r="H133" s="15" t="s">
        <v>295</v>
      </c>
      <c r="I133" s="15">
        <v>42617.839965277781</v>
      </c>
      <c r="J133" s="7">
        <v>0</v>
      </c>
      <c r="K133" s="132" t="str">
        <f t="shared" si="52"/>
        <v>4031/4032</v>
      </c>
      <c r="L133" s="24" t="str">
        <f>VLOOKUP(A133,'Trips&amp;Operators'!$C$1:$E$10000,3,FALSE)</f>
        <v>CHANDLER</v>
      </c>
      <c r="M133" s="6">
        <f t="shared" si="53"/>
        <v>2.7731481481168885E-2</v>
      </c>
      <c r="N133" s="7">
        <f t="shared" si="65"/>
        <v>39.933333332883194</v>
      </c>
      <c r="O133" s="7"/>
      <c r="P133" s="7"/>
      <c r="Q133" s="25"/>
      <c r="R133" s="25"/>
      <c r="S133" s="37">
        <f t="shared" si="66"/>
        <v>1</v>
      </c>
      <c r="T133" s="52" t="str">
        <f t="shared" si="54"/>
        <v>Southbound</v>
      </c>
      <c r="U133" s="12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https://search-rtdc-monitor-bjffxe2xuh6vdkpspy63sjmuny.us-east-1.es.amazonaws.com/_plugin/kibana/#/discover/Steve-Slow-Train-Analysis-(2080s-and-2083s)?_g=(refreshInterval:(display:Off,section:0,value:0),time:(from:'2016-09-04 18:27:45-0600',mode:absolute,to:'2016-09-04 21:09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33" s="54" t="str">
        <f t="shared" si="56"/>
        <v>N</v>
      </c>
      <c r="X133" s="120">
        <f t="shared" si="57"/>
        <v>1</v>
      </c>
      <c r="Y133" s="69">
        <f t="shared" si="58"/>
        <v>23.298500000000001</v>
      </c>
      <c r="Z133" s="69">
        <f t="shared" si="59"/>
        <v>1.67E-2</v>
      </c>
      <c r="AA133" s="69">
        <f t="shared" si="60"/>
        <v>23.2818</v>
      </c>
      <c r="AB133" s="66" t="e">
        <f>VLOOKUP(A133,Enforcements!$C$7:$J$21,8,0)</f>
        <v>#N/A</v>
      </c>
      <c r="AC133" s="62" t="e">
        <f>VLOOKUP(A133,Enforcements!$C$7:$E$21,3,0)</f>
        <v>#N/A</v>
      </c>
      <c r="AD133" s="63" t="str">
        <f t="shared" si="61"/>
        <v>0220-04</v>
      </c>
      <c r="AE133" s="99" t="str">
        <f t="shared" si="62"/>
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</c>
      <c r="AF133" s="96" t="str">
        <f t="shared" si="63"/>
        <v>"C:\Program Files (x86)\AstroGrep\AstroGrep.exe" /spath="%USERPROFILE%\AppData\Local\Temp\OnboardLogs" /stypes="*4032*20160905*" /stext=" 02:.+((SYSTEM_STATE.+slice.+state.+changed )|(ment ac)|(system.+state.+changed )|(\|lc)|(penalty)|(\[timeout)|(PRM\|1\|D)|(kpr)|(kdp))" /e /r /s</v>
      </c>
      <c r="AG133" s="1" t="str">
        <f t="shared" si="64"/>
        <v>EC</v>
      </c>
      <c r="AH133" s="100" t="str">
        <f t="shared" si="48"/>
        <v>"%USERPROFILE%\Documents\GitHub\eaglep3\Utilities\RefineRTDCRunTimes.py" --tripid 220-04 --locoid 4032 --swversion DE.1.0.7.0 --startMP 204:232985 --initTime 2016-09-04T19:27:45 --startdatetime 2016-09-04T19:29:37 --delay 1 --endMP 204:167 --enddatetime 2016-09-04T20:09:33 --enforcementcount 0 &gt;&gt;C:\Users\stu\Documents\GitHub\eaglep3-reporting\EC\2016-09-04-refined-times.txt</v>
      </c>
      <c r="AI133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{"issue":{"subject":"","project_id":79,"tracker_id":40,"status_id":1,"priority_id":2,"assigned_to_id":23,"start_date":"2016-09-04","description":"","custom_fields":[{"id":1,"name":"Subdivision","value":"EC"},{"id":4,"name":"Milepost","value":"23.2818"},{"id":17,"name":"Train ID","value":"220-04"},{"id":16,"name":"Locomotive ID","value":"4032"},{"id":130,"name":"Impact","value":""},{"id":150,"name":"Time of Event (Mountain Time)","value":"20:09:33"},{"id":151,"name":"Denver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523</v>
      </c>
      <c r="B134" s="7">
        <v>4046</v>
      </c>
      <c r="C134" s="24" t="s">
        <v>112</v>
      </c>
      <c r="D134" s="24" t="s">
        <v>655</v>
      </c>
      <c r="E134" s="15">
        <v>42617.788993055554</v>
      </c>
      <c r="F134" s="15">
        <v>42617.791851851849</v>
      </c>
      <c r="G134" s="7">
        <v>1</v>
      </c>
      <c r="H134" s="15" t="s">
        <v>656</v>
      </c>
      <c r="I134" s="15">
        <v>42617.800682870373</v>
      </c>
      <c r="J134" s="7">
        <v>0</v>
      </c>
      <c r="K134" s="132" t="str">
        <f t="shared" si="52"/>
        <v>4045/4046</v>
      </c>
      <c r="L134" s="24" t="str">
        <f>VLOOKUP(A134,'Trips&amp;Operators'!$C$1:$E$10000,3,FALSE)</f>
        <v>LEVERE</v>
      </c>
      <c r="M134" s="6">
        <f t="shared" si="53"/>
        <v>8.8310185237787664E-3</v>
      </c>
      <c r="N134" s="7"/>
      <c r="O134" s="7"/>
      <c r="P134" s="7">
        <f t="shared" si="65"/>
        <v>12.716666674241424</v>
      </c>
      <c r="Q134" s="25"/>
      <c r="R134" s="25" t="s">
        <v>688</v>
      </c>
      <c r="S134" s="37">
        <f t="shared" si="66"/>
        <v>0.5</v>
      </c>
      <c r="T134" s="52" t="str">
        <f t="shared" si="54"/>
        <v>NorthBound</v>
      </c>
      <c r="U134" s="12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6</v>
      </c>
      <c r="V134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https://search-rtdc-monitor-bjffxe2xuh6vdkpspy63sjmuny.us-east-1.es.amazonaws.com/_plugin/kibana/#/discover/Steve-Slow-Train-Analysis-(2080s-and-2083s)?_g=(refreshInterval:(display:Off,section:0,value:0),time:(from:'2016-09-04 17:56:09-0600',mode:absolute,to:'2016-09-04 20:12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</c>
      <c r="W134" s="54" t="str">
        <f t="shared" si="56"/>
        <v>Y</v>
      </c>
      <c r="X134" s="120">
        <f t="shared" si="57"/>
        <v>1</v>
      </c>
      <c r="Y134" s="69">
        <f t="shared" si="58"/>
        <v>5.0200000000000002E-2</v>
      </c>
      <c r="Z134" s="69">
        <f t="shared" si="59"/>
        <v>5.4724000000000004</v>
      </c>
      <c r="AA134" s="69">
        <f t="shared" si="60"/>
        <v>5.4222000000000001</v>
      </c>
      <c r="AB134" s="66" t="e">
        <f>VLOOKUP(A134,Enforcements!$C$7:$J$21,8,0)</f>
        <v>#N/A</v>
      </c>
      <c r="AC134" s="62" t="e">
        <f>VLOOKUP(A134,Enforcements!$C$7:$E$21,3,0)</f>
        <v>#N/A</v>
      </c>
      <c r="AD134" s="63" t="str">
        <f t="shared" si="61"/>
        <v>0221-04</v>
      </c>
      <c r="AE134" s="99" t="str">
        <f t="shared" si="62"/>
        <v>aws s3 cp s3://rtdc.mdm.uploadarchive/RTDC4046/2016-09-04/ "%USERPROFILE%\AppData\Local\Temp\OnboardLogs"\RTDC4046\2016-09-04 --recursive &amp; "%USERPROFILE%\Documents\GitHub\mrs-test-scripts\Headless Mode &amp; Sideloading\WalkAndUnGZ.bat" "%USERPROFILE%\AppData\Local\Temp\OnboardLogs"\RTDC4046\2016-09-04 &amp; 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</v>
      </c>
      <c r="AF134" s="96" t="str">
        <f t="shared" si="63"/>
        <v>"C:\Program Files (x86)\AstroGrep\AstroGrep.exe" /spath="%USERPROFILE%\AppData\Local\Temp\OnboardLogs" /stypes="*4046*20160905*" /stext=" 01:.+((SYSTEM_STATE.+slice.+state.+changed )|(ment ac)|(system.+state.+changed )|(\|lc)|(penalty)|(\[timeout)|(PRM\|1\|D)|(kpr)|(kdp))" /e /r /s</v>
      </c>
      <c r="AG134" s="1" t="str">
        <f t="shared" si="64"/>
        <v>EC</v>
      </c>
      <c r="AH134" s="100" t="str">
        <f t="shared" si="48"/>
        <v>"%USERPROFILE%\Documents\GitHub\eaglep3\Utilities\RefineRTDCRunTimes.py" --tripid 221-04 --locoid 4046 --swversion DE.1.0.7.0 --startMP 204:502 --initTime 2016-09-04T18:56:09 --startdatetime 2016-09-04T19:00:16 --delay 1 --endMP 204:54724 --enddatetime 2016-09-04T19:12:59 --enforcementcount 0 &gt;&gt;C:\Users\stu\Documents\GitHub\eaglep3-reporting\EC\2016-09-04-refined-times.txt</v>
      </c>
      <c r="AI134" s="149" t="str">
        <f t="shared" si="49"/>
        <v>echo {"issue":{"subject":"Quebec 2N signal unable to clear","project_id":79,"tracker_id":40,"status_id":1,"priority_id":2,"assigned_to_id":23,"start_date":"2016-09-04","description":"","custom_fields":[{"id":1,"name":"Subdivision","value":"EC"},{"id":4,"name":"Milepost","value":"5.4222"},{"id":17,"name":"Train ID","value":"221-04"},{"id":16,"name":"Locomotive ID","value":"4046"},{"id":130,"name":"Impact","value":""},{"id":150,"name":"Time of Event (Mountain Time)","value":"19:12:59"},{"id":151,"name":"Denver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x14ac:dyDescent="0.25">
      <c r="A135" s="39" t="s">
        <v>531</v>
      </c>
      <c r="B135" s="7">
        <v>4045</v>
      </c>
      <c r="C135" s="24" t="s">
        <v>112</v>
      </c>
      <c r="D135" s="24" t="s">
        <v>232</v>
      </c>
      <c r="E135" s="15">
        <v>42617.829895833333</v>
      </c>
      <c r="F135" s="15">
        <v>42617.832048611112</v>
      </c>
      <c r="G135" s="7">
        <v>2</v>
      </c>
      <c r="H135" s="15" t="s">
        <v>131</v>
      </c>
      <c r="I135" s="15">
        <v>42617.859571759262</v>
      </c>
      <c r="J135" s="7">
        <v>0</v>
      </c>
      <c r="K135" s="132" t="str">
        <f t="shared" si="52"/>
        <v>4045/4046</v>
      </c>
      <c r="L135" s="24" t="str">
        <f>VLOOKUP(A135,'Trips&amp;Operators'!$C$1:$E$10000,3,FALSE)</f>
        <v>LEVERE</v>
      </c>
      <c r="M135" s="6">
        <f t="shared" si="53"/>
        <v>2.7523148150066845E-2</v>
      </c>
      <c r="N135" s="7">
        <f t="shared" si="65"/>
        <v>39.633333336096257</v>
      </c>
      <c r="O135" s="7"/>
      <c r="P135" s="7"/>
      <c r="Q135" s="25"/>
      <c r="R135" s="25"/>
      <c r="S135" s="37">
        <f t="shared" si="66"/>
        <v>1</v>
      </c>
      <c r="T135" s="52" t="str">
        <f t="shared" si="54"/>
        <v>Southbound</v>
      </c>
      <c r="U135" s="12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https://search-rtdc-monitor-bjffxe2xuh6vdkpspy63sjmuny.us-east-1.es.amazonaws.com/_plugin/kibana/#/discover/Steve-Slow-Train-Analysis-(2080s-and-2083s)?_g=(refreshInterval:(display:Off,section:0,value:0),time:(from:'2016-09-04 18:55:03-0600',mode:absolute,to:'2016-09-04 21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W135" s="54" t="str">
        <f t="shared" si="56"/>
        <v>N</v>
      </c>
      <c r="X135" s="120">
        <f t="shared" si="57"/>
        <v>1</v>
      </c>
      <c r="Y135" s="69">
        <f t="shared" si="58"/>
        <v>23.298500000000001</v>
      </c>
      <c r="Z135" s="69">
        <f t="shared" si="59"/>
        <v>1.47E-2</v>
      </c>
      <c r="AA135" s="69">
        <f t="shared" si="60"/>
        <v>23.283799999999999</v>
      </c>
      <c r="AB135" s="66" t="e">
        <f>VLOOKUP(A135,Enforcements!$C$7:$J$21,8,0)</f>
        <v>#N/A</v>
      </c>
      <c r="AC135" s="62" t="e">
        <f>VLOOKUP(A135,Enforcements!$C$7:$E$21,3,0)</f>
        <v>#N/A</v>
      </c>
      <c r="AD135" s="63" t="str">
        <f t="shared" si="61"/>
        <v>0222-04</v>
      </c>
      <c r="AE135" s="99" t="str">
        <f t="shared" si="62"/>
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</c>
      <c r="AF135" s="96" t="str">
        <f t="shared" si="63"/>
        <v>"C:\Program Files (x86)\AstroGrep\AstroGrep.exe" /spath="%USERPROFILE%\AppData\Local\Temp\OnboardLogs" /stypes="*4045*20160905*" /stext=" 02:.+((SYSTEM_STATE.+slice.+state.+changed )|(ment ac)|(system.+state.+changed )|(\|lc)|(penalty)|(\[timeout)|(PRM\|1\|D)|(kpr)|(kdp))" /e /r /s</v>
      </c>
      <c r="AG135" s="1" t="str">
        <f t="shared" si="64"/>
        <v>EC</v>
      </c>
      <c r="AH135" s="100" t="str">
        <f t="shared" si="48"/>
        <v>"%USERPROFILE%\Documents\GitHub\eaglep3\Utilities\RefineRTDCRunTimes.py" --tripid 222-04 --locoid 4045 --swversion DE.1.0.7.0 --startMP 204:232985 --initTime 2016-09-04T19:55:03 --startdatetime 2016-09-04T19:58:09 --delay 2 --endMP 204:147 --enddatetime 2016-09-04T20:37:47 --enforcementcount 0 &gt;&gt;C:\Users\stu\Documents\GitHub\eaglep3-reporting\EC\2016-09-04-refined-times.txt</v>
      </c>
      <c r="AI135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{"issue":{"subject":"","project_id":79,"tracker_id":40,"status_id":1,"priority_id":2,"assigned_to_id":23,"start_date":"2016-09-04","description":"","custom_fields":[{"id":1,"name":"Subdivision","value":"EC"},{"id":4,"name":"Milepost","value":"23.2838"},{"id":17,"name":"Train ID","value":"222-04"},{"id":16,"name":"Locomotive ID","value":"4045"},{"id":130,"name":"Impact","value":""},{"id":150,"name":"Time of Event (Mountain Time)","value":"20:37:47"},{"id":151,"name":"Denver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x14ac:dyDescent="0.25">
      <c r="A136" s="39" t="s">
        <v>526</v>
      </c>
      <c r="B136" s="7">
        <v>4009</v>
      </c>
      <c r="C136" s="24" t="s">
        <v>112</v>
      </c>
      <c r="D136" s="24" t="s">
        <v>294</v>
      </c>
      <c r="E136" s="15">
        <v>42617.809039351851</v>
      </c>
      <c r="F136" s="15">
        <v>42617.828842592593</v>
      </c>
      <c r="G136" s="7">
        <v>1</v>
      </c>
      <c r="H136" s="15" t="s">
        <v>657</v>
      </c>
      <c r="I136" s="15">
        <v>42617.845416666663</v>
      </c>
      <c r="J136" s="7">
        <v>0</v>
      </c>
      <c r="K136" s="132" t="str">
        <f t="shared" si="52"/>
        <v>4009/4010</v>
      </c>
      <c r="L136" s="24" t="str">
        <f>VLOOKUP(A136,'Trips&amp;Operators'!$C$1:$E$10000,3,FALSE)</f>
        <v>COOLAHAN</v>
      </c>
      <c r="M136" s="6">
        <f t="shared" si="53"/>
        <v>1.657407407037681E-2</v>
      </c>
      <c r="N136" s="7"/>
      <c r="O136" s="7"/>
      <c r="P136" s="7">
        <f t="shared" si="65"/>
        <v>23.866666661342606</v>
      </c>
      <c r="Q136" s="25"/>
      <c r="R136" s="25" t="s">
        <v>688</v>
      </c>
      <c r="S136" s="37">
        <f>SUM(U136:U137)/IF(AG136="EC",12,1)</f>
        <v>0.5</v>
      </c>
      <c r="T136" s="52" t="str">
        <f t="shared" si="54"/>
        <v>NorthBound</v>
      </c>
      <c r="U136" s="12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3</v>
      </c>
      <c r="V136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https://search-rtdc-monitor-bjffxe2xuh6vdkpspy63sjmuny.us-east-1.es.amazonaws.com/_plugin/kibana/#/discover/Steve-Slow-Train-Analysis-(2080s-and-2083s)?_g=(refreshInterval:(display:Off,section:0,value:0),time:(from:'2016-09-04 18:25:01-0600',mode:absolute,to:'2016-09-04 21:17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36" s="54" t="str">
        <f t="shared" si="56"/>
        <v>Y</v>
      </c>
      <c r="X136" s="120">
        <f t="shared" si="57"/>
        <v>1</v>
      </c>
      <c r="Y136" s="69">
        <f t="shared" si="58"/>
        <v>4.2700000000000002E-2</v>
      </c>
      <c r="Z136" s="69">
        <f t="shared" si="59"/>
        <v>3.7181999999999999</v>
      </c>
      <c r="AA136" s="69">
        <f t="shared" si="60"/>
        <v>3.6755</v>
      </c>
      <c r="AB136" s="66" t="e">
        <f>VLOOKUP(A136,Enforcements!$C$7:$J$21,8,0)</f>
        <v>#N/A</v>
      </c>
      <c r="AC136" s="62" t="e">
        <f>VLOOKUP(A136,Enforcements!$C$7:$E$21,3,0)</f>
        <v>#N/A</v>
      </c>
      <c r="AD136" s="63" t="str">
        <f t="shared" si="61"/>
        <v>0223-04</v>
      </c>
      <c r="AE136" s="99" t="str">
        <f t="shared" si="62"/>
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</c>
      <c r="AF136" s="96" t="str">
        <f t="shared" si="63"/>
        <v>"C:\Program Files (x86)\AstroGrep\AstroGrep.exe" /spath="%USERPROFILE%\AppData\Local\Temp\OnboardLogs" /stypes="*4009*20160905*" /stext=" 02:.+((SYSTEM_STATE.+slice.+state.+changed )|(ment ac)|(system.+state.+changed )|(\|lc)|(penalty)|(\[timeout)|(PRM\|1\|D)|(kpr)|(kdp))" /e /r /s</v>
      </c>
      <c r="AG136" s="1" t="str">
        <f t="shared" si="64"/>
        <v>EC</v>
      </c>
      <c r="AH136" s="100" t="str">
        <f t="shared" si="48"/>
        <v>"%USERPROFILE%\Documents\GitHub\eaglep3\Utilities\RefineRTDCRunTimes.py" --tripid 223-04 --locoid 4009 --swversion DE.1.0.7.0 --startMP 204:427 --initTime 2016-09-04T19:25:01 --startdatetime 2016-09-04T19:53:32 --delay 1 --endMP 204:37182 --enddatetime 2016-09-04T20:17:24 --enforcementcount 0 &gt;&gt;C:\Users\stu\Documents\GitHub\eaglep3-reporting\EC\2016-09-04-refined-times.txt</v>
      </c>
      <c r="AI136" s="149" t="str">
        <f t="shared" si="49"/>
        <v>echo {"issue":{"subject":"Quebec 2N signal unable to clear","project_id":79,"tracker_id":40,"status_id":1,"priority_id":2,"assigned_to_id":23,"start_date":"2016-09-04","description":"","custom_fields":[{"id":1,"name":"Subdivision","value":"EC"},{"id":4,"name":"Milepost","value":"3.6755"},{"id":17,"name":"Train ID","value":"223-04"},{"id":16,"name":"Locomotive ID","value":"4009"},{"id":130,"name":"Impact","value":""},{"id":150,"name":"Time of Event (Mountain Time)","value":"20:17:24"},{"id":151,"name":"Denver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x14ac:dyDescent="0.25">
      <c r="A137" s="39" t="s">
        <v>526</v>
      </c>
      <c r="B137" s="7">
        <v>4009</v>
      </c>
      <c r="C137" s="24" t="s">
        <v>112</v>
      </c>
      <c r="D137" s="24" t="s">
        <v>658</v>
      </c>
      <c r="E137" s="15">
        <v>42617.827881944446</v>
      </c>
      <c r="F137" s="15">
        <v>42617.828842592593</v>
      </c>
      <c r="G137" s="7">
        <v>0</v>
      </c>
      <c r="H137" s="15" t="s">
        <v>573</v>
      </c>
      <c r="I137" s="15">
        <v>42617.845416666663</v>
      </c>
      <c r="J137" s="7">
        <v>0</v>
      </c>
      <c r="K137" s="132" t="str">
        <f t="shared" si="52"/>
        <v>4009/4010</v>
      </c>
      <c r="L137" s="24" t="str">
        <f>VLOOKUP(A137,'Trips&amp;Operators'!$C$1:$E$10000,3,FALSE)</f>
        <v>COOLAHAN</v>
      </c>
      <c r="M137" s="6">
        <f t="shared" si="53"/>
        <v>1.657407407037681E-2</v>
      </c>
      <c r="N137" s="7"/>
      <c r="O137" s="7"/>
      <c r="P137" s="7"/>
      <c r="Q137" s="25"/>
      <c r="R137" s="25"/>
      <c r="S137" s="37"/>
      <c r="T137" s="52" t="str">
        <f t="shared" si="54"/>
        <v>NorthBound</v>
      </c>
      <c r="U137" s="12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3</v>
      </c>
      <c r="V137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https://search-rtdc-monitor-bjffxe2xuh6vdkpspy63sjmuny.us-east-1.es.amazonaws.com/_plugin/kibana/#/discover/Steve-Slow-Train-Analysis-(2080s-and-2083s)?_g=(refreshInterval:(display:Off,section:0,value:0),time:(from:'2016-09-04 18:52:09-0600',mode:absolute,to:'2016-09-04 21:17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37" s="54" t="str">
        <f t="shared" si="56"/>
        <v>Y</v>
      </c>
      <c r="X137" s="120">
        <f t="shared" si="57"/>
        <v>0</v>
      </c>
      <c r="Y137" s="69">
        <f t="shared" si="58"/>
        <v>6.4676999999999998</v>
      </c>
      <c r="Z137" s="69">
        <f t="shared" si="59"/>
        <v>23.33</v>
      </c>
      <c r="AA137" s="69">
        <f t="shared" si="60"/>
        <v>16.862299999999998</v>
      </c>
      <c r="AB137" s="66" t="e">
        <f>VLOOKUP(A137,Enforcements!$C$7:$J$21,8,0)</f>
        <v>#N/A</v>
      </c>
      <c r="AC137" s="62" t="e">
        <f>VLOOKUP(A137,Enforcements!$C$7:$E$21,3,0)</f>
        <v>#N/A</v>
      </c>
      <c r="AD137" s="63" t="str">
        <f t="shared" si="61"/>
        <v>0223-04</v>
      </c>
      <c r="AE137" s="99" t="str">
        <f t="shared" si="62"/>
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</c>
      <c r="AF137" s="96" t="str">
        <f t="shared" si="63"/>
        <v>"C:\Program Files (x86)\AstroGrep\AstroGrep.exe" /spath="%USERPROFILE%\AppData\Local\Temp\OnboardLogs" /stypes="*4009*20160905*" /stext=" 02:.+((SYSTEM_STATE.+slice.+state.+changed )|(ment ac)|(system.+state.+changed )|(\|lc)|(penalty)|(\[timeout)|(PRM\|1\|D)|(kpr)|(kdp))" /e /r /s</v>
      </c>
      <c r="AG137" s="1" t="str">
        <f t="shared" si="64"/>
        <v>EC</v>
      </c>
      <c r="AH137" s="100" t="str">
        <f t="shared" si="48"/>
        <v>"%USERPROFILE%\Documents\GitHub\eaglep3\Utilities\RefineRTDCRunTimes.py" --tripid 223-04 --locoid 4009 --swversion DE.1.0.7.0 --startMP 204:64677 --initTime 2016-09-04T19:52:09 --startdatetime 2016-09-04T19:53:32 --delay 0 --endMP 204:233300 --enddatetime 2016-09-04T20:17:24 --enforcementcount 0 &gt;&gt;C:\Users\stu\Documents\GitHub\eaglep3-reporting\EC\2016-09-04-refined-times.txt</v>
      </c>
      <c r="AI137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{"issue":{"subject":"","project_id":79,"tracker_id":40,"status_id":1,"priority_id":2,"assigned_to_id":23,"start_date":"2016-09-04","description":"","custom_fields":[{"id":1,"name":"Subdivision","value":"EC"},{"id":4,"name":"Milepost","value":"16.8623"},{"id":17,"name":"Train ID","value":"223-04"},{"id":16,"name":"Locomotive ID","value":"4009"},{"id":130,"name":"Impact","value":""},{"id":150,"name":"Time of Event (Mountain Time)","value":"20:17:24"},{"id":151,"name":"Denver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s="23" customFormat="1" x14ac:dyDescent="0.25">
      <c r="A138" s="39" t="s">
        <v>533</v>
      </c>
      <c r="B138" s="7">
        <v>4010</v>
      </c>
      <c r="C138" s="24" t="s">
        <v>112</v>
      </c>
      <c r="D138" s="24" t="s">
        <v>659</v>
      </c>
      <c r="E138" s="15">
        <v>42617.849363425928</v>
      </c>
      <c r="F138" s="15">
        <v>42617.851689814815</v>
      </c>
      <c r="G138" s="7">
        <v>1</v>
      </c>
      <c r="H138" s="15" t="s">
        <v>131</v>
      </c>
      <c r="I138" s="15">
        <v>42617.878657407404</v>
      </c>
      <c r="J138" s="7">
        <v>0</v>
      </c>
      <c r="K138" s="132" t="str">
        <f t="shared" si="52"/>
        <v>4009/4010</v>
      </c>
      <c r="L138" s="24" t="str">
        <f>VLOOKUP(A138,'Trips&amp;Operators'!$C$1:$E$10000,3,FALSE)</f>
        <v>COOLAHAN</v>
      </c>
      <c r="M138" s="6">
        <f t="shared" si="53"/>
        <v>2.696759258833481E-2</v>
      </c>
      <c r="N138" s="7">
        <f t="shared" si="65"/>
        <v>38.833333327202126</v>
      </c>
      <c r="O138" s="7"/>
      <c r="P138" s="7"/>
      <c r="Q138" s="25"/>
      <c r="R138" s="25"/>
      <c r="S138" s="37">
        <f t="shared" si="66"/>
        <v>1</v>
      </c>
      <c r="T138" s="52" t="str">
        <f t="shared" si="54"/>
        <v>Southbound</v>
      </c>
      <c r="U138" s="12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https://search-rtdc-monitor-bjffxe2xuh6vdkpspy63sjmuny.us-east-1.es.amazonaws.com/_plugin/kibana/#/discover/Steve-Slow-Train-Analysis-(2080s-and-2083s)?_g=(refreshInterval:(display:Off,section:0,value:0),time:(from:'2016-09-04 19:23:05-0600',mode:absolute,to:'2016-09-04 22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38" s="54" t="str">
        <f t="shared" si="56"/>
        <v>N</v>
      </c>
      <c r="X138" s="120">
        <f t="shared" si="57"/>
        <v>1</v>
      </c>
      <c r="Y138" s="69">
        <f t="shared" si="58"/>
        <v>23.298100000000002</v>
      </c>
      <c r="Z138" s="69">
        <f t="shared" si="59"/>
        <v>1.47E-2</v>
      </c>
      <c r="AA138" s="69">
        <f t="shared" si="60"/>
        <v>23.2834</v>
      </c>
      <c r="AB138" s="66" t="e">
        <f>VLOOKUP(A138,Enforcements!$C$7:$J$21,8,0)</f>
        <v>#N/A</v>
      </c>
      <c r="AC138" s="62" t="e">
        <f>VLOOKUP(A138,Enforcements!$C$7:$E$21,3,0)</f>
        <v>#N/A</v>
      </c>
      <c r="AD138" s="63" t="str">
        <f t="shared" si="61"/>
        <v>0224-04</v>
      </c>
      <c r="AE138" s="99" t="str">
        <f t="shared" si="62"/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AF138" s="96" t="str">
        <f t="shared" si="63"/>
        <v>"C:\Program Files (x86)\AstroGrep\AstroGrep.exe" /spath="%USERPROFILE%\AppData\Local\Temp\OnboardLogs" /stypes="*4010*20160905*" /stext=" 03:.+((SYSTEM_STATE.+slice.+state.+changed )|(ment ac)|(system.+state.+changed )|(\|lc)|(penalty)|(\[timeout)|(PRM\|1\|D)|(kpr)|(kdp))" /e /r /s</v>
      </c>
      <c r="AG138" s="1" t="str">
        <f t="shared" si="64"/>
        <v>EC</v>
      </c>
      <c r="AH138" s="100" t="str">
        <f t="shared" si="48"/>
        <v>"%USERPROFILE%\Documents\GitHub\eaglep3\Utilities\RefineRTDCRunTimes.py" --tripid 224-04 --locoid 4010 --swversion DE.1.0.7.0 --startMP 204:232981 --initTime 2016-09-04T20:23:05 --startdatetime 2016-09-04T20:26:26 --delay 1 --endMP 204:147 --enddatetime 2016-09-04T21:05:16 --enforcementcount 0 &gt;&gt;C:\Users\stu\Documents\GitHub\eaglep3-reporting\EC\2016-09-04-refined-times.txt</v>
      </c>
      <c r="AI138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{"issue":{"subject":"","project_id":79,"tracker_id":40,"status_id":1,"priority_id":2,"assigned_to_id":23,"start_date":"2016-09-04","description":"","custom_fields":[{"id":1,"name":"Subdivision","value":"EC"},{"id":4,"name":"Milepost","value":"23.2834"},{"id":17,"name":"Train ID","value":"224-04"},{"id":16,"name":"Locomotive ID","value":"4010"},{"id":130,"name":"Impact","value":""},{"id":150,"name":"Time of Event (Mountain Time)","value":"21:05:16"},{"id":151,"name":"Denver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530</v>
      </c>
      <c r="B139" s="7">
        <v>4018</v>
      </c>
      <c r="C139" s="24" t="s">
        <v>112</v>
      </c>
      <c r="D139" s="24" t="s">
        <v>134</v>
      </c>
      <c r="E139" s="15">
        <v>42617.828587962962</v>
      </c>
      <c r="F139" s="15">
        <v>42617.833541666667</v>
      </c>
      <c r="G139" s="7">
        <v>1</v>
      </c>
      <c r="H139" s="15" t="s">
        <v>660</v>
      </c>
      <c r="I139" s="15">
        <v>42617.859861111108</v>
      </c>
      <c r="J139" s="7">
        <v>0</v>
      </c>
      <c r="K139" s="132" t="str">
        <f t="shared" si="52"/>
        <v>4017/4018</v>
      </c>
      <c r="L139" s="24" t="str">
        <f>VLOOKUP(A139,'Trips&amp;Operators'!$C$1:$E$10000,3,FALSE)</f>
        <v>NEWELL</v>
      </c>
      <c r="M139" s="6">
        <f t="shared" si="53"/>
        <v>2.6319444441469386E-2</v>
      </c>
      <c r="N139" s="7">
        <f t="shared" si="65"/>
        <v>37.899999995715916</v>
      </c>
      <c r="O139" s="7"/>
      <c r="P139" s="7"/>
      <c r="Q139" s="25"/>
      <c r="R139" s="25"/>
      <c r="S139" s="37">
        <f t="shared" si="66"/>
        <v>1</v>
      </c>
      <c r="T139" s="52" t="str">
        <f t="shared" si="54"/>
        <v>NorthBound</v>
      </c>
      <c r="U139" s="12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https://search-rtdc-monitor-bjffxe2xuh6vdkpspy63sjmuny.us-east-1.es.amazonaws.com/_plugin/kibana/#/discover/Steve-Slow-Train-Analysis-(2080s-and-2083s)?_g=(refreshInterval:(display:Off,section:0,value:0),time:(from:'2016-09-04 18:53:10-0600',mode:absolute,to:'2016-09-04 21:38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39" s="54" t="str">
        <f t="shared" si="56"/>
        <v>N</v>
      </c>
      <c r="X139" s="120">
        <f t="shared" si="57"/>
        <v>1</v>
      </c>
      <c r="Y139" s="69">
        <f t="shared" si="58"/>
        <v>4.4900000000000002E-2</v>
      </c>
      <c r="Z139" s="69">
        <f t="shared" si="59"/>
        <v>23.332899999999999</v>
      </c>
      <c r="AA139" s="69">
        <f t="shared" si="60"/>
        <v>23.288</v>
      </c>
      <c r="AB139" s="66" t="e">
        <f>VLOOKUP(A139,Enforcements!$C$7:$J$21,8,0)</f>
        <v>#N/A</v>
      </c>
      <c r="AC139" s="62" t="e">
        <f>VLOOKUP(A139,Enforcements!$C$7:$E$21,3,0)</f>
        <v>#N/A</v>
      </c>
      <c r="AD139" s="63" t="str">
        <f t="shared" si="61"/>
        <v>0225-04</v>
      </c>
      <c r="AE139" s="99" t="str">
        <f t="shared" si="62"/>
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</c>
      <c r="AF139" s="96" t="str">
        <f t="shared" si="63"/>
        <v>"C:\Program Files (x86)\AstroGrep\AstroGrep.exe" /spath="%USERPROFILE%\AppData\Local\Temp\OnboardLogs" /stypes="*4018*20160905*" /stext=" 02:.+((SYSTEM_STATE.+slice.+state.+changed )|(ment ac)|(system.+state.+changed )|(\|lc)|(penalty)|(\[timeout)|(PRM\|1\|D)|(kpr)|(kdp))" /e /r /s</v>
      </c>
      <c r="AG139" s="1" t="str">
        <f t="shared" si="64"/>
        <v>EC</v>
      </c>
      <c r="AH139" s="100" t="str">
        <f t="shared" si="48"/>
        <v>"%USERPROFILE%\Documents\GitHub\eaglep3\Utilities\RefineRTDCRunTimes.py" --tripid 225-04 --locoid 4018 --swversion DE.1.0.7.0 --startMP 204:449 --initTime 2016-09-04T19:53:10 --startdatetime 2016-09-04T20:00:18 --delay 1 --endMP 204:233329 --enddatetime 2016-09-04T20:38:12 --enforcementcount 0 &gt;&gt;C:\Users\stu\Documents\GitHub\eaglep3-reporting\EC\2016-09-04-refined-times.txt</v>
      </c>
      <c r="AI139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{"issue":{"subject":"","project_id":79,"tracker_id":40,"status_id":1,"priority_id":2,"assigned_to_id":23,"start_date":"2016-09-04","description":"","custom_fields":[{"id":1,"name":"Subdivision","value":"EC"},{"id":4,"name":"Milepost","value":"23.288"},{"id":17,"name":"Train ID","value":"225-04"},{"id":16,"name":"Locomotive ID","value":"4018"},{"id":130,"name":"Impact","value":""},{"id":150,"name":"Time of Event (Mountain Time)","value":"20:38:12"},{"id":151,"name":"Denver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536</v>
      </c>
      <c r="B140" s="7">
        <v>4017</v>
      </c>
      <c r="C140" s="24" t="s">
        <v>112</v>
      </c>
      <c r="D140" s="24" t="s">
        <v>237</v>
      </c>
      <c r="E140" s="15">
        <v>42617.867326388892</v>
      </c>
      <c r="F140" s="15">
        <v>42617.872523148151</v>
      </c>
      <c r="G140" s="7">
        <v>1</v>
      </c>
      <c r="H140" s="15" t="s">
        <v>249</v>
      </c>
      <c r="I140" s="15">
        <v>42617.900034722225</v>
      </c>
      <c r="J140" s="7">
        <v>0</v>
      </c>
      <c r="K140" s="132" t="str">
        <f t="shared" ref="K140:K169" si="67">IF(ISEVEN(B140),(B140-1)&amp;"/"&amp;B140,B140&amp;"/"&amp;(B140+1))</f>
        <v>4017/4018</v>
      </c>
      <c r="L140" s="24" t="str">
        <f>VLOOKUP(A140,'Trips&amp;Operators'!$C$1:$E$10000,3,FALSE)</f>
        <v>NEWELL</v>
      </c>
      <c r="M140" s="6">
        <f t="shared" ref="M140:M169" si="68">I140-F140</f>
        <v>2.7511574073287193E-2</v>
      </c>
      <c r="N140" s="7">
        <f t="shared" si="65"/>
        <v>39.616666665533558</v>
      </c>
      <c r="O140" s="7"/>
      <c r="P140" s="7"/>
      <c r="Q140" s="25"/>
      <c r="R140" s="25"/>
      <c r="S140" s="37">
        <f t="shared" si="66"/>
        <v>1</v>
      </c>
      <c r="T140" s="52" t="str">
        <f t="shared" ref="T140:T169" si="69">IF(ISEVEN(LEFT(AD140,4)),"Southbound","NorthBound")</f>
        <v>Southbound</v>
      </c>
      <c r="U140" s="12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ref="V140:V169" si="70">"https://search-rtdc-monitor-bjffxe2xuh6vdkpspy63sjmuny.us-east-1.es.amazonaws.com/_plugin/kibana/#/discover/Steve-Slow-Train-Analysis-(2080s-and-2083s)?_g=(refreshInterval:(display:Off,section:0,value:0),time:(from:'"&amp;TEXT(E140-1/24,"yyyy-MM-DD hh:mm:ss")&amp;"-0600',mode:absolute,to:'"&amp;TEXT(I140+1/24,"yyyy-MM-DD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https://search-rtdc-monitor-bjffxe2xuh6vdkpspy63sjmuny.us-east-1.es.amazonaws.com/_plugin/kibana/#/discover/Steve-Slow-Train-Analysis-(2080s-and-2083s)?_g=(refreshInterval:(display:Off,section:0,value:0),time:(from:'2016-09-04 19:48:57-0600',mode:absolute,to:'2016-09-04 22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40" s="54" t="str">
        <f t="shared" ref="W140:W169" si="71">IF(AA140&lt;IF(AG140="EC",23,5.65),"Y","N")</f>
        <v>N</v>
      </c>
      <c r="X140" s="120">
        <f t="shared" ref="X140:X169" si="72">VALUE(LEFT(AD140,4))-VALUE(LEFT(AD139,4))</f>
        <v>1</v>
      </c>
      <c r="Y140" s="69">
        <f t="shared" ref="Y140:Y169" si="73">RIGHT(D140,LEN(D140)-4)/10000</f>
        <v>23.300799999999999</v>
      </c>
      <c r="Z140" s="69">
        <f t="shared" ref="Z140:Z169" si="74">RIGHT(H140,LEN(H140)-4)/10000</f>
        <v>1.61E-2</v>
      </c>
      <c r="AA140" s="69">
        <f t="shared" ref="AA140:AA169" si="75">ABS(Z140-Y140)</f>
        <v>23.284699999999997</v>
      </c>
      <c r="AB140" s="66" t="e">
        <f>VLOOKUP(A140,Enforcements!$C$7:$J$21,8,0)</f>
        <v>#N/A</v>
      </c>
      <c r="AC140" s="62" t="e">
        <f>VLOOKUP(A140,Enforcements!$C$7:$E$21,3,0)</f>
        <v>#N/A</v>
      </c>
      <c r="AD140" s="63" t="str">
        <f t="shared" ref="AD140:AD169" si="76">IF(LEN(A140)=6,"0"&amp;A140,A140)</f>
        <v>0226-04</v>
      </c>
      <c r="AE140" s="99" t="str">
        <f t="shared" ref="AE140:AE169" si="77">"aws s3 cp "&amp;s3_bucket&amp;"/RTDC"&amp;B140&amp;"/"&amp;TEXT(F140,"YYYY-MM-DD")&amp;"/ "&amp;search_path&amp;"\RTDC"&amp;B140&amp;"\"&amp;TEXT(F140,"YYYY-MM-DD")&amp;" --recursive &amp; """&amp;walkandungz&amp;""" "&amp;search_path&amp;"\RTDC"&amp;B140&amp;"\"&amp;TEXT(F140,"YYYY-MM-DD")
&amp;" &amp; "&amp;"aws s3 cp "&amp;s3_bucket&amp;"/RTDC"&amp;B140&amp;"/"&amp;TEXT(F140+1,"YYYY-MM-DD")&amp;"/ "&amp;search_path&amp;"\RTDC"&amp;B140&amp;"\"&amp;TEXT(F140+1,"YYYY-MM-DD")&amp;" --recursive &amp; """&amp;walkandungz&amp;""" "&amp;search_path&amp;"\RTDC"&amp;B140&amp;"\"&amp;TEXT(F140+1,"YYYY-MM-DD")</f>
        <v>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 &amp; 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</v>
      </c>
      <c r="AF140" s="96" t="str">
        <f t="shared" ref="AF140:AF169" si="78">astrogrep_path&amp;" /spath="&amp;search_path&amp;" /stypes=""*"&amp;B140&amp;"*"&amp;TEXT(I140-utc_offset/24,"YYYYMMDD")&amp;"*"" /stext="" "&amp;TEXT(I140-utc_offset/24,"HH")&amp;search_regexp&amp;""" /e /r /s"</f>
        <v>"C:\Program Files (x86)\AstroGrep\AstroGrep.exe" /spath="%USERPROFILE%\AppData\Local\Temp\OnboardLogs" /stypes="*4017*20160905*" /stext=" 03:.+((SYSTEM_STATE.+slice.+state.+changed )|(ment ac)|(system.+state.+changed )|(\|lc)|(penalty)|(\[timeout)|(PRM\|1\|D)|(kpr)|(kdp))" /e /r /s</v>
      </c>
      <c r="AG140" s="1" t="str">
        <f t="shared" ref="AG140:AG169" si="79">IFERROR(IF(VALUE(LEFT(AD140,2))&lt;=2,"EC",IF(OR(VALUE(LEFT(AD140,2))=8,VALUE(LEFT(AD140,2))=18),"NW","Other")),"Other")</f>
        <v>EC</v>
      </c>
      <c r="AH140" s="100" t="str">
        <f t="shared" si="48"/>
        <v>"%USERPROFILE%\Documents\GitHub\eaglep3\Utilities\RefineRTDCRunTimes.py" --tripid 226-04 --locoid 4017 --swversion DE.1.0.7.0 --startMP 204:233008 --initTime 2016-09-04T20:48:57 --startdatetime 2016-09-04T20:56:26 --delay 1 --endMP 204:161 --enddatetime 2016-09-04T21:36:03 --enforcementcount 0 &gt;&gt;C:\Users\stu\Documents\GitHub\eaglep3-reporting\EC\2016-09-04-refined-times.txt</v>
      </c>
      <c r="AI140" s="149" t="str">
        <f t="shared" si="49"/>
        <v>echo {"issue":{"subject":"","project_id":79,"tracker_id":40,"status_id":1,"priority_id":2,"assigned_to_id":23,"start_date":"2016-09-04","description":"","custom_fields":[{"id":1,"name":"Subdivision","value":"EC"},{"id":4,"name":"Milepost","value":"23.2847"},{"id":17,"name":"Train ID","value":"226-04"},{"id":16,"name":"Locomotive ID","value":"4017"},{"id":130,"name":"Impact","value":""},{"id":150,"name":"Time of Event (Mountain Time)","value":"21:36:03"},{"id":151,"name":"Denver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534</v>
      </c>
      <c r="B141" s="7">
        <v>4031</v>
      </c>
      <c r="C141" s="24" t="s">
        <v>112</v>
      </c>
      <c r="D141" s="24" t="s">
        <v>268</v>
      </c>
      <c r="E141" s="15">
        <v>42617.853460648148</v>
      </c>
      <c r="F141" s="15">
        <v>42617.855023148149</v>
      </c>
      <c r="G141" s="7">
        <v>1</v>
      </c>
      <c r="H141" s="15" t="s">
        <v>296</v>
      </c>
      <c r="I141" s="15">
        <v>42617.881030092591</v>
      </c>
      <c r="J141" s="7">
        <v>0</v>
      </c>
      <c r="K141" s="132" t="str">
        <f t="shared" si="67"/>
        <v>4031/4032</v>
      </c>
      <c r="L141" s="24" t="str">
        <f>VLOOKUP(A141,'Trips&amp;Operators'!$C$1:$E$10000,3,FALSE)</f>
        <v>CHANDLER</v>
      </c>
      <c r="M141" s="6">
        <f t="shared" si="68"/>
        <v>2.6006944441178348E-2</v>
      </c>
      <c r="N141" s="7">
        <f t="shared" si="65"/>
        <v>37.449999995296821</v>
      </c>
      <c r="O141" s="7"/>
      <c r="P141" s="7"/>
      <c r="Q141" s="25"/>
      <c r="R141" s="25"/>
      <c r="S141" s="37">
        <f t="shared" si="66"/>
        <v>1</v>
      </c>
      <c r="T141" s="52" t="str">
        <f t="shared" si="69"/>
        <v>NorthBound</v>
      </c>
      <c r="U141" s="12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https://search-rtdc-monitor-bjffxe2xuh6vdkpspy63sjmuny.us-east-1.es.amazonaws.com/_plugin/kibana/#/discover/Steve-Slow-Train-Analysis-(2080s-and-2083s)?_g=(refreshInterval:(display:Off,section:0,value:0),time:(from:'2016-09-04 19:28:59-0600',mode:absolute,to:'2016-09-04 22:08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41" s="54" t="str">
        <f t="shared" si="71"/>
        <v>N</v>
      </c>
      <c r="X141" s="120">
        <f t="shared" si="72"/>
        <v>1</v>
      </c>
      <c r="Y141" s="69">
        <f t="shared" si="73"/>
        <v>4.7300000000000002E-2</v>
      </c>
      <c r="Z141" s="69">
        <f t="shared" si="74"/>
        <v>23.329799999999999</v>
      </c>
      <c r="AA141" s="69">
        <f t="shared" si="75"/>
        <v>23.282499999999999</v>
      </c>
      <c r="AB141" s="66" t="e">
        <f>VLOOKUP(A141,Enforcements!$C$7:$J$21,8,0)</f>
        <v>#N/A</v>
      </c>
      <c r="AC141" s="62" t="e">
        <f>VLOOKUP(A141,Enforcements!$C$7:$E$21,3,0)</f>
        <v>#N/A</v>
      </c>
      <c r="AD141" s="63" t="str">
        <f t="shared" si="76"/>
        <v>0227-04</v>
      </c>
      <c r="AE141" s="99" t="str">
        <f t="shared" si="77"/>
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</c>
      <c r="AF141" s="96" t="str">
        <f t="shared" si="78"/>
        <v>"C:\Program Files (x86)\AstroGrep\AstroGrep.exe" /spath="%USERPROFILE%\AppData\Local\Temp\OnboardLogs" /stypes="*4031*20160905*" /stext=" 03:.+((SYSTEM_STATE.+slice.+state.+changed )|(ment ac)|(system.+state.+changed )|(\|lc)|(penalty)|(\[timeout)|(PRM\|1\|D)|(kpr)|(kdp))" /e /r /s</v>
      </c>
      <c r="AG141" s="1" t="str">
        <f t="shared" si="79"/>
        <v>EC</v>
      </c>
      <c r="AH141" s="100" t="str">
        <f t="shared" ref="AH141:AH202" si="80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227-04 --locoid 4031 --swversion DE.1.0.7.0 --startMP 204:473 --initTime 2016-09-04T20:28:59 --startdatetime 2016-09-04T20:31:14 --delay 1 --endMP 204:233298 --enddatetime 2016-09-04T21:08:41 --enforcementcount 0 &gt;&gt;C:\Users\stu\Documents\GitHub\eaglep3-reporting\EC\2016-09-04-refined-times.txt</v>
      </c>
      <c r="AI141" s="149" t="str">
        <f t="shared" ref="AI141:AI202" si="81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AA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{"issue":{"subject":"","project_id":79,"tracker_id":40,"status_id":1,"priority_id":2,"assigned_to_id":23,"start_date":"2016-09-04","description":"","custom_fields":[{"id":1,"name":"Subdivision","value":"EC"},{"id":4,"name":"Milepost","value":"23.2825"},{"id":17,"name":"Train ID","value":"227-04"},{"id":16,"name":"Locomotive ID","value":"4031"},{"id":130,"name":"Impact","value":""},{"id":150,"name":"Time of Event (Mountain Time)","value":"21:08:41"},{"id":151,"name":"Denver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539</v>
      </c>
      <c r="B142" s="7">
        <v>4032</v>
      </c>
      <c r="C142" s="24" t="s">
        <v>112</v>
      </c>
      <c r="D142" s="24" t="s">
        <v>215</v>
      </c>
      <c r="E142" s="15">
        <v>42617.891041666669</v>
      </c>
      <c r="F142" s="15">
        <v>42617.893564814818</v>
      </c>
      <c r="G142" s="7">
        <v>1</v>
      </c>
      <c r="H142" s="15" t="s">
        <v>173</v>
      </c>
      <c r="I142" s="15">
        <v>42617.923703703702</v>
      </c>
      <c r="J142" s="7">
        <v>0</v>
      </c>
      <c r="K142" s="132" t="str">
        <f t="shared" si="67"/>
        <v>4031/4032</v>
      </c>
      <c r="L142" s="24" t="str">
        <f>VLOOKUP(A142,'Trips&amp;Operators'!$C$1:$E$10000,3,FALSE)</f>
        <v>CHANDLER</v>
      </c>
      <c r="M142" s="6">
        <f t="shared" si="68"/>
        <v>3.0138888883811887E-2</v>
      </c>
      <c r="N142" s="7">
        <f t="shared" si="65"/>
        <v>43.399999992689118</v>
      </c>
      <c r="O142" s="7"/>
      <c r="P142" s="7"/>
      <c r="Q142" s="25"/>
      <c r="R142" s="25"/>
      <c r="S142" s="37">
        <f t="shared" si="66"/>
        <v>1</v>
      </c>
      <c r="T142" s="52" t="str">
        <f t="shared" si="69"/>
        <v>Southbound</v>
      </c>
      <c r="U142" s="12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https://search-rtdc-monitor-bjffxe2xuh6vdkpspy63sjmuny.us-east-1.es.amazonaws.com/_plugin/kibana/#/discover/Steve-Slow-Train-Analysis-(2080s-and-2083s)?_g=(refreshInterval:(display:Off,section:0,value:0),time:(from:'2016-09-04 20:23:06-0600',mode:absolute,to:'2016-09-04 23:10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42" s="54" t="str">
        <f t="shared" si="71"/>
        <v>N</v>
      </c>
      <c r="X142" s="120">
        <f t="shared" si="72"/>
        <v>1</v>
      </c>
      <c r="Y142" s="69">
        <f t="shared" si="73"/>
        <v>23.297699999999999</v>
      </c>
      <c r="Z142" s="69">
        <f t="shared" si="74"/>
        <v>1.6E-2</v>
      </c>
      <c r="AA142" s="69">
        <f t="shared" si="75"/>
        <v>23.281700000000001</v>
      </c>
      <c r="AB142" s="66" t="e">
        <f>VLOOKUP(A142,Enforcements!$C$7:$J$21,8,0)</f>
        <v>#N/A</v>
      </c>
      <c r="AC142" s="62" t="e">
        <f>VLOOKUP(A142,Enforcements!$C$7:$E$21,3,0)</f>
        <v>#N/A</v>
      </c>
      <c r="AD142" s="63" t="str">
        <f t="shared" si="76"/>
        <v>0228-04</v>
      </c>
      <c r="AE142" s="99" t="str">
        <f t="shared" si="77"/>
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</c>
      <c r="AF142" s="96" t="str">
        <f t="shared" si="78"/>
        <v>"C:\Program Files (x86)\AstroGrep\AstroGrep.exe" /spath="%USERPROFILE%\AppData\Local\Temp\OnboardLogs" /stypes="*4032*20160905*" /stext=" 04:.+((SYSTEM_STATE.+slice.+state.+changed )|(ment ac)|(system.+state.+changed )|(\|lc)|(penalty)|(\[timeout)|(PRM\|1\|D)|(kpr)|(kdp))" /e /r /s</v>
      </c>
      <c r="AG142" s="1" t="str">
        <f t="shared" si="79"/>
        <v>EC</v>
      </c>
      <c r="AH142" s="100" t="str">
        <f t="shared" si="80"/>
        <v>"%USERPROFILE%\Documents\GitHub\eaglep3\Utilities\RefineRTDCRunTimes.py" --tripid 228-04 --locoid 4032 --swversion DE.1.0.7.0 --startMP 204:232977 --initTime 2016-09-04T21:23:06 --startdatetime 2016-09-04T21:26:44 --delay 1 --endMP 204:160 --enddatetime 2016-09-04T22:10:08 --enforcementcount 0 &gt;&gt;C:\Users\stu\Documents\GitHub\eaglep3-reporting\EC\2016-09-04-refined-times.txt</v>
      </c>
      <c r="AI142" s="149" t="str">
        <f t="shared" si="81"/>
        <v>echo {"issue":{"subject":"","project_id":79,"tracker_id":40,"status_id":1,"priority_id":2,"assigned_to_id":23,"start_date":"2016-09-04","description":"","custom_fields":[{"id":1,"name":"Subdivision","value":"EC"},{"id":4,"name":"Milepost","value":"23.2817"},{"id":17,"name":"Train ID","value":"228-04"},{"id":16,"name":"Locomotive ID","value":"4032"},{"id":130,"name":"Impact","value":""},{"id":150,"name":"Time of Event (Mountain Time)","value":"22:10:08"},{"id":151,"name":"Denver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537</v>
      </c>
      <c r="B143" s="7">
        <v>4046</v>
      </c>
      <c r="C143" s="24" t="s">
        <v>112</v>
      </c>
      <c r="D143" s="24" t="s">
        <v>256</v>
      </c>
      <c r="E143" s="15">
        <v>42617.868298611109</v>
      </c>
      <c r="F143" s="15">
        <v>42617.875231481485</v>
      </c>
      <c r="G143" s="7">
        <v>1</v>
      </c>
      <c r="H143" s="15" t="s">
        <v>174</v>
      </c>
      <c r="I143" s="15">
        <v>42617.902743055558</v>
      </c>
      <c r="J143" s="7">
        <v>0</v>
      </c>
      <c r="K143" s="132" t="str">
        <f t="shared" si="67"/>
        <v>4045/4046</v>
      </c>
      <c r="L143" s="24" t="str">
        <f>VLOOKUP(A143,'Trips&amp;Operators'!$C$1:$E$10000,3,FALSE)</f>
        <v>LEVERE</v>
      </c>
      <c r="M143" s="6">
        <f t="shared" si="68"/>
        <v>2.7511574073287193E-2</v>
      </c>
      <c r="N143" s="7">
        <f t="shared" ref="N143:P172" si="82">24*60*SUM($M143:$M143)</f>
        <v>39.616666665533558</v>
      </c>
      <c r="O143" s="7"/>
      <c r="P143" s="7"/>
      <c r="Q143" s="25"/>
      <c r="R143" s="25"/>
      <c r="S143" s="37">
        <f t="shared" si="66"/>
        <v>1</v>
      </c>
      <c r="T143" s="52" t="str">
        <f t="shared" si="69"/>
        <v>NorthBound</v>
      </c>
      <c r="U143" s="12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https://search-rtdc-monitor-bjffxe2xuh6vdkpspy63sjmuny.us-east-1.es.amazonaws.com/_plugin/kibana/#/discover/Steve-Slow-Train-Analysis-(2080s-and-2083s)?_g=(refreshInterval:(display:Off,section:0,value:0),time:(from:'2016-09-04 19:50:21-0600',mode:absolute,to:'2016-09-04 22:39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</c>
      <c r="W143" s="54" t="str">
        <f t="shared" si="71"/>
        <v>N</v>
      </c>
      <c r="X143" s="120">
        <f t="shared" si="72"/>
        <v>1</v>
      </c>
      <c r="Y143" s="69">
        <f t="shared" si="73"/>
        <v>4.6899999999999997E-2</v>
      </c>
      <c r="Z143" s="69">
        <f t="shared" si="74"/>
        <v>23.3293</v>
      </c>
      <c r="AA143" s="69">
        <f t="shared" si="75"/>
        <v>23.282399999999999</v>
      </c>
      <c r="AB143" s="66" t="e">
        <f>VLOOKUP(A143,Enforcements!$C$7:$J$21,8,0)</f>
        <v>#N/A</v>
      </c>
      <c r="AC143" s="62" t="e">
        <f>VLOOKUP(A143,Enforcements!$C$7:$E$21,3,0)</f>
        <v>#N/A</v>
      </c>
      <c r="AD143" s="63" t="str">
        <f t="shared" si="76"/>
        <v>0229-04</v>
      </c>
      <c r="AE143" s="99" t="str">
        <f t="shared" si="77"/>
        <v>aws s3 cp s3://rtdc.mdm.uploadarchive/RTDC4046/2016-09-04/ "%USERPROFILE%\AppData\Local\Temp\OnboardLogs"\RTDC4046\2016-09-04 --recursive &amp; "%USERPROFILE%\Documents\GitHub\mrs-test-scripts\Headless Mode &amp; Sideloading\WalkAndUnGZ.bat" "%USERPROFILE%\AppData\Local\Temp\OnboardLogs"\RTDC4046\2016-09-04 &amp; 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</v>
      </c>
      <c r="AF143" s="96" t="str">
        <f t="shared" si="78"/>
        <v>"C:\Program Files (x86)\AstroGrep\AstroGrep.exe" /spath="%USERPROFILE%\AppData\Local\Temp\OnboardLogs" /stypes="*4046*20160905*" /stext=" 03:.+((SYSTEM_STATE.+slice.+state.+changed )|(ment ac)|(system.+state.+changed )|(\|lc)|(penalty)|(\[timeout)|(PRM\|1\|D)|(kpr)|(kdp))" /e /r /s</v>
      </c>
      <c r="AG143" s="1" t="str">
        <f t="shared" si="79"/>
        <v>EC</v>
      </c>
      <c r="AH143" s="100" t="str">
        <f t="shared" si="80"/>
        <v>"%USERPROFILE%\Documents\GitHub\eaglep3\Utilities\RefineRTDCRunTimes.py" --tripid 229-04 --locoid 4046 --swversion DE.1.0.7.0 --startMP 204:469 --initTime 2016-09-04T20:50:21 --startdatetime 2016-09-04T21:00:20 --delay 1 --endMP 204:233293 --enddatetime 2016-09-04T21:39:57 --enforcementcount 0 &gt;&gt;C:\Users\stu\Documents\GitHub\eaglep3-reporting\EC\2016-09-04-refined-times.txt</v>
      </c>
      <c r="AI143" s="149" t="str">
        <f t="shared" si="81"/>
        <v>echo {"issue":{"subject":"","project_id":79,"tracker_id":40,"status_id":1,"priority_id":2,"assigned_to_id":23,"start_date":"2016-09-04","description":"","custom_fields":[{"id":1,"name":"Subdivision","value":"EC"},{"id":4,"name":"Milepost","value":"23.2824"},{"id":17,"name":"Train ID","value":"229-04"},{"id":16,"name":"Locomotive ID","value":"4046"},{"id":130,"name":"Impact","value":""},{"id":150,"name":"Time of Event (Mountain Time)","value":"21:39:57"},{"id":151,"name":"Denver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543</v>
      </c>
      <c r="B144" s="7">
        <v>4045</v>
      </c>
      <c r="C144" s="24" t="s">
        <v>112</v>
      </c>
      <c r="D144" s="24" t="s">
        <v>338</v>
      </c>
      <c r="E144" s="15">
        <v>42617.908946759257</v>
      </c>
      <c r="F144" s="15">
        <v>42617.914305555554</v>
      </c>
      <c r="G144" s="7">
        <v>1</v>
      </c>
      <c r="H144" s="15" t="s">
        <v>146</v>
      </c>
      <c r="I144" s="15">
        <v>42617.942997685182</v>
      </c>
      <c r="J144" s="7">
        <v>0</v>
      </c>
      <c r="K144" s="132" t="str">
        <f t="shared" si="67"/>
        <v>4045/4046</v>
      </c>
      <c r="L144" s="24" t="str">
        <f>VLOOKUP(A144,'Trips&amp;Operators'!$C$1:$E$10000,3,FALSE)</f>
        <v>LEVERE</v>
      </c>
      <c r="M144" s="6">
        <f t="shared" si="68"/>
        <v>2.8692129628325347E-2</v>
      </c>
      <c r="N144" s="7">
        <f t="shared" si="82"/>
        <v>41.316666664788499</v>
      </c>
      <c r="O144" s="7"/>
      <c r="P144" s="7"/>
      <c r="Q144" s="25"/>
      <c r="R144" s="25"/>
      <c r="S144" s="37">
        <f t="shared" si="66"/>
        <v>1</v>
      </c>
      <c r="T144" s="52" t="str">
        <f t="shared" si="69"/>
        <v>Southbound</v>
      </c>
      <c r="U144" s="12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https://search-rtdc-monitor-bjffxe2xuh6vdkpspy63sjmuny.us-east-1.es.amazonaws.com/_plugin/kibana/#/discover/Steve-Slow-Train-Analysis-(2080s-and-2083s)?_g=(refreshInterval:(display:Off,section:0,value:0),time:(from:'2016-09-04 20:48:53-0600',mode:absolute,to:'2016-09-04 23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W144" s="54" t="str">
        <f t="shared" si="71"/>
        <v>N</v>
      </c>
      <c r="X144" s="120">
        <f t="shared" si="72"/>
        <v>1</v>
      </c>
      <c r="Y144" s="69">
        <f t="shared" si="73"/>
        <v>23.2972</v>
      </c>
      <c r="Z144" s="69">
        <f t="shared" si="74"/>
        <v>1.5599999999999999E-2</v>
      </c>
      <c r="AA144" s="69">
        <f t="shared" si="75"/>
        <v>23.281600000000001</v>
      </c>
      <c r="AB144" s="66" t="e">
        <f>VLOOKUP(A144,Enforcements!$C$7:$J$21,8,0)</f>
        <v>#N/A</v>
      </c>
      <c r="AC144" s="62" t="e">
        <f>VLOOKUP(A144,Enforcements!$C$7:$E$21,3,0)</f>
        <v>#N/A</v>
      </c>
      <c r="AD144" s="63" t="str">
        <f t="shared" si="76"/>
        <v>0230-04</v>
      </c>
      <c r="AE144" s="99" t="str">
        <f t="shared" si="77"/>
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</c>
      <c r="AF144" s="96" t="str">
        <f t="shared" si="78"/>
        <v>"C:\Program Files (x86)\AstroGrep\AstroGrep.exe" /spath="%USERPROFILE%\AppData\Local\Temp\OnboardLogs" /stypes="*4045*20160905*" /stext=" 04:.+((SYSTEM_STATE.+slice.+state.+changed )|(ment ac)|(system.+state.+changed )|(\|lc)|(penalty)|(\[timeout)|(PRM\|1\|D)|(kpr)|(kdp))" /e /r /s</v>
      </c>
      <c r="AG144" s="1" t="str">
        <f t="shared" si="79"/>
        <v>EC</v>
      </c>
      <c r="AH144" s="100" t="str">
        <f t="shared" si="80"/>
        <v>"%USERPROFILE%\Documents\GitHub\eaglep3\Utilities\RefineRTDCRunTimes.py" --tripid 230-04 --locoid 4045 --swversion DE.1.0.7.0 --startMP 204:232972 --initTime 2016-09-04T21:48:53 --startdatetime 2016-09-04T21:56:36 --delay 1 --endMP 204:156 --enddatetime 2016-09-04T22:37:55 --enforcementcount 0 &gt;&gt;C:\Users\stu\Documents\GitHub\eaglep3-reporting\EC\2016-09-04-refined-times.txt</v>
      </c>
      <c r="AI144" s="149" t="str">
        <f t="shared" si="81"/>
        <v>echo {"issue":{"subject":"","project_id":79,"tracker_id":40,"status_id":1,"priority_id":2,"assigned_to_id":23,"start_date":"2016-09-04","description":"","custom_fields":[{"id":1,"name":"Subdivision","value":"EC"},{"id":4,"name":"Milepost","value":"23.2816"},{"id":17,"name":"Train ID","value":"230-04"},{"id":16,"name":"Locomotive ID","value":"4045"},{"id":130,"name":"Impact","value":""},{"id":150,"name":"Time of Event (Mountain Time)","value":"22:37:55"},{"id":151,"name":"Denver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x14ac:dyDescent="0.25">
      <c r="A145" s="39" t="s">
        <v>540</v>
      </c>
      <c r="B145" s="7">
        <v>4009</v>
      </c>
      <c r="C145" s="24" t="s">
        <v>112</v>
      </c>
      <c r="D145" s="24" t="s">
        <v>254</v>
      </c>
      <c r="E145" s="15">
        <v>42617.892407407409</v>
      </c>
      <c r="F145" s="15">
        <v>42617.896053240744</v>
      </c>
      <c r="G145" s="7">
        <v>5</v>
      </c>
      <c r="H145" s="15" t="s">
        <v>586</v>
      </c>
      <c r="I145" s="15">
        <v>42617.920914351853</v>
      </c>
      <c r="J145" s="7">
        <v>0</v>
      </c>
      <c r="K145" s="132" t="str">
        <f t="shared" si="67"/>
        <v>4009/4010</v>
      </c>
      <c r="L145" s="24" t="str">
        <f>VLOOKUP(A145,'Trips&amp;Operators'!$C$1:$E$10000,3,FALSE)</f>
        <v>COOLAHAN</v>
      </c>
      <c r="M145" s="6">
        <f t="shared" si="68"/>
        <v>2.4861111109203193E-2</v>
      </c>
      <c r="N145" s="7">
        <f t="shared" si="82"/>
        <v>35.799999997252598</v>
      </c>
      <c r="O145" s="7"/>
      <c r="P145" s="7"/>
      <c r="Q145" s="25"/>
      <c r="R145" s="25"/>
      <c r="S145" s="37">
        <f t="shared" si="66"/>
        <v>1</v>
      </c>
      <c r="T145" s="52" t="str">
        <f t="shared" si="69"/>
        <v>NorthBound</v>
      </c>
      <c r="U145" s="12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https://search-rtdc-monitor-bjffxe2xuh6vdkpspy63sjmuny.us-east-1.es.amazonaws.com/_plugin/kibana/#/discover/Steve-Slow-Train-Analysis-(2080s-and-2083s)?_g=(refreshInterval:(display:Off,section:0,value:0),time:(from:'2016-09-04 20:25:04-0600',mode:absolute,to:'2016-09-04 23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45" s="54" t="str">
        <f t="shared" si="71"/>
        <v>N</v>
      </c>
      <c r="X145" s="120">
        <f t="shared" si="72"/>
        <v>1</v>
      </c>
      <c r="Y145" s="69">
        <f t="shared" si="73"/>
        <v>4.4400000000000002E-2</v>
      </c>
      <c r="Z145" s="69">
        <f t="shared" si="74"/>
        <v>23.3308</v>
      </c>
      <c r="AA145" s="69">
        <f t="shared" si="75"/>
        <v>23.2864</v>
      </c>
      <c r="AB145" s="66" t="e">
        <f>VLOOKUP(A145,Enforcements!$C$7:$J$21,8,0)</f>
        <v>#N/A</v>
      </c>
      <c r="AC145" s="62" t="e">
        <f>VLOOKUP(A145,Enforcements!$C$7:$E$21,3,0)</f>
        <v>#N/A</v>
      </c>
      <c r="AD145" s="63" t="str">
        <f t="shared" si="76"/>
        <v>0231-04</v>
      </c>
      <c r="AE145" s="99" t="str">
        <f t="shared" si="77"/>
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</c>
      <c r="AF145" s="96" t="str">
        <f t="shared" si="78"/>
        <v>"C:\Program Files (x86)\AstroGrep\AstroGrep.exe" /spath="%USERPROFILE%\AppData\Local\Temp\OnboardLogs" /stypes="*4009*20160905*" /stext=" 04:.+((SYSTEM_STATE.+slice.+state.+changed )|(ment ac)|(system.+state.+changed )|(\|lc)|(penalty)|(\[timeout)|(PRM\|1\|D)|(kpr)|(kdp))" /e /r /s</v>
      </c>
      <c r="AG145" s="1" t="str">
        <f t="shared" si="79"/>
        <v>EC</v>
      </c>
      <c r="AH145" s="100" t="str">
        <f t="shared" si="80"/>
        <v>"%USERPROFILE%\Documents\GitHub\eaglep3\Utilities\RefineRTDCRunTimes.py" --tripid 231-04 --locoid 4009 --swversion DE.1.0.7.0 --startMP 204:444 --initTime 2016-09-04T21:25:04 --startdatetime 2016-09-04T21:30:19 --delay 5 --endMP 204:233308 --enddatetime 2016-09-04T22:06:07 --enforcementcount 0 &gt;&gt;C:\Users\stu\Documents\GitHub\eaglep3-reporting\EC\2016-09-04-refined-times.txt</v>
      </c>
      <c r="AI145" s="149" t="str">
        <f t="shared" si="81"/>
        <v>echo {"issue":{"subject":"","project_id":79,"tracker_id":40,"status_id":1,"priority_id":2,"assigned_to_id":23,"start_date":"2016-09-04","description":"","custom_fields":[{"id":1,"name":"Subdivision","value":"EC"},{"id":4,"name":"Milepost","value":"23.2864"},{"id":17,"name":"Train ID","value":"231-04"},{"id":16,"name":"Locomotive ID","value":"4009"},{"id":130,"name":"Impact","value":""},{"id":150,"name":"Time of Event (Mountain Time)","value":"22:06:07"},{"id":151,"name":"Denver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s="23" customFormat="1" x14ac:dyDescent="0.25">
      <c r="A146" s="39" t="s">
        <v>545</v>
      </c>
      <c r="B146" s="7">
        <v>4010</v>
      </c>
      <c r="C146" s="24" t="s">
        <v>112</v>
      </c>
      <c r="D146" s="24" t="s">
        <v>245</v>
      </c>
      <c r="E146" s="15">
        <v>42617.929826388892</v>
      </c>
      <c r="F146" s="15">
        <v>42617.934965277775</v>
      </c>
      <c r="G146" s="7">
        <v>7</v>
      </c>
      <c r="H146" s="15" t="s">
        <v>173</v>
      </c>
      <c r="I146" s="15">
        <v>42617.964062500003</v>
      </c>
      <c r="J146" s="7">
        <v>0</v>
      </c>
      <c r="K146" s="132" t="str">
        <f t="shared" si="67"/>
        <v>4009/4010</v>
      </c>
      <c r="L146" s="24" t="str">
        <f>VLOOKUP(A146,'Trips&amp;Operators'!$C$1:$E$10000,3,FALSE)</f>
        <v>COOLAHAN</v>
      </c>
      <c r="M146" s="6">
        <f t="shared" si="68"/>
        <v>2.9097222228301689E-2</v>
      </c>
      <c r="N146" s="7">
        <f t="shared" si="82"/>
        <v>41.900000008754432</v>
      </c>
      <c r="O146" s="7"/>
      <c r="P146" s="7"/>
      <c r="Q146" s="25"/>
      <c r="R146" s="25"/>
      <c r="S146" s="37">
        <f t="shared" ref="S146:S175" si="83">SUM(U146:U146)/IF(AG146="EC",12,1)</f>
        <v>1</v>
      </c>
      <c r="T146" s="52" t="str">
        <f t="shared" si="69"/>
        <v>Southbound</v>
      </c>
      <c r="U146" s="12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https://search-rtdc-monitor-bjffxe2xuh6vdkpspy63sjmuny.us-east-1.es.amazonaws.com/_plugin/kibana/#/discover/Steve-Slow-Train-Analysis-(2080s-and-2083s)?_g=(refreshInterval:(display:Off,section:0,value:0),time:(from:'2016-09-04 21:18:57-0600',mode:absolute,to:'2016-09-05 00:08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46" s="54" t="str">
        <f t="shared" si="71"/>
        <v>N</v>
      </c>
      <c r="X146" s="120">
        <f t="shared" si="72"/>
        <v>1</v>
      </c>
      <c r="Y146" s="69">
        <f t="shared" si="73"/>
        <v>23.299299999999999</v>
      </c>
      <c r="Z146" s="69">
        <f t="shared" si="74"/>
        <v>1.6E-2</v>
      </c>
      <c r="AA146" s="69">
        <f t="shared" si="75"/>
        <v>23.283300000000001</v>
      </c>
      <c r="AB146" s="66" t="e">
        <f>VLOOKUP(A146,Enforcements!$C$7:$J$21,8,0)</f>
        <v>#N/A</v>
      </c>
      <c r="AC146" s="62" t="e">
        <f>VLOOKUP(A146,Enforcements!$C$7:$E$21,3,0)</f>
        <v>#N/A</v>
      </c>
      <c r="AD146" s="63" t="str">
        <f t="shared" si="76"/>
        <v>0232-04</v>
      </c>
      <c r="AE146" s="99" t="str">
        <f t="shared" si="77"/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AF146" s="96" t="str">
        <f t="shared" si="78"/>
        <v>"C:\Program Files (x86)\AstroGrep\AstroGrep.exe" /spath="%USERPROFILE%\AppData\Local\Temp\OnboardLogs" /stypes="*4010*20160905*" /stext=" 05:.+((SYSTEM_STATE.+slice.+state.+changed )|(ment ac)|(system.+state.+changed )|(\|lc)|(penalty)|(\[timeout)|(PRM\|1\|D)|(kpr)|(kdp))" /e /r /s</v>
      </c>
      <c r="AG146" s="1" t="str">
        <f t="shared" si="79"/>
        <v>EC</v>
      </c>
      <c r="AH146" s="100" t="str">
        <f t="shared" si="80"/>
        <v>"%USERPROFILE%\Documents\GitHub\eaglep3\Utilities\RefineRTDCRunTimes.py" --tripid 232-04 --locoid 4010 --swversion DE.1.0.7.0 --startMP 204:232993 --initTime 2016-09-04T22:18:57 --startdatetime 2016-09-04T22:26:21 --delay 7 --endMP 204:160 --enddatetime 2016-09-04T23:08:15 --enforcementcount 0 &gt;&gt;C:\Users\stu\Documents\GitHub\eaglep3-reporting\EC\2016-09-04-refined-times.txt</v>
      </c>
      <c r="AI146" s="149" t="str">
        <f t="shared" si="81"/>
        <v>echo {"issue":{"subject":"","project_id":79,"tracker_id":40,"status_id":1,"priority_id":2,"assigned_to_id":23,"start_date":"2016-09-04","description":"","custom_fields":[{"id":1,"name":"Subdivision","value":"EC"},{"id":4,"name":"Milepost","value":"23.2833"},{"id":17,"name":"Train ID","value":"232-04"},{"id":16,"name":"Locomotive ID","value":"4010"},{"id":130,"name":"Impact","value":""},{"id":150,"name":"Time of Event (Mountain Time)","value":"23:08:15"},{"id":151,"name":"Denver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x14ac:dyDescent="0.25">
      <c r="A147" s="39" t="s">
        <v>542</v>
      </c>
      <c r="B147" s="7">
        <v>4018</v>
      </c>
      <c r="C147" s="24" t="s">
        <v>112</v>
      </c>
      <c r="D147" s="24" t="s">
        <v>578</v>
      </c>
      <c r="E147" s="15">
        <v>42617.90425925926</v>
      </c>
      <c r="F147" s="15">
        <v>42617.916851851849</v>
      </c>
      <c r="G147" s="7">
        <v>0</v>
      </c>
      <c r="H147" s="15" t="s">
        <v>241</v>
      </c>
      <c r="I147" s="15">
        <v>42617.941550925927</v>
      </c>
      <c r="J147" s="7">
        <v>0</v>
      </c>
      <c r="K147" s="132" t="str">
        <f t="shared" si="67"/>
        <v>4017/4018</v>
      </c>
      <c r="L147" s="24" t="str">
        <f>VLOOKUP(A147,'Trips&amp;Operators'!$C$1:$E$10000,3,FALSE)</f>
        <v>NEWELL</v>
      </c>
      <c r="M147" s="6">
        <f t="shared" si="68"/>
        <v>2.4699074077943806E-2</v>
      </c>
      <c r="N147" s="7">
        <f t="shared" si="82"/>
        <v>35.56666667223908</v>
      </c>
      <c r="O147" s="7"/>
      <c r="P147" s="7"/>
      <c r="Q147" s="25"/>
      <c r="R147" s="25"/>
      <c r="S147" s="37">
        <f t="shared" si="83"/>
        <v>1</v>
      </c>
      <c r="T147" s="52" t="str">
        <f t="shared" si="69"/>
        <v>NorthBound</v>
      </c>
      <c r="U147" s="12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https://search-rtdc-monitor-bjffxe2xuh6vdkpspy63sjmuny.us-east-1.es.amazonaws.com/_plugin/kibana/#/discover/Steve-Slow-Train-Analysis-(2080s-and-2083s)?_g=(refreshInterval:(display:Off,section:0,value:0),time:(from:'2016-09-04 20:42:08-0600',mode:absolute,to:'2016-09-04 23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47" s="54" t="str">
        <f t="shared" si="71"/>
        <v>N</v>
      </c>
      <c r="X147" s="120">
        <f t="shared" si="72"/>
        <v>1</v>
      </c>
      <c r="Y147" s="69">
        <f t="shared" si="73"/>
        <v>4.6199999999999998E-2</v>
      </c>
      <c r="Z147" s="69">
        <f t="shared" si="74"/>
        <v>23.331399999999999</v>
      </c>
      <c r="AA147" s="69">
        <f t="shared" si="75"/>
        <v>23.2852</v>
      </c>
      <c r="AB147" s="66" t="e">
        <f>VLOOKUP(A147,Enforcements!$C$7:$J$21,8,0)</f>
        <v>#N/A</v>
      </c>
      <c r="AC147" s="62" t="e">
        <f>VLOOKUP(A147,Enforcements!$C$7:$E$21,3,0)</f>
        <v>#N/A</v>
      </c>
      <c r="AD147" s="63" t="str">
        <f t="shared" si="76"/>
        <v>0233-04</v>
      </c>
      <c r="AE147" s="99" t="str">
        <f t="shared" si="77"/>
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</c>
      <c r="AF147" s="96" t="str">
        <f t="shared" si="78"/>
        <v>"C:\Program Files (x86)\AstroGrep\AstroGrep.exe" /spath="%USERPROFILE%\AppData\Local\Temp\OnboardLogs" /stypes="*4018*20160905*" /stext=" 04:.+((SYSTEM_STATE.+slice.+state.+changed )|(ment ac)|(system.+state.+changed )|(\|lc)|(penalty)|(\[timeout)|(PRM\|1\|D)|(kpr)|(kdp))" /e /r /s</v>
      </c>
      <c r="AG147" s="1" t="str">
        <f t="shared" si="79"/>
        <v>EC</v>
      </c>
      <c r="AH147" s="100" t="str">
        <f t="shared" si="80"/>
        <v>"%USERPROFILE%\Documents\GitHub\eaglep3\Utilities\RefineRTDCRunTimes.py" --tripid 233-04 --locoid 4018 --swversion DE.1.0.7.0 --startMP 204:462 --initTime 2016-09-04T21:42:08 --startdatetime 2016-09-04T22:00:16 --delay 0 --endMP 204:233314 --enddatetime 2016-09-04T22:35:50 --enforcementcount 0 &gt;&gt;C:\Users\stu\Documents\GitHub\eaglep3-reporting\EC\2016-09-04-refined-times.txt</v>
      </c>
      <c r="AI147" s="149" t="str">
        <f t="shared" si="81"/>
        <v>echo {"issue":{"subject":"","project_id":79,"tracker_id":40,"status_id":1,"priority_id":2,"assigned_to_id":23,"start_date":"2016-09-04","description":"","custom_fields":[{"id":1,"name":"Subdivision","value":"EC"},{"id":4,"name":"Milepost","value":"23.2852"},{"id":17,"name":"Train ID","value":"233-04"},{"id":16,"name":"Locomotive ID","value":"4018"},{"id":130,"name":"Impact","value":""},{"id":150,"name":"Time of Event (Mountain Time)","value":"22:35:50"},{"id":151,"name":"Denver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s="23" customFormat="1" x14ac:dyDescent="0.25">
      <c r="A148" s="39" t="s">
        <v>548</v>
      </c>
      <c r="B148" s="7">
        <v>4017</v>
      </c>
      <c r="C148" s="24" t="s">
        <v>112</v>
      </c>
      <c r="D148" s="24" t="s">
        <v>214</v>
      </c>
      <c r="E148" s="15">
        <v>42617.945532407408</v>
      </c>
      <c r="F148" s="15">
        <v>42617.955706018518</v>
      </c>
      <c r="G148" s="7">
        <v>1</v>
      </c>
      <c r="H148" s="15" t="s">
        <v>661</v>
      </c>
      <c r="I148" s="15">
        <v>42617.98238425926</v>
      </c>
      <c r="J148" s="7">
        <v>0</v>
      </c>
      <c r="K148" s="132" t="str">
        <f t="shared" si="67"/>
        <v>4017/4018</v>
      </c>
      <c r="L148" s="24" t="str">
        <f>VLOOKUP(A148,'Trips&amp;Operators'!$C$1:$E$10000,3,FALSE)</f>
        <v>NEWELL</v>
      </c>
      <c r="M148" s="6">
        <f t="shared" si="68"/>
        <v>2.6678240741603076E-2</v>
      </c>
      <c r="N148" s="7">
        <f t="shared" si="82"/>
        <v>38.41666666790843</v>
      </c>
      <c r="O148" s="7"/>
      <c r="P148" s="7"/>
      <c r="Q148" s="25"/>
      <c r="R148" s="25"/>
      <c r="S148" s="37">
        <f t="shared" si="83"/>
        <v>1</v>
      </c>
      <c r="T148" s="52" t="str">
        <f t="shared" si="69"/>
        <v>Southbound</v>
      </c>
      <c r="U148" s="12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https://search-rtdc-monitor-bjffxe2xuh6vdkpspy63sjmuny.us-east-1.es.amazonaws.com/_plugin/kibana/#/discover/Steve-Slow-Train-Analysis-(2080s-and-2083s)?_g=(refreshInterval:(display:Off,section:0,value:0),time:(from:'2016-09-04 21:41:34-0600',mode:absolute,to:'2016-09-05 00:34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48" s="54" t="str">
        <f t="shared" si="71"/>
        <v>N</v>
      </c>
      <c r="X148" s="120">
        <f t="shared" si="72"/>
        <v>1</v>
      </c>
      <c r="Y148" s="69">
        <f t="shared" si="73"/>
        <v>23.297999999999998</v>
      </c>
      <c r="Z148" s="69">
        <f t="shared" si="74"/>
        <v>1.09E-2</v>
      </c>
      <c r="AA148" s="69">
        <f t="shared" si="75"/>
        <v>23.287099999999999</v>
      </c>
      <c r="AB148" s="66" t="e">
        <f>VLOOKUP(A148,Enforcements!$C$7:$J$21,8,0)</f>
        <v>#N/A</v>
      </c>
      <c r="AC148" s="62" t="e">
        <f>VLOOKUP(A148,Enforcements!$C$7:$E$21,3,0)</f>
        <v>#N/A</v>
      </c>
      <c r="AD148" s="63" t="str">
        <f t="shared" si="76"/>
        <v>0234-04</v>
      </c>
      <c r="AE148" s="99" t="str">
        <f t="shared" si="77"/>
        <v>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 &amp; 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</v>
      </c>
      <c r="AF148" s="96" t="str">
        <f t="shared" si="78"/>
        <v>"C:\Program Files (x86)\AstroGrep\AstroGrep.exe" /spath="%USERPROFILE%\AppData\Local\Temp\OnboardLogs" /stypes="*4017*20160905*" /stext=" 05:.+((SYSTEM_STATE.+slice.+state.+changed )|(ment ac)|(system.+state.+changed )|(\|lc)|(penalty)|(\[timeout)|(PRM\|1\|D)|(kpr)|(kdp))" /e /r /s</v>
      </c>
      <c r="AG148" s="1" t="str">
        <f t="shared" si="79"/>
        <v>EC</v>
      </c>
      <c r="AH148" s="100" t="str">
        <f t="shared" si="80"/>
        <v>"%USERPROFILE%\Documents\GitHub\eaglep3\Utilities\RefineRTDCRunTimes.py" --tripid 234-04 --locoid 4017 --swversion DE.1.0.7.0 --startMP 204:232980 --initTime 2016-09-04T22:41:34 --startdatetime 2016-09-04T22:56:13 --delay 1 --endMP 204:109 --enddatetime 2016-09-04T23:34:38 --enforcementcount 0 &gt;&gt;C:\Users\stu\Documents\GitHub\eaglep3-reporting\EC\2016-09-04-refined-times.txt</v>
      </c>
      <c r="AI148" s="149" t="str">
        <f t="shared" si="81"/>
        <v>echo {"issue":{"subject":"","project_id":79,"tracker_id":40,"status_id":1,"priority_id":2,"assigned_to_id":23,"start_date":"2016-09-04","description":"","custom_fields":[{"id":1,"name":"Subdivision","value":"EC"},{"id":4,"name":"Milepost","value":"23.2871"},{"id":17,"name":"Train ID","value":"234-04"},{"id":16,"name":"Locomotive ID","value":"4017"},{"id":130,"name":"Impact","value":""},{"id":150,"name":"Time of Event (Mountain Time)","value":"23:34:38"},{"id":151,"name":"Denver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546</v>
      </c>
      <c r="B149" s="7">
        <v>4031</v>
      </c>
      <c r="C149" s="24" t="s">
        <v>112</v>
      </c>
      <c r="D149" s="24" t="s">
        <v>231</v>
      </c>
      <c r="E149" s="15">
        <v>42617.936226851853</v>
      </c>
      <c r="F149" s="15">
        <v>42617.937847222223</v>
      </c>
      <c r="G149" s="7">
        <v>1</v>
      </c>
      <c r="H149" s="15" t="s">
        <v>662</v>
      </c>
      <c r="I149" s="15">
        <v>42617.963067129633</v>
      </c>
      <c r="J149" s="7">
        <v>0</v>
      </c>
      <c r="K149" s="132" t="str">
        <f t="shared" si="67"/>
        <v>4031/4032</v>
      </c>
      <c r="L149" s="24" t="str">
        <f>VLOOKUP(A149,'Trips&amp;Operators'!$C$1:$E$10000,3,FALSE)</f>
        <v>CHANDLER</v>
      </c>
      <c r="M149" s="6">
        <f t="shared" si="68"/>
        <v>2.5219907409336884E-2</v>
      </c>
      <c r="N149" s="7">
        <f t="shared" si="82"/>
        <v>36.316666669445112</v>
      </c>
      <c r="O149" s="7"/>
      <c r="P149" s="7"/>
      <c r="Q149" s="25"/>
      <c r="R149" s="25"/>
      <c r="S149" s="37">
        <f t="shared" si="83"/>
        <v>1</v>
      </c>
      <c r="T149" s="52" t="str">
        <f t="shared" si="69"/>
        <v>NorthBound</v>
      </c>
      <c r="U149" s="12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https://search-rtdc-monitor-bjffxe2xuh6vdkpspy63sjmuny.us-east-1.es.amazonaws.com/_plugin/kibana/#/discover/Steve-Slow-Train-Analysis-(2080s-and-2083s)?_g=(refreshInterval:(display:Off,section:0,value:0),time:(from:'2016-09-04 21:28:10-0600',mode:absolute,to:'2016-09-05 00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49" s="54" t="str">
        <f t="shared" si="71"/>
        <v>N</v>
      </c>
      <c r="X149" s="120">
        <f t="shared" si="72"/>
        <v>1</v>
      </c>
      <c r="Y149" s="69">
        <f t="shared" si="73"/>
        <v>4.58E-2</v>
      </c>
      <c r="Z149" s="69">
        <f t="shared" si="74"/>
        <v>23.323399999999999</v>
      </c>
      <c r="AA149" s="69">
        <f t="shared" si="75"/>
        <v>23.2776</v>
      </c>
      <c r="AB149" s="66" t="e">
        <f>VLOOKUP(A149,Enforcements!$C$7:$J$21,8,0)</f>
        <v>#N/A</v>
      </c>
      <c r="AC149" s="62" t="e">
        <f>VLOOKUP(A149,Enforcements!$C$7:$E$21,3,0)</f>
        <v>#N/A</v>
      </c>
      <c r="AD149" s="63" t="str">
        <f t="shared" si="76"/>
        <v>0235-04</v>
      </c>
      <c r="AE149" s="99" t="str">
        <f t="shared" si="77"/>
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</c>
      <c r="AF149" s="96" t="str">
        <f t="shared" si="78"/>
        <v>"C:\Program Files (x86)\AstroGrep\AstroGrep.exe" /spath="%USERPROFILE%\AppData\Local\Temp\OnboardLogs" /stypes="*4031*20160905*" /stext=" 05:.+((SYSTEM_STATE.+slice.+state.+changed )|(ment ac)|(system.+state.+changed )|(\|lc)|(penalty)|(\[timeout)|(PRM\|1\|D)|(kpr)|(kdp))" /e /r /s</v>
      </c>
      <c r="AG149" s="1" t="str">
        <f t="shared" si="79"/>
        <v>EC</v>
      </c>
      <c r="AH149" s="100" t="str">
        <f t="shared" si="80"/>
        <v>"%USERPROFILE%\Documents\GitHub\eaglep3\Utilities\RefineRTDCRunTimes.py" --tripid 235-04 --locoid 4031 --swversion DE.1.0.7.0 --startMP 204:458 --initTime 2016-09-04T22:28:10 --startdatetime 2016-09-04T22:30:30 --delay 1 --endMP 204:233234 --enddatetime 2016-09-04T23:06:49 --enforcementcount 0 &gt;&gt;C:\Users\stu\Documents\GitHub\eaglep3-reporting\EC\2016-09-04-refined-times.txt</v>
      </c>
      <c r="AI149" s="149" t="str">
        <f t="shared" si="81"/>
        <v>echo {"issue":{"subject":"","project_id":79,"tracker_id":40,"status_id":1,"priority_id":2,"assigned_to_id":23,"start_date":"2016-09-04","description":"","custom_fields":[{"id":1,"name":"Subdivision","value":"EC"},{"id":4,"name":"Milepost","value":"23.2776"},{"id":17,"name":"Train ID","value":"235-04"},{"id":16,"name":"Locomotive ID","value":"4031"},{"id":130,"name":"Impact","value":""},{"id":150,"name":"Time of Event (Mountain Time)","value":"23:06:49"},{"id":151,"name":"Denver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550</v>
      </c>
      <c r="B150" s="7">
        <v>4032</v>
      </c>
      <c r="C150" s="24" t="s">
        <v>112</v>
      </c>
      <c r="D150" s="24" t="s">
        <v>663</v>
      </c>
      <c r="E150" s="15">
        <v>42617.975011574075</v>
      </c>
      <c r="F150" s="15">
        <v>42617.976851851854</v>
      </c>
      <c r="G150" s="7">
        <v>1</v>
      </c>
      <c r="H150" s="15" t="s">
        <v>664</v>
      </c>
      <c r="I150" s="15">
        <v>42618.008657407408</v>
      </c>
      <c r="J150" s="7">
        <v>0</v>
      </c>
      <c r="K150" s="132" t="str">
        <f t="shared" si="67"/>
        <v>4031/4032</v>
      </c>
      <c r="L150" s="24" t="str">
        <f>VLOOKUP(A150,'Trips&amp;Operators'!$C$1:$E$10000,3,FALSE)</f>
        <v>CHANDLER</v>
      </c>
      <c r="M150" s="6">
        <f t="shared" si="68"/>
        <v>3.1805555554456078E-2</v>
      </c>
      <c r="N150" s="7">
        <f t="shared" si="82"/>
        <v>45.799999998416752</v>
      </c>
      <c r="O150" s="7"/>
      <c r="P150" s="7"/>
      <c r="Q150" s="25"/>
      <c r="R150" s="25"/>
      <c r="S150" s="37">
        <f t="shared" si="83"/>
        <v>1</v>
      </c>
      <c r="T150" s="52" t="str">
        <f t="shared" si="69"/>
        <v>Southbound</v>
      </c>
      <c r="U150" s="12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https://search-rtdc-monitor-bjffxe2xuh6vdkpspy63sjmuny.us-east-1.es.amazonaws.com/_plugin/kibana/#/discover/Steve-Slow-Train-Analysis-(2080s-and-2083s)?_g=(refreshInterval:(display:Off,section:0,value:0),time:(from:'2016-09-04 22:24:01-0600',mode:absolute,to:'2016-09-05 01:12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50" s="54" t="str">
        <f t="shared" si="71"/>
        <v>N</v>
      </c>
      <c r="X150" s="120">
        <f t="shared" si="72"/>
        <v>1</v>
      </c>
      <c r="Y150" s="69">
        <f t="shared" si="73"/>
        <v>23.291499999999999</v>
      </c>
      <c r="Z150" s="69">
        <f t="shared" si="74"/>
        <v>1.7600000000000001E-2</v>
      </c>
      <c r="AA150" s="69">
        <f t="shared" si="75"/>
        <v>23.273899999999998</v>
      </c>
      <c r="AB150" s="66" t="e">
        <f>VLOOKUP(A150,Enforcements!$C$7:$J$21,8,0)</f>
        <v>#N/A</v>
      </c>
      <c r="AC150" s="62" t="e">
        <f>VLOOKUP(A150,Enforcements!$C$7:$E$21,3,0)</f>
        <v>#N/A</v>
      </c>
      <c r="AD150" s="63" t="str">
        <f t="shared" si="76"/>
        <v>0236-04</v>
      </c>
      <c r="AE150" s="99" t="str">
        <f t="shared" si="77"/>
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</c>
      <c r="AF150" s="96" t="str">
        <f t="shared" si="78"/>
        <v>"C:\Program Files (x86)\AstroGrep\AstroGrep.exe" /spath="%USERPROFILE%\AppData\Local\Temp\OnboardLogs" /stypes="*4032*20160905*" /stext=" 06:.+((SYSTEM_STATE.+slice.+state.+changed )|(ment ac)|(system.+state.+changed )|(\|lc)|(penalty)|(\[timeout)|(PRM\|1\|D)|(kpr)|(kdp))" /e /r /s</v>
      </c>
      <c r="AG150" s="1" t="str">
        <f t="shared" si="79"/>
        <v>EC</v>
      </c>
      <c r="AH150" s="100" t="str">
        <f t="shared" si="80"/>
        <v>"%USERPROFILE%\Documents\GitHub\eaglep3\Utilities\RefineRTDCRunTimes.py" --tripid 236-04 --locoid 4032 --swversion DE.1.0.7.0 --startMP 204:232915 --initTime 2016-09-04T23:24:01 --startdatetime 2016-09-04T23:26:40 --delay 1 --endMP 204:176 --enddatetime 2016-09-05T00:12:28 --enforcementcount 0 &gt;&gt;C:\Users\stu\Documents\GitHub\eaglep3-reporting\EC\2016-09-04-refined-times.txt</v>
      </c>
      <c r="AI150" s="149" t="str">
        <f t="shared" si="81"/>
        <v>echo {"issue":{"subject":"","project_id":79,"tracker_id":40,"status_id":1,"priority_id":2,"assigned_to_id":23,"start_date":"2016-09-05","description":"","custom_fields":[{"id":1,"name":"Subdivision","value":"EC"},{"id":4,"name":"Milepost","value":"23.2739"},{"id":17,"name":"Train ID","value":"236-04"},{"id":16,"name":"Locomotive ID","value":"4032"},{"id":130,"name":"Impact","value":""},{"id":150,"name":"Time of Event (Mountain Time)","value":"00:12:28"},{"id":151,"name":"Denver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s="23" customFormat="1" x14ac:dyDescent="0.25">
      <c r="A151" s="39" t="s">
        <v>549</v>
      </c>
      <c r="B151" s="7">
        <v>4046</v>
      </c>
      <c r="C151" s="24" t="s">
        <v>112</v>
      </c>
      <c r="D151" s="24" t="s">
        <v>339</v>
      </c>
      <c r="E151" s="15">
        <v>42617.956435185188</v>
      </c>
      <c r="F151" s="15">
        <v>42617.960509259261</v>
      </c>
      <c r="G151" s="7">
        <v>2</v>
      </c>
      <c r="H151" s="15" t="s">
        <v>174</v>
      </c>
      <c r="I151" s="15">
        <v>42617.987037037034</v>
      </c>
      <c r="J151" s="7">
        <v>0</v>
      </c>
      <c r="K151" s="132" t="str">
        <f t="shared" si="67"/>
        <v>4045/4046</v>
      </c>
      <c r="L151" s="24" t="str">
        <f>VLOOKUP(A151,'Trips&amp;Operators'!$C$1:$E$10000,3,FALSE)</f>
        <v>LEVERE</v>
      </c>
      <c r="M151" s="6">
        <f t="shared" si="68"/>
        <v>2.6527777772571426E-2</v>
      </c>
      <c r="N151" s="7">
        <f t="shared" si="82"/>
        <v>38.199999992502853</v>
      </c>
      <c r="O151" s="7"/>
      <c r="P151" s="7"/>
      <c r="Q151" s="25"/>
      <c r="R151" s="25"/>
      <c r="S151" s="37">
        <f t="shared" si="83"/>
        <v>1</v>
      </c>
      <c r="T151" s="52" t="str">
        <f t="shared" si="69"/>
        <v>NorthBound</v>
      </c>
      <c r="U151" s="12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https://search-rtdc-monitor-bjffxe2xuh6vdkpspy63sjmuny.us-east-1.es.amazonaws.com/_plugin/kibana/#/discover/Steve-Slow-Train-Analysis-(2080s-and-2083s)?_g=(refreshInterval:(display:Off,section:0,value:0),time:(from:'2016-09-04 21:57:16-0600',mode:absolute,to:'2016-09-05 00:41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</c>
      <c r="W151" s="54" t="str">
        <f t="shared" si="71"/>
        <v>N</v>
      </c>
      <c r="X151" s="120">
        <f t="shared" si="72"/>
        <v>1</v>
      </c>
      <c r="Y151" s="69">
        <f t="shared" si="73"/>
        <v>4.6699999999999998E-2</v>
      </c>
      <c r="Z151" s="69">
        <f t="shared" si="74"/>
        <v>23.3293</v>
      </c>
      <c r="AA151" s="69">
        <f t="shared" si="75"/>
        <v>23.282599999999999</v>
      </c>
      <c r="AB151" s="66" t="e">
        <f>VLOOKUP(A151,Enforcements!$C$7:$J$21,8,0)</f>
        <v>#N/A</v>
      </c>
      <c r="AC151" s="62" t="e">
        <f>VLOOKUP(A151,Enforcements!$C$7:$E$21,3,0)</f>
        <v>#N/A</v>
      </c>
      <c r="AD151" s="63" t="str">
        <f t="shared" si="76"/>
        <v>0237-04</v>
      </c>
      <c r="AE151" s="99" t="str">
        <f t="shared" si="77"/>
        <v>aws s3 cp s3://rtdc.mdm.uploadarchive/RTDC4046/2016-09-04/ "%USERPROFILE%\AppData\Local\Temp\OnboardLogs"\RTDC4046\2016-09-04 --recursive &amp; "%USERPROFILE%\Documents\GitHub\mrs-test-scripts\Headless Mode &amp; Sideloading\WalkAndUnGZ.bat" "%USERPROFILE%\AppData\Local\Temp\OnboardLogs"\RTDC4046\2016-09-04 &amp; 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</v>
      </c>
      <c r="AF151" s="96" t="str">
        <f t="shared" si="78"/>
        <v>"C:\Program Files (x86)\AstroGrep\AstroGrep.exe" /spath="%USERPROFILE%\AppData\Local\Temp\OnboardLogs" /stypes="*4046*20160905*" /stext=" 05:.+((SYSTEM_STATE.+slice.+state.+changed )|(ment ac)|(system.+state.+changed )|(\|lc)|(penalty)|(\[timeout)|(PRM\|1\|D)|(kpr)|(kdp))" /e /r /s</v>
      </c>
      <c r="AG151" s="1" t="str">
        <f t="shared" si="79"/>
        <v>EC</v>
      </c>
      <c r="AH151" s="100" t="str">
        <f t="shared" si="80"/>
        <v>"%USERPROFILE%\Documents\GitHub\eaglep3\Utilities\RefineRTDCRunTimes.py" --tripid 237-04 --locoid 4046 --swversion DE.1.0.7.0 --startMP 204:467 --initTime 2016-09-04T22:57:16 --startdatetime 2016-09-04T23:03:08 --delay 2 --endMP 204:233293 --enddatetime 2016-09-04T23:41:20 --enforcementcount 0 &gt;&gt;C:\Users\stu\Documents\GitHub\eaglep3-reporting\EC\2016-09-04-refined-times.txt</v>
      </c>
      <c r="AI151" s="149" t="str">
        <f t="shared" si="81"/>
        <v>echo {"issue":{"subject":"","project_id":79,"tracker_id":40,"status_id":1,"priority_id":2,"assigned_to_id":23,"start_date":"2016-09-04","description":"","custom_fields":[{"id":1,"name":"Subdivision","value":"EC"},{"id":4,"name":"Milepost","value":"23.2826"},{"id":17,"name":"Train ID","value":"237-04"},{"id":16,"name":"Locomotive ID","value":"4046"},{"id":130,"name":"Impact","value":""},{"id":150,"name":"Time of Event (Mountain Time)","value":"23:41:20"},{"id":151,"name":"Denver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553</v>
      </c>
      <c r="B152" s="7">
        <v>4045</v>
      </c>
      <c r="C152" s="24" t="s">
        <v>112</v>
      </c>
      <c r="D152" s="24" t="s">
        <v>289</v>
      </c>
      <c r="E152" s="15">
        <v>42617.991539351853</v>
      </c>
      <c r="F152" s="15">
        <v>42617.997407407405</v>
      </c>
      <c r="G152" s="7">
        <v>1</v>
      </c>
      <c r="H152" s="15" t="s">
        <v>146</v>
      </c>
      <c r="I152" s="15">
        <v>42618.024895833332</v>
      </c>
      <c r="J152" s="7">
        <v>0</v>
      </c>
      <c r="K152" s="132" t="str">
        <f t="shared" si="67"/>
        <v>4045/4046</v>
      </c>
      <c r="L152" s="24" t="str">
        <f>VLOOKUP(A152,'Trips&amp;Operators'!$C$1:$E$10000,3,FALSE)</f>
        <v>LEVERE</v>
      </c>
      <c r="M152" s="6">
        <f t="shared" si="68"/>
        <v>2.7488425927003846E-2</v>
      </c>
      <c r="N152" s="7">
        <f t="shared" si="82"/>
        <v>39.583333334885538</v>
      </c>
      <c r="O152" s="7"/>
      <c r="P152" s="7"/>
      <c r="Q152" s="25"/>
      <c r="R152" s="25"/>
      <c r="S152" s="37">
        <f t="shared" si="83"/>
        <v>1</v>
      </c>
      <c r="T152" s="52" t="str">
        <f t="shared" si="69"/>
        <v>Southbound</v>
      </c>
      <c r="U152" s="12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https://search-rtdc-monitor-bjffxe2xuh6vdkpspy63sjmuny.us-east-1.es.amazonaws.com/_plugin/kibana/#/discover/Steve-Slow-Train-Analysis-(2080s-and-2083s)?_g=(refreshInterval:(display:Off,section:0,value:0),time:(from:'2016-09-04 22:47:49-0600',mode:absolute,to:'2016-09-05 01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W152" s="54" t="str">
        <f t="shared" si="71"/>
        <v>N</v>
      </c>
      <c r="X152" s="120">
        <f t="shared" si="72"/>
        <v>1</v>
      </c>
      <c r="Y152" s="69">
        <f t="shared" si="73"/>
        <v>23.298200000000001</v>
      </c>
      <c r="Z152" s="69">
        <f t="shared" si="74"/>
        <v>1.5599999999999999E-2</v>
      </c>
      <c r="AA152" s="69">
        <f t="shared" si="75"/>
        <v>23.282600000000002</v>
      </c>
      <c r="AB152" s="66" t="e">
        <f>VLOOKUP(A152,Enforcements!$C$7:$J$21,8,0)</f>
        <v>#N/A</v>
      </c>
      <c r="AC152" s="62" t="e">
        <f>VLOOKUP(A152,Enforcements!$C$7:$E$21,3,0)</f>
        <v>#N/A</v>
      </c>
      <c r="AD152" s="63" t="str">
        <f t="shared" si="76"/>
        <v>0238-04</v>
      </c>
      <c r="AE152" s="99" t="str">
        <f t="shared" si="77"/>
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</c>
      <c r="AF152" s="96" t="str">
        <f t="shared" si="78"/>
        <v>"C:\Program Files (x86)\AstroGrep\AstroGrep.exe" /spath="%USERPROFILE%\AppData\Local\Temp\OnboardLogs" /stypes="*4045*20160905*" /stext=" 06:.+((SYSTEM_STATE.+slice.+state.+changed )|(ment ac)|(system.+state.+changed )|(\|lc)|(penalty)|(\[timeout)|(PRM\|1\|D)|(kpr)|(kdp))" /e /r /s</v>
      </c>
      <c r="AG152" s="1" t="str">
        <f t="shared" si="79"/>
        <v>EC</v>
      </c>
      <c r="AH152" s="100" t="str">
        <f t="shared" si="80"/>
        <v>"%USERPROFILE%\Documents\GitHub\eaglep3\Utilities\RefineRTDCRunTimes.py" --tripid 238-04 --locoid 4045 --swversion DE.1.0.7.0 --startMP 204:232982 --initTime 2016-09-04T23:47:49 --startdatetime 2016-09-04T23:56:16 --delay 1 --endMP 204:156 --enddatetime 2016-09-05T00:35:51 --enforcementcount 0 &gt;&gt;C:\Users\stu\Documents\GitHub\eaglep3-reporting\EC\2016-09-04-refined-times.txt</v>
      </c>
      <c r="AI152" s="149" t="str">
        <f t="shared" si="81"/>
        <v>echo {"issue":{"subject":"","project_id":79,"tracker_id":40,"status_id":1,"priority_id":2,"assigned_to_id":23,"start_date":"2016-09-05","description":"","custom_fields":[{"id":1,"name":"Subdivision","value":"EC"},{"id":4,"name":"Milepost","value":"23.2826"},{"id":17,"name":"Train ID","value":"238-04"},{"id":16,"name":"Locomotive ID","value":"4045"},{"id":130,"name":"Impact","value":""},{"id":150,"name":"Time of Event (Mountain Time)","value":"00:35:51"},{"id":151,"name":"Denver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551</v>
      </c>
      <c r="B153" s="7">
        <v>4009</v>
      </c>
      <c r="C153" s="24" t="s">
        <v>112</v>
      </c>
      <c r="D153" s="24" t="s">
        <v>138</v>
      </c>
      <c r="E153" s="15">
        <v>42617.975324074076</v>
      </c>
      <c r="F153" s="15">
        <v>42617.979409722226</v>
      </c>
      <c r="G153" s="7">
        <v>1</v>
      </c>
      <c r="H153" s="15" t="s">
        <v>243</v>
      </c>
      <c r="I153" s="15">
        <v>42618.004548611112</v>
      </c>
      <c r="J153" s="7">
        <v>0</v>
      </c>
      <c r="K153" s="132" t="str">
        <f t="shared" si="67"/>
        <v>4009/4010</v>
      </c>
      <c r="L153" s="24" t="str">
        <f>VLOOKUP(A153,'Trips&amp;Operators'!$C$1:$E$10000,3,FALSE)</f>
        <v>COOLAHAN</v>
      </c>
      <c r="M153" s="6">
        <f t="shared" si="68"/>
        <v>2.5138888886431232E-2</v>
      </c>
      <c r="N153" s="7">
        <f t="shared" si="82"/>
        <v>36.199999996460974</v>
      </c>
      <c r="O153" s="7"/>
      <c r="P153" s="7"/>
      <c r="Q153" s="25"/>
      <c r="R153" s="25"/>
      <c r="S153" s="37">
        <f t="shared" si="83"/>
        <v>1</v>
      </c>
      <c r="T153" s="52" t="str">
        <f t="shared" si="69"/>
        <v>NorthBound</v>
      </c>
      <c r="U153" s="12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https://search-rtdc-monitor-bjffxe2xuh6vdkpspy63sjmuny.us-east-1.es.amazonaws.com/_plugin/kibana/#/discover/Steve-Slow-Train-Analysis-(2080s-and-2083s)?_g=(refreshInterval:(display:Off,section:0,value:0),time:(from:'2016-09-04 22:24:28-0600',mode:absolute,to:'2016-09-05 01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53" s="54" t="str">
        <f t="shared" si="71"/>
        <v>N</v>
      </c>
      <c r="X153" s="120">
        <f t="shared" si="72"/>
        <v>1</v>
      </c>
      <c r="Y153" s="69">
        <f t="shared" si="73"/>
        <v>4.5699999999999998E-2</v>
      </c>
      <c r="Z153" s="69">
        <f t="shared" si="74"/>
        <v>23.330300000000001</v>
      </c>
      <c r="AA153" s="69">
        <f t="shared" si="75"/>
        <v>23.284600000000001</v>
      </c>
      <c r="AB153" s="66" t="e">
        <f>VLOOKUP(A153,Enforcements!$C$7:$J$21,8,0)</f>
        <v>#N/A</v>
      </c>
      <c r="AC153" s="62" t="e">
        <f>VLOOKUP(A153,Enforcements!$C$7:$E$21,3,0)</f>
        <v>#N/A</v>
      </c>
      <c r="AD153" s="63" t="str">
        <f t="shared" si="76"/>
        <v>0239-04</v>
      </c>
      <c r="AE153" s="99" t="str">
        <f t="shared" si="77"/>
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</c>
      <c r="AF153" s="96" t="str">
        <f t="shared" si="78"/>
        <v>"C:\Program Files (x86)\AstroGrep\AstroGrep.exe" /spath="%USERPROFILE%\AppData\Local\Temp\OnboardLogs" /stypes="*4009*20160905*" /stext=" 06:.+((SYSTEM_STATE.+slice.+state.+changed )|(ment ac)|(system.+state.+changed )|(\|lc)|(penalty)|(\[timeout)|(PRM\|1\|D)|(kpr)|(kdp))" /e /r /s</v>
      </c>
      <c r="AG153" s="1" t="str">
        <f t="shared" si="79"/>
        <v>EC</v>
      </c>
      <c r="AH153" s="100" t="str">
        <f t="shared" si="80"/>
        <v>"%USERPROFILE%\Documents\GitHub\eaglep3\Utilities\RefineRTDCRunTimes.py" --tripid 239-04 --locoid 4009 --swversion DE.1.0.7.0 --startMP 204:457 --initTime 2016-09-04T23:24:28 --startdatetime 2016-09-04T23:30:21 --delay 1 --endMP 204:233303 --enddatetime 2016-09-05T00:06:33 --enforcementcount 0 &gt;&gt;C:\Users\stu\Documents\GitHub\eaglep3-reporting\EC\2016-09-04-refined-times.txt</v>
      </c>
      <c r="AI153" s="149" t="str">
        <f t="shared" si="81"/>
        <v>echo {"issue":{"subject":"","project_id":79,"tracker_id":40,"status_id":1,"priority_id":2,"assigned_to_id":23,"start_date":"2016-09-05","description":"","custom_fields":[{"id":1,"name":"Subdivision","value":"EC"},{"id":4,"name":"Milepost","value":"23.2846"},{"id":17,"name":"Train ID","value":"239-04"},{"id":16,"name":"Locomotive ID","value":"4009"},{"id":130,"name":"Impact","value":""},{"id":150,"name":"Time of Event (Mountain Time)","value":"00:06:33"},{"id":151,"name":"Denver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s="23" customFormat="1" x14ac:dyDescent="0.25">
      <c r="A154" s="39" t="s">
        <v>554</v>
      </c>
      <c r="B154" s="7">
        <v>4010</v>
      </c>
      <c r="C154" s="24" t="s">
        <v>112</v>
      </c>
      <c r="D154" s="24" t="s">
        <v>289</v>
      </c>
      <c r="E154" s="15">
        <v>42618.010752314818</v>
      </c>
      <c r="F154" s="15">
        <v>42618.018229166664</v>
      </c>
      <c r="G154" s="7">
        <v>1</v>
      </c>
      <c r="H154" s="15" t="s">
        <v>665</v>
      </c>
      <c r="I154" s="15">
        <v>42618.044108796297</v>
      </c>
      <c r="J154" s="7">
        <v>0</v>
      </c>
      <c r="K154" s="132" t="str">
        <f t="shared" si="67"/>
        <v>4009/4010</v>
      </c>
      <c r="L154" s="24" t="str">
        <f>VLOOKUP(A154,'Trips&amp;Operators'!$C$1:$E$10000,3,FALSE)</f>
        <v>COOLAHAN</v>
      </c>
      <c r="M154" s="6">
        <f t="shared" si="68"/>
        <v>2.587962963298196E-2</v>
      </c>
      <c r="N154" s="7">
        <f t="shared" si="82"/>
        <v>37.266666671494022</v>
      </c>
      <c r="O154" s="7"/>
      <c r="P154" s="7"/>
      <c r="Q154" s="25"/>
      <c r="R154" s="25"/>
      <c r="S154" s="37">
        <f t="shared" si="83"/>
        <v>1</v>
      </c>
      <c r="T154" s="52" t="str">
        <f t="shared" si="69"/>
        <v>Southbound</v>
      </c>
      <c r="U154" s="12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https://search-rtdc-monitor-bjffxe2xuh6vdkpspy63sjmuny.us-east-1.es.amazonaws.com/_plugin/kibana/#/discover/Steve-Slow-Train-Analysis-(2080s-and-2083s)?_g=(refreshInterval:(display:Off,section:0,value:0),time:(from:'2016-09-04 23:15:29-0600',mode:absolute,to:'2016-09-05 02:03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54" s="54" t="str">
        <f t="shared" si="71"/>
        <v>N</v>
      </c>
      <c r="X154" s="120">
        <f t="shared" si="72"/>
        <v>1</v>
      </c>
      <c r="Y154" s="69">
        <f t="shared" si="73"/>
        <v>23.298200000000001</v>
      </c>
      <c r="Z154" s="69">
        <f t="shared" si="74"/>
        <v>1.9199999999999998E-2</v>
      </c>
      <c r="AA154" s="69">
        <f t="shared" si="75"/>
        <v>23.279</v>
      </c>
      <c r="AB154" s="66" t="e">
        <f>VLOOKUP(A154,Enforcements!$C$7:$J$21,8,0)</f>
        <v>#N/A</v>
      </c>
      <c r="AC154" s="62" t="e">
        <f>VLOOKUP(A154,Enforcements!$C$7:$E$21,3,0)</f>
        <v>#N/A</v>
      </c>
      <c r="AD154" s="63" t="str">
        <f t="shared" si="76"/>
        <v>0240-04</v>
      </c>
      <c r="AE154" s="99" t="str">
        <f t="shared" si="77"/>
        <v>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 &amp; 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</v>
      </c>
      <c r="AF154" s="96" t="str">
        <f t="shared" si="78"/>
        <v>"C:\Program Files (x86)\AstroGrep\AstroGrep.exe" /spath="%USERPROFILE%\AppData\Local\Temp\OnboardLogs" /stypes="*4010*20160905*" /stext=" 07:.+((SYSTEM_STATE.+slice.+state.+changed )|(ment ac)|(system.+state.+changed )|(\|lc)|(penalty)|(\[timeout)|(PRM\|1\|D)|(kpr)|(kdp))" /e /r /s</v>
      </c>
      <c r="AG154" s="1" t="str">
        <f t="shared" si="79"/>
        <v>EC</v>
      </c>
      <c r="AH154" s="100" t="str">
        <f t="shared" si="80"/>
        <v>"%USERPROFILE%\Documents\GitHub\eaglep3\Utilities\RefineRTDCRunTimes.py" --tripid 240-04 --locoid 4010 --swversion DE.1.0.7.0 --startMP 204:232982 --initTime 2016-09-05T00:15:29 --startdatetime 2016-09-05T00:26:15 --delay 1 --endMP 204:192 --enddatetime 2016-09-05T01:03:31 --enforcementcount 0 &gt;&gt;C:\Users\stu\Documents\GitHub\eaglep3-reporting\EC\2016-09-04-refined-times.txt</v>
      </c>
      <c r="AI154" s="149" t="str">
        <f t="shared" si="81"/>
        <v>echo {"issue":{"subject":"","project_id":79,"tracker_id":40,"status_id":1,"priority_id":2,"assigned_to_id":23,"start_date":"2016-09-05","description":"","custom_fields":[{"id":1,"name":"Subdivision","value":"EC"},{"id":4,"name":"Milepost","value":"23.279"},{"id":17,"name":"Train ID","value":"240-04"},{"id":16,"name":"Locomotive ID","value":"4010"},{"id":130,"name":"Impact","value":""},{"id":150,"name":"Time of Event (Mountain Time)","value":"01:03:31"},{"id":151,"name":"Denver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x14ac:dyDescent="0.25">
      <c r="A155" s="39" t="s">
        <v>552</v>
      </c>
      <c r="B155" s="7">
        <v>4018</v>
      </c>
      <c r="C155" s="24" t="s">
        <v>112</v>
      </c>
      <c r="D155" s="24" t="s">
        <v>666</v>
      </c>
      <c r="E155" s="15">
        <v>42617.9846412037</v>
      </c>
      <c r="F155" s="15">
        <v>42618.000358796293</v>
      </c>
      <c r="G155" s="7">
        <v>1</v>
      </c>
      <c r="H155" s="15" t="s">
        <v>282</v>
      </c>
      <c r="I155" s="15">
        <v>42618.024791666663</v>
      </c>
      <c r="J155" s="7">
        <v>0</v>
      </c>
      <c r="K155" s="132" t="str">
        <f t="shared" si="67"/>
        <v>4017/4018</v>
      </c>
      <c r="L155" s="24" t="str">
        <f>VLOOKUP(A155,'Trips&amp;Operators'!$C$1:$E$10000,3,FALSE)</f>
        <v>NEWELL</v>
      </c>
      <c r="M155" s="6">
        <f t="shared" si="68"/>
        <v>2.4432870370219462E-2</v>
      </c>
      <c r="N155" s="7">
        <f t="shared" si="82"/>
        <v>35.183333333116025</v>
      </c>
      <c r="O155" s="7"/>
      <c r="P155" s="7"/>
      <c r="Q155" s="25"/>
      <c r="R155" s="25"/>
      <c r="S155" s="37">
        <f t="shared" si="83"/>
        <v>1</v>
      </c>
      <c r="T155" s="52" t="str">
        <f t="shared" si="69"/>
        <v>NorthBound</v>
      </c>
      <c r="U155" s="12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https://search-rtdc-monitor-bjffxe2xuh6vdkpspy63sjmuny.us-east-1.es.amazonaws.com/_plugin/kibana/#/discover/Steve-Slow-Train-Analysis-(2080s-and-2083s)?_g=(refreshInterval:(display:Off,section:0,value:0),time:(from:'2016-09-04 22:37:53-0600',mode:absolute,to:'2016-09-05 01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55" s="54" t="str">
        <f t="shared" si="71"/>
        <v>N</v>
      </c>
      <c r="X155" s="120">
        <f t="shared" si="72"/>
        <v>1</v>
      </c>
      <c r="Y155" s="69">
        <f t="shared" si="73"/>
        <v>4.2200000000000001E-2</v>
      </c>
      <c r="Z155" s="69">
        <f t="shared" si="74"/>
        <v>23.333400000000001</v>
      </c>
      <c r="AA155" s="69">
        <f t="shared" si="75"/>
        <v>23.2912</v>
      </c>
      <c r="AB155" s="66" t="e">
        <f>VLOOKUP(A155,Enforcements!$C$7:$J$21,8,0)</f>
        <v>#N/A</v>
      </c>
      <c r="AC155" s="62" t="e">
        <f>VLOOKUP(A155,Enforcements!$C$7:$E$21,3,0)</f>
        <v>#N/A</v>
      </c>
      <c r="AD155" s="63" t="str">
        <f t="shared" si="76"/>
        <v>0241-04</v>
      </c>
      <c r="AE155" s="99" t="str">
        <f t="shared" si="77"/>
        <v>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 &amp; 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</v>
      </c>
      <c r="AF155" s="96" t="str">
        <f t="shared" si="78"/>
        <v>"C:\Program Files (x86)\AstroGrep\AstroGrep.exe" /spath="%USERPROFILE%\AppData\Local\Temp\OnboardLogs" /stypes="*4018*20160905*" /stext=" 06:.+((SYSTEM_STATE.+slice.+state.+changed )|(ment ac)|(system.+state.+changed )|(\|lc)|(penalty)|(\[timeout)|(PRM\|1\|D)|(kpr)|(kdp))" /e /r /s</v>
      </c>
      <c r="AG155" s="1" t="str">
        <f t="shared" si="79"/>
        <v>EC</v>
      </c>
      <c r="AH155" s="100" t="str">
        <f t="shared" si="80"/>
        <v>"%USERPROFILE%\Documents\GitHub\eaglep3\Utilities\RefineRTDCRunTimes.py" --tripid 241-04 --locoid 4018 --swversion DE.1.0.7.0 --startMP 204:422 --initTime 2016-09-04T23:37:53 --startdatetime 2016-09-05T00:00:31 --delay 1 --endMP 204:233334 --enddatetime 2016-09-05T00:35:42 --enforcementcount 0 &gt;&gt;C:\Users\stu\Documents\GitHub\eaglep3-reporting\EC\2016-09-04-refined-times.txt</v>
      </c>
      <c r="AI155" s="149" t="str">
        <f t="shared" si="81"/>
        <v>echo {"issue":{"subject":"","project_id":79,"tracker_id":40,"status_id":1,"priority_id":2,"assigned_to_id":23,"start_date":"2016-09-05","description":"","custom_fields":[{"id":1,"name":"Subdivision","value":"EC"},{"id":4,"name":"Milepost","value":"23.2912"},{"id":17,"name":"Train ID","value":"241-04"},{"id":16,"name":"Locomotive ID","value":"4018"},{"id":130,"name":"Impact","value":""},{"id":150,"name":"Time of Event (Mountain Time)","value":"00:35:42"},{"id":151,"name":"Denver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s="23" customFormat="1" x14ac:dyDescent="0.25">
      <c r="A156" s="39" t="s">
        <v>557</v>
      </c>
      <c r="B156" s="7">
        <v>4017</v>
      </c>
      <c r="C156" s="24" t="s">
        <v>112</v>
      </c>
      <c r="D156" s="24" t="s">
        <v>244</v>
      </c>
      <c r="E156" s="15">
        <v>42618.036354166667</v>
      </c>
      <c r="F156" s="15">
        <v>42618.054120370369</v>
      </c>
      <c r="G156" s="7">
        <v>1</v>
      </c>
      <c r="H156" s="15" t="s">
        <v>667</v>
      </c>
      <c r="I156" s="15">
        <v>42618.067233796297</v>
      </c>
      <c r="J156" s="7">
        <v>0</v>
      </c>
      <c r="K156" s="132" t="str">
        <f t="shared" si="67"/>
        <v>4017/4018</v>
      </c>
      <c r="L156" s="24" t="str">
        <f>VLOOKUP(A156,'Trips&amp;Operators'!$C$1:$E$10000,3,FALSE)</f>
        <v>NEWELL</v>
      </c>
      <c r="M156" s="6">
        <f t="shared" si="68"/>
        <v>1.3113425928167999E-2</v>
      </c>
      <c r="N156" s="7"/>
      <c r="O156" s="7"/>
      <c r="P156" s="7">
        <f t="shared" si="82"/>
        <v>18.883333336561918</v>
      </c>
      <c r="Q156" s="25"/>
      <c r="R156" s="25" t="s">
        <v>680</v>
      </c>
      <c r="S156" s="37">
        <f>SUM(U156:U157)/IF(AG156="EC",12,1)</f>
        <v>0.91666666666666663</v>
      </c>
      <c r="T156" s="52" t="str">
        <f t="shared" si="69"/>
        <v>Southbound</v>
      </c>
      <c r="U156" s="12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https://search-rtdc-monitor-bjffxe2xuh6vdkpspy63sjmuny.us-east-1.es.amazonaws.com/_plugin/kibana/#/discover/Steve-Slow-Train-Analysis-(2080s-and-2083s)?_g=(refreshInterval:(display:Off,section:0,value:0),time:(from:'2016-09-04 23:52:21-0600',mode:absolute,to:'2016-09-05 02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56" s="54" t="str">
        <f t="shared" si="71"/>
        <v>Y</v>
      </c>
      <c r="X156" s="120">
        <f t="shared" si="72"/>
        <v>1</v>
      </c>
      <c r="Y156" s="69">
        <f t="shared" si="73"/>
        <v>23.299600000000002</v>
      </c>
      <c r="Z156" s="69">
        <f t="shared" si="74"/>
        <v>10.5213</v>
      </c>
      <c r="AA156" s="69">
        <f t="shared" si="75"/>
        <v>12.778300000000002</v>
      </c>
      <c r="AB156" s="66" t="e">
        <f>VLOOKUP(A156,Enforcements!$C$7:$J$21,8,0)</f>
        <v>#N/A</v>
      </c>
      <c r="AC156" s="62" t="e">
        <f>VLOOKUP(A156,Enforcements!$C$7:$E$21,3,0)</f>
        <v>#N/A</v>
      </c>
      <c r="AD156" s="63" t="str">
        <f t="shared" si="76"/>
        <v>0242-04</v>
      </c>
      <c r="AE156" s="99" t="str">
        <f t="shared" si="77"/>
        <v>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 &amp; 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</v>
      </c>
      <c r="AF156" s="96" t="str">
        <f t="shared" si="78"/>
        <v>"C:\Program Files (x86)\AstroGrep\AstroGrep.exe" /spath="%USERPROFILE%\AppData\Local\Temp\OnboardLogs" /stypes="*4017*20160905*" /stext=" 07:.+((SYSTEM_STATE.+slice.+state.+changed )|(ment ac)|(system.+state.+changed )|(\|lc)|(penalty)|(\[timeout)|(PRM\|1\|D)|(kpr)|(kdp))" /e /r /s</v>
      </c>
      <c r="AG156" s="1" t="str">
        <f t="shared" si="79"/>
        <v>EC</v>
      </c>
      <c r="AH156" s="100" t="str">
        <f t="shared" si="80"/>
        <v>"%USERPROFILE%\Documents\GitHub\eaglep3\Utilities\RefineRTDCRunTimes.py" --tripid 242-04 --locoid 4017 --swversion DE.1.0.7.0 --startMP 204:232996 --initTime 2016-09-05T00:52:21 --startdatetime 2016-09-05T01:17:56 --delay 1 --endMP 204:105213 --enddatetime 2016-09-05T01:36:49 --enforcementcount 0 &gt;&gt;C:\Users\stu\Documents\GitHub\eaglep3-reporting\EC\2016-09-04-refined-times.txt</v>
      </c>
      <c r="AI156" s="149" t="str">
        <f t="shared" si="81"/>
        <v>echo {"issue":{"subject":"Wi-MAX outage","project_id":79,"tracker_id":40,"status_id":1,"priority_id":2,"assigned_to_id":23,"start_date":"2016-09-05","description":"","custom_fields":[{"id":1,"name":"Subdivision","value":"EC"},{"id":4,"name":"Milepost","value":"12.7783"},{"id":17,"name":"Train ID","value":"242-04"},{"id":16,"name":"Locomotive ID","value":"4017"},{"id":130,"name":"Impact","value":""},{"id":150,"name":"Time of Event (Mountain Time)","value":"01:36:49"},{"id":151,"name":"Denver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557</v>
      </c>
      <c r="B157" s="7">
        <v>4017</v>
      </c>
      <c r="C157" s="24" t="s">
        <v>112</v>
      </c>
      <c r="D157" s="24" t="s">
        <v>668</v>
      </c>
      <c r="E157" s="15">
        <v>42618.053287037037</v>
      </c>
      <c r="F157" s="15">
        <v>42618.054120370369</v>
      </c>
      <c r="G157" s="7">
        <v>0</v>
      </c>
      <c r="H157" s="15" t="s">
        <v>273</v>
      </c>
      <c r="I157" s="15">
        <v>42618.067233796297</v>
      </c>
      <c r="J157" s="7">
        <v>0</v>
      </c>
      <c r="K157" s="132" t="str">
        <f t="shared" si="67"/>
        <v>4017/4018</v>
      </c>
      <c r="L157" s="24" t="str">
        <f>VLOOKUP(A157,'Trips&amp;Operators'!$C$1:$E$10000,3,FALSE)</f>
        <v>NEWELL</v>
      </c>
      <c r="M157" s="6">
        <f t="shared" si="68"/>
        <v>1.3113425928167999E-2</v>
      </c>
      <c r="N157" s="7"/>
      <c r="O157" s="7"/>
      <c r="P157" s="7"/>
      <c r="Q157" s="25"/>
      <c r="R157" s="25"/>
      <c r="S157" s="37"/>
      <c r="T157" s="52" t="str">
        <f t="shared" si="69"/>
        <v>Southbound</v>
      </c>
      <c r="U157" s="12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10</v>
      </c>
      <c r="V157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https://search-rtdc-monitor-bjffxe2xuh6vdkpspy63sjmuny.us-east-1.es.amazonaws.com/_plugin/kibana/#/discover/Steve-Slow-Train-Analysis-(2080s-and-2083s)?_g=(refreshInterval:(display:Off,section:0,value:0),time:(from:'2016-09-05 00:16:44-0600',mode:absolute,to:'2016-09-05 02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57" s="54" t="str">
        <f t="shared" si="71"/>
        <v>Y</v>
      </c>
      <c r="X157" s="120">
        <f t="shared" si="72"/>
        <v>0</v>
      </c>
      <c r="Y157" s="69">
        <f t="shared" si="73"/>
        <v>8.6350999999999996</v>
      </c>
      <c r="Z157" s="69">
        <f t="shared" si="74"/>
        <v>1.34E-2</v>
      </c>
      <c r="AA157" s="69">
        <f t="shared" si="75"/>
        <v>8.6216999999999988</v>
      </c>
      <c r="AB157" s="66" t="e">
        <f>VLOOKUP(A157,Enforcements!$C$7:$J$21,8,0)</f>
        <v>#N/A</v>
      </c>
      <c r="AC157" s="62" t="e">
        <f>VLOOKUP(A157,Enforcements!$C$7:$E$21,3,0)</f>
        <v>#N/A</v>
      </c>
      <c r="AD157" s="63" t="str">
        <f t="shared" si="76"/>
        <v>0242-04</v>
      </c>
      <c r="AE157" s="99" t="str">
        <f t="shared" si="77"/>
        <v>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 &amp; 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</v>
      </c>
      <c r="AF157" s="96" t="str">
        <f t="shared" si="78"/>
        <v>"C:\Program Files (x86)\AstroGrep\AstroGrep.exe" /spath="%USERPROFILE%\AppData\Local\Temp\OnboardLogs" /stypes="*4017*20160905*" /stext=" 07:.+((SYSTEM_STATE.+slice.+state.+changed )|(ment ac)|(system.+state.+changed )|(\|lc)|(penalty)|(\[timeout)|(PRM\|1\|D)|(kpr)|(kdp))" /e /r /s</v>
      </c>
      <c r="AG157" s="1" t="str">
        <f t="shared" si="79"/>
        <v>EC</v>
      </c>
      <c r="AH157" s="100" t="str">
        <f t="shared" si="80"/>
        <v>"%USERPROFILE%\Documents\GitHub\eaglep3\Utilities\RefineRTDCRunTimes.py" --tripid 242-04 --locoid 4017 --swversion DE.1.0.7.0 --startMP 204:86351 --initTime 2016-09-05T01:16:44 --startdatetime 2016-09-05T01:17:56 --delay 0 --endMP 204:134 --enddatetime 2016-09-05T01:36:49 --enforcementcount 0 &gt;&gt;C:\Users\stu\Documents\GitHub\eaglep3-reporting\EC\2016-09-04-refined-times.txt</v>
      </c>
      <c r="AI157" s="149" t="str">
        <f t="shared" si="81"/>
        <v>echo {"issue":{"subject":"","project_id":79,"tracker_id":40,"status_id":1,"priority_id":2,"assigned_to_id":23,"start_date":"2016-09-05","description":"","custom_fields":[{"id":1,"name":"Subdivision","value":"EC"},{"id":4,"name":"Milepost","value":"8.6217"},{"id":17,"name":"Train ID","value":"242-04"},{"id":16,"name":"Locomotive ID","value":"4017"},{"id":130,"name":"Impact","value":""},{"id":150,"name":"Time of Event (Mountain Time)","value":"01:36:49"},{"id":151,"name":"Denver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555</v>
      </c>
      <c r="B158" s="7">
        <v>4031</v>
      </c>
      <c r="C158" s="24" t="s">
        <v>112</v>
      </c>
      <c r="D158" s="24" t="s">
        <v>669</v>
      </c>
      <c r="E158" s="15">
        <v>42618.018645833334</v>
      </c>
      <c r="F158" s="15">
        <v>42618.021111111113</v>
      </c>
      <c r="G158" s="7">
        <v>1</v>
      </c>
      <c r="H158" s="15" t="s">
        <v>357</v>
      </c>
      <c r="I158" s="15">
        <v>42618.046631944446</v>
      </c>
      <c r="J158" s="7">
        <v>0</v>
      </c>
      <c r="K158" s="132" t="str">
        <f t="shared" si="67"/>
        <v>4031/4032</v>
      </c>
      <c r="L158" s="24" t="str">
        <f>VLOOKUP(A158,'Trips&amp;Operators'!$C$1:$E$10000,3,FALSE)</f>
        <v>CHANDLER</v>
      </c>
      <c r="M158" s="6">
        <f t="shared" si="68"/>
        <v>2.5520833332848269E-2</v>
      </c>
      <c r="N158" s="7">
        <f t="shared" si="82"/>
        <v>36.749999999301508</v>
      </c>
      <c r="O158" s="7"/>
      <c r="P158" s="7"/>
      <c r="Q158" s="25"/>
      <c r="R158" s="25"/>
      <c r="S158" s="37">
        <f t="shared" si="83"/>
        <v>1</v>
      </c>
      <c r="T158" s="52" t="str">
        <f t="shared" si="69"/>
        <v>NorthBound</v>
      </c>
      <c r="U158" s="12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https://search-rtdc-monitor-bjffxe2xuh6vdkpspy63sjmuny.us-east-1.es.amazonaws.com/_plugin/kibana/#/discover/Steve-Slow-Train-Analysis-(2080s-and-2083s)?_g=(refreshInterval:(display:Off,section:0,value:0),time:(from:'2016-09-04 23:26:51-0600',mode:absolute,to:'2016-09-05 02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58" s="54" t="str">
        <f t="shared" si="71"/>
        <v>N</v>
      </c>
      <c r="X158" s="120">
        <f t="shared" si="72"/>
        <v>1</v>
      </c>
      <c r="Y158" s="69">
        <f t="shared" si="73"/>
        <v>4.8800000000000003E-2</v>
      </c>
      <c r="Z158" s="69">
        <f t="shared" si="74"/>
        <v>23.329899999999999</v>
      </c>
      <c r="AA158" s="69">
        <f t="shared" si="75"/>
        <v>23.281099999999999</v>
      </c>
      <c r="AB158" s="66" t="e">
        <f>VLOOKUP(A158,Enforcements!$C$7:$J$21,8,0)</f>
        <v>#N/A</v>
      </c>
      <c r="AC158" s="62" t="e">
        <f>VLOOKUP(A158,Enforcements!$C$7:$E$21,3,0)</f>
        <v>#N/A</v>
      </c>
      <c r="AD158" s="63" t="str">
        <f t="shared" si="76"/>
        <v>0243-04</v>
      </c>
      <c r="AE158" s="99" t="str">
        <f t="shared" si="77"/>
        <v>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 &amp; aws s3 cp s3://rtdc.mdm.uploadarchive/RTDC4031/2016-09-06/ "%USERPROFILE%\AppData\Local\Temp\OnboardLogs"\RTDC4031\2016-09-06 --recursive &amp; "%USERPROFILE%\Documents\GitHub\mrs-test-scripts\Headless Mode &amp; Sideloading\WalkAndUnGZ.bat" "%USERPROFILE%\AppData\Local\Temp\OnboardLogs"\RTDC4031\2016-09-06</v>
      </c>
      <c r="AF158" s="96" t="str">
        <f t="shared" si="78"/>
        <v>"C:\Program Files (x86)\AstroGrep\AstroGrep.exe" /spath="%USERPROFILE%\AppData\Local\Temp\OnboardLogs" /stypes="*4031*20160905*" /stext=" 07:.+((SYSTEM_STATE.+slice.+state.+changed )|(ment ac)|(system.+state.+changed )|(\|lc)|(penalty)|(\[timeout)|(PRM\|1\|D)|(kpr)|(kdp))" /e /r /s</v>
      </c>
      <c r="AG158" s="1" t="str">
        <f t="shared" si="79"/>
        <v>EC</v>
      </c>
      <c r="AH158" s="100" t="str">
        <f t="shared" si="80"/>
        <v>"%USERPROFILE%\Documents\GitHub\eaglep3\Utilities\RefineRTDCRunTimes.py" --tripid 243-04 --locoid 4031 --swversion DE.1.0.7.0 --startMP 204:488 --initTime 2016-09-05T00:26:51 --startdatetime 2016-09-05T00:30:24 --delay 1 --endMP 204:233299 --enddatetime 2016-09-05T01:07:09 --enforcementcount 0 &gt;&gt;C:\Users\stu\Documents\GitHub\eaglep3-reporting\EC\2016-09-04-refined-times.txt</v>
      </c>
      <c r="AI158" s="149" t="str">
        <f t="shared" si="81"/>
        <v>echo {"issue":{"subject":"","project_id":79,"tracker_id":40,"status_id":1,"priority_id":2,"assigned_to_id":23,"start_date":"2016-09-05","description":"","custom_fields":[{"id":1,"name":"Subdivision","value":"EC"},{"id":4,"name":"Milepost","value":"23.2811"},{"id":17,"name":"Train ID","value":"243-04"},{"id":16,"name":"Locomotive ID","value":"4031"},{"id":130,"name":"Impact","value":""},{"id":150,"name":"Time of Event (Mountain Time)","value":"01:07:09"},{"id":151,"name":"Denver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559</v>
      </c>
      <c r="B159" s="7">
        <v>4032</v>
      </c>
      <c r="C159" s="24" t="s">
        <v>112</v>
      </c>
      <c r="D159" s="24" t="s">
        <v>298</v>
      </c>
      <c r="E159" s="15">
        <v>42618.05877314815</v>
      </c>
      <c r="F159" s="15">
        <v>42618.060104166667</v>
      </c>
      <c r="G159" s="7">
        <v>1</v>
      </c>
      <c r="H159" s="15" t="s">
        <v>295</v>
      </c>
      <c r="I159" s="15">
        <v>42618.088333333333</v>
      </c>
      <c r="J159" s="7">
        <v>0</v>
      </c>
      <c r="K159" s="132" t="str">
        <f t="shared" si="67"/>
        <v>4031/4032</v>
      </c>
      <c r="L159" s="24" t="str">
        <f>VLOOKUP(A159,'Trips&amp;Operators'!$C$1:$E$10000,3,FALSE)</f>
        <v>CHANDLER</v>
      </c>
      <c r="M159" s="6">
        <f t="shared" si="68"/>
        <v>2.8229166666278616E-2</v>
      </c>
      <c r="N159" s="7">
        <f t="shared" si="82"/>
        <v>40.649999999441206</v>
      </c>
      <c r="O159" s="7"/>
      <c r="P159" s="7"/>
      <c r="Q159" s="25"/>
      <c r="R159" s="25"/>
      <c r="S159" s="37">
        <f t="shared" si="83"/>
        <v>1</v>
      </c>
      <c r="T159" s="52" t="str">
        <f t="shared" si="69"/>
        <v>Southbound</v>
      </c>
      <c r="U159" s="12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https://search-rtdc-monitor-bjffxe2xuh6vdkpspy63sjmuny.us-east-1.es.amazonaws.com/_plugin/kibana/#/discover/Steve-Slow-Train-Analysis-(2080s-and-2083s)?_g=(refreshInterval:(display:Off,section:0,value:0),time:(from:'2016-09-05 00:24:38-0600',mode:absolute,to:'2016-09-05 03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59" s="54" t="str">
        <f t="shared" si="71"/>
        <v>N</v>
      </c>
      <c r="X159" s="120">
        <f t="shared" si="72"/>
        <v>1</v>
      </c>
      <c r="Y159" s="69">
        <f t="shared" si="73"/>
        <v>23.296900000000001</v>
      </c>
      <c r="Z159" s="69">
        <f t="shared" si="74"/>
        <v>1.67E-2</v>
      </c>
      <c r="AA159" s="69">
        <f t="shared" si="75"/>
        <v>23.280200000000001</v>
      </c>
      <c r="AB159" s="66" t="e">
        <f>VLOOKUP(A159,Enforcements!$C$7:$J$21,8,0)</f>
        <v>#N/A</v>
      </c>
      <c r="AC159" s="62" t="e">
        <f>VLOOKUP(A159,Enforcements!$C$7:$E$21,3,0)</f>
        <v>#N/A</v>
      </c>
      <c r="AD159" s="63" t="str">
        <f t="shared" si="76"/>
        <v>0244-04</v>
      </c>
      <c r="AE159" s="99" t="str">
        <f t="shared" si="77"/>
        <v>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 &amp; aws s3 cp s3://rtdc.mdm.uploadarchive/RTDC4032/2016-09-06/ "%USERPROFILE%\AppData\Local\Temp\OnboardLogs"\RTDC4032\2016-09-06 --recursive &amp; "%USERPROFILE%\Documents\GitHub\mrs-test-scripts\Headless Mode &amp; Sideloading\WalkAndUnGZ.bat" "%USERPROFILE%\AppData\Local\Temp\OnboardLogs"\RTDC4032\2016-09-06</v>
      </c>
      <c r="AF159" s="96" t="str">
        <f t="shared" si="78"/>
        <v>"C:\Program Files (x86)\AstroGrep\AstroGrep.exe" /spath="%USERPROFILE%\AppData\Local\Temp\OnboardLogs" /stypes="*4032*20160905*" /stext=" 08:.+((SYSTEM_STATE.+slice.+state.+changed )|(ment ac)|(system.+state.+changed )|(\|lc)|(penalty)|(\[timeout)|(PRM\|1\|D)|(kpr)|(kdp))" /e /r /s</v>
      </c>
      <c r="AG159" s="1" t="str">
        <f t="shared" si="79"/>
        <v>EC</v>
      </c>
      <c r="AH159" s="100" t="str">
        <f t="shared" si="80"/>
        <v>"%USERPROFILE%\Documents\GitHub\eaglep3\Utilities\RefineRTDCRunTimes.py" --tripid 244-04 --locoid 4032 --swversion DE.1.0.7.0 --startMP 204:232969 --initTime 2016-09-05T01:24:38 --startdatetime 2016-09-05T01:26:33 --delay 1 --endMP 204:167 --enddatetime 2016-09-05T02:07:12 --enforcementcount 0 &gt;&gt;C:\Users\stu\Documents\GitHub\eaglep3-reporting\EC\2016-09-04-refined-times.txt</v>
      </c>
      <c r="AI159" s="149" t="str">
        <f t="shared" si="81"/>
        <v>echo {"issue":{"subject":"","project_id":79,"tracker_id":40,"status_id":1,"priority_id":2,"assigned_to_id":23,"start_date":"2016-09-05","description":"","custom_fields":[{"id":1,"name":"Subdivision","value":"EC"},{"id":4,"name":"Milepost","value":"23.2802"},{"id":17,"name":"Train ID","value":"244-04"},{"id":16,"name":"Locomotive ID","value":"4032"},{"id":130,"name":"Impact","value":""},{"id":150,"name":"Time of Event (Mountain Time)","value":"02:07:12"},{"id":151,"name":"Denver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x14ac:dyDescent="0.25">
      <c r="A160" s="39" t="s">
        <v>384</v>
      </c>
      <c r="B160" s="7">
        <v>4030</v>
      </c>
      <c r="C160" s="24" t="s">
        <v>112</v>
      </c>
      <c r="D160" s="24" t="s">
        <v>593</v>
      </c>
      <c r="E160" s="15">
        <v>42617.237708333334</v>
      </c>
      <c r="F160" s="15">
        <v>42617.238761574074</v>
      </c>
      <c r="G160" s="7">
        <v>1</v>
      </c>
      <c r="H160" s="15" t="s">
        <v>594</v>
      </c>
      <c r="I160" s="15">
        <v>42617.249293981484</v>
      </c>
      <c r="J160" s="7">
        <v>0</v>
      </c>
      <c r="K160" s="132" t="str">
        <f t="shared" si="67"/>
        <v>4029/4030</v>
      </c>
      <c r="L160" s="24" t="str">
        <f>VLOOKUP(A160,'Trips&amp;Operators'!$C$1:$E$10000,3,FALSE)</f>
        <v>STARKS</v>
      </c>
      <c r="M160" s="6">
        <f t="shared" si="68"/>
        <v>1.0532407410209998E-2</v>
      </c>
      <c r="N160" s="7">
        <f t="shared" si="82"/>
        <v>15.166666670702398</v>
      </c>
      <c r="O160" s="7"/>
      <c r="P160" s="7"/>
      <c r="Q160" s="25"/>
      <c r="R160" s="25"/>
      <c r="S160" s="37">
        <f t="shared" si="83"/>
        <v>1</v>
      </c>
      <c r="T160" s="52" t="str">
        <f t="shared" si="69"/>
        <v>Southbound</v>
      </c>
      <c r="U160" s="12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https://search-rtdc-monitor-bjffxe2xuh6vdkpspy63sjmuny.us-east-1.es.amazonaws.com/_plugin/kibana/#/discover/Steve-Slow-Train-Analysis-(2080s-and-2083s)?_g=(refreshInterval:(display:Off,section:0,value:0),time:(from:'2016-09-04 04:42:18-0600',mode:absolute,to:'2016-09-04 06:58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60" s="54" t="str">
        <f t="shared" si="71"/>
        <v>N</v>
      </c>
      <c r="X160" s="120">
        <f t="shared" si="72"/>
        <v>1556</v>
      </c>
      <c r="Y160" s="69">
        <f t="shared" si="73"/>
        <v>5.7354000000000003</v>
      </c>
      <c r="Z160" s="69">
        <f t="shared" si="74"/>
        <v>6.9599999999999995E-2</v>
      </c>
      <c r="AA160" s="69">
        <f t="shared" si="75"/>
        <v>5.6657999999999999</v>
      </c>
      <c r="AB160" s="66" t="e">
        <f>VLOOKUP(A160,Enforcements!$C$7:$J$21,8,0)</f>
        <v>#N/A</v>
      </c>
      <c r="AC160" s="62" t="e">
        <f>VLOOKUP(A160,Enforcements!$C$7:$E$21,3,0)</f>
        <v>#N/A</v>
      </c>
      <c r="AD160" s="63" t="str">
        <f t="shared" si="76"/>
        <v>1800-04</v>
      </c>
      <c r="AE160" s="99" t="str">
        <f t="shared" si="77"/>
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</c>
      <c r="AF160" s="96" t="str">
        <f t="shared" si="78"/>
        <v>"C:\Program Files (x86)\AstroGrep\AstroGrep.exe" /spath="%USERPROFILE%\AppData\Local\Temp\OnboardLogs" /stypes="*4030*20160904*" /stext=" 11:.+((SYSTEM_STATE.+slice.+state.+changed )|(ment ac)|(system.+state.+changed )|(\|lc)|(penalty)|(\[timeout)|(PRM\|1\|D)|(kpr)|(kdp))" /e /r /s</v>
      </c>
      <c r="AG160" s="1" t="str">
        <f t="shared" si="79"/>
        <v>NW</v>
      </c>
      <c r="AH160" s="100" t="str">
        <f t="shared" si="80"/>
        <v>"%USERPROFILE%\Documents\GitHub\eaglep3\Utilities\RefineRTDCRunTimes.py" --tripid 1800-04 --locoid 4030 --swversion DE.1.0.7.0 --startMP 300:57354 --initTime 2016-09-04T05:42:18 --startdatetime 2016-09-04T05:43:49 --delay 1 --endMP 204:696 --enddatetime 2016-09-04T05:58:59 --enforcementcount 0 &gt;&gt;C:\Users\stu\Documents\GitHub\eaglep3-reporting\EC\2016-09-04-refined-times.txt</v>
      </c>
      <c r="AI160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{"issue":{"subject":"","project_id":79,"tracker_id":40,"status_id":1,"priority_id":2,"assigned_to_id":23,"start_date":"2016-09-04","description":"","custom_fields":[{"id":1,"name":"Subdivision","value":"NW"},{"id":4,"name":"Milepost","value":"5.6658"},{"id":17,"name":"Train ID","value":"1800-04"},{"id":16,"name":"Locomotive ID","value":"4030"},{"id":130,"name":"Impact","value":""},{"id":150,"name":"Time of Event (Mountain Time)","value":"05:58:59"},{"id":151,"name":"Denver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394</v>
      </c>
      <c r="B161" s="7">
        <v>4029</v>
      </c>
      <c r="C161" s="24" t="s">
        <v>112</v>
      </c>
      <c r="D161" s="24" t="s">
        <v>595</v>
      </c>
      <c r="E161" s="15">
        <v>42617.261574074073</v>
      </c>
      <c r="F161" s="15">
        <v>42617.264814814815</v>
      </c>
      <c r="G161" s="7">
        <v>1</v>
      </c>
      <c r="H161" s="15" t="s">
        <v>276</v>
      </c>
      <c r="I161" s="15">
        <v>42617.274884259263</v>
      </c>
      <c r="J161" s="7">
        <v>0</v>
      </c>
      <c r="K161" s="132" t="str">
        <f t="shared" si="67"/>
        <v>4029/4030</v>
      </c>
      <c r="L161" s="24" t="str">
        <f>VLOOKUP(A161,'Trips&amp;Operators'!$C$1:$E$10000,3,FALSE)</f>
        <v>STARKS</v>
      </c>
      <c r="M161" s="6">
        <f t="shared" si="68"/>
        <v>1.0069444448163267E-2</v>
      </c>
      <c r="N161" s="7">
        <f t="shared" si="82"/>
        <v>14.500000005355105</v>
      </c>
      <c r="O161" s="7"/>
      <c r="P161" s="7"/>
      <c r="Q161" s="25"/>
      <c r="R161" s="25"/>
      <c r="S161" s="37">
        <f t="shared" si="83"/>
        <v>1</v>
      </c>
      <c r="T161" s="52" t="str">
        <f t="shared" si="69"/>
        <v>NorthBound</v>
      </c>
      <c r="U161" s="12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https://search-rtdc-monitor-bjffxe2xuh6vdkpspy63sjmuny.us-east-1.es.amazonaws.com/_plugin/kibana/#/discover/Steve-Slow-Train-Analysis-(2080s-and-2083s)?_g=(refreshInterval:(display:Off,section:0,value:0),time:(from:'2016-09-04 05:16:40-0600',mode:absolute,to:'2016-09-04 07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61" s="54" t="str">
        <f t="shared" si="71"/>
        <v>N</v>
      </c>
      <c r="X161" s="120">
        <f t="shared" si="72"/>
        <v>1</v>
      </c>
      <c r="Y161" s="69">
        <f t="shared" si="73"/>
        <v>9.9299999999999999E-2</v>
      </c>
      <c r="Z161" s="69">
        <f t="shared" si="74"/>
        <v>5.8944000000000001</v>
      </c>
      <c r="AA161" s="69">
        <f t="shared" si="75"/>
        <v>5.7950999999999997</v>
      </c>
      <c r="AB161" s="66" t="e">
        <f>VLOOKUP(A161,Enforcements!$C$7:$J$21,8,0)</f>
        <v>#N/A</v>
      </c>
      <c r="AC161" s="62" t="e">
        <f>VLOOKUP(A161,Enforcements!$C$7:$E$21,3,0)</f>
        <v>#N/A</v>
      </c>
      <c r="AD161" s="63" t="str">
        <f t="shared" si="76"/>
        <v>1801-04</v>
      </c>
      <c r="AE161" s="99" t="str">
        <f t="shared" si="77"/>
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</c>
      <c r="AF161" s="96" t="str">
        <f t="shared" si="78"/>
        <v>"C:\Program Files (x86)\AstroGrep\AstroGrep.exe" /spath="%USERPROFILE%\AppData\Local\Temp\OnboardLogs" /stypes="*4029*20160904*" /stext=" 12:.+((SYSTEM_STATE.+slice.+state.+changed )|(ment ac)|(system.+state.+changed )|(\|lc)|(penalty)|(\[timeout)|(PRM\|1\|D)|(kpr)|(kdp))" /e /r /s</v>
      </c>
      <c r="AG161" s="1" t="str">
        <f t="shared" si="79"/>
        <v>NW</v>
      </c>
      <c r="AH161" s="100" t="str">
        <f t="shared" si="80"/>
        <v>"%USERPROFILE%\Documents\GitHub\eaglep3\Utilities\RefineRTDCRunTimes.py" --tripid 1801-04 --locoid 4029 --swversion DE.1.0.7.0 --startMP 204:993 --initTime 2016-09-04T06:16:40 --startdatetime 2016-09-04T06:21:20 --delay 1 --endMP 300:58944 --enddatetime 2016-09-04T06:35:50 --enforcementcount 0 &gt;&gt;C:\Users\stu\Documents\GitHub\eaglep3-reporting\EC\2016-09-04-refined-times.txt</v>
      </c>
      <c r="AI161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{"issue":{"subject":"","project_id":79,"tracker_id":40,"status_id":1,"priority_id":2,"assigned_to_id":23,"start_date":"2016-09-04","description":"","custom_fields":[{"id":1,"name":"Subdivision","value":"NW"},{"id":4,"name":"Milepost","value":"5.7951"},{"id":17,"name":"Train ID","value":"1801-04"},{"id":16,"name":"Locomotive ID","value":"4029"},{"id":130,"name":"Impact","value":""},{"id":150,"name":"Time of Event (Mountain Time)","value":"06:35:50"},{"id":151,"name":"Denver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397</v>
      </c>
      <c r="B162" s="7">
        <v>4030</v>
      </c>
      <c r="C162" s="24" t="s">
        <v>112</v>
      </c>
      <c r="D162" s="24" t="s">
        <v>275</v>
      </c>
      <c r="E162" s="15">
        <v>42617.275925925926</v>
      </c>
      <c r="F162" s="15">
        <v>42617.277291666665</v>
      </c>
      <c r="G162" s="7">
        <v>1</v>
      </c>
      <c r="H162" s="15" t="s">
        <v>350</v>
      </c>
      <c r="I162" s="15">
        <v>42617.288761574076</v>
      </c>
      <c r="J162" s="7">
        <v>0</v>
      </c>
      <c r="K162" s="132" t="str">
        <f t="shared" si="67"/>
        <v>4029/4030</v>
      </c>
      <c r="L162" s="24" t="str">
        <f>VLOOKUP(A162,'Trips&amp;Operators'!$C$1:$E$10000,3,FALSE)</f>
        <v>STARKS</v>
      </c>
      <c r="M162" s="6">
        <f t="shared" si="68"/>
        <v>1.1469907411083113E-2</v>
      </c>
      <c r="N162" s="7">
        <f t="shared" si="82"/>
        <v>16.516666671959683</v>
      </c>
      <c r="O162" s="7"/>
      <c r="P162" s="7"/>
      <c r="Q162" s="25"/>
      <c r="R162" s="25"/>
      <c r="S162" s="37">
        <f t="shared" si="83"/>
        <v>1</v>
      </c>
      <c r="T162" s="52" t="str">
        <f t="shared" si="69"/>
        <v>Southbound</v>
      </c>
      <c r="U162" s="12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https://search-rtdc-monitor-bjffxe2xuh6vdkpspy63sjmuny.us-east-1.es.amazonaws.com/_plugin/kibana/#/discover/Steve-Slow-Train-Analysis-(2080s-and-2083s)?_g=(refreshInterval:(display:Off,section:0,value:0),time:(from:'2016-09-04 05:37:20-0600',mode:absolute,to:'2016-09-04 07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62" s="54" t="str">
        <f t="shared" si="71"/>
        <v>N</v>
      </c>
      <c r="X162" s="120">
        <f t="shared" si="72"/>
        <v>1</v>
      </c>
      <c r="Y162" s="69">
        <f t="shared" si="73"/>
        <v>5.8623000000000003</v>
      </c>
      <c r="Z162" s="69">
        <f t="shared" si="74"/>
        <v>6.59E-2</v>
      </c>
      <c r="AA162" s="69">
        <f t="shared" si="75"/>
        <v>5.7964000000000002</v>
      </c>
      <c r="AB162" s="66" t="e">
        <f>VLOOKUP(A162,Enforcements!$C$7:$J$21,8,0)</f>
        <v>#N/A</v>
      </c>
      <c r="AC162" s="62" t="e">
        <f>VLOOKUP(A162,Enforcements!$C$7:$E$21,3,0)</f>
        <v>#N/A</v>
      </c>
      <c r="AD162" s="63" t="str">
        <f t="shared" si="76"/>
        <v>1802-04</v>
      </c>
      <c r="AE162" s="99" t="str">
        <f t="shared" si="77"/>
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</c>
      <c r="AF162" s="96" t="str">
        <f t="shared" si="78"/>
        <v>"C:\Program Files (x86)\AstroGrep\AstroGrep.exe" /spath="%USERPROFILE%\AppData\Local\Temp\OnboardLogs" /stypes="*4030*20160904*" /stext=" 12:.+((SYSTEM_STATE.+slice.+state.+changed )|(ment ac)|(system.+state.+changed )|(\|lc)|(penalty)|(\[timeout)|(PRM\|1\|D)|(kpr)|(kdp))" /e /r /s</v>
      </c>
      <c r="AG162" s="1" t="str">
        <f t="shared" si="79"/>
        <v>NW</v>
      </c>
      <c r="AH162" s="100" t="str">
        <f t="shared" si="80"/>
        <v>"%USERPROFILE%\Documents\GitHub\eaglep3\Utilities\RefineRTDCRunTimes.py" --tripid 1802-04 --locoid 4030 --swversion DE.1.0.7.0 --startMP 300:58623 --initTime 2016-09-04T06:37:20 --startdatetime 2016-09-04T06:39:18 --delay 1 --endMP 204:659 --enddatetime 2016-09-04T06:55:49 --enforcementcount 0 &gt;&gt;C:\Users\stu\Documents\GitHub\eaglep3-reporting\EC\2016-09-04-refined-times.txt</v>
      </c>
      <c r="AI162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{"issue":{"subject":"","project_id":79,"tracker_id":40,"status_id":1,"priority_id":2,"assigned_to_id":23,"start_date":"2016-09-04","description":"","custom_fields":[{"id":1,"name":"Subdivision","value":"NW"},{"id":4,"name":"Milepost","value":"5.7964"},{"id":17,"name":"Train ID","value":"1802-04"},{"id":16,"name":"Locomotive ID","value":"4030"},{"id":130,"name":"Impact","value":""},{"id":150,"name":"Time of Event (Mountain Time)","value":"06:55:49"},{"id":151,"name":"Denver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403</v>
      </c>
      <c r="B163" s="7">
        <v>4029</v>
      </c>
      <c r="C163" s="24" t="s">
        <v>112</v>
      </c>
      <c r="D163" s="24" t="s">
        <v>596</v>
      </c>
      <c r="E163" s="15">
        <v>42617.303877314815</v>
      </c>
      <c r="F163" s="15">
        <v>42617.306643518517</v>
      </c>
      <c r="G163" s="7">
        <v>1</v>
      </c>
      <c r="H163" s="15" t="s">
        <v>278</v>
      </c>
      <c r="I163" s="15">
        <v>42617.316296296296</v>
      </c>
      <c r="J163" s="7">
        <v>0</v>
      </c>
      <c r="K163" s="132" t="str">
        <f t="shared" si="67"/>
        <v>4029/4030</v>
      </c>
      <c r="L163" s="24" t="str">
        <f>VLOOKUP(A163,'Trips&amp;Operators'!$C$1:$E$10000,3,FALSE)</f>
        <v>STARKS</v>
      </c>
      <c r="M163" s="6">
        <f t="shared" si="68"/>
        <v>9.6527777786832303E-3</v>
      </c>
      <c r="N163" s="7">
        <f t="shared" si="82"/>
        <v>13.900000001303852</v>
      </c>
      <c r="O163" s="7"/>
      <c r="P163" s="7"/>
      <c r="Q163" s="25"/>
      <c r="R163" s="25"/>
      <c r="S163" s="37">
        <f t="shared" si="83"/>
        <v>1</v>
      </c>
      <c r="T163" s="52" t="str">
        <f t="shared" si="69"/>
        <v>NorthBound</v>
      </c>
      <c r="U163" s="12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https://search-rtdc-monitor-bjffxe2xuh6vdkpspy63sjmuny.us-east-1.es.amazonaws.com/_plugin/kibana/#/discover/Steve-Slow-Train-Analysis-(2080s-and-2083s)?_g=(refreshInterval:(display:Off,section:0,value:0),time:(from:'2016-09-04 06:17:35-0600',mode:absolute,to:'2016-09-04 08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63" s="54" t="str">
        <f t="shared" si="71"/>
        <v>N</v>
      </c>
      <c r="X163" s="120">
        <f t="shared" si="72"/>
        <v>1</v>
      </c>
      <c r="Y163" s="69">
        <f t="shared" si="73"/>
        <v>9.5100000000000004E-2</v>
      </c>
      <c r="Z163" s="69">
        <f t="shared" si="74"/>
        <v>5.8936999999999999</v>
      </c>
      <c r="AA163" s="69">
        <f t="shared" si="75"/>
        <v>5.7985999999999995</v>
      </c>
      <c r="AB163" s="66" t="e">
        <f>VLOOKUP(A163,Enforcements!$C$7:$J$21,8,0)</f>
        <v>#N/A</v>
      </c>
      <c r="AC163" s="62" t="e">
        <f>VLOOKUP(A163,Enforcements!$C$7:$E$21,3,0)</f>
        <v>#N/A</v>
      </c>
      <c r="AD163" s="63" t="str">
        <f t="shared" si="76"/>
        <v>1803-04</v>
      </c>
      <c r="AE163" s="99" t="str">
        <f t="shared" si="77"/>
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</c>
      <c r="AF163" s="96" t="str">
        <f t="shared" si="78"/>
        <v>"C:\Program Files (x86)\AstroGrep\AstroGrep.exe" /spath="%USERPROFILE%\AppData\Local\Temp\OnboardLogs" /stypes="*4029*20160904*" /stext=" 13:.+((SYSTEM_STATE.+slice.+state.+changed )|(ment ac)|(system.+state.+changed )|(\|lc)|(penalty)|(\[timeout)|(PRM\|1\|D)|(kpr)|(kdp))" /e /r /s</v>
      </c>
      <c r="AG163" s="1" t="str">
        <f t="shared" si="79"/>
        <v>NW</v>
      </c>
      <c r="AH163" s="100" t="str">
        <f t="shared" si="80"/>
        <v>"%USERPROFILE%\Documents\GitHub\eaglep3\Utilities\RefineRTDCRunTimes.py" --tripid 1803-04 --locoid 4029 --swversion DE.1.0.7.0 --startMP 204:951 --initTime 2016-09-04T07:17:35 --startdatetime 2016-09-04T07:21:34 --delay 1 --endMP 300:58937 --enddatetime 2016-09-04T07:35:28 --enforcementcount 0 &gt;&gt;C:\Users\stu\Documents\GitHub\eaglep3-reporting\EC\2016-09-04-refined-times.txt</v>
      </c>
      <c r="AI163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{"issue":{"subject":"","project_id":79,"tracker_id":40,"status_id":1,"priority_id":2,"assigned_to_id":23,"start_date":"2016-09-04","description":"","custom_fields":[{"id":1,"name":"Subdivision","value":"NW"},{"id":4,"name":"Milepost","value":"5.7986"},{"id":17,"name":"Train ID","value":"1803-04"},{"id":16,"name":"Locomotive ID","value":"4029"},{"id":130,"name":"Impact","value":""},{"id":150,"name":"Time of Event (Mountain Time)","value":"07:35:28"},{"id":151,"name":"Denver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406</v>
      </c>
      <c r="B164" s="7">
        <v>4030</v>
      </c>
      <c r="C164" s="24" t="s">
        <v>112</v>
      </c>
      <c r="D164" s="24" t="s">
        <v>275</v>
      </c>
      <c r="E164" s="15">
        <v>42617.317337962966</v>
      </c>
      <c r="F164" s="15">
        <v>42617.318703703706</v>
      </c>
      <c r="G164" s="7">
        <v>1</v>
      </c>
      <c r="H164" s="15" t="s">
        <v>594</v>
      </c>
      <c r="I164" s="15">
        <v>42617.330428240741</v>
      </c>
      <c r="J164" s="7">
        <v>0</v>
      </c>
      <c r="K164" s="132" t="str">
        <f t="shared" si="67"/>
        <v>4029/4030</v>
      </c>
      <c r="L164" s="24" t="str">
        <f>VLOOKUP(A164,'Trips&amp;Operators'!$C$1:$E$10000,3,FALSE)</f>
        <v>STARKS</v>
      </c>
      <c r="M164" s="6">
        <f t="shared" si="68"/>
        <v>1.1724537034751847E-2</v>
      </c>
      <c r="N164" s="7">
        <f t="shared" si="82"/>
        <v>16.88333333004266</v>
      </c>
      <c r="O164" s="7"/>
      <c r="P164" s="7"/>
      <c r="Q164" s="25"/>
      <c r="R164" s="25"/>
      <c r="S164" s="37">
        <f t="shared" si="83"/>
        <v>1</v>
      </c>
      <c r="T164" s="52" t="str">
        <f t="shared" si="69"/>
        <v>Southbound</v>
      </c>
      <c r="U164" s="12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https://search-rtdc-monitor-bjffxe2xuh6vdkpspy63sjmuny.us-east-1.es.amazonaws.com/_plugin/kibana/#/discover/Steve-Slow-Train-Analysis-(2080s-and-2083s)?_g=(refreshInterval:(display:Off,section:0,value:0),time:(from:'2016-09-04 06:36:58-0600',mode:absolute,to:'2016-09-04 08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64" s="54" t="str">
        <f t="shared" si="71"/>
        <v>N</v>
      </c>
      <c r="X164" s="120">
        <f t="shared" si="72"/>
        <v>1</v>
      </c>
      <c r="Y164" s="69">
        <f t="shared" si="73"/>
        <v>5.8623000000000003</v>
      </c>
      <c r="Z164" s="69">
        <f t="shared" si="74"/>
        <v>6.9599999999999995E-2</v>
      </c>
      <c r="AA164" s="69">
        <f t="shared" si="75"/>
        <v>5.7927</v>
      </c>
      <c r="AB164" s="66" t="e">
        <f>VLOOKUP(A164,Enforcements!$C$7:$J$21,8,0)</f>
        <v>#N/A</v>
      </c>
      <c r="AC164" s="62" t="e">
        <f>VLOOKUP(A164,Enforcements!$C$7:$E$21,3,0)</f>
        <v>#N/A</v>
      </c>
      <c r="AD164" s="63" t="str">
        <f t="shared" si="76"/>
        <v>1804-04</v>
      </c>
      <c r="AE164" s="99" t="str">
        <f t="shared" si="77"/>
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</c>
      <c r="AF164" s="96" t="str">
        <f t="shared" si="78"/>
        <v>"C:\Program Files (x86)\AstroGrep\AstroGrep.exe" /spath="%USERPROFILE%\AppData\Local\Temp\OnboardLogs" /stypes="*4030*20160904*" /stext=" 13:.+((SYSTEM_STATE.+slice.+state.+changed )|(ment ac)|(system.+state.+changed )|(\|lc)|(penalty)|(\[timeout)|(PRM\|1\|D)|(kpr)|(kdp))" /e /r /s</v>
      </c>
      <c r="AG164" s="1" t="str">
        <f t="shared" si="79"/>
        <v>NW</v>
      </c>
      <c r="AH164" s="100" t="str">
        <f t="shared" si="80"/>
        <v>"%USERPROFILE%\Documents\GitHub\eaglep3\Utilities\RefineRTDCRunTimes.py" --tripid 1804-04 --locoid 4030 --swversion DE.1.0.7.0 --startMP 300:58623 --initTime 2016-09-04T07:36:58 --startdatetime 2016-09-04T07:38:56 --delay 1 --endMP 204:696 --enddatetime 2016-09-04T07:55:49 --enforcementcount 0 &gt;&gt;C:\Users\stu\Documents\GitHub\eaglep3-reporting\EC\2016-09-04-refined-times.txt</v>
      </c>
      <c r="AI164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{"issue":{"subject":"","project_id":79,"tracker_id":40,"status_id":1,"priority_id":2,"assigned_to_id":23,"start_date":"2016-09-04","description":"","custom_fields":[{"id":1,"name":"Subdivision","value":"NW"},{"id":4,"name":"Milepost","value":"5.7927"},{"id":17,"name":"Train ID","value":"1804-04"},{"id":16,"name":"Locomotive ID","value":"4030"},{"id":130,"name":"Impact","value":""},{"id":150,"name":"Time of Event (Mountain Time)","value":"07:55:49"},{"id":151,"name":"Denver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412</v>
      </c>
      <c r="B165" s="7">
        <v>4029</v>
      </c>
      <c r="C165" s="24" t="s">
        <v>112</v>
      </c>
      <c r="D165" s="24" t="s">
        <v>597</v>
      </c>
      <c r="E165" s="15">
        <v>42617.344756944447</v>
      </c>
      <c r="F165" s="15">
        <v>42617.348240740743</v>
      </c>
      <c r="G165" s="7">
        <v>1</v>
      </c>
      <c r="H165" s="15" t="s">
        <v>309</v>
      </c>
      <c r="I165" s="15">
        <v>42617.357974537037</v>
      </c>
      <c r="J165" s="7">
        <v>0</v>
      </c>
      <c r="K165" s="132" t="str">
        <f t="shared" si="67"/>
        <v>4029/4030</v>
      </c>
      <c r="L165" s="24" t="str">
        <f>VLOOKUP(A165,'Trips&amp;Operators'!$C$1:$E$10000,3,FALSE)</f>
        <v>STARKS</v>
      </c>
      <c r="M165" s="6">
        <f t="shared" si="68"/>
        <v>9.7337962943129241E-3</v>
      </c>
      <c r="N165" s="7">
        <f t="shared" si="82"/>
        <v>14.016666663810611</v>
      </c>
      <c r="O165" s="7"/>
      <c r="P165" s="7"/>
      <c r="Q165" s="25"/>
      <c r="R165" s="25"/>
      <c r="S165" s="37">
        <f t="shared" si="83"/>
        <v>1</v>
      </c>
      <c r="T165" s="52" t="str">
        <f t="shared" si="69"/>
        <v>NorthBound</v>
      </c>
      <c r="U165" s="12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https://search-rtdc-monitor-bjffxe2xuh6vdkpspy63sjmuny.us-east-1.es.amazonaws.com/_plugin/kibana/#/discover/Steve-Slow-Train-Analysis-(2080s-and-2083s)?_g=(refreshInterval:(display:Off,section:0,value:0),time:(from:'2016-09-04 07:16:27-0600',mode:absolute,to:'2016-09-04 09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65" s="54" t="str">
        <f t="shared" si="71"/>
        <v>N</v>
      </c>
      <c r="X165" s="120">
        <f t="shared" si="72"/>
        <v>1</v>
      </c>
      <c r="Y165" s="69">
        <f t="shared" si="73"/>
        <v>0.1</v>
      </c>
      <c r="Z165" s="69">
        <f t="shared" si="74"/>
        <v>5.8929</v>
      </c>
      <c r="AA165" s="69">
        <f t="shared" si="75"/>
        <v>5.7929000000000004</v>
      </c>
      <c r="AB165" s="66" t="e">
        <f>VLOOKUP(A165,Enforcements!$C$7:$J$21,8,0)</f>
        <v>#N/A</v>
      </c>
      <c r="AC165" s="62" t="e">
        <f>VLOOKUP(A165,Enforcements!$C$7:$E$21,3,0)</f>
        <v>#N/A</v>
      </c>
      <c r="AD165" s="63" t="str">
        <f t="shared" si="76"/>
        <v>1805-04</v>
      </c>
      <c r="AE165" s="99" t="str">
        <f t="shared" si="77"/>
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</c>
      <c r="AF165" s="96" t="str">
        <f t="shared" si="78"/>
        <v>"C:\Program Files (x86)\AstroGrep\AstroGrep.exe" /spath="%USERPROFILE%\AppData\Local\Temp\OnboardLogs" /stypes="*4029*20160904*" /stext=" 14:.+((SYSTEM_STATE.+slice.+state.+changed )|(ment ac)|(system.+state.+changed )|(\|lc)|(penalty)|(\[timeout)|(PRM\|1\|D)|(kpr)|(kdp))" /e /r /s</v>
      </c>
      <c r="AG165" s="1" t="str">
        <f t="shared" si="79"/>
        <v>NW</v>
      </c>
      <c r="AH165" s="100" t="str">
        <f t="shared" si="80"/>
        <v>"%USERPROFILE%\Documents\GitHub\eaglep3\Utilities\RefineRTDCRunTimes.py" --tripid 1805-04 --locoid 4029 --swversion DE.1.0.7.0 --startMP 204:1000 --initTime 2016-09-04T08:16:27 --startdatetime 2016-09-04T08:21:28 --delay 1 --endMP 300:58929 --enddatetime 2016-09-04T08:35:29 --enforcementcount 0 &gt;&gt;C:\Users\stu\Documents\GitHub\eaglep3-reporting\EC\2016-09-04-refined-times.txt</v>
      </c>
      <c r="AI165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{"issue":{"subject":"","project_id":79,"tracker_id":40,"status_id":1,"priority_id":2,"assigned_to_id":23,"start_date":"2016-09-04","description":"","custom_fields":[{"id":1,"name":"Subdivision","value":"NW"},{"id":4,"name":"Milepost","value":"5.7929"},{"id":17,"name":"Train ID","value":"1805-04"},{"id":16,"name":"Locomotive ID","value":"4029"},{"id":130,"name":"Impact","value":""},{"id":150,"name":"Time of Event (Mountain Time)","value":"08:35:29"},{"id":151,"name":"Denver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417</v>
      </c>
      <c r="B166" s="7">
        <v>4030</v>
      </c>
      <c r="C166" s="24" t="s">
        <v>112</v>
      </c>
      <c r="D166" s="24" t="s">
        <v>598</v>
      </c>
      <c r="E166" s="15">
        <v>42617.359340277777</v>
      </c>
      <c r="F166" s="15">
        <v>42617.360972222225</v>
      </c>
      <c r="G166" s="7">
        <v>1</v>
      </c>
      <c r="H166" s="15" t="s">
        <v>599</v>
      </c>
      <c r="I166" s="15">
        <v>42617.37127314815</v>
      </c>
      <c r="J166" s="7">
        <v>0</v>
      </c>
      <c r="K166" s="132" t="str">
        <f t="shared" si="67"/>
        <v>4029/4030</v>
      </c>
      <c r="L166" s="24" t="str">
        <f>VLOOKUP(A166,'Trips&amp;Operators'!$C$1:$E$10000,3,FALSE)</f>
        <v>STARKS</v>
      </c>
      <c r="M166" s="6">
        <f t="shared" si="68"/>
        <v>1.0300925925548654E-2</v>
      </c>
      <c r="N166" s="7">
        <f t="shared" si="82"/>
        <v>14.833333332790062</v>
      </c>
      <c r="O166" s="7"/>
      <c r="P166" s="7"/>
      <c r="Q166" s="25"/>
      <c r="R166" s="25"/>
      <c r="S166" s="37">
        <f t="shared" si="83"/>
        <v>1</v>
      </c>
      <c r="T166" s="52" t="str">
        <f t="shared" si="69"/>
        <v>Southbound</v>
      </c>
      <c r="U166" s="12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https://search-rtdc-monitor-bjffxe2xuh6vdkpspy63sjmuny.us-east-1.es.amazonaws.com/_plugin/kibana/#/discover/Steve-Slow-Train-Analysis-(2080s-and-2083s)?_g=(refreshInterval:(display:Off,section:0,value:0),time:(from:'2016-09-04 07:37:27-0600',mode:absolute,to:'2016-09-04 09:54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66" s="54" t="str">
        <f t="shared" si="71"/>
        <v>N</v>
      </c>
      <c r="X166" s="120">
        <f t="shared" si="72"/>
        <v>1</v>
      </c>
      <c r="Y166" s="69">
        <f t="shared" si="73"/>
        <v>5.8609</v>
      </c>
      <c r="Z166" s="69">
        <f t="shared" si="74"/>
        <v>7.5700000000000003E-2</v>
      </c>
      <c r="AA166" s="69">
        <f t="shared" si="75"/>
        <v>5.7851999999999997</v>
      </c>
      <c r="AB166" s="66" t="e">
        <f>VLOOKUP(A166,Enforcements!$C$7:$J$21,8,0)</f>
        <v>#N/A</v>
      </c>
      <c r="AC166" s="62" t="e">
        <f>VLOOKUP(A166,Enforcements!$C$7:$E$21,3,0)</f>
        <v>#N/A</v>
      </c>
      <c r="AD166" s="63" t="str">
        <f t="shared" si="76"/>
        <v>1806-04</v>
      </c>
      <c r="AE166" s="99" t="str">
        <f t="shared" si="77"/>
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</c>
      <c r="AF166" s="96" t="str">
        <f t="shared" si="78"/>
        <v>"C:\Program Files (x86)\AstroGrep\AstroGrep.exe" /spath="%USERPROFILE%\AppData\Local\Temp\OnboardLogs" /stypes="*4030*20160904*" /stext=" 14:.+((SYSTEM_STATE.+slice.+state.+changed )|(ment ac)|(system.+state.+changed )|(\|lc)|(penalty)|(\[timeout)|(PRM\|1\|D)|(kpr)|(kdp))" /e /r /s</v>
      </c>
      <c r="AG166" s="1" t="str">
        <f t="shared" si="79"/>
        <v>NW</v>
      </c>
      <c r="AH166" s="100" t="str">
        <f t="shared" si="80"/>
        <v>"%USERPROFILE%\Documents\GitHub\eaglep3\Utilities\RefineRTDCRunTimes.py" --tripid 1806-04 --locoid 4030 --swversion DE.1.0.7.0 --startMP 300:58609 --initTime 2016-09-04T08:37:27 --startdatetime 2016-09-04T08:39:48 --delay 1 --endMP 204:757 --enddatetime 2016-09-04T08:54:38 --enforcementcount 0 &gt;&gt;C:\Users\stu\Documents\GitHub\eaglep3-reporting\EC\2016-09-04-refined-times.txt</v>
      </c>
      <c r="AI166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{"issue":{"subject":"","project_id":79,"tracker_id":40,"status_id":1,"priority_id":2,"assigned_to_id":23,"start_date":"2016-09-04","description":"","custom_fields":[{"id":1,"name":"Subdivision","value":"NW"},{"id":4,"name":"Milepost","value":"5.7852"},{"id":17,"name":"Train ID","value":"1806-04"},{"id":16,"name":"Locomotive ID","value":"4030"},{"id":130,"name":"Impact","value":""},{"id":150,"name":"Time of Event (Mountain Time)","value":"08:54:38"},{"id":151,"name":"Denver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424</v>
      </c>
      <c r="B167" s="7">
        <v>4029</v>
      </c>
      <c r="C167" s="24" t="s">
        <v>112</v>
      </c>
      <c r="D167" s="24" t="s">
        <v>600</v>
      </c>
      <c r="E167" s="15">
        <v>42617.387708333335</v>
      </c>
      <c r="F167" s="15">
        <v>42617.390023148146</v>
      </c>
      <c r="G167" s="7">
        <v>1</v>
      </c>
      <c r="H167" s="15" t="s">
        <v>349</v>
      </c>
      <c r="I167" s="15">
        <v>42617.401238425926</v>
      </c>
      <c r="J167" s="7">
        <v>0</v>
      </c>
      <c r="K167" s="132" t="str">
        <f t="shared" si="67"/>
        <v>4029/4030</v>
      </c>
      <c r="L167" s="24" t="str">
        <f>VLOOKUP(A167,'Trips&amp;Operators'!$C$1:$E$10000,3,FALSE)</f>
        <v>STARKS</v>
      </c>
      <c r="M167" s="6">
        <f t="shared" si="68"/>
        <v>1.1215277780138422E-2</v>
      </c>
      <c r="N167" s="7">
        <f t="shared" si="82"/>
        <v>16.150000003399327</v>
      </c>
      <c r="O167" s="7"/>
      <c r="P167" s="7"/>
      <c r="Q167" s="25"/>
      <c r="R167" s="25"/>
      <c r="S167" s="37">
        <f t="shared" si="83"/>
        <v>1</v>
      </c>
      <c r="T167" s="52" t="str">
        <f t="shared" si="69"/>
        <v>NorthBound</v>
      </c>
      <c r="U167" s="12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https://search-rtdc-monitor-bjffxe2xuh6vdkpspy63sjmuny.us-east-1.es.amazonaws.com/_plugin/kibana/#/discover/Steve-Slow-Train-Analysis-(2080s-and-2083s)?_g=(refreshInterval:(display:Off,section:0,value:0),time:(from:'2016-09-04 08:18:18-0600',mode:absolute,to:'2016-09-04 10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67" s="54" t="str">
        <f t="shared" si="71"/>
        <v>N</v>
      </c>
      <c r="X167" s="120">
        <f t="shared" si="72"/>
        <v>1</v>
      </c>
      <c r="Y167" s="69">
        <f t="shared" si="73"/>
        <v>0.1048</v>
      </c>
      <c r="Z167" s="69">
        <f t="shared" si="74"/>
        <v>5.8928000000000003</v>
      </c>
      <c r="AA167" s="69">
        <f t="shared" si="75"/>
        <v>5.7880000000000003</v>
      </c>
      <c r="AB167" s="66" t="e">
        <f>VLOOKUP(A167,Enforcements!$C$7:$J$21,8,0)</f>
        <v>#N/A</v>
      </c>
      <c r="AC167" s="62" t="e">
        <f>VLOOKUP(A167,Enforcements!$C$7:$E$21,3,0)</f>
        <v>#N/A</v>
      </c>
      <c r="AD167" s="63" t="str">
        <f t="shared" si="76"/>
        <v>1807-04</v>
      </c>
      <c r="AE167" s="99" t="str">
        <f t="shared" si="77"/>
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</c>
      <c r="AF167" s="96" t="str">
        <f t="shared" si="78"/>
        <v>"C:\Program Files (x86)\AstroGrep\AstroGrep.exe" /spath="%USERPROFILE%\AppData\Local\Temp\OnboardLogs" /stypes="*4029*20160904*" /stext=" 15:.+((SYSTEM_STATE.+slice.+state.+changed )|(ment ac)|(system.+state.+changed )|(\|lc)|(penalty)|(\[timeout)|(PRM\|1\|D)|(kpr)|(kdp))" /e /r /s</v>
      </c>
      <c r="AG167" s="1" t="str">
        <f t="shared" si="79"/>
        <v>NW</v>
      </c>
      <c r="AH167" s="100" t="str">
        <f t="shared" si="80"/>
        <v>"%USERPROFILE%\Documents\GitHub\eaglep3\Utilities\RefineRTDCRunTimes.py" --tripid 1807-04 --locoid 4029 --swversion DE.1.0.7.0 --startMP 204:1048 --initTime 2016-09-04T09:18:18 --startdatetime 2016-09-04T09:21:38 --delay 1 --endMP 300:58928 --enddatetime 2016-09-04T09:37:47 --enforcementcount 0 &gt;&gt;C:\Users\stu\Documents\GitHub\eaglep3-reporting\EC\2016-09-04-refined-times.txt</v>
      </c>
      <c r="AI167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{"issue":{"subject":"","project_id":79,"tracker_id":40,"status_id":1,"priority_id":2,"assigned_to_id":23,"start_date":"2016-09-04","description":"","custom_fields":[{"id":1,"name":"Subdivision","value":"NW"},{"id":4,"name":"Milepost","value":"5.788"},{"id":17,"name":"Train ID","value":"1807-04"},{"id":16,"name":"Locomotive ID","value":"4029"},{"id":130,"name":"Impact","value":""},{"id":150,"name":"Time of Event (Mountain Time)","value":"09:37:47"},{"id":151,"name":"Denver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428</v>
      </c>
      <c r="B168" s="7">
        <v>4030</v>
      </c>
      <c r="C168" s="24" t="s">
        <v>112</v>
      </c>
      <c r="D168" s="24" t="s">
        <v>348</v>
      </c>
      <c r="E168" s="15">
        <v>42617.402094907404</v>
      </c>
      <c r="F168" s="15">
        <v>42617.403321759259</v>
      </c>
      <c r="G168" s="7">
        <v>1</v>
      </c>
      <c r="H168" s="15" t="s">
        <v>601</v>
      </c>
      <c r="I168" s="15">
        <v>42617.414953703701</v>
      </c>
      <c r="J168" s="7">
        <v>0</v>
      </c>
      <c r="K168" s="132" t="str">
        <f t="shared" si="67"/>
        <v>4029/4030</v>
      </c>
      <c r="L168" s="24" t="str">
        <f>VLOOKUP(A168,'Trips&amp;Operators'!$C$1:$E$10000,3,FALSE)</f>
        <v>STARKS</v>
      </c>
      <c r="M168" s="6">
        <f t="shared" si="68"/>
        <v>1.1631944442342501E-2</v>
      </c>
      <c r="N168" s="7">
        <f t="shared" si="82"/>
        <v>16.749999996973202</v>
      </c>
      <c r="O168" s="7"/>
      <c r="P168" s="7"/>
      <c r="Q168" s="25"/>
      <c r="R168" s="25"/>
      <c r="S168" s="37">
        <f t="shared" si="83"/>
        <v>1</v>
      </c>
      <c r="T168" s="52" t="str">
        <f t="shared" si="69"/>
        <v>Southbound</v>
      </c>
      <c r="U168" s="12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https://search-rtdc-monitor-bjffxe2xuh6vdkpspy63sjmuny.us-east-1.es.amazonaws.com/_plugin/kibana/#/discover/Steve-Slow-Train-Analysis-(2080s-and-2083s)?_g=(refreshInterval:(display:Off,section:0,value:0),time:(from:'2016-09-04 08:39:01-0600',mode:absolute,to:'2016-09-04 10:57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68" s="54" t="str">
        <f t="shared" si="71"/>
        <v>N</v>
      </c>
      <c r="X168" s="120">
        <f t="shared" si="72"/>
        <v>1</v>
      </c>
      <c r="Y168" s="69">
        <f t="shared" si="73"/>
        <v>5.8619000000000003</v>
      </c>
      <c r="Z168" s="69">
        <f t="shared" si="74"/>
        <v>7.6200000000000004E-2</v>
      </c>
      <c r="AA168" s="69">
        <f t="shared" si="75"/>
        <v>5.7857000000000003</v>
      </c>
      <c r="AB168" s="66" t="e">
        <f>VLOOKUP(A168,Enforcements!$C$7:$J$21,8,0)</f>
        <v>#N/A</v>
      </c>
      <c r="AC168" s="62" t="e">
        <f>VLOOKUP(A168,Enforcements!$C$7:$E$21,3,0)</f>
        <v>#N/A</v>
      </c>
      <c r="AD168" s="63" t="str">
        <f t="shared" si="76"/>
        <v>1808-04</v>
      </c>
      <c r="AE168" s="99" t="str">
        <f t="shared" si="77"/>
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</c>
      <c r="AF168" s="96" t="str">
        <f t="shared" si="78"/>
        <v>"C:\Program Files (x86)\AstroGrep\AstroGrep.exe" /spath="%USERPROFILE%\AppData\Local\Temp\OnboardLogs" /stypes="*4030*20160904*" /stext=" 15:.+((SYSTEM_STATE.+slice.+state.+changed )|(ment ac)|(system.+state.+changed )|(\|lc)|(penalty)|(\[timeout)|(PRM\|1\|D)|(kpr)|(kdp))" /e /r /s</v>
      </c>
      <c r="AG168" s="1" t="str">
        <f t="shared" si="79"/>
        <v>NW</v>
      </c>
      <c r="AH168" s="100" t="str">
        <f t="shared" si="80"/>
        <v>"%USERPROFILE%\Documents\GitHub\eaglep3\Utilities\RefineRTDCRunTimes.py" --tripid 1808-04 --locoid 4030 --swversion DE.1.0.7.0 --startMP 300:58619 --initTime 2016-09-04T09:39:01 --startdatetime 2016-09-04T09:40:47 --delay 1 --endMP 204:762 --enddatetime 2016-09-04T09:57:32 --enforcementcount 0 &gt;&gt;C:\Users\stu\Documents\GitHub\eaglep3-reporting\EC\2016-09-04-refined-times.txt</v>
      </c>
      <c r="AI168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{"issue":{"subject":"","project_id":79,"tracker_id":40,"status_id":1,"priority_id":2,"assigned_to_id":23,"start_date":"2016-09-04","description":"","custom_fields":[{"id":1,"name":"Subdivision","value":"NW"},{"id":4,"name":"Milepost","value":"5.7857"},{"id":17,"name":"Train ID","value":"1808-04"},{"id":16,"name":"Locomotive ID","value":"4030"},{"id":130,"name":"Impact","value":""},{"id":150,"name":"Time of Event (Mountain Time)","value":"09:57:32"},{"id":151,"name":"Denver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x14ac:dyDescent="0.25">
      <c r="A169" s="39" t="s">
        <v>433</v>
      </c>
      <c r="B169" s="7">
        <v>4029</v>
      </c>
      <c r="C169" s="24" t="s">
        <v>112</v>
      </c>
      <c r="D169" s="24" t="s">
        <v>602</v>
      </c>
      <c r="E169" s="15">
        <v>42617.429583333331</v>
      </c>
      <c r="F169" s="15">
        <v>42617.431562500002</v>
      </c>
      <c r="G169" s="7">
        <v>1</v>
      </c>
      <c r="H169" s="15" t="s">
        <v>355</v>
      </c>
      <c r="I169" s="15">
        <v>42617.440775462965</v>
      </c>
      <c r="J169" s="7">
        <v>0</v>
      </c>
      <c r="K169" s="132" t="str">
        <f t="shared" si="67"/>
        <v>4029/4030</v>
      </c>
      <c r="L169" s="24" t="str">
        <f>VLOOKUP(A169,'Trips&amp;Operators'!$C$1:$E$10000,3,FALSE)</f>
        <v>STARKS</v>
      </c>
      <c r="M169" s="6">
        <f t="shared" si="68"/>
        <v>9.2129629629198462E-3</v>
      </c>
      <c r="N169" s="7">
        <f t="shared" si="82"/>
        <v>13.266666666604578</v>
      </c>
      <c r="O169" s="7"/>
      <c r="P169" s="7"/>
      <c r="Q169" s="25"/>
      <c r="R169" s="25"/>
      <c r="S169" s="37">
        <f t="shared" si="83"/>
        <v>1</v>
      </c>
      <c r="T169" s="52" t="str">
        <f t="shared" si="69"/>
        <v>NorthBound</v>
      </c>
      <c r="U169" s="12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https://search-rtdc-monitor-bjffxe2xuh6vdkpspy63sjmuny.us-east-1.es.amazonaws.com/_plugin/kibana/#/discover/Steve-Slow-Train-Analysis-(2080s-and-2083s)?_g=(refreshInterval:(display:Off,section:0,value:0),time:(from:'2016-09-04 09:18:36-0600',mode:absolute,to:'2016-09-04 11:34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69" s="54" t="str">
        <f t="shared" si="71"/>
        <v>N</v>
      </c>
      <c r="X169" s="120">
        <f t="shared" si="72"/>
        <v>1</v>
      </c>
      <c r="Y169" s="69">
        <f t="shared" si="73"/>
        <v>0.1023</v>
      </c>
      <c r="Z169" s="69">
        <f t="shared" si="74"/>
        <v>5.8933</v>
      </c>
      <c r="AA169" s="69">
        <f t="shared" si="75"/>
        <v>5.7910000000000004</v>
      </c>
      <c r="AB169" s="66" t="e">
        <f>VLOOKUP(A169,Enforcements!$C$7:$J$21,8,0)</f>
        <v>#N/A</v>
      </c>
      <c r="AC169" s="62" t="e">
        <f>VLOOKUP(A169,Enforcements!$C$7:$E$21,3,0)</f>
        <v>#N/A</v>
      </c>
      <c r="AD169" s="63" t="str">
        <f t="shared" si="76"/>
        <v>1809-04</v>
      </c>
      <c r="AE169" s="99" t="str">
        <f t="shared" si="77"/>
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</c>
      <c r="AF169" s="96" t="str">
        <f t="shared" si="78"/>
        <v>"C:\Program Files (x86)\AstroGrep\AstroGrep.exe" /spath="%USERPROFILE%\AppData\Local\Temp\OnboardLogs" /stypes="*4029*20160904*" /stext=" 16:.+((SYSTEM_STATE.+slice.+state.+changed )|(ment ac)|(system.+state.+changed )|(\|lc)|(penalty)|(\[timeout)|(PRM\|1\|D)|(kpr)|(kdp))" /e /r /s</v>
      </c>
      <c r="AG169" s="1" t="str">
        <f t="shared" si="79"/>
        <v>NW</v>
      </c>
      <c r="AH169" s="100" t="str">
        <f t="shared" si="80"/>
        <v>"%USERPROFILE%\Documents\GitHub\eaglep3\Utilities\RefineRTDCRunTimes.py" --tripid 1809-04 --locoid 4029 --swversion DE.1.0.7.0 --startMP 204:1023 --initTime 2016-09-04T10:18:36 --startdatetime 2016-09-04T10:21:27 --delay 1 --endMP 300:58933 --enddatetime 2016-09-04T10:34:43 --enforcementcount 0 &gt;&gt;C:\Users\stu\Documents\GitHub\eaglep3-reporting\EC\2016-09-04-refined-times.txt</v>
      </c>
      <c r="AI169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{"issue":{"subject":"","project_id":79,"tracker_id":40,"status_id":1,"priority_id":2,"assigned_to_id":23,"start_date":"2016-09-04","description":"","custom_fields":[{"id":1,"name":"Subdivision","value":"NW"},{"id":4,"name":"Milepost","value":"5.791"},{"id":17,"name":"Train ID","value":"1809-04"},{"id":16,"name":"Locomotive ID","value":"4029"},{"id":130,"name":"Impact","value":""},{"id":150,"name":"Time of Event (Mountain Time)","value":"10:34:43"},{"id":151,"name":"Denver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x14ac:dyDescent="0.25">
      <c r="A170" s="39" t="s">
        <v>438</v>
      </c>
      <c r="B170" s="7">
        <v>4030</v>
      </c>
      <c r="C170" s="24" t="s">
        <v>112</v>
      </c>
      <c r="D170" s="24" t="s">
        <v>258</v>
      </c>
      <c r="E170" s="15">
        <v>42617.441631944443</v>
      </c>
      <c r="F170" s="15">
        <v>42617.443113425928</v>
      </c>
      <c r="G170" s="7">
        <v>1</v>
      </c>
      <c r="H170" s="15" t="s">
        <v>604</v>
      </c>
      <c r="I170" s="15">
        <v>42617.455543981479</v>
      </c>
      <c r="J170" s="7">
        <v>0</v>
      </c>
      <c r="K170" s="132" t="str">
        <f t="shared" ref="K170:K203" si="84">IF(ISEVEN(B170),(B170-1)&amp;"/"&amp;B170,B170&amp;"/"&amp;(B170+1))</f>
        <v>4029/4030</v>
      </c>
      <c r="L170" s="24" t="str">
        <f>VLOOKUP(A170,'Trips&amp;Operators'!$C$1:$E$10000,3,FALSE)</f>
        <v>STARKS</v>
      </c>
      <c r="M170" s="6">
        <f t="shared" ref="M170:M203" si="85">I170-F170</f>
        <v>1.2430555550963618E-2</v>
      </c>
      <c r="N170" s="7">
        <f t="shared" si="82"/>
        <v>17.89999999338761</v>
      </c>
      <c r="O170" s="7"/>
      <c r="P170" s="7"/>
      <c r="Q170" s="25"/>
      <c r="R170" s="25"/>
      <c r="S170" s="37">
        <f t="shared" si="83"/>
        <v>1</v>
      </c>
      <c r="T170" s="52" t="str">
        <f t="shared" ref="T170:T203" si="86">IF(ISEVEN(LEFT(AD170,4)),"Southbound","NorthBound")</f>
        <v>Southbound</v>
      </c>
      <c r="U170" s="12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ref="V170:V203" si="87">"https://search-rtdc-monitor-bjffxe2xuh6vdkpspy63sjmuny.us-east-1.es.amazonaws.com/_plugin/kibana/#/discover/Steve-Slow-Train-Analysis-(2080s-and-2083s)?_g=(refreshInterval:(display:Off,section:0,value:0),time:(from:'"&amp;TEXT(E170-1/24,"yyyy-MM-DD hh:mm:ss")&amp;"-0600',mode:absolute,to:'"&amp;TEXT(I170+1/24,"yyyy-MM-DD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170&amp;"%22')),sort:!(Time,asc))"</f>
        <v>https://search-rtdc-monitor-bjffxe2xuh6vdkpspy63sjmuny.us-east-1.es.amazonaws.com/_plugin/kibana/#/discover/Steve-Slow-Train-Analysis-(2080s-and-2083s)?_g=(refreshInterval:(display:Off,section:0,value:0),time:(from:'2016-09-04 09:35:57-0600',mode:absolute,to:'2016-09-04 11:55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70" s="54" t="str">
        <f t="shared" ref="W170:W203" si="88">IF(AA170&lt;IF(AG170="EC",23,5.65),"Y","N")</f>
        <v>N</v>
      </c>
      <c r="X170" s="120">
        <f t="shared" ref="X170:X203" si="89">VALUE(LEFT(AD170,4))-VALUE(LEFT(AD169,4))</f>
        <v>1</v>
      </c>
      <c r="Y170" s="69">
        <f t="shared" ref="Y170:Y203" si="90">RIGHT(D170,LEN(D170)-4)/10000</f>
        <v>5.8616999999999999</v>
      </c>
      <c r="Z170" s="69">
        <f t="shared" ref="Z170:Z203" si="91">RIGHT(H170,LEN(H170)-4)/10000</f>
        <v>7.2400000000000006E-2</v>
      </c>
      <c r="AA170" s="69">
        <f t="shared" ref="AA170:AA201" si="92">ABS(Z170-Y170)</f>
        <v>5.7892999999999999</v>
      </c>
      <c r="AB170" s="66" t="e">
        <f>VLOOKUP(A170,Enforcements!$C$7:$J$21,8,0)</f>
        <v>#N/A</v>
      </c>
      <c r="AC170" s="62" t="e">
        <f>VLOOKUP(A170,Enforcements!$C$7:$E$21,3,0)</f>
        <v>#N/A</v>
      </c>
      <c r="AD170" s="63" t="str">
        <f t="shared" ref="AD170:AD203" si="93">IF(LEN(A170)=6,"0"&amp;A170,A170)</f>
        <v>1810-04</v>
      </c>
      <c r="AE170" s="99" t="str">
        <f t="shared" ref="AE170:AE203" si="94">"aws s3 cp "&amp;s3_bucket&amp;"/RTDC"&amp;B170&amp;"/"&amp;TEXT(F170,"YYYY-MM-DD")&amp;"/ "&amp;search_path&amp;"\RTDC"&amp;B170&amp;"\"&amp;TEXT(F170,"YYYY-MM-DD")&amp;" --recursive &amp; """&amp;walkandungz&amp;""" "&amp;search_path&amp;"\RTDC"&amp;B170&amp;"\"&amp;TEXT(F170,"YYYY-MM-DD")
&amp;" &amp; "&amp;"aws s3 cp "&amp;s3_bucket&amp;"/RTDC"&amp;B170&amp;"/"&amp;TEXT(F170+1,"YYYY-MM-DD")&amp;"/ "&amp;search_path&amp;"\RTDC"&amp;B170&amp;"\"&amp;TEXT(F170+1,"YYYY-MM-DD")&amp;" --recursive &amp; """&amp;walkandungz&amp;""" "&amp;search_path&amp;"\RTDC"&amp;B170&amp;"\"&amp;TEXT(F170+1,"YYYY-MM-DD")</f>
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</c>
      <c r="AF170" s="96" t="str">
        <f t="shared" ref="AF170:AF203" si="95">astrogrep_path&amp;" /spath="&amp;search_path&amp;" /stypes=""*"&amp;B170&amp;"*"&amp;TEXT(I170-utc_offset/24,"YYYYMMDD")&amp;"*"" /stext="" "&amp;TEXT(I170-utc_offset/24,"HH")&amp;search_regexp&amp;""" /e /r /s"</f>
        <v>"C:\Program Files (x86)\AstroGrep\AstroGrep.exe" /spath="%USERPROFILE%\AppData\Local\Temp\OnboardLogs" /stypes="*4030*20160904*" /stext=" 16:.+((SYSTEM_STATE.+slice.+state.+changed )|(ment ac)|(system.+state.+changed )|(\|lc)|(penalty)|(\[timeout)|(PRM\|1\|D)|(kpr)|(kdp))" /e /r /s</v>
      </c>
      <c r="AG170" s="1" t="str">
        <f t="shared" ref="AG170:AG203" si="96">IFERROR(IF(VALUE(LEFT(AD170,2))&lt;=2,"EC",IF(OR(VALUE(LEFT(AD170,2))=8,VALUE(LEFT(AD170,2))=18),"NW","Other")),"Other")</f>
        <v>NW</v>
      </c>
      <c r="AH170" s="100" t="str">
        <f t="shared" si="80"/>
        <v>"%USERPROFILE%\Documents\GitHub\eaglep3\Utilities\RefineRTDCRunTimes.py" --tripid 1810-04 --locoid 4030 --swversion DE.1.0.7.0 --startMP 300:58617 --initTime 2016-09-04T10:35:57 --startdatetime 2016-09-04T10:38:05 --delay 1 --endMP 204:724 --enddatetime 2016-09-04T10:55:59 --enforcementcount 0 &gt;&gt;C:\Users\stu\Documents\GitHub\eaglep3-reporting\EC\2016-09-04-refined-times.txt</v>
      </c>
      <c r="AI170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{"issue":{"subject":"","project_id":79,"tracker_id":40,"status_id":1,"priority_id":2,"assigned_to_id":23,"start_date":"2016-09-04","description":"","custom_fields":[{"id":1,"name":"Subdivision","value":"NW"},{"id":4,"name":"Milepost","value":"5.7893"},{"id":17,"name":"Train ID","value":"1810-04"},{"id":16,"name":"Locomotive ID","value":"4030"},{"id":130,"name":"Impact","value":""},{"id":150,"name":"Time of Event (Mountain Time)","value":"10:55:59"},{"id":151,"name":"Denver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444</v>
      </c>
      <c r="B171" s="7">
        <v>4029</v>
      </c>
      <c r="C171" s="24" t="s">
        <v>112</v>
      </c>
      <c r="D171" s="24" t="s">
        <v>605</v>
      </c>
      <c r="E171" s="15">
        <v>42617.468784722223</v>
      </c>
      <c r="F171" s="15">
        <v>42617.486979166664</v>
      </c>
      <c r="G171" s="7">
        <v>1</v>
      </c>
      <c r="H171" s="15" t="s">
        <v>606</v>
      </c>
      <c r="I171" s="15">
        <v>42617.496921296297</v>
      </c>
      <c r="J171" s="7">
        <v>0</v>
      </c>
      <c r="K171" s="132" t="str">
        <f t="shared" si="84"/>
        <v>4029/4030</v>
      </c>
      <c r="L171" s="24" t="str">
        <f>VLOOKUP(A171,'Trips&amp;Operators'!$C$1:$E$10000,3,FALSE)</f>
        <v>STARKS</v>
      </c>
      <c r="M171" s="6">
        <f t="shared" si="85"/>
        <v>9.9421296326909214E-3</v>
      </c>
      <c r="N171" s="7">
        <f t="shared" si="82"/>
        <v>14.316666671074927</v>
      </c>
      <c r="O171" s="7"/>
      <c r="P171" s="7"/>
      <c r="Q171" s="25"/>
      <c r="R171" s="25"/>
      <c r="S171" s="37">
        <f t="shared" si="83"/>
        <v>1</v>
      </c>
      <c r="T171" s="52" t="str">
        <f t="shared" si="86"/>
        <v>NorthBound</v>
      </c>
      <c r="U171" s="12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https://search-rtdc-monitor-bjffxe2xuh6vdkpspy63sjmuny.us-east-1.es.amazonaws.com/_plugin/kibana/#/discover/Steve-Slow-Train-Analysis-(2080s-and-2083s)?_g=(refreshInterval:(display:Off,section:0,value:0),time:(from:'2016-09-04 10:15:03-0600',mode:absolute,to:'2016-09-04 12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71" s="54" t="str">
        <f t="shared" si="88"/>
        <v>N</v>
      </c>
      <c r="X171" s="120">
        <f t="shared" si="89"/>
        <v>1</v>
      </c>
      <c r="Y171" s="69">
        <f t="shared" si="90"/>
        <v>0.1014</v>
      </c>
      <c r="Z171" s="69">
        <f t="shared" si="91"/>
        <v>5.8943000000000003</v>
      </c>
      <c r="AA171" s="69">
        <f t="shared" si="92"/>
        <v>5.7929000000000004</v>
      </c>
      <c r="AB171" s="66" t="e">
        <f>VLOOKUP(A171,Enforcements!$C$7:$J$21,8,0)</f>
        <v>#N/A</v>
      </c>
      <c r="AC171" s="62" t="e">
        <f>VLOOKUP(A171,Enforcements!$C$7:$E$21,3,0)</f>
        <v>#N/A</v>
      </c>
      <c r="AD171" s="63" t="str">
        <f t="shared" si="93"/>
        <v>1811-04</v>
      </c>
      <c r="AE171" s="99" t="str">
        <f t="shared" si="94"/>
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</c>
      <c r="AF171" s="96" t="str">
        <f t="shared" si="95"/>
        <v>"C:\Program Files (x86)\AstroGrep\AstroGrep.exe" /spath="%USERPROFILE%\AppData\Local\Temp\OnboardLogs" /stypes="*4029*20160904*" /stext=" 17:.+((SYSTEM_STATE.+slice.+state.+changed )|(ment ac)|(system.+state.+changed )|(\|lc)|(penalty)|(\[timeout)|(PRM\|1\|D)|(kpr)|(kdp))" /e /r /s</v>
      </c>
      <c r="AG171" s="1" t="str">
        <f t="shared" si="96"/>
        <v>NW</v>
      </c>
      <c r="AH171" s="100" t="str">
        <f t="shared" si="80"/>
        <v>"%USERPROFILE%\Documents\GitHub\eaglep3\Utilities\RefineRTDCRunTimes.py" --tripid 1811-04 --locoid 4029 --swversion DE.1.0.7.0 --startMP 204:1014 --initTime 2016-09-04T11:15:03 --startdatetime 2016-09-04T11:41:15 --delay 1 --endMP 300:58943 --enddatetime 2016-09-04T11:55:34 --enforcementcount 0 &gt;&gt;C:\Users\stu\Documents\GitHub\eaglep3-reporting\EC\2016-09-04-refined-times.txt</v>
      </c>
      <c r="AI171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{"issue":{"subject":"","project_id":79,"tracker_id":40,"status_id":1,"priority_id":2,"assigned_to_id":23,"start_date":"2016-09-04","description":"","custom_fields":[{"id":1,"name":"Subdivision","value":"NW"},{"id":4,"name":"Milepost","value":"5.7929"},{"id":17,"name":"Train ID","value":"1811-04"},{"id":16,"name":"Locomotive ID","value":"4029"},{"id":130,"name":"Impact","value":""},{"id":150,"name":"Time of Event (Mountain Time)","value":"11:55:34"},{"id":151,"name":"Denver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x14ac:dyDescent="0.25">
      <c r="A172" s="39" t="s">
        <v>448</v>
      </c>
      <c r="B172" s="7">
        <v>4030</v>
      </c>
      <c r="C172" s="24" t="s">
        <v>112</v>
      </c>
      <c r="D172" s="24" t="s">
        <v>274</v>
      </c>
      <c r="E172" s="15">
        <v>42617.485625000001</v>
      </c>
      <c r="F172" s="15">
        <v>42617.486979166664</v>
      </c>
      <c r="G172" s="7">
        <v>1</v>
      </c>
      <c r="H172" s="15" t="s">
        <v>607</v>
      </c>
      <c r="I172" s="15">
        <v>42617.496921296297</v>
      </c>
      <c r="J172" s="7">
        <v>0</v>
      </c>
      <c r="K172" s="132" t="str">
        <f t="shared" si="84"/>
        <v>4029/4030</v>
      </c>
      <c r="L172" s="24" t="str">
        <f>VLOOKUP(A172,'Trips&amp;Operators'!$C$1:$E$10000,3,FALSE)</f>
        <v>STARKS</v>
      </c>
      <c r="M172" s="6">
        <f t="shared" si="85"/>
        <v>9.9421296326909214E-3</v>
      </c>
      <c r="N172" s="7">
        <f t="shared" si="82"/>
        <v>14.316666671074927</v>
      </c>
      <c r="O172" s="7"/>
      <c r="P172" s="7"/>
      <c r="Q172" s="25"/>
      <c r="R172" s="25"/>
      <c r="S172" s="37">
        <f t="shared" si="83"/>
        <v>1</v>
      </c>
      <c r="T172" s="52" t="str">
        <f t="shared" si="86"/>
        <v>Southbound</v>
      </c>
      <c r="U172" s="12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https://search-rtdc-monitor-bjffxe2xuh6vdkpspy63sjmuny.us-east-1.es.amazonaws.com/_plugin/kibana/#/discover/Steve-Slow-Train-Analysis-(2080s-and-2083s)?_g=(refreshInterval:(display:Off,section:0,value:0),time:(from:'2016-09-04 10:39:18-0600',mode:absolute,to:'2016-09-04 12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72" s="54" t="str">
        <f t="shared" si="88"/>
        <v>N</v>
      </c>
      <c r="X172" s="120">
        <f t="shared" si="89"/>
        <v>1</v>
      </c>
      <c r="Y172" s="69">
        <f t="shared" si="90"/>
        <v>5.8625999999999996</v>
      </c>
      <c r="Z172" s="69">
        <f t="shared" si="91"/>
        <v>7.1300000000000002E-2</v>
      </c>
      <c r="AA172" s="69">
        <f t="shared" si="92"/>
        <v>5.7912999999999997</v>
      </c>
      <c r="AB172" s="66" t="e">
        <f>VLOOKUP(A172,Enforcements!$C$7:$J$21,8,0)</f>
        <v>#N/A</v>
      </c>
      <c r="AC172" s="62" t="e">
        <f>VLOOKUP(A172,Enforcements!$C$7:$E$21,3,0)</f>
        <v>#N/A</v>
      </c>
      <c r="AD172" s="63" t="str">
        <f t="shared" si="93"/>
        <v>1812-04</v>
      </c>
      <c r="AE172" s="99" t="str">
        <f t="shared" si="94"/>
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</c>
      <c r="AF172" s="96" t="str">
        <f t="shared" si="95"/>
        <v>"C:\Program Files (x86)\AstroGrep\AstroGrep.exe" /spath="%USERPROFILE%\AppData\Local\Temp\OnboardLogs" /stypes="*4030*20160904*" /stext=" 17:.+((SYSTEM_STATE.+slice.+state.+changed )|(ment ac)|(system.+state.+changed )|(\|lc)|(penalty)|(\[timeout)|(PRM\|1\|D)|(kpr)|(kdp))" /e /r /s</v>
      </c>
      <c r="AG172" s="1" t="str">
        <f t="shared" si="96"/>
        <v>NW</v>
      </c>
      <c r="AH172" s="100" t="str">
        <f t="shared" si="80"/>
        <v>"%USERPROFILE%\Documents\GitHub\eaglep3\Utilities\RefineRTDCRunTimes.py" --tripid 1812-04 --locoid 4030 --swversion DE.1.0.7.0 --startMP 300:58626 --initTime 2016-09-04T11:39:18 --startdatetime 2016-09-04T11:41:15 --delay 1 --endMP 204:713 --enddatetime 2016-09-04T11:55:34 --enforcementcount 0 &gt;&gt;C:\Users\stu\Documents\GitHub\eaglep3-reporting\EC\2016-09-04-refined-times.txt</v>
      </c>
      <c r="AI172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{"issue":{"subject":"","project_id":79,"tracker_id":40,"status_id":1,"priority_id":2,"assigned_to_id":23,"start_date":"2016-09-04","description":"","custom_fields":[{"id":1,"name":"Subdivision","value":"NW"},{"id":4,"name":"Milepost","value":"5.7913"},{"id":17,"name":"Train ID","value":"1812-04"},{"id":16,"name":"Locomotive ID","value":"4030"},{"id":130,"name":"Impact","value":""},{"id":150,"name":"Time of Event (Mountain Time)","value":"11:55:34"},{"id":151,"name":"Denver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456</v>
      </c>
      <c r="B173" s="7">
        <v>4029</v>
      </c>
      <c r="C173" s="24" t="s">
        <v>112</v>
      </c>
      <c r="D173" s="24" t="s">
        <v>608</v>
      </c>
      <c r="E173" s="15">
        <v>42617.512673611112</v>
      </c>
      <c r="F173" s="15">
        <v>42617.515127314815</v>
      </c>
      <c r="G173" s="7">
        <v>1</v>
      </c>
      <c r="H173" s="15" t="s">
        <v>355</v>
      </c>
      <c r="I173" s="15">
        <v>42617.524976851855</v>
      </c>
      <c r="J173" s="7">
        <v>0</v>
      </c>
      <c r="K173" s="132" t="str">
        <f t="shared" si="84"/>
        <v>4029/4030</v>
      </c>
      <c r="L173" s="24" t="str">
        <f>VLOOKUP(A173,'Trips&amp;Operators'!$C$1:$E$10000,3,FALSE)</f>
        <v>STARKS</v>
      </c>
      <c r="M173" s="6">
        <f t="shared" si="85"/>
        <v>9.8495370402815752E-3</v>
      </c>
      <c r="N173" s="7">
        <f t="shared" ref="N173:N203" si="97">24*60*SUM($M173:$M173)</f>
        <v>14.183333338005468</v>
      </c>
      <c r="O173" s="7"/>
      <c r="P173" s="7"/>
      <c r="Q173" s="25"/>
      <c r="R173" s="25"/>
      <c r="S173" s="37">
        <f t="shared" si="83"/>
        <v>1</v>
      </c>
      <c r="T173" s="52" t="str">
        <f t="shared" si="86"/>
        <v>NorthBound</v>
      </c>
      <c r="U173" s="12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https://search-rtdc-monitor-bjffxe2xuh6vdkpspy63sjmuny.us-east-1.es.amazonaws.com/_plugin/kibana/#/discover/Steve-Slow-Train-Analysis-(2080s-and-2083s)?_g=(refreshInterval:(display:Off,section:0,value:0),time:(from:'2016-09-04 11:18:15-0600',mode:absolute,to:'2016-09-04 13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73" s="54" t="str">
        <f t="shared" si="88"/>
        <v>N</v>
      </c>
      <c r="X173" s="120">
        <f t="shared" si="89"/>
        <v>1</v>
      </c>
      <c r="Y173" s="69">
        <f t="shared" si="90"/>
        <v>0.10199999999999999</v>
      </c>
      <c r="Z173" s="69">
        <f t="shared" si="91"/>
        <v>5.8933</v>
      </c>
      <c r="AA173" s="69">
        <f t="shared" si="92"/>
        <v>5.7912999999999997</v>
      </c>
      <c r="AB173" s="66" t="e">
        <f>VLOOKUP(A173,Enforcements!$C$7:$J$21,8,0)</f>
        <v>#N/A</v>
      </c>
      <c r="AC173" s="62" t="e">
        <f>VLOOKUP(A173,Enforcements!$C$7:$E$21,3,0)</f>
        <v>#N/A</v>
      </c>
      <c r="AD173" s="63" t="str">
        <f t="shared" si="93"/>
        <v>1813-04</v>
      </c>
      <c r="AE173" s="99" t="str">
        <f t="shared" si="94"/>
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</c>
      <c r="AF173" s="96" t="str">
        <f t="shared" si="95"/>
        <v>"C:\Program Files (x86)\AstroGrep\AstroGrep.exe" /spath="%USERPROFILE%\AppData\Local\Temp\OnboardLogs" /stypes="*4029*20160904*" /stext=" 18:.+((SYSTEM_STATE.+slice.+state.+changed )|(ment ac)|(system.+state.+changed )|(\|lc)|(penalty)|(\[timeout)|(PRM\|1\|D)|(kpr)|(kdp))" /e /r /s</v>
      </c>
      <c r="AG173" s="1" t="str">
        <f t="shared" si="96"/>
        <v>NW</v>
      </c>
      <c r="AH173" s="100" t="str">
        <f t="shared" si="80"/>
        <v>"%USERPROFILE%\Documents\GitHub\eaglep3\Utilities\RefineRTDCRunTimes.py" --tripid 1813-04 --locoid 4029 --swversion DE.1.0.7.0 --startMP 204:1020 --initTime 2016-09-04T12:18:15 --startdatetime 2016-09-04T12:21:47 --delay 1 --endMP 300:58933 --enddatetime 2016-09-04T12:35:58 --enforcementcount 0 &gt;&gt;C:\Users\stu\Documents\GitHub\eaglep3-reporting\EC\2016-09-04-refined-times.txt</v>
      </c>
      <c r="AI173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{"issue":{"subject":"","project_id":79,"tracker_id":40,"status_id":1,"priority_id":2,"assigned_to_id":23,"start_date":"2016-09-04","description":"","custom_fields":[{"id":1,"name":"Subdivision","value":"NW"},{"id":4,"name":"Milepost","value":"5.7913"},{"id":17,"name":"Train ID","value":"1813-04"},{"id":16,"name":"Locomotive ID","value":"4029"},{"id":130,"name":"Impact","value":""},{"id":150,"name":"Time of Event (Mountain Time)","value":"12:35:58"},{"id":151,"name":"Denver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s="23" customFormat="1" x14ac:dyDescent="0.25">
      <c r="A174" s="39" t="s">
        <v>458</v>
      </c>
      <c r="B174" s="7">
        <v>4030</v>
      </c>
      <c r="C174" s="24" t="s">
        <v>112</v>
      </c>
      <c r="D174" s="24" t="s">
        <v>307</v>
      </c>
      <c r="E174" s="15">
        <v>42617.525879629633</v>
      </c>
      <c r="F174" s="15">
        <v>42617.527060185188</v>
      </c>
      <c r="G174" s="7">
        <v>1</v>
      </c>
      <c r="H174" s="15" t="s">
        <v>609</v>
      </c>
      <c r="I174" s="15">
        <v>42617.538993055554</v>
      </c>
      <c r="J174" s="7">
        <v>0</v>
      </c>
      <c r="K174" s="132" t="str">
        <f t="shared" si="84"/>
        <v>4029/4030</v>
      </c>
      <c r="L174" s="24" t="str">
        <f>VLOOKUP(A174,'Trips&amp;Operators'!$C$1:$E$10000,3,FALSE)</f>
        <v>STARKS</v>
      </c>
      <c r="M174" s="6">
        <f t="shared" si="85"/>
        <v>1.1932870365853887E-2</v>
      </c>
      <c r="N174" s="7">
        <f t="shared" si="97"/>
        <v>17.183333326829597</v>
      </c>
      <c r="O174" s="7"/>
      <c r="P174" s="7"/>
      <c r="Q174" s="25"/>
      <c r="R174" s="25"/>
      <c r="S174" s="37">
        <f t="shared" si="83"/>
        <v>1</v>
      </c>
      <c r="T174" s="52" t="str">
        <f t="shared" si="86"/>
        <v>Southbound</v>
      </c>
      <c r="U174" s="12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https://search-rtdc-monitor-bjffxe2xuh6vdkpspy63sjmuny.us-east-1.es.amazonaws.com/_plugin/kibana/#/discover/Steve-Slow-Train-Analysis-(2080s-and-2083s)?_g=(refreshInterval:(display:Off,section:0,value:0),time:(from:'2016-09-04 11:37:16-0600',mode:absolute,to:'2016-09-04 13:56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74" s="54" t="str">
        <f t="shared" si="88"/>
        <v>N</v>
      </c>
      <c r="X174" s="120">
        <f t="shared" si="89"/>
        <v>1</v>
      </c>
      <c r="Y174" s="69">
        <f t="shared" si="90"/>
        <v>5.8628</v>
      </c>
      <c r="Z174" s="69">
        <f t="shared" si="91"/>
        <v>7.0800000000000002E-2</v>
      </c>
      <c r="AA174" s="69">
        <f t="shared" si="92"/>
        <v>5.7919999999999998</v>
      </c>
      <c r="AB174" s="66" t="e">
        <f>VLOOKUP(A174,Enforcements!$C$7:$J$21,8,0)</f>
        <v>#N/A</v>
      </c>
      <c r="AC174" s="62" t="e">
        <f>VLOOKUP(A174,Enforcements!$C$7:$E$21,3,0)</f>
        <v>#N/A</v>
      </c>
      <c r="AD174" s="63" t="str">
        <f t="shared" si="93"/>
        <v>1814-04</v>
      </c>
      <c r="AE174" s="99" t="str">
        <f t="shared" si="94"/>
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</c>
      <c r="AF174" s="96" t="str">
        <f t="shared" si="95"/>
        <v>"C:\Program Files (x86)\AstroGrep\AstroGrep.exe" /spath="%USERPROFILE%\AppData\Local\Temp\OnboardLogs" /stypes="*4030*20160904*" /stext=" 18:.+((SYSTEM_STATE.+slice.+state.+changed )|(ment ac)|(system.+state.+changed )|(\|lc)|(penalty)|(\[timeout)|(PRM\|1\|D)|(kpr)|(kdp))" /e /r /s</v>
      </c>
      <c r="AG174" s="1" t="str">
        <f t="shared" si="96"/>
        <v>NW</v>
      </c>
      <c r="AH174" s="100" t="str">
        <f t="shared" si="80"/>
        <v>"%USERPROFILE%\Documents\GitHub\eaglep3\Utilities\RefineRTDCRunTimes.py" --tripid 1814-04 --locoid 4030 --swversion DE.1.0.7.0 --startMP 300:58628 --initTime 2016-09-04T12:37:16 --startdatetime 2016-09-04T12:38:58 --delay 1 --endMP 204:708 --enddatetime 2016-09-04T12:56:09 --enforcementcount 0 &gt;&gt;C:\Users\stu\Documents\GitHub\eaglep3-reporting\EC\2016-09-04-refined-times.txt</v>
      </c>
      <c r="AI174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{"issue":{"subject":"","project_id":79,"tracker_id":40,"status_id":1,"priority_id":2,"assigned_to_id":23,"start_date":"2016-09-04","description":"","custom_fields":[{"id":1,"name":"Subdivision","value":"NW"},{"id":4,"name":"Milepost","value":"5.792"},{"id":17,"name":"Train ID","value":"1814-04"},{"id":16,"name":"Locomotive ID","value":"4030"},{"id":130,"name":"Impact","value":""},{"id":150,"name":"Time of Event (Mountain Time)","value":"12:56:09"},{"id":151,"name":"Denver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s="23" customFormat="1" x14ac:dyDescent="0.25">
      <c r="A175" s="39" t="s">
        <v>464</v>
      </c>
      <c r="B175" s="7">
        <v>4029</v>
      </c>
      <c r="C175" s="24" t="s">
        <v>112</v>
      </c>
      <c r="D175" s="24" t="s">
        <v>610</v>
      </c>
      <c r="E175" s="15">
        <v>42617.554525462961</v>
      </c>
      <c r="F175" s="15">
        <v>42617.556435185186</v>
      </c>
      <c r="G175" s="7">
        <v>0</v>
      </c>
      <c r="H175" s="15" t="s">
        <v>353</v>
      </c>
      <c r="I175" s="15">
        <v>42617.566701388889</v>
      </c>
      <c r="J175" s="7">
        <v>0</v>
      </c>
      <c r="K175" s="132" t="str">
        <f t="shared" si="84"/>
        <v>4029/4030</v>
      </c>
      <c r="L175" s="24" t="str">
        <f>VLOOKUP(A175,'Trips&amp;Operators'!$C$1:$E$10000,3,FALSE)</f>
        <v>STARKS</v>
      </c>
      <c r="M175" s="6">
        <f t="shared" si="85"/>
        <v>1.0266203702485655E-2</v>
      </c>
      <c r="N175" s="7">
        <f t="shared" si="97"/>
        <v>14.783333331579342</v>
      </c>
      <c r="O175" s="7"/>
      <c r="P175" s="7"/>
      <c r="Q175" s="25"/>
      <c r="R175" s="25"/>
      <c r="S175" s="37">
        <f t="shared" si="83"/>
        <v>1</v>
      </c>
      <c r="T175" s="52" t="str">
        <f t="shared" si="86"/>
        <v>NorthBound</v>
      </c>
      <c r="U175" s="12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https://search-rtdc-monitor-bjffxe2xuh6vdkpspy63sjmuny.us-east-1.es.amazonaws.com/_plugin/kibana/#/discover/Steve-Slow-Train-Analysis-(2080s-and-2083s)?_g=(refreshInterval:(display:Off,section:0,value:0),time:(from:'2016-09-04 12:18:31-0600',mode:absolute,to:'2016-09-04 14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75" s="54" t="str">
        <f t="shared" si="88"/>
        <v>N</v>
      </c>
      <c r="X175" s="120">
        <f t="shared" si="89"/>
        <v>1</v>
      </c>
      <c r="Y175" s="69">
        <f t="shared" si="90"/>
        <v>0.1009</v>
      </c>
      <c r="Z175" s="69">
        <f t="shared" si="91"/>
        <v>5.8921999999999999</v>
      </c>
      <c r="AA175" s="69">
        <f t="shared" si="92"/>
        <v>5.7912999999999997</v>
      </c>
      <c r="AB175" s="66" t="e">
        <f>VLOOKUP(A175,Enforcements!$C$7:$J$21,8,0)</f>
        <v>#N/A</v>
      </c>
      <c r="AC175" s="62" t="e">
        <f>VLOOKUP(A175,Enforcements!$C$7:$E$21,3,0)</f>
        <v>#N/A</v>
      </c>
      <c r="AD175" s="63" t="str">
        <f t="shared" si="93"/>
        <v>1815-04</v>
      </c>
      <c r="AE175" s="99" t="str">
        <f t="shared" si="94"/>
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</c>
      <c r="AF175" s="96" t="str">
        <f t="shared" si="95"/>
        <v>"C:\Program Files (x86)\AstroGrep\AstroGrep.exe" /spath="%USERPROFILE%\AppData\Local\Temp\OnboardLogs" /stypes="*4029*20160904*" /stext=" 19:.+((SYSTEM_STATE.+slice.+state.+changed )|(ment ac)|(system.+state.+changed )|(\|lc)|(penalty)|(\[timeout)|(PRM\|1\|D)|(kpr)|(kdp))" /e /r /s</v>
      </c>
      <c r="AG175" s="1" t="str">
        <f t="shared" si="96"/>
        <v>NW</v>
      </c>
      <c r="AH175" s="100" t="str">
        <f t="shared" si="80"/>
        <v>"%USERPROFILE%\Documents\GitHub\eaglep3\Utilities\RefineRTDCRunTimes.py" --tripid 1815-04 --locoid 4029 --swversion DE.1.0.7.0 --startMP 204:1009 --initTime 2016-09-04T13:18:31 --startdatetime 2016-09-04T13:21:16 --delay 0 --endMP 300:58922 --enddatetime 2016-09-04T13:36:03 --enforcementcount 0 &gt;&gt;C:\Users\stu\Documents\GitHub\eaglep3-reporting\EC\2016-09-04-refined-times.txt</v>
      </c>
      <c r="AI175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{"issue":{"subject":"","project_id":79,"tracker_id":40,"status_id":1,"priority_id":2,"assigned_to_id":23,"start_date":"2016-09-04","description":"","custom_fields":[{"id":1,"name":"Subdivision","value":"NW"},{"id":4,"name":"Milepost","value":"5.7913"},{"id":17,"name":"Train ID","value":"1815-04"},{"id":16,"name":"Locomotive ID","value":"4029"},{"id":130,"name":"Impact","value":""},{"id":150,"name":"Time of Event (Mountain Time)","value":"13:36:03"},{"id":151,"name":"Denver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467</v>
      </c>
      <c r="B176" s="7">
        <v>4030</v>
      </c>
      <c r="C176" s="24" t="s">
        <v>112</v>
      </c>
      <c r="D176" s="24" t="s">
        <v>310</v>
      </c>
      <c r="E176" s="15">
        <v>42617.567627314813</v>
      </c>
      <c r="F176" s="15">
        <v>42617.568888888891</v>
      </c>
      <c r="G176" s="7">
        <v>1</v>
      </c>
      <c r="H176" s="15" t="s">
        <v>609</v>
      </c>
      <c r="I176" s="15">
        <v>42617.580150462964</v>
      </c>
      <c r="J176" s="7">
        <v>0</v>
      </c>
      <c r="K176" s="132" t="str">
        <f t="shared" si="84"/>
        <v>4029/4030</v>
      </c>
      <c r="L176" s="24" t="str">
        <f>VLOOKUP(A176,'Trips&amp;Operators'!$C$1:$E$10000,3,FALSE)</f>
        <v>STARKS</v>
      </c>
      <c r="M176" s="6">
        <f t="shared" si="85"/>
        <v>1.1261574072705116E-2</v>
      </c>
      <c r="N176" s="7">
        <f t="shared" si="97"/>
        <v>16.216666664695367</v>
      </c>
      <c r="O176" s="7"/>
      <c r="P176" s="7"/>
      <c r="Q176" s="25"/>
      <c r="R176" s="25"/>
      <c r="S176" s="37">
        <f t="shared" ref="S176:S203" si="98">SUM(U176:U176)/IF(AG176="EC",12,1)</f>
        <v>1</v>
      </c>
      <c r="T176" s="52" t="str">
        <f t="shared" si="86"/>
        <v>Southbound</v>
      </c>
      <c r="U176" s="12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https://search-rtdc-monitor-bjffxe2xuh6vdkpspy63sjmuny.us-east-1.es.amazonaws.com/_plugin/kibana/#/discover/Steve-Slow-Train-Analysis-(2080s-and-2083s)?_g=(refreshInterval:(display:Off,section:0,value:0),time:(from:'2016-09-04 12:37:23-0600',mode:absolute,to:'2016-09-04 14:55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76" s="54" t="str">
        <f t="shared" si="88"/>
        <v>N</v>
      </c>
      <c r="X176" s="120">
        <f t="shared" si="89"/>
        <v>1</v>
      </c>
      <c r="Y176" s="69">
        <f t="shared" si="90"/>
        <v>5.8608000000000002</v>
      </c>
      <c r="Z176" s="69">
        <f t="shared" si="91"/>
        <v>7.0800000000000002E-2</v>
      </c>
      <c r="AA176" s="69">
        <f t="shared" si="92"/>
        <v>5.79</v>
      </c>
      <c r="AB176" s="66" t="e">
        <f>VLOOKUP(A176,Enforcements!$C$7:$J$21,8,0)</f>
        <v>#N/A</v>
      </c>
      <c r="AC176" s="62" t="e">
        <f>VLOOKUP(A176,Enforcements!$C$7:$E$21,3,0)</f>
        <v>#N/A</v>
      </c>
      <c r="AD176" s="63" t="str">
        <f t="shared" si="93"/>
        <v>1816-04</v>
      </c>
      <c r="AE176" s="99" t="str">
        <f t="shared" si="94"/>
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</c>
      <c r="AF176" s="96" t="str">
        <f t="shared" si="95"/>
        <v>"C:\Program Files (x86)\AstroGrep\AstroGrep.exe" /spath="%USERPROFILE%\AppData\Local\Temp\OnboardLogs" /stypes="*4030*20160904*" /stext=" 19:.+((SYSTEM_STATE.+slice.+state.+changed )|(ment ac)|(system.+state.+changed )|(\|lc)|(penalty)|(\[timeout)|(PRM\|1\|D)|(kpr)|(kdp))" /e /r /s</v>
      </c>
      <c r="AG176" s="1" t="str">
        <f t="shared" si="96"/>
        <v>NW</v>
      </c>
      <c r="AH176" s="100" t="str">
        <f t="shared" si="80"/>
        <v>"%USERPROFILE%\Documents\GitHub\eaglep3\Utilities\RefineRTDCRunTimes.py" --tripid 1816-04 --locoid 4030 --swversion DE.1.0.7.0 --startMP 300:58608 --initTime 2016-09-04T13:37:23 --startdatetime 2016-09-04T13:39:12 --delay 1 --endMP 204:708 --enddatetime 2016-09-04T13:55:25 --enforcementcount 0 &gt;&gt;C:\Users\stu\Documents\GitHub\eaglep3-reporting\EC\2016-09-04-refined-times.txt</v>
      </c>
      <c r="AI176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{"issue":{"subject":"","project_id":79,"tracker_id":40,"status_id":1,"priority_id":2,"assigned_to_id":23,"start_date":"2016-09-04","description":"","custom_fields":[{"id":1,"name":"Subdivision","value":"NW"},{"id":4,"name":"Milepost","value":"5.79"},{"id":17,"name":"Train ID","value":"1816-04"},{"id":16,"name":"Locomotive ID","value":"4030"},{"id":130,"name":"Impact","value":""},{"id":150,"name":"Time of Event (Mountain Time)","value":"13:55:25"},{"id":151,"name":"Denver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473</v>
      </c>
      <c r="B177" s="7">
        <v>4029</v>
      </c>
      <c r="C177" s="24" t="s">
        <v>112</v>
      </c>
      <c r="D177" s="24" t="s">
        <v>611</v>
      </c>
      <c r="E177" s="15">
        <v>42617.587997685187</v>
      </c>
      <c r="F177" s="15">
        <v>42617.598090277781</v>
      </c>
      <c r="G177" s="7">
        <v>1</v>
      </c>
      <c r="H177" s="15" t="s">
        <v>612</v>
      </c>
      <c r="I177" s="15">
        <v>42617.607592592591</v>
      </c>
      <c r="J177" s="7">
        <v>0</v>
      </c>
      <c r="K177" s="132" t="str">
        <f t="shared" si="84"/>
        <v>4029/4030</v>
      </c>
      <c r="L177" s="24" t="str">
        <f>VLOOKUP(A177,'Trips&amp;Operators'!$C$1:$E$10000,3,FALSE)</f>
        <v>ISHMAEL</v>
      </c>
      <c r="M177" s="6">
        <f t="shared" si="85"/>
        <v>9.5023148096515797E-3</v>
      </c>
      <c r="N177" s="7">
        <f t="shared" si="97"/>
        <v>13.683333325898275</v>
      </c>
      <c r="O177" s="7"/>
      <c r="P177" s="7"/>
      <c r="Q177" s="25"/>
      <c r="R177" s="25"/>
      <c r="S177" s="37">
        <f t="shared" si="98"/>
        <v>1</v>
      </c>
      <c r="T177" s="52" t="str">
        <f t="shared" si="86"/>
        <v>NorthBound</v>
      </c>
      <c r="U177" s="12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https://search-rtdc-monitor-bjffxe2xuh6vdkpspy63sjmuny.us-east-1.es.amazonaws.com/_plugin/kibana/#/discover/Steve-Slow-Train-Analysis-(2080s-and-2083s)?_g=(refreshInterval:(display:Off,section:0,value:0),time:(from:'2016-09-04 13:06:43-0600',mode:absolute,to:'2016-09-04 15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77" s="54" t="str">
        <f t="shared" si="88"/>
        <v>N</v>
      </c>
      <c r="X177" s="120">
        <f t="shared" si="89"/>
        <v>1</v>
      </c>
      <c r="Y177" s="69">
        <f t="shared" si="90"/>
        <v>0.1021</v>
      </c>
      <c r="Z177" s="69">
        <f t="shared" si="91"/>
        <v>5.8959999999999999</v>
      </c>
      <c r="AA177" s="69">
        <f t="shared" si="92"/>
        <v>5.7938999999999998</v>
      </c>
      <c r="AB177" s="66" t="e">
        <f>VLOOKUP(A177,Enforcements!$C$7:$J$21,8,0)</f>
        <v>#N/A</v>
      </c>
      <c r="AC177" s="62" t="e">
        <f>VLOOKUP(A177,Enforcements!$C$7:$E$21,3,0)</f>
        <v>#N/A</v>
      </c>
      <c r="AD177" s="63" t="str">
        <f t="shared" si="93"/>
        <v>1817-04</v>
      </c>
      <c r="AE177" s="99" t="str">
        <f t="shared" si="94"/>
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</c>
      <c r="AF177" s="96" t="str">
        <f t="shared" si="95"/>
        <v>"C:\Program Files (x86)\AstroGrep\AstroGrep.exe" /spath="%USERPROFILE%\AppData\Local\Temp\OnboardLogs" /stypes="*4029*20160904*" /stext=" 20:.+((SYSTEM_STATE.+slice.+state.+changed )|(ment ac)|(system.+state.+changed )|(\|lc)|(penalty)|(\[timeout)|(PRM\|1\|D)|(kpr)|(kdp))" /e /r /s</v>
      </c>
      <c r="AG177" s="1" t="str">
        <f t="shared" si="96"/>
        <v>NW</v>
      </c>
      <c r="AH177" s="100" t="str">
        <f t="shared" si="80"/>
        <v>"%USERPROFILE%\Documents\GitHub\eaglep3\Utilities\RefineRTDCRunTimes.py" --tripid 1817-04 --locoid 4029 --swversion DE.1.0.7.0 --startMP 204:1021 --initTime 2016-09-04T14:06:43 --startdatetime 2016-09-04T14:21:15 --delay 1 --endMP 300:58960 --enddatetime 2016-09-04T14:34:56 --enforcementcount 0 &gt;&gt;C:\Users\stu\Documents\GitHub\eaglep3-reporting\EC\2016-09-04-refined-times.txt</v>
      </c>
      <c r="AI177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{"issue":{"subject":"","project_id":79,"tracker_id":40,"status_id":1,"priority_id":2,"assigned_to_id":23,"start_date":"2016-09-04","description":"","custom_fields":[{"id":1,"name":"Subdivision","value":"NW"},{"id":4,"name":"Milepost","value":"5.7939"},{"id":17,"name":"Train ID","value":"1817-04"},{"id":16,"name":"Locomotive ID","value":"4029"},{"id":130,"name":"Impact","value":""},{"id":150,"name":"Time of Event (Mountain Time)","value":"14:34:56"},{"id":151,"name":"Denver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478</v>
      </c>
      <c r="B178" s="7">
        <v>4030</v>
      </c>
      <c r="C178" s="24" t="s">
        <v>112</v>
      </c>
      <c r="D178" s="24" t="s">
        <v>277</v>
      </c>
      <c r="E178" s="15">
        <v>42617.608472222222</v>
      </c>
      <c r="F178" s="15">
        <v>42617.609837962962</v>
      </c>
      <c r="G178" s="7">
        <v>1</v>
      </c>
      <c r="H178" s="15" t="s">
        <v>613</v>
      </c>
      <c r="I178" s="15">
        <v>42617.62159722222</v>
      </c>
      <c r="J178" s="7">
        <v>0</v>
      </c>
      <c r="K178" s="132" t="str">
        <f t="shared" si="84"/>
        <v>4029/4030</v>
      </c>
      <c r="L178" s="24" t="str">
        <f>VLOOKUP(A178,'Trips&amp;Operators'!$C$1:$E$10000,3,FALSE)</f>
        <v>ISHMAEL</v>
      </c>
      <c r="M178" s="6">
        <f t="shared" si="85"/>
        <v>1.1759259257814847E-2</v>
      </c>
      <c r="N178" s="7">
        <f t="shared" si="97"/>
        <v>16.93333333125338</v>
      </c>
      <c r="O178" s="7"/>
      <c r="P178" s="7"/>
      <c r="Q178" s="25"/>
      <c r="R178" s="25"/>
      <c r="S178" s="37">
        <f t="shared" si="98"/>
        <v>1</v>
      </c>
      <c r="T178" s="52" t="str">
        <f t="shared" si="86"/>
        <v>Southbound</v>
      </c>
      <c r="U178" s="12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https://search-rtdc-monitor-bjffxe2xuh6vdkpspy63sjmuny.us-east-1.es.amazonaws.com/_plugin/kibana/#/discover/Steve-Slow-Train-Analysis-(2080s-and-2083s)?_g=(refreshInterval:(display:Off,section:0,value:0),time:(from:'2016-09-04 13:36:12-0600',mode:absolute,to:'2016-09-04 15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78" s="54" t="str">
        <f t="shared" si="88"/>
        <v>N</v>
      </c>
      <c r="X178" s="120">
        <f t="shared" si="89"/>
        <v>1</v>
      </c>
      <c r="Y178" s="69">
        <f t="shared" si="90"/>
        <v>5.8632</v>
      </c>
      <c r="Z178" s="69">
        <f t="shared" si="91"/>
        <v>6.6400000000000001E-2</v>
      </c>
      <c r="AA178" s="69">
        <f t="shared" si="92"/>
        <v>5.7968000000000002</v>
      </c>
      <c r="AB178" s="66" t="e">
        <f>VLOOKUP(A178,Enforcements!$C$7:$J$21,8,0)</f>
        <v>#N/A</v>
      </c>
      <c r="AC178" s="62" t="e">
        <f>VLOOKUP(A178,Enforcements!$C$7:$E$21,3,0)</f>
        <v>#N/A</v>
      </c>
      <c r="AD178" s="63" t="str">
        <f t="shared" si="93"/>
        <v>1818-04</v>
      </c>
      <c r="AE178" s="99" t="str">
        <f t="shared" si="94"/>
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</c>
      <c r="AF178" s="96" t="str">
        <f t="shared" si="95"/>
        <v>"C:\Program Files (x86)\AstroGrep\AstroGrep.exe" /spath="%USERPROFILE%\AppData\Local\Temp\OnboardLogs" /stypes="*4030*20160904*" /stext=" 20:.+((SYSTEM_STATE.+slice.+state.+changed )|(ment ac)|(system.+state.+changed )|(\|lc)|(penalty)|(\[timeout)|(PRM\|1\|D)|(kpr)|(kdp))" /e /r /s</v>
      </c>
      <c r="AG178" s="1" t="str">
        <f t="shared" si="96"/>
        <v>NW</v>
      </c>
      <c r="AH178" s="100" t="str">
        <f t="shared" si="80"/>
        <v>"%USERPROFILE%\Documents\GitHub\eaglep3\Utilities\RefineRTDCRunTimes.py" --tripid 1818-04 --locoid 4030 --swversion DE.1.0.7.0 --startMP 300:58632 --initTime 2016-09-04T14:36:12 --startdatetime 2016-09-04T14:38:10 --delay 1 --endMP 204:664 --enddatetime 2016-09-04T14:55:06 --enforcementcount 0 &gt;&gt;C:\Users\stu\Documents\GitHub\eaglep3-reporting\EC\2016-09-04-refined-times.txt</v>
      </c>
      <c r="AI178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{"issue":{"subject":"","project_id":79,"tracker_id":40,"status_id":1,"priority_id":2,"assigned_to_id":23,"start_date":"2016-09-04","description":"","custom_fields":[{"id":1,"name":"Subdivision","value":"NW"},{"id":4,"name":"Milepost","value":"5.7968"},{"id":17,"name":"Train ID","value":"1818-04"},{"id":16,"name":"Locomotive ID","value":"4030"},{"id":130,"name":"Impact","value":""},{"id":150,"name":"Time of Event (Mountain Time)","value":"14:55:06"},{"id":151,"name":"Denver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482</v>
      </c>
      <c r="B179" s="7">
        <v>4029</v>
      </c>
      <c r="C179" s="24" t="s">
        <v>112</v>
      </c>
      <c r="D179" s="24" t="s">
        <v>614</v>
      </c>
      <c r="E179" s="15">
        <v>42617.626273148147</v>
      </c>
      <c r="F179" s="15">
        <v>42617.63994212963</v>
      </c>
      <c r="G179" s="7">
        <v>1</v>
      </c>
      <c r="H179" s="15" t="s">
        <v>355</v>
      </c>
      <c r="I179" s="15">
        <v>42617.649178240739</v>
      </c>
      <c r="J179" s="7">
        <v>0</v>
      </c>
      <c r="K179" s="132" t="str">
        <f t="shared" si="84"/>
        <v>4029/4030</v>
      </c>
      <c r="L179" s="24" t="str">
        <f>VLOOKUP(A179,'Trips&amp;Operators'!$C$1:$E$10000,3,FALSE)</f>
        <v>ISHMAEL</v>
      </c>
      <c r="M179" s="6">
        <f t="shared" si="85"/>
        <v>9.2361111092031933E-3</v>
      </c>
      <c r="N179" s="7">
        <f t="shared" si="97"/>
        <v>13.299999997252598</v>
      </c>
      <c r="O179" s="7"/>
      <c r="P179" s="7"/>
      <c r="Q179" s="25"/>
      <c r="R179" s="25"/>
      <c r="S179" s="37">
        <f t="shared" si="98"/>
        <v>1</v>
      </c>
      <c r="T179" s="52" t="str">
        <f t="shared" si="86"/>
        <v>NorthBound</v>
      </c>
      <c r="U179" s="12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https://search-rtdc-monitor-bjffxe2xuh6vdkpspy63sjmuny.us-east-1.es.amazonaws.com/_plugin/kibana/#/discover/Steve-Slow-Train-Analysis-(2080s-and-2083s)?_g=(refreshInterval:(display:Off,section:0,value:0),time:(from:'2016-09-04 14:01:50-0600',mode:absolute,to:'2016-09-04 16:34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79" s="54" t="str">
        <f t="shared" si="88"/>
        <v>N</v>
      </c>
      <c r="X179" s="120">
        <f t="shared" si="89"/>
        <v>1</v>
      </c>
      <c r="Y179" s="69">
        <f t="shared" si="90"/>
        <v>9.6500000000000002E-2</v>
      </c>
      <c r="Z179" s="69">
        <f t="shared" si="91"/>
        <v>5.8933</v>
      </c>
      <c r="AA179" s="69">
        <f t="shared" si="92"/>
        <v>5.7968000000000002</v>
      </c>
      <c r="AB179" s="66" t="e">
        <f>VLOOKUP(A179,Enforcements!$C$7:$J$21,8,0)</f>
        <v>#N/A</v>
      </c>
      <c r="AC179" s="62" t="e">
        <f>VLOOKUP(A179,Enforcements!$C$7:$E$21,3,0)</f>
        <v>#N/A</v>
      </c>
      <c r="AD179" s="63" t="str">
        <f t="shared" si="93"/>
        <v>1819-04</v>
      </c>
      <c r="AE179" s="99" t="str">
        <f t="shared" si="94"/>
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</c>
      <c r="AF179" s="96" t="str">
        <f t="shared" si="95"/>
        <v>"C:\Program Files (x86)\AstroGrep\AstroGrep.exe" /spath="%USERPROFILE%\AppData\Local\Temp\OnboardLogs" /stypes="*4029*20160904*" /stext=" 21:.+((SYSTEM_STATE.+slice.+state.+changed )|(ment ac)|(system.+state.+changed )|(\|lc)|(penalty)|(\[timeout)|(PRM\|1\|D)|(kpr)|(kdp))" /e /r /s</v>
      </c>
      <c r="AG179" s="1" t="str">
        <f t="shared" si="96"/>
        <v>NW</v>
      </c>
      <c r="AH179" s="100" t="str">
        <f t="shared" si="80"/>
        <v>"%USERPROFILE%\Documents\GitHub\eaglep3\Utilities\RefineRTDCRunTimes.py" --tripid 1819-04 --locoid 4029 --swversion DE.1.0.7.0 --startMP 204:965 --initTime 2016-09-04T15:01:50 --startdatetime 2016-09-04T15:21:31 --delay 1 --endMP 300:58933 --enddatetime 2016-09-04T15:34:49 --enforcementcount 0 &gt;&gt;C:\Users\stu\Documents\GitHub\eaglep3-reporting\EC\2016-09-04-refined-times.txt</v>
      </c>
      <c r="AI179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{"issue":{"subject":"","project_id":79,"tracker_id":40,"status_id":1,"priority_id":2,"assigned_to_id":23,"start_date":"2016-09-04","description":"","custom_fields":[{"id":1,"name":"Subdivision","value":"NW"},{"id":4,"name":"Milepost","value":"5.7968"},{"id":17,"name":"Train ID","value":"1819-04"},{"id":16,"name":"Locomotive ID","value":"4029"},{"id":130,"name":"Impact","value":""},{"id":150,"name":"Time of Event (Mountain Time)","value":"15:34:49"},{"id":151,"name":"Denver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s="23" customFormat="1" x14ac:dyDescent="0.25">
      <c r="A180" s="39" t="s">
        <v>487</v>
      </c>
      <c r="B180" s="7">
        <v>4030</v>
      </c>
      <c r="C180" s="24" t="s">
        <v>112</v>
      </c>
      <c r="D180" s="24" t="s">
        <v>615</v>
      </c>
      <c r="E180" s="15">
        <v>42617.65</v>
      </c>
      <c r="F180" s="15">
        <v>42617.651400462964</v>
      </c>
      <c r="G180" s="7">
        <v>1</v>
      </c>
      <c r="H180" s="15" t="s">
        <v>616</v>
      </c>
      <c r="I180" s="15">
        <v>42617.66302083333</v>
      </c>
      <c r="J180" s="7">
        <v>0</v>
      </c>
      <c r="K180" s="132" t="str">
        <f t="shared" si="84"/>
        <v>4029/4030</v>
      </c>
      <c r="L180" s="24" t="str">
        <f>VLOOKUP(A180,'Trips&amp;Operators'!$C$1:$E$10000,3,FALSE)</f>
        <v>ISHMAEL</v>
      </c>
      <c r="M180" s="6">
        <f t="shared" si="85"/>
        <v>1.1620370365562849E-2</v>
      </c>
      <c r="N180" s="7">
        <f t="shared" si="97"/>
        <v>16.733333326410502</v>
      </c>
      <c r="O180" s="7"/>
      <c r="P180" s="7"/>
      <c r="Q180" s="25"/>
      <c r="R180" s="25"/>
      <c r="S180" s="37">
        <f t="shared" si="98"/>
        <v>1</v>
      </c>
      <c r="T180" s="52" t="str">
        <f t="shared" si="86"/>
        <v>Southbound</v>
      </c>
      <c r="U180" s="12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https://search-rtdc-monitor-bjffxe2xuh6vdkpspy63sjmuny.us-east-1.es.amazonaws.com/_plugin/kibana/#/discover/Steve-Slow-Train-Analysis-(2080s-and-2083s)?_g=(refreshInterval:(display:Off,section:0,value:0),time:(from:'2016-09-04 14:36:00-0600',mode:absolute,to:'2016-09-04 16:54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80" s="54" t="str">
        <f t="shared" si="88"/>
        <v>N</v>
      </c>
      <c r="X180" s="120">
        <f t="shared" si="89"/>
        <v>1</v>
      </c>
      <c r="Y180" s="69">
        <f t="shared" si="90"/>
        <v>5.8613</v>
      </c>
      <c r="Z180" s="69">
        <f t="shared" si="91"/>
        <v>6.9099999999999995E-2</v>
      </c>
      <c r="AA180" s="69">
        <f t="shared" si="92"/>
        <v>5.7922000000000002</v>
      </c>
      <c r="AB180" s="66" t="e">
        <f>VLOOKUP(A180,Enforcements!$C$7:$J$21,8,0)</f>
        <v>#N/A</v>
      </c>
      <c r="AC180" s="62" t="e">
        <f>VLOOKUP(A180,Enforcements!$C$7:$E$21,3,0)</f>
        <v>#N/A</v>
      </c>
      <c r="AD180" s="63" t="str">
        <f t="shared" si="93"/>
        <v>1820-04</v>
      </c>
      <c r="AE180" s="99" t="str">
        <f t="shared" si="94"/>
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</c>
      <c r="AF180" s="96" t="str">
        <f t="shared" si="95"/>
        <v>"C:\Program Files (x86)\AstroGrep\AstroGrep.exe" /spath="%USERPROFILE%\AppData\Local\Temp\OnboardLogs" /stypes="*4030*20160904*" /stext=" 21:.+((SYSTEM_STATE.+slice.+state.+changed )|(ment ac)|(system.+state.+changed )|(\|lc)|(penalty)|(\[timeout)|(PRM\|1\|D)|(kpr)|(kdp))" /e /r /s</v>
      </c>
      <c r="AG180" s="1" t="str">
        <f t="shared" si="96"/>
        <v>NW</v>
      </c>
      <c r="AH180" s="100" t="str">
        <f t="shared" si="80"/>
        <v>"%USERPROFILE%\Documents\GitHub\eaglep3\Utilities\RefineRTDCRunTimes.py" --tripid 1820-04 --locoid 4030 --swversion DE.1.0.7.0 --startMP 300:58613 --initTime 2016-09-04T15:36:00 --startdatetime 2016-09-04T15:38:01 --delay 1 --endMP 204:691 --enddatetime 2016-09-04T15:54:45 --enforcementcount 0 &gt;&gt;C:\Users\stu\Documents\GitHub\eaglep3-reporting\EC\2016-09-04-refined-times.txt</v>
      </c>
      <c r="AI180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{"issue":{"subject":"","project_id":79,"tracker_id":40,"status_id":1,"priority_id":2,"assigned_to_id":23,"start_date":"2016-09-04","description":"","custom_fields":[{"id":1,"name":"Subdivision","value":"NW"},{"id":4,"name":"Milepost","value":"5.7922"},{"id":17,"name":"Train ID","value":"1820-04"},{"id":16,"name":"Locomotive ID","value":"4030"},{"id":130,"name":"Impact","value":""},{"id":150,"name":"Time of Event (Mountain Time)","value":"15:54:45"},{"id":151,"name":"Denver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494</v>
      </c>
      <c r="B181" s="7">
        <v>4029</v>
      </c>
      <c r="C181" s="24" t="s">
        <v>112</v>
      </c>
      <c r="D181" s="24" t="s">
        <v>617</v>
      </c>
      <c r="E181" s="15">
        <v>42617.672997685186</v>
      </c>
      <c r="F181" s="15">
        <v>42617.681493055556</v>
      </c>
      <c r="G181" s="7">
        <v>1</v>
      </c>
      <c r="H181" s="15" t="s">
        <v>353</v>
      </c>
      <c r="I181" s="15">
        <v>42617.691111111111</v>
      </c>
      <c r="J181" s="7">
        <v>0</v>
      </c>
      <c r="K181" s="132" t="str">
        <f t="shared" si="84"/>
        <v>4029/4030</v>
      </c>
      <c r="L181" s="24" t="str">
        <f>VLOOKUP(A181,'Trips&amp;Operators'!$C$1:$E$10000,3,FALSE)</f>
        <v>ISHMAEL</v>
      </c>
      <c r="M181" s="6">
        <f t="shared" si="85"/>
        <v>9.6180555556202307E-3</v>
      </c>
      <c r="N181" s="7">
        <f t="shared" si="97"/>
        <v>13.850000000093132</v>
      </c>
      <c r="O181" s="7"/>
      <c r="P181" s="7"/>
      <c r="Q181" s="25"/>
      <c r="R181" s="25"/>
      <c r="S181" s="37">
        <f t="shared" si="98"/>
        <v>1</v>
      </c>
      <c r="T181" s="52" t="str">
        <f t="shared" si="86"/>
        <v>NorthBound</v>
      </c>
      <c r="U181" s="12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https://search-rtdc-monitor-bjffxe2xuh6vdkpspy63sjmuny.us-east-1.es.amazonaws.com/_plugin/kibana/#/discover/Steve-Slow-Train-Analysis-(2080s-and-2083s)?_g=(refreshInterval:(display:Off,section:0,value:0),time:(from:'2016-09-04 15:09:07-0600',mode:absolute,to:'2016-09-04 17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81" s="54" t="str">
        <f t="shared" si="88"/>
        <v>N</v>
      </c>
      <c r="X181" s="120">
        <f t="shared" si="89"/>
        <v>1</v>
      </c>
      <c r="Y181" s="69">
        <f t="shared" si="90"/>
        <v>9.7100000000000006E-2</v>
      </c>
      <c r="Z181" s="69">
        <f t="shared" si="91"/>
        <v>5.8921999999999999</v>
      </c>
      <c r="AA181" s="69">
        <f t="shared" si="92"/>
        <v>5.7950999999999997</v>
      </c>
      <c r="AB181" s="66" t="e">
        <f>VLOOKUP(A181,Enforcements!$C$7:$J$21,8,0)</f>
        <v>#N/A</v>
      </c>
      <c r="AC181" s="62" t="e">
        <f>VLOOKUP(A181,Enforcements!$C$7:$E$21,3,0)</f>
        <v>#N/A</v>
      </c>
      <c r="AD181" s="63" t="str">
        <f t="shared" si="93"/>
        <v>1821-04</v>
      </c>
      <c r="AE181" s="99" t="str">
        <f t="shared" si="94"/>
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</c>
      <c r="AF181" s="96" t="str">
        <f t="shared" si="95"/>
        <v>"C:\Program Files (x86)\AstroGrep\AstroGrep.exe" /spath="%USERPROFILE%\AppData\Local\Temp\OnboardLogs" /stypes="*4029*20160904*" /stext=" 22:.+((SYSTEM_STATE.+slice.+state.+changed )|(ment ac)|(system.+state.+changed )|(\|lc)|(penalty)|(\[timeout)|(PRM\|1\|D)|(kpr)|(kdp))" /e /r /s</v>
      </c>
      <c r="AG181" s="1" t="str">
        <f t="shared" si="96"/>
        <v>NW</v>
      </c>
      <c r="AH181" s="100" t="str">
        <f t="shared" si="80"/>
        <v>"%USERPROFILE%\Documents\GitHub\eaglep3\Utilities\RefineRTDCRunTimes.py" --tripid 1821-04 --locoid 4029 --swversion DE.1.0.7.0 --startMP 204:971 --initTime 2016-09-04T16:09:07 --startdatetime 2016-09-04T16:21:21 --delay 1 --endMP 300:58922 --enddatetime 2016-09-04T16:35:12 --enforcementcount 0 &gt;&gt;C:\Users\stu\Documents\GitHub\eaglep3-reporting\EC\2016-09-04-refined-times.txt</v>
      </c>
      <c r="AI181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{"issue":{"subject":"","project_id":79,"tracker_id":40,"status_id":1,"priority_id":2,"assigned_to_id":23,"start_date":"2016-09-04","description":"","custom_fields":[{"id":1,"name":"Subdivision","value":"NW"},{"id":4,"name":"Milepost","value":"5.7951"},{"id":17,"name":"Train ID","value":"1821-04"},{"id":16,"name":"Locomotive ID","value":"4029"},{"id":130,"name":"Impact","value":""},{"id":150,"name":"Time of Event (Mountain Time)","value":"16:35:12"},{"id":151,"name":"Denver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498</v>
      </c>
      <c r="B182" s="7">
        <v>4030</v>
      </c>
      <c r="C182" s="24" t="s">
        <v>112</v>
      </c>
      <c r="D182" s="24" t="s">
        <v>618</v>
      </c>
      <c r="E182" s="15">
        <v>42617.691979166666</v>
      </c>
      <c r="F182" s="15">
        <v>42617.693356481483</v>
      </c>
      <c r="G182" s="7">
        <v>1</v>
      </c>
      <c r="H182" s="15" t="s">
        <v>619</v>
      </c>
      <c r="I182" s="15">
        <v>42617.704976851855</v>
      </c>
      <c r="J182" s="7">
        <v>0</v>
      </c>
      <c r="K182" s="132" t="str">
        <f t="shared" si="84"/>
        <v>4029/4030</v>
      </c>
      <c r="L182" s="24" t="str">
        <f>VLOOKUP(A182,'Trips&amp;Operators'!$C$1:$E$10000,3,FALSE)</f>
        <v>ISHMAEL</v>
      </c>
      <c r="M182" s="6">
        <f t="shared" si="85"/>
        <v>1.1620370372838806E-2</v>
      </c>
      <c r="N182" s="7">
        <f t="shared" si="97"/>
        <v>16.733333336887881</v>
      </c>
      <c r="O182" s="7"/>
      <c r="P182" s="7"/>
      <c r="Q182" s="25"/>
      <c r="R182" s="25"/>
      <c r="S182" s="37">
        <f t="shared" si="98"/>
        <v>1</v>
      </c>
      <c r="T182" s="52" t="str">
        <f t="shared" si="86"/>
        <v>Southbound</v>
      </c>
      <c r="U182" s="12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https://search-rtdc-monitor-bjffxe2xuh6vdkpspy63sjmuny.us-east-1.es.amazonaws.com/_plugin/kibana/#/discover/Steve-Slow-Train-Analysis-(2080s-and-2083s)?_g=(refreshInterval:(display:Off,section:0,value:0),time:(from:'2016-09-04 15:36:27-0600',mode:absolute,to:'2016-09-04 17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82" s="54" t="str">
        <f t="shared" si="88"/>
        <v>N</v>
      </c>
      <c r="X182" s="120">
        <f t="shared" si="89"/>
        <v>1</v>
      </c>
      <c r="Y182" s="69">
        <f t="shared" si="90"/>
        <v>5.8593999999999999</v>
      </c>
      <c r="Z182" s="69">
        <f t="shared" si="91"/>
        <v>6.8699999999999997E-2</v>
      </c>
      <c r="AA182" s="69">
        <f t="shared" si="92"/>
        <v>5.7907000000000002</v>
      </c>
      <c r="AB182" s="66" t="e">
        <f>VLOOKUP(A182,Enforcements!$C$7:$J$21,8,0)</f>
        <v>#N/A</v>
      </c>
      <c r="AC182" s="62" t="e">
        <f>VLOOKUP(A182,Enforcements!$C$7:$E$21,3,0)</f>
        <v>#N/A</v>
      </c>
      <c r="AD182" s="63" t="str">
        <f t="shared" si="93"/>
        <v>1822-04</v>
      </c>
      <c r="AE182" s="99" t="str">
        <f t="shared" si="94"/>
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</c>
      <c r="AF182" s="96" t="str">
        <f t="shared" si="95"/>
        <v>"C:\Program Files (x86)\AstroGrep\AstroGrep.exe" /spath="%USERPROFILE%\AppData\Local\Temp\OnboardLogs" /stypes="*4030*20160904*" /stext=" 22:.+((SYSTEM_STATE.+slice.+state.+changed )|(ment ac)|(system.+state.+changed )|(\|lc)|(penalty)|(\[timeout)|(PRM\|1\|D)|(kpr)|(kdp))" /e /r /s</v>
      </c>
      <c r="AG182" s="1" t="str">
        <f t="shared" si="96"/>
        <v>NW</v>
      </c>
      <c r="AH182" s="100" t="str">
        <f t="shared" si="80"/>
        <v>"%USERPROFILE%\Documents\GitHub\eaglep3\Utilities\RefineRTDCRunTimes.py" --tripid 1822-04 --locoid 4030 --swversion DE.1.0.7.0 --startMP 300:58594 --initTime 2016-09-04T16:36:27 --startdatetime 2016-09-04T16:38:26 --delay 1 --endMP 204:687 --enddatetime 2016-09-04T16:55:10 --enforcementcount 0 &gt;&gt;C:\Users\stu\Documents\GitHub\eaglep3-reporting\EC\2016-09-04-refined-times.txt</v>
      </c>
      <c r="AI182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{"issue":{"subject":"","project_id":79,"tracker_id":40,"status_id":1,"priority_id":2,"assigned_to_id":23,"start_date":"2016-09-04","description":"","custom_fields":[{"id":1,"name":"Subdivision","value":"NW"},{"id":4,"name":"Milepost","value":"5.7907"},{"id":17,"name":"Train ID","value":"1822-04"},{"id":16,"name":"Locomotive ID","value":"4030"},{"id":130,"name":"Impact","value":""},{"id":150,"name":"Time of Event (Mountain Time)","value":"16:55:10"},{"id":151,"name":"Denver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s="23" customFormat="1" x14ac:dyDescent="0.25">
      <c r="A183" s="39" t="s">
        <v>502</v>
      </c>
      <c r="B183" s="7">
        <v>4029</v>
      </c>
      <c r="C183" s="24" t="s">
        <v>112</v>
      </c>
      <c r="D183" s="24" t="s">
        <v>614</v>
      </c>
      <c r="E183" s="15">
        <v>42617.714143518519</v>
      </c>
      <c r="F183" s="15">
        <v>42617.723113425927</v>
      </c>
      <c r="G183" s="7">
        <v>1</v>
      </c>
      <c r="H183" s="15" t="s">
        <v>606</v>
      </c>
      <c r="I183" s="15">
        <v>42617.732789351852</v>
      </c>
      <c r="J183" s="7">
        <v>0</v>
      </c>
      <c r="K183" s="132" t="str">
        <f t="shared" si="84"/>
        <v>4029/4030</v>
      </c>
      <c r="L183" s="24" t="str">
        <f>VLOOKUP(A183,'Trips&amp;Operators'!$C$1:$E$10000,3,FALSE)</f>
        <v>ISHMAEL</v>
      </c>
      <c r="M183" s="6">
        <f t="shared" si="85"/>
        <v>9.6759259249665774E-3</v>
      </c>
      <c r="N183" s="7">
        <f t="shared" si="97"/>
        <v>13.933333331951872</v>
      </c>
      <c r="O183" s="7"/>
      <c r="P183" s="7"/>
      <c r="Q183" s="25"/>
      <c r="R183" s="25"/>
      <c r="S183" s="37">
        <f t="shared" si="98"/>
        <v>1</v>
      </c>
      <c r="T183" s="52" t="str">
        <f t="shared" si="86"/>
        <v>NorthBound</v>
      </c>
      <c r="U183" s="12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https://search-rtdc-monitor-bjffxe2xuh6vdkpspy63sjmuny.us-east-1.es.amazonaws.com/_plugin/kibana/#/discover/Steve-Slow-Train-Analysis-(2080s-and-2083s)?_g=(refreshInterval:(display:Off,section:0,value:0),time:(from:'2016-09-04 16:08:22-0600',mode:absolute,to:'2016-09-04 18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83" s="54" t="str">
        <f t="shared" si="88"/>
        <v>N</v>
      </c>
      <c r="X183" s="120">
        <f t="shared" si="89"/>
        <v>1</v>
      </c>
      <c r="Y183" s="69">
        <f t="shared" si="90"/>
        <v>9.6500000000000002E-2</v>
      </c>
      <c r="Z183" s="69">
        <f t="shared" si="91"/>
        <v>5.8943000000000003</v>
      </c>
      <c r="AA183" s="69">
        <f t="shared" si="92"/>
        <v>5.7978000000000005</v>
      </c>
      <c r="AB183" s="66" t="e">
        <f>VLOOKUP(A183,Enforcements!$C$7:$J$21,8,0)</f>
        <v>#N/A</v>
      </c>
      <c r="AC183" s="62" t="e">
        <f>VLOOKUP(A183,Enforcements!$C$7:$E$21,3,0)</f>
        <v>#N/A</v>
      </c>
      <c r="AD183" s="63" t="str">
        <f t="shared" si="93"/>
        <v>1823-04</v>
      </c>
      <c r="AE183" s="99" t="str">
        <f t="shared" si="94"/>
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</c>
      <c r="AF183" s="96" t="str">
        <f t="shared" si="95"/>
        <v>"C:\Program Files (x86)\AstroGrep\AstroGrep.exe" /spath="%USERPROFILE%\AppData\Local\Temp\OnboardLogs" /stypes="*4029*20160904*" /stext=" 23:.+((SYSTEM_STATE.+slice.+state.+changed )|(ment ac)|(system.+state.+changed )|(\|lc)|(penalty)|(\[timeout)|(PRM\|1\|D)|(kpr)|(kdp))" /e /r /s</v>
      </c>
      <c r="AG183" s="1" t="str">
        <f t="shared" si="96"/>
        <v>NW</v>
      </c>
      <c r="AH183" s="100" t="str">
        <f t="shared" si="80"/>
        <v>"%USERPROFILE%\Documents\GitHub\eaglep3\Utilities\RefineRTDCRunTimes.py" --tripid 1823-04 --locoid 4029 --swversion DE.1.0.7.0 --startMP 204:965 --initTime 2016-09-04T17:08:22 --startdatetime 2016-09-04T17:21:17 --delay 1 --endMP 300:58943 --enddatetime 2016-09-04T17:35:13 --enforcementcount 0 &gt;&gt;C:\Users\stu\Documents\GitHub\eaglep3-reporting\EC\2016-09-04-refined-times.txt</v>
      </c>
      <c r="AI183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{"issue":{"subject":"","project_id":79,"tracker_id":40,"status_id":1,"priority_id":2,"assigned_to_id":23,"start_date":"2016-09-04","description":"","custom_fields":[{"id":1,"name":"Subdivision","value":"NW"},{"id":4,"name":"Milepost","value":"5.7978"},{"id":17,"name":"Train ID","value":"1823-04"},{"id":16,"name":"Locomotive ID","value":"4029"},{"id":130,"name":"Impact","value":""},{"id":150,"name":"Time of Event (Mountain Time)","value":"17:35:13"},{"id":151,"name":"Denver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509</v>
      </c>
      <c r="B184" s="7">
        <v>4030</v>
      </c>
      <c r="C184" s="24" t="s">
        <v>112</v>
      </c>
      <c r="D184" s="24" t="s">
        <v>308</v>
      </c>
      <c r="E184" s="15">
        <v>42617.733888888892</v>
      </c>
      <c r="F184" s="15">
        <v>42617.735092592593</v>
      </c>
      <c r="G184" s="7">
        <v>1</v>
      </c>
      <c r="H184" s="15" t="s">
        <v>354</v>
      </c>
      <c r="I184" s="15">
        <v>42617.746655092589</v>
      </c>
      <c r="J184" s="7">
        <v>0</v>
      </c>
      <c r="K184" s="132" t="str">
        <f t="shared" si="84"/>
        <v>4029/4030</v>
      </c>
      <c r="L184" s="24" t="str">
        <f>VLOOKUP(A184,'Trips&amp;Operators'!$C$1:$E$10000,3,FALSE)</f>
        <v>ISHMAEL</v>
      </c>
      <c r="M184" s="6">
        <f t="shared" si="85"/>
        <v>1.1562499996216502E-2</v>
      </c>
      <c r="N184" s="7">
        <f t="shared" si="97"/>
        <v>16.649999994551763</v>
      </c>
      <c r="O184" s="7"/>
      <c r="P184" s="7"/>
      <c r="Q184" s="25"/>
      <c r="R184" s="25"/>
      <c r="S184" s="37">
        <f t="shared" si="98"/>
        <v>1</v>
      </c>
      <c r="T184" s="52" t="str">
        <f t="shared" si="86"/>
        <v>Southbound</v>
      </c>
      <c r="U184" s="12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https://search-rtdc-monitor-bjffxe2xuh6vdkpspy63sjmuny.us-east-1.es.amazonaws.com/_plugin/kibana/#/discover/Steve-Slow-Train-Analysis-(2080s-and-2083s)?_g=(refreshInterval:(display:Off,section:0,value:0),time:(from:'2016-09-04 16:36:48-0600',mode:absolute,to:'2016-09-04 18:55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84" s="54" t="str">
        <f t="shared" si="88"/>
        <v>N</v>
      </c>
      <c r="X184" s="120">
        <f t="shared" si="89"/>
        <v>1</v>
      </c>
      <c r="Y184" s="69">
        <f t="shared" si="90"/>
        <v>5.8634000000000004</v>
      </c>
      <c r="Z184" s="69">
        <f t="shared" si="91"/>
        <v>6.6299999999999998E-2</v>
      </c>
      <c r="AA184" s="69">
        <f t="shared" si="92"/>
        <v>5.7971000000000004</v>
      </c>
      <c r="AB184" s="66" t="e">
        <f>VLOOKUP(A184,Enforcements!$C$7:$J$21,8,0)</f>
        <v>#N/A</v>
      </c>
      <c r="AC184" s="62" t="e">
        <f>VLOOKUP(A184,Enforcements!$C$7:$E$21,3,0)</f>
        <v>#N/A</v>
      </c>
      <c r="AD184" s="63" t="str">
        <f t="shared" si="93"/>
        <v>1824-04</v>
      </c>
      <c r="AE184" s="99" t="str">
        <f t="shared" si="94"/>
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</c>
      <c r="AF184" s="96" t="str">
        <f t="shared" si="95"/>
        <v>"C:\Program Files (x86)\AstroGrep\AstroGrep.exe" /spath="%USERPROFILE%\AppData\Local\Temp\OnboardLogs" /stypes="*4030*20160904*" /stext=" 23:.+((SYSTEM_STATE.+slice.+state.+changed )|(ment ac)|(system.+state.+changed )|(\|lc)|(penalty)|(\[timeout)|(PRM\|1\|D)|(kpr)|(kdp))" /e /r /s</v>
      </c>
      <c r="AG184" s="1" t="str">
        <f t="shared" si="96"/>
        <v>NW</v>
      </c>
      <c r="AH184" s="100" t="str">
        <f t="shared" si="80"/>
        <v>"%USERPROFILE%\Documents\GitHub\eaglep3\Utilities\RefineRTDCRunTimes.py" --tripid 1824-04 --locoid 4030 --swversion DE.1.0.7.0 --startMP 300:58634 --initTime 2016-09-04T17:36:48 --startdatetime 2016-09-04T17:38:32 --delay 1 --endMP 204:663 --enddatetime 2016-09-04T17:55:11 --enforcementcount 0 &gt;&gt;C:\Users\stu\Documents\GitHub\eaglep3-reporting\EC\2016-09-04-refined-times.txt</v>
      </c>
      <c r="AI184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{"issue":{"subject":"","project_id":79,"tracker_id":40,"status_id":1,"priority_id":2,"assigned_to_id":23,"start_date":"2016-09-04","description":"","custom_fields":[{"id":1,"name":"Subdivision","value":"NW"},{"id":4,"name":"Milepost","value":"5.7971"},{"id":17,"name":"Train ID","value":"1824-04"},{"id":16,"name":"Locomotive ID","value":"4030"},{"id":130,"name":"Impact","value":""},{"id":150,"name":"Time of Event (Mountain Time)","value":"17:55:11"},{"id":151,"name":"Denver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514</v>
      </c>
      <c r="B185" s="7">
        <v>4029</v>
      </c>
      <c r="C185" s="24" t="s">
        <v>112</v>
      </c>
      <c r="D185" s="24" t="s">
        <v>596</v>
      </c>
      <c r="E185" s="15">
        <v>42617.753564814811</v>
      </c>
      <c r="F185" s="15">
        <v>42617.765011574076</v>
      </c>
      <c r="G185" s="7">
        <v>2</v>
      </c>
      <c r="H185" s="15" t="s">
        <v>353</v>
      </c>
      <c r="I185" s="15">
        <v>42617.776018518518</v>
      </c>
      <c r="J185" s="7">
        <v>0</v>
      </c>
      <c r="K185" s="132" t="str">
        <f t="shared" si="84"/>
        <v>4029/4030</v>
      </c>
      <c r="L185" s="24" t="str">
        <f>VLOOKUP(A185,'Trips&amp;Operators'!$C$1:$E$10000,3,FALSE)</f>
        <v>ISHMAEL</v>
      </c>
      <c r="M185" s="6">
        <f t="shared" si="85"/>
        <v>1.1006944441760425E-2</v>
      </c>
      <c r="N185" s="7">
        <f t="shared" si="97"/>
        <v>15.849999996135011</v>
      </c>
      <c r="O185" s="7"/>
      <c r="P185" s="7"/>
      <c r="Q185" s="25"/>
      <c r="R185" s="25"/>
      <c r="S185" s="37">
        <f t="shared" si="98"/>
        <v>1</v>
      </c>
      <c r="T185" s="52" t="str">
        <f t="shared" si="86"/>
        <v>NorthBound</v>
      </c>
      <c r="U185" s="12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https://search-rtdc-monitor-bjffxe2xuh6vdkpspy63sjmuny.us-east-1.es.amazonaws.com/_plugin/kibana/#/discover/Steve-Slow-Train-Analysis-(2080s-and-2083s)?_g=(refreshInterval:(display:Off,section:0,value:0),time:(from:'2016-09-04 17:05:08-0600',mode:absolute,to:'2016-09-04 19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85" s="54" t="str">
        <f t="shared" si="88"/>
        <v>N</v>
      </c>
      <c r="X185" s="120">
        <f t="shared" si="89"/>
        <v>1</v>
      </c>
      <c r="Y185" s="69">
        <f t="shared" si="90"/>
        <v>9.5100000000000004E-2</v>
      </c>
      <c r="Z185" s="69">
        <f t="shared" si="91"/>
        <v>5.8921999999999999</v>
      </c>
      <c r="AA185" s="69">
        <f t="shared" si="92"/>
        <v>5.7970999999999995</v>
      </c>
      <c r="AB185" s="66" t="e">
        <f>VLOOKUP(A185,Enforcements!$C$7:$J$21,8,0)</f>
        <v>#N/A</v>
      </c>
      <c r="AC185" s="62" t="e">
        <f>VLOOKUP(A185,Enforcements!$C$7:$E$21,3,0)</f>
        <v>#N/A</v>
      </c>
      <c r="AD185" s="63" t="str">
        <f t="shared" si="93"/>
        <v>1825-04</v>
      </c>
      <c r="AE185" s="99" t="str">
        <f t="shared" si="94"/>
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</c>
      <c r="AF185" s="96" t="str">
        <f t="shared" si="95"/>
        <v>"C:\Program Files (x86)\AstroGrep\AstroGrep.exe" /spath="%USERPROFILE%\AppData\Local\Temp\OnboardLogs" /stypes="*4029*20160905*" /stext=" 00:.+((SYSTEM_STATE.+slice.+state.+changed )|(ment ac)|(system.+state.+changed )|(\|lc)|(penalty)|(\[timeout)|(PRM\|1\|D)|(kpr)|(kdp))" /e /r /s</v>
      </c>
      <c r="AG185" s="1" t="str">
        <f t="shared" si="96"/>
        <v>NW</v>
      </c>
      <c r="AH185" s="100" t="str">
        <f t="shared" si="80"/>
        <v>"%USERPROFILE%\Documents\GitHub\eaglep3\Utilities\RefineRTDCRunTimes.py" --tripid 1825-04 --locoid 4029 --swversion DE.1.0.7.0 --startMP 204:951 --initTime 2016-09-04T18:05:08 --startdatetime 2016-09-04T18:21:37 --delay 2 --endMP 300:58922 --enddatetime 2016-09-04T18:37:28 --enforcementcount 0 &gt;&gt;C:\Users\stu\Documents\GitHub\eaglep3-reporting\EC\2016-09-04-refined-times.txt</v>
      </c>
      <c r="AI185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{"issue":{"subject":"","project_id":79,"tracker_id":40,"status_id":1,"priority_id":2,"assigned_to_id":23,"start_date":"2016-09-04","description":"","custom_fields":[{"id":1,"name":"Subdivision","value":"NW"},{"id":4,"name":"Milepost","value":"5.7971"},{"id":17,"name":"Train ID","value":"1825-04"},{"id":16,"name":"Locomotive ID","value":"4029"},{"id":130,"name":"Impact","value":""},{"id":150,"name":"Time of Event (Mountain Time)","value":"18:37:28"},{"id":151,"name":"Denver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520</v>
      </c>
      <c r="B186" s="7">
        <v>4030</v>
      </c>
      <c r="C186" s="24" t="s">
        <v>112</v>
      </c>
      <c r="D186" s="24" t="s">
        <v>620</v>
      </c>
      <c r="E186" s="15">
        <v>42617.776875000003</v>
      </c>
      <c r="F186" s="15">
        <v>42617.778437499997</v>
      </c>
      <c r="G186" s="7">
        <v>1</v>
      </c>
      <c r="H186" s="15" t="s">
        <v>621</v>
      </c>
      <c r="I186" s="15">
        <v>42617.789282407408</v>
      </c>
      <c r="J186" s="7">
        <v>0</v>
      </c>
      <c r="K186" s="132" t="str">
        <f t="shared" si="84"/>
        <v>4029/4030</v>
      </c>
      <c r="L186" s="24" t="str">
        <f>VLOOKUP(A186,'Trips&amp;Operators'!$C$1:$E$10000,3,FALSE)</f>
        <v>ISHMAEL</v>
      </c>
      <c r="M186" s="6">
        <f t="shared" si="85"/>
        <v>1.0844907410501037E-2</v>
      </c>
      <c r="N186" s="7">
        <f t="shared" si="97"/>
        <v>15.616666671121493</v>
      </c>
      <c r="O186" s="7"/>
      <c r="P186" s="7"/>
      <c r="Q186" s="25"/>
      <c r="R186" s="25"/>
      <c r="S186" s="37">
        <f t="shared" si="98"/>
        <v>1</v>
      </c>
      <c r="T186" s="52" t="str">
        <f t="shared" si="86"/>
        <v>Southbound</v>
      </c>
      <c r="U186" s="12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https://search-rtdc-monitor-bjffxe2xuh6vdkpspy63sjmuny.us-east-1.es.amazonaws.com/_plugin/kibana/#/discover/Steve-Slow-Train-Analysis-(2080s-and-2083s)?_g=(refreshInterval:(display:Off,section:0,value:0),time:(from:'2016-09-04 17:38:42-0600',mode:absolute,to:'2016-09-04 19:56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86" s="54" t="str">
        <f t="shared" si="88"/>
        <v>N</v>
      </c>
      <c r="X186" s="120">
        <f t="shared" si="89"/>
        <v>1</v>
      </c>
      <c r="Y186" s="69">
        <f t="shared" si="90"/>
        <v>5.8597999999999999</v>
      </c>
      <c r="Z186" s="69">
        <f t="shared" si="91"/>
        <v>6.6799999999999998E-2</v>
      </c>
      <c r="AA186" s="69">
        <f t="shared" si="92"/>
        <v>5.7930000000000001</v>
      </c>
      <c r="AB186" s="66" t="e">
        <f>VLOOKUP(A186,Enforcements!$C$7:$J$21,8,0)</f>
        <v>#N/A</v>
      </c>
      <c r="AC186" s="62" t="e">
        <f>VLOOKUP(A186,Enforcements!$C$7:$E$21,3,0)</f>
        <v>#N/A</v>
      </c>
      <c r="AD186" s="63" t="str">
        <f t="shared" si="93"/>
        <v>1826-04</v>
      </c>
      <c r="AE186" s="99" t="str">
        <f t="shared" si="94"/>
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</c>
      <c r="AF186" s="96" t="str">
        <f t="shared" si="95"/>
        <v>"C:\Program Files (x86)\AstroGrep\AstroGrep.exe" /spath="%USERPROFILE%\AppData\Local\Temp\OnboardLogs" /stypes="*4030*20160905*" /stext=" 00:.+((SYSTEM_STATE.+slice.+state.+changed )|(ment ac)|(system.+state.+changed )|(\|lc)|(penalty)|(\[timeout)|(PRM\|1\|D)|(kpr)|(kdp))" /e /r /s</v>
      </c>
      <c r="AG186" s="1" t="str">
        <f t="shared" si="96"/>
        <v>NW</v>
      </c>
      <c r="AH186" s="100" t="str">
        <f t="shared" si="80"/>
        <v>"%USERPROFILE%\Documents\GitHub\eaglep3\Utilities\RefineRTDCRunTimes.py" --tripid 1826-04 --locoid 4030 --swversion DE.1.0.7.0 --startMP 300:58598 --initTime 2016-09-04T18:38:42 --startdatetime 2016-09-04T18:40:57 --delay 1 --endMP 204:668 --enddatetime 2016-09-04T18:56:34 --enforcementcount 0 &gt;&gt;C:\Users\stu\Documents\GitHub\eaglep3-reporting\EC\2016-09-04-refined-times.txt</v>
      </c>
      <c r="AI186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{"issue":{"subject":"","project_id":79,"tracker_id":40,"status_id":1,"priority_id":2,"assigned_to_id":23,"start_date":"2016-09-04","description":"","custom_fields":[{"id":1,"name":"Subdivision","value":"NW"},{"id":4,"name":"Milepost","value":"5.793"},{"id":17,"name":"Train ID","value":"1826-04"},{"id":16,"name":"Locomotive ID","value":"4030"},{"id":130,"name":"Impact","value":""},{"id":150,"name":"Time of Event (Mountain Time)","value":"18:56:34"},{"id":151,"name":"Denver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525</v>
      </c>
      <c r="B187" s="7">
        <v>4029</v>
      </c>
      <c r="C187" s="24" t="s">
        <v>112</v>
      </c>
      <c r="D187" s="24" t="s">
        <v>352</v>
      </c>
      <c r="E187" s="15">
        <v>42617.801469907405</v>
      </c>
      <c r="F187" s="15">
        <v>42617.806469907409</v>
      </c>
      <c r="G187" s="7">
        <v>1</v>
      </c>
      <c r="H187" s="15" t="s">
        <v>309</v>
      </c>
      <c r="I187" s="15">
        <v>42617.817430555559</v>
      </c>
      <c r="J187" s="7">
        <v>0</v>
      </c>
      <c r="K187" s="132" t="str">
        <f t="shared" si="84"/>
        <v>4029/4030</v>
      </c>
      <c r="L187" s="24" t="str">
        <f>VLOOKUP(A187,'Trips&amp;Operators'!$C$1:$E$10000,3,FALSE)</f>
        <v>ISHMAEL</v>
      </c>
      <c r="M187" s="6">
        <f t="shared" si="85"/>
        <v>1.096064814919373E-2</v>
      </c>
      <c r="N187" s="7">
        <f t="shared" si="97"/>
        <v>15.783333334838971</v>
      </c>
      <c r="O187" s="7"/>
      <c r="P187" s="7"/>
      <c r="Q187" s="25"/>
      <c r="R187" s="25"/>
      <c r="S187" s="37">
        <f t="shared" si="98"/>
        <v>1</v>
      </c>
      <c r="T187" s="52" t="str">
        <f t="shared" si="86"/>
        <v>NorthBound</v>
      </c>
      <c r="U187" s="12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https://search-rtdc-monitor-bjffxe2xuh6vdkpspy63sjmuny.us-east-1.es.amazonaws.com/_plugin/kibana/#/discover/Steve-Slow-Train-Analysis-(2080s-and-2083s)?_g=(refreshInterval:(display:Off,section:0,value:0),time:(from:'2016-09-04 18:14:07-0600',mode:absolute,to:'2016-09-04 20:37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87" s="54" t="str">
        <f t="shared" si="88"/>
        <v>N</v>
      </c>
      <c r="X187" s="120">
        <f t="shared" si="89"/>
        <v>1</v>
      </c>
      <c r="Y187" s="69">
        <f t="shared" si="90"/>
        <v>9.6699999999999994E-2</v>
      </c>
      <c r="Z187" s="69">
        <f t="shared" si="91"/>
        <v>5.8929</v>
      </c>
      <c r="AA187" s="69">
        <f t="shared" si="92"/>
        <v>5.7961999999999998</v>
      </c>
      <c r="AB187" s="66" t="e">
        <f>VLOOKUP(A187,Enforcements!$C$7:$J$21,8,0)</f>
        <v>#N/A</v>
      </c>
      <c r="AC187" s="62" t="e">
        <f>VLOOKUP(A187,Enforcements!$C$7:$E$21,3,0)</f>
        <v>#N/A</v>
      </c>
      <c r="AD187" s="63" t="str">
        <f t="shared" si="93"/>
        <v>1827-04</v>
      </c>
      <c r="AE187" s="99" t="str">
        <f t="shared" si="94"/>
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</c>
      <c r="AF187" s="96" t="str">
        <f t="shared" si="95"/>
        <v>"C:\Program Files (x86)\AstroGrep\AstroGrep.exe" /spath="%USERPROFILE%\AppData\Local\Temp\OnboardLogs" /stypes="*4029*20160905*" /stext=" 01:.+((SYSTEM_STATE.+slice.+state.+changed )|(ment ac)|(system.+state.+changed )|(\|lc)|(penalty)|(\[timeout)|(PRM\|1\|D)|(kpr)|(kdp))" /e /r /s</v>
      </c>
      <c r="AG187" s="1" t="str">
        <f t="shared" si="96"/>
        <v>NW</v>
      </c>
      <c r="AH187" s="100" t="str">
        <f t="shared" si="80"/>
        <v>"%USERPROFILE%\Documents\GitHub\eaglep3\Utilities\RefineRTDCRunTimes.py" --tripid 1827-04 --locoid 4029 --swversion DE.1.0.7.0 --startMP 204:967 --initTime 2016-09-04T19:14:07 --startdatetime 2016-09-04T19:21:19 --delay 1 --endMP 300:58929 --enddatetime 2016-09-04T19:37:06 --enforcementcount 0 &gt;&gt;C:\Users\stu\Documents\GitHub\eaglep3-reporting\EC\2016-09-04-refined-times.txt</v>
      </c>
      <c r="AI187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{"issue":{"subject":"","project_id":79,"tracker_id":40,"status_id":1,"priority_id":2,"assigned_to_id":23,"start_date":"2016-09-04","description":"","custom_fields":[{"id":1,"name":"Subdivision","value":"NW"},{"id":4,"name":"Milepost","value":"5.7962"},{"id":17,"name":"Train ID","value":"1827-04"},{"id":16,"name":"Locomotive ID","value":"4029"},{"id":130,"name":"Impact","value":""},{"id":150,"name":"Time of Event (Mountain Time)","value":"19:37:06"},{"id":151,"name":"Denver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528</v>
      </c>
      <c r="B188" s="7">
        <v>4030</v>
      </c>
      <c r="C188" s="24" t="s">
        <v>112</v>
      </c>
      <c r="D188" s="24" t="s">
        <v>598</v>
      </c>
      <c r="E188" s="15">
        <v>42617.818310185183</v>
      </c>
      <c r="F188" s="15">
        <v>42617.81962962963</v>
      </c>
      <c r="G188" s="7">
        <v>1</v>
      </c>
      <c r="H188" s="15" t="s">
        <v>622</v>
      </c>
      <c r="I188" s="15">
        <v>42617.832673611112</v>
      </c>
      <c r="J188" s="7">
        <v>0</v>
      </c>
      <c r="K188" s="132" t="str">
        <f t="shared" si="84"/>
        <v>4029/4030</v>
      </c>
      <c r="L188" s="24" t="str">
        <f>VLOOKUP(A188,'Trips&amp;Operators'!$C$1:$E$10000,3,FALSE)</f>
        <v>ISHMAEL</v>
      </c>
      <c r="M188" s="6">
        <f t="shared" si="85"/>
        <v>1.3043981482042E-2</v>
      </c>
      <c r="N188" s="7">
        <f t="shared" si="97"/>
        <v>18.78333333414048</v>
      </c>
      <c r="O188" s="7"/>
      <c r="P188" s="7"/>
      <c r="Q188" s="25"/>
      <c r="R188" s="25"/>
      <c r="S188" s="37">
        <f t="shared" si="98"/>
        <v>1</v>
      </c>
      <c r="T188" s="52" t="str">
        <f t="shared" si="86"/>
        <v>Southbound</v>
      </c>
      <c r="U188" s="12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https://search-rtdc-monitor-bjffxe2xuh6vdkpspy63sjmuny.us-east-1.es.amazonaws.com/_plugin/kibana/#/discover/Steve-Slow-Train-Analysis-(2080s-and-2083s)?_g=(refreshInterval:(display:Off,section:0,value:0),time:(from:'2016-09-04 18:38:22-0600',mode:absolute,to:'2016-09-04 20:59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88" s="54" t="str">
        <f t="shared" si="88"/>
        <v>N</v>
      </c>
      <c r="X188" s="120">
        <f t="shared" si="89"/>
        <v>1</v>
      </c>
      <c r="Y188" s="69">
        <f t="shared" si="90"/>
        <v>5.8609</v>
      </c>
      <c r="Z188" s="69">
        <f t="shared" si="91"/>
        <v>6.8400000000000002E-2</v>
      </c>
      <c r="AA188" s="69">
        <f t="shared" si="92"/>
        <v>5.7925000000000004</v>
      </c>
      <c r="AB188" s="66" t="e">
        <f>VLOOKUP(A188,Enforcements!$C$7:$J$21,8,0)</f>
        <v>#N/A</v>
      </c>
      <c r="AC188" s="62" t="e">
        <f>VLOOKUP(A188,Enforcements!$C$7:$E$21,3,0)</f>
        <v>#N/A</v>
      </c>
      <c r="AD188" s="63" t="str">
        <f t="shared" si="93"/>
        <v>1828-04</v>
      </c>
      <c r="AE188" s="99" t="str">
        <f t="shared" si="94"/>
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</c>
      <c r="AF188" s="96" t="str">
        <f t="shared" si="95"/>
        <v>"C:\Program Files (x86)\AstroGrep\AstroGrep.exe" /spath="%USERPROFILE%\AppData\Local\Temp\OnboardLogs" /stypes="*4030*20160905*" /stext=" 01:.+((SYSTEM_STATE.+slice.+state.+changed )|(ment ac)|(system.+state.+changed )|(\|lc)|(penalty)|(\[timeout)|(PRM\|1\|D)|(kpr)|(kdp))" /e /r /s</v>
      </c>
      <c r="AG188" s="1" t="str">
        <f t="shared" si="96"/>
        <v>NW</v>
      </c>
      <c r="AH188" s="100" t="str">
        <f t="shared" si="80"/>
        <v>"%USERPROFILE%\Documents\GitHub\eaglep3\Utilities\RefineRTDCRunTimes.py" --tripid 1828-04 --locoid 4030 --swversion DE.1.0.7.0 --startMP 300:58609 --initTime 2016-09-04T19:38:22 --startdatetime 2016-09-04T19:40:16 --delay 1 --endMP 204:684 --enddatetime 2016-09-04T19:59:03 --enforcementcount 0 &gt;&gt;C:\Users\stu\Documents\GitHub\eaglep3-reporting\EC\2016-09-04-refined-times.txt</v>
      </c>
      <c r="AI188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{"issue":{"subject":"","project_id":79,"tracker_id":40,"status_id":1,"priority_id":2,"assigned_to_id":23,"start_date":"2016-09-04","description":"","custom_fields":[{"id":1,"name":"Subdivision","value":"NW"},{"id":4,"name":"Milepost","value":"5.7925"},{"id":17,"name":"Train ID","value":"1828-04"},{"id":16,"name":"Locomotive ID","value":"4030"},{"id":130,"name":"Impact","value":""},{"id":150,"name":"Time of Event (Mountain Time)","value":"19:59:03"},{"id":151,"name":"Denver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532</v>
      </c>
      <c r="B189" s="7">
        <v>4029</v>
      </c>
      <c r="C189" s="24" t="s">
        <v>112</v>
      </c>
      <c r="D189" s="24" t="s">
        <v>617</v>
      </c>
      <c r="E189" s="15">
        <v>42617.841793981483</v>
      </c>
      <c r="F189" s="15">
        <v>42617.84815972222</v>
      </c>
      <c r="G189" s="7">
        <v>1</v>
      </c>
      <c r="H189" s="15" t="s">
        <v>356</v>
      </c>
      <c r="I189" s="15">
        <v>42617.858136574076</v>
      </c>
      <c r="J189" s="7">
        <v>0</v>
      </c>
      <c r="K189" s="132" t="str">
        <f t="shared" si="84"/>
        <v>4029/4030</v>
      </c>
      <c r="L189" s="24" t="str">
        <f>VLOOKUP(A189,'Trips&amp;Operators'!$C$1:$E$10000,3,FALSE)</f>
        <v>ISHMAEL</v>
      </c>
      <c r="M189" s="6">
        <f t="shared" si="85"/>
        <v>9.976851855753921E-3</v>
      </c>
      <c r="N189" s="7">
        <f t="shared" si="97"/>
        <v>14.366666672285646</v>
      </c>
      <c r="O189" s="7"/>
      <c r="P189" s="7"/>
      <c r="Q189" s="25"/>
      <c r="R189" s="25"/>
      <c r="S189" s="37">
        <f t="shared" si="98"/>
        <v>1</v>
      </c>
      <c r="T189" s="52" t="str">
        <f t="shared" si="86"/>
        <v>NorthBound</v>
      </c>
      <c r="U189" s="12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https://search-rtdc-monitor-bjffxe2xuh6vdkpspy63sjmuny.us-east-1.es.amazonaws.com/_plugin/kibana/#/discover/Steve-Slow-Train-Analysis-(2080s-and-2083s)?_g=(refreshInterval:(display:Off,section:0,value:0),time:(from:'2016-09-04 19:12:11-0600',mode:absolute,to:'2016-09-04 21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89" s="54" t="str">
        <f t="shared" si="88"/>
        <v>N</v>
      </c>
      <c r="X189" s="120">
        <f t="shared" si="89"/>
        <v>1</v>
      </c>
      <c r="Y189" s="69">
        <f t="shared" si="90"/>
        <v>9.7100000000000006E-2</v>
      </c>
      <c r="Z189" s="69">
        <f t="shared" si="91"/>
        <v>5.8940999999999999</v>
      </c>
      <c r="AA189" s="69">
        <f t="shared" si="92"/>
        <v>5.7969999999999997</v>
      </c>
      <c r="AB189" s="66" t="e">
        <f>VLOOKUP(A189,Enforcements!$C$7:$J$21,8,0)</f>
        <v>#N/A</v>
      </c>
      <c r="AC189" s="62" t="e">
        <f>VLOOKUP(A189,Enforcements!$C$7:$E$21,3,0)</f>
        <v>#N/A</v>
      </c>
      <c r="AD189" s="63" t="str">
        <f t="shared" si="93"/>
        <v>1829-04</v>
      </c>
      <c r="AE189" s="99" t="str">
        <f t="shared" si="94"/>
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</c>
      <c r="AF189" s="96" t="str">
        <f t="shared" si="95"/>
        <v>"C:\Program Files (x86)\AstroGrep\AstroGrep.exe" /spath="%USERPROFILE%\AppData\Local\Temp\OnboardLogs" /stypes="*4029*20160905*" /stext=" 02:.+((SYSTEM_STATE.+slice.+state.+changed )|(ment ac)|(system.+state.+changed )|(\|lc)|(penalty)|(\[timeout)|(PRM\|1\|D)|(kpr)|(kdp))" /e /r /s</v>
      </c>
      <c r="AG189" s="1" t="str">
        <f t="shared" si="96"/>
        <v>NW</v>
      </c>
      <c r="AH189" s="100" t="str">
        <f t="shared" si="80"/>
        <v>"%USERPROFILE%\Documents\GitHub\eaglep3\Utilities\RefineRTDCRunTimes.py" --tripid 1829-04 --locoid 4029 --swversion DE.1.0.7.0 --startMP 204:971 --initTime 2016-09-04T20:12:11 --startdatetime 2016-09-04T20:21:21 --delay 1 --endMP 300:58941 --enddatetime 2016-09-04T20:35:43 --enforcementcount 0 &gt;&gt;C:\Users\stu\Documents\GitHub\eaglep3-reporting\EC\2016-09-04-refined-times.txt</v>
      </c>
      <c r="AI189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{"issue":{"subject":"","project_id":79,"tracker_id":40,"status_id":1,"priority_id":2,"assigned_to_id":23,"start_date":"2016-09-04","description":"","custom_fields":[{"id":1,"name":"Subdivision","value":"NW"},{"id":4,"name":"Milepost","value":"5.797"},{"id":17,"name":"Train ID","value":"1829-04"},{"id":16,"name":"Locomotive ID","value":"4029"},{"id":130,"name":"Impact","value":""},{"id":150,"name":"Time of Event (Mountain Time)","value":"20:35:43"},{"id":151,"name":"Denver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535</v>
      </c>
      <c r="B190" s="7">
        <v>4030</v>
      </c>
      <c r="C190" s="24" t="s">
        <v>112</v>
      </c>
      <c r="D190" s="24" t="s">
        <v>624</v>
      </c>
      <c r="E190" s="15">
        <v>42617.859085648146</v>
      </c>
      <c r="F190" s="15">
        <v>42617.860578703701</v>
      </c>
      <c r="G190" s="7">
        <v>1</v>
      </c>
      <c r="H190" s="15" t="s">
        <v>622</v>
      </c>
      <c r="I190" s="15">
        <v>42617.871736111112</v>
      </c>
      <c r="J190" s="7">
        <v>0</v>
      </c>
      <c r="K190" s="132" t="str">
        <f t="shared" si="84"/>
        <v>4029/4030</v>
      </c>
      <c r="L190" s="24" t="str">
        <f>VLOOKUP(A190,'Trips&amp;Operators'!$C$1:$E$10000,3,FALSE)</f>
        <v>ISHMAEL</v>
      </c>
      <c r="M190" s="6">
        <f t="shared" si="85"/>
        <v>1.1157407410792075E-2</v>
      </c>
      <c r="N190" s="7">
        <f t="shared" si="97"/>
        <v>16.066666671540588</v>
      </c>
      <c r="O190" s="7"/>
      <c r="P190" s="7"/>
      <c r="Q190" s="25"/>
      <c r="R190" s="25"/>
      <c r="S190" s="37">
        <f t="shared" si="98"/>
        <v>1</v>
      </c>
      <c r="T190" s="52" t="str">
        <f t="shared" si="86"/>
        <v>Southbound</v>
      </c>
      <c r="U190" s="12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https://search-rtdc-monitor-bjffxe2xuh6vdkpspy63sjmuny.us-east-1.es.amazonaws.com/_plugin/kibana/#/discover/Steve-Slow-Train-Analysis-(2080s-and-2083s)?_g=(refreshInterval:(display:Off,section:0,value:0),time:(from:'2016-09-04 19:37:05-0600',mode:absolute,to:'2016-09-04 21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90" s="54" t="str">
        <f t="shared" si="88"/>
        <v>N</v>
      </c>
      <c r="X190" s="120">
        <f t="shared" si="89"/>
        <v>1</v>
      </c>
      <c r="Y190" s="69">
        <f t="shared" si="90"/>
        <v>5.8624999999999998</v>
      </c>
      <c r="Z190" s="69">
        <f t="shared" si="91"/>
        <v>6.8400000000000002E-2</v>
      </c>
      <c r="AA190" s="69">
        <f t="shared" si="92"/>
        <v>5.7941000000000003</v>
      </c>
      <c r="AB190" s="66" t="e">
        <f>VLOOKUP(A190,Enforcements!$C$7:$J$21,8,0)</f>
        <v>#N/A</v>
      </c>
      <c r="AC190" s="62" t="e">
        <f>VLOOKUP(A190,Enforcements!$C$7:$E$21,3,0)</f>
        <v>#N/A</v>
      </c>
      <c r="AD190" s="63" t="str">
        <f t="shared" si="93"/>
        <v>1830-04</v>
      </c>
      <c r="AE190" s="99" t="str">
        <f t="shared" si="94"/>
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</c>
      <c r="AF190" s="96" t="str">
        <f t="shared" si="95"/>
        <v>"C:\Program Files (x86)\AstroGrep\AstroGrep.exe" /spath="%USERPROFILE%\AppData\Local\Temp\OnboardLogs" /stypes="*4030*20160905*" /stext=" 02:.+((SYSTEM_STATE.+slice.+state.+changed )|(ment ac)|(system.+state.+changed )|(\|lc)|(penalty)|(\[timeout)|(PRM\|1\|D)|(kpr)|(kdp))" /e /r /s</v>
      </c>
      <c r="AG190" s="1" t="str">
        <f t="shared" si="96"/>
        <v>NW</v>
      </c>
      <c r="AH190" s="100" t="str">
        <f t="shared" si="80"/>
        <v>"%USERPROFILE%\Documents\GitHub\eaglep3\Utilities\RefineRTDCRunTimes.py" --tripid 1830-04 --locoid 4030 --swversion DE.1.0.7.0 --startMP 300:58625 --initTime 2016-09-04T20:37:05 --startdatetime 2016-09-04T20:39:14 --delay 1 --endMP 204:684 --enddatetime 2016-09-04T20:55:18 --enforcementcount 0 &gt;&gt;C:\Users\stu\Documents\GitHub\eaglep3-reporting\EC\2016-09-04-refined-times.txt</v>
      </c>
      <c r="AI190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{"issue":{"subject":"","project_id":79,"tracker_id":40,"status_id":1,"priority_id":2,"assigned_to_id":23,"start_date":"2016-09-04","description":"","custom_fields":[{"id":1,"name":"Subdivision","value":"NW"},{"id":4,"name":"Milepost","value":"5.7941"},{"id":17,"name":"Train ID","value":"1830-04"},{"id":16,"name":"Locomotive ID","value":"4030"},{"id":130,"name":"Impact","value":""},{"id":150,"name":"Time of Event (Mountain Time)","value":"20:55:18"},{"id":151,"name":"Denver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538</v>
      </c>
      <c r="B191" s="7">
        <v>4029</v>
      </c>
      <c r="C191" s="24" t="s">
        <v>112</v>
      </c>
      <c r="D191" s="24" t="s">
        <v>351</v>
      </c>
      <c r="E191" s="15">
        <v>42617.876458333332</v>
      </c>
      <c r="F191" s="15">
        <v>42617.889791666668</v>
      </c>
      <c r="G191" s="7">
        <v>1</v>
      </c>
      <c r="H191" s="15" t="s">
        <v>309</v>
      </c>
      <c r="I191" s="15">
        <v>42617.900196759256</v>
      </c>
      <c r="J191" s="7">
        <v>0</v>
      </c>
      <c r="K191" s="132" t="str">
        <f t="shared" si="84"/>
        <v>4029/4030</v>
      </c>
      <c r="L191" s="24" t="str">
        <f>VLOOKUP(A191,'Trips&amp;Operators'!$C$1:$E$10000,3,FALSE)</f>
        <v>ISHMAEL</v>
      </c>
      <c r="M191" s="6">
        <f t="shared" si="85"/>
        <v>1.0405092587461695E-2</v>
      </c>
      <c r="N191" s="7">
        <f t="shared" si="97"/>
        <v>14.983333325944841</v>
      </c>
      <c r="O191" s="7"/>
      <c r="P191" s="7"/>
      <c r="Q191" s="25"/>
      <c r="R191" s="25"/>
      <c r="S191" s="37">
        <f t="shared" si="98"/>
        <v>1</v>
      </c>
      <c r="T191" s="52" t="str">
        <f t="shared" si="86"/>
        <v>NorthBound</v>
      </c>
      <c r="U191" s="12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https://search-rtdc-monitor-bjffxe2xuh6vdkpspy63sjmuny.us-east-1.es.amazonaws.com/_plugin/kibana/#/discover/Steve-Slow-Train-Analysis-(2080s-and-2083s)?_g=(refreshInterval:(display:Off,section:0,value:0),time:(from:'2016-09-04 20:02:06-0600',mode:absolute,to:'2016-09-04 22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91" s="54" t="str">
        <f t="shared" si="88"/>
        <v>N</v>
      </c>
      <c r="X191" s="120">
        <f t="shared" si="89"/>
        <v>1</v>
      </c>
      <c r="Y191" s="69">
        <f t="shared" si="90"/>
        <v>9.69E-2</v>
      </c>
      <c r="Z191" s="69">
        <f t="shared" si="91"/>
        <v>5.8929</v>
      </c>
      <c r="AA191" s="69">
        <f t="shared" si="92"/>
        <v>5.7960000000000003</v>
      </c>
      <c r="AB191" s="66" t="e">
        <f>VLOOKUP(A191,Enforcements!$C$7:$J$21,8,0)</f>
        <v>#N/A</v>
      </c>
      <c r="AC191" s="62" t="e">
        <f>VLOOKUP(A191,Enforcements!$C$7:$E$21,3,0)</f>
        <v>#N/A</v>
      </c>
      <c r="AD191" s="63" t="str">
        <f t="shared" si="93"/>
        <v>1831-04</v>
      </c>
      <c r="AE191" s="99" t="str">
        <f t="shared" si="94"/>
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</c>
      <c r="AF191" s="96" t="str">
        <f t="shared" si="95"/>
        <v>"C:\Program Files (x86)\AstroGrep\AstroGrep.exe" /spath="%USERPROFILE%\AppData\Local\Temp\OnboardLogs" /stypes="*4029*20160905*" /stext=" 03:.+((SYSTEM_STATE.+slice.+state.+changed )|(ment ac)|(system.+state.+changed )|(\|lc)|(penalty)|(\[timeout)|(PRM\|1\|D)|(kpr)|(kdp))" /e /r /s</v>
      </c>
      <c r="AG191" s="1" t="str">
        <f t="shared" si="96"/>
        <v>NW</v>
      </c>
      <c r="AH191" s="100" t="str">
        <f t="shared" si="80"/>
        <v>"%USERPROFILE%\Documents\GitHub\eaglep3\Utilities\RefineRTDCRunTimes.py" --tripid 1831-04 --locoid 4029 --swversion DE.1.0.7.0 --startMP 204:969 --initTime 2016-09-04T21:02:06 --startdatetime 2016-09-04T21:21:18 --delay 1 --endMP 300:58929 --enddatetime 2016-09-04T21:36:17 --enforcementcount 0 &gt;&gt;C:\Users\stu\Documents\GitHub\eaglep3-reporting\EC\2016-09-04-refined-times.txt</v>
      </c>
      <c r="AI191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{"issue":{"subject":"","project_id":79,"tracker_id":40,"status_id":1,"priority_id":2,"assigned_to_id":23,"start_date":"2016-09-04","description":"","custom_fields":[{"id":1,"name":"Subdivision","value":"NW"},{"id":4,"name":"Milepost","value":"5.796"},{"id":17,"name":"Train ID","value":"1831-04"},{"id":16,"name":"Locomotive ID","value":"4029"},{"id":130,"name":"Impact","value":""},{"id":150,"name":"Time of Event (Mountain Time)","value":"21:36:17"},{"id":151,"name":"Denver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541</v>
      </c>
      <c r="B192" s="7">
        <v>4030</v>
      </c>
      <c r="C192" s="24" t="s">
        <v>112</v>
      </c>
      <c r="D192" s="24" t="s">
        <v>310</v>
      </c>
      <c r="E192" s="15">
        <v>42617.901550925926</v>
      </c>
      <c r="F192" s="15">
        <v>42617.902962962966</v>
      </c>
      <c r="G192" s="7">
        <v>1</v>
      </c>
      <c r="H192" s="15" t="s">
        <v>594</v>
      </c>
      <c r="I192" s="15">
        <v>42617.915462962963</v>
      </c>
      <c r="J192" s="7">
        <v>0</v>
      </c>
      <c r="K192" s="132" t="str">
        <f t="shared" si="84"/>
        <v>4029/4030</v>
      </c>
      <c r="L192" s="24" t="str">
        <f>VLOOKUP(A192,'Trips&amp;Operators'!$C$1:$E$10000,3,FALSE)</f>
        <v>ISHMAEL</v>
      </c>
      <c r="M192" s="6">
        <f t="shared" si="85"/>
        <v>1.2499999997089617E-2</v>
      </c>
      <c r="N192" s="7">
        <f t="shared" si="97"/>
        <v>17.999999995809048</v>
      </c>
      <c r="O192" s="7"/>
      <c r="P192" s="7"/>
      <c r="Q192" s="25"/>
      <c r="R192" s="25"/>
      <c r="S192" s="37">
        <f t="shared" si="98"/>
        <v>1</v>
      </c>
      <c r="T192" s="52" t="str">
        <f t="shared" si="86"/>
        <v>Southbound</v>
      </c>
      <c r="U192" s="12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https://search-rtdc-monitor-bjffxe2xuh6vdkpspy63sjmuny.us-east-1.es.amazonaws.com/_plugin/kibana/#/discover/Steve-Slow-Train-Analysis-(2080s-and-2083s)?_g=(refreshInterval:(display:Off,section:0,value:0),time:(from:'2016-09-04 20:38:14-0600',mode:absolute,to:'2016-09-04 22:58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92" s="54" t="str">
        <f t="shared" si="88"/>
        <v>N</v>
      </c>
      <c r="X192" s="120">
        <f t="shared" si="89"/>
        <v>1</v>
      </c>
      <c r="Y192" s="69">
        <f t="shared" si="90"/>
        <v>5.8608000000000002</v>
      </c>
      <c r="Z192" s="69">
        <f t="shared" si="91"/>
        <v>6.9599999999999995E-2</v>
      </c>
      <c r="AA192" s="69">
        <f t="shared" si="92"/>
        <v>5.7911999999999999</v>
      </c>
      <c r="AB192" s="66" t="e">
        <f>VLOOKUP(A192,Enforcements!$C$7:$J$21,8,0)</f>
        <v>#N/A</v>
      </c>
      <c r="AC192" s="62" t="e">
        <f>VLOOKUP(A192,Enforcements!$C$7:$E$21,3,0)</f>
        <v>#N/A</v>
      </c>
      <c r="AD192" s="63" t="str">
        <f t="shared" si="93"/>
        <v>1832-04</v>
      </c>
      <c r="AE192" s="99" t="str">
        <f t="shared" si="94"/>
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</c>
      <c r="AF192" s="96" t="str">
        <f t="shared" si="95"/>
        <v>"C:\Program Files (x86)\AstroGrep\AstroGrep.exe" /spath="%USERPROFILE%\AppData\Local\Temp\OnboardLogs" /stypes="*4030*20160905*" /stext=" 03:.+((SYSTEM_STATE.+slice.+state.+changed )|(ment ac)|(system.+state.+changed )|(\|lc)|(penalty)|(\[timeout)|(PRM\|1\|D)|(kpr)|(kdp))" /e /r /s</v>
      </c>
      <c r="AG192" s="1" t="str">
        <f t="shared" si="96"/>
        <v>NW</v>
      </c>
      <c r="AH192" s="100" t="str">
        <f t="shared" si="80"/>
        <v>"%USERPROFILE%\Documents\GitHub\eaglep3\Utilities\RefineRTDCRunTimes.py" --tripid 1832-04 --locoid 4030 --swversion DE.1.0.7.0 --startMP 300:58608 --initTime 2016-09-04T21:38:14 --startdatetime 2016-09-04T21:40:16 --delay 1 --endMP 204:696 --enddatetime 2016-09-04T21:58:16 --enforcementcount 0 &gt;&gt;C:\Users\stu\Documents\GitHub\eaglep3-reporting\EC\2016-09-04-refined-times.txt</v>
      </c>
      <c r="AI192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{"issue":{"subject":"","project_id":79,"tracker_id":40,"status_id":1,"priority_id":2,"assigned_to_id":23,"start_date":"2016-09-04","description":"","custom_fields":[{"id":1,"name":"Subdivision","value":"NW"},{"id":4,"name":"Milepost","value":"5.7912"},{"id":17,"name":"Train ID","value":"1832-04"},{"id":16,"name":"Locomotive ID","value":"4030"},{"id":130,"name":"Impact","value":""},{"id":150,"name":"Time of Event (Mountain Time)","value":"21:58:16"},{"id":151,"name":"Denver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544</v>
      </c>
      <c r="B193" s="7">
        <v>4029</v>
      </c>
      <c r="C193" s="24" t="s">
        <v>112</v>
      </c>
      <c r="D193" s="24" t="s">
        <v>625</v>
      </c>
      <c r="E193" s="15">
        <v>42617.923738425925</v>
      </c>
      <c r="F193" s="15">
        <v>42617.931504629632</v>
      </c>
      <c r="G193" s="7">
        <v>1</v>
      </c>
      <c r="H193" s="15" t="s">
        <v>309</v>
      </c>
      <c r="I193" s="15">
        <v>42617.942893518521</v>
      </c>
      <c r="J193" s="7">
        <v>0</v>
      </c>
      <c r="K193" s="132" t="str">
        <f t="shared" si="84"/>
        <v>4029/4030</v>
      </c>
      <c r="L193" s="24" t="str">
        <f>VLOOKUP(A193,'Trips&amp;Operators'!$C$1:$E$10000,3,FALSE)</f>
        <v>ISHMAEL</v>
      </c>
      <c r="M193" s="6">
        <f t="shared" si="85"/>
        <v>1.1388888888177462E-2</v>
      </c>
      <c r="N193" s="7">
        <f t="shared" si="97"/>
        <v>16.399999998975545</v>
      </c>
      <c r="O193" s="7"/>
      <c r="P193" s="7"/>
      <c r="Q193" s="25"/>
      <c r="R193" s="25"/>
      <c r="S193" s="37">
        <f t="shared" si="98"/>
        <v>1</v>
      </c>
      <c r="T193" s="52" t="str">
        <f t="shared" si="86"/>
        <v>NorthBound</v>
      </c>
      <c r="U193" s="12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https://search-rtdc-monitor-bjffxe2xuh6vdkpspy63sjmuny.us-east-1.es.amazonaws.com/_plugin/kibana/#/discover/Steve-Slow-Train-Analysis-(2080s-and-2083s)?_g=(refreshInterval:(display:Off,section:0,value:0),time:(from:'2016-09-04 21:10:11-0600',mode:absolute,to:'2016-09-04 23:37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93" s="54" t="str">
        <f t="shared" si="88"/>
        <v>N</v>
      </c>
      <c r="X193" s="120">
        <f t="shared" si="89"/>
        <v>1</v>
      </c>
      <c r="Y193" s="69">
        <f t="shared" si="90"/>
        <v>9.7199999999999995E-2</v>
      </c>
      <c r="Z193" s="69">
        <f t="shared" si="91"/>
        <v>5.8929</v>
      </c>
      <c r="AA193" s="69">
        <f t="shared" si="92"/>
        <v>5.7957000000000001</v>
      </c>
      <c r="AB193" s="66" t="e">
        <f>VLOOKUP(A193,Enforcements!$C$7:$J$21,8,0)</f>
        <v>#N/A</v>
      </c>
      <c r="AC193" s="62" t="e">
        <f>VLOOKUP(A193,Enforcements!$C$7:$E$21,3,0)</f>
        <v>#N/A</v>
      </c>
      <c r="AD193" s="63" t="str">
        <f t="shared" si="93"/>
        <v>1833-04</v>
      </c>
      <c r="AE193" s="99" t="str">
        <f t="shared" si="94"/>
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</c>
      <c r="AF193" s="96" t="str">
        <f t="shared" si="95"/>
        <v>"C:\Program Files (x86)\AstroGrep\AstroGrep.exe" /spath="%USERPROFILE%\AppData\Local\Temp\OnboardLogs" /stypes="*4029*20160905*" /stext=" 04:.+((SYSTEM_STATE.+slice.+state.+changed )|(ment ac)|(system.+state.+changed )|(\|lc)|(penalty)|(\[timeout)|(PRM\|1\|D)|(kpr)|(kdp))" /e /r /s</v>
      </c>
      <c r="AG193" s="1" t="str">
        <f t="shared" si="96"/>
        <v>NW</v>
      </c>
      <c r="AH193" s="100" t="str">
        <f t="shared" si="80"/>
        <v>"%USERPROFILE%\Documents\GitHub\eaglep3\Utilities\RefineRTDCRunTimes.py" --tripid 1833-04 --locoid 4029 --swversion DE.1.0.7.0 --startMP 204:972 --initTime 2016-09-04T22:10:11 --startdatetime 2016-09-04T22:21:22 --delay 1 --endMP 300:58929 --enddatetime 2016-09-04T22:37:46 --enforcementcount 0 &gt;&gt;C:\Users\stu\Documents\GitHub\eaglep3-reporting\EC\2016-09-04-refined-times.txt</v>
      </c>
      <c r="AI193" s="149" t="str">
        <f t="shared" si="81"/>
        <v>echo {"issue":{"subject":"","project_id":79,"tracker_id":40,"status_id":1,"priority_id":2,"assigned_to_id":23,"start_date":"2016-09-04","description":"","custom_fields":[{"id":1,"name":"Subdivision","value":"NW"},{"id":4,"name":"Milepost","value":"5.7957"},{"id":17,"name":"Train ID","value":"1833-04"},{"id":16,"name":"Locomotive ID","value":"4029"},{"id":130,"name":"Impact","value":""},{"id":150,"name":"Time of Event (Mountain Time)","value":"22:37:46"},{"id":151,"name":"Denver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529</v>
      </c>
      <c r="B194" s="7">
        <v>4016</v>
      </c>
      <c r="C194" s="24" t="s">
        <v>112</v>
      </c>
      <c r="D194" s="24" t="s">
        <v>287</v>
      </c>
      <c r="E194" s="15">
        <v>42617.820173611108</v>
      </c>
      <c r="F194" s="15">
        <v>25568.958333333332</v>
      </c>
      <c r="G194" s="7">
        <v>1</v>
      </c>
      <c r="H194" s="15" t="s">
        <v>670</v>
      </c>
      <c r="I194" s="15">
        <v>25568.958333333332</v>
      </c>
      <c r="J194" s="7">
        <v>0</v>
      </c>
      <c r="K194" s="132" t="str">
        <f t="shared" si="84"/>
        <v>4015/4016</v>
      </c>
      <c r="L194" s="24" t="str">
        <f>VLOOKUP(A194,'Trips&amp;Operators'!$C$1:$E$10000,3,FALSE)</f>
        <v>SHOOK</v>
      </c>
      <c r="M194" s="6">
        <f t="shared" si="85"/>
        <v>0</v>
      </c>
      <c r="N194" s="7">
        <f t="shared" si="97"/>
        <v>0</v>
      </c>
      <c r="O194" s="7"/>
      <c r="P194" s="7"/>
      <c r="Q194" s="25"/>
      <c r="R194" s="25"/>
      <c r="S194" s="37">
        <f t="shared" si="98"/>
        <v>1</v>
      </c>
      <c r="T194" s="52" t="str">
        <f t="shared" si="86"/>
        <v>NorthBound</v>
      </c>
      <c r="U194" s="12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https://search-rtdc-monitor-bjffxe2xuh6vdkpspy63sjmuny.us-east-1.es.amazonaws.com/_plugin/kibana/#/discover/Steve-Slow-Train-Analysis-(2080s-and-2083s)?_g=(refreshInterval:(display:Off,section:0,value:0),time:(from:'2016-09-04 18:41:03-0600',mode:absolute,to:'1970-01-01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194" s="54" t="str">
        <f t="shared" si="88"/>
        <v>Y</v>
      </c>
      <c r="X194" s="120">
        <f t="shared" si="89"/>
        <v>-1526</v>
      </c>
      <c r="Y194" s="69">
        <f t="shared" si="90"/>
        <v>4.6399999999999997E-2</v>
      </c>
      <c r="Z194" s="69">
        <f t="shared" si="91"/>
        <v>2.3306</v>
      </c>
      <c r="AA194" s="69">
        <f t="shared" si="92"/>
        <v>2.2842000000000002</v>
      </c>
      <c r="AB194" s="66" t="e">
        <f>VLOOKUP(A194,Enforcements!$C$7:$J$21,8,0)</f>
        <v>#N/A</v>
      </c>
      <c r="AC194" s="62" t="e">
        <f>VLOOKUP(A194,Enforcements!$C$7:$E$21,3,0)</f>
        <v>#N/A</v>
      </c>
      <c r="AD194" s="63" t="str">
        <f t="shared" si="93"/>
        <v>0307-04</v>
      </c>
      <c r="AE194" s="99" t="str">
        <f t="shared" si="94"/>
        <v>aws s3 cp s3://rtdc.mdm.uploadarchive/RTDC4016/1969-12-31/ "%USERPROFILE%\AppData\Local\Temp\OnboardLogs"\RTDC4016\1969-12-31 --recursive &amp; "%USERPROFILE%\Documents\GitHub\mrs-test-scripts\Headless Mode &amp; Sideloading\WalkAndUnGZ.bat" "%USERPROFILE%\AppData\Local\Temp\OnboardLogs"\RTDC4016\1969-12-31 &amp; aws s3 cp s3://rtdc.mdm.uploadarchive/RTDC4016/1970-01-01/ "%USERPROFILE%\AppData\Local\Temp\OnboardLogs"\RTDC4016\1970-01-01 --recursive &amp; "%USERPROFILE%\Documents\GitHub\mrs-test-scripts\Headless Mode &amp; Sideloading\WalkAndUnGZ.bat" "%USERPROFILE%\AppData\Local\Temp\OnboardLogs"\RTDC4016\1970-01-01</v>
      </c>
      <c r="AF194" s="96" t="str">
        <f t="shared" si="95"/>
        <v>"C:\Program Files (x86)\AstroGrep\AstroGrep.exe" /spath="%USERPROFILE%\AppData\Local\Temp\OnboardLogs" /stypes="*4016*19700101*" /stext=" 05:.+((SYSTEM_STATE.+slice.+state.+changed )|(ment ac)|(system.+state.+changed )|(\|lc)|(penalty)|(\[timeout)|(PRM\|1\|D)|(kpr)|(kdp))" /e /r /s</v>
      </c>
      <c r="AG194" s="1" t="str">
        <f t="shared" si="96"/>
        <v>Other</v>
      </c>
      <c r="AH194" s="100" t="str">
        <f t="shared" si="80"/>
        <v>"%USERPROFILE%\Documents\GitHub\eaglep3\Utilities\RefineRTDCRunTimes.py" --tripid 307-04 --locoid 4016 --swversion DE.1.0.7.0 --startMP 204:464 --initTime 2016-09-04T19:41:03 --startdatetime 1969-12-31T23:00:00 --delay 1 --endMP 300:23306 --enddatetime 1969-12-31T23:00:00 --enforcementcount 0 &gt;&gt;C:\Users\stu\Documents\GitHub\eaglep3-reporting\EC\2016-09-04-refined-times.txt</v>
      </c>
      <c r="AI194" s="149" t="str">
        <f t="shared" si="81"/>
        <v>echo {"issue":{"subject":"","project_id":79,"tracker_id":40,"status_id":1,"priority_id":2,"assigned_to_id":23,"start_date":"1969-12-31","description":"","custom_fields":[{"id":1,"name":"Subdivision","value":"Other"},{"id":4,"name":"Milepost","value":"2.2842"},{"id":17,"name":"Train ID","value":"307-04"},{"id":16,"name":"Locomotive ID","value":"4016"},{"id":130,"name":"Impact","value":""},{"id":150,"name":"Time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556</v>
      </c>
      <c r="B195" s="7">
        <v>4046</v>
      </c>
      <c r="C195" s="24" t="s">
        <v>112</v>
      </c>
      <c r="D195" s="24" t="s">
        <v>175</v>
      </c>
      <c r="E195" s="15">
        <v>42618.027048611111</v>
      </c>
      <c r="F195" s="15">
        <v>42618.029178240744</v>
      </c>
      <c r="G195" s="7">
        <v>1</v>
      </c>
      <c r="H195" s="15" t="s">
        <v>671</v>
      </c>
      <c r="I195" s="15">
        <v>42618.034201388888</v>
      </c>
      <c r="J195" s="7">
        <v>0</v>
      </c>
      <c r="K195" s="132" t="str">
        <f t="shared" si="84"/>
        <v>4045/4046</v>
      </c>
      <c r="L195" s="24" t="str">
        <f>VLOOKUP(A195,'Trips&amp;Operators'!$C$1:$E$10000,3,FALSE)</f>
        <v>LEVERE</v>
      </c>
      <c r="M195" s="6">
        <f t="shared" si="85"/>
        <v>5.0231481436640024E-3</v>
      </c>
      <c r="N195" s="7">
        <f t="shared" si="97"/>
        <v>7.2333333268761635</v>
      </c>
      <c r="O195" s="7"/>
      <c r="P195" s="7"/>
      <c r="Q195" s="25"/>
      <c r="R195" s="25"/>
      <c r="S195" s="37">
        <f t="shared" si="98"/>
        <v>1</v>
      </c>
      <c r="T195" s="52" t="str">
        <f t="shared" si="86"/>
        <v>NorthBound</v>
      </c>
      <c r="U195" s="12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https://search-rtdc-monitor-bjffxe2xuh6vdkpspy63sjmuny.us-east-1.es.amazonaws.com/_plugin/kibana/#/discover/Steve-Slow-Train-Analysis-(2080s-and-2083s)?_g=(refreshInterval:(display:Off,section:0,value:0),time:(from:'2016-09-04 23:38:57-0600',mode:absolute,to:'2016-09-05 01:49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</c>
      <c r="W195" s="54" t="str">
        <f t="shared" si="88"/>
        <v>Y</v>
      </c>
      <c r="X195" s="120">
        <f t="shared" si="89"/>
        <v>2</v>
      </c>
      <c r="Y195" s="69">
        <f t="shared" si="90"/>
        <v>4.5999999999999999E-2</v>
      </c>
      <c r="Z195" s="69">
        <f t="shared" si="91"/>
        <v>2.2113</v>
      </c>
      <c r="AA195" s="69">
        <f t="shared" si="92"/>
        <v>2.1653000000000002</v>
      </c>
      <c r="AB195" s="66" t="e">
        <f>VLOOKUP(A195,Enforcements!$C$7:$J$21,8,0)</f>
        <v>#N/A</v>
      </c>
      <c r="AC195" s="62" t="e">
        <f>VLOOKUP(A195,Enforcements!$C$7:$E$21,3,0)</f>
        <v>#N/A</v>
      </c>
      <c r="AD195" s="63" t="str">
        <f t="shared" si="93"/>
        <v>0309-04</v>
      </c>
      <c r="AE195" s="99" t="str">
        <f t="shared" si="94"/>
        <v>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 &amp; aws s3 cp s3://rtdc.mdm.uploadarchive/RTDC4046/2016-09-06/ "%USERPROFILE%\AppData\Local\Temp\OnboardLogs"\RTDC4046\2016-09-06 --recursive &amp; "%USERPROFILE%\Documents\GitHub\mrs-test-scripts\Headless Mode &amp; Sideloading\WalkAndUnGZ.bat" "%USERPROFILE%\AppData\Local\Temp\OnboardLogs"\RTDC4046\2016-09-06</v>
      </c>
      <c r="AF195" s="96" t="str">
        <f t="shared" si="95"/>
        <v>"C:\Program Files (x86)\AstroGrep\AstroGrep.exe" /spath="%USERPROFILE%\AppData\Local\Temp\OnboardLogs" /stypes="*4046*20160905*" /stext=" 06:.+((SYSTEM_STATE.+slice.+state.+changed )|(ment ac)|(system.+state.+changed )|(\|lc)|(penalty)|(\[timeout)|(PRM\|1\|D)|(kpr)|(kdp))" /e /r /s</v>
      </c>
      <c r="AG195" s="1" t="str">
        <f t="shared" si="96"/>
        <v>Other</v>
      </c>
      <c r="AH195" s="100" t="str">
        <f t="shared" si="80"/>
        <v>"%USERPROFILE%\Documents\GitHub\eaglep3\Utilities\RefineRTDCRunTimes.py" --tripid 309-04 --locoid 4046 --swversion DE.1.0.7.0 --startMP 204:460 --initTime 2016-09-05T00:38:57 --startdatetime 2016-09-05T00:42:01 --delay 1 --endMP 300:22113 --enddatetime 2016-09-05T00:49:15 --enforcementcount 0 &gt;&gt;C:\Users\stu\Documents\GitHub\eaglep3-reporting\EC\2016-09-04-refined-times.txt</v>
      </c>
      <c r="AI195" s="149" t="str">
        <f t="shared" si="81"/>
        <v>echo {"issue":{"subject":"","project_id":79,"tracker_id":40,"status_id":1,"priority_id":2,"assigned_to_id":23,"start_date":"2016-09-05","description":"","custom_fields":[{"id":1,"name":"Subdivision","value":"Other"},{"id":4,"name":"Milepost","value":"2.1653"},{"id":17,"name":"Train ID","value":"309-04"},{"id":16,"name":"Locomotive ID","value":"4046"},{"id":130,"name":"Impact","value":""},{"id":150,"name":"Time of Event (Mountain Time)","value":"00:49:15"},{"id":151,"name":"Denver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558</v>
      </c>
      <c r="B196" s="7">
        <v>4009</v>
      </c>
      <c r="C196" s="24" t="s">
        <v>112</v>
      </c>
      <c r="D196" s="24" t="s">
        <v>672</v>
      </c>
      <c r="E196" s="15">
        <v>42618.0468287037</v>
      </c>
      <c r="F196" s="15">
        <v>25568.958333333332</v>
      </c>
      <c r="G196" s="7">
        <v>2</v>
      </c>
      <c r="H196" s="15" t="s">
        <v>673</v>
      </c>
      <c r="I196" s="15">
        <v>25568.958333333332</v>
      </c>
      <c r="J196" s="7">
        <v>0</v>
      </c>
      <c r="K196" s="132" t="str">
        <f t="shared" si="84"/>
        <v>4009/4010</v>
      </c>
      <c r="L196" s="24" t="str">
        <f>VLOOKUP(A196,'Trips&amp;Operators'!$C$1:$E$10000,3,FALSE)</f>
        <v>COOLAHAN</v>
      </c>
      <c r="M196" s="6">
        <f t="shared" si="85"/>
        <v>0</v>
      </c>
      <c r="N196" s="7">
        <f t="shared" si="97"/>
        <v>0</v>
      </c>
      <c r="O196" s="7"/>
      <c r="P196" s="7"/>
      <c r="Q196" s="25"/>
      <c r="R196" s="25"/>
      <c r="S196" s="37">
        <f t="shared" si="98"/>
        <v>1</v>
      </c>
      <c r="T196" s="52" t="str">
        <f t="shared" si="86"/>
        <v>NorthBound</v>
      </c>
      <c r="U196" s="12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https://search-rtdc-monitor-bjffxe2xuh6vdkpspy63sjmuny.us-east-1.es.amazonaws.com/_plugin/kibana/#/discover/Steve-Slow-Train-Analysis-(2080s-and-2083s)?_g=(refreshInterval:(display:Off,section:0,value:0),time:(from:'2016-09-05 00:07:26-0600',mode:absolute,to:'1970-01-01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96" s="54" t="str">
        <f t="shared" si="88"/>
        <v>Y</v>
      </c>
      <c r="X196" s="120">
        <f t="shared" si="89"/>
        <v>2</v>
      </c>
      <c r="Y196" s="69">
        <f t="shared" si="90"/>
        <v>5.04E-2</v>
      </c>
      <c r="Z196" s="69">
        <f t="shared" si="91"/>
        <v>2.3064</v>
      </c>
      <c r="AA196" s="69">
        <f t="shared" si="92"/>
        <v>2.2560000000000002</v>
      </c>
      <c r="AB196" s="66" t="e">
        <f>VLOOKUP(A196,Enforcements!$C$7:$J$21,8,0)</f>
        <v>#N/A</v>
      </c>
      <c r="AC196" s="62" t="e">
        <f>VLOOKUP(A196,Enforcements!$C$7:$E$21,3,0)</f>
        <v>#N/A</v>
      </c>
      <c r="AD196" s="63" t="str">
        <f t="shared" si="93"/>
        <v>0311-04</v>
      </c>
      <c r="AE196" s="99" t="str">
        <f t="shared" si="94"/>
        <v>aws s3 cp s3://rtdc.mdm.uploadarchive/RTDC4009/1969-12-31/ "%USERPROFILE%\AppData\Local\Temp\OnboardLogs"\RTDC4009\1969-12-31 --recursive &amp; "%USERPROFILE%\Documents\GitHub\mrs-test-scripts\Headless Mode &amp; Sideloading\WalkAndUnGZ.bat" "%USERPROFILE%\AppData\Local\Temp\OnboardLogs"\RTDC4009\1969-12-31 &amp; aws s3 cp s3://rtdc.mdm.uploadarchive/RTDC4009/1970-01-01/ "%USERPROFILE%\AppData\Local\Temp\OnboardLogs"\RTDC4009\1970-01-01 --recursive &amp; "%USERPROFILE%\Documents\GitHub\mrs-test-scripts\Headless Mode &amp; Sideloading\WalkAndUnGZ.bat" "%USERPROFILE%\AppData\Local\Temp\OnboardLogs"\RTDC4009\1970-01-01</v>
      </c>
      <c r="AF196" s="96" t="str">
        <f t="shared" si="95"/>
        <v>"C:\Program Files (x86)\AstroGrep\AstroGrep.exe" /spath="%USERPROFILE%\AppData\Local\Temp\OnboardLogs" /stypes="*4009*19700101*" /stext=" 05:.+((SYSTEM_STATE.+slice.+state.+changed )|(ment ac)|(system.+state.+changed )|(\|lc)|(penalty)|(\[timeout)|(PRM\|1\|D)|(kpr)|(kdp))" /e /r /s</v>
      </c>
      <c r="AG196" s="1" t="str">
        <f t="shared" si="96"/>
        <v>Other</v>
      </c>
      <c r="AH196" s="100" t="str">
        <f t="shared" si="80"/>
        <v>"%USERPROFILE%\Documents\GitHub\eaglep3\Utilities\RefineRTDCRunTimes.py" --tripid 311-04 --locoid 4009 --swversion DE.1.0.7.0 --startMP 204:504 --initTime 2016-09-05T01:07:26 --startdatetime 1969-12-31T23:00:00 --delay 2 --endMP 300:23064 --enddatetime 1969-12-31T23:00:00 --enforcementcount 0 &gt;&gt;C:\Users\stu\Documents\GitHub\eaglep3-reporting\EC\2016-09-04-refined-times.txt</v>
      </c>
      <c r="AI196" s="149" t="str">
        <f t="shared" si="81"/>
        <v>echo {"issue":{"subject":"","project_id":79,"tracker_id":40,"status_id":1,"priority_id":2,"assigned_to_id":23,"start_date":"1969-12-31","description":"","custom_fields":[{"id":1,"name":"Subdivision","value":"Other"},{"id":4,"name":"Milepost","value":"2.256"},{"id":17,"name":"Train ID","value":"311-04"},{"id":16,"name":"Locomotive ID","value":"4009"},{"id":130,"name":"Impact","value":""},{"id":150,"name":"Time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332</v>
      </c>
      <c r="B197" s="7">
        <v>4014</v>
      </c>
      <c r="C197" s="24" t="s">
        <v>112</v>
      </c>
      <c r="D197" s="24" t="s">
        <v>268</v>
      </c>
      <c r="E197" s="15">
        <v>42617.090451388889</v>
      </c>
      <c r="F197" s="15">
        <v>42617.092002314814</v>
      </c>
      <c r="G197" s="7">
        <v>1</v>
      </c>
      <c r="H197" s="15" t="s">
        <v>362</v>
      </c>
      <c r="I197" s="15">
        <v>42617.098032407404</v>
      </c>
      <c r="J197" s="7">
        <v>0</v>
      </c>
      <c r="K197" s="132" t="str">
        <f t="shared" si="84"/>
        <v>4013/4014</v>
      </c>
      <c r="L197" s="24" t="str">
        <f>VLOOKUP(A197,'Trips&amp;Operators'!$C$1:$E$10000,3,FALSE)</f>
        <v>STURGEON</v>
      </c>
      <c r="M197" s="6">
        <f t="shared" si="85"/>
        <v>6.0300925906631164E-3</v>
      </c>
      <c r="N197" s="7">
        <f t="shared" si="97"/>
        <v>8.6833333305548877</v>
      </c>
      <c r="O197" s="7"/>
      <c r="P197" s="7"/>
      <c r="Q197" s="25"/>
      <c r="R197" s="25"/>
      <c r="S197" s="37">
        <f t="shared" si="98"/>
        <v>1</v>
      </c>
      <c r="T197" s="52" t="str">
        <f t="shared" si="86"/>
        <v>NorthBound</v>
      </c>
      <c r="U197" s="12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https://search-rtdc-monitor-bjffxe2xuh6vdkpspy63sjmuny.us-east-1.es.amazonaws.com/_plugin/kibana/#/discover/Steve-Slow-Train-Analysis-(2080s-and-2083s)?_g=(refreshInterval:(display:Off,section:0,value:0),time:(from:'2016-09-04 01:10:15-0600',mode:absolute,to:'2016-09-04 03:21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7" s="54" t="str">
        <f t="shared" si="88"/>
        <v>Y</v>
      </c>
      <c r="X197" s="120">
        <f t="shared" si="89"/>
        <v>2</v>
      </c>
      <c r="Y197" s="69">
        <f t="shared" si="90"/>
        <v>4.7300000000000002E-2</v>
      </c>
      <c r="Z197" s="69">
        <f t="shared" si="91"/>
        <v>2.331</v>
      </c>
      <c r="AA197" s="69">
        <f t="shared" si="92"/>
        <v>2.2837000000000001</v>
      </c>
      <c r="AB197" s="66" t="e">
        <f>VLOOKUP(A197,Enforcements!$C$7:$J$21,8,0)</f>
        <v>#N/A</v>
      </c>
      <c r="AC197" s="62" t="e">
        <f>VLOOKUP(A197,Enforcements!$C$7:$E$21,3,0)</f>
        <v>#N/A</v>
      </c>
      <c r="AD197" s="63" t="str">
        <f t="shared" si="93"/>
        <v>0313-03</v>
      </c>
      <c r="AE197" s="99" t="str">
        <f t="shared" si="94"/>
        <v>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 &amp; 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</v>
      </c>
      <c r="AF197" s="96" t="str">
        <f t="shared" si="95"/>
        <v>"C:\Program Files (x86)\AstroGrep\AstroGrep.exe" /spath="%USERPROFILE%\AppData\Local\Temp\OnboardLogs" /stypes="*4014*20160904*" /stext=" 08:.+((SYSTEM_STATE.+slice.+state.+changed )|(ment ac)|(system.+state.+changed )|(\|lc)|(penalty)|(\[timeout)|(PRM\|1\|D)|(kpr)|(kdp))" /e /r /s</v>
      </c>
      <c r="AG197" s="1" t="str">
        <f t="shared" si="96"/>
        <v>Other</v>
      </c>
      <c r="AH197" s="100" t="str">
        <f t="shared" si="80"/>
        <v>"%USERPROFILE%\Documents\GitHub\eaglep3\Utilities\RefineRTDCRunTimes.py" --tripid 313-03 --locoid 4014 --swversion DE.1.0.7.0 --startMP 204:473 --initTime 2016-09-04T02:10:15 --startdatetime 2016-09-04T02:12:29 --delay 1 --endMP 300:23310 --enddatetime 2016-09-04T02:21:10 --enforcementcount 0 &gt;&gt;C:\Users\stu\Documents\GitHub\eaglep3-reporting\EC\2016-09-04-refined-times.txt</v>
      </c>
      <c r="AI197" s="149" t="str">
        <f t="shared" si="81"/>
        <v>echo {"issue":{"subject":"","project_id":79,"tracker_id":40,"status_id":1,"priority_id":2,"assigned_to_id":23,"start_date":"2016-09-04","description":"","custom_fields":[{"id":1,"name":"Subdivision","value":"Other"},{"id":4,"name":"Milepost","value":"2.2837"},{"id":17,"name":"Train ID","value":"313-03"},{"id":16,"name":"Locomotive ID","value":"4014"},{"id":130,"name":"Impact","value":""},{"id":150,"name":"Time of Event (Mountain Time)","value":"02:21:10"},{"id":151,"name":"Denver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560</v>
      </c>
      <c r="B198" s="7">
        <v>4018</v>
      </c>
      <c r="C198" s="24" t="s">
        <v>112</v>
      </c>
      <c r="D198" s="24" t="s">
        <v>674</v>
      </c>
      <c r="E198" s="15">
        <v>42618.071030092593</v>
      </c>
      <c r="F198" s="15">
        <v>25568.958333333332</v>
      </c>
      <c r="G198" s="7">
        <v>1</v>
      </c>
      <c r="H198" s="15" t="s">
        <v>675</v>
      </c>
      <c r="I198" s="15">
        <v>25568.958333333332</v>
      </c>
      <c r="J198" s="7">
        <v>0</v>
      </c>
      <c r="K198" s="132" t="str">
        <f t="shared" si="84"/>
        <v>4017/4018</v>
      </c>
      <c r="L198" s="24" t="str">
        <f>VLOOKUP(A198,'Trips&amp;Operators'!$C$1:$E$10000,3,FALSE)</f>
        <v>NEWELL</v>
      </c>
      <c r="M198" s="6">
        <f t="shared" si="85"/>
        <v>0</v>
      </c>
      <c r="N198" s="7">
        <f t="shared" si="97"/>
        <v>0</v>
      </c>
      <c r="O198" s="7"/>
      <c r="P198" s="7"/>
      <c r="Q198" s="25"/>
      <c r="R198" s="25"/>
      <c r="S198" s="37">
        <f t="shared" si="98"/>
        <v>1</v>
      </c>
      <c r="T198" s="52" t="str">
        <f t="shared" si="86"/>
        <v>NorthBound</v>
      </c>
      <c r="U198" s="12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https://search-rtdc-monitor-bjffxe2xuh6vdkpspy63sjmuny.us-east-1.es.amazonaws.com/_plugin/kibana/#/discover/Steve-Slow-Train-Analysis-(2080s-and-2083s)?_g=(refreshInterval:(display:Off,section:0,value:0),time:(from:'2016-09-05 00:42:17-0600',mode:absolute,to:'1970-01-01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98" s="54" t="str">
        <f t="shared" si="88"/>
        <v>Y</v>
      </c>
      <c r="X198" s="120">
        <f t="shared" si="89"/>
        <v>0</v>
      </c>
      <c r="Y198" s="69">
        <f t="shared" si="90"/>
        <v>4.4600000000000001E-2</v>
      </c>
      <c r="Z198" s="69">
        <f t="shared" si="91"/>
        <v>2.3308</v>
      </c>
      <c r="AA198" s="69">
        <f t="shared" si="92"/>
        <v>2.2862</v>
      </c>
      <c r="AB198" s="66" t="e">
        <f>VLOOKUP(A198,Enforcements!$C$7:$J$21,8,0)</f>
        <v>#N/A</v>
      </c>
      <c r="AC198" s="62" t="e">
        <f>VLOOKUP(A198,Enforcements!$C$7:$E$21,3,0)</f>
        <v>#N/A</v>
      </c>
      <c r="AD198" s="63" t="str">
        <f t="shared" si="93"/>
        <v>0313-04</v>
      </c>
      <c r="AE198" s="99" t="str">
        <f t="shared" si="94"/>
        <v>aws s3 cp s3://rtdc.mdm.uploadarchive/RTDC4018/1969-12-31/ "%USERPROFILE%\AppData\Local\Temp\OnboardLogs"\RTDC4018\1969-12-31 --recursive &amp; "%USERPROFILE%\Documents\GitHub\mrs-test-scripts\Headless Mode &amp; Sideloading\WalkAndUnGZ.bat" "%USERPROFILE%\AppData\Local\Temp\OnboardLogs"\RTDC4018\1969-12-31 &amp; aws s3 cp s3://rtdc.mdm.uploadarchive/RTDC4018/1970-01-01/ "%USERPROFILE%\AppData\Local\Temp\OnboardLogs"\RTDC4018\1970-01-01 --recursive &amp; "%USERPROFILE%\Documents\GitHub\mrs-test-scripts\Headless Mode &amp; Sideloading\WalkAndUnGZ.bat" "%USERPROFILE%\AppData\Local\Temp\OnboardLogs"\RTDC4018\1970-01-01</v>
      </c>
      <c r="AF198" s="96" t="str">
        <f t="shared" si="95"/>
        <v>"C:\Program Files (x86)\AstroGrep\AstroGrep.exe" /spath="%USERPROFILE%\AppData\Local\Temp\OnboardLogs" /stypes="*4018*19700101*" /stext=" 05:.+((SYSTEM_STATE.+slice.+state.+changed )|(ment ac)|(system.+state.+changed )|(\|lc)|(penalty)|(\[timeout)|(PRM\|1\|D)|(kpr)|(kdp))" /e /r /s</v>
      </c>
      <c r="AG198" s="1" t="str">
        <f t="shared" si="96"/>
        <v>Other</v>
      </c>
      <c r="AH198" s="100" t="str">
        <f t="shared" si="80"/>
        <v>"%USERPROFILE%\Documents\GitHub\eaglep3\Utilities\RefineRTDCRunTimes.py" --tripid 313-04 --locoid 4018 --swversion DE.1.0.7.0 --startMP 204:446 --initTime 2016-09-05T01:42:17 --startdatetime 1969-12-31T23:00:00 --delay 1 --endMP 300:23308 --enddatetime 1969-12-31T23:00:00 --enforcementcount 0 &gt;&gt;C:\Users\stu\Documents\GitHub\eaglep3-reporting\EC\2016-09-04-refined-times.txt</v>
      </c>
      <c r="AI198" s="149" t="str">
        <f t="shared" si="81"/>
        <v>echo {"issue":{"subject":"","project_id":79,"tracker_id":40,"status_id":1,"priority_id":2,"assigned_to_id":23,"start_date":"1969-12-31","description":"","custom_fields":[{"id":1,"name":"Subdivision","value":"Other"},{"id":4,"name":"Milepost","value":"2.2862"},{"id":17,"name":"Train ID","value":"313-04"},{"id":16,"name":"Locomotive ID","value":"4018"},{"id":130,"name":"Impact","value":""},{"id":150,"name":"Time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333</v>
      </c>
      <c r="B199" s="7">
        <v>4020</v>
      </c>
      <c r="C199" s="24" t="s">
        <v>112</v>
      </c>
      <c r="D199" s="24" t="s">
        <v>236</v>
      </c>
      <c r="E199" s="15">
        <v>42617.109606481485</v>
      </c>
      <c r="F199" s="15">
        <v>42617.110868055555</v>
      </c>
      <c r="G199" s="7">
        <v>1</v>
      </c>
      <c r="H199" s="15" t="s">
        <v>251</v>
      </c>
      <c r="I199" s="15">
        <v>42617.115682870368</v>
      </c>
      <c r="J199" s="7">
        <v>0</v>
      </c>
      <c r="K199" s="132" t="str">
        <f t="shared" si="84"/>
        <v>4019/4020</v>
      </c>
      <c r="L199" s="24" t="str">
        <f>VLOOKUP(A199,'Trips&amp;Operators'!$C$1:$E$10000,3,FALSE)</f>
        <v>HAITHCOX</v>
      </c>
      <c r="M199" s="6">
        <f t="shared" si="85"/>
        <v>4.8148148125619628E-3</v>
      </c>
      <c r="N199" s="7">
        <f t="shared" si="97"/>
        <v>6.9333333300892264</v>
      </c>
      <c r="O199" s="7"/>
      <c r="P199" s="7"/>
      <c r="Q199" s="25"/>
      <c r="R199" s="25"/>
      <c r="S199" s="37">
        <f t="shared" si="98"/>
        <v>1</v>
      </c>
      <c r="T199" s="52" t="str">
        <f t="shared" si="86"/>
        <v>NorthBound</v>
      </c>
      <c r="U199" s="12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https://search-rtdc-monitor-bjffxe2xuh6vdkpspy63sjmuny.us-east-1.es.amazonaws.com/_plugin/kibana/#/discover/Steve-Slow-Train-Analysis-(2080s-and-2083s)?_g=(refreshInterval:(display:Off,section:0,value:0),time:(from:'2016-09-04 01:37:50-0600',mode:absolute,to:'2016-09-04 03:46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99" s="54" t="str">
        <f t="shared" si="88"/>
        <v>Y</v>
      </c>
      <c r="X199" s="120">
        <f t="shared" si="89"/>
        <v>2</v>
      </c>
      <c r="Y199" s="69">
        <f t="shared" si="90"/>
        <v>4.4200000000000003E-2</v>
      </c>
      <c r="Z199" s="69">
        <f t="shared" si="91"/>
        <v>2.3346</v>
      </c>
      <c r="AA199" s="69">
        <f t="shared" si="92"/>
        <v>2.2904</v>
      </c>
      <c r="AB199" s="66" t="e">
        <f>VLOOKUP(A199,Enforcements!$C$7:$J$21,8,0)</f>
        <v>#N/A</v>
      </c>
      <c r="AC199" s="62" t="e">
        <f>VLOOKUP(A199,Enforcements!$C$7:$E$21,3,0)</f>
        <v>#N/A</v>
      </c>
      <c r="AD199" s="63" t="str">
        <f t="shared" si="93"/>
        <v>0315-03</v>
      </c>
      <c r="AE199" s="99" t="str">
        <f t="shared" si="94"/>
        <v>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 &amp; 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</v>
      </c>
      <c r="AF199" s="96" t="str">
        <f t="shared" si="95"/>
        <v>"C:\Program Files (x86)\AstroGrep\AstroGrep.exe" /spath="%USERPROFILE%\AppData\Local\Temp\OnboardLogs" /stypes="*4020*20160904*" /stext=" 08:.+((SYSTEM_STATE.+slice.+state.+changed )|(ment ac)|(system.+state.+changed )|(\|lc)|(penalty)|(\[timeout)|(PRM\|1\|D)|(kpr)|(kdp))" /e /r /s</v>
      </c>
      <c r="AG199" s="1" t="str">
        <f t="shared" si="96"/>
        <v>Other</v>
      </c>
      <c r="AH199" s="100" t="str">
        <f t="shared" si="80"/>
        <v>"%USERPROFILE%\Documents\GitHub\eaglep3\Utilities\RefineRTDCRunTimes.py" --tripid 315-03 --locoid 4020 --swversion DE.1.0.7.0 --startMP 204:442 --initTime 2016-09-04T02:37:50 --startdatetime 2016-09-04T02:39:39 --delay 1 --endMP 300:23346 --enddatetime 2016-09-04T02:46:35 --enforcementcount 0 &gt;&gt;C:\Users\stu\Documents\GitHub\eaglep3-reporting\EC\2016-09-04-refined-times.txt</v>
      </c>
      <c r="AI199" s="149" t="str">
        <f t="shared" si="81"/>
        <v>echo {"issue":{"subject":"","project_id":79,"tracker_id":40,"status_id":1,"priority_id":2,"assigned_to_id":23,"start_date":"2016-09-04","description":"","custom_fields":[{"id":1,"name":"Subdivision","value":"Other"},{"id":4,"name":"Milepost","value":"2.2904"},{"id":17,"name":"Train ID","value":"315-03"},{"id":16,"name":"Locomotive ID","value":"4020"},{"id":130,"name":"Impact","value":""},{"id":150,"name":"Time of Event (Mountain Time)","value":"02:46:35"},{"id":151,"name":"Denver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561</v>
      </c>
      <c r="B200" s="7">
        <v>4031</v>
      </c>
      <c r="C200" s="24" t="s">
        <v>112</v>
      </c>
      <c r="D200" s="24" t="s">
        <v>233</v>
      </c>
      <c r="E200" s="15">
        <v>42618.090879629628</v>
      </c>
      <c r="F200" s="15">
        <v>42618.092164351852</v>
      </c>
      <c r="G200" s="7">
        <v>1</v>
      </c>
      <c r="H200" s="15" t="s">
        <v>676</v>
      </c>
      <c r="I200" s="15">
        <v>42618.098182870373</v>
      </c>
      <c r="J200" s="7">
        <v>0</v>
      </c>
      <c r="K200" s="132" t="str">
        <f t="shared" si="84"/>
        <v>4031/4032</v>
      </c>
      <c r="L200" s="24" t="str">
        <f>VLOOKUP(A200,'Trips&amp;Operators'!$C$1:$E$10000,3,FALSE)</f>
        <v>CHANDLER</v>
      </c>
      <c r="M200" s="6">
        <f t="shared" si="85"/>
        <v>6.0185185211594217E-3</v>
      </c>
      <c r="N200" s="7">
        <f t="shared" si="97"/>
        <v>8.6666666704695672</v>
      </c>
      <c r="O200" s="7"/>
      <c r="P200" s="7"/>
      <c r="Q200" s="25"/>
      <c r="R200" s="25"/>
      <c r="S200" s="37">
        <f t="shared" si="98"/>
        <v>1</v>
      </c>
      <c r="T200" s="52" t="str">
        <f t="shared" si="86"/>
        <v>NorthBound</v>
      </c>
      <c r="U200" s="12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https://search-rtdc-monitor-bjffxe2xuh6vdkpspy63sjmuny.us-east-1.es.amazonaws.com/_plugin/kibana/#/discover/Steve-Slow-Train-Analysis-(2080s-and-2083s)?_g=(refreshInterval:(display:Off,section:0,value:0),time:(from:'2016-09-05 01:10:52-0600',mode:absolute,to:'2016-09-05 03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00" s="54" t="str">
        <f t="shared" si="88"/>
        <v>Y</v>
      </c>
      <c r="X200" s="120">
        <f t="shared" si="89"/>
        <v>0</v>
      </c>
      <c r="Y200" s="69">
        <f t="shared" si="90"/>
        <v>4.6600000000000003E-2</v>
      </c>
      <c r="Z200" s="69">
        <f t="shared" si="91"/>
        <v>2.2856000000000001</v>
      </c>
      <c r="AA200" s="69">
        <f t="shared" si="92"/>
        <v>2.2389999999999999</v>
      </c>
      <c r="AB200" s="66" t="e">
        <f>VLOOKUP(A200,Enforcements!$C$7:$J$21,8,0)</f>
        <v>#N/A</v>
      </c>
      <c r="AC200" s="62" t="e">
        <f>VLOOKUP(A200,Enforcements!$C$7:$E$21,3,0)</f>
        <v>#N/A</v>
      </c>
      <c r="AD200" s="63" t="str">
        <f t="shared" si="93"/>
        <v>0315-04</v>
      </c>
      <c r="AE200" s="99" t="str">
        <f t="shared" si="94"/>
        <v>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 &amp; aws s3 cp s3://rtdc.mdm.uploadarchive/RTDC4031/2016-09-06/ "%USERPROFILE%\AppData\Local\Temp\OnboardLogs"\RTDC4031\2016-09-06 --recursive &amp; "%USERPROFILE%\Documents\GitHub\mrs-test-scripts\Headless Mode &amp; Sideloading\WalkAndUnGZ.bat" "%USERPROFILE%\AppData\Local\Temp\OnboardLogs"\RTDC4031\2016-09-06</v>
      </c>
      <c r="AF200" s="96" t="str">
        <f t="shared" si="95"/>
        <v>"C:\Program Files (x86)\AstroGrep\AstroGrep.exe" /spath="%USERPROFILE%\AppData\Local\Temp\OnboardLogs" /stypes="*4031*20160905*" /stext=" 08:.+((SYSTEM_STATE.+slice.+state.+changed )|(ment ac)|(system.+state.+changed )|(\|lc)|(penalty)|(\[timeout)|(PRM\|1\|D)|(kpr)|(kdp))" /e /r /s</v>
      </c>
      <c r="AG200" s="1" t="str">
        <f t="shared" si="96"/>
        <v>Other</v>
      </c>
      <c r="AH200" s="100" t="str">
        <f t="shared" si="80"/>
        <v>"%USERPROFILE%\Documents\GitHub\eaglep3\Utilities\RefineRTDCRunTimes.py" --tripid 315-04 --locoid 4031 --swversion DE.1.0.7.0 --startMP 204:466 --initTime 2016-09-05T02:10:52 --startdatetime 2016-09-05T02:12:43 --delay 1 --endMP 300:22856 --enddatetime 2016-09-05T02:21:23 --enforcementcount 0 &gt;&gt;C:\Users\stu\Documents\GitHub\eaglep3-reporting\EC\2016-09-04-refined-times.txt</v>
      </c>
      <c r="AI200" s="149" t="str">
        <f t="shared" si="81"/>
        <v>echo {"issue":{"subject":"","project_id":79,"tracker_id":40,"status_id":1,"priority_id":2,"assigned_to_id":23,"start_date":"2016-09-05","description":"","custom_fields":[{"id":1,"name":"Subdivision","value":"Other"},{"id":4,"name":"Milepost","value":"2.239"},{"id":17,"name":"Train ID","value":"315-04"},{"id":16,"name":"Locomotive ID","value":"4031"},{"id":130,"name":"Impact","value":""},{"id":150,"name":"Time of Event (Mountain Time)","value":"02:21:23"},{"id":151,"name":"Denver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547</v>
      </c>
      <c r="B201" s="7">
        <v>4030</v>
      </c>
      <c r="C201" s="24" t="s">
        <v>112</v>
      </c>
      <c r="D201" s="24" t="s">
        <v>615</v>
      </c>
      <c r="E201" s="15">
        <v>42617.943958333337</v>
      </c>
      <c r="F201" s="15">
        <v>42617.945208333331</v>
      </c>
      <c r="G201" s="7">
        <v>1</v>
      </c>
      <c r="H201" s="15" t="s">
        <v>630</v>
      </c>
      <c r="I201" s="15">
        <v>42617.950486111113</v>
      </c>
      <c r="J201" s="7">
        <v>0</v>
      </c>
      <c r="K201" s="132" t="str">
        <f t="shared" si="84"/>
        <v>4029/4030</v>
      </c>
      <c r="L201" s="24" t="str">
        <f>VLOOKUP(A201,'Trips&amp;Operators'!$C$1:$E$10000,3,FALSE)</f>
        <v>ISHMAEL</v>
      </c>
      <c r="M201" s="6">
        <f t="shared" si="85"/>
        <v>5.2777777818846516E-3</v>
      </c>
      <c r="N201" s="7">
        <f t="shared" si="97"/>
        <v>7.6000000059138983</v>
      </c>
      <c r="O201" s="7"/>
      <c r="P201" s="7"/>
      <c r="Q201" s="25"/>
      <c r="R201" s="25"/>
      <c r="S201" s="37">
        <f t="shared" si="98"/>
        <v>0</v>
      </c>
      <c r="T201" s="52" t="str">
        <f t="shared" si="86"/>
        <v>Southbound</v>
      </c>
      <c r="U201" s="12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https://search-rtdc-monitor-bjffxe2xuh6vdkpspy63sjmuny.us-east-1.es.amazonaws.com/_plugin/kibana/#/discover/Steve-Slow-Train-Analysis-(2080s-and-2083s)?_g=(refreshInterval:(display:Off,section:0,value:0),time:(from:'2016-09-04 21:39:18-0600',mode:absolute,to:'2016-09-04 23:48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201" s="54" t="str">
        <f t="shared" si="88"/>
        <v>Y</v>
      </c>
      <c r="X201" s="120">
        <f t="shared" si="89"/>
        <v>1587</v>
      </c>
      <c r="Y201" s="69">
        <f t="shared" si="90"/>
        <v>5.8613</v>
      </c>
      <c r="Z201" s="69">
        <f t="shared" si="91"/>
        <v>2.1850000000000001</v>
      </c>
      <c r="AA201" s="69">
        <f t="shared" si="92"/>
        <v>3.6762999999999999</v>
      </c>
      <c r="AB201" s="66" t="e">
        <f>VLOOKUP(A201,Enforcements!$C$7:$J$21,8,0)</f>
        <v>#N/A</v>
      </c>
      <c r="AC201" s="62" t="e">
        <f>VLOOKUP(A201,Enforcements!$C$7:$E$21,3,0)</f>
        <v>#N/A</v>
      </c>
      <c r="AD201" s="63" t="str">
        <f t="shared" si="93"/>
        <v>1902-04</v>
      </c>
      <c r="AE201" s="99" t="str">
        <f t="shared" si="94"/>
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</c>
      <c r="AF201" s="96" t="str">
        <f t="shared" si="95"/>
        <v>"C:\Program Files (x86)\AstroGrep\AstroGrep.exe" /spath="%USERPROFILE%\AppData\Local\Temp\OnboardLogs" /stypes="*4030*20160905*" /stext=" 04:.+((SYSTEM_STATE.+slice.+state.+changed )|(ment ac)|(system.+state.+changed )|(\|lc)|(penalty)|(\[timeout)|(PRM\|1\|D)|(kpr)|(kdp))" /e /r /s</v>
      </c>
      <c r="AG201" s="1" t="str">
        <f t="shared" si="96"/>
        <v>Other</v>
      </c>
      <c r="AH201" s="100" t="str">
        <f t="shared" si="80"/>
        <v>"%USERPROFILE%\Documents\GitHub\eaglep3\Utilities\RefineRTDCRunTimes.py" --tripid 1902-04 --locoid 4030 --swversion DE.1.0.7.0 --startMP 300:58613 --initTime 2016-09-04T22:39:18 --startdatetime 2016-09-04T22:41:06 --delay 1 --endMP 300:21850 --enddatetime 2016-09-04T22:48:42 --enforcementcount 0 &gt;&gt;C:\Users\stu\Documents\GitHub\eaglep3-reporting\EC\2016-09-04-refined-times.txt</v>
      </c>
      <c r="AI201" s="149" t="str">
        <f t="shared" si="81"/>
        <v>echo {"issue":{"subject":"","project_id":79,"tracker_id":40,"status_id":1,"priority_id":2,"assigned_to_id":23,"start_date":"2016-09-04","description":"","custom_fields":[{"id":1,"name":"Subdivision","value":"Other"},{"id":4,"name":"Milepost","value":"3.6763"},{"id":17,"name":"Train ID","value":"1902-04"},{"id":16,"name":"Locomotive ID","value":"4030"},{"id":130,"name":"Impact","value":""},{"id":150,"name":"Time of Event (Mountain Time)","value":"22:48:42"},{"id":151,"name":"Denver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517</v>
      </c>
      <c r="B202" s="7">
        <v>4031</v>
      </c>
      <c r="C202" s="24" t="s">
        <v>112</v>
      </c>
      <c r="D202" s="24" t="s">
        <v>677</v>
      </c>
      <c r="E202" s="15">
        <v>42617.759270833332</v>
      </c>
      <c r="F202" s="15">
        <v>42617.777314814812</v>
      </c>
      <c r="G202" s="7">
        <v>2</v>
      </c>
      <c r="H202" s="15" t="s">
        <v>345</v>
      </c>
      <c r="I202" s="15">
        <v>42617.785115740742</v>
      </c>
      <c r="J202" s="7">
        <v>0</v>
      </c>
      <c r="K202" s="132" t="str">
        <f t="shared" si="84"/>
        <v>4031/4032</v>
      </c>
      <c r="L202" s="24" t="str">
        <f>VLOOKUP(A202,'Trips&amp;Operators'!$C$1:$E$10000,3,FALSE)</f>
        <v>STEWART</v>
      </c>
      <c r="M202" s="6">
        <f t="shared" si="85"/>
        <v>7.8009259304963052E-3</v>
      </c>
      <c r="N202" s="7">
        <f t="shared" si="97"/>
        <v>11.23333333991468</v>
      </c>
      <c r="O202" s="7"/>
      <c r="P202" s="7"/>
      <c r="Q202" s="25"/>
      <c r="R202" s="25"/>
      <c r="S202" s="37">
        <f t="shared" si="98"/>
        <v>0</v>
      </c>
      <c r="T202" s="52" t="e">
        <f t="shared" si="86"/>
        <v>#VALUE!</v>
      </c>
      <c r="U202" s="12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https://search-rtdc-monitor-bjffxe2xuh6vdkpspy63sjmuny.us-east-1.es.amazonaws.com/_plugin/kibana/#/discover/Steve-Slow-Train-Analysis-(2080s-and-2083s)?_g=(refreshInterval:(display:Off,section:0,value:0),time:(from:'2016-09-04 17:13:21-0600',mode:absolute,to:'2016-09-04 19:50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02" s="54" t="str">
        <f t="shared" si="88"/>
        <v>Y</v>
      </c>
      <c r="X202" s="120" t="e">
        <f t="shared" si="89"/>
        <v>#VALUE!</v>
      </c>
      <c r="Y202" s="69">
        <f t="shared" si="90"/>
        <v>0.14879999999999999</v>
      </c>
      <c r="Z202" s="69">
        <f t="shared" si="91"/>
        <v>0.1492</v>
      </c>
      <c r="AA202" s="69">
        <f t="shared" ref="AA202:AA203" si="99">ABS(Z202-Y202)</f>
        <v>4.0000000000001146E-4</v>
      </c>
      <c r="AB202" s="66" t="e">
        <f>VLOOKUP(A202,Enforcements!$C$7:$J$21,8,0)</f>
        <v>#N/A</v>
      </c>
      <c r="AC202" s="62" t="e">
        <f>VLOOKUP(A202,Enforcements!$C$7:$E$21,3,0)</f>
        <v>#N/A</v>
      </c>
      <c r="AD202" s="63" t="str">
        <f t="shared" si="93"/>
        <v>56-04</v>
      </c>
      <c r="AE202" s="99" t="str">
        <f t="shared" si="94"/>
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</c>
      <c r="AF202" s="96" t="str">
        <f t="shared" si="95"/>
        <v>"C:\Program Files (x86)\AstroGrep\AstroGrep.exe" /spath="%USERPROFILE%\AppData\Local\Temp\OnboardLogs" /stypes="*4031*20160905*" /stext=" 00:.+((SYSTEM_STATE.+slice.+state.+changed )|(ment ac)|(system.+state.+changed )|(\|lc)|(penalty)|(\[timeout)|(PRM\|1\|D)|(kpr)|(kdp))" /e /r /s</v>
      </c>
      <c r="AG202" s="1" t="str">
        <f t="shared" si="96"/>
        <v>Other</v>
      </c>
      <c r="AH202" s="100" t="str">
        <f t="shared" si="80"/>
        <v>"%USERPROFILE%\Documents\GitHub\eaglep3\Utilities\RefineRTDCRunTimes.py" --tripid 56-04 --locoid 4031 --swversion DE.1.0.7.0 --startMP 204:1488 --initTime 2016-09-04T18:13:21 --startdatetime 2016-09-04T18:39:20 --delay 2 --endMP 204:1492 --enddatetime 2016-09-04T18:50:34 --enforcementcount 0 &gt;&gt;C:\Users\stu\Documents\GitHub\eaglep3-reporting\EC\2016-09-04-refined-times.txt</v>
      </c>
      <c r="AI202" s="149" t="str">
        <f t="shared" si="81"/>
        <v>echo {"issue":{"subject":"","project_id":79,"tracker_id":40,"status_id":1,"priority_id":2,"assigned_to_id":23,"start_date":"2016-09-04","description":"","custom_fields":[{"id":1,"name":"Subdivision","value":"Other"},{"id":4,"name":"Milepost","value":"0.000400000000000011"},{"id":17,"name":"Train ID","value":"56-04"},{"id":16,"name":"Locomotive ID","value":"4031"},{"id":130,"name":"Impact","value":""},{"id":150,"name":"Time of Event (Mountain Time)","value":"18:50:34"},{"id":151,"name":"Denver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522</v>
      </c>
      <c r="B203" s="7">
        <v>4002</v>
      </c>
      <c r="C203" s="24" t="s">
        <v>112</v>
      </c>
      <c r="D203" s="24" t="s">
        <v>678</v>
      </c>
      <c r="E203" s="15">
        <v>42617.790775462963</v>
      </c>
      <c r="F203" s="15">
        <v>25568.958333333332</v>
      </c>
      <c r="G203" s="7">
        <v>1</v>
      </c>
      <c r="H203" s="15" t="s">
        <v>362</v>
      </c>
      <c r="I203" s="15">
        <v>25568.958333333332</v>
      </c>
      <c r="J203" s="7">
        <v>0</v>
      </c>
      <c r="K203" s="132" t="str">
        <f t="shared" si="84"/>
        <v>4001/4002</v>
      </c>
      <c r="L203" s="24" t="str">
        <f>VLOOKUP(A203,'Trips&amp;Operators'!$C$1:$E$10000,3,FALSE)</f>
        <v>MOSES</v>
      </c>
      <c r="M203" s="6">
        <f t="shared" si="85"/>
        <v>0</v>
      </c>
      <c r="N203" s="7">
        <f t="shared" si="97"/>
        <v>0</v>
      </c>
      <c r="O203" s="7"/>
      <c r="P203" s="7"/>
      <c r="Q203" s="25"/>
      <c r="R203" s="25"/>
      <c r="S203" s="37">
        <f t="shared" si="98"/>
        <v>0</v>
      </c>
      <c r="T203" s="52" t="e">
        <f t="shared" si="86"/>
        <v>#VALUE!</v>
      </c>
      <c r="U203" s="12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https://search-rtdc-monitor-bjffxe2xuh6vdkpspy63sjmuny.us-east-1.es.amazonaws.com/_plugin/kibana/#/discover/Steve-Slow-Train-Analysis-(2080s-and-2083s)?_g=(refreshInterval:(display:Off,section:0,value:0),time:(from:'2016-09-04 17:58:43-0600',mode:absolute,to:'1970-01-01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03" s="54" t="str">
        <f t="shared" si="88"/>
        <v>Y</v>
      </c>
      <c r="X203" s="120" t="e">
        <f t="shared" si="89"/>
        <v>#VALUE!</v>
      </c>
      <c r="Y203" s="69">
        <f t="shared" si="90"/>
        <v>6.4100000000000004E-2</v>
      </c>
      <c r="Z203" s="69">
        <f t="shared" si="91"/>
        <v>2.331</v>
      </c>
      <c r="AA203" s="69">
        <f t="shared" si="99"/>
        <v>2.2669000000000001</v>
      </c>
      <c r="AB203" s="66" t="e">
        <f>VLOOKUP(A203,Enforcements!$C$7:$J$21,8,0)</f>
        <v>#N/A</v>
      </c>
      <c r="AC203" s="62" t="e">
        <f>VLOOKUP(A203,Enforcements!$C$7:$E$21,3,0)</f>
        <v>#N/A</v>
      </c>
      <c r="AD203" s="63" t="str">
        <f t="shared" si="93"/>
        <v>57-04</v>
      </c>
      <c r="AE203" s="99" t="str">
        <f t="shared" si="94"/>
        <v>aws s3 cp s3://rtdc.mdm.uploadarchive/RTDC4002/1969-12-31/ "%USERPROFILE%\AppData\Local\Temp\OnboardLogs"\RTDC4002\1969-12-31 --recursive &amp; "%USERPROFILE%\Documents\GitHub\mrs-test-scripts\Headless Mode &amp; Sideloading\WalkAndUnGZ.bat" "%USERPROFILE%\AppData\Local\Temp\OnboardLogs"\RTDC4002\1969-12-31 &amp; aws s3 cp s3://rtdc.mdm.uploadarchive/RTDC4002/1970-01-01/ "%USERPROFILE%\AppData\Local\Temp\OnboardLogs"\RTDC4002\1970-01-01 --recursive &amp; "%USERPROFILE%\Documents\GitHub\mrs-test-scripts\Headless Mode &amp; Sideloading\WalkAndUnGZ.bat" "%USERPROFILE%\AppData\Local\Temp\OnboardLogs"\RTDC4002\1970-01-01</v>
      </c>
      <c r="AF203" s="96" t="str">
        <f t="shared" si="95"/>
        <v>"C:\Program Files (x86)\AstroGrep\AstroGrep.exe" /spath="%USERPROFILE%\AppData\Local\Temp\OnboardLogs" /stypes="*4002*19700101*" /stext=" 05:.+((SYSTEM_STATE.+slice.+state.+changed )|(ment ac)|(system.+state.+changed )|(\|lc)|(penalty)|(\[timeout)|(PRM\|1\|D)|(kpr)|(kdp))" /e /r /s</v>
      </c>
      <c r="AG203" s="1" t="str">
        <f t="shared" si="96"/>
        <v>Other</v>
      </c>
      <c r="AH203" s="100" t="str">
        <f t="shared" ref="AH203" si="100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57-04 --locoid 4002 --swversion DE.1.0.7.0 --startMP 204:641 --initTime 2016-09-04T18:58:43 --startdatetime 1969-12-31T23:00:00 --delay 1 --endMP 300:23310 --enddatetime 1969-12-31T23:00:00 --enforcementcount 0 &gt;&gt;C:\Users\stu\Documents\GitHub\eaglep3-reporting\EC\2016-09-04-refined-times.txt</v>
      </c>
      <c r="AI203" s="149" t="str">
        <f t="shared" ref="AI203" si="101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AA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{"issue":{"subject":"","project_id":79,"tracker_id":40,"status_id":1,"priority_id":2,"assigned_to_id":23,"start_date":"1969-12-31","description":"","custom_fields":[{"id":1,"name":"Subdivision","value":"Other"},{"id":4,"name":"Milepost","value":"2.2669"},{"id":17,"name":"Train ID","value":"57-04"},{"id":16,"name":"Locomotive ID","value":"4002"},{"id":130,"name":"Impact","value":""},{"id":150,"name":"Time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/>
      <c r="B204" s="7"/>
      <c r="C204" s="24"/>
      <c r="D204" s="24"/>
      <c r="E204" s="15"/>
      <c r="F204" s="15"/>
      <c r="G204" s="7"/>
      <c r="H204" s="15"/>
      <c r="I204" s="15"/>
      <c r="J204" s="7"/>
      <c r="K204" s="132"/>
      <c r="L204" s="24"/>
      <c r="M204" s="6"/>
      <c r="N204" s="7"/>
      <c r="O204" s="7"/>
      <c r="P204" s="7"/>
      <c r="Q204" s="25"/>
      <c r="R204" s="25"/>
      <c r="S204" s="37"/>
      <c r="T204" s="52"/>
      <c r="U204" s="126"/>
      <c r="V204" s="106"/>
      <c r="W204" s="54"/>
      <c r="X204" s="120"/>
      <c r="Y204" s="69"/>
      <c r="Z204" s="69"/>
      <c r="AA204" s="69"/>
      <c r="AB204" s="66"/>
      <c r="AC204" s="62"/>
      <c r="AD204" s="63"/>
      <c r="AE204" s="99"/>
      <c r="AF204" s="96"/>
      <c r="AG204" s="1"/>
      <c r="AI204" s="149"/>
      <c r="AJ204" s="55"/>
      <c r="AK204" s="55"/>
      <c r="AL204" s="55"/>
    </row>
    <row r="205" spans="1:38" x14ac:dyDescent="0.25">
      <c r="A205" s="39"/>
      <c r="B205" s="7"/>
      <c r="C205" s="24"/>
      <c r="D205" s="24"/>
      <c r="E205" s="15"/>
      <c r="F205" s="15"/>
      <c r="G205" s="7"/>
      <c r="H205" s="15"/>
      <c r="I205" s="15"/>
      <c r="J205" s="7"/>
      <c r="K205" s="132"/>
      <c r="L205" s="24"/>
      <c r="M205" s="6"/>
      <c r="N205" s="7"/>
      <c r="O205" s="7"/>
      <c r="P205" s="7"/>
      <c r="Q205" s="25"/>
      <c r="R205" s="25"/>
      <c r="S205" s="37"/>
      <c r="T205" s="52"/>
      <c r="U205" s="126"/>
      <c r="V205" s="106"/>
      <c r="W205" s="54"/>
      <c r="X205" s="120"/>
      <c r="Y205" s="69"/>
      <c r="Z205" s="69"/>
      <c r="AA205" s="69"/>
      <c r="AB205" s="66"/>
      <c r="AC205" s="62"/>
      <c r="AD205" s="63"/>
      <c r="AE205" s="99"/>
      <c r="AF205" s="96"/>
      <c r="AG205" s="1"/>
      <c r="AI205" s="149"/>
      <c r="AJ205" s="55"/>
      <c r="AK205" s="55"/>
      <c r="AL205" s="55"/>
    </row>
    <row r="206" spans="1:38" x14ac:dyDescent="0.25">
      <c r="A206" s="39"/>
      <c r="B206" s="7"/>
      <c r="C206" s="24"/>
      <c r="D206" s="24"/>
      <c r="E206" s="15"/>
      <c r="F206" s="15"/>
      <c r="G206" s="7"/>
      <c r="H206" s="15"/>
      <c r="I206" s="15"/>
      <c r="J206" s="7"/>
      <c r="K206" s="132"/>
      <c r="L206" s="24"/>
      <c r="M206" s="6"/>
      <c r="N206" s="7"/>
      <c r="O206" s="7"/>
      <c r="P206" s="7"/>
      <c r="Q206" s="25"/>
      <c r="R206" s="25"/>
      <c r="S206" s="37"/>
      <c r="T206" s="52"/>
      <c r="U206" s="126"/>
      <c r="V206" s="106"/>
      <c r="W206" s="54"/>
      <c r="X206" s="120"/>
      <c r="Y206" s="69"/>
      <c r="Z206" s="69"/>
      <c r="AA206" s="69"/>
      <c r="AB206" s="66"/>
      <c r="AC206" s="62"/>
      <c r="AD206" s="63"/>
      <c r="AE206" s="99"/>
      <c r="AF206" s="96"/>
      <c r="AG206" s="1"/>
      <c r="AI206" s="149"/>
      <c r="AJ206" s="55"/>
      <c r="AK206" s="55"/>
      <c r="AL206" s="55"/>
    </row>
    <row r="207" spans="1:38" x14ac:dyDescent="0.25">
      <c r="A207" s="39"/>
      <c r="B207" s="7"/>
      <c r="C207" s="24"/>
      <c r="D207" s="24"/>
      <c r="E207" s="15"/>
      <c r="F207" s="15"/>
      <c r="G207" s="7"/>
      <c r="H207" s="15"/>
      <c r="I207" s="15"/>
      <c r="J207" s="7"/>
      <c r="K207" s="132"/>
      <c r="L207" s="24"/>
      <c r="M207" s="6"/>
      <c r="N207" s="7"/>
      <c r="O207" s="7"/>
      <c r="P207" s="7"/>
      <c r="Q207" s="25"/>
      <c r="R207" s="25"/>
      <c r="S207" s="37"/>
      <c r="T207" s="52"/>
      <c r="U207" s="126"/>
      <c r="V207" s="106"/>
      <c r="W207" s="54"/>
      <c r="X207" s="120"/>
      <c r="Y207" s="69"/>
      <c r="Z207" s="69"/>
      <c r="AA207" s="69"/>
      <c r="AB207" s="66"/>
      <c r="AC207" s="62"/>
      <c r="AD207" s="63"/>
      <c r="AE207" s="99"/>
      <c r="AF207" s="96"/>
      <c r="AG207" s="1"/>
      <c r="AI207" s="149"/>
      <c r="AJ207" s="55"/>
      <c r="AK207" s="55"/>
      <c r="AL207" s="55"/>
    </row>
    <row r="208" spans="1:38" x14ac:dyDescent="0.25">
      <c r="A208" s="39"/>
      <c r="B208" s="7"/>
      <c r="C208" s="24"/>
      <c r="D208" s="24"/>
      <c r="E208" s="15"/>
      <c r="F208" s="15"/>
      <c r="G208" s="7"/>
      <c r="H208" s="15"/>
      <c r="I208" s="15"/>
      <c r="J208" s="7"/>
      <c r="K208" s="132"/>
      <c r="L208" s="24"/>
      <c r="M208" s="6"/>
      <c r="N208" s="7"/>
      <c r="O208" s="7"/>
      <c r="P208" s="7"/>
      <c r="Q208" s="25"/>
      <c r="R208" s="25"/>
      <c r="S208" s="37"/>
      <c r="T208" s="52"/>
      <c r="U208" s="126"/>
      <c r="V208" s="106"/>
      <c r="W208" s="54"/>
      <c r="X208" s="120"/>
      <c r="Y208" s="69"/>
      <c r="Z208" s="69"/>
      <c r="AA208" s="69"/>
      <c r="AB208" s="66"/>
      <c r="AC208" s="62"/>
      <c r="AD208" s="63"/>
      <c r="AE208" s="99"/>
      <c r="AF208" s="96"/>
      <c r="AG208" s="1"/>
      <c r="AI208" s="149"/>
      <c r="AJ208" s="55"/>
      <c r="AK208" s="55"/>
      <c r="AL208" s="55"/>
    </row>
    <row r="209" spans="1:38" x14ac:dyDescent="0.25">
      <c r="A209" s="39"/>
      <c r="B209" s="7"/>
      <c r="C209" s="24"/>
      <c r="D209" s="24"/>
      <c r="E209" s="15"/>
      <c r="F209" s="15"/>
      <c r="G209" s="7"/>
      <c r="H209" s="15"/>
      <c r="I209" s="15"/>
      <c r="J209" s="7"/>
      <c r="K209" s="132"/>
      <c r="L209" s="24"/>
      <c r="M209" s="6"/>
      <c r="N209" s="7"/>
      <c r="O209" s="7"/>
      <c r="P209" s="7"/>
      <c r="Q209" s="25"/>
      <c r="R209" s="25"/>
      <c r="S209" s="37"/>
      <c r="T209" s="52"/>
      <c r="U209" s="126"/>
      <c r="V209" s="106"/>
      <c r="W209" s="54"/>
      <c r="X209" s="120"/>
      <c r="Y209" s="69"/>
      <c r="Z209" s="69"/>
      <c r="AA209" s="69"/>
      <c r="AB209" s="66"/>
      <c r="AC209" s="62"/>
      <c r="AD209" s="63"/>
      <c r="AE209" s="99"/>
      <c r="AF209" s="96"/>
      <c r="AG209" s="1"/>
      <c r="AI209" s="149"/>
      <c r="AJ209" s="55"/>
      <c r="AK209" s="55"/>
      <c r="AL209" s="55"/>
    </row>
    <row r="210" spans="1:38" x14ac:dyDescent="0.25">
      <c r="A210" s="39"/>
      <c r="B210" s="7"/>
      <c r="C210" s="24"/>
      <c r="D210" s="24"/>
      <c r="E210" s="15"/>
      <c r="F210" s="15"/>
      <c r="G210" s="7"/>
      <c r="H210" s="15"/>
      <c r="I210" s="15"/>
      <c r="J210" s="7"/>
      <c r="K210" s="132"/>
      <c r="L210" s="24"/>
      <c r="M210" s="6"/>
      <c r="N210" s="7"/>
      <c r="O210" s="7"/>
      <c r="P210" s="7"/>
      <c r="Q210" s="25"/>
      <c r="R210" s="25"/>
      <c r="S210" s="37"/>
      <c r="T210" s="52"/>
      <c r="U210" s="126"/>
      <c r="V210" s="106"/>
      <c r="W210" s="54"/>
      <c r="X210" s="120"/>
      <c r="Y210" s="69"/>
      <c r="Z210" s="69"/>
      <c r="AA210" s="69"/>
      <c r="AB210" s="66"/>
      <c r="AC210" s="62"/>
      <c r="AD210" s="63"/>
      <c r="AE210" s="99"/>
      <c r="AF210" s="96"/>
      <c r="AG210" s="1"/>
      <c r="AI210" s="149"/>
      <c r="AJ210" s="55"/>
      <c r="AK210" s="55"/>
      <c r="AL210" s="55"/>
    </row>
    <row r="211" spans="1:38" x14ac:dyDescent="0.25">
      <c r="A211" s="39"/>
      <c r="B211" s="7"/>
      <c r="C211" s="24"/>
      <c r="D211" s="24"/>
      <c r="E211" s="15"/>
      <c r="F211" s="15"/>
      <c r="G211" s="7"/>
      <c r="H211" s="15"/>
      <c r="I211" s="15"/>
      <c r="J211" s="7"/>
      <c r="K211" s="132"/>
      <c r="L211" s="24"/>
      <c r="M211" s="6"/>
      <c r="N211" s="7"/>
      <c r="O211" s="7"/>
      <c r="P211" s="7"/>
      <c r="Q211" s="25"/>
      <c r="R211" s="25"/>
      <c r="S211" s="37"/>
      <c r="T211" s="52"/>
      <c r="U211" s="126"/>
      <c r="V211" s="106"/>
      <c r="W211" s="54"/>
      <c r="X211" s="120"/>
      <c r="Y211" s="69"/>
      <c r="Z211" s="69"/>
      <c r="AA211" s="69"/>
      <c r="AB211" s="66"/>
      <c r="AC211" s="62"/>
      <c r="AD211" s="63"/>
      <c r="AE211" s="99"/>
      <c r="AF211" s="96"/>
      <c r="AG211" s="1"/>
      <c r="AI211" s="149"/>
      <c r="AJ211" s="55"/>
      <c r="AK211" s="55"/>
      <c r="AL211" s="55"/>
    </row>
    <row r="212" spans="1:38" x14ac:dyDescent="0.25">
      <c r="A212" s="39"/>
      <c r="B212" s="7"/>
      <c r="C212" s="24"/>
      <c r="D212" s="24"/>
      <c r="E212" s="15"/>
      <c r="F212" s="15"/>
      <c r="G212" s="7"/>
      <c r="H212" s="15"/>
      <c r="I212" s="15"/>
      <c r="J212" s="7"/>
      <c r="K212" s="132"/>
      <c r="L212" s="24"/>
      <c r="M212" s="6"/>
      <c r="N212" s="7"/>
      <c r="O212" s="7"/>
      <c r="P212" s="7"/>
      <c r="Q212" s="25"/>
      <c r="R212" s="25"/>
      <c r="S212" s="37"/>
      <c r="T212" s="52"/>
      <c r="U212" s="126"/>
      <c r="V212" s="106"/>
      <c r="W212" s="54"/>
      <c r="X212" s="120"/>
      <c r="Y212" s="69"/>
      <c r="Z212" s="69"/>
      <c r="AA212" s="69"/>
      <c r="AB212" s="66"/>
      <c r="AC212" s="62"/>
      <c r="AD212" s="63"/>
      <c r="AE212" s="99"/>
      <c r="AF212" s="96"/>
      <c r="AG212" s="1"/>
      <c r="AI212" s="149"/>
      <c r="AJ212" s="55"/>
      <c r="AK212" s="55"/>
      <c r="AL212" s="55"/>
    </row>
    <row r="213" spans="1:38" x14ac:dyDescent="0.25">
      <c r="A213" s="39"/>
      <c r="B213" s="7"/>
      <c r="C213" s="24"/>
      <c r="D213" s="24"/>
      <c r="E213" s="15"/>
      <c r="F213" s="15"/>
      <c r="G213" s="7"/>
      <c r="H213" s="15"/>
      <c r="I213" s="15"/>
      <c r="J213" s="7"/>
      <c r="K213" s="132"/>
      <c r="L213" s="24"/>
      <c r="M213" s="6"/>
      <c r="N213" s="7"/>
      <c r="O213" s="7"/>
      <c r="P213" s="7"/>
      <c r="Q213" s="25"/>
      <c r="R213" s="25"/>
      <c r="S213" s="37"/>
      <c r="T213" s="52"/>
      <c r="U213" s="126"/>
      <c r="V213" s="106"/>
      <c r="W213" s="54"/>
      <c r="X213" s="120"/>
      <c r="Y213" s="69"/>
      <c r="Z213" s="69"/>
      <c r="AA213" s="69"/>
      <c r="AB213" s="66"/>
      <c r="AC213" s="62"/>
      <c r="AD213" s="63"/>
      <c r="AE213" s="99"/>
      <c r="AF213" s="96"/>
      <c r="AG213" s="1"/>
      <c r="AI213" s="149"/>
      <c r="AJ213" s="55"/>
      <c r="AK213" s="55"/>
      <c r="AL213" s="55"/>
    </row>
    <row r="214" spans="1:38" x14ac:dyDescent="0.25">
      <c r="A214" s="39"/>
      <c r="B214" s="7"/>
      <c r="C214" s="24"/>
      <c r="D214" s="24"/>
      <c r="E214" s="15"/>
      <c r="F214" s="15"/>
      <c r="G214" s="7"/>
      <c r="H214" s="15"/>
      <c r="I214" s="15"/>
      <c r="J214" s="7"/>
      <c r="K214" s="132"/>
      <c r="L214" s="24"/>
      <c r="M214" s="6"/>
      <c r="N214" s="7"/>
      <c r="O214" s="7"/>
      <c r="P214" s="7"/>
      <c r="Q214" s="25"/>
      <c r="R214" s="25"/>
      <c r="S214" s="37"/>
      <c r="T214" s="52"/>
      <c r="U214" s="126"/>
      <c r="V214" s="106"/>
      <c r="W214" s="54"/>
      <c r="X214" s="120"/>
      <c r="Y214" s="69"/>
      <c r="Z214" s="69"/>
      <c r="AA214" s="69"/>
      <c r="AB214" s="66"/>
      <c r="AC214" s="62"/>
      <c r="AD214" s="63"/>
      <c r="AE214" s="99"/>
      <c r="AF214" s="96"/>
      <c r="AG214" s="1"/>
      <c r="AI214" s="149"/>
      <c r="AJ214" s="55"/>
      <c r="AK214" s="55"/>
      <c r="AL214" s="55"/>
    </row>
    <row r="215" spans="1:38" x14ac:dyDescent="0.25">
      <c r="A215" s="39"/>
      <c r="B215" s="7"/>
      <c r="C215" s="24"/>
      <c r="D215" s="24"/>
      <c r="E215" s="15"/>
      <c r="F215" s="15"/>
      <c r="G215" s="7"/>
      <c r="H215" s="15"/>
      <c r="I215" s="15"/>
      <c r="J215" s="7"/>
      <c r="K215" s="132"/>
      <c r="L215" s="24"/>
      <c r="M215" s="6"/>
      <c r="N215" s="7"/>
      <c r="O215" s="7"/>
      <c r="P215" s="7"/>
      <c r="Q215" s="25"/>
      <c r="R215" s="25"/>
      <c r="S215" s="37"/>
      <c r="T215" s="52"/>
      <c r="U215" s="126"/>
      <c r="V215" s="106"/>
      <c r="W215" s="54"/>
      <c r="X215" s="120"/>
      <c r="Y215" s="69"/>
      <c r="Z215" s="69"/>
      <c r="AA215" s="69"/>
      <c r="AB215" s="66"/>
      <c r="AC215" s="62"/>
      <c r="AD215" s="63"/>
      <c r="AE215" s="99"/>
      <c r="AF215" s="96"/>
      <c r="AG215" s="1"/>
      <c r="AI215" s="149"/>
      <c r="AJ215" s="55"/>
      <c r="AK215" s="55"/>
      <c r="AL215" s="55"/>
    </row>
    <row r="216" spans="1:38" x14ac:dyDescent="0.25">
      <c r="A216" s="39"/>
      <c r="B216" s="7"/>
      <c r="C216" s="24"/>
      <c r="D216" s="24"/>
      <c r="E216" s="15"/>
      <c r="F216" s="15"/>
      <c r="G216" s="7"/>
      <c r="H216" s="15"/>
      <c r="I216" s="15"/>
      <c r="J216" s="7"/>
      <c r="K216" s="132"/>
      <c r="L216" s="24"/>
      <c r="M216" s="6"/>
      <c r="N216" s="7"/>
      <c r="O216" s="7"/>
      <c r="P216" s="7"/>
      <c r="Q216" s="25"/>
      <c r="R216" s="25"/>
      <c r="S216" s="37"/>
      <c r="T216" s="52"/>
      <c r="U216" s="126"/>
      <c r="V216" s="106"/>
      <c r="W216" s="54"/>
      <c r="X216" s="120"/>
      <c r="Y216" s="69"/>
      <c r="Z216" s="69"/>
      <c r="AA216" s="69"/>
      <c r="AB216" s="66"/>
      <c r="AC216" s="62"/>
      <c r="AD216" s="63"/>
      <c r="AE216" s="99"/>
      <c r="AF216" s="96"/>
      <c r="AG216" s="1"/>
      <c r="AI216" s="149"/>
      <c r="AJ216" s="55"/>
      <c r="AK216" s="55"/>
      <c r="AL216" s="55"/>
    </row>
    <row r="217" spans="1:38" x14ac:dyDescent="0.25">
      <c r="A217" s="39"/>
      <c r="B217" s="7"/>
      <c r="C217" s="24"/>
      <c r="D217" s="24"/>
      <c r="E217" s="15"/>
      <c r="F217" s="15"/>
      <c r="G217" s="7"/>
      <c r="H217" s="15"/>
      <c r="I217" s="15"/>
      <c r="J217" s="7"/>
      <c r="K217" s="132"/>
      <c r="L217" s="24"/>
      <c r="M217" s="6"/>
      <c r="N217" s="7"/>
      <c r="O217" s="7"/>
      <c r="P217" s="7"/>
      <c r="Q217" s="25"/>
      <c r="R217" s="25"/>
      <c r="S217" s="37"/>
      <c r="T217" s="52"/>
      <c r="U217" s="126"/>
      <c r="V217" s="106"/>
      <c r="W217" s="54"/>
      <c r="X217" s="120"/>
      <c r="Y217" s="69"/>
      <c r="Z217" s="69"/>
      <c r="AA217" s="69"/>
      <c r="AB217" s="66"/>
      <c r="AC217" s="62"/>
      <c r="AD217" s="63"/>
      <c r="AE217" s="99"/>
      <c r="AF217" s="96"/>
      <c r="AG217" s="1"/>
      <c r="AI217" s="149"/>
      <c r="AJ217" s="55"/>
      <c r="AK217" s="55"/>
      <c r="AL217" s="55"/>
    </row>
    <row r="218" spans="1:38" x14ac:dyDescent="0.25">
      <c r="A218" s="39"/>
      <c r="B218" s="7"/>
      <c r="C218" s="24"/>
      <c r="D218" s="24"/>
      <c r="E218" s="15"/>
      <c r="F218" s="15"/>
      <c r="G218" s="7"/>
      <c r="H218" s="15"/>
      <c r="I218" s="15"/>
      <c r="J218" s="7"/>
      <c r="K218" s="132"/>
      <c r="L218" s="24"/>
      <c r="M218" s="6"/>
      <c r="N218" s="7"/>
      <c r="O218" s="7"/>
      <c r="P218" s="7"/>
      <c r="Q218" s="25"/>
      <c r="R218" s="25"/>
      <c r="S218" s="37"/>
      <c r="T218" s="52"/>
      <c r="U218" s="126"/>
      <c r="V218" s="106"/>
      <c r="W218" s="54"/>
      <c r="X218" s="120"/>
      <c r="Y218" s="69"/>
      <c r="Z218" s="69"/>
      <c r="AA218" s="69"/>
      <c r="AB218" s="66"/>
      <c r="AC218" s="62"/>
      <c r="AD218" s="63"/>
      <c r="AE218" s="99"/>
      <c r="AF218" s="96"/>
      <c r="AG218" s="1"/>
      <c r="AI218" s="149"/>
      <c r="AJ218" s="55"/>
      <c r="AK218" s="55"/>
      <c r="AL218" s="55"/>
    </row>
    <row r="219" spans="1:38" x14ac:dyDescent="0.25">
      <c r="A219" s="39"/>
      <c r="B219" s="7"/>
      <c r="C219" s="24"/>
      <c r="D219" s="24"/>
      <c r="E219" s="15"/>
      <c r="F219" s="15"/>
      <c r="G219" s="7"/>
      <c r="H219" s="15"/>
      <c r="I219" s="15"/>
      <c r="J219" s="7"/>
      <c r="K219" s="132"/>
      <c r="L219" s="24"/>
      <c r="M219" s="6"/>
      <c r="N219" s="7"/>
      <c r="O219" s="7"/>
      <c r="P219" s="7"/>
      <c r="Q219" s="25"/>
      <c r="R219" s="25"/>
      <c r="S219" s="37"/>
      <c r="T219" s="52"/>
      <c r="U219" s="126"/>
      <c r="V219" s="106"/>
      <c r="W219" s="54"/>
      <c r="X219" s="120"/>
      <c r="Y219" s="69"/>
      <c r="Z219" s="69"/>
      <c r="AA219" s="69"/>
      <c r="AB219" s="66"/>
      <c r="AC219" s="62"/>
      <c r="AD219" s="63"/>
      <c r="AE219" s="99"/>
      <c r="AF219" s="96"/>
      <c r="AG219" s="1"/>
      <c r="AI219" s="149"/>
      <c r="AJ219" s="55"/>
      <c r="AK219" s="55"/>
      <c r="AL219" s="55"/>
    </row>
    <row r="220" spans="1:38" x14ac:dyDescent="0.25">
      <c r="A220" s="39"/>
      <c r="B220" s="7"/>
      <c r="C220" s="24"/>
      <c r="D220" s="24"/>
      <c r="E220" s="15"/>
      <c r="F220" s="15"/>
      <c r="G220" s="7"/>
      <c r="H220" s="15"/>
      <c r="I220" s="15"/>
      <c r="J220" s="7"/>
      <c r="K220" s="132"/>
      <c r="L220" s="24"/>
      <c r="M220" s="6"/>
      <c r="N220" s="7"/>
      <c r="O220" s="7"/>
      <c r="P220" s="7"/>
      <c r="Q220" s="25"/>
      <c r="R220" s="25"/>
      <c r="S220" s="37"/>
      <c r="T220" s="52"/>
      <c r="U220" s="126"/>
      <c r="V220" s="106"/>
      <c r="W220" s="54"/>
      <c r="X220" s="120"/>
      <c r="Y220" s="69"/>
      <c r="Z220" s="69"/>
      <c r="AA220" s="69"/>
      <c r="AB220" s="66"/>
      <c r="AC220" s="62"/>
      <c r="AD220" s="63"/>
      <c r="AE220" s="99"/>
      <c r="AF220" s="96"/>
      <c r="AG220" s="1"/>
      <c r="AI220" s="149"/>
      <c r="AJ220" s="55"/>
      <c r="AK220" s="55"/>
      <c r="AL220" s="55"/>
    </row>
    <row r="221" spans="1:38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32"/>
      <c r="L221" s="24"/>
      <c r="M221" s="6"/>
      <c r="N221" s="7"/>
      <c r="O221" s="7"/>
      <c r="P221" s="7"/>
      <c r="Q221" s="25"/>
      <c r="R221" s="25"/>
      <c r="S221" s="37"/>
      <c r="T221" s="52"/>
      <c r="U221" s="126"/>
      <c r="V221" s="106"/>
      <c r="W221" s="54"/>
      <c r="X221" s="120"/>
      <c r="Y221" s="69"/>
      <c r="Z221" s="69"/>
      <c r="AA221" s="69"/>
      <c r="AB221" s="66"/>
      <c r="AC221" s="62"/>
      <c r="AD221" s="63"/>
      <c r="AE221" s="99"/>
      <c r="AF221" s="96"/>
      <c r="AG221" s="1"/>
      <c r="AI221" s="149"/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32"/>
      <c r="L222" s="24"/>
      <c r="M222" s="6"/>
      <c r="N222" s="7"/>
      <c r="O222" s="7"/>
      <c r="P222" s="7"/>
      <c r="Q222" s="25"/>
      <c r="R222" s="25"/>
      <c r="S222" s="37"/>
      <c r="T222" s="52"/>
      <c r="U222" s="126"/>
      <c r="V222" s="106"/>
      <c r="W222" s="54"/>
      <c r="X222" s="120"/>
      <c r="Y222" s="69"/>
      <c r="Z222" s="69"/>
      <c r="AA222" s="69"/>
      <c r="AB222" s="66"/>
      <c r="AC222" s="62"/>
      <c r="AD222" s="63"/>
      <c r="AE222" s="99"/>
      <c r="AF222" s="96"/>
      <c r="AG222" s="1"/>
      <c r="AI222" s="149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32"/>
      <c r="L223" s="24"/>
      <c r="M223" s="6"/>
      <c r="N223" s="7"/>
      <c r="O223" s="7"/>
      <c r="P223" s="7"/>
      <c r="Q223" s="25"/>
      <c r="R223" s="25"/>
      <c r="S223" s="37"/>
      <c r="T223" s="52"/>
      <c r="U223" s="126"/>
      <c r="V223" s="106"/>
      <c r="W223" s="54"/>
      <c r="X223" s="120"/>
      <c r="Y223" s="69"/>
      <c r="Z223" s="69"/>
      <c r="AA223" s="69"/>
      <c r="AB223" s="66"/>
      <c r="AC223" s="62"/>
      <c r="AD223" s="63"/>
      <c r="AE223" s="99"/>
      <c r="AF223" s="96"/>
      <c r="AG223" s="1"/>
      <c r="AI223" s="149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32"/>
      <c r="L224" s="24"/>
      <c r="M224" s="6"/>
      <c r="N224" s="7"/>
      <c r="O224" s="7"/>
      <c r="P224" s="7"/>
      <c r="Q224" s="25"/>
      <c r="R224" s="25"/>
      <c r="S224" s="37"/>
      <c r="T224" s="52"/>
      <c r="U224" s="126"/>
      <c r="V224" s="106"/>
      <c r="W224" s="54"/>
      <c r="X224" s="120"/>
      <c r="Y224" s="69"/>
      <c r="Z224" s="69"/>
      <c r="AA224" s="69"/>
      <c r="AB224" s="66"/>
      <c r="AC224" s="62"/>
      <c r="AD224" s="63"/>
      <c r="AE224" s="99"/>
      <c r="AF224" s="96"/>
      <c r="AG224" s="1"/>
      <c r="AI224" s="149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32"/>
      <c r="L225" s="24"/>
      <c r="M225" s="6"/>
      <c r="N225" s="7"/>
      <c r="O225" s="7"/>
      <c r="P225" s="7"/>
      <c r="Q225" s="25"/>
      <c r="R225" s="25"/>
      <c r="S225" s="37"/>
      <c r="T225" s="52"/>
      <c r="U225" s="126"/>
      <c r="V225" s="106"/>
      <c r="W225" s="54"/>
      <c r="X225" s="120"/>
      <c r="Y225" s="69"/>
      <c r="Z225" s="69"/>
      <c r="AA225" s="69"/>
      <c r="AB225" s="66"/>
      <c r="AC225" s="62"/>
      <c r="AD225" s="63"/>
      <c r="AE225" s="99"/>
      <c r="AF225" s="96"/>
      <c r="AG225" s="1"/>
      <c r="AI225" s="149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32"/>
      <c r="L226" s="24"/>
      <c r="M226" s="6"/>
      <c r="N226" s="7"/>
      <c r="O226" s="7"/>
      <c r="P226" s="7"/>
      <c r="Q226" s="25"/>
      <c r="R226" s="25"/>
      <c r="S226" s="37"/>
      <c r="T226" s="52"/>
      <c r="U226" s="126"/>
      <c r="V226" s="106"/>
      <c r="W226" s="54"/>
      <c r="X226" s="120"/>
      <c r="Y226" s="69"/>
      <c r="Z226" s="69"/>
      <c r="AA226" s="69"/>
      <c r="AB226" s="66"/>
      <c r="AC226" s="62"/>
      <c r="AD226" s="63"/>
      <c r="AE226" s="99"/>
      <c r="AF226" s="96"/>
      <c r="AG226" s="1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32"/>
      <c r="L227" s="24"/>
      <c r="M227" s="6"/>
      <c r="N227" s="7"/>
      <c r="O227" s="7"/>
      <c r="P227" s="7"/>
      <c r="Q227" s="25"/>
      <c r="R227" s="25"/>
      <c r="S227" s="37"/>
      <c r="T227" s="52"/>
      <c r="U227" s="126"/>
      <c r="V227" s="106"/>
      <c r="W227" s="54"/>
      <c r="X227" s="120"/>
      <c r="Y227" s="69"/>
      <c r="Z227" s="69"/>
      <c r="AA227" s="69"/>
      <c r="AB227" s="66"/>
      <c r="AC227" s="62"/>
      <c r="AD227" s="63"/>
      <c r="AE227" s="99"/>
      <c r="AF227" s="96"/>
      <c r="AG227" s="1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32"/>
      <c r="L228" s="24"/>
      <c r="M228" s="6"/>
      <c r="N228" s="7"/>
      <c r="O228" s="7"/>
      <c r="P228" s="7"/>
      <c r="Q228" s="25"/>
      <c r="R228" s="25"/>
      <c r="S228" s="37"/>
      <c r="T228" s="52"/>
      <c r="U228" s="126"/>
      <c r="V228" s="106"/>
      <c r="W228" s="54"/>
      <c r="X228" s="120"/>
      <c r="Y228" s="69"/>
      <c r="Z228" s="69"/>
      <c r="AA228" s="69"/>
      <c r="AB228" s="66"/>
      <c r="AC228" s="62"/>
      <c r="AD228" s="63"/>
      <c r="AE228" s="99"/>
      <c r="AF228" s="96"/>
      <c r="AG228" s="1"/>
    </row>
  </sheetData>
  <autoFilter ref="A12:AG228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259" operator="equal">
      <formula>"Y"</formula>
    </cfRule>
  </conditionalFormatting>
  <conditionalFormatting sqref="X13:X1048576">
    <cfRule type="cellIs" dxfId="7" priority="242" operator="greaterThan">
      <formula>1</formula>
    </cfRule>
  </conditionalFormatting>
  <conditionalFormatting sqref="X12:X1048576">
    <cfRule type="cellIs" dxfId="6" priority="239" operator="equal">
      <formula>0</formula>
    </cfRule>
  </conditionalFormatting>
  <conditionalFormatting sqref="A13:S228">
    <cfRule type="expression" dxfId="5" priority="235">
      <formula>$O13&gt;0</formula>
    </cfRule>
  </conditionalFormatting>
  <conditionalFormatting sqref="A13:S228">
    <cfRule type="expression" dxfId="4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AK13:AK225</xm:sqref>
        </x14:dataValidation>
        <x14:dataValidation type="list" allowBlank="1" showInputMessage="1" showErrorMessage="1">
          <x14:formula1>
            <xm:f>'Redmine List Values'!$C$2:$C$13</xm:f>
          </x14:formula1>
          <xm:sqref>AL13:AL225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72"/>
  <sheetViews>
    <sheetView topLeftCell="A2" workbookViewId="0">
      <selection activeCell="W48" sqref="W48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21.570312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.85546875" customWidth="1"/>
    <col min="12" max="12" width="11.85546875" style="30" customWidth="1"/>
    <col min="13" max="13" width="5.140625" style="114" customWidth="1"/>
    <col min="14" max="14" width="30.7109375" customWidth="1"/>
    <col min="15" max="15" width="5" hidden="1" customWidth="1"/>
    <col min="16" max="16" width="5.7109375" style="97" customWidth="1"/>
    <col min="17" max="17" width="5.7109375" style="109" customWidth="1"/>
    <col min="18" max="18" width="6" style="94" customWidth="1"/>
    <col min="19" max="19" width="5.28515625" customWidth="1"/>
    <col min="20" max="20" width="20" style="50" bestFit="1" customWidth="1"/>
    <col min="21" max="21" width="5.28515625" customWidth="1"/>
    <col min="22" max="22" width="6.7109375" customWidth="1"/>
  </cols>
  <sheetData>
    <row r="1" spans="1:26" s="23" customFormat="1" ht="15.75" hidden="1" thickBot="1" x14ac:dyDescent="0.3">
      <c r="A1" s="8"/>
      <c r="F1" s="2"/>
      <c r="G1" s="2"/>
      <c r="H1" s="2"/>
      <c r="J1" s="2"/>
      <c r="L1" s="30"/>
      <c r="M1" s="114"/>
      <c r="P1" s="97"/>
      <c r="Q1" s="109"/>
      <c r="R1" s="94"/>
      <c r="T1" s="50"/>
    </row>
    <row r="2" spans="1:26" s="23" customFormat="1" x14ac:dyDescent="0.25">
      <c r="A2" s="8"/>
      <c r="F2" s="2"/>
      <c r="G2" s="2"/>
      <c r="H2" s="2"/>
      <c r="J2" s="2"/>
      <c r="K2" s="133" t="s">
        <v>87</v>
      </c>
      <c r="L2" s="134"/>
      <c r="M2" s="135">
        <f>COUNTIF($M$7:$M$401,"=Y")</f>
        <v>8</v>
      </c>
      <c r="N2" s="136"/>
      <c r="P2" s="97"/>
      <c r="Q2" s="109"/>
      <c r="R2" s="94"/>
      <c r="T2" s="50"/>
    </row>
    <row r="3" spans="1:26" s="23" customFormat="1" ht="15.75" thickBot="1" x14ac:dyDescent="0.3">
      <c r="A3" s="8"/>
      <c r="F3" s="2"/>
      <c r="G3" s="2"/>
      <c r="H3" s="2"/>
      <c r="J3" s="2"/>
      <c r="K3" s="137" t="s">
        <v>88</v>
      </c>
      <c r="L3" s="138"/>
      <c r="M3" s="139">
        <f>COUNTA($M$7:$M$401)-M2</f>
        <v>36</v>
      </c>
      <c r="N3" s="136"/>
      <c r="P3" s="97"/>
      <c r="Q3" s="109"/>
      <c r="R3" s="94"/>
      <c r="T3" s="50"/>
    </row>
    <row r="4" spans="1:26" s="23" customFormat="1" x14ac:dyDescent="0.25">
      <c r="A4" s="8"/>
      <c r="F4" s="2"/>
      <c r="G4" s="2"/>
      <c r="H4" s="2"/>
      <c r="J4" s="2"/>
      <c r="L4" s="30"/>
      <c r="M4" s="114"/>
      <c r="P4" s="97"/>
      <c r="Q4" s="109"/>
      <c r="R4" s="94"/>
      <c r="T4" s="50"/>
    </row>
    <row r="5" spans="1:26" s="11" customFormat="1" ht="15" customHeight="1" x14ac:dyDescent="0.25">
      <c r="A5" s="164" t="str">
        <f>"Eagle P3 Braking Events - "&amp;TEXT(Variables!$A$2,"YYYY-mm-dd")</f>
        <v>Eagle P3 Braking Events - 2016-09-04</v>
      </c>
      <c r="B5" s="164"/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164"/>
      <c r="N5" s="12"/>
      <c r="P5" s="107"/>
      <c r="Q5" s="110"/>
      <c r="R5" s="112"/>
      <c r="T5" s="51"/>
    </row>
    <row r="6" spans="1:26" s="162" customFormat="1" ht="69.75" customHeight="1" x14ac:dyDescent="0.2">
      <c r="A6" s="150" t="s">
        <v>38</v>
      </c>
      <c r="B6" s="151" t="s">
        <v>37</v>
      </c>
      <c r="C6" s="151" t="s">
        <v>36</v>
      </c>
      <c r="D6" s="151" t="s">
        <v>35</v>
      </c>
      <c r="E6" s="151" t="s">
        <v>34</v>
      </c>
      <c r="F6" s="152" t="s">
        <v>33</v>
      </c>
      <c r="G6" s="152" t="s">
        <v>32</v>
      </c>
      <c r="H6" s="152" t="s">
        <v>31</v>
      </c>
      <c r="I6" s="151" t="s">
        <v>30</v>
      </c>
      <c r="J6" s="152" t="s">
        <v>29</v>
      </c>
      <c r="K6" s="151" t="s">
        <v>28</v>
      </c>
      <c r="L6" s="153" t="s">
        <v>47</v>
      </c>
      <c r="M6" s="154" t="s">
        <v>27</v>
      </c>
      <c r="N6" s="151" t="s">
        <v>24</v>
      </c>
      <c r="O6" s="155"/>
      <c r="P6" s="156" t="s">
        <v>101</v>
      </c>
      <c r="Q6" s="157" t="s">
        <v>61</v>
      </c>
      <c r="R6" s="158" t="s">
        <v>100</v>
      </c>
      <c r="S6" s="151" t="s">
        <v>95</v>
      </c>
      <c r="T6" s="159" t="s">
        <v>96</v>
      </c>
      <c r="U6" s="155" t="s">
        <v>108</v>
      </c>
      <c r="V6" s="155" t="s">
        <v>109</v>
      </c>
      <c r="W6" s="160" t="s">
        <v>211</v>
      </c>
      <c r="X6" s="161" t="s">
        <v>212</v>
      </c>
      <c r="Y6" s="161" t="s">
        <v>184</v>
      </c>
      <c r="Z6" s="161" t="s">
        <v>213</v>
      </c>
    </row>
    <row r="7" spans="1:26" s="1" customFormat="1" x14ac:dyDescent="0.25">
      <c r="A7" s="38">
        <v>42617.269652777781</v>
      </c>
      <c r="B7" s="33" t="s">
        <v>387</v>
      </c>
      <c r="C7" s="33" t="s">
        <v>388</v>
      </c>
      <c r="D7" s="33" t="s">
        <v>265</v>
      </c>
      <c r="E7" s="33" t="s">
        <v>229</v>
      </c>
      <c r="F7" s="49">
        <v>200</v>
      </c>
      <c r="G7" s="49">
        <v>260</v>
      </c>
      <c r="H7" s="49">
        <v>27213</v>
      </c>
      <c r="I7" s="33" t="s">
        <v>228</v>
      </c>
      <c r="J7" s="49">
        <v>27350</v>
      </c>
      <c r="K7" s="33" t="s">
        <v>53</v>
      </c>
      <c r="L7" s="92" t="str">
        <f>VLOOKUP(C7,'Trips&amp;Operators'!$C$1:$E$9999,3,0)</f>
        <v>STRICKLAND</v>
      </c>
      <c r="M7" s="131" t="s">
        <v>86</v>
      </c>
      <c r="N7" s="10" t="s">
        <v>239</v>
      </c>
      <c r="O7" s="33"/>
      <c r="P7" s="108" t="str">
        <f>VLOOKUP(C7,'Train Runs'!$A$13:$AE$10003,31,0)</f>
        <v>aws s3 cp s3://rtdc.mdm.uploadarchive/RTDC4026/2016-09-04/ "%USERPROFILE%\AppData\Local\Temp\OnboardLogs"\RTDC4026\2016-09-04 --recursive &amp; "%USERPROFILE%\Documents\GitHub\mrs-test-scripts\Headless Mode &amp; Sideloading\WalkAndUnGZ.bat" "%USERPROFILE%\AppData\Local\Temp\OnboardLogs"\RTDC4026\2016-09-04 &amp; aws s3 cp s3://rtdc.mdm.uploadarchive/RTDC4026/2016-09-05/ "%USERPROFILE%\AppData\Local\Temp\OnboardLogs"\RTDC4026\2016-09-05 --recursive &amp; "%USERPROFILE%\Documents\GitHub\mrs-test-scripts\Headless Mode &amp; Sideloading\WalkAndUnGZ.bat" "%USERPROFILE%\AppData\Local\Temp\OnboardLogs"\RTDC4026\2016-09-05</v>
      </c>
      <c r="Q7" s="111" t="str">
        <f>VLOOKUP(C7,'Train Runs'!$A$13:$AE$10003,22,0)</f>
        <v>https://search-rtdc-monitor-bjffxe2xuh6vdkpspy63sjmuny.us-east-1.es.amazonaws.com/_plugin/kibana/#/discover/Steve-Slow-Train-Analysis-(2080s-and-2083s)?_g=(refreshInterval:(display:Off,section:0,value:0),time:(from:'2016-09-04 04:52:00-0600',mode:absolute,to:'2016-09-04 07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7" s="113" t="str">
        <f t="shared" ref="R7:R50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/stypes="*4026*201609041*" /stext=" 12:.+((SYSTEM_STATE.+slice.+state.+changed )|(ment ac)|(system.+state.+changed )|(\|lc)|(penalty)|(\[timeout)|(PRM\|1\|D)|(kpr)|(kdp))" /e /r /s</v>
      </c>
      <c r="S7" s="9" t="str">
        <f t="shared" ref="S7:S50" si="1">MID(B7,13,4)</f>
        <v>4026</v>
      </c>
      <c r="T7" s="38">
        <f t="shared" ref="T7:T50" si="2">A7+6/24</f>
        <v>42617.519652777781</v>
      </c>
      <c r="U7" s="52" t="str">
        <f t="shared" ref="U7:U50" si="3">IF(VALUE(LEFT(IF(LEN(C7)=6,"0"&amp;C7,C7),2))&lt;=2,"EC",IF(OR(VALUE(LEFT(IF(LEN(C7)=6,"0"&amp;C7,C7),2))=8,VALUE(LEFT(IF(LEN(C7)=6,"0"&amp;C7,C7),2))=18),"NW","Other"))</f>
        <v>EC</v>
      </c>
      <c r="V7" s="52" t="str">
        <f t="shared" ref="V7:V50" si="4">IF(AND(E7="TRACK WARRANT AUTHORITY",G7&lt;10),"OMIT","KEEP")</f>
        <v>KEEP</v>
      </c>
      <c r="W7" s="149" t="str">
        <f t="shared" ref="W7:W50" si="5">"echo {""issue"":{""subject"":"""&amp;N7&amp;""",""project_id"":79,""tracker_id"":40,""status_id"":"&amp;redmine_status&amp;",""priority_id"":"&amp;redmine_priority&amp;",""assigned_to_id"":"&amp;redmine_assignee&amp;",""start_date"":"""&amp;TEXT(A7,"YYYY-mm-dd")&amp;""",""description"":"""&amp;X7&amp;""",""custom_fields"":[{""id"":1,""name"":""Subdivision"",""value"":"""&amp;U7&amp;"""},{""id"":4,""name"":""Milepost"",""value"":"""&amp;J7/10000&amp;"""},{""id"":17,""name"":""Train ID"",""value"":"""&amp;C7&amp;"""},{""id"":16,""name"":""Locomotive ID"",""value"":"""&amp;S7&amp;"""},{""id"":130,""name"":""Impact"",""value"":"""&amp;Y7&amp;"""},{""id"":150,""name"":""Time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Assigned"",""value"":"""&amp;Z7&amp;"""}]}}"&amp;"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arrival","project_id":79,"tracker_id":40,"status_id":1,"priority_id":2,"assigned_to_id":23,"start_date":"2016-09-04","description":"","custom_fields":[{"id":1,"name":"Subdivision","value":"EC"},{"id":4,"name":"Milepost","value":"2.735"},{"id":17,"name":"Train ID","value":"112-04"},{"id":16,"name":"Locomotive ID","value":"4026"},{"id":130,"name":"Impact","value":""},{"id":150,"name":"Time of Event (Mountain Time)","value":"06:28:18"},{"id":151,"name":"Denver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7" s="55"/>
      <c r="Y7" s="55"/>
      <c r="Z7" s="55"/>
    </row>
    <row r="8" spans="1:26" s="1" customFormat="1" x14ac:dyDescent="0.25">
      <c r="A8" s="38">
        <v>42617.527326388888</v>
      </c>
      <c r="B8" s="33" t="s">
        <v>370</v>
      </c>
      <c r="C8" s="33" t="s">
        <v>457</v>
      </c>
      <c r="D8" s="33" t="s">
        <v>265</v>
      </c>
      <c r="E8" s="33" t="s">
        <v>229</v>
      </c>
      <c r="F8" s="49">
        <v>0</v>
      </c>
      <c r="G8" s="49">
        <v>160</v>
      </c>
      <c r="H8" s="49">
        <v>30872</v>
      </c>
      <c r="I8" s="33" t="s">
        <v>228</v>
      </c>
      <c r="J8" s="49">
        <v>30830</v>
      </c>
      <c r="K8" s="33" t="s">
        <v>52</v>
      </c>
      <c r="L8" s="92" t="str">
        <f>VLOOKUP(C8,'Trips&amp;Operators'!$C$1:$E$9999,3,0)</f>
        <v>SHOOK</v>
      </c>
      <c r="M8" s="131" t="s">
        <v>86</v>
      </c>
      <c r="N8" s="10" t="s">
        <v>239</v>
      </c>
      <c r="O8" s="33"/>
      <c r="P8" s="108" t="str">
        <f>VLOOKUP(C8,'Train Runs'!$A$13:$AE$10003,31,0)</f>
        <v>aws s3 cp s3://rtdc.mdm.uploadarchive/RTDC4016/2016-09-04/ "%USERPROFILE%\AppData\Local\Temp\OnboardLogs"\RTDC4016\2016-09-04 --recursive &amp; "%USERPROFILE%\Documents\GitHub\mrs-test-scripts\Headless Mode &amp; Sideloading\WalkAndUnGZ.bat" "%USERPROFILE%\AppData\Local\Temp\OnboardLogs"\RTDC4016\2016-09-04 &amp; 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</v>
      </c>
      <c r="Q8" s="111" t="str">
        <f>VLOOKUP(C8,'Train Runs'!$A$13:$AE$10003,22,0)</f>
        <v>https://search-rtdc-monitor-bjffxe2xuh6vdkpspy63sjmuny.us-east-1.es.amazonaws.com/_plugin/kibana/#/discover/Steve-Slow-Train-Analysis-(2080s-and-2083s)?_g=(refreshInterval:(display:Off,section:0,value:0),time:(from:'2016-09-04 11:21:44-0600',mode:absolute,to:'2016-09-04 14:10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R8" s="113" t="str">
        <f t="shared" si="0"/>
        <v>"C:\Program Files (x86)\AstroGrep\AstroGrep.exe" /spath="%USERPROFILE%\AppData\Local\Temp\OnboardLogs" /stypes="*4016*201609041*" /stext=" 18:.+((SYSTEM_STATE.+slice.+state.+changed )|(ment ac)|(system.+state.+changed )|(\|lc)|(penalty)|(\[timeout)|(PRM\|1\|D)|(kpr)|(kdp))" /e /r /s</v>
      </c>
      <c r="S8" s="9" t="str">
        <f t="shared" si="1"/>
        <v>4016</v>
      </c>
      <c r="T8" s="38">
        <f t="shared" si="2"/>
        <v>42617.777326388888</v>
      </c>
      <c r="U8" s="52" t="str">
        <f t="shared" si="3"/>
        <v>EC</v>
      </c>
      <c r="V8" s="52" t="str">
        <f t="shared" si="4"/>
        <v>KEEP</v>
      </c>
      <c r="W8" s="149" t="str">
        <f t="shared" si="5"/>
        <v>echo {"issue":{"subject":"Early arrival","project_id":79,"tracker_id":40,"status_id":1,"priority_id":2,"assigned_to_id":23,"start_date":"2016-09-04","description":"","custom_fields":[{"id":1,"name":"Subdivision","value":"EC"},{"id":4,"name":"Milepost","value":"3.083"},{"id":17,"name":"Train ID","value":"171-04"},{"id":16,"name":"Locomotive ID","value":"4016"},{"id":130,"name":"Impact","value":""},{"id":150,"name":"Time of Event (Mountain Time)","value":"12:39:21"},{"id":151,"name":"Denver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8" s="55"/>
      <c r="Y8" s="55"/>
      <c r="Z8" s="55"/>
    </row>
    <row r="9" spans="1:26" s="1" customFormat="1" x14ac:dyDescent="0.25">
      <c r="A9" s="38">
        <v>42617.204155092593</v>
      </c>
      <c r="B9" s="33" t="s">
        <v>169</v>
      </c>
      <c r="C9" s="33" t="s">
        <v>377</v>
      </c>
      <c r="D9" s="33" t="s">
        <v>49</v>
      </c>
      <c r="E9" s="33" t="s">
        <v>229</v>
      </c>
      <c r="F9" s="49">
        <v>0</v>
      </c>
      <c r="G9" s="49">
        <v>282</v>
      </c>
      <c r="H9" s="49">
        <v>33073</v>
      </c>
      <c r="I9" s="33" t="s">
        <v>228</v>
      </c>
      <c r="J9" s="49">
        <v>33137</v>
      </c>
      <c r="K9" s="33" t="s">
        <v>52</v>
      </c>
      <c r="L9" s="92" t="str">
        <f>VLOOKUP(C9,'Trips&amp;Operators'!$C$1:$E$9999,3,0)</f>
        <v>MALAVE</v>
      </c>
      <c r="M9" s="131" t="s">
        <v>86</v>
      </c>
      <c r="N9" s="10" t="s">
        <v>239</v>
      </c>
      <c r="O9" s="33"/>
      <c r="P9" s="108" t="str">
        <f>VLOOKUP(C9,'Train Runs'!$A$13:$AE$10003,31,0)</f>
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</c>
      <c r="Q9" s="111" t="str">
        <f>VLOOKUP(C9,'Train Runs'!$A$13:$AE$10003,22,0)</f>
        <v>https://search-rtdc-monitor-bjffxe2xuh6vdkpspy63sjmuny.us-east-1.es.amazonaws.com/_plugin/kibana/#/discover/Steve-Slow-Train-Analysis-(2080s-and-2083s)?_g=(refreshInterval:(display:Off,section:0,value:0),time:(from:'2016-09-04 03:42:31-0600',mode:absolute,to:'2016-09-04 06:23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9" s="113" t="str">
        <f t="shared" si="0"/>
        <v>"C:\Program Files (x86)\AstroGrep\AstroGrep.exe" /spath="%USERPROFILE%\AppData\Local\Temp\OnboardLogs" /stypes="*4002*201609041*" /stext=" 10:.+((SYSTEM_STATE.+slice.+state.+changed )|(ment ac)|(system.+state.+changed )|(\|lc)|(penalty)|(\[timeout)|(PRM\|1\|D)|(kpr)|(kdp))" /e /r /s</v>
      </c>
      <c r="S9" s="9" t="str">
        <f t="shared" si="1"/>
        <v>4002</v>
      </c>
      <c r="T9" s="38">
        <f t="shared" si="2"/>
        <v>42617.454155092593</v>
      </c>
      <c r="U9" s="52" t="str">
        <f t="shared" si="3"/>
        <v>EC</v>
      </c>
      <c r="V9" s="52" t="str">
        <f t="shared" si="4"/>
        <v>KEEP</v>
      </c>
      <c r="W9" s="149" t="str">
        <f t="shared" si="5"/>
        <v>echo {"issue":{"subject":"Early arrival","project_id":79,"tracker_id":40,"status_id":1,"priority_id":2,"assigned_to_id":23,"start_date":"2016-09-04","description":"","custom_fields":[{"id":1,"name":"Subdivision","value":"EC"},{"id":4,"name":"Milepost","value":"3.3137"},{"id":17,"name":"Train ID","value":"109-04"},{"id":16,"name":"Locomotive ID","value":"4002"},{"id":130,"name":"Impact","value":""},{"id":150,"name":"Time of Event (Mountain Time)","value":"04:53:59"},{"id":151,"name":"Denver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9" s="55"/>
      <c r="Y9" s="55"/>
      <c r="Z9" s="55"/>
    </row>
    <row r="10" spans="1:26" s="1" customFormat="1" x14ac:dyDescent="0.25">
      <c r="A10" s="38">
        <v>42617.485231481478</v>
      </c>
      <c r="B10" s="33" t="s">
        <v>315</v>
      </c>
      <c r="C10" s="33" t="s">
        <v>441</v>
      </c>
      <c r="D10" s="33" t="s">
        <v>49</v>
      </c>
      <c r="E10" s="33" t="s">
        <v>229</v>
      </c>
      <c r="F10" s="49">
        <v>0</v>
      </c>
      <c r="G10" s="49">
        <v>404</v>
      </c>
      <c r="H10" s="49">
        <v>58441</v>
      </c>
      <c r="I10" s="33" t="s">
        <v>228</v>
      </c>
      <c r="J10" s="49">
        <v>58301</v>
      </c>
      <c r="K10" s="33" t="s">
        <v>53</v>
      </c>
      <c r="L10" s="92" t="str">
        <f>VLOOKUP(C10,'Trips&amp;Operators'!$C$1:$E$9999,3,0)</f>
        <v>STRICKLAND</v>
      </c>
      <c r="M10" s="131" t="s">
        <v>86</v>
      </c>
      <c r="N10" s="10" t="s">
        <v>239</v>
      </c>
      <c r="O10" s="33"/>
      <c r="P10" s="108" t="str">
        <f>VLOOKUP(C10,'Train Runs'!$A$13:$AE$10003,31,0)</f>
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</c>
      <c r="Q10" s="111" t="str">
        <f>VLOOKUP(C10,'Train Runs'!$A$13:$AE$10003,22,0)</f>
        <v>https://search-rtdc-monitor-bjffxe2xuh6vdkpspy63sjmuny.us-east-1.es.amazonaws.com/_plugin/kibana/#/discover/Steve-Slow-Train-Analysis-(2080s-and-2083s)?_g=(refreshInterval:(display:Off,section:0,value:0),time:(from:'2016-09-04 10:05:54-0600',mode:absolute,to:'2016-09-04 12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R10" s="113" t="str">
        <f t="shared" si="0"/>
        <v>"C:\Program Files (x86)\AstroGrep\AstroGrep.exe" /spath="%USERPROFILE%\AppData\Local\Temp\OnboardLogs" /stypes="*4045*201609041*" /stext=" 17:.+((SYSTEM_STATE.+slice.+state.+changed )|(ment ac)|(system.+state.+changed )|(\|lc)|(penalty)|(\[timeout)|(PRM\|1\|D)|(kpr)|(kdp))" /e /r /s</v>
      </c>
      <c r="S10" s="9" t="str">
        <f t="shared" si="1"/>
        <v>4045</v>
      </c>
      <c r="T10" s="38">
        <f t="shared" si="2"/>
        <v>42617.735231481478</v>
      </c>
      <c r="U10" s="52" t="str">
        <f t="shared" si="3"/>
        <v>EC</v>
      </c>
      <c r="V10" s="52" t="str">
        <f t="shared" si="4"/>
        <v>KEEP</v>
      </c>
      <c r="W10" s="149" t="str">
        <f t="shared" si="5"/>
        <v>echo {"issue":{"subject":"Early arrival","project_id":79,"tracker_id":40,"status_id":1,"priority_id":2,"assigned_to_id":23,"start_date":"2016-09-04","description":"","custom_fields":[{"id":1,"name":"Subdivision","value":"EC"},{"id":4,"name":"Milepost","value":"5.8301"},{"id":17,"name":"Train ID","value":"154-04"},{"id":16,"name":"Locomotive ID","value":"4045"},{"id":130,"name":"Impact","value":""},{"id":150,"name":"Time of Event (Mountain Time)","value":"11:38:44"},{"id":151,"name":"Denver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0" s="55"/>
      <c r="Y10" s="55"/>
      <c r="Z10" s="55"/>
    </row>
    <row r="11" spans="1:26" s="1" customFormat="1" x14ac:dyDescent="0.25">
      <c r="A11" s="38">
        <v>42617.385752314818</v>
      </c>
      <c r="B11" s="33" t="s">
        <v>140</v>
      </c>
      <c r="C11" s="33" t="s">
        <v>419</v>
      </c>
      <c r="D11" s="33" t="s">
        <v>110</v>
      </c>
      <c r="E11" s="33" t="s">
        <v>229</v>
      </c>
      <c r="F11" s="49">
        <v>0</v>
      </c>
      <c r="G11" s="49">
        <v>464</v>
      </c>
      <c r="H11" s="49">
        <v>103780</v>
      </c>
      <c r="I11" s="33" t="s">
        <v>228</v>
      </c>
      <c r="J11" s="49">
        <v>103800</v>
      </c>
      <c r="K11" s="33" t="s">
        <v>53</v>
      </c>
      <c r="L11" s="92" t="str">
        <f>VLOOKUP(C11,'Trips&amp;Operators'!$C$1:$E$9999,3,0)</f>
        <v>DAVIS</v>
      </c>
      <c r="M11" s="131" t="s">
        <v>86</v>
      </c>
      <c r="N11" s="10" t="s">
        <v>239</v>
      </c>
      <c r="O11" s="33"/>
      <c r="P11" s="108" t="str">
        <f>VLOOKUP(C11,'Train Runs'!$A$13:$AE$10003,31,0)</f>
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</c>
      <c r="Q11" s="111" t="str">
        <f>VLOOKUP(C11,'Train Runs'!$A$13:$AE$10003,22,0)</f>
        <v>https://search-rtdc-monitor-bjffxe2xuh6vdkpspy63sjmuny.us-east-1.es.amazonaws.com/_plugin/kibana/#/discover/Steve-Slow-Train-Analysis-(2080s-and-2083s)?_g=(refreshInterval:(display:Off,section:0,value:0),time:(from:'2016-09-04 07:48:50-0600',mode:absolute,to:'2016-09-04 10:42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11" s="113" t="str">
        <f t="shared" si="0"/>
        <v>"C:\Program Files (x86)\AstroGrep\AstroGrep.exe" /spath="%USERPROFILE%\AppData\Local\Temp\OnboardLogs" /stypes="*4037*201609041*" /stext=" 15:.+((SYSTEM_STATE.+slice.+state.+changed )|(ment ac)|(system.+state.+changed )|(\|lc)|(penalty)|(\[timeout)|(PRM\|1\|D)|(kpr)|(kdp))" /e /r /s</v>
      </c>
      <c r="S11" s="9" t="str">
        <f t="shared" si="1"/>
        <v>4037</v>
      </c>
      <c r="T11" s="38">
        <f t="shared" si="2"/>
        <v>42617.635752314818</v>
      </c>
      <c r="U11" s="52" t="str">
        <f t="shared" si="3"/>
        <v>EC</v>
      </c>
      <c r="V11" s="52" t="str">
        <f t="shared" si="4"/>
        <v>KEEP</v>
      </c>
      <c r="W11" s="149" t="str">
        <f t="shared" si="5"/>
        <v>echo {"issue":{"subject":"Early arrival","project_id":79,"tracker_id":40,"status_id":1,"priority_id":2,"assigned_to_id":23,"start_date":"2016-09-04","description":"","custom_fields":[{"id":1,"name":"Subdivision","value":"EC"},{"id":4,"name":"Milepost","value":"10.38"},{"id":17,"name":"Train ID","value":"136-04"},{"id":16,"name":"Locomotive ID","value":"4037"},{"id":130,"name":"Impact","value":""},{"id":150,"name":"Time of Event (Mountain Time)","value":"09:15:29"},{"id":151,"name":"Denver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1" s="55"/>
      <c r="Y11" s="55"/>
      <c r="Z11" s="55"/>
    </row>
    <row r="12" spans="1:26" s="1" customFormat="1" x14ac:dyDescent="0.25">
      <c r="A12" s="38">
        <v>42617.2497337963</v>
      </c>
      <c r="B12" s="33" t="s">
        <v>260</v>
      </c>
      <c r="C12" s="33" t="s">
        <v>386</v>
      </c>
      <c r="D12" s="33" t="s">
        <v>110</v>
      </c>
      <c r="E12" s="33" t="s">
        <v>229</v>
      </c>
      <c r="F12" s="49">
        <v>0</v>
      </c>
      <c r="G12" s="49">
        <v>432</v>
      </c>
      <c r="H12" s="49">
        <v>109102</v>
      </c>
      <c r="I12" s="33" t="s">
        <v>228</v>
      </c>
      <c r="J12" s="49">
        <v>109135</v>
      </c>
      <c r="K12" s="33" t="s">
        <v>53</v>
      </c>
      <c r="L12" s="92" t="str">
        <f>VLOOKUP(C12,'Trips&amp;Operators'!$C$1:$E$9999,3,0)</f>
        <v>MALAVE</v>
      </c>
      <c r="M12" s="131" t="s">
        <v>86</v>
      </c>
      <c r="N12" s="10" t="s">
        <v>239</v>
      </c>
      <c r="O12" s="33"/>
      <c r="P12" s="108" t="str">
        <f>VLOOKUP(C12,'Train Runs'!$A$13:$AE$10003,31,0)</f>
        <v>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 &amp; 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</v>
      </c>
      <c r="Q12" s="111" t="str">
        <f>VLOOKUP(C12,'Train Runs'!$A$13:$AE$10003,22,0)</f>
        <v>https://search-rtdc-monitor-bjffxe2xuh6vdkpspy63sjmuny.us-east-1.es.amazonaws.com/_plugin/kibana/#/discover/Steve-Slow-Train-Analysis-(2080s-and-2083s)?_g=(refreshInterval:(display:Off,section:0,value:0),time:(from:'2016-09-04 04:39:45-0600',mode:absolute,to:'2016-09-04 07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12" s="113" t="str">
        <f t="shared" si="0"/>
        <v>"C:\Program Files (x86)\AstroGrep\AstroGrep.exe" /spath="%USERPROFILE%\AppData\Local\Temp\OnboardLogs" /stypes="*4001*201609041*" /stext=" 11:.+((SYSTEM_STATE.+slice.+state.+changed )|(ment ac)|(system.+state.+changed )|(\|lc)|(penalty)|(\[timeout)|(PRM\|1\|D)|(kpr)|(kdp))" /e /r /s</v>
      </c>
      <c r="S12" s="9" t="str">
        <f t="shared" si="1"/>
        <v>4001</v>
      </c>
      <c r="T12" s="38">
        <f t="shared" si="2"/>
        <v>42617.4997337963</v>
      </c>
      <c r="U12" s="52" t="str">
        <f t="shared" si="3"/>
        <v>EC</v>
      </c>
      <c r="V12" s="52" t="str">
        <f t="shared" si="4"/>
        <v>KEEP</v>
      </c>
      <c r="W12" s="149" t="str">
        <f t="shared" si="5"/>
        <v>echo {"issue":{"subject":"Early arrival","project_id":79,"tracker_id":40,"status_id":1,"priority_id":2,"assigned_to_id":23,"start_date":"2016-09-04","description":"","custom_fields":[{"id":1,"name":"Subdivision","value":"EC"},{"id":4,"name":"Milepost","value":"10.9135"},{"id":17,"name":"Train ID","value":"110-04"},{"id":16,"name":"Locomotive ID","value":"4001"},{"id":130,"name":"Impact","value":""},{"id":150,"name":"Time of Event (Mountain Time)","value":"05:59:37"},{"id":151,"name":"Denver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2" s="55"/>
      <c r="Y12" s="55"/>
      <c r="Z12" s="55"/>
    </row>
    <row r="13" spans="1:26" s="1" customFormat="1" x14ac:dyDescent="0.25">
      <c r="A13" s="38">
        <v>42617.348738425928</v>
      </c>
      <c r="B13" s="33" t="s">
        <v>169</v>
      </c>
      <c r="C13" s="33" t="s">
        <v>411</v>
      </c>
      <c r="D13" s="33" t="s">
        <v>110</v>
      </c>
      <c r="E13" s="33" t="s">
        <v>56</v>
      </c>
      <c r="F13" s="49">
        <v>300</v>
      </c>
      <c r="G13" s="49">
        <v>351</v>
      </c>
      <c r="H13" s="49">
        <v>20873</v>
      </c>
      <c r="I13" s="33" t="s">
        <v>57</v>
      </c>
      <c r="J13" s="49">
        <v>20338</v>
      </c>
      <c r="K13" s="33" t="s">
        <v>52</v>
      </c>
      <c r="L13" s="92" t="str">
        <f>VLOOKUP(C13,'Trips&amp;Operators'!$C$1:$E$9999,3,0)</f>
        <v>MALAVE</v>
      </c>
      <c r="M13" s="131" t="s">
        <v>86</v>
      </c>
      <c r="N13" s="10"/>
      <c r="O13" s="33"/>
      <c r="P13" s="108" t="str">
        <f>VLOOKUP(C13,'Train Runs'!$A$13:$AE$10003,31,0)</f>
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</c>
      <c r="Q13" s="111" t="str">
        <f>VLOOKUP(C13,'Train Runs'!$A$13:$AE$10003,22,0)</f>
        <v>https://search-rtdc-monitor-bjffxe2xuh6vdkpspy63sjmuny.us-east-1.es.amazonaws.com/_plugin/kibana/#/discover/Steve-Slow-Train-Analysis-(2080s-and-2083s)?_g=(refreshInterval:(display:Off,section:0,value:0),time:(from:'2016-09-04 07:14:32-0600',mode:absolute,to:'2016-09-04 09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13" s="113" t="str">
        <f t="shared" si="0"/>
        <v>"C:\Program Files (x86)\AstroGrep\AstroGrep.exe" /spath="%USERPROFILE%\AppData\Local\Temp\OnboardLogs" /stypes="*4002*201609041*" /stext=" 14:.+((SYSTEM_STATE.+slice.+state.+changed )|(ment ac)|(system.+state.+changed )|(\|lc)|(penalty)|(\[timeout)|(PRM\|1\|D)|(kpr)|(kdp))" /e /r /s</v>
      </c>
      <c r="S13" s="9" t="str">
        <f t="shared" si="1"/>
        <v>4002</v>
      </c>
      <c r="T13" s="38">
        <f t="shared" si="2"/>
        <v>42617.598738425928</v>
      </c>
      <c r="U13" s="52" t="str">
        <f t="shared" si="3"/>
        <v>EC</v>
      </c>
      <c r="V13" s="52" t="str">
        <f t="shared" si="4"/>
        <v>KEEP</v>
      </c>
      <c r="W13" s="149" t="str">
        <f t="shared" si="5"/>
        <v>echo {"issue":{"subject":"","project_id":79,"tracker_id":40,"status_id":1,"priority_id":2,"assigned_to_id":23,"start_date":"2016-09-04","description":"","custom_fields":[{"id":1,"name":"Subdivision","value":"EC"},{"id":4,"name":"Milepost","value":"2.0338"},{"id":17,"name":"Train ID","value":"137-04"},{"id":16,"name":"Locomotive ID","value":"4002"},{"id":130,"name":"Impact","value":""},{"id":150,"name":"Time of Event (Mountain Time)","value":"08:22:11"},{"id":151,"name":"Denver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3" s="55"/>
      <c r="Y13" s="55"/>
      <c r="Z13" s="55"/>
    </row>
    <row r="14" spans="1:26" s="1" customFormat="1" x14ac:dyDescent="0.25">
      <c r="A14" s="38">
        <v>42617.800891203704</v>
      </c>
      <c r="B14" s="33" t="s">
        <v>166</v>
      </c>
      <c r="C14" s="33" t="s">
        <v>521</v>
      </c>
      <c r="D14" s="33" t="s">
        <v>49</v>
      </c>
      <c r="E14" s="33" t="s">
        <v>56</v>
      </c>
      <c r="F14" s="49">
        <v>300</v>
      </c>
      <c r="G14" s="49">
        <v>501</v>
      </c>
      <c r="H14" s="49">
        <v>24468</v>
      </c>
      <c r="I14" s="33" t="s">
        <v>57</v>
      </c>
      <c r="J14" s="49">
        <v>21848</v>
      </c>
      <c r="K14" s="33" t="s">
        <v>53</v>
      </c>
      <c r="L14" s="92" t="str">
        <f>VLOOKUP(C14,'Trips&amp;Operators'!$C$1:$E$9999,3,0)</f>
        <v>COOLAHAN</v>
      </c>
      <c r="M14" s="131" t="s">
        <v>86</v>
      </c>
      <c r="N14" s="10"/>
      <c r="O14" s="33"/>
      <c r="P14" s="108" t="str">
        <f>VLOOKUP(C14,'Train Runs'!$A$13:$AE$10003,31,0)</f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Q14" s="111" t="str">
        <f>VLOOKUP(C14,'Train Runs'!$A$13:$AE$10003,22,0)</f>
        <v>https://search-rtdc-monitor-bjffxe2xuh6vdkpspy63sjmuny.us-east-1.es.amazonaws.com/_plugin/kibana/#/discover/Steve-Slow-Train-Analysis-(2080s-and-2083s)?_g=(refreshInterval:(display:Off,section:0,value:0),time:(from:'2016-09-04 17:37:51-0600',mode:absolute,to:'2016-09-04 20:20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14" s="113" t="str">
        <f t="shared" si="0"/>
        <v>"C:\Program Files (x86)\AstroGrep\AstroGrep.exe" /spath="%USERPROFILE%\AppData\Local\Temp\OnboardLogs" /stypes="*4010*201609050*" /stext=" 01:.+((SYSTEM_STATE.+slice.+state.+changed )|(ment ac)|(system.+state.+changed )|(\|lc)|(penalty)|(\[timeout)|(PRM\|1\|D)|(kpr)|(kdp))" /e /r /s</v>
      </c>
      <c r="S14" s="9" t="str">
        <f t="shared" si="1"/>
        <v>4010</v>
      </c>
      <c r="T14" s="38">
        <f t="shared" si="2"/>
        <v>42618.050891203704</v>
      </c>
      <c r="U14" s="52" t="str">
        <f t="shared" si="3"/>
        <v>EC</v>
      </c>
      <c r="V14" s="52" t="str">
        <f t="shared" si="4"/>
        <v>KEEP</v>
      </c>
      <c r="W14" s="149" t="str">
        <f t="shared" si="5"/>
        <v>echo {"issue":{"subject":"","project_id":79,"tracker_id":40,"status_id":1,"priority_id":2,"assigned_to_id":23,"start_date":"2016-09-04","description":"","custom_fields":[{"id":1,"name":"Subdivision","value":"EC"},{"id":4,"name":"Milepost","value":"2.1848"},{"id":17,"name":"Train ID","value":"214-04"},{"id":16,"name":"Locomotive ID","value":"4010"},{"id":130,"name":"Impact","value":""},{"id":150,"name":"Time of Event (Mountain Time)","value":"19:13:17"},{"id":151,"name":"Denver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4" s="55"/>
      <c r="Y14" s="55"/>
      <c r="Z14" s="55"/>
    </row>
    <row r="15" spans="1:26" s="1" customFormat="1" x14ac:dyDescent="0.25">
      <c r="A15" s="38">
        <v>42617.231053240743</v>
      </c>
      <c r="B15" s="33" t="s">
        <v>368</v>
      </c>
      <c r="C15" s="33" t="s">
        <v>378</v>
      </c>
      <c r="D15" s="33" t="s">
        <v>110</v>
      </c>
      <c r="E15" s="33" t="s">
        <v>56</v>
      </c>
      <c r="F15" s="49">
        <v>600</v>
      </c>
      <c r="G15" s="49">
        <v>650</v>
      </c>
      <c r="H15" s="49">
        <v>188334</v>
      </c>
      <c r="I15" s="33" t="s">
        <v>57</v>
      </c>
      <c r="J15" s="49">
        <v>183829</v>
      </c>
      <c r="K15" s="33" t="s">
        <v>52</v>
      </c>
      <c r="L15" s="92" t="str">
        <f>VLOOKUP(C15,'Trips&amp;Operators'!$C$1:$E$9999,3,0)</f>
        <v>STRICKLAND</v>
      </c>
      <c r="M15" s="131" t="s">
        <v>86</v>
      </c>
      <c r="N15" s="10"/>
      <c r="O15" s="33"/>
      <c r="P15" s="108" t="str">
        <f>VLOOKUP(C15,'Train Runs'!$A$13:$AE$10003,31,0)</f>
        <v>aws s3 cp s3://rtdc.mdm.uploadarchive/RTDC4025/2016-09-04/ "%USERPROFILE%\AppData\Local\Temp\OnboardLogs"\RTDC4025\2016-09-04 --recursive &amp; "%USERPROFILE%\Documents\GitHub\mrs-test-scripts\Headless Mode &amp; Sideloading\WalkAndUnGZ.bat" "%USERPROFILE%\AppData\Local\Temp\OnboardLogs"\RTDC4025\2016-09-04 &amp; 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</v>
      </c>
      <c r="Q15" s="111" t="str">
        <f>VLOOKUP(C15,'Train Runs'!$A$13:$AE$10003,22,0)</f>
        <v>https://search-rtdc-monitor-bjffxe2xuh6vdkpspy63sjmuny.us-east-1.es.amazonaws.com/_plugin/kibana/#/discover/Steve-Slow-Train-Analysis-(2080s-and-2083s)?_g=(refreshInterval:(display:Off,section:0,value:0),time:(from:'2016-09-04 03:53:06-0600',mode:absolute,to:'2016-09-04 06:41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15" s="113" t="str">
        <f t="shared" si="0"/>
        <v>"C:\Program Files (x86)\AstroGrep\AstroGrep.exe" /spath="%USERPROFILE%\AppData\Local\Temp\OnboardLogs" /stypes="*4025*201609041*" /stext=" 11:.+((SYSTEM_STATE.+slice.+state.+changed )|(ment ac)|(system.+state.+changed )|(\|lc)|(penalty)|(\[timeout)|(PRM\|1\|D)|(kpr)|(kdp))" /e /r /s</v>
      </c>
      <c r="S15" s="9" t="str">
        <f t="shared" si="1"/>
        <v>4025</v>
      </c>
      <c r="T15" s="38">
        <f t="shared" si="2"/>
        <v>42617.481053240743</v>
      </c>
      <c r="U15" s="52" t="str">
        <f t="shared" si="3"/>
        <v>EC</v>
      </c>
      <c r="V15" s="52" t="str">
        <f t="shared" si="4"/>
        <v>KEEP</v>
      </c>
      <c r="W15" s="149" t="str">
        <f t="shared" si="5"/>
        <v>echo {"issue":{"subject":"","project_id":79,"tracker_id":40,"status_id":1,"priority_id":2,"assigned_to_id":23,"start_date":"2016-09-04","description":"","custom_fields":[{"id":1,"name":"Subdivision","value":"EC"},{"id":4,"name":"Milepost","value":"18.3829"},{"id":17,"name":"Train ID","value":"111-04"},{"id":16,"name":"Locomotive ID","value":"4025"},{"id":130,"name":"Impact","value":""},{"id":150,"name":"Time of Event (Mountain Time)","value":"05:32:43"},{"id":151,"name":"Denver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5" s="55"/>
      <c r="Y15" s="55"/>
      <c r="Z15" s="55"/>
    </row>
    <row r="16" spans="1:26" s="1" customFormat="1" x14ac:dyDescent="0.25">
      <c r="A16" s="38">
        <v>42617.398206018515</v>
      </c>
      <c r="B16" s="33" t="s">
        <v>315</v>
      </c>
      <c r="C16" s="33" t="s">
        <v>423</v>
      </c>
      <c r="D16" s="33" t="s">
        <v>110</v>
      </c>
      <c r="E16" s="33" t="s">
        <v>56</v>
      </c>
      <c r="F16" s="49">
        <v>700</v>
      </c>
      <c r="G16" s="49">
        <v>750</v>
      </c>
      <c r="H16" s="49">
        <v>179746</v>
      </c>
      <c r="I16" s="33" t="s">
        <v>57</v>
      </c>
      <c r="J16" s="49">
        <v>183829</v>
      </c>
      <c r="K16" s="33" t="s">
        <v>53</v>
      </c>
      <c r="L16" s="92" t="str">
        <f>VLOOKUP(C16,'Trips&amp;Operators'!$C$1:$E$9999,3,0)</f>
        <v>STRICKLAND</v>
      </c>
      <c r="M16" s="131" t="s">
        <v>86</v>
      </c>
      <c r="N16" s="10"/>
      <c r="O16" s="33"/>
      <c r="P16" s="108" t="str">
        <f>VLOOKUP(C16,'Train Runs'!$A$13:$AE$10003,31,0)</f>
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</c>
      <c r="Q16" s="111" t="str">
        <f>VLOOKUP(C16,'Train Runs'!$A$13:$AE$10003,22,0)</f>
        <v>https://search-rtdc-monitor-bjffxe2xuh6vdkpspy63sjmuny.us-east-1.es.amazonaws.com/_plugin/kibana/#/discover/Steve-Slow-Train-Analysis-(2080s-and-2083s)?_g=(refreshInterval:(display:Off,section:0,value:0),time:(from:'2016-09-04 08:14:35-0600',mode:absolute,to:'2016-09-04 11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R16" s="113" t="str">
        <f t="shared" si="0"/>
        <v>"C:\Program Files (x86)\AstroGrep\AstroGrep.exe" /spath="%USERPROFILE%\AppData\Local\Temp\OnboardLogs" /stypes="*4045*201609041*" /stext=" 15:.+((SYSTEM_STATE.+slice.+state.+changed )|(ment ac)|(system.+state.+changed )|(\|lc)|(penalty)|(\[timeout)|(PRM\|1\|D)|(kpr)|(kdp))" /e /r /s</v>
      </c>
      <c r="S16" s="9" t="str">
        <f t="shared" si="1"/>
        <v>4045</v>
      </c>
      <c r="T16" s="38">
        <f t="shared" si="2"/>
        <v>42617.648206018515</v>
      </c>
      <c r="U16" s="52" t="str">
        <f t="shared" si="3"/>
        <v>EC</v>
      </c>
      <c r="V16" s="52" t="str">
        <f t="shared" si="4"/>
        <v>KEEP</v>
      </c>
      <c r="W16" s="149" t="str">
        <f t="shared" si="5"/>
        <v>echo {"issue":{"subject":"","project_id":79,"tracker_id":40,"status_id":1,"priority_id":2,"assigned_to_id":23,"start_date":"2016-09-04","description":"","custom_fields":[{"id":1,"name":"Subdivision","value":"EC"},{"id":4,"name":"Milepost","value":"18.3829"},{"id":17,"name":"Train ID","value":"140-04"},{"id":16,"name":"Locomotive ID","value":"4045"},{"id":130,"name":"Impact","value":""},{"id":150,"name":"Time of Event (Mountain Time)","value":"09:33:25"},{"id":151,"name":"Denver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6" s="55"/>
      <c r="Y16" s="55"/>
      <c r="Z16" s="55"/>
    </row>
    <row r="17" spans="1:26" s="1" customFormat="1" x14ac:dyDescent="0.25">
      <c r="A17" s="38">
        <v>42617.553819444445</v>
      </c>
      <c r="B17" s="33" t="s">
        <v>166</v>
      </c>
      <c r="C17" s="33" t="s">
        <v>462</v>
      </c>
      <c r="D17" s="33" t="s">
        <v>49</v>
      </c>
      <c r="E17" s="33" t="s">
        <v>56</v>
      </c>
      <c r="F17" s="49">
        <v>450</v>
      </c>
      <c r="G17" s="49">
        <v>500</v>
      </c>
      <c r="H17" s="49">
        <v>191764</v>
      </c>
      <c r="I17" s="33" t="s">
        <v>57</v>
      </c>
      <c r="J17" s="49">
        <v>191108</v>
      </c>
      <c r="K17" s="33" t="s">
        <v>53</v>
      </c>
      <c r="L17" s="92" t="str">
        <f>VLOOKUP(C17,'Trips&amp;Operators'!$C$1:$E$9999,3,0)</f>
        <v>CLARK</v>
      </c>
      <c r="M17" s="131" t="s">
        <v>86</v>
      </c>
      <c r="N17" s="10"/>
      <c r="O17" s="33"/>
      <c r="P17" s="108" t="str">
        <f>VLOOKUP(C17,'Train Runs'!$A$13:$AE$10003,31,0)</f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Q17" s="111" t="str">
        <f>VLOOKUP(C17,'Train Runs'!$A$13:$AE$10003,22,0)</f>
        <v>https://search-rtdc-monitor-bjffxe2xuh6vdkpspy63sjmuny.us-east-1.es.amazonaws.com/_plugin/kibana/#/discover/Steve-Slow-Train-Analysis-(2080s-and-2083s)?_g=(refreshInterval:(display:Off,section:0,value:0),time:(from:'2016-09-04 12:03:17-0600',mode:absolute,to:'2016-09-04 14:55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17" s="113" t="str">
        <f t="shared" si="0"/>
        <v>"C:\Program Files (x86)\AstroGrep\AstroGrep.exe" /spath="%USERPROFILE%\AppData\Local\Temp\OnboardLogs" /stypes="*4010*201609041*" /stext=" 19:.+((SYSTEM_STATE.+slice.+state.+changed )|(ment ac)|(system.+state.+changed )|(\|lc)|(penalty)|(\[timeout)|(PRM\|1\|D)|(kpr)|(kdp))" /e /r /s</v>
      </c>
      <c r="S17" s="9" t="str">
        <f t="shared" si="1"/>
        <v>4010</v>
      </c>
      <c r="T17" s="38">
        <f t="shared" si="2"/>
        <v>42617.803819444445</v>
      </c>
      <c r="U17" s="52" t="str">
        <f t="shared" si="3"/>
        <v>EC</v>
      </c>
      <c r="V17" s="52" t="str">
        <f t="shared" si="4"/>
        <v>KEEP</v>
      </c>
      <c r="W17" s="149" t="str">
        <f t="shared" si="5"/>
        <v>echo {"issue":{"subject":"","project_id":79,"tracker_id":40,"status_id":1,"priority_id":2,"assigned_to_id":23,"start_date":"2016-09-04","description":"","custom_fields":[{"id":1,"name":"Subdivision","value":"EC"},{"id":4,"name":"Milepost","value":"19.1108"},{"id":17,"name":"Train ID","value":"170-04"},{"id":16,"name":"Locomotive ID","value":"4010"},{"id":130,"name":"Impact","value":""},{"id":150,"name":"Time of Event (Mountain Time)","value":"13:17:30"},{"id":151,"name":"Denver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7" s="55"/>
      <c r="Y17" s="55"/>
      <c r="Z17" s="55"/>
    </row>
    <row r="18" spans="1:26" s="1" customFormat="1" x14ac:dyDescent="0.25">
      <c r="A18" s="38">
        <v>42617.312962962962</v>
      </c>
      <c r="B18" s="33" t="s">
        <v>260</v>
      </c>
      <c r="C18" s="33" t="s">
        <v>404</v>
      </c>
      <c r="D18" s="33" t="s">
        <v>49</v>
      </c>
      <c r="E18" s="33" t="s">
        <v>56</v>
      </c>
      <c r="F18" s="49">
        <v>750</v>
      </c>
      <c r="G18" s="49">
        <v>803</v>
      </c>
      <c r="H18" s="49">
        <v>202184</v>
      </c>
      <c r="I18" s="33" t="s">
        <v>57</v>
      </c>
      <c r="J18" s="49">
        <v>200464</v>
      </c>
      <c r="K18" s="33" t="s">
        <v>53</v>
      </c>
      <c r="L18" s="92" t="str">
        <f>VLOOKUP(C18,'Trips&amp;Operators'!$C$1:$E$9999,3,0)</f>
        <v>MALAVE</v>
      </c>
      <c r="M18" s="131" t="s">
        <v>86</v>
      </c>
      <c r="N18" s="10"/>
      <c r="O18" s="33"/>
      <c r="P18" s="108" t="str">
        <f>VLOOKUP(C18,'Train Runs'!$A$13:$AE$10003,31,0)</f>
        <v>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 &amp; 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</v>
      </c>
      <c r="Q18" s="111" t="str">
        <f>VLOOKUP(C18,'Train Runs'!$A$13:$AE$10003,22,0)</f>
        <v>https://search-rtdc-monitor-bjffxe2xuh6vdkpspy63sjmuny.us-east-1.es.amazonaws.com/_plugin/kibana/#/discover/Steve-Slow-Train-Analysis-(2080s-and-2083s)?_g=(refreshInterval:(display:Off,section:0,value:0),time:(from:'2016-09-04 06:19:47-0600',mode:absolute,to:'2016-09-04 09:10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18" s="113" t="str">
        <f t="shared" si="0"/>
        <v>"C:\Program Files (x86)\AstroGrep\AstroGrep.exe" /spath="%USERPROFILE%\AppData\Local\Temp\OnboardLogs" /stypes="*4001*201609041*" /stext=" 13:.+((SYSTEM_STATE.+slice.+state.+changed )|(ment ac)|(system.+state.+changed )|(\|lc)|(penalty)|(\[timeout)|(PRM\|1\|D)|(kpr)|(kdp))" /e /r /s</v>
      </c>
      <c r="S18" s="9" t="str">
        <f t="shared" si="1"/>
        <v>4001</v>
      </c>
      <c r="T18" s="38">
        <f t="shared" si="2"/>
        <v>42617.562962962962</v>
      </c>
      <c r="U18" s="52" t="str">
        <f t="shared" si="3"/>
        <v>EC</v>
      </c>
      <c r="V18" s="52" t="str">
        <f t="shared" si="4"/>
        <v>KEEP</v>
      </c>
      <c r="W18" s="149" t="str">
        <f t="shared" si="5"/>
        <v>echo {"issue":{"subject":"","project_id":79,"tracker_id":40,"status_id":1,"priority_id":2,"assigned_to_id":23,"start_date":"2016-09-04","description":"","custom_fields":[{"id":1,"name":"Subdivision","value":"EC"},{"id":4,"name":"Milepost","value":"20.0464"},{"id":17,"name":"Train ID","value":"124-04"},{"id":16,"name":"Locomotive ID","value":"4001"},{"id":130,"name":"Impact","value":""},{"id":150,"name":"Time of Event (Mountain Time)","value":"07:30:40"},{"id":151,"name":"Denver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8" s="55"/>
      <c r="Y18" s="55"/>
      <c r="Z18" s="55"/>
    </row>
    <row r="19" spans="1:26" s="1" customFormat="1" x14ac:dyDescent="0.25">
      <c r="A19" s="38">
        <v>42617.312291666669</v>
      </c>
      <c r="B19" s="33" t="s">
        <v>368</v>
      </c>
      <c r="C19" s="33" t="s">
        <v>398</v>
      </c>
      <c r="D19" s="33" t="s">
        <v>49</v>
      </c>
      <c r="E19" s="33" t="s">
        <v>56</v>
      </c>
      <c r="F19" s="49">
        <v>350</v>
      </c>
      <c r="G19" s="49">
        <v>417</v>
      </c>
      <c r="H19" s="49">
        <v>223585</v>
      </c>
      <c r="I19" s="33" t="s">
        <v>57</v>
      </c>
      <c r="J19" s="49">
        <v>224578</v>
      </c>
      <c r="K19" s="33" t="s">
        <v>52</v>
      </c>
      <c r="L19" s="92" t="str">
        <f>VLOOKUP(C19,'Trips&amp;Operators'!$C$1:$E$9999,3,0)</f>
        <v>STRICKLAND</v>
      </c>
      <c r="M19" s="131" t="s">
        <v>86</v>
      </c>
      <c r="N19" s="10"/>
      <c r="O19" s="33"/>
      <c r="P19" s="108" t="str">
        <f>VLOOKUP(C19,'Train Runs'!$A$13:$AE$10003,31,0)</f>
        <v>aws s3 cp s3://rtdc.mdm.uploadarchive/RTDC4025/2016-09-04/ "%USERPROFILE%\AppData\Local\Temp\OnboardLogs"\RTDC4025\2016-09-04 --recursive &amp; "%USERPROFILE%\Documents\GitHub\mrs-test-scripts\Headless Mode &amp; Sideloading\WalkAndUnGZ.bat" "%USERPROFILE%\AppData\Local\Temp\OnboardLogs"\RTDC4025\2016-09-04 &amp; 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</v>
      </c>
      <c r="Q19" s="111" t="str">
        <f>VLOOKUP(C19,'Train Runs'!$A$13:$AE$10003,22,0)</f>
        <v>https://search-rtdc-monitor-bjffxe2xuh6vdkpspy63sjmuny.us-east-1.es.amazonaws.com/_plugin/kibana/#/discover/Steve-Slow-Train-Analysis-(2080s-and-2083s)?_g=(refreshInterval:(display:Off,section:0,value:0),time:(from:'2016-09-04 05:56:29-0600',mode:absolute,to:'2016-09-04 08:32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19" s="113" t="str">
        <f t="shared" si="0"/>
        <v>"C:\Program Files (x86)\AstroGrep\AstroGrep.exe" /spath="%USERPROFILE%\AppData\Local\Temp\OnboardLogs" /stypes="*4025*201609041*" /stext=" 13:.+((SYSTEM_STATE.+slice.+state.+changed )|(ment ac)|(system.+state.+changed )|(\|lc)|(penalty)|(\[timeout)|(PRM\|1\|D)|(kpr)|(kdp))" /e /r /s</v>
      </c>
      <c r="S19" s="9" t="str">
        <f t="shared" si="1"/>
        <v>4025</v>
      </c>
      <c r="T19" s="38">
        <f t="shared" si="2"/>
        <v>42617.562291666669</v>
      </c>
      <c r="U19" s="52" t="str">
        <f t="shared" si="3"/>
        <v>EC</v>
      </c>
      <c r="V19" s="52" t="str">
        <f t="shared" si="4"/>
        <v>KEEP</v>
      </c>
      <c r="W19" s="149" t="str">
        <f t="shared" si="5"/>
        <v>echo {"issue":{"subject":"","project_id":79,"tracker_id":40,"status_id":1,"priority_id":2,"assigned_to_id":23,"start_date":"2016-09-04","description":"","custom_fields":[{"id":1,"name":"Subdivision","value":"EC"},{"id":4,"name":"Milepost","value":"22.4578"},{"id":17,"name":"Train ID","value":"125-04"},{"id":16,"name":"Locomotive ID","value":"4025"},{"id":130,"name":"Impact","value":""},{"id":150,"name":"Time of Event (Mountain Time)","value":"07:29:42"},{"id":151,"name":"Denver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9" s="55"/>
      <c r="Y19" s="55"/>
      <c r="Z19" s="55"/>
    </row>
    <row r="20" spans="1:26" s="1" customFormat="1" x14ac:dyDescent="0.25">
      <c r="A20" s="38">
        <v>42617.404999999999</v>
      </c>
      <c r="B20" s="33" t="s">
        <v>166</v>
      </c>
      <c r="C20" s="33" t="s">
        <v>426</v>
      </c>
      <c r="D20" s="33" t="s">
        <v>110</v>
      </c>
      <c r="E20" s="33" t="s">
        <v>56</v>
      </c>
      <c r="F20" s="49">
        <v>150</v>
      </c>
      <c r="G20" s="49">
        <v>207</v>
      </c>
      <c r="H20" s="49">
        <v>228742</v>
      </c>
      <c r="I20" s="33" t="s">
        <v>57</v>
      </c>
      <c r="J20" s="49">
        <v>229055</v>
      </c>
      <c r="K20" s="33" t="s">
        <v>53</v>
      </c>
      <c r="L20" s="92" t="str">
        <f>VLOOKUP(C20,'Trips&amp;Operators'!$C$1:$E$9999,3,0)</f>
        <v>KILLION</v>
      </c>
      <c r="M20" s="131" t="s">
        <v>86</v>
      </c>
      <c r="N20" s="10"/>
      <c r="O20" s="33"/>
      <c r="P20" s="108" t="str">
        <f>VLOOKUP(C20,'Train Runs'!$A$13:$AE$10003,31,0)</f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Q20" s="111" t="str">
        <f>VLOOKUP(C20,'Train Runs'!$A$13:$AE$10003,22,0)</f>
        <v>https://search-rtdc-monitor-bjffxe2xuh6vdkpspy63sjmuny.us-east-1.es.amazonaws.com/_plugin/kibana/#/discover/Steve-Slow-Train-Analysis-(2080s-and-2083s)?_g=(refreshInterval:(display:Off,section:0,value:0),time:(from:'2016-09-04 08:32:49-0600',mode:absolute,to:'2016-09-04 11:19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20" s="113" t="str">
        <f t="shared" si="0"/>
        <v>"C:\Program Files (x86)\AstroGrep\AstroGrep.exe" /spath="%USERPROFILE%\AppData\Local\Temp\OnboardLogs" /stypes="*4010*201609041*" /stext=" 15:.+((SYSTEM_STATE.+slice.+state.+changed )|(ment ac)|(system.+state.+changed )|(\|lc)|(penalty)|(\[timeout)|(PRM\|1\|D)|(kpr)|(kdp))" /e /r /s</v>
      </c>
      <c r="S20" s="9" t="str">
        <f t="shared" si="1"/>
        <v>4010</v>
      </c>
      <c r="T20" s="38">
        <f t="shared" si="2"/>
        <v>42617.654999999999</v>
      </c>
      <c r="U20" s="52" t="str">
        <f t="shared" si="3"/>
        <v>EC</v>
      </c>
      <c r="V20" s="52" t="str">
        <f t="shared" si="4"/>
        <v>KEEP</v>
      </c>
      <c r="W20" s="149" t="str">
        <f t="shared" si="5"/>
        <v>echo {"issue":{"subject":"","project_id":79,"tracker_id":40,"status_id":1,"priority_id":2,"assigned_to_id":23,"start_date":"2016-09-04","description":"","custom_fields":[{"id":1,"name":"Subdivision","value":"EC"},{"id":4,"name":"Milepost","value":"22.9055"},{"id":17,"name":"Train ID","value":"142-04"},{"id":16,"name":"Locomotive ID","value":"4010"},{"id":130,"name":"Impact","value":""},{"id":150,"name":"Time of Event (Mountain Time)","value":"09:43:12"},{"id":151,"name":"Denver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0" s="55"/>
      <c r="Y20" s="55"/>
      <c r="Z20" s="55"/>
    </row>
    <row r="21" spans="1:26" s="1" customFormat="1" x14ac:dyDescent="0.25">
      <c r="A21" s="38">
        <v>42617.281770833331</v>
      </c>
      <c r="B21" s="33" t="s">
        <v>368</v>
      </c>
      <c r="C21" s="33" t="s">
        <v>398</v>
      </c>
      <c r="D21" s="33" t="s">
        <v>49</v>
      </c>
      <c r="E21" s="33" t="s">
        <v>54</v>
      </c>
      <c r="F21" s="49">
        <v>0</v>
      </c>
      <c r="G21" s="49">
        <v>147</v>
      </c>
      <c r="H21" s="49">
        <v>927</v>
      </c>
      <c r="I21" s="33" t="s">
        <v>55</v>
      </c>
      <c r="J21" s="49">
        <v>1692</v>
      </c>
      <c r="K21" s="33" t="s">
        <v>52</v>
      </c>
      <c r="L21" s="92" t="str">
        <f>VLOOKUP(C21,'Trips&amp;Operators'!$C$1:$E$9999,3,0)</f>
        <v>STRICKLAND</v>
      </c>
      <c r="M21" s="131" t="s">
        <v>86</v>
      </c>
      <c r="N21" s="10" t="s">
        <v>679</v>
      </c>
      <c r="O21" s="33"/>
      <c r="P21" s="108" t="str">
        <f>VLOOKUP(C21,'Train Runs'!$A$13:$AE$10003,31,0)</f>
        <v>aws s3 cp s3://rtdc.mdm.uploadarchive/RTDC4025/2016-09-04/ "%USERPROFILE%\AppData\Local\Temp\OnboardLogs"\RTDC4025\2016-09-04 --recursive &amp; "%USERPROFILE%\Documents\GitHub\mrs-test-scripts\Headless Mode &amp; Sideloading\WalkAndUnGZ.bat" "%USERPROFILE%\AppData\Local\Temp\OnboardLogs"\RTDC4025\2016-09-04 &amp; 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</v>
      </c>
      <c r="Q21" s="111" t="str">
        <f>VLOOKUP(C21,'Train Runs'!$A$13:$AE$10003,22,0)</f>
        <v>https://search-rtdc-monitor-bjffxe2xuh6vdkpspy63sjmuny.us-east-1.es.amazonaws.com/_plugin/kibana/#/discover/Steve-Slow-Train-Analysis-(2080s-and-2083s)?_g=(refreshInterval:(display:Off,section:0,value:0),time:(from:'2016-09-04 05:56:29-0600',mode:absolute,to:'2016-09-04 08:32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21" s="113" t="str">
        <f t="shared" si="0"/>
        <v>"C:\Program Files (x86)\AstroGrep\AstroGrep.exe" /spath="%USERPROFILE%\AppData\Local\Temp\OnboardLogs" /stypes="*4025*201609041*" /stext=" 12:.+((SYSTEM_STATE.+slice.+state.+changed )|(ment ac)|(system.+state.+changed )|(\|lc)|(penalty)|(\[timeout)|(PRM\|1\|D)|(kpr)|(kdp))" /e /r /s</v>
      </c>
      <c r="S21" s="9" t="str">
        <f t="shared" si="1"/>
        <v>4025</v>
      </c>
      <c r="T21" s="38">
        <f t="shared" si="2"/>
        <v>42617.531770833331</v>
      </c>
      <c r="U21" s="52" t="str">
        <f t="shared" si="3"/>
        <v>EC</v>
      </c>
      <c r="V21" s="52" t="str">
        <f t="shared" si="4"/>
        <v>KEEP</v>
      </c>
      <c r="W21" s="149" t="str">
        <f t="shared" si="5"/>
        <v>echo {"issue":{"subject":"DUS 4N was STOP because 22N was STOP","project_id":79,"tracker_id":40,"status_id":1,"priority_id":2,"assigned_to_id":23,"start_date":"2016-09-04","description":"","custom_fields":[{"id":1,"name":"Subdivision","value":"EC"},{"id":4,"name":"Milepost","value":"0.1692"},{"id":17,"name":"Train ID","value":"125-04"},{"id":16,"name":"Locomotive ID","value":"4025"},{"id":130,"name":"Impact","value":""},{"id":150,"name":"Time of Event (Mountain Time)","value":"06:45:45"},{"id":151,"name":"Denver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1" s="55"/>
      <c r="Y21" s="55"/>
      <c r="Z21" s="55"/>
    </row>
    <row r="22" spans="1:26" x14ac:dyDescent="0.25">
      <c r="A22" s="38">
        <v>42617.7734375</v>
      </c>
      <c r="B22" s="33" t="s">
        <v>113</v>
      </c>
      <c r="C22" s="33" t="s">
        <v>519</v>
      </c>
      <c r="D22" s="33" t="s">
        <v>110</v>
      </c>
      <c r="E22" s="33" t="s">
        <v>54</v>
      </c>
      <c r="F22" s="49">
        <v>0</v>
      </c>
      <c r="G22" s="49">
        <v>98</v>
      </c>
      <c r="H22" s="49">
        <v>1880</v>
      </c>
      <c r="I22" s="33" t="s">
        <v>55</v>
      </c>
      <c r="J22" s="49">
        <v>1692</v>
      </c>
      <c r="K22" s="33" t="s">
        <v>52</v>
      </c>
      <c r="L22" s="92" t="str">
        <f>VLOOKUP(C22,'Trips&amp;Operators'!$C$1:$E$9999,3,0)</f>
        <v>CHANDLER</v>
      </c>
      <c r="M22" s="131" t="s">
        <v>86</v>
      </c>
      <c r="N22" s="10" t="s">
        <v>690</v>
      </c>
      <c r="O22" s="33"/>
      <c r="P22" s="108" t="str">
        <f>VLOOKUP(C22,'Train Runs'!$A$13:$AE$10003,31,0)</f>
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</c>
      <c r="Q22" s="111" t="str">
        <f>VLOOKUP(C22,'Train Runs'!$A$13:$AE$10003,22,0)</f>
        <v>https://search-rtdc-monitor-bjffxe2xuh6vdkpspy63sjmuny.us-east-1.es.amazonaws.com/_plugin/kibana/#/discover/Steve-Slow-Train-Analysis-(2080s-and-2083s)?_g=(refreshInterval:(display:Off,section:0,value:0),time:(from:'2016-09-04 17:31:49-0600',mode:absolute,to:'2016-09-04 19:33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22" s="113" t="str">
        <f t="shared" si="0"/>
        <v>"C:\Program Files (x86)\AstroGrep\AstroGrep.exe" /spath="%USERPROFILE%\AppData\Local\Temp\OnboardLogs" /stypes="*4031*201609050*" /stext=" 00:.+((SYSTEM_STATE.+slice.+state.+changed )|(ment ac)|(system.+state.+changed )|(\|lc)|(penalty)|(\[timeout)|(PRM\|1\|D)|(kpr)|(kdp))" /e /r /s</v>
      </c>
      <c r="S22" s="9" t="str">
        <f t="shared" si="1"/>
        <v>4031</v>
      </c>
      <c r="T22" s="38">
        <f t="shared" si="2"/>
        <v>42618.0234375</v>
      </c>
      <c r="U22" s="52" t="str">
        <f t="shared" si="3"/>
        <v>EC</v>
      </c>
      <c r="V22" s="52" t="str">
        <f t="shared" si="4"/>
        <v>KEEP</v>
      </c>
      <c r="W22" s="149" t="str">
        <f t="shared" si="5"/>
        <v>echo {"issue":{"subject":"Departure from DUS Main 3","project_id":79,"tracker_id":40,"status_id":1,"priority_id":2,"assigned_to_id":23,"start_date":"2016-09-04","description":"","custom_fields":[{"id":1,"name":"Subdivision","value":"EC"},{"id":4,"name":"Milepost","value":"0.1692"},{"id":17,"name":"Train ID","value":"219-04"},{"id":16,"name":"Locomotive ID","value":"4031"},{"id":130,"name":"Impact","value":""},{"id":150,"name":"Time of Event (Mountain Time)","value":"18:33:45"},{"id":151,"name":"Denver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2" s="55"/>
      <c r="Y22" s="55"/>
      <c r="Z22" s="55"/>
    </row>
    <row r="23" spans="1:26" x14ac:dyDescent="0.25">
      <c r="A23" s="38">
        <v>42617.386608796296</v>
      </c>
      <c r="B23" s="33" t="s">
        <v>140</v>
      </c>
      <c r="C23" s="33" t="s">
        <v>419</v>
      </c>
      <c r="D23" s="33" t="s">
        <v>49</v>
      </c>
      <c r="E23" s="33" t="s">
        <v>54</v>
      </c>
      <c r="F23" s="49">
        <v>0</v>
      </c>
      <c r="G23" s="49">
        <v>618</v>
      </c>
      <c r="H23" s="49">
        <v>98343</v>
      </c>
      <c r="I23" s="33" t="s">
        <v>55</v>
      </c>
      <c r="J23" s="49">
        <v>95986</v>
      </c>
      <c r="K23" s="33" t="s">
        <v>53</v>
      </c>
      <c r="L23" s="92" t="str">
        <f>VLOOKUP(C23,'Trips&amp;Operators'!$C$1:$E$9999,3,0)</f>
        <v>DAVIS</v>
      </c>
      <c r="M23" s="131" t="s">
        <v>313</v>
      </c>
      <c r="N23" s="10" t="s">
        <v>680</v>
      </c>
      <c r="O23" s="33"/>
      <c r="P23" s="108" t="str">
        <f>VLOOKUP(C23,'Train Runs'!$A$13:$AE$10003,31,0)</f>
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</c>
      <c r="Q23" s="111" t="str">
        <f>VLOOKUP(C23,'Train Runs'!$A$13:$AE$10003,22,0)</f>
        <v>https://search-rtdc-monitor-bjffxe2xuh6vdkpspy63sjmuny.us-east-1.es.amazonaws.com/_plugin/kibana/#/discover/Steve-Slow-Train-Analysis-(2080s-and-2083s)?_g=(refreshInterval:(display:Off,section:0,value:0),time:(from:'2016-09-04 07:48:50-0600',mode:absolute,to:'2016-09-04 10:42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3" s="113" t="str">
        <f t="shared" si="0"/>
        <v>"C:\Program Files (x86)\AstroGrep\AstroGrep.exe" /spath="%USERPROFILE%\AppData\Local\Temp\OnboardLogs" /stypes="*4037*201609041*" /stext=" 15:.+((SYSTEM_STATE.+slice.+state.+changed )|(ment ac)|(system.+state.+changed )|(\|lc)|(penalty)|(\[timeout)|(PRM\|1\|D)|(kpr)|(kdp))" /e /r /s</v>
      </c>
      <c r="S23" s="9" t="str">
        <f t="shared" si="1"/>
        <v>4037</v>
      </c>
      <c r="T23" s="38">
        <f t="shared" si="2"/>
        <v>42617.636608796296</v>
      </c>
      <c r="U23" s="52" t="str">
        <f t="shared" si="3"/>
        <v>EC</v>
      </c>
      <c r="V23" s="52" t="str">
        <f t="shared" si="4"/>
        <v>KEEP</v>
      </c>
      <c r="W23" s="149" t="str">
        <f t="shared" si="5"/>
        <v>echo {"issue":{"subject":"Wi-MAX outage","project_id":79,"tracker_id":40,"status_id":1,"priority_id":2,"assigned_to_id":23,"start_date":"2016-09-04","description":"","custom_fields":[{"id":1,"name":"Subdivision","value":"EC"},{"id":4,"name":"Milepost","value":"9.5986"},{"id":17,"name":"Train ID","value":"136-04"},{"id":16,"name":"Locomotive ID","value":"4037"},{"id":130,"name":"Impact","value":""},{"id":150,"name":"Time of Event (Mountain Time)","value":"09:16:43"},{"id":151,"name":"Denver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3" s="55"/>
      <c r="Y23" s="55"/>
      <c r="Z23" s="55"/>
    </row>
    <row r="24" spans="1:26" x14ac:dyDescent="0.25">
      <c r="A24" s="38">
        <v>42617.574745370373</v>
      </c>
      <c r="B24" s="33" t="s">
        <v>391</v>
      </c>
      <c r="C24" s="33" t="s">
        <v>465</v>
      </c>
      <c r="D24" s="33" t="s">
        <v>49</v>
      </c>
      <c r="E24" s="33" t="s">
        <v>54</v>
      </c>
      <c r="F24" s="49">
        <v>0</v>
      </c>
      <c r="G24" s="49">
        <v>132</v>
      </c>
      <c r="H24" s="49">
        <v>128012</v>
      </c>
      <c r="I24" s="33" t="s">
        <v>55</v>
      </c>
      <c r="J24" s="49">
        <v>127587</v>
      </c>
      <c r="K24" s="33" t="s">
        <v>53</v>
      </c>
      <c r="L24" s="92" t="str">
        <f>VLOOKUP(C24,'Trips&amp;Operators'!$C$1:$E$9999,3,0)</f>
        <v>SHOOK</v>
      </c>
      <c r="M24" s="131" t="s">
        <v>86</v>
      </c>
      <c r="N24" s="10" t="s">
        <v>692</v>
      </c>
      <c r="O24" s="33"/>
      <c r="P24" s="108" t="str">
        <f>VLOOKUP(C24,'Train Runs'!$A$13:$AE$10003,31,0)</f>
        <v>aws s3 cp s3://rtdc.mdm.uploadarchive/RTDC4015/2016-09-04/ "%USERPROFILE%\AppData\Local\Temp\OnboardLogs"\RTDC4015\2016-09-04 --recursive &amp; "%USERPROFILE%\Documents\GitHub\mrs-test-scripts\Headless Mode &amp; Sideloading\WalkAndUnGZ.bat" "%USERPROFILE%\AppData\Local\Temp\OnboardLogs"\RTDC4015\2016-09-04 &amp; 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</v>
      </c>
      <c r="Q24" s="111" t="str">
        <f>VLOOKUP(C24,'Train Runs'!$A$13:$AE$10003,22,0)</f>
        <v>https://search-rtdc-monitor-bjffxe2xuh6vdkpspy63sjmuny.us-east-1.es.amazonaws.com/_plugin/kibana/#/discover/Steve-Slow-Train-Analysis-(2080s-and-2083s)?_g=(refreshInterval:(display:Off,section:0,value:0),time:(from:'2016-09-04 12:20:50-0600',mode:absolute,to:'2016-09-04 15:12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R24" s="113" t="str">
        <f t="shared" si="0"/>
        <v>"C:\Program Files (x86)\AstroGrep\AstroGrep.exe" /spath="%USERPROFILE%\AppData\Local\Temp\OnboardLogs" /stypes="*4015*201609041*" /stext=" 19:.+((SYSTEM_STATE.+slice.+state.+changed )|(ment ac)|(system.+state.+changed )|(\|lc)|(penalty)|(\[timeout)|(PRM\|1\|D)|(kpr)|(kdp))" /e /r /s</v>
      </c>
      <c r="S24" s="9" t="str">
        <f t="shared" si="1"/>
        <v>4015</v>
      </c>
      <c r="T24" s="38">
        <f t="shared" si="2"/>
        <v>42617.824745370373</v>
      </c>
      <c r="U24" s="52" t="str">
        <f t="shared" si="3"/>
        <v>EC</v>
      </c>
      <c r="V24" s="52" t="str">
        <f t="shared" si="4"/>
        <v>KEEP</v>
      </c>
      <c r="W24" s="149" t="str">
        <f t="shared" si="5"/>
        <v>echo {"issue":{"subject":"40th 4S STOP, cleared shortly","project_id":79,"tracker_id":40,"status_id":1,"priority_id":2,"assigned_to_id":23,"start_date":"2016-09-04","description":"","custom_fields":[{"id":1,"name":"Subdivision","value":"EC"},{"id":4,"name":"Milepost","value":"12.7587"},{"id":17,"name":"Train ID","value":"172-04"},{"id":16,"name":"Locomotive ID","value":"4015"},{"id":130,"name":"Impact","value":""},{"id":150,"name":"Time of Event (Mountain Time)","value":"13:47:38"},{"id":151,"name":"Denver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4" s="55"/>
      <c r="Y24" s="55"/>
      <c r="Z24" s="55"/>
    </row>
    <row r="25" spans="1:26" ht="15" customHeight="1" x14ac:dyDescent="0.25">
      <c r="A25" s="38">
        <v>42617.599965277775</v>
      </c>
      <c r="B25" s="33" t="s">
        <v>140</v>
      </c>
      <c r="C25" s="33" t="s">
        <v>472</v>
      </c>
      <c r="D25" s="33" t="s">
        <v>49</v>
      </c>
      <c r="E25" s="33" t="s">
        <v>54</v>
      </c>
      <c r="F25" s="49">
        <v>0</v>
      </c>
      <c r="G25" s="49">
        <v>362</v>
      </c>
      <c r="H25" s="49">
        <v>128960</v>
      </c>
      <c r="I25" s="33" t="s">
        <v>55</v>
      </c>
      <c r="J25" s="49">
        <v>127587</v>
      </c>
      <c r="K25" s="33" t="s">
        <v>53</v>
      </c>
      <c r="L25" s="92" t="str">
        <f>VLOOKUP(C25,'Trips&amp;Operators'!$C$1:$E$9999,3,0)</f>
        <v>BRUDER</v>
      </c>
      <c r="M25" s="131" t="s">
        <v>86</v>
      </c>
      <c r="N25" s="10" t="s">
        <v>692</v>
      </c>
      <c r="O25" s="33"/>
      <c r="P25" s="108" t="str">
        <f>VLOOKUP(C25,'Train Runs'!$A$13:$AE$10003,31,0)</f>
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</c>
      <c r="Q25" s="111" t="str">
        <f>VLOOKUP(C25,'Train Runs'!$A$13:$AE$10003,22,0)</f>
        <v>https://search-rtdc-monitor-bjffxe2xuh6vdkpspy63sjmuny.us-east-1.es.amazonaws.com/_plugin/kibana/#/discover/Steve-Slow-Train-Analysis-(2080s-and-2083s)?_g=(refreshInterval:(display:Off,section:0,value:0),time:(from:'2016-09-04 13:05:53-0600',mode:absolute,to:'2016-09-04 15:49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5" s="113" t="str">
        <f t="shared" si="0"/>
        <v>"C:\Program Files (x86)\AstroGrep\AstroGrep.exe" /spath="%USERPROFILE%\AppData\Local\Temp\OnboardLogs" /stypes="*4037*201609042*" /stext=" 20:.+((SYSTEM_STATE.+slice.+state.+changed )|(ment ac)|(system.+state.+changed )|(\|lc)|(penalty)|(\[timeout)|(PRM\|1\|D)|(kpr)|(kdp))" /e /r /s</v>
      </c>
      <c r="S25" s="9" t="str">
        <f t="shared" si="1"/>
        <v>4037</v>
      </c>
      <c r="T25" s="38">
        <f t="shared" si="2"/>
        <v>42617.849965277775</v>
      </c>
      <c r="U25" s="52" t="str">
        <f t="shared" si="3"/>
        <v>EC</v>
      </c>
      <c r="V25" s="52" t="str">
        <f t="shared" si="4"/>
        <v>KEEP</v>
      </c>
      <c r="W25" s="149" t="str">
        <f t="shared" si="5"/>
        <v>echo {"issue":{"subject":"40th 4S STOP, cleared shortly","project_id":79,"tracker_id":40,"status_id":1,"priority_id":2,"assigned_to_id":23,"start_date":"2016-09-04","description":"","custom_fields":[{"id":1,"name":"Subdivision","value":"EC"},{"id":4,"name":"Milepost","value":"12.7587"},{"id":17,"name":"Train ID","value":"178-04"},{"id":16,"name":"Locomotive ID","value":"4037"},{"id":130,"name":"Impact","value":""},{"id":150,"name":"Time of Event (Mountain Time)","value":"14:23:57"},{"id":151,"name":"Denver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5" s="55"/>
      <c r="Y25" s="55"/>
      <c r="Z25" s="55"/>
    </row>
    <row r="26" spans="1:26" x14ac:dyDescent="0.25">
      <c r="A26" s="38">
        <v>42617.696689814817</v>
      </c>
      <c r="B26" s="33" t="s">
        <v>113</v>
      </c>
      <c r="C26" s="33" t="s">
        <v>493</v>
      </c>
      <c r="D26" s="33" t="s">
        <v>49</v>
      </c>
      <c r="E26" s="33" t="s">
        <v>54</v>
      </c>
      <c r="F26" s="49">
        <v>0</v>
      </c>
      <c r="G26" s="49">
        <v>137</v>
      </c>
      <c r="H26" s="49">
        <v>154765</v>
      </c>
      <c r="I26" s="33" t="s">
        <v>55</v>
      </c>
      <c r="J26" s="49">
        <v>155600</v>
      </c>
      <c r="K26" s="33" t="s">
        <v>52</v>
      </c>
      <c r="L26" s="92" t="str">
        <f>VLOOKUP(C26,'Trips&amp;Operators'!$C$1:$E$9999,3,0)</f>
        <v>STEWART</v>
      </c>
      <c r="M26" s="131" t="s">
        <v>313</v>
      </c>
      <c r="N26" s="10" t="s">
        <v>693</v>
      </c>
      <c r="O26" s="33"/>
      <c r="P26" s="108" t="str">
        <f>VLOOKUP(C26,'Train Runs'!$A$13:$AE$10003,31,0)</f>
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</c>
      <c r="Q26" s="111" t="str">
        <f>VLOOKUP(C26,'Train Runs'!$A$13:$AE$10003,22,0)</f>
        <v>https://search-rtdc-monitor-bjffxe2xuh6vdkpspy63sjmuny.us-east-1.es.amazonaws.com/_plugin/kibana/#/discover/Steve-Slow-Train-Analysis-(2080s-and-2083s)?_g=(refreshInterval:(display:Off,section:0,value:0),time:(from:'2016-09-04 15:08:13-0600',mode:absolute,to:'2016-09-04 17:42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26" s="113" t="str">
        <f t="shared" si="0"/>
        <v>"C:\Program Files (x86)\AstroGrep\AstroGrep.exe" /spath="%USERPROFILE%\AppData\Local\Temp\OnboardLogs" /stypes="*4031*201609042*" /stext=" 22:.+((SYSTEM_STATE.+slice.+state.+changed )|(ment ac)|(system.+state.+changed )|(\|lc)|(penalty)|(\[timeout)|(PRM\|1\|D)|(kpr)|(kdp))" /e /r /s</v>
      </c>
      <c r="S26" s="9" t="str">
        <f t="shared" si="1"/>
        <v>4031</v>
      </c>
      <c r="T26" s="38">
        <f t="shared" si="2"/>
        <v>42617.946689814817</v>
      </c>
      <c r="U26" s="52" t="str">
        <f t="shared" si="3"/>
        <v>EC</v>
      </c>
      <c r="V26" s="52" t="str">
        <f t="shared" si="4"/>
        <v>KEEP</v>
      </c>
      <c r="W26" s="149" t="str">
        <f t="shared" si="5"/>
        <v>echo {"issue":{"subject":"Power outage across EC","project_id":79,"tracker_id":40,"status_id":1,"priority_id":2,"assigned_to_id":23,"start_date":"2016-09-04","description":"","custom_fields":[{"id":1,"name":"Subdivision","value":"EC"},{"id":4,"name":"Milepost","value":"15.56"},{"id":17,"name":"Train ID","value":"201-04"},{"id":16,"name":"Locomotive ID","value":"4031"},{"id":130,"name":"Impact","value":""},{"id":150,"name":"Time of Event (Mountain Time)","value":"16:43:14"},{"id":151,"name":"Denver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6" s="55"/>
      <c r="Y26" s="55"/>
      <c r="Z26" s="55"/>
    </row>
    <row r="27" spans="1:26" x14ac:dyDescent="0.25">
      <c r="A27" s="38">
        <v>42617.736574074072</v>
      </c>
      <c r="B27" s="33" t="s">
        <v>169</v>
      </c>
      <c r="C27" s="33" t="s">
        <v>501</v>
      </c>
      <c r="D27" s="33" t="s">
        <v>110</v>
      </c>
      <c r="E27" s="33" t="s">
        <v>54</v>
      </c>
      <c r="F27" s="49">
        <v>0</v>
      </c>
      <c r="G27" s="49">
        <v>566</v>
      </c>
      <c r="H27" s="49">
        <v>191293</v>
      </c>
      <c r="I27" s="33" t="s">
        <v>55</v>
      </c>
      <c r="J27" s="49">
        <v>190738</v>
      </c>
      <c r="K27" s="33" t="s">
        <v>52</v>
      </c>
      <c r="L27" s="92" t="str">
        <f>VLOOKUP(C27,'Trips&amp;Operators'!$C$1:$E$9999,3,0)</f>
        <v>MOSES</v>
      </c>
      <c r="M27" s="131" t="s">
        <v>313</v>
      </c>
      <c r="N27" s="10" t="s">
        <v>686</v>
      </c>
      <c r="O27" s="33"/>
      <c r="P27" s="108" t="str">
        <f>VLOOKUP(C27,'Train Runs'!$A$13:$AE$10003,31,0)</f>
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</c>
      <c r="Q27" s="111" t="str">
        <f>VLOOKUP(C27,'Train Runs'!$A$13:$AE$10003,22,0)</f>
        <v>https://search-rtdc-monitor-bjffxe2xuh6vdkpspy63sjmuny.us-east-1.es.amazonaws.com/_plugin/kibana/#/discover/Steve-Slow-Train-Analysis-(2080s-and-2083s)?_g=(refreshInterval:(display:Off,section:0,value:0),time:(from:'2016-09-04 15:59:54-0600',mode:absolute,to:'2016-09-04 18:40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27" s="113" t="str">
        <f t="shared" si="0"/>
        <v>"C:\Program Files (x86)\AstroGrep\AstroGrep.exe" /spath="%USERPROFILE%\AppData\Local\Temp\OnboardLogs" /stypes="*4002*201609042*" /stext=" 23:.+((SYSTEM_STATE.+slice.+state.+changed )|(ment ac)|(system.+state.+changed )|(\|lc)|(penalty)|(\[timeout)|(PRM\|1\|D)|(kpr)|(kdp))" /e /r /s</v>
      </c>
      <c r="S27" s="9" t="str">
        <f t="shared" si="1"/>
        <v>4002</v>
      </c>
      <c r="T27" s="38">
        <f t="shared" si="2"/>
        <v>42617.986574074072</v>
      </c>
      <c r="U27" s="52" t="str">
        <f t="shared" si="3"/>
        <v>EC</v>
      </c>
      <c r="V27" s="52" t="str">
        <f t="shared" si="4"/>
        <v>KEEP</v>
      </c>
      <c r="W27" s="149" t="str">
        <f t="shared" si="5"/>
        <v>echo {"issue":{"subject":"Pena 2N premature downgrade","project_id":79,"tracker_id":40,"status_id":1,"priority_id":2,"assigned_to_id":23,"start_date":"2016-09-04","description":"Pena 2N dropped from PROCEED CAB to STOP at approx 17:40:14. The train had not yet gone past the signal (it was about to). Do we have an OS circuit issue here, or does anything else seem out of the ordinary?","custom_fields":[{"id":1,"name":"Subdivision","value":"EC"},{"id":4,"name":"Milepost","value":"19.0738"},{"id":17,"name":"Train ID","value":"207-04"},{"id":16,"name":"Locomotive ID","value":"4002"},{"id":130,"name":"Impact","value":"Enforcement"},{"id":150,"name":"Time of Event (Mountain Time)","value":"17:40:40"},{"id":151,"name":"Denver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X27" s="55" t="s">
        <v>687</v>
      </c>
      <c r="Y27" s="55" t="s">
        <v>187</v>
      </c>
      <c r="Z27" s="55" t="s">
        <v>192</v>
      </c>
    </row>
    <row r="28" spans="1:26" x14ac:dyDescent="0.25">
      <c r="A28" s="38">
        <v>42617.233101851853</v>
      </c>
      <c r="B28" s="33" t="s">
        <v>368</v>
      </c>
      <c r="C28" s="33" t="s">
        <v>378</v>
      </c>
      <c r="D28" s="33" t="s">
        <v>49</v>
      </c>
      <c r="E28" s="33" t="s">
        <v>54</v>
      </c>
      <c r="F28" s="49">
        <v>0</v>
      </c>
      <c r="G28" s="49">
        <v>774</v>
      </c>
      <c r="H28" s="49">
        <v>210461</v>
      </c>
      <c r="I28" s="33" t="s">
        <v>55</v>
      </c>
      <c r="J28" s="49">
        <v>210929</v>
      </c>
      <c r="K28" s="33" t="s">
        <v>52</v>
      </c>
      <c r="L28" s="92" t="str">
        <f>VLOOKUP(C28,'Trips&amp;Operators'!$C$1:$E$9999,3,0)</f>
        <v>STRICKLAND</v>
      </c>
      <c r="M28" s="131" t="s">
        <v>313</v>
      </c>
      <c r="N28" s="10" t="s">
        <v>695</v>
      </c>
      <c r="O28" s="33"/>
      <c r="P28" s="108" t="str">
        <f>VLOOKUP(C28,'Train Runs'!$A$13:$AE$10003,31,0)</f>
        <v>aws s3 cp s3://rtdc.mdm.uploadarchive/RTDC4025/2016-09-04/ "%USERPROFILE%\AppData\Local\Temp\OnboardLogs"\RTDC4025\2016-09-04 --recursive &amp; "%USERPROFILE%\Documents\GitHub\mrs-test-scripts\Headless Mode &amp; Sideloading\WalkAndUnGZ.bat" "%USERPROFILE%\AppData\Local\Temp\OnboardLogs"\RTDC4025\2016-09-04 &amp; 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</v>
      </c>
      <c r="Q28" s="111" t="str">
        <f>VLOOKUP(C28,'Train Runs'!$A$13:$AE$10003,22,0)</f>
        <v>https://search-rtdc-monitor-bjffxe2xuh6vdkpspy63sjmuny.us-east-1.es.amazonaws.com/_plugin/kibana/#/discover/Steve-Slow-Train-Analysis-(2080s-and-2083s)?_g=(refreshInterval:(display:Off,section:0,value:0),time:(from:'2016-09-04 03:53:06-0600',mode:absolute,to:'2016-09-04 06:41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28" s="113" t="str">
        <f t="shared" si="0"/>
        <v>"C:\Program Files (x86)\AstroGrep\AstroGrep.exe" /spath="%USERPROFILE%\AppData\Local\Temp\OnboardLogs" /stypes="*4025*201609041*" /stext=" 11:.+((SYSTEM_STATE.+slice.+state.+changed )|(ment ac)|(system.+state.+changed )|(\|lc)|(penalty)|(\[timeout)|(PRM\|1\|D)|(kpr)|(kdp))" /e /r /s</v>
      </c>
      <c r="S28" s="9" t="str">
        <f t="shared" si="1"/>
        <v>4025</v>
      </c>
      <c r="T28" s="38">
        <f t="shared" si="2"/>
        <v>42617.483101851853</v>
      </c>
      <c r="U28" s="52" t="str">
        <f t="shared" si="3"/>
        <v>EC</v>
      </c>
      <c r="V28" s="52" t="str">
        <f t="shared" si="4"/>
        <v>KEEP</v>
      </c>
      <c r="W28" s="149" t="str">
        <f t="shared" si="5"/>
        <v>echo {"issue":{"subject":"Premature downgrade at EC2108RH 205-1T 1N","project_id":79,"tracker_id":40,"status_id":1,"priority_id":2,"assigned_to_id":23,"start_date":"2016-09-04","description":"At approx 05:35:01,  EC2108RH 205-1T 1N dropped from 270 to STOP &amp; PROCEED. Do the logs tell us anything out of the ordinary?","custom_fields":[{"id":1,"name":"Subdivision","value":"EC"},{"id":4,"name":"Milepost","value":"21.0929"},{"id":17,"name":"Train ID","value":"111-04"},{"id":16,"name":"Locomotive ID","value":"4025"},{"id":130,"name":"Impact","value":"Enforcement"},{"id":150,"name":"Time of Event (Mountain Time)","value":"05:35:40"},{"id":151,"name":"Denver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X28" s="55" t="s">
        <v>696</v>
      </c>
      <c r="Y28" s="55" t="s">
        <v>187</v>
      </c>
      <c r="Z28" s="55" t="s">
        <v>192</v>
      </c>
    </row>
    <row r="29" spans="1:26" x14ac:dyDescent="0.25">
      <c r="A29" s="38">
        <v>42617.233668981484</v>
      </c>
      <c r="B29" s="33" t="s">
        <v>368</v>
      </c>
      <c r="C29" s="33" t="s">
        <v>378</v>
      </c>
      <c r="D29" s="33" t="s">
        <v>110</v>
      </c>
      <c r="E29" s="33" t="s">
        <v>54</v>
      </c>
      <c r="F29" s="49">
        <v>200</v>
      </c>
      <c r="G29" s="49">
        <v>250</v>
      </c>
      <c r="H29" s="49">
        <v>214851</v>
      </c>
      <c r="I29" s="33" t="s">
        <v>55</v>
      </c>
      <c r="J29" s="49">
        <v>210929</v>
      </c>
      <c r="K29" s="33" t="s">
        <v>52</v>
      </c>
      <c r="L29" s="92" t="str">
        <f>VLOOKUP(C29,'Trips&amp;Operators'!$C$1:$E$9999,3,0)</f>
        <v>STRICKLAND</v>
      </c>
      <c r="M29" s="131" t="s">
        <v>86</v>
      </c>
      <c r="N29" s="10" t="s">
        <v>694</v>
      </c>
      <c r="O29" s="33"/>
      <c r="P29" s="108" t="str">
        <f>VLOOKUP(C29,'Train Runs'!$A$13:$AE$10003,31,0)</f>
        <v>aws s3 cp s3://rtdc.mdm.uploadarchive/RTDC4025/2016-09-04/ "%USERPROFILE%\AppData\Local\Temp\OnboardLogs"\RTDC4025\2016-09-04 --recursive &amp; "%USERPROFILE%\Documents\GitHub\mrs-test-scripts\Headless Mode &amp; Sideloading\WalkAndUnGZ.bat" "%USERPROFILE%\AppData\Local\Temp\OnboardLogs"\RTDC4025\2016-09-04 &amp; 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</v>
      </c>
      <c r="Q29" s="111" t="str">
        <f>VLOOKUP(C29,'Train Runs'!$A$13:$AE$10003,22,0)</f>
        <v>https://search-rtdc-monitor-bjffxe2xuh6vdkpspy63sjmuny.us-east-1.es.amazonaws.com/_plugin/kibana/#/discover/Steve-Slow-Train-Analysis-(2080s-and-2083s)?_g=(refreshInterval:(display:Off,section:0,value:0),time:(from:'2016-09-04 03:53:06-0600',mode:absolute,to:'2016-09-04 06:41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29" s="113" t="str">
        <f t="shared" si="0"/>
        <v>"C:\Program Files (x86)\AstroGrep\AstroGrep.exe" /spath="%USERPROFILE%\AppData\Local\Temp\OnboardLogs" /stypes="*4025*201609041*" /stext=" 11:.+((SYSTEM_STATE.+slice.+state.+changed )|(ment ac)|(system.+state.+changed )|(\|lc)|(penalty)|(\[timeout)|(PRM\|1\|D)|(kpr)|(kdp))" /e /r /s</v>
      </c>
      <c r="S29" s="9" t="str">
        <f t="shared" si="1"/>
        <v>4025</v>
      </c>
      <c r="T29" s="38">
        <f t="shared" si="2"/>
        <v>42617.483668981484</v>
      </c>
      <c r="U29" s="52" t="str">
        <f t="shared" si="3"/>
        <v>EC</v>
      </c>
      <c r="V29" s="52" t="str">
        <f t="shared" si="4"/>
        <v>KEEP</v>
      </c>
      <c r="W29" s="149" t="str">
        <f t="shared" si="5"/>
        <v>echo {"issue":{"subject":"Overspeed","project_id":79,"tracker_id":40,"status_id":1,"priority_id":2,"assigned_to_id":23,"start_date":"2016-09-04","description":"","custom_fields":[{"id":1,"name":"Subdivision","value":"EC"},{"id":4,"name":"Milepost","value":"21.0929"},{"id":17,"name":"Train ID","value":"111-04"},{"id":16,"name":"Locomotive ID","value":"4025"},{"id":130,"name":"Impact","value":""},{"id":150,"name":"Time of Event (Mountain Time)","value":"05:36:29"},{"id":151,"name":"Denver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9" s="55"/>
      <c r="Y29" s="55"/>
      <c r="Z29" s="55"/>
    </row>
    <row r="30" spans="1:26" x14ac:dyDescent="0.25">
      <c r="A30" s="38">
        <v>42617.766909722224</v>
      </c>
      <c r="B30" s="33" t="s">
        <v>140</v>
      </c>
      <c r="C30" s="33" t="s">
        <v>508</v>
      </c>
      <c r="D30" s="33" t="s">
        <v>110</v>
      </c>
      <c r="E30" s="33" t="s">
        <v>312</v>
      </c>
      <c r="F30" s="49">
        <v>0</v>
      </c>
      <c r="G30" s="49">
        <v>162</v>
      </c>
      <c r="H30" s="49">
        <v>3529</v>
      </c>
      <c r="I30" s="33" t="s">
        <v>311</v>
      </c>
      <c r="J30" s="49">
        <v>3549</v>
      </c>
      <c r="K30" s="33" t="s">
        <v>53</v>
      </c>
      <c r="L30" s="92" t="str">
        <f>VLOOKUP(C30,'Trips&amp;Operators'!$C$1:$E$9999,3,0)</f>
        <v>BRUDER</v>
      </c>
      <c r="M30" s="131" t="s">
        <v>313</v>
      </c>
      <c r="N30" s="10" t="s">
        <v>680</v>
      </c>
      <c r="O30" s="33"/>
      <c r="P30" s="108" t="str">
        <f>VLOOKUP(C30,'Train Runs'!$A$13:$AE$10003,31,0)</f>
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</c>
      <c r="Q30" s="111" t="str">
        <f>VLOOKUP(C30,'Train Runs'!$A$13:$AE$10003,22,0)</f>
        <v>https://search-rtdc-monitor-bjffxe2xuh6vdkpspy63sjmuny.us-east-1.es.amazonaws.com/_plugin/kibana/#/discover/Steve-Slow-Train-Analysis-(2080s-and-2083s)?_g=(refreshInterval:(display:Off,section:0,value:0),time:(from:'2016-09-04 16:34:02-0600',mode:absolute,to:'2016-09-04 19:26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30" s="113" t="str">
        <f t="shared" si="0"/>
        <v>"C:\Program Files (x86)\AstroGrep\AstroGrep.exe" /spath="%USERPROFILE%\AppData\Local\Temp\OnboardLogs" /stypes="*4037*201609050*" /stext=" 00:.+((SYSTEM_STATE.+slice.+state.+changed )|(ment ac)|(system.+state.+changed )|(\|lc)|(penalty)|(\[timeout)|(PRM\|1\|D)|(kpr)|(kdp))" /e /r /s</v>
      </c>
      <c r="S30" s="9" t="str">
        <f t="shared" si="1"/>
        <v>4037</v>
      </c>
      <c r="T30" s="38">
        <f t="shared" si="2"/>
        <v>42618.016909722224</v>
      </c>
      <c r="U30" s="52" t="str">
        <f t="shared" si="3"/>
        <v>EC</v>
      </c>
      <c r="V30" s="52" t="str">
        <f t="shared" si="4"/>
        <v>KEEP</v>
      </c>
      <c r="W30" s="149" t="str">
        <f t="shared" si="5"/>
        <v>echo {"issue":{"subject":"Wi-MAX outage","project_id":79,"tracker_id":40,"status_id":1,"priority_id":2,"assigned_to_id":23,"start_date":"2016-09-04","description":"","custom_fields":[{"id":1,"name":"Subdivision","value":"EC"},{"id":4,"name":"Milepost","value":"0.3549"},{"id":17,"name":"Train ID","value":"206-04"},{"id":16,"name":"Locomotive ID","value":"4037"},{"id":130,"name":"Impact","value":""},{"id":150,"name":"Time of Event (Mountain Time)","value":"18:24:21"},{"id":151,"name":"Denver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0" s="55"/>
      <c r="Y30" s="55"/>
      <c r="Z30" s="55"/>
    </row>
    <row r="31" spans="1:26" x14ac:dyDescent="0.25">
      <c r="A31" s="38">
        <v>42618.051087962966</v>
      </c>
      <c r="B31" s="33" t="s">
        <v>319</v>
      </c>
      <c r="C31" s="33" t="s">
        <v>557</v>
      </c>
      <c r="D31" s="33" t="s">
        <v>49</v>
      </c>
      <c r="E31" s="33" t="s">
        <v>312</v>
      </c>
      <c r="F31" s="49">
        <v>0</v>
      </c>
      <c r="G31" s="49">
        <v>505</v>
      </c>
      <c r="H31" s="49">
        <v>107232</v>
      </c>
      <c r="I31" s="33" t="s">
        <v>311</v>
      </c>
      <c r="J31" s="49">
        <v>104776</v>
      </c>
      <c r="K31" s="33" t="s">
        <v>53</v>
      </c>
      <c r="L31" s="92" t="str">
        <f>VLOOKUP(C31,'Trips&amp;Operators'!$C$1:$E$9999,3,0)</f>
        <v>NEWELL</v>
      </c>
      <c r="M31" s="131" t="s">
        <v>313</v>
      </c>
      <c r="N31" s="10" t="s">
        <v>680</v>
      </c>
      <c r="O31" s="33"/>
      <c r="P31" s="108" t="str">
        <f>VLOOKUP(C31,'Train Runs'!$A$13:$AE$10003,31,0)</f>
        <v>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 &amp; 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</v>
      </c>
      <c r="Q31" s="111" t="str">
        <f>VLOOKUP(C31,'Train Runs'!$A$13:$AE$10003,22,0)</f>
        <v>https://search-rtdc-monitor-bjffxe2xuh6vdkpspy63sjmuny.us-east-1.es.amazonaws.com/_plugin/kibana/#/discover/Steve-Slow-Train-Analysis-(2080s-and-2083s)?_g=(refreshInterval:(display:Off,section:0,value:0),time:(from:'2016-09-04 23:52:21-0600',mode:absolute,to:'2016-09-05 02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31" s="113" t="str">
        <f t="shared" si="0"/>
        <v>"C:\Program Files (x86)\AstroGrep\AstroGrep.exe" /spath="%USERPROFILE%\AppData\Local\Temp\OnboardLogs" /stypes="*4017*201609050*" /stext=" 07:.+((SYSTEM_STATE.+slice.+state.+changed )|(ment ac)|(system.+state.+changed )|(\|lc)|(penalty)|(\[timeout)|(PRM\|1\|D)|(kpr)|(kdp))" /e /r /s</v>
      </c>
      <c r="S31" s="9" t="str">
        <f t="shared" si="1"/>
        <v>4017</v>
      </c>
      <c r="T31" s="38">
        <f t="shared" si="2"/>
        <v>42618.301087962966</v>
      </c>
      <c r="U31" s="52" t="str">
        <f t="shared" si="3"/>
        <v>EC</v>
      </c>
      <c r="V31" s="52" t="str">
        <f t="shared" si="4"/>
        <v>KEEP</v>
      </c>
      <c r="W31" s="149" t="str">
        <f t="shared" si="5"/>
        <v>echo {"issue":{"subject":"Wi-MAX outage","project_id":79,"tracker_id":40,"status_id":1,"priority_id":2,"assigned_to_id":23,"start_date":"2016-09-05","description":"","custom_fields":[{"id":1,"name":"Subdivision","value":"EC"},{"id":4,"name":"Milepost","value":"10.4776"},{"id":17,"name":"Train ID","value":"242-04"},{"id":16,"name":"Locomotive ID","value":"4017"},{"id":130,"name":"Impact","value":""},{"id":150,"name":"Time of Event (Mountain Time)","value":"01:13:34"},{"id":151,"name":"Denver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1" s="55"/>
      <c r="Y31" s="55"/>
      <c r="Z31" s="55"/>
    </row>
    <row r="32" spans="1:26" ht="15" customHeight="1" x14ac:dyDescent="0.25">
      <c r="A32" s="38">
        <v>42617.222939814812</v>
      </c>
      <c r="B32" s="33" t="s">
        <v>114</v>
      </c>
      <c r="C32" s="33" t="s">
        <v>376</v>
      </c>
      <c r="D32" s="33" t="s">
        <v>49</v>
      </c>
      <c r="E32" s="33" t="s">
        <v>50</v>
      </c>
      <c r="F32" s="49">
        <v>0</v>
      </c>
      <c r="G32" s="49">
        <v>69</v>
      </c>
      <c r="H32" s="49">
        <v>269</v>
      </c>
      <c r="I32" s="33" t="s">
        <v>51</v>
      </c>
      <c r="J32" s="49">
        <v>1</v>
      </c>
      <c r="K32" s="33" t="s">
        <v>53</v>
      </c>
      <c r="L32" s="92" t="str">
        <f>VLOOKUP(C32,'Trips&amp;Operators'!$C$1:$E$9999,3,0)</f>
        <v>ACKERMAN</v>
      </c>
      <c r="M32" s="131" t="s">
        <v>86</v>
      </c>
      <c r="N32" s="10"/>
      <c r="O32" s="33"/>
      <c r="P32" s="108" t="str">
        <f>VLOOKUP(C32,'Train Runs'!$A$13:$AE$10003,31,0)</f>
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</c>
      <c r="Q32" s="111" t="str">
        <f>VLOOKUP(C32,'Train Runs'!$A$13:$AE$10003,22,0)</f>
        <v>https://search-rtdc-monitor-bjffxe2xuh6vdkpspy63sjmuny.us-east-1.es.amazonaws.com/_plugin/kibana/#/discover/Steve-Slow-Train-Analysis-(2080s-and-2083s)?_g=(refreshInterval:(display:Off,section:0,value:0),time:(from:'2016-09-04 03:33:00-0600',mode:absolute,to:'2016-09-04 06:21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32" s="113" t="str">
        <f t="shared" si="0"/>
        <v>"C:\Program Files (x86)\AstroGrep\AstroGrep.exe" /spath="%USERPROFILE%\AppData\Local\Temp\OnboardLogs" /stypes="*4032*201609041*" /stext=" 11:.+((SYSTEM_STATE.+slice.+state.+changed )|(ment ac)|(system.+state.+changed )|(\|lc)|(penalty)|(\[timeout)|(PRM\|1\|D)|(kpr)|(kdp))" /e /r /s</v>
      </c>
      <c r="S32" s="9" t="str">
        <f t="shared" si="1"/>
        <v>4032</v>
      </c>
      <c r="T32" s="38">
        <f t="shared" si="2"/>
        <v>42617.472939814812</v>
      </c>
      <c r="U32" s="52" t="str">
        <f t="shared" si="3"/>
        <v>EC</v>
      </c>
      <c r="V32" s="52" t="str">
        <f t="shared" si="4"/>
        <v>KEEP</v>
      </c>
      <c r="W32" s="149" t="str">
        <f t="shared" si="5"/>
        <v>echo {"issue":{"subject":"","project_id":79,"tracker_id":40,"status_id":1,"priority_id":2,"assigned_to_id":23,"start_date":"2016-09-04","description":"","custom_fields":[{"id":1,"name":"Subdivision","value":"EC"},{"id":4,"name":"Milepost","value":"0.0001"},{"id":17,"name":"Train ID","value":"104-04"},{"id":16,"name":"Locomotive ID","value":"4032"},{"id":130,"name":"Impact","value":""},{"id":150,"name":"Time of Event (Mountain Time)","value":"05:21:02"},{"id":151,"name":"Denver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2" s="55"/>
      <c r="Y32" s="55"/>
      <c r="Z32" s="55"/>
    </row>
    <row r="33" spans="1:26" x14ac:dyDescent="0.25">
      <c r="A33" s="38">
        <v>42617.223321759258</v>
      </c>
      <c r="B33" s="33" t="s">
        <v>114</v>
      </c>
      <c r="C33" s="33" t="s">
        <v>376</v>
      </c>
      <c r="D33" s="33" t="s">
        <v>49</v>
      </c>
      <c r="E33" s="33" t="s">
        <v>50</v>
      </c>
      <c r="F33" s="49">
        <v>0</v>
      </c>
      <c r="G33" s="49">
        <v>48</v>
      </c>
      <c r="H33" s="49">
        <v>136</v>
      </c>
      <c r="I33" s="33" t="s">
        <v>51</v>
      </c>
      <c r="J33" s="49">
        <v>1</v>
      </c>
      <c r="K33" s="33" t="s">
        <v>53</v>
      </c>
      <c r="L33" s="92" t="str">
        <f>VLOOKUP(C33,'Trips&amp;Operators'!$C$1:$E$9999,3,0)</f>
        <v>ACKERMAN</v>
      </c>
      <c r="M33" s="131" t="s">
        <v>86</v>
      </c>
      <c r="N33" s="10"/>
      <c r="O33" s="33"/>
      <c r="P33" s="108" t="str">
        <f>VLOOKUP(C33,'Train Runs'!$A$13:$AE$10003,31,0)</f>
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</c>
      <c r="Q33" s="111" t="str">
        <f>VLOOKUP(C33,'Train Runs'!$A$13:$AE$10003,22,0)</f>
        <v>https://search-rtdc-monitor-bjffxe2xuh6vdkpspy63sjmuny.us-east-1.es.amazonaws.com/_plugin/kibana/#/discover/Steve-Slow-Train-Analysis-(2080s-and-2083s)?_g=(refreshInterval:(display:Off,section:0,value:0),time:(from:'2016-09-04 03:33:00-0600',mode:absolute,to:'2016-09-04 06:21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33" s="113" t="str">
        <f t="shared" si="0"/>
        <v>"C:\Program Files (x86)\AstroGrep\AstroGrep.exe" /spath="%USERPROFILE%\AppData\Local\Temp\OnboardLogs" /stypes="*4032*201609041*" /stext=" 11:.+((SYSTEM_STATE.+slice.+state.+changed )|(ment ac)|(system.+state.+changed )|(\|lc)|(penalty)|(\[timeout)|(PRM\|1\|D)|(kpr)|(kdp))" /e /r /s</v>
      </c>
      <c r="S33" s="9" t="str">
        <f t="shared" si="1"/>
        <v>4032</v>
      </c>
      <c r="T33" s="38">
        <f t="shared" si="2"/>
        <v>42617.473321759258</v>
      </c>
      <c r="U33" s="52" t="str">
        <f t="shared" si="3"/>
        <v>EC</v>
      </c>
      <c r="V33" s="52" t="str">
        <f t="shared" si="4"/>
        <v>KEEP</v>
      </c>
      <c r="W33" s="149" t="str">
        <f t="shared" si="5"/>
        <v>echo {"issue":{"subject":"","project_id":79,"tracker_id":40,"status_id":1,"priority_id":2,"assigned_to_id":23,"start_date":"2016-09-04","description":"","custom_fields":[{"id":1,"name":"Subdivision","value":"EC"},{"id":4,"name":"Milepost","value":"0.0001"},{"id":17,"name":"Train ID","value":"104-04"},{"id":16,"name":"Locomotive ID","value":"4032"},{"id":130,"name":"Impact","value":""},{"id":150,"name":"Time of Event (Mountain Time)","value":"05:21:35"},{"id":151,"name":"Denver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3" s="55"/>
      <c r="Y33" s="55"/>
      <c r="Z33" s="55"/>
    </row>
    <row r="34" spans="1:26" ht="15" customHeight="1" x14ac:dyDescent="0.25">
      <c r="A34" s="38">
        <v>42617.356932870367</v>
      </c>
      <c r="B34" s="33" t="s">
        <v>166</v>
      </c>
      <c r="C34" s="33" t="s">
        <v>408</v>
      </c>
      <c r="D34" s="33" t="s">
        <v>49</v>
      </c>
      <c r="E34" s="33" t="s">
        <v>50</v>
      </c>
      <c r="F34" s="49">
        <v>0</v>
      </c>
      <c r="G34" s="49">
        <v>41</v>
      </c>
      <c r="H34" s="49">
        <v>143</v>
      </c>
      <c r="I34" s="33" t="s">
        <v>51</v>
      </c>
      <c r="J34" s="49">
        <v>1</v>
      </c>
      <c r="K34" s="33" t="s">
        <v>53</v>
      </c>
      <c r="L34" s="92" t="str">
        <f>VLOOKUP(C34,'Trips&amp;Operators'!$C$1:$E$9999,3,0)</f>
        <v>KILLION</v>
      </c>
      <c r="M34" s="131" t="s">
        <v>86</v>
      </c>
      <c r="N34" s="10"/>
      <c r="O34" s="33"/>
      <c r="P34" s="108" t="str">
        <f>VLOOKUP(C34,'Train Runs'!$A$13:$AE$10003,31,0)</f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Q34" s="111" t="str">
        <f>VLOOKUP(C34,'Train Runs'!$A$13:$AE$10003,22,0)</f>
        <v>https://search-rtdc-monitor-bjffxe2xuh6vdkpspy63sjmuny.us-east-1.es.amazonaws.com/_plugin/kibana/#/discover/Steve-Slow-Train-Analysis-(2080s-and-2083s)?_g=(refreshInterval:(display:Off,section:0,value:0),time:(from:'2016-09-04 06:49:08-0600',mode:absolute,to:'2016-09-04 09:33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34" s="113" t="str">
        <f t="shared" si="0"/>
        <v>"C:\Program Files (x86)\AstroGrep\AstroGrep.exe" /spath="%USERPROFILE%\AppData\Local\Temp\OnboardLogs" /stypes="*4010*201609041*" /stext=" 14:.+((SYSTEM_STATE.+slice.+state.+changed )|(ment ac)|(system.+state.+changed )|(\|lc)|(penalty)|(\[timeout)|(PRM\|1\|D)|(kpr)|(kdp))" /e /r /s</v>
      </c>
      <c r="S34" s="9" t="str">
        <f t="shared" si="1"/>
        <v>4010</v>
      </c>
      <c r="T34" s="38">
        <f t="shared" si="2"/>
        <v>42617.606932870367</v>
      </c>
      <c r="U34" s="52" t="str">
        <f t="shared" si="3"/>
        <v>EC</v>
      </c>
      <c r="V34" s="52" t="str">
        <f t="shared" si="4"/>
        <v>KEEP</v>
      </c>
      <c r="W34" s="149" t="str">
        <f t="shared" si="5"/>
        <v>echo {"issue":{"subject":"","project_id":79,"tracker_id":40,"status_id":1,"priority_id":2,"assigned_to_id":23,"start_date":"2016-09-04","description":"","custom_fields":[{"id":1,"name":"Subdivision","value":"EC"},{"id":4,"name":"Milepost","value":"0.0001"},{"id":17,"name":"Train ID","value":"128-04"},{"id":16,"name":"Locomotive ID","value":"4010"},{"id":130,"name":"Impact","value":""},{"id":150,"name":"Time of Event (Mountain Time)","value":"08:33:59"},{"id":151,"name":"Denver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4" s="55"/>
      <c r="Y34" s="55"/>
      <c r="Z34" s="55"/>
    </row>
    <row r="35" spans="1:26" x14ac:dyDescent="0.25">
      <c r="A35" s="38">
        <v>42617.430023148147</v>
      </c>
      <c r="B35" s="33" t="s">
        <v>166</v>
      </c>
      <c r="C35" s="33" t="s">
        <v>426</v>
      </c>
      <c r="D35" s="33" t="s">
        <v>49</v>
      </c>
      <c r="E35" s="33" t="s">
        <v>50</v>
      </c>
      <c r="F35" s="49">
        <v>0</v>
      </c>
      <c r="G35" s="49">
        <v>54</v>
      </c>
      <c r="H35" s="49">
        <v>169</v>
      </c>
      <c r="I35" s="33" t="s">
        <v>51</v>
      </c>
      <c r="J35" s="49">
        <v>1</v>
      </c>
      <c r="K35" s="33" t="s">
        <v>53</v>
      </c>
      <c r="L35" s="92" t="str">
        <f>VLOOKUP(C35,'Trips&amp;Operators'!$C$1:$E$9999,3,0)</f>
        <v>KILLION</v>
      </c>
      <c r="M35" s="131" t="s">
        <v>86</v>
      </c>
      <c r="N35" s="10"/>
      <c r="O35" s="33"/>
      <c r="P35" s="108" t="str">
        <f>VLOOKUP(C35,'Train Runs'!$A$13:$AE$10003,31,0)</f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Q35" s="111" t="str">
        <f>VLOOKUP(C35,'Train Runs'!$A$13:$AE$10003,22,0)</f>
        <v>https://search-rtdc-monitor-bjffxe2xuh6vdkpspy63sjmuny.us-east-1.es.amazonaws.com/_plugin/kibana/#/discover/Steve-Slow-Train-Analysis-(2080s-and-2083s)?_g=(refreshInterval:(display:Off,section:0,value:0),time:(from:'2016-09-04 08:32:49-0600',mode:absolute,to:'2016-09-04 11:19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35" s="113" t="str">
        <f t="shared" si="0"/>
        <v>"C:\Program Files (x86)\AstroGrep\AstroGrep.exe" /spath="%USERPROFILE%\AppData\Local\Temp\OnboardLogs" /stypes="*4010*201609041*" /stext=" 16:.+((SYSTEM_STATE.+slice.+state.+changed )|(ment ac)|(system.+state.+changed )|(\|lc)|(penalty)|(\[timeout)|(PRM\|1\|D)|(kpr)|(kdp))" /e /r /s</v>
      </c>
      <c r="S35" s="9" t="str">
        <f t="shared" si="1"/>
        <v>4010</v>
      </c>
      <c r="T35" s="38">
        <f t="shared" si="2"/>
        <v>42617.680023148147</v>
      </c>
      <c r="U35" s="52" t="str">
        <f t="shared" si="3"/>
        <v>EC</v>
      </c>
      <c r="V35" s="52" t="str">
        <f t="shared" si="4"/>
        <v>KEEP</v>
      </c>
      <c r="W35" s="149" t="str">
        <f t="shared" si="5"/>
        <v>echo {"issue":{"subject":"","project_id":79,"tracker_id":40,"status_id":1,"priority_id":2,"assigned_to_id":23,"start_date":"2016-09-04","description":"","custom_fields":[{"id":1,"name":"Subdivision","value":"EC"},{"id":4,"name":"Milepost","value":"0.0001"},{"id":17,"name":"Train ID","value":"142-04"},{"id":16,"name":"Locomotive ID","value":"4010"},{"id":130,"name":"Impact","value":""},{"id":150,"name":"Time of Event (Mountain Time)","value":"10:19:14"},{"id":151,"name":"Denver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5" s="55"/>
      <c r="Y35" s="55"/>
      <c r="Z35" s="55"/>
    </row>
    <row r="36" spans="1:26" x14ac:dyDescent="0.25">
      <c r="A36" s="38">
        <v>42617.494884259257</v>
      </c>
      <c r="B36" s="33" t="s">
        <v>315</v>
      </c>
      <c r="C36" s="33" t="s">
        <v>441</v>
      </c>
      <c r="D36" s="33" t="s">
        <v>49</v>
      </c>
      <c r="E36" s="33" t="s">
        <v>50</v>
      </c>
      <c r="F36" s="49">
        <v>0</v>
      </c>
      <c r="G36" s="49">
        <v>57</v>
      </c>
      <c r="H36" s="49">
        <v>238</v>
      </c>
      <c r="I36" s="33" t="s">
        <v>51</v>
      </c>
      <c r="J36" s="49">
        <v>1</v>
      </c>
      <c r="K36" s="33" t="s">
        <v>53</v>
      </c>
      <c r="L36" s="92" t="str">
        <f>VLOOKUP(C36,'Trips&amp;Operators'!$C$1:$E$9999,3,0)</f>
        <v>STRICKLAND</v>
      </c>
      <c r="M36" s="131" t="s">
        <v>86</v>
      </c>
      <c r="N36" s="10"/>
      <c r="O36" s="33"/>
      <c r="P36" s="108" t="str">
        <f>VLOOKUP(C36,'Train Runs'!$A$13:$AE$10003,31,0)</f>
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</c>
      <c r="Q36" s="111" t="str">
        <f>VLOOKUP(C36,'Train Runs'!$A$13:$AE$10003,22,0)</f>
        <v>https://search-rtdc-monitor-bjffxe2xuh6vdkpspy63sjmuny.us-east-1.es.amazonaws.com/_plugin/kibana/#/discover/Steve-Slow-Train-Analysis-(2080s-and-2083s)?_g=(refreshInterval:(display:Off,section:0,value:0),time:(from:'2016-09-04 10:05:54-0600',mode:absolute,to:'2016-09-04 12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R36" s="113" t="str">
        <f t="shared" si="0"/>
        <v>"C:\Program Files (x86)\AstroGrep\AstroGrep.exe" /spath="%USERPROFILE%\AppData\Local\Temp\OnboardLogs" /stypes="*4045*201609041*" /stext=" 17:.+((SYSTEM_STATE.+slice.+state.+changed )|(ment ac)|(system.+state.+changed )|(\|lc)|(penalty)|(\[timeout)|(PRM\|1\|D)|(kpr)|(kdp))" /e /r /s</v>
      </c>
      <c r="S36" s="9" t="str">
        <f t="shared" si="1"/>
        <v>4045</v>
      </c>
      <c r="T36" s="38">
        <f t="shared" si="2"/>
        <v>42617.744884259257</v>
      </c>
      <c r="U36" s="52" t="str">
        <f t="shared" si="3"/>
        <v>EC</v>
      </c>
      <c r="V36" s="52" t="str">
        <f t="shared" si="4"/>
        <v>KEEP</v>
      </c>
      <c r="W36" s="149" t="str">
        <f t="shared" si="5"/>
        <v>echo {"issue":{"subject":"","project_id":79,"tracker_id":40,"status_id":1,"priority_id":2,"assigned_to_id":23,"start_date":"2016-09-04","description":"","custom_fields":[{"id":1,"name":"Subdivision","value":"EC"},{"id":4,"name":"Milepost","value":"0.0001"},{"id":17,"name":"Train ID","value":"154-04"},{"id":16,"name":"Locomotive ID","value":"4045"},{"id":130,"name":"Impact","value":""},{"id":150,"name":"Time of Event (Mountain Time)","value":"11:52:38"},{"id":151,"name":"Denver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6" s="55"/>
      <c r="Y36" s="55"/>
      <c r="Z36" s="55"/>
    </row>
    <row r="37" spans="1:26" x14ac:dyDescent="0.25">
      <c r="A37" s="38">
        <v>42617.50577546296</v>
      </c>
      <c r="B37" s="33" t="s">
        <v>166</v>
      </c>
      <c r="C37" s="33" t="s">
        <v>445</v>
      </c>
      <c r="D37" s="33" t="s">
        <v>49</v>
      </c>
      <c r="E37" s="33" t="s">
        <v>50</v>
      </c>
      <c r="F37" s="49">
        <v>0</v>
      </c>
      <c r="G37" s="49">
        <v>39</v>
      </c>
      <c r="H37" s="49">
        <v>138</v>
      </c>
      <c r="I37" s="33" t="s">
        <v>51</v>
      </c>
      <c r="J37" s="49">
        <v>1</v>
      </c>
      <c r="K37" s="33" t="s">
        <v>53</v>
      </c>
      <c r="L37" s="92" t="str">
        <f>VLOOKUP(C37,'Trips&amp;Operators'!$C$1:$E$9999,3,0)</f>
        <v>CLARK</v>
      </c>
      <c r="M37" s="131" t="s">
        <v>86</v>
      </c>
      <c r="N37" s="10"/>
      <c r="O37" s="33"/>
      <c r="P37" s="108" t="str">
        <f>VLOOKUP(C37,'Train Runs'!$A$13:$AE$10003,31,0)</f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Q37" s="111" t="str">
        <f>VLOOKUP(C37,'Train Runs'!$A$13:$AE$10003,22,0)</f>
        <v>https://search-rtdc-monitor-bjffxe2xuh6vdkpspy63sjmuny.us-east-1.es.amazonaws.com/_plugin/kibana/#/discover/Steve-Slow-Train-Analysis-(2080s-and-2083s)?_g=(refreshInterval:(display:Off,section:0,value:0),time:(from:'2016-09-04 10:20:31-0600',mode:absolute,to:'2016-09-04 13:08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37" s="113" t="str">
        <f t="shared" si="0"/>
        <v>"C:\Program Files (x86)\AstroGrep\AstroGrep.exe" /spath="%USERPROFILE%\AppData\Local\Temp\OnboardLogs" /stypes="*4010*201609041*" /stext=" 18:.+((SYSTEM_STATE.+slice.+state.+changed )|(ment ac)|(system.+state.+changed )|(\|lc)|(penalty)|(\[timeout)|(PRM\|1\|D)|(kpr)|(kdp))" /e /r /s</v>
      </c>
      <c r="S37" s="9" t="str">
        <f t="shared" si="1"/>
        <v>4010</v>
      </c>
      <c r="T37" s="38">
        <f t="shared" si="2"/>
        <v>42617.75577546296</v>
      </c>
      <c r="U37" s="52" t="str">
        <f t="shared" si="3"/>
        <v>EC</v>
      </c>
      <c r="V37" s="52" t="str">
        <f t="shared" si="4"/>
        <v>KEEP</v>
      </c>
      <c r="W37" s="149" t="str">
        <f t="shared" si="5"/>
        <v>echo {"issue":{"subject":"","project_id":79,"tracker_id":40,"status_id":1,"priority_id":2,"assigned_to_id":23,"start_date":"2016-09-04","description":"","custom_fields":[{"id":1,"name":"Subdivision","value":"EC"},{"id":4,"name":"Milepost","value":"0.0001"},{"id":17,"name":"Train ID","value":"156-04"},{"id":16,"name":"Locomotive ID","value":"4010"},{"id":130,"name":"Impact","value":""},{"id":150,"name":"Time of Event (Mountain Time)","value":"12:08:19"},{"id":151,"name":"Denver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7" s="55"/>
      <c r="Y37" s="55"/>
      <c r="Z37" s="55"/>
    </row>
    <row r="38" spans="1:26" ht="15" customHeight="1" x14ac:dyDescent="0.25">
      <c r="A38" s="38">
        <v>42617.580451388887</v>
      </c>
      <c r="B38" s="33" t="s">
        <v>166</v>
      </c>
      <c r="C38" s="33" t="s">
        <v>462</v>
      </c>
      <c r="D38" s="33" t="s">
        <v>49</v>
      </c>
      <c r="E38" s="33" t="s">
        <v>50</v>
      </c>
      <c r="F38" s="49">
        <v>0</v>
      </c>
      <c r="G38" s="49">
        <v>46</v>
      </c>
      <c r="H38" s="49">
        <v>180</v>
      </c>
      <c r="I38" s="33" t="s">
        <v>51</v>
      </c>
      <c r="J38" s="49">
        <v>1</v>
      </c>
      <c r="K38" s="33" t="s">
        <v>53</v>
      </c>
      <c r="L38" s="92" t="str">
        <f>VLOOKUP(C38,'Trips&amp;Operators'!$C$1:$E$9999,3,0)</f>
        <v>CLARK</v>
      </c>
      <c r="M38" s="131" t="s">
        <v>86</v>
      </c>
      <c r="N38" s="10"/>
      <c r="O38" s="33"/>
      <c r="P38" s="108" t="str">
        <f>VLOOKUP(C38,'Train Runs'!$A$13:$AE$10003,31,0)</f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Q38" s="111" t="str">
        <f>VLOOKUP(C38,'Train Runs'!$A$13:$AE$10003,22,0)</f>
        <v>https://search-rtdc-monitor-bjffxe2xuh6vdkpspy63sjmuny.us-east-1.es.amazonaws.com/_plugin/kibana/#/discover/Steve-Slow-Train-Analysis-(2080s-and-2083s)?_g=(refreshInterval:(display:Off,section:0,value:0),time:(from:'2016-09-04 12:03:17-0600',mode:absolute,to:'2016-09-04 14:55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38" s="113" t="str">
        <f t="shared" si="0"/>
        <v>"C:\Program Files (x86)\AstroGrep\AstroGrep.exe" /spath="%USERPROFILE%\AppData\Local\Temp\OnboardLogs" /stypes="*4010*201609041*" /stext=" 19:.+((SYSTEM_STATE.+slice.+state.+changed )|(ment ac)|(system.+state.+changed )|(\|lc)|(penalty)|(\[timeout)|(PRM\|1\|D)|(kpr)|(kdp))" /e /r /s</v>
      </c>
      <c r="S38" s="9" t="str">
        <f t="shared" si="1"/>
        <v>4010</v>
      </c>
      <c r="T38" s="38">
        <f t="shared" si="2"/>
        <v>42617.830451388887</v>
      </c>
      <c r="U38" s="52" t="str">
        <f t="shared" si="3"/>
        <v>EC</v>
      </c>
      <c r="V38" s="52" t="str">
        <f t="shared" si="4"/>
        <v>KEEP</v>
      </c>
      <c r="W38" s="149" t="str">
        <f t="shared" si="5"/>
        <v>echo {"issue":{"subject":"","project_id":79,"tracker_id":40,"status_id":1,"priority_id":2,"assigned_to_id":23,"start_date":"2016-09-04","description":"","custom_fields":[{"id":1,"name":"Subdivision","value":"EC"},{"id":4,"name":"Milepost","value":"0.0001"},{"id":17,"name":"Train ID","value":"170-04"},{"id":16,"name":"Locomotive ID","value":"4010"},{"id":130,"name":"Impact","value":""},{"id":150,"name":"Time of Event (Mountain Time)","value":"13:55:51"},{"id":151,"name":"Denver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8" s="55"/>
      <c r="Y38" s="55"/>
      <c r="Z38" s="55"/>
    </row>
    <row r="39" spans="1:26" x14ac:dyDescent="0.25">
      <c r="A39" s="38">
        <v>42617.786377314813</v>
      </c>
      <c r="B39" s="33" t="s">
        <v>315</v>
      </c>
      <c r="C39" s="33" t="s">
        <v>515</v>
      </c>
      <c r="D39" s="33" t="s">
        <v>49</v>
      </c>
      <c r="E39" s="33" t="s">
        <v>50</v>
      </c>
      <c r="F39" s="49">
        <v>0</v>
      </c>
      <c r="G39" s="49">
        <v>51</v>
      </c>
      <c r="H39" s="49">
        <v>194</v>
      </c>
      <c r="I39" s="33" t="s">
        <v>51</v>
      </c>
      <c r="J39" s="49">
        <v>1</v>
      </c>
      <c r="K39" s="33" t="s">
        <v>53</v>
      </c>
      <c r="L39" s="92" t="str">
        <f>VLOOKUP(C39,'Trips&amp;Operators'!$C$1:$E$9999,3,0)</f>
        <v>LEVERE</v>
      </c>
      <c r="M39" s="131" t="s">
        <v>86</v>
      </c>
      <c r="N39" s="10"/>
      <c r="O39" s="33"/>
      <c r="P39" s="108" t="str">
        <f>VLOOKUP(C39,'Train Runs'!$A$13:$AE$10003,31,0)</f>
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</c>
      <c r="Q39" s="111" t="str">
        <f>VLOOKUP(C39,'Train Runs'!$A$13:$AE$10003,22,0)</f>
        <v>https://search-rtdc-monitor-bjffxe2xuh6vdkpspy63sjmuny.us-east-1.es.amazonaws.com/_plugin/kibana/#/discover/Steve-Slow-Train-Analysis-(2080s-and-2083s)?_g=(refreshInterval:(display:Off,section:0,value:0),time:(from:'2016-09-04 17:07:29-0600',mode:absolute,to:'2016-09-04 19:52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R39" s="113" t="str">
        <f t="shared" si="0"/>
        <v>"C:\Program Files (x86)\AstroGrep\AstroGrep.exe" /spath="%USERPROFILE%\AppData\Local\Temp\OnboardLogs" /stypes="*4045*201609050*" /stext=" 00:.+((SYSTEM_STATE.+slice.+state.+changed )|(ment ac)|(system.+state.+changed )|(\|lc)|(penalty)|(\[timeout)|(PRM\|1\|D)|(kpr)|(kdp))" /e /r /s</v>
      </c>
      <c r="S39" s="9" t="str">
        <f t="shared" si="1"/>
        <v>4045</v>
      </c>
      <c r="T39" s="38">
        <f t="shared" si="2"/>
        <v>42618.036377314813</v>
      </c>
      <c r="U39" s="52" t="str">
        <f t="shared" si="3"/>
        <v>EC</v>
      </c>
      <c r="V39" s="52" t="str">
        <f t="shared" si="4"/>
        <v>KEEP</v>
      </c>
      <c r="W39" s="149" t="str">
        <f t="shared" si="5"/>
        <v>echo {"issue":{"subject":"","project_id":79,"tracker_id":40,"status_id":1,"priority_id":2,"assigned_to_id":23,"start_date":"2016-09-04","description":"","custom_fields":[{"id":1,"name":"Subdivision","value":"EC"},{"id":4,"name":"Milepost","value":"0.0001"},{"id":17,"name":"Train ID","value":"210-04"},{"id":16,"name":"Locomotive ID","value":"4045"},{"id":130,"name":"Impact","value":""},{"id":150,"name":"Time of Event (Mountain Time)","value":"18:52:23"},{"id":151,"name":"Denver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9" s="55"/>
      <c r="Y39" s="55"/>
      <c r="Z39" s="55"/>
    </row>
    <row r="40" spans="1:26" x14ac:dyDescent="0.25">
      <c r="A40" s="38">
        <v>42617.923692129632</v>
      </c>
      <c r="B40" s="33" t="s">
        <v>114</v>
      </c>
      <c r="C40" s="33" t="s">
        <v>539</v>
      </c>
      <c r="D40" s="33" t="s">
        <v>49</v>
      </c>
      <c r="E40" s="33" t="s">
        <v>50</v>
      </c>
      <c r="F40" s="49">
        <v>0</v>
      </c>
      <c r="G40" s="49">
        <v>46</v>
      </c>
      <c r="H40" s="49">
        <v>150</v>
      </c>
      <c r="I40" s="33" t="s">
        <v>51</v>
      </c>
      <c r="J40" s="49">
        <v>1</v>
      </c>
      <c r="K40" s="33" t="s">
        <v>53</v>
      </c>
      <c r="L40" s="92" t="str">
        <f>VLOOKUP(C40,'Trips&amp;Operators'!$C$1:$E$9999,3,0)</f>
        <v>CHANDLER</v>
      </c>
      <c r="M40" s="131" t="s">
        <v>86</v>
      </c>
      <c r="N40" s="10"/>
      <c r="O40" s="33"/>
      <c r="P40" s="108" t="str">
        <f>VLOOKUP(C40,'Train Runs'!$A$13:$AE$10003,31,0)</f>
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</c>
      <c r="Q40" s="111" t="str">
        <f>VLOOKUP(C40,'Train Runs'!$A$13:$AE$10003,22,0)</f>
        <v>https://search-rtdc-monitor-bjffxe2xuh6vdkpspy63sjmuny.us-east-1.es.amazonaws.com/_plugin/kibana/#/discover/Steve-Slow-Train-Analysis-(2080s-and-2083s)?_g=(refreshInterval:(display:Off,section:0,value:0),time:(from:'2016-09-04 20:23:06-0600',mode:absolute,to:'2016-09-04 23:10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40" s="113" t="str">
        <f t="shared" si="0"/>
        <v>"C:\Program Files (x86)\AstroGrep\AstroGrep.exe" /spath="%USERPROFILE%\AppData\Local\Temp\OnboardLogs" /stypes="*4032*201609050*" /stext=" 04:.+((SYSTEM_STATE.+slice.+state.+changed )|(ment ac)|(system.+state.+changed )|(\|lc)|(penalty)|(\[timeout)|(PRM\|1\|D)|(kpr)|(kdp))" /e /r /s</v>
      </c>
      <c r="S40" s="9" t="str">
        <f t="shared" si="1"/>
        <v>4032</v>
      </c>
      <c r="T40" s="38">
        <f t="shared" si="2"/>
        <v>42618.173692129632</v>
      </c>
      <c r="U40" s="52" t="str">
        <f t="shared" si="3"/>
        <v>EC</v>
      </c>
      <c r="V40" s="52" t="str">
        <f t="shared" si="4"/>
        <v>KEEP</v>
      </c>
      <c r="W40" s="149" t="str">
        <f t="shared" si="5"/>
        <v>echo {"issue":{"subject":"","project_id":79,"tracker_id":40,"status_id":1,"priority_id":2,"assigned_to_id":23,"start_date":"2016-09-04","description":"","custom_fields":[{"id":1,"name":"Subdivision","value":"EC"},{"id":4,"name":"Milepost","value":"0.0001"},{"id":17,"name":"Train ID","value":"228-04"},{"id":16,"name":"Locomotive ID","value":"4032"},{"id":130,"name":"Impact","value":""},{"id":150,"name":"Time of Event (Mountain Time)","value":"22:10:07"},{"id":151,"name":"Denver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0" s="55"/>
      <c r="Y40" s="55"/>
      <c r="Z40" s="55"/>
    </row>
    <row r="41" spans="1:26" x14ac:dyDescent="0.25">
      <c r="A41" s="38">
        <v>42617.604594907411</v>
      </c>
      <c r="B41" s="33" t="s">
        <v>314</v>
      </c>
      <c r="C41" s="33" t="s">
        <v>469</v>
      </c>
      <c r="D41" s="33" t="s">
        <v>49</v>
      </c>
      <c r="E41" s="33" t="s">
        <v>50</v>
      </c>
      <c r="F41" s="49">
        <v>0</v>
      </c>
      <c r="G41" s="49">
        <v>56</v>
      </c>
      <c r="H41" s="49">
        <v>233299</v>
      </c>
      <c r="I41" s="33" t="s">
        <v>51</v>
      </c>
      <c r="J41" s="49">
        <v>233491</v>
      </c>
      <c r="K41" s="33" t="s">
        <v>52</v>
      </c>
      <c r="L41" s="92" t="str">
        <f>VLOOKUP(C41,'Trips&amp;Operators'!$C$1:$E$9999,3,0)</f>
        <v>YOUNG</v>
      </c>
      <c r="M41" s="131" t="s">
        <v>86</v>
      </c>
      <c r="N41" s="10"/>
      <c r="O41" s="33"/>
      <c r="P41" s="108" t="str">
        <f>VLOOKUP(C41,'Train Runs'!$A$13:$AE$10003,31,0)</f>
        <v>aws s3 cp s3://rtdc.mdm.uploadarchive/RTDC4046/2016-09-04/ "%USERPROFILE%\AppData\Local\Temp\OnboardLogs"\RTDC4046\2016-09-04 --recursive &amp; "%USERPROFILE%\Documents\GitHub\mrs-test-scripts\Headless Mode &amp; Sideloading\WalkAndUnGZ.bat" "%USERPROFILE%\AppData\Local\Temp\OnboardLogs"\RTDC4046\2016-09-04 &amp; 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</v>
      </c>
      <c r="Q41" s="111" t="str">
        <f>VLOOKUP(C41,'Train Runs'!$A$13:$AE$10003,22,0)</f>
        <v>https://search-rtdc-monitor-bjffxe2xuh6vdkpspy63sjmuny.us-east-1.es.amazonaws.com/_plugin/kibana/#/discover/Steve-Slow-Train-Analysis-(2080s-and-2083s)?_g=(refreshInterval:(display:Off,section:0,value:0),time:(from:'2016-09-04 12:50:14-0600',mode:absolute,to:'2016-09-04 15:30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</c>
      <c r="R41" s="113" t="str">
        <f t="shared" si="0"/>
        <v>"C:\Program Files (x86)\AstroGrep\AstroGrep.exe" /spath="%USERPROFILE%\AppData\Local\Temp\OnboardLogs" /stypes="*4046*201609042*" /stext=" 20:.+((SYSTEM_STATE.+slice.+state.+changed )|(ment ac)|(system.+state.+changed )|(\|lc)|(penalty)|(\[timeout)|(PRM\|1\|D)|(kpr)|(kdp))" /e /r /s</v>
      </c>
      <c r="S41" s="9" t="str">
        <f t="shared" si="1"/>
        <v>4046</v>
      </c>
      <c r="T41" s="38">
        <f t="shared" si="2"/>
        <v>42617.854594907411</v>
      </c>
      <c r="U41" s="52" t="str">
        <f t="shared" si="3"/>
        <v>EC</v>
      </c>
      <c r="V41" s="52" t="str">
        <f t="shared" si="4"/>
        <v>KEEP</v>
      </c>
      <c r="W41" s="149" t="str">
        <f t="shared" si="5"/>
        <v>echo {"issue":{"subject":"","project_id":79,"tracker_id":40,"status_id":1,"priority_id":2,"assigned_to_id":23,"start_date":"2016-09-04","description":"","custom_fields":[{"id":1,"name":"Subdivision","value":"EC"},{"id":4,"name":"Milepost","value":"23.3491"},{"id":17,"name":"Train ID","value":"181-04"},{"id":16,"name":"Locomotive ID","value":"4046"},{"id":130,"name":"Impact","value":""},{"id":150,"name":"Time of Event (Mountain Time)","value":"14:30:37"},{"id":151,"name":"Denver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1" s="55"/>
      <c r="Y41" s="55"/>
      <c r="Z41" s="55"/>
    </row>
    <row r="42" spans="1:26" x14ac:dyDescent="0.25">
      <c r="A42" s="38">
        <v>42617.963067129633</v>
      </c>
      <c r="B42" s="33" t="s">
        <v>113</v>
      </c>
      <c r="C42" s="33" t="s">
        <v>546</v>
      </c>
      <c r="D42" s="33" t="s">
        <v>49</v>
      </c>
      <c r="E42" s="33" t="s">
        <v>50</v>
      </c>
      <c r="F42" s="49">
        <v>0</v>
      </c>
      <c r="G42" s="49">
        <v>80</v>
      </c>
      <c r="H42" s="49">
        <v>233188</v>
      </c>
      <c r="I42" s="33" t="s">
        <v>51</v>
      </c>
      <c r="J42" s="49">
        <v>233491</v>
      </c>
      <c r="K42" s="33" t="s">
        <v>52</v>
      </c>
      <c r="L42" s="92" t="str">
        <f>VLOOKUP(C42,'Trips&amp;Operators'!$C$1:$E$9999,3,0)</f>
        <v>CHANDLER</v>
      </c>
      <c r="M42" s="131" t="s">
        <v>86</v>
      </c>
      <c r="N42" s="10"/>
      <c r="O42" s="33"/>
      <c r="P42" s="108" t="str">
        <f>VLOOKUP(C42,'Train Runs'!$A$13:$AE$10003,31,0)</f>
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</c>
      <c r="Q42" s="111" t="str">
        <f>VLOOKUP(C42,'Train Runs'!$A$13:$AE$10003,22,0)</f>
        <v>https://search-rtdc-monitor-bjffxe2xuh6vdkpspy63sjmuny.us-east-1.es.amazonaws.com/_plugin/kibana/#/discover/Steve-Slow-Train-Analysis-(2080s-and-2083s)?_g=(refreshInterval:(display:Off,section:0,value:0),time:(from:'2016-09-04 21:28:10-0600',mode:absolute,to:'2016-09-05 00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42" s="113" t="str">
        <f t="shared" si="0"/>
        <v>"C:\Program Files (x86)\AstroGrep\AstroGrep.exe" /spath="%USERPROFILE%\AppData\Local\Temp\OnboardLogs" /stypes="*4031*201609050*" /stext=" 05:.+((SYSTEM_STATE.+slice.+state.+changed )|(ment ac)|(system.+state.+changed )|(\|lc)|(penalty)|(\[timeout)|(PRM\|1\|D)|(kpr)|(kdp))" /e /r /s</v>
      </c>
      <c r="S42" s="9" t="str">
        <f t="shared" si="1"/>
        <v>4031</v>
      </c>
      <c r="T42" s="38">
        <f t="shared" si="2"/>
        <v>42618.213067129633</v>
      </c>
      <c r="U42" s="52" t="str">
        <f t="shared" si="3"/>
        <v>EC</v>
      </c>
      <c r="V42" s="52" t="str">
        <f t="shared" si="4"/>
        <v>KEEP</v>
      </c>
      <c r="W42" s="149" t="str">
        <f t="shared" si="5"/>
        <v>echo {"issue":{"subject":"","project_id":79,"tracker_id":40,"status_id":1,"priority_id":2,"assigned_to_id":23,"start_date":"2016-09-04","description":"","custom_fields":[{"id":1,"name":"Subdivision","value":"EC"},{"id":4,"name":"Milepost","value":"23.3491"},{"id":17,"name":"Train ID","value":"235-04"},{"id":16,"name":"Locomotive ID","value":"4031"},{"id":130,"name":"Impact","value":""},{"id":150,"name":"Time of Event (Mountain Time)","value":"23:06:49"},{"id":151,"name":"Denver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2" s="55"/>
      <c r="Y42" s="55"/>
      <c r="Z42" s="55"/>
    </row>
    <row r="43" spans="1:26" x14ac:dyDescent="0.25">
      <c r="A43" s="38">
        <v>42617.453310185185</v>
      </c>
      <c r="B43" s="33" t="s">
        <v>92</v>
      </c>
      <c r="C43" s="33" t="s">
        <v>438</v>
      </c>
      <c r="D43" s="33" t="s">
        <v>49</v>
      </c>
      <c r="E43" s="33" t="s">
        <v>56</v>
      </c>
      <c r="F43" s="49">
        <v>200</v>
      </c>
      <c r="G43" s="49">
        <v>320</v>
      </c>
      <c r="H43" s="49">
        <v>7467</v>
      </c>
      <c r="I43" s="33" t="s">
        <v>57</v>
      </c>
      <c r="J43" s="49">
        <v>5782</v>
      </c>
      <c r="K43" s="33" t="s">
        <v>53</v>
      </c>
      <c r="L43" s="92" t="str">
        <f>VLOOKUP(C43,'Trips&amp;Operators'!$C$1:$E$9999,3,0)</f>
        <v>STARKS</v>
      </c>
      <c r="M43" s="131" t="s">
        <v>86</v>
      </c>
      <c r="N43" s="10"/>
      <c r="O43" s="33"/>
      <c r="P43" s="108" t="str">
        <f>VLOOKUP(C43,'Train Runs'!$A$13:$AE$10003,31,0)</f>
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</c>
      <c r="Q43" s="111" t="str">
        <f>VLOOKUP(C43,'Train Runs'!$A$13:$AE$10003,22,0)</f>
        <v>https://search-rtdc-monitor-bjffxe2xuh6vdkpspy63sjmuny.us-east-1.es.amazonaws.com/_plugin/kibana/#/discover/Steve-Slow-Train-Analysis-(2080s-and-2083s)?_g=(refreshInterval:(display:Off,section:0,value:0),time:(from:'2016-09-04 09:35:57-0600',mode:absolute,to:'2016-09-04 11:55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43" s="113" t="str">
        <f t="shared" si="0"/>
        <v>"C:\Program Files (x86)\AstroGrep\AstroGrep.exe" /spath="%USERPROFILE%\AppData\Local\Temp\OnboardLogs" /stypes="*4030*201609041*" /stext=" 16:.+((SYSTEM_STATE.+slice.+state.+changed )|(ment ac)|(system.+state.+changed )|(\|lc)|(penalty)|(\[timeout)|(PRM\|1\|D)|(kpr)|(kdp))" /e /r /s</v>
      </c>
      <c r="S43" s="9" t="str">
        <f t="shared" si="1"/>
        <v>4030</v>
      </c>
      <c r="T43" s="38">
        <f t="shared" si="2"/>
        <v>42617.703310185185</v>
      </c>
      <c r="U43" s="52" t="str">
        <f t="shared" si="3"/>
        <v>NW</v>
      </c>
      <c r="V43" s="52" t="str">
        <f t="shared" si="4"/>
        <v>KEEP</v>
      </c>
      <c r="W43" s="149" t="str">
        <f t="shared" si="5"/>
        <v>echo {"issue":{"subject":"","project_id":79,"tracker_id":40,"status_id":1,"priority_id":2,"assigned_to_id":23,"start_date":"2016-09-04","description":"","custom_fields":[{"id":1,"name":"Subdivision","value":"NW"},{"id":4,"name":"Milepost","value":"0.5782"},{"id":17,"name":"Train ID","value":"1810-04"},{"id":16,"name":"Locomotive ID","value":"4030"},{"id":130,"name":"Impact","value":""},{"id":150,"name":"Time of Event (Mountain Time)","value":"10:52:46"},{"id":151,"name":"Denver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3" s="55"/>
      <c r="Y43" s="55"/>
      <c r="Z43" s="55"/>
    </row>
    <row r="44" spans="1:26" x14ac:dyDescent="0.25">
      <c r="A44" s="38">
        <v>42617.76871527778</v>
      </c>
      <c r="B44" s="33" t="s">
        <v>91</v>
      </c>
      <c r="C44" s="33" t="s">
        <v>514</v>
      </c>
      <c r="D44" s="33" t="s">
        <v>110</v>
      </c>
      <c r="E44" s="33" t="s">
        <v>56</v>
      </c>
      <c r="F44" s="49">
        <v>500</v>
      </c>
      <c r="G44" s="49">
        <v>551</v>
      </c>
      <c r="H44" s="49">
        <v>16631</v>
      </c>
      <c r="I44" s="33" t="s">
        <v>57</v>
      </c>
      <c r="J44" s="49">
        <v>14402</v>
      </c>
      <c r="K44" s="33" t="s">
        <v>52</v>
      </c>
      <c r="L44" s="92" t="str">
        <f>VLOOKUP(C44,'Trips&amp;Operators'!$C$1:$E$9999,3,0)</f>
        <v>ISHMAEL</v>
      </c>
      <c r="M44" s="131" t="s">
        <v>86</v>
      </c>
      <c r="N44" s="10"/>
      <c r="O44" s="33"/>
      <c r="P44" s="108" t="str">
        <f>VLOOKUP(C44,'Train Runs'!$A$13:$AE$10003,31,0)</f>
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</c>
      <c r="Q44" s="111" t="str">
        <f>VLOOKUP(C44,'Train Runs'!$A$13:$AE$10003,22,0)</f>
        <v>https://search-rtdc-monitor-bjffxe2xuh6vdkpspy63sjmuny.us-east-1.es.amazonaws.com/_plugin/kibana/#/discover/Steve-Slow-Train-Analysis-(2080s-and-2083s)?_g=(refreshInterval:(display:Off,section:0,value:0),time:(from:'2016-09-04 17:05:08-0600',mode:absolute,to:'2016-09-04 19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44" s="113" t="str">
        <f t="shared" si="0"/>
        <v>"C:\Program Files (x86)\AstroGrep\AstroGrep.exe" /spath="%USERPROFILE%\AppData\Local\Temp\OnboardLogs" /stypes="*4029*201609050*" /stext=" 00:.+((SYSTEM_STATE.+slice.+state.+changed )|(ment ac)|(system.+state.+changed )|(\|lc)|(penalty)|(\[timeout)|(PRM\|1\|D)|(kpr)|(kdp))" /e /r /s</v>
      </c>
      <c r="S44" s="9" t="str">
        <f t="shared" si="1"/>
        <v>4029</v>
      </c>
      <c r="T44" s="38">
        <f t="shared" si="2"/>
        <v>42618.01871527778</v>
      </c>
      <c r="U44" s="52" t="str">
        <f t="shared" si="3"/>
        <v>NW</v>
      </c>
      <c r="V44" s="52" t="str">
        <f t="shared" si="4"/>
        <v>KEEP</v>
      </c>
      <c r="W44" s="149" t="str">
        <f t="shared" si="5"/>
        <v>echo {"issue":{"subject":"","project_id":79,"tracker_id":40,"status_id":1,"priority_id":2,"assigned_to_id":23,"start_date":"2016-09-04","description":"","custom_fields":[{"id":1,"name":"Subdivision","value":"NW"},{"id":4,"name":"Milepost","value":"1.4402"},{"id":17,"name":"Train ID","value":"1825-04"},{"id":16,"name":"Locomotive ID","value":"4029"},{"id":130,"name":"Impact","value":""},{"id":150,"name":"Time of Event (Mountain Time)","value":"18:26:57"},{"id":151,"name":"Denver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4" s="55"/>
      <c r="Y44" s="55"/>
      <c r="Z44" s="55"/>
    </row>
    <row r="45" spans="1:26" x14ac:dyDescent="0.25">
      <c r="A45" s="38">
        <v>42617.562210648146</v>
      </c>
      <c r="B45" s="33" t="s">
        <v>91</v>
      </c>
      <c r="C45" s="33" t="s">
        <v>464</v>
      </c>
      <c r="D45" s="33" t="s">
        <v>49</v>
      </c>
      <c r="E45" s="33" t="s">
        <v>56</v>
      </c>
      <c r="F45" s="49">
        <v>300</v>
      </c>
      <c r="G45" s="49">
        <v>383</v>
      </c>
      <c r="H45" s="49">
        <v>38755</v>
      </c>
      <c r="I45" s="33" t="s">
        <v>57</v>
      </c>
      <c r="J45" s="49">
        <v>39716</v>
      </c>
      <c r="K45" s="33" t="s">
        <v>52</v>
      </c>
      <c r="L45" s="92" t="str">
        <f>VLOOKUP(C45,'Trips&amp;Operators'!$C$1:$E$9999,3,0)</f>
        <v>STARKS</v>
      </c>
      <c r="M45" s="131" t="s">
        <v>86</v>
      </c>
      <c r="N45" s="10"/>
      <c r="O45" s="33"/>
      <c r="P45" s="108" t="str">
        <f>VLOOKUP(C45,'Train Runs'!$A$13:$AE$10003,31,0)</f>
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</c>
      <c r="Q45" s="111" t="str">
        <f>VLOOKUP(C45,'Train Runs'!$A$13:$AE$10003,22,0)</f>
        <v>https://search-rtdc-monitor-bjffxe2xuh6vdkpspy63sjmuny.us-east-1.es.amazonaws.com/_plugin/kibana/#/discover/Steve-Slow-Train-Analysis-(2080s-and-2083s)?_g=(refreshInterval:(display:Off,section:0,value:0),time:(from:'2016-09-04 12:18:31-0600',mode:absolute,to:'2016-09-04 14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45" s="113" t="str">
        <f t="shared" si="0"/>
        <v>"C:\Program Files (x86)\AstroGrep\AstroGrep.exe" /spath="%USERPROFILE%\AppData\Local\Temp\OnboardLogs" /stypes="*4029*201609041*" /stext=" 19:.+((SYSTEM_STATE.+slice.+state.+changed )|(ment ac)|(system.+state.+changed )|(\|lc)|(penalty)|(\[timeout)|(PRM\|1\|D)|(kpr)|(kdp))" /e /r /s</v>
      </c>
      <c r="S45" s="9" t="str">
        <f t="shared" si="1"/>
        <v>4029</v>
      </c>
      <c r="T45" s="38">
        <f t="shared" si="2"/>
        <v>42617.812210648146</v>
      </c>
      <c r="U45" s="52" t="str">
        <f t="shared" si="3"/>
        <v>NW</v>
      </c>
      <c r="V45" s="52" t="str">
        <f t="shared" si="4"/>
        <v>KEEP</v>
      </c>
      <c r="W45" s="149" t="str">
        <f t="shared" si="5"/>
        <v>echo {"issue":{"subject":"","project_id":79,"tracker_id":40,"status_id":1,"priority_id":2,"assigned_to_id":23,"start_date":"2016-09-04","description":"","custom_fields":[{"id":1,"name":"Subdivision","value":"NW"},{"id":4,"name":"Milepost","value":"3.9716"},{"id":17,"name":"Train ID","value":"1815-04"},{"id":16,"name":"Locomotive ID","value":"4029"},{"id":130,"name":"Impact","value":""},{"id":150,"name":"Time of Event (Mountain Time)","value":"13:29:35"},{"id":151,"name":"Denver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5" s="55"/>
      <c r="Y45" s="55"/>
      <c r="Z45" s="55"/>
    </row>
    <row r="46" spans="1:26" x14ac:dyDescent="0.25">
      <c r="A46" s="38">
        <v>42617.322627314818</v>
      </c>
      <c r="B46" s="33" t="s">
        <v>92</v>
      </c>
      <c r="C46" s="33" t="s">
        <v>406</v>
      </c>
      <c r="D46" s="33" t="s">
        <v>49</v>
      </c>
      <c r="E46" s="33" t="s">
        <v>56</v>
      </c>
      <c r="F46" s="49">
        <v>400</v>
      </c>
      <c r="G46" s="49">
        <v>554</v>
      </c>
      <c r="H46" s="49">
        <v>52310</v>
      </c>
      <c r="I46" s="33" t="s">
        <v>57</v>
      </c>
      <c r="J46" s="49">
        <v>49775</v>
      </c>
      <c r="K46" s="33" t="s">
        <v>53</v>
      </c>
      <c r="L46" s="92" t="str">
        <f>VLOOKUP(C46,'Trips&amp;Operators'!$C$1:$E$9999,3,0)</f>
        <v>STARKS</v>
      </c>
      <c r="M46" s="131" t="s">
        <v>86</v>
      </c>
      <c r="N46" s="10"/>
      <c r="O46" s="33"/>
      <c r="P46" s="108" t="str">
        <f>VLOOKUP(C46,'Train Runs'!$A$13:$AE$10003,31,0)</f>
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</c>
      <c r="Q46" s="111" t="str">
        <f>VLOOKUP(C46,'Train Runs'!$A$13:$AE$10003,22,0)</f>
        <v>https://search-rtdc-monitor-bjffxe2xuh6vdkpspy63sjmuny.us-east-1.es.amazonaws.com/_plugin/kibana/#/discover/Steve-Slow-Train-Analysis-(2080s-and-2083s)?_g=(refreshInterval:(display:Off,section:0,value:0),time:(from:'2016-09-04 06:36:58-0600',mode:absolute,to:'2016-09-04 08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46" s="113" t="str">
        <f t="shared" si="0"/>
        <v>"C:\Program Files (x86)\AstroGrep\AstroGrep.exe" /spath="%USERPROFILE%\AppData\Local\Temp\OnboardLogs" /stypes="*4030*201609041*" /stext=" 13:.+((SYSTEM_STATE.+slice.+state.+changed )|(ment ac)|(system.+state.+changed )|(\|lc)|(penalty)|(\[timeout)|(PRM\|1\|D)|(kpr)|(kdp))" /e /r /s</v>
      </c>
      <c r="S46" s="9" t="str">
        <f t="shared" si="1"/>
        <v>4030</v>
      </c>
      <c r="T46" s="38">
        <f t="shared" si="2"/>
        <v>42617.572627314818</v>
      </c>
      <c r="U46" s="52" t="str">
        <f t="shared" si="3"/>
        <v>NW</v>
      </c>
      <c r="V46" s="52" t="str">
        <f t="shared" si="4"/>
        <v>KEEP</v>
      </c>
      <c r="W46" s="149" t="str">
        <f t="shared" si="5"/>
        <v>echo {"issue":{"subject":"","project_id":79,"tracker_id":40,"status_id":1,"priority_id":2,"assigned_to_id":23,"start_date":"2016-09-04","description":"","custom_fields":[{"id":1,"name":"Subdivision","value":"NW"},{"id":4,"name":"Milepost","value":"4.9775"},{"id":17,"name":"Train ID","value":"1804-04"},{"id":16,"name":"Locomotive ID","value":"4030"},{"id":130,"name":"Impact","value":""},{"id":150,"name":"Time of Event (Mountain Time)","value":"07:44:35"},{"id":151,"name":"Denver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6" s="55"/>
      <c r="Y46" s="55"/>
      <c r="Z46" s="55"/>
    </row>
    <row r="47" spans="1:26" x14ac:dyDescent="0.25">
      <c r="A47" s="38">
        <v>42617.356076388889</v>
      </c>
      <c r="B47" s="33" t="s">
        <v>91</v>
      </c>
      <c r="C47" s="33" t="s">
        <v>412</v>
      </c>
      <c r="D47" s="33" t="s">
        <v>49</v>
      </c>
      <c r="E47" s="33" t="s">
        <v>56</v>
      </c>
      <c r="F47" s="49">
        <v>150</v>
      </c>
      <c r="G47" s="49">
        <v>360</v>
      </c>
      <c r="H47" s="49">
        <v>56040</v>
      </c>
      <c r="I47" s="33" t="s">
        <v>57</v>
      </c>
      <c r="J47" s="49">
        <v>57008</v>
      </c>
      <c r="K47" s="33" t="s">
        <v>52</v>
      </c>
      <c r="L47" s="92" t="str">
        <f>VLOOKUP(C47,'Trips&amp;Operators'!$C$1:$E$9999,3,0)</f>
        <v>STARKS</v>
      </c>
      <c r="M47" s="131" t="s">
        <v>86</v>
      </c>
      <c r="N47" s="10"/>
      <c r="O47" s="33"/>
      <c r="P47" s="108" t="str">
        <f>VLOOKUP(C47,'Train Runs'!$A$13:$AE$10003,31,0)</f>
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</c>
      <c r="Q47" s="111" t="str">
        <f>VLOOKUP(C47,'Train Runs'!$A$13:$AE$10003,22,0)</f>
        <v>https://search-rtdc-monitor-bjffxe2xuh6vdkpspy63sjmuny.us-east-1.es.amazonaws.com/_plugin/kibana/#/discover/Steve-Slow-Train-Analysis-(2080s-and-2083s)?_g=(refreshInterval:(display:Off,section:0,value:0),time:(from:'2016-09-04 07:16:27-0600',mode:absolute,to:'2016-09-04 09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47" s="113" t="str">
        <f t="shared" si="0"/>
        <v>"C:\Program Files (x86)\AstroGrep\AstroGrep.exe" /spath="%USERPROFILE%\AppData\Local\Temp\OnboardLogs" /stypes="*4029*201609041*" /stext=" 14:.+((SYSTEM_STATE.+slice.+state.+changed )|(ment ac)|(system.+state.+changed )|(\|lc)|(penalty)|(\[timeout)|(PRM\|1\|D)|(kpr)|(kdp))" /e /r /s</v>
      </c>
      <c r="S47" s="9" t="str">
        <f t="shared" si="1"/>
        <v>4029</v>
      </c>
      <c r="T47" s="38">
        <f t="shared" si="2"/>
        <v>42617.606076388889</v>
      </c>
      <c r="U47" s="52" t="str">
        <f t="shared" si="3"/>
        <v>NW</v>
      </c>
      <c r="V47" s="52" t="str">
        <f t="shared" si="4"/>
        <v>KEEP</v>
      </c>
      <c r="W47" s="149" t="str">
        <f t="shared" si="5"/>
        <v>echo {"issue":{"subject":"","project_id":79,"tracker_id":40,"status_id":1,"priority_id":2,"assigned_to_id":23,"start_date":"2016-09-04","description":"At approx 12:31:28.530, EC0618RH 75-1T 1N dropped from 270 to STOP &amp; PROCEED. This seemed like it was undesirable. Do the logs tell us anything out of the ordinary?","custom_fields":[{"id":1,"name":"Subdivision","value":"NW"},{"id":4,"name":"Milepost","value":"5.7008"},{"id":17,"name":"Train ID","value":"1805-04"},{"id":16,"name":"Locomotive ID","value":"4029"},{"id":130,"name":"Impact","value":"Enforcement"},{"id":150,"name":"Time of Event (Mountain Time)","value":"08:32:45"},{"id":151,"name":"Denver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X47" s="55" t="s">
        <v>363</v>
      </c>
      <c r="Y47" s="55" t="s">
        <v>187</v>
      </c>
      <c r="Z47" s="55" t="s">
        <v>192</v>
      </c>
    </row>
    <row r="48" spans="1:26" x14ac:dyDescent="0.25">
      <c r="A48" s="38">
        <v>42617.39603009259</v>
      </c>
      <c r="B48" s="33" t="s">
        <v>91</v>
      </c>
      <c r="C48" s="33" t="s">
        <v>424</v>
      </c>
      <c r="D48" s="33" t="s">
        <v>49</v>
      </c>
      <c r="E48" s="33" t="s">
        <v>54</v>
      </c>
      <c r="F48" s="49">
        <v>0</v>
      </c>
      <c r="G48" s="49">
        <v>152</v>
      </c>
      <c r="H48" s="49">
        <v>36823</v>
      </c>
      <c r="I48" s="33" t="s">
        <v>55</v>
      </c>
      <c r="J48" s="49">
        <v>37575</v>
      </c>
      <c r="K48" s="33" t="s">
        <v>52</v>
      </c>
      <c r="L48" s="92" t="str">
        <f>VLOOKUP(C48,'Trips&amp;Operators'!$C$1:$E$9999,3,0)</f>
        <v>STARKS</v>
      </c>
      <c r="M48" s="131" t="s">
        <v>313</v>
      </c>
      <c r="N48" s="10" t="s">
        <v>691</v>
      </c>
      <c r="O48" s="33"/>
      <c r="P48" s="108" t="str">
        <f>VLOOKUP(C48,'Train Runs'!$A$13:$AE$10003,31,0)</f>
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</c>
      <c r="Q48" s="111" t="str">
        <f>VLOOKUP(C48,'Train Runs'!$A$13:$AE$10003,22,0)</f>
        <v>https://search-rtdc-monitor-bjffxe2xuh6vdkpspy63sjmuny.us-east-1.es.amazonaws.com/_plugin/kibana/#/discover/Steve-Slow-Train-Analysis-(2080s-and-2083s)?_g=(refreshInterval:(display:Off,section:0,value:0),time:(from:'2016-09-04 08:18:18-0600',mode:absolute,to:'2016-09-04 10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48" s="113" t="str">
        <f t="shared" si="0"/>
        <v>"C:\Program Files (x86)\AstroGrep\AstroGrep.exe" /spath="%USERPROFILE%\AppData\Local\Temp\OnboardLogs" /stypes="*4029*201609041*" /stext=" 15:.+((SYSTEM_STATE.+slice.+state.+changed )|(ment ac)|(system.+state.+changed )|(\|lc)|(penalty)|(\[timeout)|(PRM\|1\|D)|(kpr)|(kdp))" /e /r /s</v>
      </c>
      <c r="S48" s="9" t="str">
        <f t="shared" si="1"/>
        <v>4029</v>
      </c>
      <c r="T48" s="38">
        <f t="shared" si="2"/>
        <v>42617.64603009259</v>
      </c>
      <c r="U48" s="52" t="str">
        <f t="shared" si="3"/>
        <v>NW</v>
      </c>
      <c r="V48" s="52" t="str">
        <f t="shared" si="4"/>
        <v>KEEP</v>
      </c>
      <c r="W48" s="149" t="str">
        <f t="shared" si="5"/>
        <v>echo {"issue":{"subject":"NW0376RH was briefly unavailable","project_id":79,"tracker_id":40,"status_id":1,"priority_id":2,"assigned_to_id":23,"start_date":"2016-09-04","description":"This location was not beaconing wayside statuses from 09:01 to 10:04. Was it down for maintenance?","custom_fields":[{"id":1,"name":"Subdivision","value":"NW"},{"id":4,"name":"Milepost","value":"3.7575"},{"id":17,"name":"Train ID","value":"1807-04"},{"id":16,"name":"Locomotive ID","value":"4029"},{"id":130,"name":"Impact","value":"Enforcement"},{"id":150,"name":"Time of Event (Mountain Time)","value":"09:30:17"},{"id":151,"name":"Denver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X48" s="55" t="s">
        <v>697</v>
      </c>
      <c r="Y48" s="55" t="s">
        <v>187</v>
      </c>
      <c r="Z48" s="55" t="s">
        <v>192</v>
      </c>
    </row>
    <row r="49" spans="1:26" x14ac:dyDescent="0.25">
      <c r="A49" s="38">
        <v>42617.407650462963</v>
      </c>
      <c r="B49" s="33" t="s">
        <v>92</v>
      </c>
      <c r="C49" s="33" t="s">
        <v>428</v>
      </c>
      <c r="D49" s="33" t="s">
        <v>49</v>
      </c>
      <c r="E49" s="33" t="s">
        <v>54</v>
      </c>
      <c r="F49" s="49">
        <v>0</v>
      </c>
      <c r="G49" s="49">
        <v>196</v>
      </c>
      <c r="H49" s="49">
        <v>38224</v>
      </c>
      <c r="I49" s="33" t="s">
        <v>55</v>
      </c>
      <c r="J49" s="49">
        <v>37618</v>
      </c>
      <c r="K49" s="33" t="s">
        <v>53</v>
      </c>
      <c r="L49" s="92" t="str">
        <f>VLOOKUP(C49,'Trips&amp;Operators'!$C$1:$E$9999,3,0)</f>
        <v>STARKS</v>
      </c>
      <c r="M49" s="131" t="s">
        <v>313</v>
      </c>
      <c r="N49" s="10" t="s">
        <v>691</v>
      </c>
      <c r="O49" s="33"/>
      <c r="P49" s="108" t="str">
        <f>VLOOKUP(C49,'Train Runs'!$A$13:$AE$10003,31,0)</f>
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</c>
      <c r="Q49" s="111" t="str">
        <f>VLOOKUP(C49,'Train Runs'!$A$13:$AE$10003,22,0)</f>
        <v>https://search-rtdc-monitor-bjffxe2xuh6vdkpspy63sjmuny.us-east-1.es.amazonaws.com/_plugin/kibana/#/discover/Steve-Slow-Train-Analysis-(2080s-and-2083s)?_g=(refreshInterval:(display:Off,section:0,value:0),time:(from:'2016-09-04 08:39:01-0600',mode:absolute,to:'2016-09-04 10:57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49" s="113" t="str">
        <f t="shared" si="0"/>
        <v>"C:\Program Files (x86)\AstroGrep\AstroGrep.exe" /spath="%USERPROFILE%\AppData\Local\Temp\OnboardLogs" /stypes="*4030*201609041*" /stext=" 15:.+((SYSTEM_STATE.+slice.+state.+changed )|(ment ac)|(system.+state.+changed )|(\|lc)|(penalty)|(\[timeout)|(PRM\|1\|D)|(kpr)|(kdp))" /e /r /s</v>
      </c>
      <c r="S49" s="9" t="str">
        <f t="shared" si="1"/>
        <v>4030</v>
      </c>
      <c r="T49" s="38">
        <f t="shared" si="2"/>
        <v>42617.657650462963</v>
      </c>
      <c r="U49" s="52" t="str">
        <f t="shared" si="3"/>
        <v>NW</v>
      </c>
      <c r="V49" s="52" t="str">
        <f t="shared" si="4"/>
        <v>KEEP</v>
      </c>
      <c r="W49" s="149" t="str">
        <f t="shared" si="5"/>
        <v>echo {"issue":{"subject":"NW0376RH was briefly unavailable","project_id":79,"tracker_id":40,"status_id":1,"priority_id":2,"assigned_to_id":23,"start_date":"2016-09-04","description":"","custom_fields":[{"id":1,"name":"Subdivision","value":"NW"},{"id":4,"name":"Milepost","value":"3.7618"},{"id":17,"name":"Train ID","value":"1808-04"},{"id":16,"name":"Locomotive ID","value":"4030"},{"id":130,"name":"Impact","value":""},{"id":150,"name":"Time of Event (Mountain Time)","value":"09:47:01"},{"id":151,"name":"Denver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9" s="55"/>
      <c r="Y49" s="55"/>
      <c r="Z49" s="55"/>
    </row>
    <row r="50" spans="1:26" x14ac:dyDescent="0.25">
      <c r="A50" s="38">
        <v>42617.566701388889</v>
      </c>
      <c r="B50" s="33" t="s">
        <v>91</v>
      </c>
      <c r="C50" s="33" t="s">
        <v>464</v>
      </c>
      <c r="D50" s="33" t="s">
        <v>49</v>
      </c>
      <c r="E50" s="33" t="s">
        <v>50</v>
      </c>
      <c r="F50" s="49">
        <v>0</v>
      </c>
      <c r="G50" s="49">
        <v>45</v>
      </c>
      <c r="H50" s="49">
        <v>58909</v>
      </c>
      <c r="I50" s="33" t="s">
        <v>51</v>
      </c>
      <c r="J50" s="49">
        <v>59048</v>
      </c>
      <c r="K50" s="33" t="s">
        <v>52</v>
      </c>
      <c r="L50" s="92" t="str">
        <f>VLOOKUP(C50,'Trips&amp;Operators'!$C$1:$E$9999,3,0)</f>
        <v>STARKS</v>
      </c>
      <c r="M50" s="131" t="s">
        <v>86</v>
      </c>
      <c r="N50" s="10"/>
      <c r="O50" s="33"/>
      <c r="P50" s="108" t="str">
        <f>VLOOKUP(C50,'Train Runs'!$A$13:$AE$10003,31,0)</f>
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</c>
      <c r="Q50" s="111" t="str">
        <f>VLOOKUP(C50,'Train Runs'!$A$13:$AE$10003,22,0)</f>
        <v>https://search-rtdc-monitor-bjffxe2xuh6vdkpspy63sjmuny.us-east-1.es.amazonaws.com/_plugin/kibana/#/discover/Steve-Slow-Train-Analysis-(2080s-and-2083s)?_g=(refreshInterval:(display:Off,section:0,value:0),time:(from:'2016-09-04 12:18:31-0600',mode:absolute,to:'2016-09-04 14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50" s="113" t="str">
        <f t="shared" si="0"/>
        <v>"C:\Program Files (x86)\AstroGrep\AstroGrep.exe" /spath="%USERPROFILE%\AppData\Local\Temp\OnboardLogs" /stypes="*4029*201609041*" /stext=" 19:.+((SYSTEM_STATE.+slice.+state.+changed )|(ment ac)|(system.+state.+changed )|(\|lc)|(penalty)|(\[timeout)|(PRM\|1\|D)|(kpr)|(kdp))" /e /r /s</v>
      </c>
      <c r="S50" s="9" t="str">
        <f t="shared" si="1"/>
        <v>4029</v>
      </c>
      <c r="T50" s="38">
        <f t="shared" si="2"/>
        <v>42617.816701388889</v>
      </c>
      <c r="U50" s="52" t="str">
        <f t="shared" si="3"/>
        <v>NW</v>
      </c>
      <c r="V50" s="52" t="str">
        <f t="shared" si="4"/>
        <v>KEEP</v>
      </c>
      <c r="W50" s="149" t="str">
        <f t="shared" si="5"/>
        <v>echo {"issue":{"subject":"","project_id":79,"tracker_id":40,"status_id":1,"priority_id":2,"assigned_to_id":23,"start_date":"2016-09-04","description":"","custom_fields":[{"id":1,"name":"Subdivision","value":"NW"},{"id":4,"name":"Milepost","value":"5.9048"},{"id":17,"name":"Train ID","value":"1815-04"},{"id":16,"name":"Locomotive ID","value":"4029"},{"id":130,"name":"Impact","value":""},{"id":150,"name":"Time of Event (Mountain Time)","value":"13:36:03"},{"id":151,"name":"Denver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0" s="55"/>
      <c r="Y50" s="55"/>
      <c r="Z50" s="55"/>
    </row>
    <row r="51" spans="1:26" x14ac:dyDescent="0.25">
      <c r="A51" s="38"/>
      <c r="B51" s="33"/>
      <c r="C51" s="33"/>
      <c r="D51" s="33"/>
      <c r="E51" s="33"/>
      <c r="F51" s="49"/>
      <c r="G51" s="49"/>
      <c r="H51" s="49"/>
      <c r="I51" s="33"/>
      <c r="J51" s="49"/>
      <c r="K51" s="33"/>
      <c r="L51" s="92"/>
      <c r="M51" s="131"/>
      <c r="N51" s="10"/>
      <c r="O51" s="33"/>
      <c r="P51" s="108"/>
      <c r="Q51" s="111"/>
      <c r="R51" s="113"/>
      <c r="S51" s="9"/>
      <c r="T51" s="38"/>
      <c r="U51" s="52"/>
      <c r="V51" s="52"/>
      <c r="W51" s="149"/>
      <c r="X51" s="55"/>
      <c r="Y51" s="55"/>
      <c r="Z51" s="55"/>
    </row>
    <row r="52" spans="1:26" x14ac:dyDescent="0.25">
      <c r="A52" s="38"/>
      <c r="B52" s="33"/>
      <c r="C52" s="33"/>
      <c r="D52" s="33"/>
      <c r="E52" s="33"/>
      <c r="F52" s="49"/>
      <c r="G52" s="49"/>
      <c r="H52" s="49"/>
      <c r="I52" s="33"/>
      <c r="J52" s="49"/>
      <c r="K52" s="33"/>
      <c r="L52" s="92"/>
      <c r="M52" s="131"/>
      <c r="N52" s="10"/>
      <c r="O52" s="33"/>
      <c r="P52" s="108"/>
      <c r="Q52" s="111"/>
      <c r="R52" s="113"/>
      <c r="S52" s="9"/>
      <c r="T52" s="38"/>
      <c r="U52" s="52"/>
      <c r="V52" s="52"/>
      <c r="W52" s="149"/>
      <c r="X52" s="55"/>
      <c r="Y52" s="55"/>
      <c r="Z52" s="55"/>
    </row>
    <row r="53" spans="1:26" x14ac:dyDescent="0.25">
      <c r="A53" s="38"/>
      <c r="B53" s="33"/>
      <c r="C53" s="33"/>
      <c r="D53" s="33"/>
      <c r="E53" s="33"/>
      <c r="F53" s="49"/>
      <c r="G53" s="49"/>
      <c r="H53" s="49"/>
      <c r="I53" s="33"/>
      <c r="J53" s="49"/>
      <c r="K53" s="33"/>
      <c r="L53" s="92"/>
      <c r="M53" s="131"/>
      <c r="N53" s="10"/>
      <c r="O53" s="33"/>
      <c r="P53" s="108"/>
      <c r="Q53" s="111"/>
      <c r="R53" s="113"/>
      <c r="S53" s="9"/>
      <c r="T53" s="38"/>
      <c r="U53" s="52"/>
      <c r="V53" s="52"/>
      <c r="W53" s="149"/>
      <c r="X53" s="55"/>
      <c r="Y53" s="55"/>
      <c r="Z53" s="55"/>
    </row>
    <row r="54" spans="1:26" x14ac:dyDescent="0.25">
      <c r="A54" s="38"/>
      <c r="B54" s="33"/>
      <c r="C54" s="33"/>
      <c r="D54" s="33"/>
      <c r="E54" s="33"/>
      <c r="F54" s="49"/>
      <c r="G54" s="49"/>
      <c r="H54" s="49"/>
      <c r="I54" s="33"/>
      <c r="J54" s="49"/>
      <c r="K54" s="33"/>
      <c r="L54" s="92"/>
      <c r="M54" s="131"/>
      <c r="N54" s="10"/>
      <c r="O54" s="33"/>
      <c r="P54" s="108"/>
      <c r="Q54" s="111"/>
      <c r="R54" s="113"/>
      <c r="S54" s="9"/>
      <c r="T54" s="38"/>
      <c r="U54" s="52"/>
      <c r="V54" s="52"/>
      <c r="W54" s="149"/>
      <c r="X54" s="55"/>
      <c r="Y54" s="55"/>
      <c r="Z54" s="55"/>
    </row>
    <row r="55" spans="1:26" x14ac:dyDescent="0.25">
      <c r="A55" s="38"/>
      <c r="B55" s="33"/>
      <c r="C55" s="33"/>
      <c r="D55" s="33"/>
      <c r="E55" s="33"/>
      <c r="F55" s="49"/>
      <c r="G55" s="49"/>
      <c r="H55" s="49"/>
      <c r="I55" s="33"/>
      <c r="J55" s="49"/>
      <c r="K55" s="33"/>
      <c r="L55" s="92"/>
      <c r="M55" s="131"/>
      <c r="N55" s="10"/>
      <c r="O55" s="33"/>
      <c r="P55" s="108"/>
      <c r="Q55" s="111"/>
      <c r="R55" s="113"/>
      <c r="S55" s="9"/>
      <c r="T55" s="38"/>
      <c r="U55" s="52"/>
      <c r="V55" s="52"/>
      <c r="W55" s="149"/>
      <c r="X55" s="55"/>
      <c r="Y55" s="55"/>
      <c r="Z55" s="55"/>
    </row>
    <row r="56" spans="1:26" x14ac:dyDescent="0.25">
      <c r="A56" s="38"/>
      <c r="B56" s="33"/>
      <c r="C56" s="33"/>
      <c r="D56" s="33"/>
      <c r="E56" s="33"/>
      <c r="F56" s="49"/>
      <c r="G56" s="49"/>
      <c r="H56" s="49"/>
      <c r="I56" s="33"/>
      <c r="J56" s="49"/>
      <c r="K56" s="33"/>
      <c r="L56" s="92"/>
      <c r="M56" s="131"/>
      <c r="N56" s="10"/>
      <c r="O56" s="33"/>
      <c r="P56" s="108"/>
      <c r="Q56" s="111"/>
      <c r="R56" s="113"/>
      <c r="S56" s="9"/>
      <c r="T56" s="38"/>
      <c r="U56" s="52"/>
      <c r="V56" s="52"/>
      <c r="W56" s="149"/>
      <c r="X56" s="55"/>
      <c r="Y56" s="55"/>
      <c r="Z56" s="55"/>
    </row>
    <row r="57" spans="1:26" x14ac:dyDescent="0.25">
      <c r="A57" s="38"/>
      <c r="B57" s="33"/>
      <c r="C57" s="33"/>
      <c r="D57" s="33"/>
      <c r="E57" s="33"/>
      <c r="F57" s="49"/>
      <c r="G57" s="49"/>
      <c r="H57" s="49"/>
      <c r="I57" s="33"/>
      <c r="J57" s="49"/>
      <c r="K57" s="33"/>
      <c r="L57" s="92"/>
      <c r="M57" s="131"/>
      <c r="N57" s="10"/>
      <c r="O57" s="33"/>
      <c r="P57" s="108"/>
      <c r="Q57" s="111"/>
      <c r="R57" s="113"/>
      <c r="S57" s="9"/>
      <c r="T57" s="38"/>
      <c r="U57" s="52"/>
      <c r="V57" s="52"/>
      <c r="W57" s="149"/>
      <c r="X57" s="55"/>
      <c r="Y57" s="55"/>
      <c r="Z57" s="55"/>
    </row>
    <row r="58" spans="1:26" x14ac:dyDescent="0.25">
      <c r="A58" s="38"/>
      <c r="B58" s="33"/>
      <c r="C58" s="33"/>
      <c r="D58" s="33"/>
      <c r="E58" s="33"/>
      <c r="F58" s="49"/>
      <c r="G58" s="49"/>
      <c r="H58" s="49"/>
      <c r="I58" s="33"/>
      <c r="J58" s="49"/>
      <c r="K58" s="33"/>
      <c r="L58" s="92"/>
      <c r="M58" s="131"/>
      <c r="N58" s="10"/>
      <c r="O58" s="33"/>
      <c r="P58" s="108"/>
      <c r="Q58" s="111"/>
      <c r="R58" s="113"/>
      <c r="S58" s="9"/>
      <c r="T58" s="38"/>
      <c r="U58" s="52"/>
      <c r="V58" s="52"/>
      <c r="W58" s="149"/>
      <c r="X58" s="55"/>
      <c r="Y58" s="55"/>
      <c r="Z58" s="55"/>
    </row>
    <row r="59" spans="1:26" x14ac:dyDescent="0.25">
      <c r="A59" s="38"/>
      <c r="B59" s="33"/>
      <c r="C59" s="33"/>
      <c r="D59" s="33"/>
      <c r="E59" s="33"/>
      <c r="F59" s="49"/>
      <c r="G59" s="49"/>
      <c r="H59" s="49"/>
      <c r="I59" s="33"/>
      <c r="J59" s="49"/>
      <c r="K59" s="33"/>
      <c r="L59" s="92"/>
      <c r="M59" s="131"/>
      <c r="N59" s="10"/>
      <c r="O59" s="33"/>
      <c r="P59" s="108"/>
      <c r="Q59" s="111"/>
      <c r="R59" s="113"/>
      <c r="S59" s="9"/>
      <c r="T59" s="38"/>
      <c r="U59" s="52"/>
      <c r="V59" s="52"/>
      <c r="W59" s="149"/>
      <c r="X59" s="55"/>
      <c r="Y59" s="55"/>
      <c r="Z59" s="55"/>
    </row>
    <row r="60" spans="1:26" x14ac:dyDescent="0.25">
      <c r="A60" s="38"/>
      <c r="B60" s="33"/>
      <c r="C60" s="33"/>
      <c r="D60" s="33"/>
      <c r="E60" s="33"/>
      <c r="F60" s="49"/>
      <c r="G60" s="49"/>
      <c r="H60" s="49"/>
      <c r="I60" s="33"/>
      <c r="J60" s="49"/>
      <c r="K60" s="33"/>
      <c r="L60" s="92"/>
      <c r="M60" s="131"/>
      <c r="N60" s="10"/>
      <c r="O60" s="33"/>
      <c r="P60" s="108"/>
      <c r="Q60" s="111"/>
      <c r="R60" s="113"/>
      <c r="S60" s="9"/>
      <c r="T60" s="38"/>
      <c r="U60" s="52"/>
      <c r="V60" s="52"/>
      <c r="W60" s="149"/>
      <c r="X60" s="55"/>
      <c r="Y60" s="55"/>
      <c r="Z60" s="55"/>
    </row>
    <row r="61" spans="1:26" x14ac:dyDescent="0.25">
      <c r="A61" s="38"/>
      <c r="B61" s="33"/>
      <c r="C61" s="33"/>
      <c r="D61" s="33"/>
      <c r="E61" s="33"/>
      <c r="F61" s="49"/>
      <c r="G61" s="49"/>
      <c r="H61" s="49"/>
      <c r="I61" s="33"/>
      <c r="J61" s="49"/>
      <c r="K61" s="33"/>
      <c r="L61" s="92"/>
      <c r="M61" s="131"/>
      <c r="N61" s="10"/>
      <c r="O61" s="33"/>
      <c r="P61" s="108"/>
      <c r="Q61" s="111"/>
      <c r="R61" s="113"/>
      <c r="S61" s="9"/>
      <c r="T61" s="38"/>
      <c r="U61" s="52"/>
      <c r="V61" s="52"/>
      <c r="W61" s="149"/>
      <c r="X61" s="55"/>
      <c r="Y61" s="55"/>
      <c r="Z61" s="55"/>
    </row>
    <row r="62" spans="1:26" x14ac:dyDescent="0.25">
      <c r="A62" s="38"/>
      <c r="B62" s="33"/>
      <c r="C62" s="33"/>
      <c r="D62" s="33"/>
      <c r="E62" s="33"/>
      <c r="F62" s="49"/>
      <c r="G62" s="49"/>
      <c r="H62" s="49"/>
      <c r="I62" s="33"/>
      <c r="J62" s="49"/>
      <c r="K62" s="33"/>
      <c r="L62" s="92"/>
      <c r="M62" s="131"/>
      <c r="N62" s="10"/>
      <c r="O62" s="33"/>
      <c r="P62" s="108"/>
      <c r="Q62" s="111"/>
      <c r="R62" s="113"/>
      <c r="S62" s="9"/>
      <c r="T62" s="38"/>
      <c r="U62" s="52"/>
      <c r="V62" s="52"/>
      <c r="W62" s="149"/>
      <c r="X62" s="55"/>
      <c r="Y62" s="55"/>
      <c r="Z62" s="55"/>
    </row>
    <row r="63" spans="1:26" x14ac:dyDescent="0.25">
      <c r="A63" s="38"/>
      <c r="B63" s="33"/>
      <c r="C63" s="33"/>
      <c r="D63" s="33"/>
      <c r="E63" s="33"/>
      <c r="F63" s="49"/>
      <c r="G63" s="49"/>
      <c r="H63" s="49"/>
      <c r="I63" s="33"/>
      <c r="J63" s="49"/>
      <c r="K63" s="33"/>
      <c r="L63" s="92"/>
      <c r="M63" s="131"/>
      <c r="N63" s="10"/>
      <c r="O63" s="33"/>
      <c r="P63" s="108"/>
      <c r="Q63" s="111"/>
      <c r="R63" s="113"/>
      <c r="S63" s="9"/>
      <c r="T63" s="38"/>
      <c r="U63" s="52"/>
      <c r="V63" s="52"/>
      <c r="W63" s="149"/>
      <c r="X63" s="55"/>
      <c r="Y63" s="55"/>
      <c r="Z63" s="55"/>
    </row>
    <row r="64" spans="1:26" x14ac:dyDescent="0.25">
      <c r="A64" s="38"/>
      <c r="B64" s="33"/>
      <c r="C64" s="33"/>
      <c r="D64" s="33"/>
      <c r="E64" s="33"/>
      <c r="F64" s="49"/>
      <c r="G64" s="49"/>
      <c r="H64" s="49"/>
      <c r="I64" s="33"/>
      <c r="J64" s="49"/>
      <c r="K64" s="33"/>
      <c r="L64" s="92"/>
      <c r="M64" s="131"/>
      <c r="N64" s="10"/>
      <c r="O64" s="33"/>
      <c r="P64" s="108"/>
      <c r="Q64" s="111"/>
      <c r="R64" s="113"/>
      <c r="S64" s="9"/>
      <c r="T64" s="38"/>
      <c r="U64" s="52"/>
      <c r="V64" s="52"/>
      <c r="W64" s="149"/>
      <c r="X64" s="55"/>
      <c r="Y64" s="55"/>
      <c r="Z64" s="55"/>
    </row>
    <row r="65" spans="1:26" x14ac:dyDescent="0.25">
      <c r="A65" s="38"/>
      <c r="B65" s="33"/>
      <c r="C65" s="33"/>
      <c r="D65" s="33"/>
      <c r="E65" s="33"/>
      <c r="F65" s="49"/>
      <c r="G65" s="49"/>
      <c r="H65" s="49"/>
      <c r="I65" s="33"/>
      <c r="J65" s="49"/>
      <c r="K65" s="33"/>
      <c r="L65" s="92"/>
      <c r="M65" s="131"/>
      <c r="N65" s="10"/>
      <c r="O65" s="33"/>
      <c r="P65" s="108"/>
      <c r="Q65" s="111"/>
      <c r="R65" s="113"/>
      <c r="S65" s="9"/>
      <c r="T65" s="38"/>
      <c r="U65" s="52"/>
      <c r="V65" s="52"/>
      <c r="W65" s="149"/>
      <c r="X65" s="55"/>
      <c r="Y65" s="55"/>
      <c r="Z65" s="55"/>
    </row>
    <row r="66" spans="1:26" x14ac:dyDescent="0.25">
      <c r="A66" s="38"/>
      <c r="B66" s="33"/>
      <c r="C66" s="33"/>
      <c r="D66" s="33"/>
      <c r="E66" s="33"/>
      <c r="F66" s="49"/>
      <c r="G66" s="49"/>
      <c r="H66" s="49"/>
      <c r="I66" s="33"/>
      <c r="J66" s="49"/>
      <c r="K66" s="33"/>
      <c r="L66" s="92"/>
      <c r="M66" s="131"/>
      <c r="N66" s="10"/>
      <c r="O66" s="33"/>
      <c r="P66" s="108"/>
      <c r="Q66" s="111"/>
      <c r="R66" s="113"/>
      <c r="S66" s="9"/>
      <c r="T66" s="38"/>
      <c r="U66" s="52"/>
      <c r="V66" s="52"/>
      <c r="W66" s="149"/>
      <c r="X66" s="55"/>
      <c r="Y66" s="55"/>
      <c r="Z66" s="55"/>
    </row>
    <row r="67" spans="1:26" x14ac:dyDescent="0.25">
      <c r="A67" s="38"/>
      <c r="B67" s="33"/>
      <c r="C67" s="33"/>
      <c r="D67" s="33"/>
      <c r="E67" s="33"/>
      <c r="F67" s="49"/>
      <c r="G67" s="49"/>
      <c r="H67" s="49"/>
      <c r="I67" s="33"/>
      <c r="J67" s="49"/>
      <c r="K67" s="33"/>
      <c r="L67" s="92"/>
      <c r="M67" s="131"/>
      <c r="N67" s="10"/>
      <c r="O67" s="33"/>
      <c r="P67" s="108"/>
      <c r="Q67" s="111"/>
      <c r="R67" s="113"/>
      <c r="S67" s="9"/>
      <c r="T67" s="38"/>
      <c r="U67" s="52"/>
      <c r="V67" s="52"/>
      <c r="W67" s="149"/>
      <c r="X67" s="55"/>
      <c r="Y67" s="55"/>
      <c r="Z67" s="55"/>
    </row>
    <row r="68" spans="1:26" x14ac:dyDescent="0.25">
      <c r="A68" s="38"/>
      <c r="B68" s="33"/>
      <c r="C68" s="33"/>
      <c r="D68" s="33"/>
      <c r="E68" s="33"/>
      <c r="F68" s="49"/>
      <c r="G68" s="49"/>
      <c r="H68" s="49"/>
      <c r="I68" s="33"/>
      <c r="J68" s="49"/>
      <c r="K68" s="33"/>
      <c r="L68" s="92"/>
      <c r="M68" s="131"/>
      <c r="N68" s="10"/>
      <c r="O68" s="33"/>
      <c r="P68" s="108"/>
      <c r="Q68" s="111"/>
      <c r="R68" s="113"/>
      <c r="S68" s="9"/>
      <c r="T68" s="38"/>
      <c r="U68" s="52"/>
      <c r="V68" s="52"/>
      <c r="W68" s="149"/>
      <c r="X68" s="55"/>
      <c r="Y68" s="55"/>
      <c r="Z68" s="55"/>
    </row>
    <row r="69" spans="1:26" x14ac:dyDescent="0.25">
      <c r="A69" s="38"/>
      <c r="B69" s="33"/>
      <c r="C69" s="33"/>
      <c r="D69" s="33"/>
      <c r="E69" s="33"/>
      <c r="F69" s="49"/>
      <c r="G69" s="49"/>
      <c r="H69" s="49"/>
      <c r="I69" s="33"/>
      <c r="J69" s="49"/>
      <c r="K69" s="33"/>
      <c r="L69" s="92"/>
      <c r="M69" s="131"/>
      <c r="N69" s="10"/>
      <c r="O69" s="33"/>
      <c r="P69" s="108"/>
      <c r="Q69" s="111"/>
      <c r="R69" s="113"/>
      <c r="S69" s="9"/>
      <c r="T69" s="38"/>
      <c r="U69" s="52"/>
      <c r="V69" s="52"/>
      <c r="W69" s="149"/>
      <c r="X69" s="55"/>
      <c r="Y69" s="55"/>
      <c r="Z69" s="55"/>
    </row>
    <row r="70" spans="1:26" x14ac:dyDescent="0.25">
      <c r="A70" s="38"/>
      <c r="B70" s="33"/>
      <c r="C70" s="33"/>
      <c r="D70" s="33"/>
      <c r="E70" s="33"/>
      <c r="F70" s="49"/>
      <c r="G70" s="49"/>
      <c r="H70" s="49"/>
      <c r="I70" s="33"/>
      <c r="J70" s="49"/>
      <c r="K70" s="33"/>
      <c r="L70" s="92"/>
      <c r="M70" s="131"/>
      <c r="N70" s="10"/>
      <c r="O70" s="33"/>
      <c r="P70" s="108"/>
      <c r="Q70" s="111"/>
      <c r="R70" s="113"/>
      <c r="S70" s="9"/>
      <c r="T70" s="38"/>
      <c r="U70" s="52"/>
      <c r="V70" s="52"/>
      <c r="W70" s="149"/>
      <c r="X70" s="55"/>
      <c r="Y70" s="55"/>
      <c r="Z70" s="55"/>
    </row>
    <row r="71" spans="1:26" x14ac:dyDescent="0.25">
      <c r="A71" s="38"/>
      <c r="B71" s="33"/>
      <c r="C71" s="33"/>
      <c r="D71" s="33"/>
      <c r="E71" s="33"/>
      <c r="F71" s="49"/>
      <c r="G71" s="49"/>
      <c r="H71" s="49"/>
      <c r="I71" s="33"/>
      <c r="J71" s="49"/>
      <c r="K71" s="33"/>
      <c r="L71" s="92"/>
      <c r="M71" s="131"/>
      <c r="N71" s="10"/>
      <c r="O71" s="33"/>
      <c r="P71" s="108"/>
      <c r="Q71" s="111"/>
      <c r="R71" s="113"/>
      <c r="S71" s="9"/>
      <c r="T71" s="38"/>
      <c r="U71" s="52"/>
      <c r="V71" s="52"/>
      <c r="W71" s="149"/>
      <c r="X71" s="55"/>
      <c r="Y71" s="55"/>
      <c r="Z71" s="55"/>
    </row>
    <row r="72" spans="1:26" x14ac:dyDescent="0.25">
      <c r="B72" s="23"/>
      <c r="C72" s="23"/>
      <c r="D72" s="23"/>
      <c r="E72" s="23"/>
      <c r="I72" s="23"/>
      <c r="K72" s="23"/>
    </row>
  </sheetData>
  <autoFilter ref="A6:Z67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2" priority="14" operator="equal">
      <formula>"Y"</formula>
    </cfRule>
  </conditionalFormatting>
  <conditionalFormatting sqref="A7:N71">
    <cfRule type="expression" dxfId="1" priority="7">
      <formula>$M7="Y"</formula>
    </cfRule>
  </conditionalFormatting>
  <conditionalFormatting sqref="M2:M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13</xdr:col>
                    <xdr:colOff>352425</xdr:colOff>
                    <xdr:row>1</xdr:row>
                    <xdr:rowOff>28575</xdr:rowOff>
                  </from>
                  <to>
                    <xdr:col>13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Z7:Z52</xm:sqref>
        </x14:dataValidation>
        <x14:dataValidation type="list" allowBlank="1" showInputMessage="1" showErrorMessage="1">
          <x14:formula1>
            <xm:f>'Redmine List Values'!$A$2:$A$7</xm:f>
          </x14:formula1>
          <xm:sqref>Y7:Y52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2"/>
  <sheetViews>
    <sheetView topLeftCell="A36" workbookViewId="0">
      <selection activeCell="A38" sqref="A38"/>
    </sheetView>
  </sheetViews>
  <sheetFormatPr defaultRowHeight="15" x14ac:dyDescent="0.25"/>
  <cols>
    <col min="1" max="1" width="9.140625" style="114"/>
    <col min="2" max="2" width="9.140625" style="2" customWidth="1"/>
    <col min="3" max="3" width="8" style="130" bestFit="1" customWidth="1"/>
    <col min="4" max="4" width="9.85546875" style="121" bestFit="1" customWidth="1"/>
    <col min="5" max="5" width="45.140625" bestFit="1" customWidth="1"/>
    <col min="6" max="6" width="18.140625" customWidth="1"/>
    <col min="7" max="7" width="17" customWidth="1"/>
    <col min="8" max="8" width="14.140625" customWidth="1"/>
    <col min="9" max="10" width="9.140625" customWidth="1"/>
  </cols>
  <sheetData>
    <row r="1" spans="1:11" s="23" customFormat="1" x14ac:dyDescent="0.25">
      <c r="A1" s="114"/>
      <c r="B1" s="165" t="str">
        <f>"Trips that did not appear in PTC Data "&amp;TEXT(Variables!$A$2,"YYYY-mm-dd")</f>
        <v>Trips that did not appear in PTC Data 2016-09-04</v>
      </c>
      <c r="C1" s="165"/>
      <c r="D1" s="165"/>
      <c r="E1" s="165"/>
      <c r="F1" s="165"/>
    </row>
    <row r="2" spans="1:11" s="26" customFormat="1" ht="45" x14ac:dyDescent="0.25">
      <c r="A2" s="163" t="s">
        <v>238</v>
      </c>
      <c r="B2" s="140" t="s">
        <v>64</v>
      </c>
      <c r="C2" s="127" t="s">
        <v>65</v>
      </c>
      <c r="D2" s="12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120</v>
      </c>
    </row>
    <row r="3" spans="1:11" x14ac:dyDescent="0.25">
      <c r="B3" s="2" t="str">
        <f>A3&amp;"-"&amp;IF(DAY(Variables!$A$2)&lt;10,0,"")&amp;DAY(Variables!$A$2)</f>
        <v>-04</v>
      </c>
      <c r="C3" s="129"/>
      <c r="D3" s="12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5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-04</v>
      </c>
      <c r="C4" s="129"/>
      <c r="D4" s="12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-04</v>
      </c>
      <c r="C5" s="129"/>
      <c r="D5" s="12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-04</v>
      </c>
      <c r="C6" s="129"/>
      <c r="D6" s="12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ref="I6:I10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6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-04</v>
      </c>
      <c r="C7" s="129"/>
      <c r="D7" s="12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-04</v>
      </c>
      <c r="C8" s="129"/>
      <c r="D8" s="129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-04</v>
      </c>
      <c r="C9" s="129"/>
      <c r="D9" s="129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-04</v>
      </c>
      <c r="C10" s="129"/>
      <c r="D10" s="129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C35" s="114"/>
      <c r="D35" s="114"/>
      <c r="I35" s="23"/>
      <c r="J35" s="23"/>
      <c r="K35" s="23"/>
    </row>
    <row r="36" spans="3:11" x14ac:dyDescent="0.25">
      <c r="C36" s="114"/>
      <c r="D36" s="114"/>
      <c r="I36" s="23"/>
      <c r="J36" s="23"/>
      <c r="K36" s="23"/>
    </row>
    <row r="37" spans="3:11" x14ac:dyDescent="0.25">
      <c r="C37" s="114"/>
      <c r="D37" s="114"/>
      <c r="I37" s="23"/>
      <c r="J37" s="23"/>
      <c r="K37" s="23"/>
    </row>
    <row r="38" spans="3:11" x14ac:dyDescent="0.25">
      <c r="C38" s="114"/>
      <c r="D38" s="114"/>
      <c r="I38" s="23"/>
      <c r="J38" s="23"/>
      <c r="K38" s="23"/>
    </row>
    <row r="39" spans="3:11" x14ac:dyDescent="0.25">
      <c r="C39" s="114"/>
      <c r="D39" s="114"/>
      <c r="I39" s="23"/>
      <c r="J39" s="23"/>
      <c r="K39" s="23"/>
    </row>
    <row r="40" spans="3:11" x14ac:dyDescent="0.25">
      <c r="C40" s="114"/>
      <c r="D40" s="114"/>
      <c r="I40" s="23"/>
      <c r="J40" s="23"/>
      <c r="K40" s="23"/>
    </row>
    <row r="41" spans="3:11" x14ac:dyDescent="0.25">
      <c r="C41" s="114"/>
      <c r="D41" s="114"/>
      <c r="I41" s="23"/>
      <c r="J41" s="23"/>
      <c r="K41" s="23"/>
    </row>
    <row r="42" spans="3:11" x14ac:dyDescent="0.25">
      <c r="C42" s="114"/>
      <c r="D42" s="114"/>
      <c r="I42" s="23"/>
      <c r="J42" s="23"/>
      <c r="K42" s="23"/>
    </row>
    <row r="43" spans="3:11" x14ac:dyDescent="0.25">
      <c r="C43" s="114"/>
      <c r="D43" s="114"/>
      <c r="I43" s="23"/>
      <c r="J43" s="23"/>
      <c r="K43" s="23"/>
    </row>
    <row r="44" spans="3:11" x14ac:dyDescent="0.25">
      <c r="C44" s="114"/>
      <c r="D44" s="114"/>
      <c r="I44" s="23"/>
      <c r="J44" s="23"/>
      <c r="K44" s="23"/>
    </row>
    <row r="45" spans="3:11" x14ac:dyDescent="0.25">
      <c r="C45" s="114"/>
      <c r="D45" s="114"/>
      <c r="I45" s="23"/>
      <c r="J45" s="23"/>
      <c r="K45" s="23"/>
    </row>
    <row r="46" spans="3:11" x14ac:dyDescent="0.25">
      <c r="C46" s="114"/>
      <c r="D46" s="114"/>
      <c r="I46" s="23"/>
      <c r="J46" s="23"/>
      <c r="K46" s="23"/>
    </row>
    <row r="47" spans="3:11" x14ac:dyDescent="0.25">
      <c r="C47" s="114"/>
      <c r="D47" s="114"/>
      <c r="I47" s="23"/>
      <c r="J47" s="23"/>
      <c r="K47" s="23"/>
    </row>
    <row r="48" spans="3:11" x14ac:dyDescent="0.25">
      <c r="C48" s="114"/>
      <c r="D48" s="114"/>
      <c r="I48" s="23"/>
      <c r="J48" s="23"/>
      <c r="K48" s="23"/>
    </row>
    <row r="49" spans="3:11" x14ac:dyDescent="0.25">
      <c r="C49" s="114"/>
      <c r="D49" s="114"/>
      <c r="I49" s="23"/>
      <c r="J49" s="23"/>
      <c r="K49" s="23"/>
    </row>
    <row r="50" spans="3:11" x14ac:dyDescent="0.25">
      <c r="C50" s="114"/>
      <c r="D50" s="114"/>
      <c r="I50" s="23"/>
      <c r="J50" s="23"/>
      <c r="K50" s="23"/>
    </row>
    <row r="51" spans="3:11" x14ac:dyDescent="0.25">
      <c r="C51" s="114"/>
      <c r="D51" s="114"/>
      <c r="I51" s="23"/>
      <c r="J51" s="23"/>
      <c r="K51" s="23"/>
    </row>
    <row r="52" spans="3:11" x14ac:dyDescent="0.25">
      <c r="C52" s="114"/>
      <c r="D52" s="114"/>
      <c r="I52" s="23"/>
      <c r="J52" s="23"/>
      <c r="K52" s="23"/>
    </row>
    <row r="53" spans="3:11" x14ac:dyDescent="0.25">
      <c r="C53" s="114"/>
      <c r="D53" s="114"/>
      <c r="I53" s="23"/>
      <c r="J53" s="23"/>
      <c r="K53" s="23"/>
    </row>
    <row r="54" spans="3:11" x14ac:dyDescent="0.25">
      <c r="C54" s="114"/>
      <c r="D54" s="114"/>
      <c r="I54" s="23"/>
      <c r="J54" s="23"/>
      <c r="K54" s="23"/>
    </row>
    <row r="55" spans="3:11" x14ac:dyDescent="0.25">
      <c r="C55" s="114"/>
      <c r="D55" s="114"/>
      <c r="I55" s="23"/>
      <c r="J55" s="23"/>
      <c r="K55" s="23"/>
    </row>
    <row r="56" spans="3:11" x14ac:dyDescent="0.25">
      <c r="C56" s="114"/>
      <c r="D56" s="114"/>
      <c r="I56" s="23"/>
      <c r="J56" s="23"/>
      <c r="K56" s="23"/>
    </row>
    <row r="57" spans="3:11" x14ac:dyDescent="0.25">
      <c r="C57" s="114"/>
      <c r="D57" s="114"/>
      <c r="I57" s="23"/>
      <c r="J57" s="23"/>
      <c r="K57" s="23"/>
    </row>
    <row r="58" spans="3:11" x14ac:dyDescent="0.25">
      <c r="C58" s="114"/>
      <c r="D58" s="114"/>
      <c r="I58" s="23"/>
      <c r="J58" s="23"/>
      <c r="K58" s="23"/>
    </row>
    <row r="59" spans="3:11" x14ac:dyDescent="0.25">
      <c r="C59" s="114"/>
      <c r="D59" s="114"/>
      <c r="I59" s="23"/>
      <c r="J59" s="23"/>
      <c r="K59" s="23"/>
    </row>
    <row r="60" spans="3:11" x14ac:dyDescent="0.25">
      <c r="C60" s="114"/>
      <c r="D60" s="114"/>
      <c r="I60" s="23"/>
      <c r="J60" s="23"/>
      <c r="K60" s="23"/>
    </row>
    <row r="61" spans="3:11" x14ac:dyDescent="0.25">
      <c r="C61" s="114"/>
      <c r="D61" s="114"/>
      <c r="I61" s="23"/>
      <c r="J61" s="23"/>
      <c r="K61" s="23"/>
    </row>
    <row r="62" spans="3:11" x14ac:dyDescent="0.25">
      <c r="C62" s="114"/>
      <c r="D62" s="114"/>
      <c r="I62" s="23"/>
      <c r="J62" s="23"/>
      <c r="K62" s="23"/>
    </row>
    <row r="63" spans="3:11" x14ac:dyDescent="0.25">
      <c r="C63" s="114"/>
      <c r="D63" s="114"/>
      <c r="I63" s="23"/>
      <c r="J63" s="23"/>
      <c r="K63" s="23"/>
    </row>
    <row r="64" spans="3:11" x14ac:dyDescent="0.25">
      <c r="C64" s="114"/>
      <c r="D64" s="114"/>
      <c r="I64" s="23"/>
      <c r="J64" s="23"/>
      <c r="K64" s="23"/>
    </row>
    <row r="65" spans="3:11" x14ac:dyDescent="0.25">
      <c r="C65" s="114"/>
      <c r="D65" s="114"/>
      <c r="I65" s="23"/>
      <c r="J65" s="23"/>
      <c r="K65" s="23"/>
    </row>
    <row r="66" spans="3:11" x14ac:dyDescent="0.25">
      <c r="C66" s="114"/>
      <c r="D66" s="114"/>
      <c r="I66" s="23"/>
      <c r="J66" s="23"/>
      <c r="K66" s="23"/>
    </row>
    <row r="67" spans="3:11" x14ac:dyDescent="0.25">
      <c r="C67" s="114"/>
      <c r="D67" s="114"/>
      <c r="I67" s="23"/>
      <c r="J67" s="23"/>
      <c r="K67" s="23"/>
    </row>
    <row r="68" spans="3:11" x14ac:dyDescent="0.25">
      <c r="C68" s="114"/>
      <c r="D68" s="114"/>
      <c r="I68" s="23"/>
      <c r="J68" s="23"/>
      <c r="K68" s="23"/>
    </row>
    <row r="69" spans="3:11" x14ac:dyDescent="0.25">
      <c r="C69" s="114"/>
      <c r="D69" s="114"/>
      <c r="I69" s="23"/>
      <c r="J69" s="23"/>
      <c r="K69" s="23"/>
    </row>
    <row r="70" spans="3:11" x14ac:dyDescent="0.25">
      <c r="C70" s="114"/>
      <c r="D70" s="114"/>
      <c r="I70" s="23"/>
      <c r="J70" s="23"/>
      <c r="K70" s="23"/>
    </row>
    <row r="71" spans="3:11" x14ac:dyDescent="0.25">
      <c r="C71" s="114"/>
      <c r="D71" s="114"/>
      <c r="I71" s="23"/>
      <c r="J71" s="23"/>
      <c r="K71" s="23"/>
    </row>
    <row r="72" spans="3:11" x14ac:dyDescent="0.25">
      <c r="I72" s="23"/>
      <c r="J72" s="23"/>
      <c r="K72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1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364</v>
      </c>
      <c r="B1" s="23" t="s">
        <v>365</v>
      </c>
      <c r="C1" s="23" t="s">
        <v>0</v>
      </c>
      <c r="D1" s="23" t="s">
        <v>366</v>
      </c>
      <c r="E1" s="23" t="s">
        <v>367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42617.034618055557</v>
      </c>
      <c r="B2" s="23" t="s">
        <v>218</v>
      </c>
      <c r="C2" s="23" t="s">
        <v>326</v>
      </c>
      <c r="D2" s="23">
        <v>2090000</v>
      </c>
      <c r="E2" s="23" t="s">
        <v>176</v>
      </c>
      <c r="F2" s="23" t="str">
        <f t="shared" ref="F2:F65" si="0">B2</f>
        <v>rtdc.l.rtdc.4020:itc</v>
      </c>
      <c r="G2" s="8">
        <f t="shared" ref="G2:G65" si="1">A2</f>
        <v>42617.034618055557</v>
      </c>
    </row>
    <row r="3" spans="1:7" x14ac:dyDescent="0.25">
      <c r="A3" s="8">
        <v>42617.038784722223</v>
      </c>
      <c r="B3" s="23" t="s">
        <v>323</v>
      </c>
      <c r="C3" s="23" t="s">
        <v>327</v>
      </c>
      <c r="D3" s="23">
        <v>1800000</v>
      </c>
      <c r="E3" s="23" t="s">
        <v>167</v>
      </c>
      <c r="F3" s="23" t="str">
        <f t="shared" si="0"/>
        <v>rtdc.l.rtdc.4039:itc</v>
      </c>
      <c r="G3" s="8">
        <f t="shared" si="1"/>
        <v>42617.038784722223</v>
      </c>
    </row>
    <row r="4" spans="1:7" x14ac:dyDescent="0.25">
      <c r="A4" s="8">
        <v>42617.048344907409</v>
      </c>
      <c r="B4" s="23" t="s">
        <v>240</v>
      </c>
      <c r="C4" s="23" t="s">
        <v>328</v>
      </c>
      <c r="D4" s="23">
        <v>1810000</v>
      </c>
      <c r="E4" s="23" t="s">
        <v>325</v>
      </c>
      <c r="F4" s="23" t="str">
        <f t="shared" si="0"/>
        <v>rtdc.l.rtdc.4011:itc</v>
      </c>
      <c r="G4" s="8">
        <f t="shared" si="1"/>
        <v>42617.048344907409</v>
      </c>
    </row>
    <row r="5" spans="1:7" x14ac:dyDescent="0.25">
      <c r="A5" s="8">
        <v>42617.053298611114</v>
      </c>
      <c r="B5" s="23" t="s">
        <v>90</v>
      </c>
      <c r="C5" s="23" t="s">
        <v>329</v>
      </c>
      <c r="D5" s="23">
        <v>1480000</v>
      </c>
      <c r="E5" s="23" t="s">
        <v>318</v>
      </c>
      <c r="F5" s="23" t="str">
        <f t="shared" si="0"/>
        <v>rtdc.l.rtdc.4013:itc</v>
      </c>
      <c r="G5" s="8">
        <f t="shared" si="1"/>
        <v>42617.053298611114</v>
      </c>
    </row>
    <row r="6" spans="1:7" x14ac:dyDescent="0.25">
      <c r="A6" s="8">
        <v>42617.071203703701</v>
      </c>
      <c r="B6" s="23" t="s">
        <v>221</v>
      </c>
      <c r="C6" s="23" t="s">
        <v>330</v>
      </c>
      <c r="D6" s="23">
        <v>1800000</v>
      </c>
      <c r="E6" s="23" t="s">
        <v>167</v>
      </c>
      <c r="F6" s="23" t="str">
        <f t="shared" si="0"/>
        <v>rtdc.l.rtdc.4040:itc</v>
      </c>
      <c r="G6" s="8">
        <f t="shared" si="1"/>
        <v>42617.071203703701</v>
      </c>
    </row>
    <row r="7" spans="1:7" x14ac:dyDescent="0.25">
      <c r="A7" s="8">
        <v>42617.077418981484</v>
      </c>
      <c r="B7" s="23" t="s">
        <v>217</v>
      </c>
      <c r="C7" s="23" t="s">
        <v>331</v>
      </c>
      <c r="D7" s="23">
        <v>2090000</v>
      </c>
      <c r="E7" s="23" t="s">
        <v>176</v>
      </c>
      <c r="F7" s="23" t="str">
        <f t="shared" si="0"/>
        <v>rtdc.l.rtdc.4019:itc</v>
      </c>
      <c r="G7" s="8">
        <f t="shared" si="1"/>
        <v>42617.077418981484</v>
      </c>
    </row>
    <row r="8" spans="1:7" x14ac:dyDescent="0.25">
      <c r="A8" s="8">
        <v>42617.090844907405</v>
      </c>
      <c r="B8" s="23" t="s">
        <v>111</v>
      </c>
      <c r="C8" s="23" t="s">
        <v>332</v>
      </c>
      <c r="D8" s="23">
        <v>1480000</v>
      </c>
      <c r="E8" s="23" t="s">
        <v>318</v>
      </c>
      <c r="F8" s="23" t="str">
        <f t="shared" si="0"/>
        <v>rtdc.l.rtdc.4014:itc</v>
      </c>
      <c r="G8" s="8">
        <f t="shared" si="1"/>
        <v>42617.090844907405</v>
      </c>
    </row>
    <row r="9" spans="1:7" ht="15.75" thickBot="1" x14ac:dyDescent="0.3">
      <c r="A9" s="27">
        <v>42617.110081018516</v>
      </c>
      <c r="B9" s="23" t="s">
        <v>218</v>
      </c>
      <c r="C9" s="23" t="s">
        <v>333</v>
      </c>
      <c r="D9" s="23">
        <v>2090000</v>
      </c>
      <c r="E9" s="23" t="s">
        <v>176</v>
      </c>
      <c r="F9" s="23" t="str">
        <f t="shared" si="0"/>
        <v>rtdc.l.rtdc.4020:itc</v>
      </c>
      <c r="G9" s="8">
        <f t="shared" si="1"/>
        <v>42617.110081018516</v>
      </c>
    </row>
    <row r="10" spans="1:7" x14ac:dyDescent="0.25">
      <c r="A10" s="8">
        <v>42617.129363425927</v>
      </c>
      <c r="B10" s="23" t="s">
        <v>368</v>
      </c>
      <c r="C10" s="23" t="s">
        <v>369</v>
      </c>
      <c r="D10" s="23">
        <v>2030000</v>
      </c>
      <c r="E10" s="23" t="s">
        <v>321</v>
      </c>
      <c r="F10" s="23" t="str">
        <f t="shared" si="0"/>
        <v>rtdc.l.rtdc.4025:itc</v>
      </c>
      <c r="G10" s="8">
        <f t="shared" si="1"/>
        <v>42617.129363425927</v>
      </c>
    </row>
    <row r="11" spans="1:7" x14ac:dyDescent="0.25">
      <c r="A11" s="8">
        <v>42617.136747685188</v>
      </c>
      <c r="B11" s="23" t="s">
        <v>368</v>
      </c>
      <c r="C11" s="23" t="s">
        <v>369</v>
      </c>
      <c r="D11" s="23">
        <v>2030000</v>
      </c>
      <c r="E11" s="23" t="s">
        <v>321</v>
      </c>
      <c r="F11" s="23" t="str">
        <f t="shared" si="0"/>
        <v>rtdc.l.rtdc.4025:itc</v>
      </c>
      <c r="G11" s="8">
        <f t="shared" si="1"/>
        <v>42617.136747685188</v>
      </c>
    </row>
    <row r="12" spans="1:7" x14ac:dyDescent="0.25">
      <c r="A12" s="8">
        <v>42617.151365740741</v>
      </c>
      <c r="B12" s="23" t="s">
        <v>370</v>
      </c>
      <c r="C12" s="23" t="s">
        <v>371</v>
      </c>
      <c r="D12" s="23">
        <v>1260000</v>
      </c>
      <c r="E12" s="23" t="s">
        <v>320</v>
      </c>
      <c r="F12" s="23" t="str">
        <f t="shared" si="0"/>
        <v>rtdc.l.rtdc.4016:itc</v>
      </c>
      <c r="G12" s="8">
        <f t="shared" si="1"/>
        <v>42617.151365740741</v>
      </c>
    </row>
    <row r="13" spans="1:7" x14ac:dyDescent="0.25">
      <c r="A13" s="8">
        <v>42617.167800925927</v>
      </c>
      <c r="B13" s="23" t="s">
        <v>166</v>
      </c>
      <c r="C13" s="23" t="s">
        <v>372</v>
      </c>
      <c r="D13" s="23">
        <v>2030000</v>
      </c>
      <c r="E13" s="23" t="s">
        <v>321</v>
      </c>
      <c r="F13" s="23" t="str">
        <f t="shared" si="0"/>
        <v>rtdc.l.rtdc.4010:itc</v>
      </c>
      <c r="G13" s="8">
        <f t="shared" si="1"/>
        <v>42617.167800925927</v>
      </c>
    </row>
    <row r="14" spans="1:7" x14ac:dyDescent="0.25">
      <c r="A14" s="8">
        <v>42617.170057870368</v>
      </c>
      <c r="B14" s="23" t="s">
        <v>322</v>
      </c>
      <c r="C14" s="23" t="s">
        <v>373</v>
      </c>
      <c r="D14" s="23">
        <v>2010000</v>
      </c>
      <c r="E14" s="23" t="s">
        <v>262</v>
      </c>
      <c r="F14" s="23" t="str">
        <f t="shared" si="0"/>
        <v>rtdc.l.rtdc.4018:itc</v>
      </c>
      <c r="G14" s="8">
        <f t="shared" si="1"/>
        <v>42617.170057870368</v>
      </c>
    </row>
    <row r="15" spans="1:7" x14ac:dyDescent="0.25">
      <c r="A15" s="8">
        <v>42617.183136574073</v>
      </c>
      <c r="B15" s="23" t="s">
        <v>145</v>
      </c>
      <c r="C15" s="23" t="s">
        <v>374</v>
      </c>
      <c r="D15" s="23">
        <v>1990000</v>
      </c>
      <c r="E15" s="23" t="s">
        <v>375</v>
      </c>
      <c r="F15" s="23" t="str">
        <f t="shared" si="0"/>
        <v>rtdc.l.rtdc.4038:itc</v>
      </c>
      <c r="G15" s="8">
        <f t="shared" si="1"/>
        <v>42617.183136574073</v>
      </c>
    </row>
    <row r="16" spans="1:7" x14ac:dyDescent="0.25">
      <c r="A16" s="8">
        <v>42617.190312500003</v>
      </c>
      <c r="B16" s="23" t="s">
        <v>114</v>
      </c>
      <c r="C16" s="23" t="s">
        <v>376</v>
      </c>
      <c r="D16" s="23">
        <v>1260000</v>
      </c>
      <c r="E16" s="23" t="s">
        <v>320</v>
      </c>
      <c r="F16" s="23" t="str">
        <f t="shared" si="0"/>
        <v>rtdc.l.rtdc.4032:itc</v>
      </c>
      <c r="G16" s="8">
        <f t="shared" si="1"/>
        <v>42617.190312500003</v>
      </c>
    </row>
    <row r="17" spans="1:7" x14ac:dyDescent="0.25">
      <c r="A17" s="8">
        <v>42617.196620370371</v>
      </c>
      <c r="B17" s="23" t="s">
        <v>169</v>
      </c>
      <c r="C17" s="23" t="s">
        <v>377</v>
      </c>
      <c r="D17" s="23">
        <v>1310000</v>
      </c>
      <c r="E17" s="23" t="s">
        <v>279</v>
      </c>
      <c r="F17" s="23" t="str">
        <f t="shared" si="0"/>
        <v>rtdc.l.rtdc.4002:itc</v>
      </c>
      <c r="G17" s="8">
        <f t="shared" si="1"/>
        <v>42617.196620370371</v>
      </c>
    </row>
    <row r="18" spans="1:7" x14ac:dyDescent="0.25">
      <c r="A18" s="8">
        <v>42617.204560185186</v>
      </c>
      <c r="B18" s="23" t="s">
        <v>368</v>
      </c>
      <c r="C18" s="23" t="s">
        <v>378</v>
      </c>
      <c r="D18" s="23">
        <v>1760000</v>
      </c>
      <c r="E18" s="23" t="s">
        <v>263</v>
      </c>
      <c r="F18" s="23" t="str">
        <f t="shared" si="0"/>
        <v>rtdc.l.rtdc.4025:itc</v>
      </c>
      <c r="G18" s="8">
        <f t="shared" si="1"/>
        <v>42617.204560185186</v>
      </c>
    </row>
    <row r="19" spans="1:7" x14ac:dyDescent="0.25">
      <c r="A19" s="8">
        <v>42617.205254629633</v>
      </c>
      <c r="B19" s="23" t="s">
        <v>165</v>
      </c>
      <c r="C19" s="23" t="s">
        <v>379</v>
      </c>
      <c r="D19" s="23">
        <v>2030000</v>
      </c>
      <c r="E19" s="23" t="s">
        <v>321</v>
      </c>
      <c r="F19" s="23" t="str">
        <f t="shared" si="0"/>
        <v>rtdc.l.rtdc.4009:itc</v>
      </c>
      <c r="G19" s="8">
        <f t="shared" si="1"/>
        <v>42617.205254629633</v>
      </c>
    </row>
    <row r="20" spans="1:7" x14ac:dyDescent="0.25">
      <c r="A20" s="8">
        <v>42617.212291666663</v>
      </c>
      <c r="B20" s="23" t="s">
        <v>259</v>
      </c>
      <c r="C20" s="23" t="s">
        <v>380</v>
      </c>
      <c r="D20" s="23">
        <v>2010000</v>
      </c>
      <c r="E20" s="23" t="s">
        <v>262</v>
      </c>
      <c r="F20" s="23" t="str">
        <f t="shared" si="0"/>
        <v>rtdc.l.rtdc.4043:itc</v>
      </c>
      <c r="G20" s="8">
        <f t="shared" si="1"/>
        <v>42617.212291666663</v>
      </c>
    </row>
    <row r="21" spans="1:7" x14ac:dyDescent="0.25">
      <c r="A21" s="8">
        <v>42617.220775462964</v>
      </c>
      <c r="B21" s="23" t="s">
        <v>140</v>
      </c>
      <c r="C21" s="23" t="s">
        <v>381</v>
      </c>
      <c r="D21" s="23">
        <v>1990000</v>
      </c>
      <c r="E21" s="23" t="s">
        <v>375</v>
      </c>
      <c r="F21" s="23" t="str">
        <f t="shared" si="0"/>
        <v>rtdc.l.rtdc.4037:itc</v>
      </c>
      <c r="G21" s="8">
        <f t="shared" si="1"/>
        <v>42617.220775462964</v>
      </c>
    </row>
    <row r="22" spans="1:7" x14ac:dyDescent="0.25">
      <c r="A22" s="29">
        <v>42617.225405092591</v>
      </c>
      <c r="B22" s="23" t="s">
        <v>370</v>
      </c>
      <c r="C22" s="23" t="s">
        <v>382</v>
      </c>
      <c r="D22" s="23">
        <v>1830000</v>
      </c>
      <c r="E22" s="23" t="s">
        <v>280</v>
      </c>
      <c r="F22" s="23" t="str">
        <f t="shared" si="0"/>
        <v>rtdc.l.rtdc.4016:itc</v>
      </c>
      <c r="G22" s="8">
        <f t="shared" si="1"/>
        <v>42617.225405092591</v>
      </c>
    </row>
    <row r="23" spans="1:7" x14ac:dyDescent="0.25">
      <c r="A23" s="8">
        <v>42617.233831018515</v>
      </c>
      <c r="B23" s="23" t="s">
        <v>113</v>
      </c>
      <c r="C23" s="23" t="s">
        <v>383</v>
      </c>
      <c r="D23" s="23">
        <v>1260000</v>
      </c>
      <c r="E23" s="23" t="s">
        <v>320</v>
      </c>
      <c r="F23" s="23" t="str">
        <f t="shared" si="0"/>
        <v>rtdc.l.rtdc.4031:itc</v>
      </c>
      <c r="G23" s="8">
        <f t="shared" si="1"/>
        <v>42617.233831018515</v>
      </c>
    </row>
    <row r="24" spans="1:7" x14ac:dyDescent="0.25">
      <c r="A24" s="8">
        <v>42617.235243055555</v>
      </c>
      <c r="B24" s="23" t="s">
        <v>92</v>
      </c>
      <c r="C24" s="23" t="s">
        <v>384</v>
      </c>
      <c r="D24" s="23">
        <v>1110000</v>
      </c>
      <c r="E24" s="23" t="s">
        <v>385</v>
      </c>
      <c r="F24" s="23" t="str">
        <f t="shared" si="0"/>
        <v>rtdc.l.rtdc.4030:itc</v>
      </c>
      <c r="G24" s="8">
        <f t="shared" si="1"/>
        <v>42617.235243055555</v>
      </c>
    </row>
    <row r="25" spans="1:7" x14ac:dyDescent="0.25">
      <c r="A25" s="8">
        <v>42617.235995370371</v>
      </c>
      <c r="B25" s="23" t="s">
        <v>92</v>
      </c>
      <c r="C25" s="23" t="s">
        <v>384</v>
      </c>
      <c r="D25" s="23">
        <v>1110000</v>
      </c>
      <c r="E25" s="23" t="s">
        <v>385</v>
      </c>
      <c r="F25" s="23" t="str">
        <f t="shared" si="0"/>
        <v>rtdc.l.rtdc.4030:itc</v>
      </c>
      <c r="G25" s="8">
        <f t="shared" si="1"/>
        <v>42617.235995370371</v>
      </c>
    </row>
    <row r="26" spans="1:7" x14ac:dyDescent="0.25">
      <c r="A26" s="8">
        <v>42617.236388888887</v>
      </c>
      <c r="B26" s="23" t="s">
        <v>260</v>
      </c>
      <c r="C26" s="23" t="s">
        <v>386</v>
      </c>
      <c r="D26" s="23">
        <v>1310000</v>
      </c>
      <c r="E26" s="23" t="s">
        <v>279</v>
      </c>
      <c r="F26" s="23" t="str">
        <f t="shared" si="0"/>
        <v>rtdc.l.rtdc.4001:itc</v>
      </c>
      <c r="G26" s="8">
        <f t="shared" si="1"/>
        <v>42617.236388888887</v>
      </c>
    </row>
    <row r="27" spans="1:7" x14ac:dyDescent="0.25">
      <c r="A27" s="8">
        <v>42617.238043981481</v>
      </c>
      <c r="B27" s="23" t="s">
        <v>92</v>
      </c>
      <c r="C27" s="23" t="s">
        <v>384</v>
      </c>
      <c r="D27" s="23">
        <v>1110000</v>
      </c>
      <c r="E27" s="23" t="s">
        <v>385</v>
      </c>
      <c r="F27" s="23" t="str">
        <f t="shared" si="0"/>
        <v>rtdc.l.rtdc.4030:itc</v>
      </c>
      <c r="G27" s="8">
        <f t="shared" si="1"/>
        <v>42617.238043981481</v>
      </c>
    </row>
    <row r="28" spans="1:7" x14ac:dyDescent="0.25">
      <c r="A28" s="8">
        <v>42617.245023148149</v>
      </c>
      <c r="B28" s="23" t="s">
        <v>387</v>
      </c>
      <c r="C28" s="23" t="s">
        <v>388</v>
      </c>
      <c r="D28" s="23">
        <v>1760000</v>
      </c>
      <c r="E28" s="23" t="s">
        <v>263</v>
      </c>
      <c r="F28" s="23" t="str">
        <f t="shared" si="0"/>
        <v>rtdc.l.rtdc.4026:itc</v>
      </c>
      <c r="G28" s="8">
        <f t="shared" si="1"/>
        <v>42617.245023148149</v>
      </c>
    </row>
    <row r="29" spans="1:7" x14ac:dyDescent="0.25">
      <c r="A29" s="8">
        <v>42617.248692129629</v>
      </c>
      <c r="B29" s="23" t="s">
        <v>322</v>
      </c>
      <c r="C29" s="23" t="s">
        <v>389</v>
      </c>
      <c r="D29" s="23">
        <v>2010000</v>
      </c>
      <c r="E29" s="23" t="s">
        <v>262</v>
      </c>
      <c r="F29" s="23" t="str">
        <f t="shared" si="0"/>
        <v>rtdc.l.rtdc.4018:itc</v>
      </c>
      <c r="G29" s="8">
        <f t="shared" si="1"/>
        <v>42617.248692129629</v>
      </c>
    </row>
    <row r="30" spans="1:7" x14ac:dyDescent="0.25">
      <c r="A30" s="8">
        <v>42617.251620370371</v>
      </c>
      <c r="B30" s="23" t="s">
        <v>166</v>
      </c>
      <c r="C30" s="23" t="s">
        <v>390</v>
      </c>
      <c r="D30" s="23">
        <v>2030000</v>
      </c>
      <c r="E30" s="23" t="s">
        <v>321</v>
      </c>
      <c r="F30" s="23" t="str">
        <f t="shared" si="0"/>
        <v>rtdc.l.rtdc.4010:itc</v>
      </c>
      <c r="G30" s="8">
        <f t="shared" si="1"/>
        <v>42617.251620370371</v>
      </c>
    </row>
    <row r="31" spans="1:7" x14ac:dyDescent="0.25">
      <c r="A31" s="8">
        <v>42617.255613425928</v>
      </c>
      <c r="B31" s="23" t="s">
        <v>391</v>
      </c>
      <c r="C31" s="23" t="s">
        <v>392</v>
      </c>
      <c r="D31" s="23">
        <v>1830000</v>
      </c>
      <c r="E31" s="23" t="s">
        <v>280</v>
      </c>
      <c r="F31" s="23" t="str">
        <f t="shared" si="0"/>
        <v>rtdc.l.rtdc.4015:itc</v>
      </c>
      <c r="G31" s="8">
        <f t="shared" si="1"/>
        <v>42617.255613425928</v>
      </c>
    </row>
    <row r="32" spans="1:7" x14ac:dyDescent="0.25">
      <c r="A32" s="8">
        <v>42617.257384259261</v>
      </c>
      <c r="B32" s="23" t="s">
        <v>145</v>
      </c>
      <c r="C32" s="23" t="s">
        <v>393</v>
      </c>
      <c r="D32" s="23">
        <v>1990000</v>
      </c>
      <c r="E32" s="23" t="s">
        <v>375</v>
      </c>
      <c r="F32" s="23" t="str">
        <f t="shared" si="0"/>
        <v>rtdc.l.rtdc.4038:itc</v>
      </c>
      <c r="G32" s="8">
        <f t="shared" si="1"/>
        <v>42617.257384259261</v>
      </c>
    </row>
    <row r="33" spans="1:7" x14ac:dyDescent="0.25">
      <c r="A33" s="8">
        <v>42617.26253472222</v>
      </c>
      <c r="B33" s="23" t="s">
        <v>91</v>
      </c>
      <c r="C33" s="23" t="s">
        <v>394</v>
      </c>
      <c r="D33" s="23">
        <v>1110000</v>
      </c>
      <c r="E33" s="23" t="s">
        <v>385</v>
      </c>
      <c r="F33" s="23" t="str">
        <f t="shared" si="0"/>
        <v>rtdc.l.rtdc.4029:itc</v>
      </c>
      <c r="G33" s="8">
        <f t="shared" si="1"/>
        <v>42617.26253472222</v>
      </c>
    </row>
    <row r="34" spans="1:7" x14ac:dyDescent="0.25">
      <c r="A34" s="8">
        <v>42617.269363425927</v>
      </c>
      <c r="B34" s="23" t="s">
        <v>169</v>
      </c>
      <c r="C34" s="23" t="s">
        <v>395</v>
      </c>
      <c r="D34" s="23">
        <v>1310000</v>
      </c>
      <c r="E34" s="23" t="s">
        <v>279</v>
      </c>
      <c r="F34" s="23" t="str">
        <f t="shared" si="0"/>
        <v>rtdc.l.rtdc.4002:itc</v>
      </c>
      <c r="G34" s="8">
        <f t="shared" si="1"/>
        <v>42617.269363425927</v>
      </c>
    </row>
    <row r="35" spans="1:7" x14ac:dyDescent="0.25">
      <c r="A35" s="8">
        <v>42617.272743055553</v>
      </c>
      <c r="B35" s="23" t="s">
        <v>114</v>
      </c>
      <c r="C35" s="23" t="s">
        <v>396</v>
      </c>
      <c r="D35" s="23">
        <v>1260000</v>
      </c>
      <c r="E35" s="23" t="s">
        <v>320</v>
      </c>
      <c r="F35" s="23" t="str">
        <f t="shared" si="0"/>
        <v>rtdc.l.rtdc.4032:itc</v>
      </c>
      <c r="G35" s="8">
        <f t="shared" si="1"/>
        <v>42617.272743055553</v>
      </c>
    </row>
    <row r="36" spans="1:7" x14ac:dyDescent="0.25">
      <c r="A36" s="8">
        <v>42617.276307870372</v>
      </c>
      <c r="B36" s="23" t="s">
        <v>92</v>
      </c>
      <c r="C36" s="23" t="s">
        <v>397</v>
      </c>
      <c r="D36" s="23">
        <v>1110000</v>
      </c>
      <c r="E36" s="23" t="s">
        <v>385</v>
      </c>
      <c r="F36" s="23" t="str">
        <f t="shared" si="0"/>
        <v>rtdc.l.rtdc.4030:itc</v>
      </c>
      <c r="G36" s="8">
        <f t="shared" si="1"/>
        <v>42617.276307870372</v>
      </c>
    </row>
    <row r="37" spans="1:7" x14ac:dyDescent="0.25">
      <c r="A37" s="8">
        <v>42617.278749999998</v>
      </c>
      <c r="B37" s="23" t="s">
        <v>368</v>
      </c>
      <c r="C37" s="23" t="s">
        <v>398</v>
      </c>
      <c r="D37" s="23">
        <v>1760000</v>
      </c>
      <c r="E37" s="23" t="s">
        <v>263</v>
      </c>
      <c r="F37" s="23" t="str">
        <f t="shared" si="0"/>
        <v>rtdc.l.rtdc.4025:itc</v>
      </c>
      <c r="G37" s="8">
        <f t="shared" si="1"/>
        <v>42617.278749999998</v>
      </c>
    </row>
    <row r="38" spans="1:7" x14ac:dyDescent="0.25">
      <c r="A38" s="8">
        <v>42617.282083333332</v>
      </c>
      <c r="B38" s="23" t="s">
        <v>319</v>
      </c>
      <c r="C38" s="23" t="s">
        <v>399</v>
      </c>
      <c r="D38" s="23">
        <v>2010000</v>
      </c>
      <c r="E38" s="23" t="s">
        <v>262</v>
      </c>
      <c r="F38" s="23" t="str">
        <f t="shared" si="0"/>
        <v>rtdc.l.rtdc.4017:itc</v>
      </c>
      <c r="G38" s="8">
        <f t="shared" si="1"/>
        <v>42617.282083333332</v>
      </c>
    </row>
    <row r="39" spans="1:7" x14ac:dyDescent="0.25">
      <c r="A39" s="8">
        <v>42617.286412037036</v>
      </c>
      <c r="B39" s="23" t="s">
        <v>165</v>
      </c>
      <c r="C39" s="23" t="s">
        <v>400</v>
      </c>
      <c r="D39" s="23">
        <v>2030000</v>
      </c>
      <c r="E39" s="23" t="s">
        <v>321</v>
      </c>
      <c r="F39" s="23" t="str">
        <f t="shared" si="0"/>
        <v>rtdc.l.rtdc.4009:itc</v>
      </c>
      <c r="G39" s="8">
        <f t="shared" si="1"/>
        <v>42617.286412037036</v>
      </c>
    </row>
    <row r="40" spans="1:7" x14ac:dyDescent="0.25">
      <c r="A40" s="8">
        <v>42617.289618055554</v>
      </c>
      <c r="B40" s="28" t="s">
        <v>368</v>
      </c>
      <c r="C40" s="23" t="s">
        <v>398</v>
      </c>
      <c r="D40" s="23">
        <v>1760000</v>
      </c>
      <c r="E40" s="23" t="s">
        <v>263</v>
      </c>
      <c r="F40" s="23" t="str">
        <f t="shared" si="0"/>
        <v>rtdc.l.rtdc.4025:itc</v>
      </c>
      <c r="G40" s="8">
        <f t="shared" si="1"/>
        <v>42617.289618055554</v>
      </c>
    </row>
    <row r="41" spans="1:7" x14ac:dyDescent="0.25">
      <c r="A41" s="8">
        <v>42617.293819444443</v>
      </c>
      <c r="B41" s="23" t="s">
        <v>140</v>
      </c>
      <c r="C41" s="23" t="s">
        <v>401</v>
      </c>
      <c r="D41" s="23">
        <v>1990000</v>
      </c>
      <c r="E41" s="23" t="s">
        <v>375</v>
      </c>
      <c r="F41" s="23" t="str">
        <f t="shared" si="0"/>
        <v>rtdc.l.rtdc.4037:itc</v>
      </c>
      <c r="G41" s="8">
        <f t="shared" si="1"/>
        <v>42617.293819444443</v>
      </c>
    </row>
    <row r="42" spans="1:7" x14ac:dyDescent="0.25">
      <c r="A42" s="8">
        <v>42617.294745370367</v>
      </c>
      <c r="B42" s="23" t="s">
        <v>370</v>
      </c>
      <c r="C42" s="23" t="s">
        <v>402</v>
      </c>
      <c r="D42" s="23">
        <v>1830000</v>
      </c>
      <c r="E42" s="23" t="s">
        <v>280</v>
      </c>
      <c r="F42" s="23" t="str">
        <f t="shared" si="0"/>
        <v>rtdc.l.rtdc.4016:itc</v>
      </c>
      <c r="G42" s="8">
        <f t="shared" si="1"/>
        <v>42617.294745370367</v>
      </c>
    </row>
    <row r="43" spans="1:7" x14ac:dyDescent="0.25">
      <c r="A43" s="8">
        <v>42617.304490740738</v>
      </c>
      <c r="B43" s="23" t="s">
        <v>91</v>
      </c>
      <c r="C43" s="23" t="s">
        <v>403</v>
      </c>
      <c r="D43" s="23">
        <v>1110000</v>
      </c>
      <c r="E43" s="23" t="s">
        <v>385</v>
      </c>
      <c r="F43" s="23" t="str">
        <f t="shared" si="0"/>
        <v>rtdc.l.rtdc.4029:itc</v>
      </c>
      <c r="G43" s="8">
        <f t="shared" si="1"/>
        <v>42617.304490740738</v>
      </c>
    </row>
    <row r="44" spans="1:7" x14ac:dyDescent="0.25">
      <c r="A44" s="8">
        <v>42617.305833333332</v>
      </c>
      <c r="B44" s="23" t="s">
        <v>260</v>
      </c>
      <c r="C44" s="23" t="s">
        <v>404</v>
      </c>
      <c r="D44" s="23">
        <v>1310000</v>
      </c>
      <c r="E44" s="23" t="s">
        <v>279</v>
      </c>
      <c r="F44" s="23" t="str">
        <f t="shared" si="0"/>
        <v>rtdc.l.rtdc.4001:itc</v>
      </c>
      <c r="G44" s="8">
        <f t="shared" si="1"/>
        <v>42617.305833333332</v>
      </c>
    </row>
    <row r="45" spans="1:7" x14ac:dyDescent="0.25">
      <c r="A45" s="8">
        <v>42617.308391203704</v>
      </c>
      <c r="B45" s="23" t="s">
        <v>113</v>
      </c>
      <c r="C45" s="23" t="s">
        <v>405</v>
      </c>
      <c r="D45" s="23">
        <v>1260000</v>
      </c>
      <c r="E45" s="23" t="s">
        <v>320</v>
      </c>
      <c r="F45" s="23" t="str">
        <f t="shared" si="0"/>
        <v>rtdc.l.rtdc.4031:itc</v>
      </c>
      <c r="G45" s="8">
        <f t="shared" si="1"/>
        <v>42617.308391203704</v>
      </c>
    </row>
    <row r="46" spans="1:7" x14ac:dyDescent="0.25">
      <c r="A46" s="8">
        <v>42617.317719907405</v>
      </c>
      <c r="B46" s="23" t="s">
        <v>92</v>
      </c>
      <c r="C46" s="23" t="s">
        <v>406</v>
      </c>
      <c r="D46" s="23">
        <v>1110000</v>
      </c>
      <c r="E46" s="23" t="s">
        <v>385</v>
      </c>
      <c r="F46" s="23" t="str">
        <f t="shared" si="0"/>
        <v>rtdc.l.rtdc.4030:itc</v>
      </c>
      <c r="G46" s="8">
        <f t="shared" si="1"/>
        <v>42617.317719907405</v>
      </c>
    </row>
    <row r="47" spans="1:7" x14ac:dyDescent="0.25">
      <c r="A47" s="8">
        <v>42617.318599537037</v>
      </c>
      <c r="B47" s="23" t="s">
        <v>322</v>
      </c>
      <c r="C47" s="23" t="s">
        <v>407</v>
      </c>
      <c r="D47" s="23">
        <v>2010000</v>
      </c>
      <c r="E47" s="23" t="s">
        <v>262</v>
      </c>
      <c r="F47" s="23" t="str">
        <f t="shared" si="0"/>
        <v>rtdc.l.rtdc.4018:itc</v>
      </c>
      <c r="G47" s="8">
        <f t="shared" si="1"/>
        <v>42617.318599537037</v>
      </c>
    </row>
    <row r="48" spans="1:7" x14ac:dyDescent="0.25">
      <c r="A48" s="8">
        <v>42617.326226851852</v>
      </c>
      <c r="B48" s="23" t="s">
        <v>166</v>
      </c>
      <c r="C48" s="23" t="s">
        <v>408</v>
      </c>
      <c r="D48" s="23">
        <v>2030000</v>
      </c>
      <c r="E48" s="23" t="s">
        <v>321</v>
      </c>
      <c r="F48" s="23" t="str">
        <f t="shared" si="0"/>
        <v>rtdc.l.rtdc.4010:itc</v>
      </c>
      <c r="G48" s="8">
        <f t="shared" si="1"/>
        <v>42617.326226851852</v>
      </c>
    </row>
    <row r="49" spans="1:7" x14ac:dyDescent="0.25">
      <c r="A49" s="8">
        <v>42617.330324074072</v>
      </c>
      <c r="B49" s="23" t="s">
        <v>391</v>
      </c>
      <c r="C49" s="23" t="s">
        <v>409</v>
      </c>
      <c r="D49" s="23">
        <v>1830000</v>
      </c>
      <c r="E49" s="23" t="s">
        <v>280</v>
      </c>
      <c r="F49" s="23" t="str">
        <f t="shared" si="0"/>
        <v>rtdc.l.rtdc.4015:itc</v>
      </c>
      <c r="G49" s="8">
        <f t="shared" si="1"/>
        <v>42617.330324074072</v>
      </c>
    </row>
    <row r="50" spans="1:7" x14ac:dyDescent="0.25">
      <c r="A50" s="8">
        <v>42617.336296296293</v>
      </c>
      <c r="B50" s="23" t="s">
        <v>145</v>
      </c>
      <c r="C50" s="23" t="s">
        <v>410</v>
      </c>
      <c r="D50" s="23">
        <v>1990000</v>
      </c>
      <c r="E50" s="23" t="s">
        <v>375</v>
      </c>
      <c r="F50" s="23" t="str">
        <f t="shared" si="0"/>
        <v>rtdc.l.rtdc.4038:itc</v>
      </c>
      <c r="G50" s="8">
        <f t="shared" si="1"/>
        <v>42617.336296296293</v>
      </c>
    </row>
    <row r="51" spans="1:7" x14ac:dyDescent="0.25">
      <c r="A51" s="8">
        <v>42617.343726851854</v>
      </c>
      <c r="B51" s="23" t="s">
        <v>169</v>
      </c>
      <c r="C51" s="23" t="s">
        <v>411</v>
      </c>
      <c r="D51" s="23">
        <v>1310000</v>
      </c>
      <c r="E51" s="23" t="s">
        <v>279</v>
      </c>
      <c r="F51" s="23" t="str">
        <f t="shared" si="0"/>
        <v>rtdc.l.rtdc.4002:itc</v>
      </c>
      <c r="G51" s="8">
        <f t="shared" si="1"/>
        <v>42617.343726851854</v>
      </c>
    </row>
    <row r="52" spans="1:7" x14ac:dyDescent="0.25">
      <c r="A52" s="8">
        <v>42617.345081018517</v>
      </c>
      <c r="B52" s="23" t="s">
        <v>91</v>
      </c>
      <c r="C52" s="23" t="s">
        <v>412</v>
      </c>
      <c r="D52" s="23">
        <v>1110000</v>
      </c>
      <c r="E52" s="23" t="s">
        <v>385</v>
      </c>
      <c r="F52" s="23" t="str">
        <f t="shared" si="0"/>
        <v>rtdc.l.rtdc.4029:itc</v>
      </c>
      <c r="G52" s="8">
        <f t="shared" si="1"/>
        <v>42617.345081018517</v>
      </c>
    </row>
    <row r="53" spans="1:7" x14ac:dyDescent="0.25">
      <c r="A53" s="8">
        <v>42617.346122685187</v>
      </c>
      <c r="B53" s="23" t="s">
        <v>114</v>
      </c>
      <c r="C53" s="23" t="s">
        <v>413</v>
      </c>
      <c r="D53" s="23">
        <v>1260000</v>
      </c>
      <c r="E53" s="23" t="s">
        <v>320</v>
      </c>
      <c r="F53" s="23" t="str">
        <f t="shared" si="0"/>
        <v>rtdc.l.rtdc.4032:itc</v>
      </c>
      <c r="G53" s="8">
        <f t="shared" si="1"/>
        <v>42617.346122685187</v>
      </c>
    </row>
    <row r="54" spans="1:7" x14ac:dyDescent="0.25">
      <c r="A54" s="8">
        <v>42617.349212962959</v>
      </c>
      <c r="B54" s="23" t="s">
        <v>314</v>
      </c>
      <c r="C54" s="23" t="s">
        <v>414</v>
      </c>
      <c r="D54" s="23">
        <v>2110000</v>
      </c>
      <c r="E54" s="23" t="s">
        <v>415</v>
      </c>
      <c r="F54" s="23" t="str">
        <f t="shared" si="0"/>
        <v>rtdc.l.rtdc.4046:itc</v>
      </c>
      <c r="G54" s="8">
        <f t="shared" si="1"/>
        <v>42617.349212962959</v>
      </c>
    </row>
    <row r="55" spans="1:7" x14ac:dyDescent="0.25">
      <c r="A55" s="8">
        <v>42617.349791666667</v>
      </c>
      <c r="B55" s="23" t="s">
        <v>314</v>
      </c>
      <c r="C55" s="23" t="s">
        <v>414</v>
      </c>
      <c r="D55" s="23">
        <v>2110000</v>
      </c>
      <c r="E55" s="23" t="s">
        <v>415</v>
      </c>
      <c r="F55" s="23" t="str">
        <f t="shared" si="0"/>
        <v>rtdc.l.rtdc.4046:itc</v>
      </c>
      <c r="G55" s="8">
        <f t="shared" si="1"/>
        <v>42617.349791666667</v>
      </c>
    </row>
    <row r="56" spans="1:7" x14ac:dyDescent="0.25">
      <c r="A56" s="8">
        <v>42617.350752314815</v>
      </c>
      <c r="B56" s="23" t="s">
        <v>314</v>
      </c>
      <c r="C56" s="23" t="s">
        <v>414</v>
      </c>
      <c r="D56" s="23">
        <v>2110000</v>
      </c>
      <c r="E56" s="23" t="s">
        <v>415</v>
      </c>
      <c r="F56" s="23" t="str">
        <f t="shared" si="0"/>
        <v>rtdc.l.rtdc.4046:itc</v>
      </c>
      <c r="G56" s="8">
        <f t="shared" si="1"/>
        <v>42617.350752314815</v>
      </c>
    </row>
    <row r="57" spans="1:7" x14ac:dyDescent="0.25">
      <c r="A57" s="8">
        <v>42617.359351851854</v>
      </c>
      <c r="B57" s="23" t="s">
        <v>319</v>
      </c>
      <c r="C57" s="23" t="s">
        <v>416</v>
      </c>
      <c r="D57" s="23">
        <v>2010000</v>
      </c>
      <c r="E57" s="23" t="s">
        <v>262</v>
      </c>
      <c r="F57" s="23" t="str">
        <f t="shared" si="0"/>
        <v>rtdc.l.rtdc.4017:itc</v>
      </c>
      <c r="G57" s="8">
        <f t="shared" si="1"/>
        <v>42617.359351851854</v>
      </c>
    </row>
    <row r="58" spans="1:7" x14ac:dyDescent="0.25">
      <c r="A58" s="8">
        <v>42617.359675925924</v>
      </c>
      <c r="B58" s="23" t="s">
        <v>92</v>
      </c>
      <c r="C58" s="23" t="s">
        <v>417</v>
      </c>
      <c r="D58" s="23">
        <v>1110000</v>
      </c>
      <c r="E58" s="23" t="s">
        <v>385</v>
      </c>
      <c r="F58" s="23" t="str">
        <f t="shared" si="0"/>
        <v>rtdc.l.rtdc.4030:itc</v>
      </c>
      <c r="G58" s="8">
        <f t="shared" si="1"/>
        <v>42617.359675925924</v>
      </c>
    </row>
    <row r="59" spans="1:7" x14ac:dyDescent="0.25">
      <c r="A59" s="8">
        <v>42617.36178240741</v>
      </c>
      <c r="B59" s="23" t="s">
        <v>165</v>
      </c>
      <c r="C59" s="23" t="s">
        <v>418</v>
      </c>
      <c r="D59" s="23">
        <v>2030000</v>
      </c>
      <c r="E59" s="23" t="s">
        <v>321</v>
      </c>
      <c r="F59" s="23" t="str">
        <f t="shared" si="0"/>
        <v>rtdc.l.rtdc.4009:itc</v>
      </c>
      <c r="G59" s="8">
        <f t="shared" si="1"/>
        <v>42617.36178240741</v>
      </c>
    </row>
    <row r="60" spans="1:7" x14ac:dyDescent="0.25">
      <c r="A60" s="8">
        <v>42617.367650462962</v>
      </c>
      <c r="B60" s="23" t="s">
        <v>140</v>
      </c>
      <c r="C60" s="23" t="s">
        <v>419</v>
      </c>
      <c r="D60" s="23">
        <v>1990000</v>
      </c>
      <c r="E60" s="23" t="s">
        <v>375</v>
      </c>
      <c r="F60" s="23" t="str">
        <f t="shared" si="0"/>
        <v>rtdc.l.rtdc.4037:itc</v>
      </c>
      <c r="G60" s="8">
        <f t="shared" si="1"/>
        <v>42617.367650462962</v>
      </c>
    </row>
    <row r="61" spans="1:7" x14ac:dyDescent="0.25">
      <c r="A61" s="8">
        <v>42617.368344907409</v>
      </c>
      <c r="B61" s="23" t="s">
        <v>370</v>
      </c>
      <c r="C61" s="23" t="s">
        <v>420</v>
      </c>
      <c r="D61" s="23">
        <v>1830000</v>
      </c>
      <c r="E61" s="23" t="s">
        <v>280</v>
      </c>
      <c r="F61" s="23" t="str">
        <f t="shared" si="0"/>
        <v>rtdc.l.rtdc.4016:itc</v>
      </c>
      <c r="G61" s="8">
        <f t="shared" si="1"/>
        <v>42617.368344907409</v>
      </c>
    </row>
    <row r="62" spans="1:7" x14ac:dyDescent="0.25">
      <c r="A62" s="8">
        <v>42617.380868055552</v>
      </c>
      <c r="B62" s="23" t="s">
        <v>260</v>
      </c>
      <c r="C62" s="23" t="s">
        <v>421</v>
      </c>
      <c r="D62" s="23">
        <v>1310000</v>
      </c>
      <c r="E62" s="23" t="s">
        <v>279</v>
      </c>
      <c r="F62" s="23" t="str">
        <f t="shared" si="0"/>
        <v>rtdc.l.rtdc.4001:itc</v>
      </c>
      <c r="G62" s="8">
        <f t="shared" si="1"/>
        <v>42617.380868055552</v>
      </c>
    </row>
    <row r="63" spans="1:7" x14ac:dyDescent="0.25">
      <c r="A63" s="8">
        <v>42617.382384259261</v>
      </c>
      <c r="B63" s="23" t="s">
        <v>113</v>
      </c>
      <c r="C63" s="23" t="s">
        <v>422</v>
      </c>
      <c r="D63" s="23">
        <v>1260000</v>
      </c>
      <c r="E63" s="23" t="s">
        <v>320</v>
      </c>
      <c r="F63" s="23" t="str">
        <f t="shared" si="0"/>
        <v>rtdc.l.rtdc.4031:itc</v>
      </c>
      <c r="G63" s="8">
        <f t="shared" si="1"/>
        <v>42617.382384259261</v>
      </c>
    </row>
    <row r="64" spans="1:7" x14ac:dyDescent="0.25">
      <c r="A64" s="29">
        <v>42617.385972222219</v>
      </c>
      <c r="B64" s="23" t="s">
        <v>315</v>
      </c>
      <c r="C64" s="23" t="s">
        <v>423</v>
      </c>
      <c r="D64" s="23">
        <v>1760000</v>
      </c>
      <c r="E64" s="23" t="s">
        <v>263</v>
      </c>
      <c r="F64" s="23" t="str">
        <f t="shared" si="0"/>
        <v>rtdc.l.rtdc.4045:itc</v>
      </c>
      <c r="G64" s="8">
        <f t="shared" si="1"/>
        <v>42617.385972222219</v>
      </c>
    </row>
    <row r="65" spans="1:7" x14ac:dyDescent="0.25">
      <c r="A65" s="8">
        <v>42617.388090277775</v>
      </c>
      <c r="B65" s="23" t="s">
        <v>91</v>
      </c>
      <c r="C65" s="23" t="s">
        <v>424</v>
      </c>
      <c r="D65" s="23">
        <v>1110000</v>
      </c>
      <c r="E65" s="23" t="s">
        <v>385</v>
      </c>
      <c r="F65" s="23" t="str">
        <f t="shared" si="0"/>
        <v>rtdc.l.rtdc.4029:itc</v>
      </c>
      <c r="G65" s="8">
        <f t="shared" si="1"/>
        <v>42617.388090277775</v>
      </c>
    </row>
    <row r="66" spans="1:7" x14ac:dyDescent="0.25">
      <c r="A66" s="8">
        <v>42617.390462962961</v>
      </c>
      <c r="B66" s="23" t="s">
        <v>140</v>
      </c>
      <c r="C66" s="23" t="s">
        <v>419</v>
      </c>
      <c r="D66" s="23">
        <v>1990000</v>
      </c>
      <c r="E66" s="23" t="s">
        <v>375</v>
      </c>
      <c r="F66" s="23" t="str">
        <f t="shared" ref="F66:F129" si="2">B66</f>
        <v>rtdc.l.rtdc.4037:itc</v>
      </c>
      <c r="G66" s="8">
        <f t="shared" ref="G66:G129" si="3">A66</f>
        <v>42617.390462962961</v>
      </c>
    </row>
    <row r="67" spans="1:7" x14ac:dyDescent="0.25">
      <c r="A67" s="8">
        <v>42617.394131944442</v>
      </c>
      <c r="B67" s="23" t="s">
        <v>322</v>
      </c>
      <c r="C67" s="23" t="s">
        <v>425</v>
      </c>
      <c r="D67" s="23">
        <v>2010000</v>
      </c>
      <c r="E67" s="23" t="s">
        <v>262</v>
      </c>
      <c r="F67" s="23" t="str">
        <f t="shared" si="2"/>
        <v>rtdc.l.rtdc.4018:itc</v>
      </c>
      <c r="G67" s="8">
        <f t="shared" si="3"/>
        <v>42617.394131944442</v>
      </c>
    </row>
    <row r="68" spans="1:7" x14ac:dyDescent="0.25">
      <c r="A68" s="8">
        <v>42617.398136574076</v>
      </c>
      <c r="B68" s="23" t="s">
        <v>166</v>
      </c>
      <c r="C68" s="23" t="s">
        <v>426</v>
      </c>
      <c r="D68" s="23">
        <v>2030000</v>
      </c>
      <c r="E68" s="23" t="s">
        <v>321</v>
      </c>
      <c r="F68" s="23" t="str">
        <f t="shared" si="2"/>
        <v>rtdc.l.rtdc.4010:itc</v>
      </c>
      <c r="G68" s="8">
        <f t="shared" si="3"/>
        <v>42617.398136574076</v>
      </c>
    </row>
    <row r="69" spans="1:7" x14ac:dyDescent="0.25">
      <c r="A69" s="8">
        <v>42617.400833333333</v>
      </c>
      <c r="B69" s="23" t="s">
        <v>391</v>
      </c>
      <c r="C69" s="23" t="s">
        <v>427</v>
      </c>
      <c r="D69" s="23">
        <v>1830000</v>
      </c>
      <c r="E69" s="23" t="s">
        <v>280</v>
      </c>
      <c r="F69" s="23" t="str">
        <f t="shared" si="2"/>
        <v>rtdc.l.rtdc.4015:itc</v>
      </c>
      <c r="G69" s="8">
        <f t="shared" si="3"/>
        <v>42617.400833333333</v>
      </c>
    </row>
    <row r="70" spans="1:7" x14ac:dyDescent="0.25">
      <c r="A70" s="8">
        <v>42617.402557870373</v>
      </c>
      <c r="B70" s="23" t="s">
        <v>92</v>
      </c>
      <c r="C70" s="23" t="s">
        <v>428</v>
      </c>
      <c r="D70" s="23">
        <v>1110000</v>
      </c>
      <c r="E70" s="23" t="s">
        <v>385</v>
      </c>
      <c r="F70" s="23" t="str">
        <f t="shared" si="2"/>
        <v>rtdc.l.rtdc.4030:itc</v>
      </c>
      <c r="G70" s="8">
        <f t="shared" si="3"/>
        <v>42617.402557870373</v>
      </c>
    </row>
    <row r="71" spans="1:7" x14ac:dyDescent="0.25">
      <c r="A71" s="8">
        <v>42617.405729166669</v>
      </c>
      <c r="B71" s="23" t="s">
        <v>145</v>
      </c>
      <c r="C71" s="23" t="s">
        <v>429</v>
      </c>
      <c r="D71" s="23">
        <v>1990000</v>
      </c>
      <c r="E71" s="23" t="s">
        <v>375</v>
      </c>
      <c r="F71" s="23" t="str">
        <f t="shared" si="2"/>
        <v>rtdc.l.rtdc.4038:itc</v>
      </c>
      <c r="G71" s="8">
        <f t="shared" si="3"/>
        <v>42617.405729166669</v>
      </c>
    </row>
    <row r="72" spans="1:7" x14ac:dyDescent="0.25">
      <c r="A72" s="8">
        <v>42617.413587962961</v>
      </c>
      <c r="B72" s="23" t="s">
        <v>169</v>
      </c>
      <c r="C72" s="23" t="s">
        <v>430</v>
      </c>
      <c r="D72" s="23">
        <v>1310000</v>
      </c>
      <c r="E72" s="23" t="s">
        <v>279</v>
      </c>
      <c r="F72" s="23" t="str">
        <f t="shared" si="2"/>
        <v>rtdc.l.rtdc.4002:itc</v>
      </c>
      <c r="G72" s="8">
        <f t="shared" si="3"/>
        <v>42617.413587962961</v>
      </c>
    </row>
    <row r="73" spans="1:7" x14ac:dyDescent="0.25">
      <c r="A73" s="8">
        <v>42617.419212962966</v>
      </c>
      <c r="B73" s="23" t="s">
        <v>114</v>
      </c>
      <c r="C73" s="23" t="s">
        <v>422</v>
      </c>
      <c r="D73" s="23">
        <v>1260000</v>
      </c>
      <c r="E73" s="23" t="s">
        <v>320</v>
      </c>
      <c r="F73" s="23" t="str">
        <f t="shared" si="2"/>
        <v>rtdc.l.rtdc.4032:itc</v>
      </c>
      <c r="G73" s="8">
        <f t="shared" si="3"/>
        <v>42617.419212962966</v>
      </c>
    </row>
    <row r="74" spans="1:7" x14ac:dyDescent="0.25">
      <c r="A74" s="8">
        <v>42617.420034722221</v>
      </c>
      <c r="B74" s="23" t="s">
        <v>114</v>
      </c>
      <c r="C74" s="23" t="s">
        <v>431</v>
      </c>
      <c r="D74" s="23">
        <v>1260000</v>
      </c>
      <c r="E74" s="23" t="s">
        <v>320</v>
      </c>
      <c r="F74" s="23" t="str">
        <f t="shared" si="2"/>
        <v>rtdc.l.rtdc.4032:itc</v>
      </c>
      <c r="G74" s="8">
        <f t="shared" si="3"/>
        <v>42617.420034722221</v>
      </c>
    </row>
    <row r="75" spans="1:7" x14ac:dyDescent="0.25">
      <c r="A75" s="8">
        <v>42617.423344907409</v>
      </c>
      <c r="B75" s="23" t="s">
        <v>314</v>
      </c>
      <c r="C75" s="23" t="s">
        <v>432</v>
      </c>
      <c r="D75" s="23">
        <v>1760000</v>
      </c>
      <c r="E75" s="23" t="s">
        <v>263</v>
      </c>
      <c r="F75" s="23" t="str">
        <f t="shared" si="2"/>
        <v>rtdc.l.rtdc.4046:itc</v>
      </c>
      <c r="G75" s="8">
        <f t="shared" si="3"/>
        <v>42617.423344907409</v>
      </c>
    </row>
    <row r="76" spans="1:7" x14ac:dyDescent="0.25">
      <c r="A76" s="8">
        <v>42617.430081018516</v>
      </c>
      <c r="B76" s="23" t="s">
        <v>91</v>
      </c>
      <c r="C76" s="23" t="s">
        <v>433</v>
      </c>
      <c r="D76" s="23">
        <v>1110000</v>
      </c>
      <c r="E76" s="23" t="s">
        <v>385</v>
      </c>
      <c r="F76" s="23" t="str">
        <f t="shared" si="2"/>
        <v>rtdc.l.rtdc.4029:itc</v>
      </c>
      <c r="G76" s="8">
        <f t="shared" si="3"/>
        <v>42617.430081018516</v>
      </c>
    </row>
    <row r="77" spans="1:7" x14ac:dyDescent="0.25">
      <c r="A77" s="8">
        <v>42617.430960648147</v>
      </c>
      <c r="B77" s="23" t="s">
        <v>319</v>
      </c>
      <c r="C77" s="23" t="s">
        <v>434</v>
      </c>
      <c r="D77" s="23">
        <v>2010000</v>
      </c>
      <c r="E77" s="23" t="s">
        <v>262</v>
      </c>
      <c r="F77" s="23" t="str">
        <f t="shared" si="2"/>
        <v>rtdc.l.rtdc.4017:itc</v>
      </c>
      <c r="G77" s="8">
        <f t="shared" si="3"/>
        <v>42617.430960648147</v>
      </c>
    </row>
    <row r="78" spans="1:7" x14ac:dyDescent="0.25">
      <c r="A78" s="8">
        <v>42617.433495370373</v>
      </c>
      <c r="B78" s="23" t="s">
        <v>165</v>
      </c>
      <c r="C78" s="23" t="s">
        <v>435</v>
      </c>
      <c r="D78" s="23">
        <v>930000</v>
      </c>
      <c r="E78" s="23" t="s">
        <v>317</v>
      </c>
      <c r="F78" s="23" t="str">
        <f t="shared" si="2"/>
        <v>rtdc.l.rtdc.4009:itc</v>
      </c>
      <c r="G78" s="8">
        <f t="shared" si="3"/>
        <v>42617.433495370373</v>
      </c>
    </row>
    <row r="79" spans="1:7" x14ac:dyDescent="0.25">
      <c r="A79" s="8">
        <v>42617.440115740741</v>
      </c>
      <c r="B79" s="23" t="s">
        <v>140</v>
      </c>
      <c r="C79" s="23" t="s">
        <v>436</v>
      </c>
      <c r="D79" s="23">
        <v>1990000</v>
      </c>
      <c r="E79" s="23" t="s">
        <v>375</v>
      </c>
      <c r="F79" s="23" t="str">
        <f t="shared" si="2"/>
        <v>rtdc.l.rtdc.4037:itc</v>
      </c>
      <c r="G79" s="8">
        <f t="shared" si="3"/>
        <v>42617.440115740741</v>
      </c>
    </row>
    <row r="80" spans="1:7" x14ac:dyDescent="0.25">
      <c r="A80" s="8">
        <v>42617.441435185188</v>
      </c>
      <c r="B80" s="23" t="s">
        <v>370</v>
      </c>
      <c r="C80" s="23" t="s">
        <v>437</v>
      </c>
      <c r="D80" s="23">
        <v>1830000</v>
      </c>
      <c r="E80" s="23" t="s">
        <v>280</v>
      </c>
      <c r="F80" s="23" t="str">
        <f t="shared" si="2"/>
        <v>rtdc.l.rtdc.4016:itc</v>
      </c>
      <c r="G80" s="8">
        <f t="shared" si="3"/>
        <v>42617.441435185188</v>
      </c>
    </row>
    <row r="81" spans="1:7" x14ac:dyDescent="0.25">
      <c r="A81" s="8">
        <v>42617.442071759258</v>
      </c>
      <c r="B81" s="23" t="s">
        <v>92</v>
      </c>
      <c r="C81" s="23" t="s">
        <v>438</v>
      </c>
      <c r="D81" s="23">
        <v>1110000</v>
      </c>
      <c r="E81" s="23" t="s">
        <v>385</v>
      </c>
      <c r="F81" s="23" t="str">
        <f t="shared" si="2"/>
        <v>rtdc.l.rtdc.4030:itc</v>
      </c>
      <c r="G81" s="8">
        <f t="shared" si="3"/>
        <v>42617.442071759258</v>
      </c>
    </row>
    <row r="82" spans="1:7" x14ac:dyDescent="0.25">
      <c r="A82" s="8">
        <v>42617.442337962966</v>
      </c>
      <c r="B82" s="23" t="s">
        <v>370</v>
      </c>
      <c r="C82" s="23" t="s">
        <v>437</v>
      </c>
      <c r="D82" s="23">
        <v>1830000</v>
      </c>
      <c r="E82" s="23" t="s">
        <v>280</v>
      </c>
      <c r="F82" s="23" t="str">
        <f t="shared" si="2"/>
        <v>rtdc.l.rtdc.4016:itc</v>
      </c>
      <c r="G82" s="8">
        <f t="shared" si="3"/>
        <v>42617.442337962966</v>
      </c>
    </row>
    <row r="83" spans="1:7" x14ac:dyDescent="0.25">
      <c r="A83" s="8">
        <v>42617.454247685186</v>
      </c>
      <c r="B83" s="23" t="s">
        <v>260</v>
      </c>
      <c r="C83" s="23" t="s">
        <v>430</v>
      </c>
      <c r="D83" s="23">
        <v>1310000</v>
      </c>
      <c r="E83" s="23" t="s">
        <v>279</v>
      </c>
      <c r="F83" s="23" t="str">
        <f t="shared" si="2"/>
        <v>rtdc.l.rtdc.4001:itc</v>
      </c>
      <c r="G83" s="8">
        <f t="shared" si="3"/>
        <v>42617.454247685186</v>
      </c>
    </row>
    <row r="84" spans="1:7" x14ac:dyDescent="0.25">
      <c r="A84" s="8">
        <v>42617.454710648148</v>
      </c>
      <c r="B84" s="23" t="s">
        <v>113</v>
      </c>
      <c r="C84" s="23" t="s">
        <v>439</v>
      </c>
      <c r="D84" s="23">
        <v>880000</v>
      </c>
      <c r="E84" s="23" t="s">
        <v>316</v>
      </c>
      <c r="F84" s="23" t="str">
        <f t="shared" si="2"/>
        <v>rtdc.l.rtdc.4031:itc</v>
      </c>
      <c r="G84" s="8">
        <f t="shared" si="3"/>
        <v>42617.454710648148</v>
      </c>
    </row>
    <row r="85" spans="1:7" x14ac:dyDescent="0.25">
      <c r="A85" s="8">
        <v>42617.454745370371</v>
      </c>
      <c r="B85" s="23" t="s">
        <v>260</v>
      </c>
      <c r="C85" s="23" t="s">
        <v>440</v>
      </c>
      <c r="D85" s="23">
        <v>1310000</v>
      </c>
      <c r="E85" s="23" t="s">
        <v>279</v>
      </c>
      <c r="F85" s="23" t="str">
        <f t="shared" si="2"/>
        <v>rtdc.l.rtdc.4001:itc</v>
      </c>
      <c r="G85" s="8">
        <f t="shared" si="3"/>
        <v>42617.454745370371</v>
      </c>
    </row>
    <row r="86" spans="1:7" x14ac:dyDescent="0.25">
      <c r="A86" s="8">
        <v>42617.463182870371</v>
      </c>
      <c r="B86" s="23" t="s">
        <v>315</v>
      </c>
      <c r="C86" s="23" t="s">
        <v>441</v>
      </c>
      <c r="D86" s="23">
        <v>1760000</v>
      </c>
      <c r="E86" s="23" t="s">
        <v>263</v>
      </c>
      <c r="F86" s="23" t="str">
        <f t="shared" si="2"/>
        <v>rtdc.l.rtdc.4045:itc</v>
      </c>
      <c r="G86" s="8">
        <f t="shared" si="3"/>
        <v>42617.463182870371</v>
      </c>
    </row>
    <row r="87" spans="1:7" x14ac:dyDescent="0.25">
      <c r="A87" s="8">
        <v>42617.46503472222</v>
      </c>
      <c r="B87" s="23" t="s">
        <v>322</v>
      </c>
      <c r="C87" s="23" t="s">
        <v>442</v>
      </c>
      <c r="D87" s="23">
        <v>1280000</v>
      </c>
      <c r="E87" s="23" t="s">
        <v>443</v>
      </c>
      <c r="F87" s="23" t="str">
        <f t="shared" si="2"/>
        <v>rtdc.l.rtdc.4018:itc</v>
      </c>
      <c r="G87" s="8">
        <f t="shared" si="3"/>
        <v>42617.46503472222</v>
      </c>
    </row>
    <row r="88" spans="1:7" x14ac:dyDescent="0.25">
      <c r="A88" s="8">
        <v>42617.469236111108</v>
      </c>
      <c r="B88" s="23" t="s">
        <v>91</v>
      </c>
      <c r="C88" s="23" t="s">
        <v>444</v>
      </c>
      <c r="D88" s="23">
        <v>1110000</v>
      </c>
      <c r="E88" s="23" t="s">
        <v>385</v>
      </c>
      <c r="F88" s="23" t="str">
        <f t="shared" si="2"/>
        <v>rtdc.l.rtdc.4029:itc</v>
      </c>
      <c r="G88" s="8">
        <f t="shared" si="3"/>
        <v>42617.469236111108</v>
      </c>
    </row>
    <row r="89" spans="1:7" x14ac:dyDescent="0.25">
      <c r="A89" s="8">
        <v>42617.473182870373</v>
      </c>
      <c r="B89" s="23" t="s">
        <v>166</v>
      </c>
      <c r="C89" s="23" t="s">
        <v>445</v>
      </c>
      <c r="D89" s="23">
        <v>930000</v>
      </c>
      <c r="E89" s="23" t="s">
        <v>317</v>
      </c>
      <c r="F89" s="23" t="str">
        <f t="shared" si="2"/>
        <v>rtdc.l.rtdc.4010:itc</v>
      </c>
      <c r="G89" s="8">
        <f t="shared" si="3"/>
        <v>42617.473182870373</v>
      </c>
    </row>
    <row r="90" spans="1:7" x14ac:dyDescent="0.25">
      <c r="A90" s="8">
        <v>42617.473449074074</v>
      </c>
      <c r="B90" s="23" t="s">
        <v>391</v>
      </c>
      <c r="C90" s="23" t="s">
        <v>446</v>
      </c>
      <c r="D90" s="23">
        <v>1830000</v>
      </c>
      <c r="E90" s="23" t="s">
        <v>280</v>
      </c>
      <c r="F90" s="23" t="str">
        <f t="shared" si="2"/>
        <v>rtdc.l.rtdc.4015:itc</v>
      </c>
      <c r="G90" s="8">
        <f t="shared" si="3"/>
        <v>42617.473449074074</v>
      </c>
    </row>
    <row r="91" spans="1:7" x14ac:dyDescent="0.25">
      <c r="A91" s="8">
        <v>42617.477430555555</v>
      </c>
      <c r="B91" s="23" t="s">
        <v>145</v>
      </c>
      <c r="C91" s="23" t="s">
        <v>447</v>
      </c>
      <c r="D91" s="23">
        <v>1770000</v>
      </c>
      <c r="E91" s="23" t="s">
        <v>324</v>
      </c>
      <c r="F91" s="23" t="str">
        <f t="shared" si="2"/>
        <v>rtdc.l.rtdc.4038:itc</v>
      </c>
      <c r="G91" s="8">
        <f t="shared" si="3"/>
        <v>42617.477430555555</v>
      </c>
    </row>
    <row r="92" spans="1:7" x14ac:dyDescent="0.25">
      <c r="A92" s="8">
        <v>42617.483506944445</v>
      </c>
      <c r="B92" s="23" t="s">
        <v>92</v>
      </c>
      <c r="C92" s="23" t="s">
        <v>444</v>
      </c>
      <c r="D92" s="23">
        <v>1110000</v>
      </c>
      <c r="E92" s="23" t="s">
        <v>385</v>
      </c>
      <c r="F92" s="23" t="str">
        <f t="shared" si="2"/>
        <v>rtdc.l.rtdc.4030:itc</v>
      </c>
      <c r="G92" s="8">
        <f t="shared" si="3"/>
        <v>42617.483506944445</v>
      </c>
    </row>
    <row r="93" spans="1:7" x14ac:dyDescent="0.25">
      <c r="A93" s="8">
        <v>42617.484236111108</v>
      </c>
      <c r="B93" s="23" t="s">
        <v>92</v>
      </c>
      <c r="C93" s="23" t="s">
        <v>444</v>
      </c>
      <c r="D93" s="23">
        <v>1110000</v>
      </c>
      <c r="E93" s="23" t="s">
        <v>385</v>
      </c>
      <c r="F93" s="23" t="str">
        <f t="shared" si="2"/>
        <v>rtdc.l.rtdc.4030:itc</v>
      </c>
      <c r="G93" s="8">
        <f t="shared" si="3"/>
        <v>42617.484236111108</v>
      </c>
    </row>
    <row r="94" spans="1:7" x14ac:dyDescent="0.25">
      <c r="A94" s="8">
        <v>42617.485972222225</v>
      </c>
      <c r="B94" s="23" t="s">
        <v>92</v>
      </c>
      <c r="C94" s="23" t="s">
        <v>448</v>
      </c>
      <c r="D94" s="23">
        <v>1110000</v>
      </c>
      <c r="E94" s="23" t="s">
        <v>385</v>
      </c>
      <c r="F94" s="23" t="str">
        <f t="shared" si="2"/>
        <v>rtdc.l.rtdc.4030:itc</v>
      </c>
      <c r="G94" s="8">
        <f t="shared" si="3"/>
        <v>42617.485972222225</v>
      </c>
    </row>
    <row r="95" spans="1:7" x14ac:dyDescent="0.25">
      <c r="A95" s="8">
        <v>42617.48809027778</v>
      </c>
      <c r="B95" s="23" t="s">
        <v>169</v>
      </c>
      <c r="C95" s="23" t="s">
        <v>449</v>
      </c>
      <c r="D95" s="23">
        <v>2040000</v>
      </c>
      <c r="E95" s="23" t="s">
        <v>264</v>
      </c>
      <c r="F95" s="23" t="str">
        <f t="shared" si="2"/>
        <v>rtdc.l.rtdc.4002:itc</v>
      </c>
      <c r="G95" s="8">
        <f t="shared" si="3"/>
        <v>42617.48809027778</v>
      </c>
    </row>
    <row r="96" spans="1:7" x14ac:dyDescent="0.25">
      <c r="A96" s="8">
        <v>42617.496006944442</v>
      </c>
      <c r="B96" s="23" t="s">
        <v>114</v>
      </c>
      <c r="C96" s="23" t="s">
        <v>450</v>
      </c>
      <c r="D96" s="23">
        <v>880000</v>
      </c>
      <c r="E96" s="23" t="s">
        <v>316</v>
      </c>
      <c r="F96" s="23" t="str">
        <f t="shared" si="2"/>
        <v>rtdc.l.rtdc.4032:itc</v>
      </c>
      <c r="G96" s="8">
        <f t="shared" si="3"/>
        <v>42617.496006944442</v>
      </c>
    </row>
    <row r="97" spans="1:7" x14ac:dyDescent="0.25">
      <c r="A97" s="8">
        <v>42617.496863425928</v>
      </c>
      <c r="B97" s="23" t="s">
        <v>319</v>
      </c>
      <c r="C97" s="23" t="s">
        <v>451</v>
      </c>
      <c r="D97" s="23">
        <v>1280000</v>
      </c>
      <c r="E97" s="23" t="s">
        <v>443</v>
      </c>
      <c r="F97" s="23" t="str">
        <f t="shared" si="2"/>
        <v>rtdc.l.rtdc.4017:itc</v>
      </c>
      <c r="G97" s="8">
        <f t="shared" si="3"/>
        <v>42617.496863425928</v>
      </c>
    </row>
    <row r="98" spans="1:7" x14ac:dyDescent="0.25">
      <c r="A98" s="8">
        <v>42617.498761574076</v>
      </c>
      <c r="B98" s="23" t="s">
        <v>314</v>
      </c>
      <c r="C98" s="23" t="s">
        <v>452</v>
      </c>
      <c r="D98" s="23">
        <v>1140000</v>
      </c>
      <c r="E98" s="23" t="s">
        <v>453</v>
      </c>
      <c r="F98" s="23" t="str">
        <f t="shared" si="2"/>
        <v>rtdc.l.rtdc.4046:itc</v>
      </c>
      <c r="G98" s="8">
        <f t="shared" si="3"/>
        <v>42617.498761574076</v>
      </c>
    </row>
    <row r="99" spans="1:7" x14ac:dyDescent="0.25">
      <c r="A99" s="8">
        <v>42617.507488425923</v>
      </c>
      <c r="B99" s="23" t="s">
        <v>165</v>
      </c>
      <c r="C99" s="23" t="s">
        <v>454</v>
      </c>
      <c r="D99" s="23">
        <v>930000</v>
      </c>
      <c r="E99" s="23" t="s">
        <v>317</v>
      </c>
      <c r="F99" s="23" t="str">
        <f t="shared" si="2"/>
        <v>rtdc.l.rtdc.4009:itc</v>
      </c>
      <c r="G99" s="8">
        <f t="shared" si="3"/>
        <v>42617.507488425923</v>
      </c>
    </row>
    <row r="100" spans="1:7" x14ac:dyDescent="0.25">
      <c r="A100" s="8">
        <v>42617.512604166666</v>
      </c>
      <c r="B100" s="23" t="s">
        <v>140</v>
      </c>
      <c r="C100" s="23" t="s">
        <v>455</v>
      </c>
      <c r="D100" s="23">
        <v>1770000</v>
      </c>
      <c r="E100" s="23" t="s">
        <v>324</v>
      </c>
      <c r="F100" s="23" t="str">
        <f t="shared" si="2"/>
        <v>rtdc.l.rtdc.4037:itc</v>
      </c>
      <c r="G100" s="8">
        <f t="shared" si="3"/>
        <v>42617.512604166666</v>
      </c>
    </row>
    <row r="101" spans="1:7" x14ac:dyDescent="0.25">
      <c r="A101" s="8">
        <v>42617.513090277775</v>
      </c>
      <c r="B101" s="23" t="s">
        <v>91</v>
      </c>
      <c r="C101" s="23" t="s">
        <v>456</v>
      </c>
      <c r="D101" s="23">
        <v>1110000</v>
      </c>
      <c r="E101" s="23" t="s">
        <v>385</v>
      </c>
      <c r="F101" s="23" t="str">
        <f t="shared" si="2"/>
        <v>rtdc.l.rtdc.4029:itc</v>
      </c>
      <c r="G101" s="8">
        <f t="shared" si="3"/>
        <v>42617.513090277775</v>
      </c>
    </row>
    <row r="102" spans="1:7" x14ac:dyDescent="0.25">
      <c r="A102" s="8">
        <v>42617.515740740739</v>
      </c>
      <c r="B102" s="23" t="s">
        <v>370</v>
      </c>
      <c r="C102" s="23" t="s">
        <v>457</v>
      </c>
      <c r="D102" s="23">
        <v>2020000</v>
      </c>
      <c r="E102" s="23" t="s">
        <v>281</v>
      </c>
      <c r="F102" s="23" t="str">
        <f t="shared" si="2"/>
        <v>rtdc.l.rtdc.4016:itc</v>
      </c>
      <c r="G102" s="8">
        <f t="shared" si="3"/>
        <v>42617.515740740739</v>
      </c>
    </row>
    <row r="103" spans="1:7" x14ac:dyDescent="0.25">
      <c r="A103" s="8">
        <v>42617.526203703703</v>
      </c>
      <c r="B103" s="23" t="s">
        <v>92</v>
      </c>
      <c r="C103" s="23" t="s">
        <v>458</v>
      </c>
      <c r="D103" s="23">
        <v>1110000</v>
      </c>
      <c r="E103" s="23" t="s">
        <v>385</v>
      </c>
      <c r="F103" s="23" t="str">
        <f t="shared" si="2"/>
        <v>rtdc.l.rtdc.4030:itc</v>
      </c>
      <c r="G103" s="8">
        <f t="shared" si="3"/>
        <v>42617.526203703703</v>
      </c>
    </row>
    <row r="104" spans="1:7" x14ac:dyDescent="0.25">
      <c r="A104" s="8">
        <v>42617.526875000003</v>
      </c>
      <c r="B104" s="23" t="s">
        <v>260</v>
      </c>
      <c r="C104" s="23" t="s">
        <v>459</v>
      </c>
      <c r="D104" s="23">
        <v>2040000</v>
      </c>
      <c r="E104" s="23" t="s">
        <v>264</v>
      </c>
      <c r="F104" s="23" t="str">
        <f t="shared" si="2"/>
        <v>rtdc.l.rtdc.4001:itc</v>
      </c>
      <c r="G104" s="8">
        <f t="shared" si="3"/>
        <v>42617.526875000003</v>
      </c>
    </row>
    <row r="105" spans="1:7" x14ac:dyDescent="0.25">
      <c r="A105" s="8">
        <v>42617.529050925928</v>
      </c>
      <c r="B105" s="23" t="s">
        <v>113</v>
      </c>
      <c r="C105" s="23" t="s">
        <v>460</v>
      </c>
      <c r="D105" s="23">
        <v>880000</v>
      </c>
      <c r="E105" s="23" t="s">
        <v>316</v>
      </c>
      <c r="F105" s="23" t="str">
        <f t="shared" si="2"/>
        <v>rtdc.l.rtdc.4031:itc</v>
      </c>
      <c r="G105" s="8">
        <f t="shared" si="3"/>
        <v>42617.529050925928</v>
      </c>
    </row>
    <row r="106" spans="1:7" x14ac:dyDescent="0.25">
      <c r="A106" s="8">
        <v>42617.530821759261</v>
      </c>
      <c r="B106" s="23" t="s">
        <v>315</v>
      </c>
      <c r="C106" s="23" t="s">
        <v>461</v>
      </c>
      <c r="D106" s="23">
        <v>1140000</v>
      </c>
      <c r="E106" s="23" t="s">
        <v>453</v>
      </c>
      <c r="F106" s="23" t="str">
        <f t="shared" si="2"/>
        <v>rtdc.l.rtdc.4045:itc</v>
      </c>
      <c r="G106" s="8">
        <f t="shared" si="3"/>
        <v>42617.530821759261</v>
      </c>
    </row>
    <row r="107" spans="1:7" x14ac:dyDescent="0.25">
      <c r="A107" s="8">
        <v>42617.544409722221</v>
      </c>
      <c r="B107" s="23" t="s">
        <v>166</v>
      </c>
      <c r="C107" s="23" t="s">
        <v>462</v>
      </c>
      <c r="D107" s="23">
        <v>930000</v>
      </c>
      <c r="E107" s="23" t="s">
        <v>317</v>
      </c>
      <c r="F107" s="23" t="str">
        <f t="shared" si="2"/>
        <v>rtdc.l.rtdc.4010:itc</v>
      </c>
      <c r="G107" s="8">
        <f t="shared" si="3"/>
        <v>42617.544409722221</v>
      </c>
    </row>
    <row r="108" spans="1:7" x14ac:dyDescent="0.25">
      <c r="A108" s="8">
        <v>42617.548807870371</v>
      </c>
      <c r="B108" s="23" t="s">
        <v>145</v>
      </c>
      <c r="C108" s="23" t="s">
        <v>463</v>
      </c>
      <c r="D108" s="23">
        <v>1770000</v>
      </c>
      <c r="E108" s="23" t="s">
        <v>324</v>
      </c>
      <c r="F108" s="23" t="str">
        <f t="shared" si="2"/>
        <v>rtdc.l.rtdc.4038:itc</v>
      </c>
      <c r="G108" s="8">
        <f t="shared" si="3"/>
        <v>42617.548807870371</v>
      </c>
    </row>
    <row r="109" spans="1:7" x14ac:dyDescent="0.25">
      <c r="A109" s="8">
        <v>42617.554826388892</v>
      </c>
      <c r="B109" s="23" t="s">
        <v>91</v>
      </c>
      <c r="C109" s="23" t="s">
        <v>464</v>
      </c>
      <c r="D109" s="23">
        <v>1110000</v>
      </c>
      <c r="E109" s="23" t="s">
        <v>385</v>
      </c>
      <c r="F109" s="23" t="str">
        <f t="shared" si="2"/>
        <v>rtdc.l.rtdc.4029:itc</v>
      </c>
      <c r="G109" s="8">
        <f t="shared" si="3"/>
        <v>42617.554826388892</v>
      </c>
    </row>
    <row r="110" spans="1:7" x14ac:dyDescent="0.25">
      <c r="A110" s="8">
        <v>42617.556666666664</v>
      </c>
      <c r="B110" s="23" t="s">
        <v>391</v>
      </c>
      <c r="C110" s="23" t="s">
        <v>465</v>
      </c>
      <c r="D110" s="23">
        <v>2020000</v>
      </c>
      <c r="E110" s="23" t="s">
        <v>281</v>
      </c>
      <c r="F110" s="23" t="str">
        <f t="shared" si="2"/>
        <v>rtdc.l.rtdc.4015:itc</v>
      </c>
      <c r="G110" s="8">
        <f t="shared" si="3"/>
        <v>42617.556666666664</v>
      </c>
    </row>
    <row r="111" spans="1:7" x14ac:dyDescent="0.25">
      <c r="A111" s="8">
        <v>42617.561331018522</v>
      </c>
      <c r="B111" s="23" t="s">
        <v>169</v>
      </c>
      <c r="C111" s="23" t="s">
        <v>466</v>
      </c>
      <c r="D111" s="23">
        <v>2040000</v>
      </c>
      <c r="E111" s="23" t="s">
        <v>264</v>
      </c>
      <c r="F111" s="23" t="str">
        <f t="shared" si="2"/>
        <v>rtdc.l.rtdc.4002:itc</v>
      </c>
      <c r="G111" s="8">
        <f t="shared" si="3"/>
        <v>42617.561331018522</v>
      </c>
    </row>
    <row r="112" spans="1:7" x14ac:dyDescent="0.25">
      <c r="A112" s="8">
        <v>42617.567916666667</v>
      </c>
      <c r="B112" s="23" t="s">
        <v>92</v>
      </c>
      <c r="C112" s="23" t="s">
        <v>467</v>
      </c>
      <c r="D112" s="23">
        <v>1110000</v>
      </c>
      <c r="E112" s="23" t="s">
        <v>385</v>
      </c>
      <c r="F112" s="23" t="str">
        <f t="shared" si="2"/>
        <v>rtdc.l.rtdc.4030:itc</v>
      </c>
      <c r="G112" s="8">
        <f t="shared" si="3"/>
        <v>42617.567916666667</v>
      </c>
    </row>
    <row r="113" spans="1:7" x14ac:dyDescent="0.25">
      <c r="A113" s="8">
        <v>42617.568553240744</v>
      </c>
      <c r="B113" s="23" t="s">
        <v>114</v>
      </c>
      <c r="C113" s="23" t="s">
        <v>468</v>
      </c>
      <c r="D113" s="23">
        <v>880000</v>
      </c>
      <c r="E113" s="23" t="s">
        <v>316</v>
      </c>
      <c r="F113" s="23" t="str">
        <f t="shared" si="2"/>
        <v>rtdc.l.rtdc.4032:itc</v>
      </c>
      <c r="G113" s="8">
        <f t="shared" si="3"/>
        <v>42617.568553240744</v>
      </c>
    </row>
    <row r="114" spans="1:7" x14ac:dyDescent="0.25">
      <c r="A114" s="8">
        <v>42617.576944444445</v>
      </c>
      <c r="B114" s="23" t="s">
        <v>314</v>
      </c>
      <c r="C114" s="23" t="s">
        <v>469</v>
      </c>
      <c r="D114" s="23">
        <v>1140000</v>
      </c>
      <c r="E114" s="23" t="s">
        <v>453</v>
      </c>
      <c r="F114" s="23" t="str">
        <f t="shared" si="2"/>
        <v>rtdc.l.rtdc.4046:itc</v>
      </c>
      <c r="G114" s="8">
        <f t="shared" si="3"/>
        <v>42617.576944444445</v>
      </c>
    </row>
    <row r="115" spans="1:7" x14ac:dyDescent="0.25">
      <c r="A115" s="8">
        <v>42617.582812499997</v>
      </c>
      <c r="B115" s="23" t="s">
        <v>165</v>
      </c>
      <c r="C115" s="23" t="s">
        <v>470</v>
      </c>
      <c r="D115" s="23">
        <v>930000</v>
      </c>
      <c r="E115" s="23" t="s">
        <v>317</v>
      </c>
      <c r="F115" s="23" t="str">
        <f t="shared" si="2"/>
        <v>rtdc.l.rtdc.4009:itc</v>
      </c>
      <c r="G115" s="8">
        <f t="shared" si="3"/>
        <v>42617.582812499997</v>
      </c>
    </row>
    <row r="116" spans="1:7" x14ac:dyDescent="0.25">
      <c r="A116" s="8">
        <v>42617.584270833337</v>
      </c>
      <c r="B116" s="23" t="s">
        <v>319</v>
      </c>
      <c r="C116" s="23" t="s">
        <v>471</v>
      </c>
      <c r="D116" s="23">
        <v>1280000</v>
      </c>
      <c r="E116" s="23" t="s">
        <v>443</v>
      </c>
      <c r="F116" s="23" t="str">
        <f t="shared" si="2"/>
        <v>rtdc.l.rtdc.4017:itc</v>
      </c>
      <c r="G116" s="8">
        <f t="shared" si="3"/>
        <v>42617.584270833337</v>
      </c>
    </row>
    <row r="117" spans="1:7" x14ac:dyDescent="0.25">
      <c r="A117" s="8">
        <v>42617.587939814817</v>
      </c>
      <c r="B117" s="23" t="s">
        <v>140</v>
      </c>
      <c r="C117" s="23" t="s">
        <v>472</v>
      </c>
      <c r="D117" s="23">
        <v>1770000</v>
      </c>
      <c r="E117" s="23" t="s">
        <v>324</v>
      </c>
      <c r="F117" s="23" t="str">
        <f t="shared" si="2"/>
        <v>rtdc.l.rtdc.4037:itc</v>
      </c>
      <c r="G117" s="8">
        <f t="shared" si="3"/>
        <v>42617.587939814817</v>
      </c>
    </row>
    <row r="118" spans="1:7" x14ac:dyDescent="0.25">
      <c r="A118" s="8">
        <v>42617.588437500002</v>
      </c>
      <c r="B118" s="23" t="s">
        <v>91</v>
      </c>
      <c r="C118" s="23" t="s">
        <v>473</v>
      </c>
      <c r="D118" s="23">
        <v>2100000</v>
      </c>
      <c r="E118" s="23" t="s">
        <v>136</v>
      </c>
      <c r="F118" s="23" t="str">
        <f t="shared" si="2"/>
        <v>rtdc.l.rtdc.4029:itc</v>
      </c>
      <c r="G118" s="8">
        <f t="shared" si="3"/>
        <v>42617.588437500002</v>
      </c>
    </row>
    <row r="119" spans="1:7" x14ac:dyDescent="0.25">
      <c r="A119" s="8">
        <v>42617.593761574077</v>
      </c>
      <c r="B119" s="23" t="s">
        <v>370</v>
      </c>
      <c r="C119" s="23" t="s">
        <v>474</v>
      </c>
      <c r="D119" s="23">
        <v>2020000</v>
      </c>
      <c r="E119" s="23" t="s">
        <v>281</v>
      </c>
      <c r="F119" s="23" t="str">
        <f t="shared" si="2"/>
        <v>rtdc.l.rtdc.4016:itc</v>
      </c>
      <c r="G119" s="8">
        <f t="shared" si="3"/>
        <v>42617.593761574077</v>
      </c>
    </row>
    <row r="120" spans="1:7" x14ac:dyDescent="0.25">
      <c r="A120" s="8">
        <v>42617.598124999997</v>
      </c>
      <c r="B120" s="23" t="s">
        <v>260</v>
      </c>
      <c r="C120" s="23" t="s">
        <v>475</v>
      </c>
      <c r="D120" s="23">
        <v>2040000</v>
      </c>
      <c r="E120" s="23" t="s">
        <v>264</v>
      </c>
      <c r="F120" s="23" t="str">
        <f t="shared" si="2"/>
        <v>rtdc.l.rtdc.4001:itc</v>
      </c>
      <c r="G120" s="8">
        <f t="shared" si="3"/>
        <v>42617.598124999997</v>
      </c>
    </row>
    <row r="121" spans="1:7" x14ac:dyDescent="0.25">
      <c r="A121" s="8">
        <v>42617.603101851855</v>
      </c>
      <c r="B121" s="23" t="s">
        <v>113</v>
      </c>
      <c r="C121" s="23" t="s">
        <v>476</v>
      </c>
      <c r="D121" s="23">
        <v>880000</v>
      </c>
      <c r="E121" s="23" t="s">
        <v>316</v>
      </c>
      <c r="F121" s="23" t="str">
        <f t="shared" si="2"/>
        <v>rtdc.l.rtdc.4031:itc</v>
      </c>
      <c r="G121" s="8">
        <f t="shared" si="3"/>
        <v>42617.603101851855</v>
      </c>
    </row>
    <row r="122" spans="1:7" x14ac:dyDescent="0.25">
      <c r="A122" s="8">
        <v>42617.607002314813</v>
      </c>
      <c r="B122" s="28" t="s">
        <v>315</v>
      </c>
      <c r="C122" s="23" t="s">
        <v>477</v>
      </c>
      <c r="D122" s="23">
        <v>1140000</v>
      </c>
      <c r="E122" s="23" t="s">
        <v>453</v>
      </c>
      <c r="F122" s="23" t="str">
        <f t="shared" si="2"/>
        <v>rtdc.l.rtdc.4045:itc</v>
      </c>
      <c r="G122" s="8">
        <f t="shared" si="3"/>
        <v>42617.607002314813</v>
      </c>
    </row>
    <row r="123" spans="1:7" x14ac:dyDescent="0.25">
      <c r="A123" s="8">
        <v>42617.608865740738</v>
      </c>
      <c r="B123" s="23" t="s">
        <v>92</v>
      </c>
      <c r="C123" s="23" t="s">
        <v>478</v>
      </c>
      <c r="D123" s="23">
        <v>2100000</v>
      </c>
      <c r="E123" s="23" t="s">
        <v>136</v>
      </c>
      <c r="F123" s="23" t="str">
        <f t="shared" si="2"/>
        <v>rtdc.l.rtdc.4030:itc</v>
      </c>
      <c r="G123" s="8">
        <f t="shared" si="3"/>
        <v>42617.608865740738</v>
      </c>
    </row>
    <row r="124" spans="1:7" x14ac:dyDescent="0.25">
      <c r="A124" s="8">
        <v>42617.61414351852</v>
      </c>
      <c r="B124" s="23" t="s">
        <v>322</v>
      </c>
      <c r="C124" s="23" t="s">
        <v>479</v>
      </c>
      <c r="D124" s="23">
        <v>1280000</v>
      </c>
      <c r="E124" s="23" t="s">
        <v>443</v>
      </c>
      <c r="F124" s="23" t="str">
        <f t="shared" si="2"/>
        <v>rtdc.l.rtdc.4018:itc</v>
      </c>
      <c r="G124" s="8">
        <f t="shared" si="3"/>
        <v>42617.61414351852</v>
      </c>
    </row>
    <row r="125" spans="1:7" x14ac:dyDescent="0.25">
      <c r="A125" s="8">
        <v>42617.617824074077</v>
      </c>
      <c r="B125" s="23" t="s">
        <v>166</v>
      </c>
      <c r="C125" s="23" t="s">
        <v>480</v>
      </c>
      <c r="D125" s="23">
        <v>930000</v>
      </c>
      <c r="E125" s="23" t="s">
        <v>317</v>
      </c>
      <c r="F125" s="23" t="str">
        <f t="shared" si="2"/>
        <v>rtdc.l.rtdc.4010:itc</v>
      </c>
      <c r="G125" s="8">
        <f t="shared" si="3"/>
        <v>42617.617824074077</v>
      </c>
    </row>
    <row r="126" spans="1:7" x14ac:dyDescent="0.25">
      <c r="A126" s="8">
        <v>42617.620173611111</v>
      </c>
      <c r="B126" s="23" t="s">
        <v>145</v>
      </c>
      <c r="C126" s="23" t="s">
        <v>481</v>
      </c>
      <c r="D126" s="23">
        <v>1770000</v>
      </c>
      <c r="E126" s="23" t="s">
        <v>324</v>
      </c>
      <c r="F126" s="23" t="str">
        <f t="shared" si="2"/>
        <v>rtdc.l.rtdc.4038:itc</v>
      </c>
      <c r="G126" s="8">
        <f t="shared" si="3"/>
        <v>42617.620173611111</v>
      </c>
    </row>
    <row r="127" spans="1:7" x14ac:dyDescent="0.25">
      <c r="A127" s="8">
        <v>42617.626620370371</v>
      </c>
      <c r="B127" s="23" t="s">
        <v>91</v>
      </c>
      <c r="C127" s="23" t="s">
        <v>482</v>
      </c>
      <c r="D127" s="23">
        <v>2100000</v>
      </c>
      <c r="E127" s="23" t="s">
        <v>136</v>
      </c>
      <c r="F127" s="23" t="str">
        <f t="shared" si="2"/>
        <v>rtdc.l.rtdc.4029:itc</v>
      </c>
      <c r="G127" s="8">
        <f t="shared" si="3"/>
        <v>42617.626620370371</v>
      </c>
    </row>
    <row r="128" spans="1:7" x14ac:dyDescent="0.25">
      <c r="A128" s="8">
        <v>42617.627013888887</v>
      </c>
      <c r="B128" s="23" t="s">
        <v>391</v>
      </c>
      <c r="C128" s="23" t="s">
        <v>483</v>
      </c>
      <c r="D128" s="23">
        <v>2020000</v>
      </c>
      <c r="E128" s="23" t="s">
        <v>281</v>
      </c>
      <c r="F128" s="23" t="str">
        <f t="shared" si="2"/>
        <v>rtdc.l.rtdc.4015:itc</v>
      </c>
      <c r="G128" s="8">
        <f t="shared" si="3"/>
        <v>42617.627013888887</v>
      </c>
    </row>
    <row r="129" spans="1:7" x14ac:dyDescent="0.25">
      <c r="A129" s="8">
        <v>42617.634074074071</v>
      </c>
      <c r="B129" s="23" t="s">
        <v>169</v>
      </c>
      <c r="C129" s="23" t="s">
        <v>484</v>
      </c>
      <c r="D129" s="23">
        <v>2040000</v>
      </c>
      <c r="E129" s="23" t="s">
        <v>264</v>
      </c>
      <c r="F129" s="23" t="str">
        <f t="shared" si="2"/>
        <v>rtdc.l.rtdc.4002:itc</v>
      </c>
      <c r="G129" s="8">
        <f t="shared" si="3"/>
        <v>42617.634074074071</v>
      </c>
    </row>
    <row r="130" spans="1:7" x14ac:dyDescent="0.25">
      <c r="A130" s="8">
        <v>42617.642418981479</v>
      </c>
      <c r="B130" s="23" t="s">
        <v>114</v>
      </c>
      <c r="C130" s="23" t="s">
        <v>485</v>
      </c>
      <c r="D130" s="23">
        <v>880000</v>
      </c>
      <c r="E130" s="23" t="s">
        <v>316</v>
      </c>
      <c r="F130" s="23" t="str">
        <f t="shared" ref="F130:F193" si="4">B130</f>
        <v>rtdc.l.rtdc.4032:itc</v>
      </c>
      <c r="G130" s="8">
        <f t="shared" ref="G130:G193" si="5">A130</f>
        <v>42617.642418981479</v>
      </c>
    </row>
    <row r="131" spans="1:7" x14ac:dyDescent="0.25">
      <c r="A131" s="8">
        <v>42617.643090277779</v>
      </c>
      <c r="B131" s="23" t="s">
        <v>314</v>
      </c>
      <c r="C131" s="23" t="s">
        <v>486</v>
      </c>
      <c r="D131" s="23">
        <v>1140000</v>
      </c>
      <c r="E131" s="23" t="s">
        <v>453</v>
      </c>
      <c r="F131" s="23" t="str">
        <f t="shared" si="4"/>
        <v>rtdc.l.rtdc.4046:itc</v>
      </c>
      <c r="G131" s="8">
        <f t="shared" si="5"/>
        <v>42617.643090277779</v>
      </c>
    </row>
    <row r="132" spans="1:7" x14ac:dyDescent="0.25">
      <c r="A132" s="8">
        <v>42617.644247685188</v>
      </c>
      <c r="B132" s="23" t="s">
        <v>391</v>
      </c>
      <c r="C132" s="23" t="s">
        <v>483</v>
      </c>
      <c r="D132" s="23">
        <v>2020000</v>
      </c>
      <c r="E132" s="23" t="s">
        <v>281</v>
      </c>
      <c r="F132" s="23" t="str">
        <f t="shared" si="4"/>
        <v>rtdc.l.rtdc.4015:itc</v>
      </c>
      <c r="G132" s="8">
        <f t="shared" si="5"/>
        <v>42617.644247685188</v>
      </c>
    </row>
    <row r="133" spans="1:7" x14ac:dyDescent="0.25">
      <c r="A133" s="8">
        <v>42617.650347222225</v>
      </c>
      <c r="B133" s="23" t="s">
        <v>92</v>
      </c>
      <c r="C133" s="23" t="s">
        <v>487</v>
      </c>
      <c r="D133" s="23">
        <v>2100000</v>
      </c>
      <c r="E133" s="23" t="s">
        <v>136</v>
      </c>
      <c r="F133" s="23" t="str">
        <f t="shared" si="4"/>
        <v>rtdc.l.rtdc.4030:itc</v>
      </c>
      <c r="G133" s="8">
        <f t="shared" si="5"/>
        <v>42617.650347222225</v>
      </c>
    </row>
    <row r="134" spans="1:7" x14ac:dyDescent="0.25">
      <c r="A134" s="8">
        <v>42617.651319444441</v>
      </c>
      <c r="B134" s="23" t="s">
        <v>319</v>
      </c>
      <c r="C134" s="23" t="s">
        <v>488</v>
      </c>
      <c r="D134" s="23">
        <v>1280000</v>
      </c>
      <c r="E134" s="23" t="s">
        <v>443</v>
      </c>
      <c r="F134" s="23" t="str">
        <f t="shared" si="4"/>
        <v>rtdc.l.rtdc.4017:itc</v>
      </c>
      <c r="G134" s="8">
        <f t="shared" si="5"/>
        <v>42617.651319444441</v>
      </c>
    </row>
    <row r="135" spans="1:7" x14ac:dyDescent="0.25">
      <c r="A135" s="8">
        <v>42617.65420138889</v>
      </c>
      <c r="B135" s="23" t="s">
        <v>165</v>
      </c>
      <c r="C135" s="23" t="s">
        <v>489</v>
      </c>
      <c r="D135" s="23">
        <v>930000</v>
      </c>
      <c r="E135" s="23" t="s">
        <v>317</v>
      </c>
      <c r="F135" s="23" t="str">
        <f t="shared" si="4"/>
        <v>rtdc.l.rtdc.4009:itc</v>
      </c>
      <c r="G135" s="8">
        <f t="shared" si="5"/>
        <v>42617.65420138889</v>
      </c>
    </row>
    <row r="136" spans="1:7" x14ac:dyDescent="0.25">
      <c r="A136" s="8">
        <v>42617.65902777778</v>
      </c>
      <c r="B136" s="23" t="s">
        <v>140</v>
      </c>
      <c r="C136" s="23" t="s">
        <v>490</v>
      </c>
      <c r="D136" s="23">
        <v>1770000</v>
      </c>
      <c r="E136" s="23" t="s">
        <v>324</v>
      </c>
      <c r="F136" s="23" t="str">
        <f t="shared" si="4"/>
        <v>rtdc.l.rtdc.4037:itc</v>
      </c>
      <c r="G136" s="8">
        <f t="shared" si="5"/>
        <v>42617.65902777778</v>
      </c>
    </row>
    <row r="137" spans="1:7" x14ac:dyDescent="0.25">
      <c r="A137" s="8">
        <v>42617.66302083333</v>
      </c>
      <c r="B137" s="23" t="s">
        <v>370</v>
      </c>
      <c r="C137" s="23" t="s">
        <v>491</v>
      </c>
      <c r="D137" s="23">
        <v>2020000</v>
      </c>
      <c r="E137" s="23" t="s">
        <v>281</v>
      </c>
      <c r="F137" s="23" t="str">
        <f t="shared" si="4"/>
        <v>rtdc.l.rtdc.4016:itc</v>
      </c>
      <c r="G137" s="8">
        <f t="shared" si="5"/>
        <v>42617.66302083333</v>
      </c>
    </row>
    <row r="138" spans="1:7" x14ac:dyDescent="0.25">
      <c r="A138" s="8">
        <v>42617.671180555553</v>
      </c>
      <c r="B138" s="23" t="s">
        <v>260</v>
      </c>
      <c r="C138" s="23" t="s">
        <v>492</v>
      </c>
      <c r="D138" s="23">
        <v>2040000</v>
      </c>
      <c r="E138" s="23" t="s">
        <v>264</v>
      </c>
      <c r="F138" s="23" t="str">
        <f t="shared" si="4"/>
        <v>rtdc.l.rtdc.4001:itc</v>
      </c>
      <c r="G138" s="8">
        <f t="shared" si="5"/>
        <v>42617.671180555553</v>
      </c>
    </row>
    <row r="139" spans="1:7" x14ac:dyDescent="0.25">
      <c r="A139" s="8">
        <v>42617.673206018517</v>
      </c>
      <c r="B139" s="23" t="s">
        <v>113</v>
      </c>
      <c r="C139" s="23" t="s">
        <v>493</v>
      </c>
      <c r="D139" s="23">
        <v>880000</v>
      </c>
      <c r="E139" s="23" t="s">
        <v>316</v>
      </c>
      <c r="F139" s="23" t="str">
        <f t="shared" si="4"/>
        <v>rtdc.l.rtdc.4031:itc</v>
      </c>
      <c r="G139" s="8">
        <f t="shared" si="5"/>
        <v>42617.673206018517</v>
      </c>
    </row>
    <row r="140" spans="1:7" x14ac:dyDescent="0.25">
      <c r="A140" s="8">
        <v>42617.673472222225</v>
      </c>
      <c r="B140" s="23" t="s">
        <v>91</v>
      </c>
      <c r="C140" s="23" t="s">
        <v>494</v>
      </c>
      <c r="D140" s="23">
        <v>2100000</v>
      </c>
      <c r="E140" s="23" t="s">
        <v>136</v>
      </c>
      <c r="F140" s="23" t="str">
        <f t="shared" si="4"/>
        <v>rtdc.l.rtdc.4029:itc</v>
      </c>
      <c r="G140" s="8">
        <f t="shared" si="5"/>
        <v>42617.673472222225</v>
      </c>
    </row>
    <row r="141" spans="1:7" x14ac:dyDescent="0.25">
      <c r="A141" s="8">
        <v>42617.676793981482</v>
      </c>
      <c r="B141" s="23" t="s">
        <v>315</v>
      </c>
      <c r="C141" s="23" t="s">
        <v>495</v>
      </c>
      <c r="D141" s="23">
        <v>1140000</v>
      </c>
      <c r="E141" s="23" t="s">
        <v>453</v>
      </c>
      <c r="F141" s="23" t="str">
        <f t="shared" si="4"/>
        <v>rtdc.l.rtdc.4045:itc</v>
      </c>
      <c r="G141" s="8">
        <f t="shared" si="5"/>
        <v>42617.676793981482</v>
      </c>
    </row>
    <row r="142" spans="1:7" x14ac:dyDescent="0.25">
      <c r="A142" s="8">
        <v>42617.683819444443</v>
      </c>
      <c r="B142" s="23" t="s">
        <v>322</v>
      </c>
      <c r="C142" s="23" t="s">
        <v>496</v>
      </c>
      <c r="D142" s="23">
        <v>1280000</v>
      </c>
      <c r="E142" s="23" t="s">
        <v>443</v>
      </c>
      <c r="F142" s="23" t="str">
        <f t="shared" si="4"/>
        <v>rtdc.l.rtdc.4018:itc</v>
      </c>
      <c r="G142" s="8">
        <f t="shared" si="5"/>
        <v>42617.683819444443</v>
      </c>
    </row>
    <row r="143" spans="1:7" x14ac:dyDescent="0.25">
      <c r="A143" s="8">
        <v>42617.690717592595</v>
      </c>
      <c r="B143" s="23" t="s">
        <v>166</v>
      </c>
      <c r="C143" s="23" t="s">
        <v>497</v>
      </c>
      <c r="D143" s="23">
        <v>930000</v>
      </c>
      <c r="E143" s="23" t="s">
        <v>317</v>
      </c>
      <c r="F143" s="23" t="str">
        <f t="shared" si="4"/>
        <v>rtdc.l.rtdc.4010:itc</v>
      </c>
      <c r="G143" s="8">
        <f t="shared" si="5"/>
        <v>42617.690717592595</v>
      </c>
    </row>
    <row r="144" spans="1:7" x14ac:dyDescent="0.25">
      <c r="A144" s="8">
        <v>42617.692395833335</v>
      </c>
      <c r="B144" s="23" t="s">
        <v>92</v>
      </c>
      <c r="C144" s="23" t="s">
        <v>498</v>
      </c>
      <c r="D144" s="23">
        <v>2100000</v>
      </c>
      <c r="E144" s="23" t="s">
        <v>136</v>
      </c>
      <c r="F144" s="23" t="str">
        <f t="shared" si="4"/>
        <v>rtdc.l.rtdc.4030:itc</v>
      </c>
      <c r="G144" s="8">
        <f t="shared" si="5"/>
        <v>42617.692395833335</v>
      </c>
    </row>
    <row r="145" spans="1:7" x14ac:dyDescent="0.25">
      <c r="A145" s="8">
        <v>42617.694085648145</v>
      </c>
      <c r="B145" s="23" t="s">
        <v>145</v>
      </c>
      <c r="C145" s="23" t="s">
        <v>499</v>
      </c>
      <c r="D145" s="23">
        <v>1770000</v>
      </c>
      <c r="E145" s="23" t="s">
        <v>324</v>
      </c>
      <c r="F145" s="23" t="str">
        <f t="shared" si="4"/>
        <v>rtdc.l.rtdc.4038:itc</v>
      </c>
      <c r="G145" s="8">
        <f t="shared" si="5"/>
        <v>42617.694085648145</v>
      </c>
    </row>
    <row r="146" spans="1:7" x14ac:dyDescent="0.25">
      <c r="A146" s="8">
        <v>42617.700011574074</v>
      </c>
      <c r="B146" s="23" t="s">
        <v>391</v>
      </c>
      <c r="C146" s="23" t="s">
        <v>500</v>
      </c>
      <c r="D146" s="23">
        <v>2020000</v>
      </c>
      <c r="E146" s="23" t="s">
        <v>281</v>
      </c>
      <c r="F146" s="23" t="str">
        <f t="shared" si="4"/>
        <v>rtdc.l.rtdc.4015:itc</v>
      </c>
      <c r="G146" s="8">
        <f t="shared" si="5"/>
        <v>42617.700011574074</v>
      </c>
    </row>
    <row r="147" spans="1:7" x14ac:dyDescent="0.25">
      <c r="A147" s="8">
        <v>42617.708761574075</v>
      </c>
      <c r="B147" s="23" t="s">
        <v>169</v>
      </c>
      <c r="C147" s="23" t="s">
        <v>501</v>
      </c>
      <c r="D147" s="23">
        <v>2040000</v>
      </c>
      <c r="E147" s="23" t="s">
        <v>264</v>
      </c>
      <c r="F147" s="23" t="str">
        <f t="shared" si="4"/>
        <v>rtdc.l.rtdc.4002:itc</v>
      </c>
      <c r="G147" s="8">
        <f t="shared" si="5"/>
        <v>42617.708761574075</v>
      </c>
    </row>
    <row r="148" spans="1:7" x14ac:dyDescent="0.25">
      <c r="A148" s="8">
        <v>42617.714548611111</v>
      </c>
      <c r="B148" s="23" t="s">
        <v>91</v>
      </c>
      <c r="C148" s="23" t="s">
        <v>502</v>
      </c>
      <c r="D148" s="23">
        <v>2100000</v>
      </c>
      <c r="E148" s="23" t="s">
        <v>136</v>
      </c>
      <c r="F148" s="23" t="str">
        <f t="shared" si="4"/>
        <v>rtdc.l.rtdc.4029:itc</v>
      </c>
      <c r="G148" s="8">
        <f t="shared" si="5"/>
        <v>42617.714548611111</v>
      </c>
    </row>
    <row r="149" spans="1:7" x14ac:dyDescent="0.25">
      <c r="A149" s="8">
        <v>42617.719143518516</v>
      </c>
      <c r="B149" s="23" t="s">
        <v>314</v>
      </c>
      <c r="C149" s="23" t="s">
        <v>503</v>
      </c>
      <c r="D149" s="23">
        <v>1180000</v>
      </c>
      <c r="E149" s="23" t="s">
        <v>504</v>
      </c>
      <c r="F149" s="23" t="str">
        <f t="shared" si="4"/>
        <v>rtdc.l.rtdc.4046:itc</v>
      </c>
      <c r="G149" s="8">
        <f t="shared" si="5"/>
        <v>42617.719143518516</v>
      </c>
    </row>
    <row r="150" spans="1:7" x14ac:dyDescent="0.25">
      <c r="A150" s="8">
        <v>42617.719444444447</v>
      </c>
      <c r="B150" s="23" t="s">
        <v>166</v>
      </c>
      <c r="C150" s="23" t="s">
        <v>497</v>
      </c>
      <c r="D150" s="23">
        <v>930000</v>
      </c>
      <c r="E150" s="23" t="s">
        <v>317</v>
      </c>
      <c r="F150" s="23" t="str">
        <f t="shared" si="4"/>
        <v>rtdc.l.rtdc.4010:itc</v>
      </c>
      <c r="G150" s="8">
        <f t="shared" si="5"/>
        <v>42617.719444444447</v>
      </c>
    </row>
    <row r="151" spans="1:7" x14ac:dyDescent="0.25">
      <c r="A151" s="8">
        <v>42617.719444444447</v>
      </c>
      <c r="B151" s="23" t="s">
        <v>114</v>
      </c>
      <c r="C151" s="23" t="s">
        <v>505</v>
      </c>
      <c r="D151" s="23">
        <v>880000</v>
      </c>
      <c r="E151" s="23" t="s">
        <v>316</v>
      </c>
      <c r="F151" s="23" t="str">
        <f t="shared" si="4"/>
        <v>rtdc.l.rtdc.4032:itc</v>
      </c>
      <c r="G151" s="8">
        <f t="shared" si="5"/>
        <v>42617.719444444447</v>
      </c>
    </row>
    <row r="152" spans="1:7" x14ac:dyDescent="0.25">
      <c r="A152" s="8">
        <v>42617.72415509259</v>
      </c>
      <c r="B152" s="23" t="s">
        <v>319</v>
      </c>
      <c r="C152" s="23" t="s">
        <v>506</v>
      </c>
      <c r="D152" s="23">
        <v>1280000</v>
      </c>
      <c r="E152" s="23" t="s">
        <v>443</v>
      </c>
      <c r="F152" s="23" t="str">
        <f t="shared" si="4"/>
        <v>rtdc.l.rtdc.4017:itc</v>
      </c>
      <c r="G152" s="8">
        <f t="shared" si="5"/>
        <v>42617.72415509259</v>
      </c>
    </row>
    <row r="153" spans="1:7" x14ac:dyDescent="0.25">
      <c r="A153" s="8">
        <v>42617.725011574075</v>
      </c>
      <c r="B153" s="23" t="s">
        <v>261</v>
      </c>
      <c r="C153" s="23" t="s">
        <v>507</v>
      </c>
      <c r="D153" s="23">
        <v>1140000</v>
      </c>
      <c r="E153" s="23" t="s">
        <v>453</v>
      </c>
      <c r="F153" s="23" t="str">
        <f t="shared" si="4"/>
        <v>rtdc.l.rtdc.4044:itc</v>
      </c>
      <c r="G153" s="8">
        <f t="shared" si="5"/>
        <v>42617.725011574075</v>
      </c>
    </row>
    <row r="154" spans="1:7" x14ac:dyDescent="0.25">
      <c r="A154" s="8">
        <v>42617.732581018521</v>
      </c>
      <c r="B154" s="23" t="s">
        <v>140</v>
      </c>
      <c r="C154" s="23" t="s">
        <v>508</v>
      </c>
      <c r="D154" s="23">
        <v>1770000</v>
      </c>
      <c r="E154" s="23" t="s">
        <v>324</v>
      </c>
      <c r="F154" s="23" t="str">
        <f t="shared" si="4"/>
        <v>rtdc.l.rtdc.4037:itc</v>
      </c>
      <c r="G154" s="8">
        <f t="shared" si="5"/>
        <v>42617.732581018521</v>
      </c>
    </row>
    <row r="155" spans="1:7" x14ac:dyDescent="0.25">
      <c r="A155" s="8">
        <v>42617.734236111108</v>
      </c>
      <c r="B155" s="23" t="s">
        <v>92</v>
      </c>
      <c r="C155" s="23" t="s">
        <v>509</v>
      </c>
      <c r="D155" s="23">
        <v>2100000</v>
      </c>
      <c r="E155" s="23" t="s">
        <v>136</v>
      </c>
      <c r="F155" s="23" t="str">
        <f t="shared" si="4"/>
        <v>rtdc.l.rtdc.4030:itc</v>
      </c>
      <c r="G155" s="8">
        <f t="shared" si="5"/>
        <v>42617.734236111108</v>
      </c>
    </row>
    <row r="156" spans="1:7" x14ac:dyDescent="0.25">
      <c r="A156" s="8">
        <v>42617.742384259262</v>
      </c>
      <c r="B156" s="23" t="s">
        <v>165</v>
      </c>
      <c r="C156" s="23" t="s">
        <v>510</v>
      </c>
      <c r="D156" s="23">
        <v>1290000</v>
      </c>
      <c r="E156" s="23" t="s">
        <v>511</v>
      </c>
      <c r="F156" s="23" t="str">
        <f t="shared" si="4"/>
        <v>rtdc.l.rtdc.4009:itc</v>
      </c>
      <c r="G156" s="8">
        <f t="shared" si="5"/>
        <v>42617.742384259262</v>
      </c>
    </row>
    <row r="157" spans="1:7" x14ac:dyDescent="0.25">
      <c r="A157" s="8">
        <v>42617.743078703701</v>
      </c>
      <c r="B157" s="23" t="s">
        <v>261</v>
      </c>
      <c r="C157" s="23" t="s">
        <v>507</v>
      </c>
      <c r="D157" s="23">
        <v>1140000</v>
      </c>
      <c r="E157" s="23" t="s">
        <v>453</v>
      </c>
      <c r="F157" s="23" t="str">
        <f t="shared" si="4"/>
        <v>rtdc.l.rtdc.4044:itc</v>
      </c>
      <c r="G157" s="8">
        <f t="shared" si="5"/>
        <v>42617.743078703701</v>
      </c>
    </row>
    <row r="158" spans="1:7" x14ac:dyDescent="0.25">
      <c r="A158" s="8">
        <v>42617.74628472222</v>
      </c>
      <c r="B158" s="23" t="s">
        <v>370</v>
      </c>
      <c r="C158" s="23" t="s">
        <v>512</v>
      </c>
      <c r="D158" s="23">
        <v>2020000</v>
      </c>
      <c r="E158" s="23" t="s">
        <v>281</v>
      </c>
      <c r="F158" s="23" t="str">
        <f t="shared" si="4"/>
        <v>rtdc.l.rtdc.4016:itc</v>
      </c>
      <c r="G158" s="8">
        <f t="shared" si="5"/>
        <v>42617.74628472222</v>
      </c>
    </row>
    <row r="159" spans="1:7" x14ac:dyDescent="0.25">
      <c r="A159" s="8">
        <v>42617.747696759259</v>
      </c>
      <c r="B159" s="23" t="s">
        <v>260</v>
      </c>
      <c r="C159" s="23" t="s">
        <v>513</v>
      </c>
      <c r="D159" s="23">
        <v>2040000</v>
      </c>
      <c r="E159" s="23" t="s">
        <v>264</v>
      </c>
      <c r="F159" s="23" t="str">
        <f t="shared" si="4"/>
        <v>rtdc.l.rtdc.4001:itc</v>
      </c>
      <c r="G159" s="8">
        <f t="shared" si="5"/>
        <v>42617.747696759259</v>
      </c>
    </row>
    <row r="160" spans="1:7" x14ac:dyDescent="0.25">
      <c r="A160" s="8">
        <v>42617.754143518519</v>
      </c>
      <c r="B160" s="23" t="s">
        <v>91</v>
      </c>
      <c r="C160" s="23" t="s">
        <v>514</v>
      </c>
      <c r="D160" s="23">
        <v>2100000</v>
      </c>
      <c r="E160" s="23" t="s">
        <v>136</v>
      </c>
      <c r="F160" s="23" t="str">
        <f t="shared" si="4"/>
        <v>rtdc.l.rtdc.4029:itc</v>
      </c>
      <c r="G160" s="8">
        <f t="shared" si="5"/>
        <v>42617.754143518519</v>
      </c>
    </row>
    <row r="161" spans="1:7" x14ac:dyDescent="0.25">
      <c r="A161" s="8">
        <v>42617.755972222221</v>
      </c>
      <c r="B161" s="23" t="s">
        <v>315</v>
      </c>
      <c r="C161" s="23" t="s">
        <v>515</v>
      </c>
      <c r="D161" s="23">
        <v>1180000</v>
      </c>
      <c r="E161" s="23" t="s">
        <v>504</v>
      </c>
      <c r="F161" s="23" t="str">
        <f t="shared" si="4"/>
        <v>rtdc.l.rtdc.4045:itc</v>
      </c>
      <c r="G161" s="8">
        <f t="shared" si="5"/>
        <v>42617.755972222221</v>
      </c>
    </row>
    <row r="162" spans="1:7" x14ac:dyDescent="0.25">
      <c r="A162" s="8">
        <v>42617.756921296299</v>
      </c>
      <c r="B162" s="23" t="s">
        <v>165</v>
      </c>
      <c r="C162" s="23" t="s">
        <v>510</v>
      </c>
      <c r="D162" s="23">
        <v>1290000</v>
      </c>
      <c r="E162" s="23" t="s">
        <v>511</v>
      </c>
      <c r="F162" s="23" t="str">
        <f t="shared" si="4"/>
        <v>rtdc.l.rtdc.4009:itc</v>
      </c>
      <c r="G162" s="8">
        <f t="shared" si="5"/>
        <v>42617.756921296299</v>
      </c>
    </row>
    <row r="163" spans="1:7" x14ac:dyDescent="0.25">
      <c r="A163" s="8">
        <v>42617.759722222225</v>
      </c>
      <c r="B163" s="23" t="s">
        <v>322</v>
      </c>
      <c r="C163" s="23" t="s">
        <v>516</v>
      </c>
      <c r="D163" s="23">
        <v>1810000</v>
      </c>
      <c r="E163" s="23" t="s">
        <v>325</v>
      </c>
      <c r="F163" s="23" t="str">
        <f t="shared" si="4"/>
        <v>rtdc.l.rtdc.4018:itc</v>
      </c>
      <c r="G163" s="8">
        <f t="shared" si="5"/>
        <v>42617.759722222225</v>
      </c>
    </row>
    <row r="164" spans="1:7" x14ac:dyDescent="0.25">
      <c r="A164" s="8">
        <v>42617.759872685187</v>
      </c>
      <c r="B164" s="23" t="s">
        <v>113</v>
      </c>
      <c r="C164" s="23" t="s">
        <v>517</v>
      </c>
      <c r="D164" s="23">
        <v>880000</v>
      </c>
      <c r="E164" s="23" t="s">
        <v>316</v>
      </c>
      <c r="F164" s="23" t="str">
        <f t="shared" si="4"/>
        <v>rtdc.l.rtdc.4031:itc</v>
      </c>
      <c r="G164" s="8">
        <f t="shared" si="5"/>
        <v>42617.759872685187</v>
      </c>
    </row>
    <row r="165" spans="1:7" x14ac:dyDescent="0.25">
      <c r="A165" s="8">
        <v>42617.763171296298</v>
      </c>
      <c r="B165" s="23" t="s">
        <v>259</v>
      </c>
      <c r="C165" s="23" t="s">
        <v>518</v>
      </c>
      <c r="D165" s="23">
        <v>1140000</v>
      </c>
      <c r="E165" s="23" t="s">
        <v>453</v>
      </c>
      <c r="F165" s="23" t="str">
        <f t="shared" si="4"/>
        <v>rtdc.l.rtdc.4043:itc</v>
      </c>
      <c r="G165" s="8">
        <f t="shared" si="5"/>
        <v>42617.763171296298</v>
      </c>
    </row>
    <row r="166" spans="1:7" x14ac:dyDescent="0.25">
      <c r="A166" s="8">
        <v>42617.772453703707</v>
      </c>
      <c r="B166" s="23" t="s">
        <v>113</v>
      </c>
      <c r="C166" s="23" t="s">
        <v>519</v>
      </c>
      <c r="D166" s="23">
        <v>1800000</v>
      </c>
      <c r="E166" s="23" t="s">
        <v>167</v>
      </c>
      <c r="F166" s="23" t="str">
        <f t="shared" si="4"/>
        <v>rtdc.l.rtdc.4031:itc</v>
      </c>
      <c r="G166" s="8">
        <f t="shared" si="5"/>
        <v>42617.772453703707</v>
      </c>
    </row>
    <row r="167" spans="1:7" x14ac:dyDescent="0.25">
      <c r="A167" s="8">
        <v>42617.774652777778</v>
      </c>
      <c r="B167" s="23" t="s">
        <v>368</v>
      </c>
      <c r="C167" s="23" t="s">
        <v>517</v>
      </c>
      <c r="D167" s="23">
        <v>880000</v>
      </c>
      <c r="E167" s="23" t="s">
        <v>316</v>
      </c>
      <c r="F167" s="23" t="str">
        <f t="shared" si="4"/>
        <v>rtdc.l.rtdc.4025:itc</v>
      </c>
      <c r="G167" s="8">
        <f t="shared" si="5"/>
        <v>42617.774652777778</v>
      </c>
    </row>
    <row r="168" spans="1:7" x14ac:dyDescent="0.25">
      <c r="A168" s="8">
        <v>42617.775706018518</v>
      </c>
      <c r="B168" s="23" t="s">
        <v>368</v>
      </c>
      <c r="C168" s="23" t="s">
        <v>517</v>
      </c>
      <c r="D168" s="23">
        <v>880000</v>
      </c>
      <c r="E168" s="23" t="s">
        <v>316</v>
      </c>
      <c r="F168" s="23" t="str">
        <f t="shared" si="4"/>
        <v>rtdc.l.rtdc.4025:itc</v>
      </c>
      <c r="G168" s="8">
        <f t="shared" si="5"/>
        <v>42617.775706018518</v>
      </c>
    </row>
    <row r="169" spans="1:7" x14ac:dyDescent="0.25">
      <c r="A169" s="8">
        <v>42617.777280092596</v>
      </c>
      <c r="B169" s="23" t="s">
        <v>92</v>
      </c>
      <c r="C169" s="23" t="s">
        <v>520</v>
      </c>
      <c r="D169" s="23">
        <v>2100000</v>
      </c>
      <c r="E169" s="23" t="s">
        <v>136</v>
      </c>
      <c r="F169" s="23" t="str">
        <f t="shared" si="4"/>
        <v>rtdc.l.rtdc.4030:itc</v>
      </c>
      <c r="G169" s="8">
        <f t="shared" si="5"/>
        <v>42617.777280092596</v>
      </c>
    </row>
    <row r="170" spans="1:7" x14ac:dyDescent="0.25">
      <c r="A170" s="8">
        <v>42617.777314814812</v>
      </c>
      <c r="B170" s="23" t="s">
        <v>166</v>
      </c>
      <c r="C170" s="23" t="s">
        <v>521</v>
      </c>
      <c r="D170" s="23">
        <v>1290000</v>
      </c>
      <c r="E170" s="23" t="s">
        <v>511</v>
      </c>
      <c r="F170" s="23" t="str">
        <f t="shared" si="4"/>
        <v>rtdc.l.rtdc.4010:itc</v>
      </c>
      <c r="G170" s="8">
        <f t="shared" si="5"/>
        <v>42617.777314814812</v>
      </c>
    </row>
    <row r="171" spans="1:7" x14ac:dyDescent="0.25">
      <c r="A171" s="8">
        <v>42617.782777777778</v>
      </c>
      <c r="B171" s="23" t="s">
        <v>322</v>
      </c>
      <c r="C171" s="23" t="s">
        <v>516</v>
      </c>
      <c r="D171" s="23">
        <v>1810000</v>
      </c>
      <c r="E171" s="23" t="s">
        <v>325</v>
      </c>
      <c r="F171" s="23" t="str">
        <f t="shared" si="4"/>
        <v>rtdc.l.rtdc.4018:itc</v>
      </c>
      <c r="G171" s="8">
        <f t="shared" si="5"/>
        <v>42617.782777777778</v>
      </c>
    </row>
    <row r="172" spans="1:7" x14ac:dyDescent="0.25">
      <c r="A172" s="8">
        <v>42617.789317129631</v>
      </c>
      <c r="B172" s="23" t="s">
        <v>169</v>
      </c>
      <c r="C172" s="23" t="s">
        <v>522</v>
      </c>
      <c r="D172" s="23">
        <v>2040000</v>
      </c>
      <c r="E172" s="23" t="s">
        <v>264</v>
      </c>
      <c r="F172" s="23" t="str">
        <f t="shared" si="4"/>
        <v>rtdc.l.rtdc.4002:itc</v>
      </c>
      <c r="G172" s="8">
        <f t="shared" si="5"/>
        <v>42617.789317129631</v>
      </c>
    </row>
    <row r="173" spans="1:7" x14ac:dyDescent="0.25">
      <c r="A173" s="8">
        <v>42617.789398148147</v>
      </c>
      <c r="B173" s="23" t="s">
        <v>314</v>
      </c>
      <c r="C173" s="23" t="s">
        <v>523</v>
      </c>
      <c r="D173" s="23">
        <v>1180000</v>
      </c>
      <c r="E173" s="23" t="s">
        <v>504</v>
      </c>
      <c r="F173" s="23" t="str">
        <f t="shared" si="4"/>
        <v>rtdc.l.rtdc.4046:itc</v>
      </c>
      <c r="G173" s="8">
        <f t="shared" si="5"/>
        <v>42617.789398148147</v>
      </c>
    </row>
    <row r="174" spans="1:7" x14ac:dyDescent="0.25">
      <c r="A174" s="8">
        <v>42617.791180555556</v>
      </c>
      <c r="B174" s="23" t="s">
        <v>169</v>
      </c>
      <c r="C174" s="23" t="s">
        <v>522</v>
      </c>
      <c r="D174" s="23">
        <v>2040000</v>
      </c>
      <c r="E174" s="23" t="s">
        <v>264</v>
      </c>
      <c r="F174" s="23" t="str">
        <f t="shared" si="4"/>
        <v>rtdc.l.rtdc.4002:itc</v>
      </c>
      <c r="G174" s="8">
        <f t="shared" si="5"/>
        <v>42617.791180555556</v>
      </c>
    </row>
    <row r="175" spans="1:7" x14ac:dyDescent="0.25">
      <c r="A175" s="8">
        <v>42617.798379629632</v>
      </c>
      <c r="B175" s="23" t="s">
        <v>319</v>
      </c>
      <c r="C175" s="23" t="s">
        <v>524</v>
      </c>
      <c r="D175" s="23">
        <v>1810000</v>
      </c>
      <c r="E175" s="23" t="s">
        <v>325</v>
      </c>
      <c r="F175" s="23" t="str">
        <f t="shared" si="4"/>
        <v>rtdc.l.rtdc.4017:itc</v>
      </c>
      <c r="G175" s="8">
        <f t="shared" si="5"/>
        <v>42617.798379629632</v>
      </c>
    </row>
    <row r="176" spans="1:7" x14ac:dyDescent="0.25">
      <c r="A176" s="8">
        <v>42617.801805555559</v>
      </c>
      <c r="B176" s="23" t="s">
        <v>91</v>
      </c>
      <c r="C176" s="23" t="s">
        <v>525</v>
      </c>
      <c r="D176" s="23">
        <v>2100000</v>
      </c>
      <c r="E176" s="23" t="s">
        <v>136</v>
      </c>
      <c r="F176" s="23" t="str">
        <f t="shared" si="4"/>
        <v>rtdc.l.rtdc.4029:itc</v>
      </c>
      <c r="G176" s="8">
        <f t="shared" si="5"/>
        <v>42617.801805555559</v>
      </c>
    </row>
    <row r="177" spans="1:7" x14ac:dyDescent="0.25">
      <c r="A177" s="8">
        <v>42617.809513888889</v>
      </c>
      <c r="B177" s="23" t="s">
        <v>165</v>
      </c>
      <c r="C177" s="23" t="s">
        <v>526</v>
      </c>
      <c r="D177" s="23">
        <v>1290000</v>
      </c>
      <c r="E177" s="23" t="s">
        <v>511</v>
      </c>
      <c r="F177" s="23" t="str">
        <f t="shared" si="4"/>
        <v>rtdc.l.rtdc.4009:itc</v>
      </c>
      <c r="G177" s="8">
        <f t="shared" si="5"/>
        <v>42617.809513888889</v>
      </c>
    </row>
    <row r="178" spans="1:7" x14ac:dyDescent="0.25">
      <c r="A178" s="8">
        <v>42617.811400462961</v>
      </c>
      <c r="B178" s="23" t="s">
        <v>114</v>
      </c>
      <c r="C178" s="23" t="s">
        <v>527</v>
      </c>
      <c r="D178" s="23">
        <v>1800000</v>
      </c>
      <c r="E178" s="23" t="s">
        <v>167</v>
      </c>
      <c r="F178" s="23" t="str">
        <f t="shared" si="4"/>
        <v>rtdc.l.rtdc.4032:itc</v>
      </c>
      <c r="G178" s="8">
        <f t="shared" si="5"/>
        <v>42617.811400462961</v>
      </c>
    </row>
    <row r="179" spans="1:7" x14ac:dyDescent="0.25">
      <c r="A179" s="8">
        <v>42617.81863425926</v>
      </c>
      <c r="B179" s="23" t="s">
        <v>92</v>
      </c>
      <c r="C179" s="23" t="s">
        <v>528</v>
      </c>
      <c r="D179" s="23">
        <v>2100000</v>
      </c>
      <c r="E179" s="23" t="s">
        <v>136</v>
      </c>
      <c r="F179" s="23" t="str">
        <f t="shared" si="4"/>
        <v>rtdc.l.rtdc.4030:itc</v>
      </c>
      <c r="G179" s="8">
        <f t="shared" si="5"/>
        <v>42617.81863425926</v>
      </c>
    </row>
    <row r="180" spans="1:7" x14ac:dyDescent="0.25">
      <c r="A180" s="8">
        <v>42617.820636574077</v>
      </c>
      <c r="B180" s="23" t="s">
        <v>370</v>
      </c>
      <c r="C180" s="23" t="s">
        <v>529</v>
      </c>
      <c r="D180" s="23">
        <v>2020000</v>
      </c>
      <c r="E180" s="23" t="s">
        <v>281</v>
      </c>
      <c r="F180" s="23" t="str">
        <f t="shared" si="4"/>
        <v>rtdc.l.rtdc.4016:itc</v>
      </c>
      <c r="G180" s="8">
        <f t="shared" si="5"/>
        <v>42617.820636574077</v>
      </c>
    </row>
    <row r="181" spans="1:7" x14ac:dyDescent="0.25">
      <c r="A181" s="8">
        <v>42617.828067129631</v>
      </c>
      <c r="B181" s="23" t="s">
        <v>165</v>
      </c>
      <c r="C181" s="23" t="s">
        <v>526</v>
      </c>
      <c r="D181" s="23">
        <v>1290000</v>
      </c>
      <c r="E181" s="23" t="s">
        <v>511</v>
      </c>
      <c r="F181" s="23" t="str">
        <f t="shared" si="4"/>
        <v>rtdc.l.rtdc.4009:itc</v>
      </c>
      <c r="G181" s="8">
        <f t="shared" si="5"/>
        <v>42617.828067129631</v>
      </c>
    </row>
    <row r="182" spans="1:7" x14ac:dyDescent="0.25">
      <c r="A182" s="8">
        <v>42617.829259259262</v>
      </c>
      <c r="B182" s="23" t="s">
        <v>322</v>
      </c>
      <c r="C182" s="23" t="s">
        <v>530</v>
      </c>
      <c r="D182" s="23">
        <v>1810000</v>
      </c>
      <c r="E182" s="23" t="s">
        <v>325</v>
      </c>
      <c r="F182" s="23" t="str">
        <f t="shared" si="4"/>
        <v>rtdc.l.rtdc.4018:itc</v>
      </c>
      <c r="G182" s="8">
        <f t="shared" si="5"/>
        <v>42617.829259259262</v>
      </c>
    </row>
    <row r="183" spans="1:7" x14ac:dyDescent="0.25">
      <c r="A183" s="8">
        <v>42617.830972222226</v>
      </c>
      <c r="B183" s="23" t="s">
        <v>315</v>
      </c>
      <c r="C183" s="23" t="s">
        <v>531</v>
      </c>
      <c r="D183" s="23">
        <v>1180000</v>
      </c>
      <c r="E183" s="23" t="s">
        <v>504</v>
      </c>
      <c r="F183" s="23" t="str">
        <f t="shared" si="4"/>
        <v>rtdc.l.rtdc.4045:itc</v>
      </c>
      <c r="G183" s="8">
        <f t="shared" si="5"/>
        <v>42617.830972222226</v>
      </c>
    </row>
    <row r="184" spans="1:7" x14ac:dyDescent="0.25">
      <c r="A184" s="8">
        <v>42617.842164351852</v>
      </c>
      <c r="B184" s="23" t="s">
        <v>91</v>
      </c>
      <c r="C184" s="23" t="s">
        <v>532</v>
      </c>
      <c r="D184" s="23">
        <v>2100000</v>
      </c>
      <c r="E184" s="23" t="s">
        <v>136</v>
      </c>
      <c r="F184" s="23" t="str">
        <f t="shared" si="4"/>
        <v>rtdc.l.rtdc.4029:itc</v>
      </c>
      <c r="G184" s="8">
        <f t="shared" si="5"/>
        <v>42617.842164351852</v>
      </c>
    </row>
    <row r="185" spans="1:7" x14ac:dyDescent="0.25">
      <c r="A185" s="8">
        <v>42617.849803240744</v>
      </c>
      <c r="B185" s="23" t="s">
        <v>166</v>
      </c>
      <c r="C185" s="23" t="s">
        <v>533</v>
      </c>
      <c r="D185" s="23">
        <v>1290000</v>
      </c>
      <c r="E185" s="23" t="s">
        <v>511</v>
      </c>
      <c r="F185" s="23" t="str">
        <f t="shared" si="4"/>
        <v>rtdc.l.rtdc.4010:itc</v>
      </c>
      <c r="G185" s="8">
        <f t="shared" si="5"/>
        <v>42617.849803240744</v>
      </c>
    </row>
    <row r="186" spans="1:7" x14ac:dyDescent="0.25">
      <c r="A186" s="8">
        <v>42617.854074074072</v>
      </c>
      <c r="B186" s="23" t="s">
        <v>113</v>
      </c>
      <c r="C186" s="23" t="s">
        <v>534</v>
      </c>
      <c r="D186" s="23">
        <v>1800000</v>
      </c>
      <c r="E186" s="23" t="s">
        <v>167</v>
      </c>
      <c r="F186" s="23" t="str">
        <f t="shared" si="4"/>
        <v>rtdc.l.rtdc.4031:itc</v>
      </c>
      <c r="G186" s="8">
        <f t="shared" si="5"/>
        <v>42617.854074074072</v>
      </c>
    </row>
    <row r="187" spans="1:7" x14ac:dyDescent="0.25">
      <c r="A187" s="8">
        <v>42617.859444444446</v>
      </c>
      <c r="B187" s="23" t="s">
        <v>92</v>
      </c>
      <c r="C187" s="23" t="s">
        <v>535</v>
      </c>
      <c r="D187" s="23">
        <v>2100000</v>
      </c>
      <c r="E187" s="23" t="s">
        <v>136</v>
      </c>
      <c r="F187" s="23" t="str">
        <f t="shared" si="4"/>
        <v>rtdc.l.rtdc.4030:itc</v>
      </c>
      <c r="G187" s="8">
        <f t="shared" si="5"/>
        <v>42617.859444444446</v>
      </c>
    </row>
    <row r="188" spans="1:7" x14ac:dyDescent="0.25">
      <c r="A188" s="8">
        <v>42617.867685185185</v>
      </c>
      <c r="B188" s="23" t="s">
        <v>319</v>
      </c>
      <c r="C188" s="23" t="s">
        <v>536</v>
      </c>
      <c r="D188" s="23">
        <v>1810000</v>
      </c>
      <c r="E188" s="23" t="s">
        <v>325</v>
      </c>
      <c r="F188" s="23" t="str">
        <f t="shared" si="4"/>
        <v>rtdc.l.rtdc.4017:itc</v>
      </c>
      <c r="G188" s="8">
        <f t="shared" si="5"/>
        <v>42617.867685185185</v>
      </c>
    </row>
    <row r="189" spans="1:7" x14ac:dyDescent="0.25">
      <c r="A189" s="8">
        <v>42617.86886574074</v>
      </c>
      <c r="B189" s="23" t="s">
        <v>314</v>
      </c>
      <c r="C189" s="23" t="s">
        <v>537</v>
      </c>
      <c r="D189" s="23">
        <v>1180000</v>
      </c>
      <c r="E189" s="23" t="s">
        <v>504</v>
      </c>
      <c r="F189" s="23" t="str">
        <f t="shared" si="4"/>
        <v>rtdc.l.rtdc.4046:itc</v>
      </c>
      <c r="G189" s="8">
        <f t="shared" si="5"/>
        <v>42617.86886574074</v>
      </c>
    </row>
    <row r="190" spans="1:7" x14ac:dyDescent="0.25">
      <c r="A190" s="8">
        <v>42617.876817129632</v>
      </c>
      <c r="B190" s="23" t="s">
        <v>91</v>
      </c>
      <c r="C190" s="23" t="s">
        <v>538</v>
      </c>
      <c r="D190" s="23">
        <v>2100000</v>
      </c>
      <c r="E190" s="23" t="s">
        <v>136</v>
      </c>
      <c r="F190" s="23" t="str">
        <f t="shared" si="4"/>
        <v>rtdc.l.rtdc.4029:itc</v>
      </c>
      <c r="G190" s="8">
        <f t="shared" si="5"/>
        <v>42617.876817129632</v>
      </c>
    </row>
    <row r="191" spans="1:7" x14ac:dyDescent="0.25">
      <c r="A191" s="8">
        <v>42617.89167824074</v>
      </c>
      <c r="B191" s="23" t="s">
        <v>114</v>
      </c>
      <c r="C191" s="23" t="s">
        <v>539</v>
      </c>
      <c r="D191" s="23">
        <v>1800000</v>
      </c>
      <c r="E191" s="23" t="s">
        <v>167</v>
      </c>
      <c r="F191" s="23" t="str">
        <f t="shared" si="4"/>
        <v>rtdc.l.rtdc.4032:itc</v>
      </c>
      <c r="G191" s="8">
        <f t="shared" si="5"/>
        <v>42617.89167824074</v>
      </c>
    </row>
    <row r="192" spans="1:7" x14ac:dyDescent="0.25">
      <c r="A192" s="8">
        <v>42617.892881944441</v>
      </c>
      <c r="B192" s="23" t="s">
        <v>165</v>
      </c>
      <c r="C192" s="23" t="s">
        <v>540</v>
      </c>
      <c r="D192" s="23">
        <v>1290000</v>
      </c>
      <c r="E192" s="23" t="s">
        <v>511</v>
      </c>
      <c r="F192" s="23" t="str">
        <f t="shared" si="4"/>
        <v>rtdc.l.rtdc.4009:itc</v>
      </c>
      <c r="G192" s="8">
        <f t="shared" si="5"/>
        <v>42617.892881944441</v>
      </c>
    </row>
    <row r="193" spans="1:7" x14ac:dyDescent="0.25">
      <c r="A193" s="8">
        <v>42617.901909722219</v>
      </c>
      <c r="B193" s="23" t="s">
        <v>92</v>
      </c>
      <c r="C193" s="23" t="s">
        <v>541</v>
      </c>
      <c r="D193" s="23">
        <v>2100000</v>
      </c>
      <c r="E193" s="23" t="s">
        <v>136</v>
      </c>
      <c r="F193" s="23" t="str">
        <f t="shared" si="4"/>
        <v>rtdc.l.rtdc.4030:itc</v>
      </c>
      <c r="G193" s="8">
        <f t="shared" si="5"/>
        <v>42617.901909722219</v>
      </c>
    </row>
    <row r="194" spans="1:7" x14ac:dyDescent="0.25">
      <c r="A194" s="8">
        <v>42617.904583333337</v>
      </c>
      <c r="B194" s="23" t="s">
        <v>322</v>
      </c>
      <c r="C194" s="23" t="s">
        <v>542</v>
      </c>
      <c r="D194" s="23">
        <v>1810000</v>
      </c>
      <c r="E194" s="23" t="s">
        <v>325</v>
      </c>
      <c r="F194" s="23" t="str">
        <f t="shared" ref="F194:F235" si="6">B194</f>
        <v>rtdc.l.rtdc.4018:itc</v>
      </c>
      <c r="G194" s="8">
        <f t="shared" ref="G194:G235" si="7">A194</f>
        <v>42617.904583333337</v>
      </c>
    </row>
    <row r="195" spans="1:7" x14ac:dyDescent="0.25">
      <c r="A195" s="8">
        <v>42617.909305555557</v>
      </c>
      <c r="B195" s="23" t="s">
        <v>315</v>
      </c>
      <c r="C195" s="23" t="s">
        <v>543</v>
      </c>
      <c r="D195" s="23">
        <v>1180000</v>
      </c>
      <c r="E195" s="23" t="s">
        <v>504</v>
      </c>
      <c r="F195" s="23" t="str">
        <f t="shared" si="6"/>
        <v>rtdc.l.rtdc.4045:itc</v>
      </c>
      <c r="G195" s="8">
        <f t="shared" si="7"/>
        <v>42617.909305555557</v>
      </c>
    </row>
    <row r="196" spans="1:7" x14ac:dyDescent="0.25">
      <c r="A196" s="8">
        <v>42617.924189814818</v>
      </c>
      <c r="B196" s="23" t="s">
        <v>91</v>
      </c>
      <c r="C196" s="23" t="s">
        <v>544</v>
      </c>
      <c r="D196" s="23">
        <v>2100000</v>
      </c>
      <c r="E196" s="23" t="s">
        <v>136</v>
      </c>
      <c r="F196" s="23" t="str">
        <f t="shared" si="6"/>
        <v>rtdc.l.rtdc.4029:itc</v>
      </c>
      <c r="G196" s="8">
        <f t="shared" si="7"/>
        <v>42617.924189814818</v>
      </c>
    </row>
    <row r="197" spans="1:7" x14ac:dyDescent="0.25">
      <c r="A197" s="8">
        <v>42617.931273148148</v>
      </c>
      <c r="B197" s="23" t="s">
        <v>166</v>
      </c>
      <c r="C197" s="23" t="s">
        <v>545</v>
      </c>
      <c r="D197" s="23">
        <v>1290000</v>
      </c>
      <c r="E197" s="23" t="s">
        <v>511</v>
      </c>
      <c r="F197" s="23" t="str">
        <f t="shared" si="6"/>
        <v>rtdc.l.rtdc.4010:itc</v>
      </c>
      <c r="G197" s="8">
        <f t="shared" si="7"/>
        <v>42617.931273148148</v>
      </c>
    </row>
    <row r="198" spans="1:7" x14ac:dyDescent="0.25">
      <c r="A198" s="8">
        <v>42617.936608796299</v>
      </c>
      <c r="B198" s="23" t="s">
        <v>113</v>
      </c>
      <c r="C198" s="23" t="s">
        <v>546</v>
      </c>
      <c r="D198" s="23">
        <v>1800000</v>
      </c>
      <c r="E198" s="23" t="s">
        <v>167</v>
      </c>
      <c r="F198" s="23" t="str">
        <f t="shared" si="6"/>
        <v>rtdc.l.rtdc.4031:itc</v>
      </c>
      <c r="G198" s="8">
        <f t="shared" si="7"/>
        <v>42617.936608796299</v>
      </c>
    </row>
    <row r="199" spans="1:7" x14ac:dyDescent="0.25">
      <c r="A199" s="8">
        <v>42617.944236111114</v>
      </c>
      <c r="B199" s="23" t="s">
        <v>92</v>
      </c>
      <c r="C199" s="23" t="s">
        <v>547</v>
      </c>
      <c r="D199" s="23">
        <v>2100000</v>
      </c>
      <c r="E199" s="23" t="s">
        <v>136</v>
      </c>
      <c r="F199" s="23" t="str">
        <f t="shared" si="6"/>
        <v>rtdc.l.rtdc.4030:itc</v>
      </c>
      <c r="G199" s="8">
        <f t="shared" si="7"/>
        <v>42617.944236111114</v>
      </c>
    </row>
    <row r="200" spans="1:7" x14ac:dyDescent="0.25">
      <c r="A200" s="8">
        <v>42617.945902777778</v>
      </c>
      <c r="B200" s="23" t="s">
        <v>319</v>
      </c>
      <c r="C200" s="23" t="s">
        <v>548</v>
      </c>
      <c r="D200" s="23">
        <v>1810000</v>
      </c>
      <c r="E200" s="23" t="s">
        <v>325</v>
      </c>
      <c r="F200" s="23" t="str">
        <f t="shared" si="6"/>
        <v>rtdc.l.rtdc.4017:itc</v>
      </c>
      <c r="G200" s="8">
        <f t="shared" si="7"/>
        <v>42617.945902777778</v>
      </c>
    </row>
    <row r="201" spans="1:7" x14ac:dyDescent="0.25">
      <c r="A201" s="8">
        <v>42617.957418981481</v>
      </c>
      <c r="B201" s="23" t="s">
        <v>314</v>
      </c>
      <c r="C201" s="23" t="s">
        <v>549</v>
      </c>
      <c r="D201" s="23">
        <v>1180000</v>
      </c>
      <c r="E201" s="23" t="s">
        <v>504</v>
      </c>
      <c r="F201" s="23" t="str">
        <f t="shared" si="6"/>
        <v>rtdc.l.rtdc.4046:itc</v>
      </c>
      <c r="G201" s="8">
        <f t="shared" si="7"/>
        <v>42617.957418981481</v>
      </c>
    </row>
    <row r="202" spans="1:7" x14ac:dyDescent="0.25">
      <c r="A202" s="29">
        <v>42617.975590277776</v>
      </c>
      <c r="B202" s="23" t="s">
        <v>114</v>
      </c>
      <c r="C202" s="23" t="s">
        <v>550</v>
      </c>
      <c r="D202" s="23">
        <v>1800000</v>
      </c>
      <c r="E202" s="23" t="s">
        <v>167</v>
      </c>
      <c r="F202" s="23" t="str">
        <f t="shared" si="6"/>
        <v>rtdc.l.rtdc.4032:itc</v>
      </c>
      <c r="G202" s="8">
        <f t="shared" si="7"/>
        <v>42617.975590277776</v>
      </c>
    </row>
    <row r="203" spans="1:7" x14ac:dyDescent="0.25">
      <c r="A203" s="8">
        <v>42617.976134259261</v>
      </c>
      <c r="B203" s="23" t="s">
        <v>165</v>
      </c>
      <c r="C203" s="23" t="s">
        <v>551</v>
      </c>
      <c r="D203" s="23">
        <v>1290000</v>
      </c>
      <c r="E203" s="23" t="s">
        <v>511</v>
      </c>
      <c r="F203" s="23" t="str">
        <f t="shared" si="6"/>
        <v>rtdc.l.rtdc.4009:itc</v>
      </c>
      <c r="G203" s="8">
        <f t="shared" si="7"/>
        <v>42617.976134259261</v>
      </c>
    </row>
    <row r="204" spans="1:7" x14ac:dyDescent="0.25">
      <c r="A204" s="8">
        <v>42617.984942129631</v>
      </c>
      <c r="B204" s="23" t="s">
        <v>322</v>
      </c>
      <c r="C204" s="23" t="s">
        <v>552</v>
      </c>
      <c r="D204" s="23">
        <v>1810000</v>
      </c>
      <c r="E204" s="23" t="s">
        <v>325</v>
      </c>
      <c r="F204" s="23" t="str">
        <f t="shared" si="6"/>
        <v>rtdc.l.rtdc.4018:itc</v>
      </c>
      <c r="G204" s="8">
        <f t="shared" si="7"/>
        <v>42617.984942129631</v>
      </c>
    </row>
    <row r="205" spans="1:7" x14ac:dyDescent="0.25">
      <c r="A205" s="8">
        <v>42617.992048611108</v>
      </c>
      <c r="B205" s="23" t="s">
        <v>315</v>
      </c>
      <c r="C205" s="23" t="s">
        <v>553</v>
      </c>
      <c r="D205" s="23">
        <v>1180000</v>
      </c>
      <c r="E205" s="23" t="s">
        <v>504</v>
      </c>
      <c r="F205" s="23" t="str">
        <f t="shared" si="6"/>
        <v>rtdc.l.rtdc.4045:itc</v>
      </c>
      <c r="G205" s="8">
        <f t="shared" si="7"/>
        <v>42617.992048611108</v>
      </c>
    </row>
    <row r="206" spans="1:7" x14ac:dyDescent="0.25">
      <c r="A206" s="8">
        <v>42618.011342592596</v>
      </c>
      <c r="B206" s="23" t="s">
        <v>166</v>
      </c>
      <c r="C206" s="23" t="s">
        <v>554</v>
      </c>
      <c r="D206" s="23">
        <v>1290000</v>
      </c>
      <c r="E206" s="23" t="s">
        <v>511</v>
      </c>
      <c r="F206" s="23" t="str">
        <f t="shared" si="6"/>
        <v>rtdc.l.rtdc.4010:itc</v>
      </c>
      <c r="G206" s="8">
        <f t="shared" si="7"/>
        <v>42618.011342592596</v>
      </c>
    </row>
    <row r="207" spans="1:7" x14ac:dyDescent="0.25">
      <c r="A207" s="8">
        <v>42618.019212962965</v>
      </c>
      <c r="B207" s="23" t="s">
        <v>113</v>
      </c>
      <c r="C207" s="23" t="s">
        <v>555</v>
      </c>
      <c r="D207" s="23">
        <v>1800000</v>
      </c>
      <c r="E207" s="23" t="s">
        <v>167</v>
      </c>
      <c r="F207" s="23" t="str">
        <f t="shared" si="6"/>
        <v>rtdc.l.rtdc.4031:itc</v>
      </c>
      <c r="G207" s="8">
        <f t="shared" si="7"/>
        <v>42618.019212962965</v>
      </c>
    </row>
    <row r="208" spans="1:7" x14ac:dyDescent="0.25">
      <c r="A208" s="8">
        <v>42618.027499999997</v>
      </c>
      <c r="B208" s="23" t="s">
        <v>314</v>
      </c>
      <c r="C208" s="23" t="s">
        <v>556</v>
      </c>
      <c r="D208" s="23">
        <v>1180000</v>
      </c>
      <c r="E208" s="23" t="s">
        <v>504</v>
      </c>
      <c r="F208" s="23" t="str">
        <f t="shared" si="6"/>
        <v>rtdc.l.rtdc.4046:itc</v>
      </c>
      <c r="G208" s="8">
        <f t="shared" si="7"/>
        <v>42618.027499999997</v>
      </c>
    </row>
    <row r="209" spans="1:7" x14ac:dyDescent="0.25">
      <c r="A209" s="8">
        <v>42618.034814814811</v>
      </c>
      <c r="B209" s="23" t="s">
        <v>319</v>
      </c>
      <c r="C209" s="23" t="s">
        <v>557</v>
      </c>
      <c r="D209" s="23">
        <v>1810000</v>
      </c>
      <c r="E209" s="23" t="s">
        <v>325</v>
      </c>
      <c r="F209" s="23" t="str">
        <f t="shared" si="6"/>
        <v>rtdc.l.rtdc.4017:itc</v>
      </c>
      <c r="G209" s="8">
        <f t="shared" si="7"/>
        <v>42618.034814814811</v>
      </c>
    </row>
    <row r="210" spans="1:7" x14ac:dyDescent="0.25">
      <c r="A210" s="8">
        <v>42618.036678240744</v>
      </c>
      <c r="B210" s="23" t="s">
        <v>319</v>
      </c>
      <c r="C210" s="23" t="s">
        <v>557</v>
      </c>
      <c r="D210" s="23">
        <v>1810000</v>
      </c>
      <c r="E210" s="23" t="s">
        <v>325</v>
      </c>
      <c r="F210" s="23" t="str">
        <f t="shared" si="6"/>
        <v>rtdc.l.rtdc.4017:itc</v>
      </c>
      <c r="G210" s="8">
        <f t="shared" si="7"/>
        <v>42618.036678240744</v>
      </c>
    </row>
    <row r="211" spans="1:7" x14ac:dyDescent="0.25">
      <c r="A211" s="8">
        <v>42618.047453703701</v>
      </c>
      <c r="B211" s="23" t="s">
        <v>165</v>
      </c>
      <c r="C211" s="23" t="s">
        <v>558</v>
      </c>
      <c r="D211" s="23">
        <v>1290000</v>
      </c>
      <c r="E211" s="23" t="s">
        <v>511</v>
      </c>
      <c r="F211" s="23" t="str">
        <f t="shared" si="6"/>
        <v>rtdc.l.rtdc.4009:itc</v>
      </c>
      <c r="G211" s="8">
        <f t="shared" si="7"/>
        <v>42618.047453703701</v>
      </c>
    </row>
    <row r="212" spans="1:7" x14ac:dyDescent="0.25">
      <c r="A212" s="8">
        <v>42618.053472222222</v>
      </c>
      <c r="B212" s="23" t="s">
        <v>319</v>
      </c>
      <c r="C212" s="23" t="s">
        <v>557</v>
      </c>
      <c r="D212" s="23">
        <v>1810000</v>
      </c>
      <c r="E212" s="23" t="s">
        <v>325</v>
      </c>
      <c r="F212" s="23" t="str">
        <f t="shared" si="6"/>
        <v>rtdc.l.rtdc.4017:itc</v>
      </c>
      <c r="G212" s="8">
        <f t="shared" si="7"/>
        <v>42618.053472222222</v>
      </c>
    </row>
    <row r="213" spans="1:7" x14ac:dyDescent="0.25">
      <c r="A213" s="8">
        <v>42618.059108796297</v>
      </c>
      <c r="B213" s="23" t="s">
        <v>114</v>
      </c>
      <c r="C213" s="23" t="s">
        <v>559</v>
      </c>
      <c r="D213" s="23">
        <v>1800000</v>
      </c>
      <c r="E213" s="23" t="s">
        <v>167</v>
      </c>
      <c r="F213" s="23" t="str">
        <f t="shared" si="6"/>
        <v>rtdc.l.rtdc.4032:itc</v>
      </c>
      <c r="G213" s="8">
        <f t="shared" si="7"/>
        <v>42618.059108796297</v>
      </c>
    </row>
    <row r="214" spans="1:7" x14ac:dyDescent="0.25">
      <c r="A214" s="8">
        <v>42618.07</v>
      </c>
      <c r="B214" s="23" t="s">
        <v>322</v>
      </c>
      <c r="C214" s="23" t="s">
        <v>560</v>
      </c>
      <c r="D214" s="23">
        <v>1810000</v>
      </c>
      <c r="E214" s="23" t="s">
        <v>325</v>
      </c>
      <c r="F214" s="23" t="str">
        <f t="shared" si="6"/>
        <v>rtdc.l.rtdc.4018:itc</v>
      </c>
      <c r="G214" s="8">
        <f t="shared" si="7"/>
        <v>42618.07</v>
      </c>
    </row>
    <row r="215" spans="1:7" x14ac:dyDescent="0.25">
      <c r="A215" s="8">
        <v>42618.07135416667</v>
      </c>
      <c r="B215" s="23" t="s">
        <v>322</v>
      </c>
      <c r="C215" s="23" t="s">
        <v>560</v>
      </c>
      <c r="D215" s="23">
        <v>1810000</v>
      </c>
      <c r="E215" s="23" t="s">
        <v>325</v>
      </c>
      <c r="F215" s="23" t="str">
        <f t="shared" si="6"/>
        <v>rtdc.l.rtdc.4018:itc</v>
      </c>
      <c r="G215" s="8">
        <f t="shared" si="7"/>
        <v>42618.07135416667</v>
      </c>
    </row>
    <row r="216" spans="1:7" x14ac:dyDescent="0.25">
      <c r="A216" s="8">
        <v>42618.091249999998</v>
      </c>
      <c r="B216" s="23" t="s">
        <v>113</v>
      </c>
      <c r="C216" s="23" t="s">
        <v>561</v>
      </c>
      <c r="D216" s="23">
        <v>1800000</v>
      </c>
      <c r="E216" s="23" t="s">
        <v>167</v>
      </c>
      <c r="F216" s="23" t="str">
        <f t="shared" si="6"/>
        <v>rtdc.l.rtdc.4031:itc</v>
      </c>
      <c r="G216" s="8">
        <f t="shared" si="7"/>
        <v>42618.091249999998</v>
      </c>
    </row>
    <row r="217" spans="1:7" x14ac:dyDescent="0.25">
      <c r="B217" s="23"/>
      <c r="C217" s="23"/>
      <c r="D217" s="23"/>
      <c r="E217" s="23"/>
      <c r="F217" s="23">
        <f t="shared" si="6"/>
        <v>0</v>
      </c>
      <c r="G217" s="8">
        <f t="shared" si="7"/>
        <v>0</v>
      </c>
    </row>
    <row r="218" spans="1:7" x14ac:dyDescent="0.25">
      <c r="A218" s="8">
        <v>42617.048344907409</v>
      </c>
      <c r="B218" s="23" t="s">
        <v>240</v>
      </c>
      <c r="C218" s="23" t="s">
        <v>328</v>
      </c>
      <c r="D218" s="23">
        <v>1810000</v>
      </c>
      <c r="E218" s="23" t="s">
        <v>325</v>
      </c>
      <c r="F218" s="23" t="str">
        <f t="shared" si="6"/>
        <v>rtdc.l.rtdc.4011:itc</v>
      </c>
      <c r="G218" s="8">
        <f t="shared" si="7"/>
        <v>42617.048344907409</v>
      </c>
    </row>
    <row r="219" spans="1:7" x14ac:dyDescent="0.25">
      <c r="A219" s="8">
        <v>42617.053298611114</v>
      </c>
      <c r="B219" s="23" t="s">
        <v>90</v>
      </c>
      <c r="C219" s="23" t="s">
        <v>329</v>
      </c>
      <c r="D219" s="23">
        <v>1480000</v>
      </c>
      <c r="E219" s="23" t="s">
        <v>318</v>
      </c>
      <c r="F219" s="23" t="str">
        <f t="shared" si="6"/>
        <v>rtdc.l.rtdc.4013:itc</v>
      </c>
      <c r="G219" s="8">
        <f t="shared" si="7"/>
        <v>42617.053298611114</v>
      </c>
    </row>
    <row r="220" spans="1:7" x14ac:dyDescent="0.25">
      <c r="A220" s="8">
        <v>42617.071203703701</v>
      </c>
      <c r="B220" s="23" t="s">
        <v>221</v>
      </c>
      <c r="C220" s="23" t="s">
        <v>330</v>
      </c>
      <c r="D220" s="23">
        <v>1800000</v>
      </c>
      <c r="E220" s="23" t="s">
        <v>167</v>
      </c>
      <c r="F220" s="23" t="str">
        <f t="shared" si="6"/>
        <v>rtdc.l.rtdc.4040:itc</v>
      </c>
      <c r="G220" s="8">
        <f t="shared" si="7"/>
        <v>42617.071203703701</v>
      </c>
    </row>
    <row r="221" spans="1:7" x14ac:dyDescent="0.25">
      <c r="A221" s="8">
        <v>42617.077418981484</v>
      </c>
      <c r="B221" s="23" t="s">
        <v>217</v>
      </c>
      <c r="C221" s="23" t="s">
        <v>331</v>
      </c>
      <c r="D221" s="23">
        <v>2090000</v>
      </c>
      <c r="E221" s="23" t="s">
        <v>176</v>
      </c>
      <c r="F221" s="23" t="str">
        <f t="shared" si="6"/>
        <v>rtdc.l.rtdc.4019:itc</v>
      </c>
      <c r="G221" s="8">
        <f t="shared" si="7"/>
        <v>42617.077418981484</v>
      </c>
    </row>
    <row r="222" spans="1:7" x14ac:dyDescent="0.25">
      <c r="A222" s="8">
        <v>42617.090844907405</v>
      </c>
      <c r="B222" s="23" t="s">
        <v>111</v>
      </c>
      <c r="C222" s="23" t="s">
        <v>332</v>
      </c>
      <c r="D222" s="23">
        <v>1480000</v>
      </c>
      <c r="E222" s="23" t="s">
        <v>318</v>
      </c>
      <c r="F222" s="23" t="str">
        <f t="shared" si="6"/>
        <v>rtdc.l.rtdc.4014:itc</v>
      </c>
      <c r="G222" s="8">
        <f t="shared" si="7"/>
        <v>42617.090844907405</v>
      </c>
    </row>
    <row r="223" spans="1:7" x14ac:dyDescent="0.25">
      <c r="A223" s="8">
        <v>42617.110081018516</v>
      </c>
      <c r="B223" s="23" t="s">
        <v>218</v>
      </c>
      <c r="C223" s="23" t="s">
        <v>333</v>
      </c>
      <c r="D223" s="23">
        <v>2090000</v>
      </c>
      <c r="E223" s="23" t="s">
        <v>176</v>
      </c>
      <c r="F223" s="23" t="str">
        <f t="shared" si="6"/>
        <v>rtdc.l.rtdc.4020:itc</v>
      </c>
      <c r="G223" s="8">
        <f t="shared" si="7"/>
        <v>42617.110081018516</v>
      </c>
    </row>
    <row r="224" spans="1:7" x14ac:dyDescent="0.25">
      <c r="F224" s="23">
        <f t="shared" si="6"/>
        <v>0</v>
      </c>
      <c r="G224" s="8">
        <f t="shared" si="7"/>
        <v>0</v>
      </c>
    </row>
    <row r="225" spans="1:7" x14ac:dyDescent="0.25">
      <c r="A225" s="8">
        <v>42616.038726851853</v>
      </c>
      <c r="B225" t="s">
        <v>113</v>
      </c>
      <c r="C225" t="s">
        <v>301</v>
      </c>
      <c r="D225">
        <v>2090000</v>
      </c>
      <c r="E225" t="s">
        <v>176</v>
      </c>
      <c r="F225" s="23" t="str">
        <f t="shared" si="6"/>
        <v>rtdc.l.rtdc.4031:itc</v>
      </c>
      <c r="G225" s="8">
        <f t="shared" si="7"/>
        <v>42616.038726851853</v>
      </c>
    </row>
    <row r="226" spans="1:7" x14ac:dyDescent="0.25">
      <c r="A226" s="8">
        <v>42616.046296296299</v>
      </c>
      <c r="B226" t="s">
        <v>314</v>
      </c>
      <c r="C226" t="s">
        <v>303</v>
      </c>
      <c r="D226">
        <v>1230000</v>
      </c>
      <c r="E226" t="s">
        <v>162</v>
      </c>
      <c r="F226" s="23" t="str">
        <f t="shared" si="6"/>
        <v>rtdc.l.rtdc.4046:itc</v>
      </c>
      <c r="G226" s="8">
        <f t="shared" si="7"/>
        <v>42616.046296296299</v>
      </c>
    </row>
    <row r="227" spans="1:7" x14ac:dyDescent="0.25">
      <c r="A227" s="8">
        <v>42616.054826388892</v>
      </c>
      <c r="B227" t="s">
        <v>259</v>
      </c>
      <c r="C227" t="s">
        <v>300</v>
      </c>
      <c r="D227">
        <v>2220000</v>
      </c>
      <c r="E227" t="s">
        <v>247</v>
      </c>
      <c r="F227" s="23" t="str">
        <f t="shared" si="6"/>
        <v>rtdc.l.rtdc.4043:itc</v>
      </c>
      <c r="G227" s="8">
        <f t="shared" si="7"/>
        <v>42616.054826388892</v>
      </c>
    </row>
    <row r="228" spans="1:7" x14ac:dyDescent="0.25">
      <c r="A228" s="8">
        <v>42616.070509259262</v>
      </c>
      <c r="B228" t="s">
        <v>165</v>
      </c>
      <c r="C228" t="s">
        <v>304</v>
      </c>
      <c r="D228">
        <v>1800000</v>
      </c>
      <c r="E228" t="s">
        <v>167</v>
      </c>
      <c r="F228" s="23" t="str">
        <f t="shared" si="6"/>
        <v>rtdc.l.rtdc.4009:itc</v>
      </c>
      <c r="G228" s="8">
        <f t="shared" si="7"/>
        <v>42616.070509259262</v>
      </c>
    </row>
    <row r="229" spans="1:7" x14ac:dyDescent="0.25">
      <c r="A229" s="8">
        <v>42616.076701388891</v>
      </c>
      <c r="B229" t="s">
        <v>114</v>
      </c>
      <c r="C229" t="s">
        <v>302</v>
      </c>
      <c r="D229">
        <v>2090000</v>
      </c>
      <c r="E229" t="s">
        <v>176</v>
      </c>
      <c r="F229" s="23" t="str">
        <f t="shared" si="6"/>
        <v>rtdc.l.rtdc.4032:itc</v>
      </c>
      <c r="G229" s="8">
        <f t="shared" si="7"/>
        <v>42616.076701388891</v>
      </c>
    </row>
    <row r="230" spans="1:7" x14ac:dyDescent="0.25">
      <c r="A230" s="8">
        <v>42616.093425925923</v>
      </c>
      <c r="B230" t="s">
        <v>261</v>
      </c>
      <c r="C230" t="s">
        <v>305</v>
      </c>
      <c r="D230">
        <v>2220000</v>
      </c>
      <c r="E230" t="s">
        <v>247</v>
      </c>
      <c r="F230" s="23" t="str">
        <f t="shared" si="6"/>
        <v>rtdc.l.rtdc.4044:itc</v>
      </c>
      <c r="G230" s="8">
        <f t="shared" si="7"/>
        <v>42616.093425925923</v>
      </c>
    </row>
    <row r="231" spans="1:7" x14ac:dyDescent="0.25">
      <c r="A231" s="8">
        <v>42616.11277777778</v>
      </c>
      <c r="B231" t="s">
        <v>113</v>
      </c>
      <c r="C231" t="s">
        <v>306</v>
      </c>
      <c r="D231">
        <v>2090000</v>
      </c>
      <c r="E231" t="s">
        <v>176</v>
      </c>
      <c r="F231" s="23" t="str">
        <f t="shared" si="6"/>
        <v>rtdc.l.rtdc.4031:itc</v>
      </c>
      <c r="G231" s="8">
        <f t="shared" si="7"/>
        <v>42616.11277777778</v>
      </c>
    </row>
    <row r="232" spans="1:7" x14ac:dyDescent="0.25">
      <c r="F232" s="23">
        <f t="shared" si="6"/>
        <v>0</v>
      </c>
      <c r="G232" s="8">
        <f t="shared" si="7"/>
        <v>0</v>
      </c>
    </row>
    <row r="233" spans="1:7" x14ac:dyDescent="0.25">
      <c r="A233" s="8">
        <v>42609.050162037034</v>
      </c>
      <c r="B233" t="s">
        <v>169</v>
      </c>
      <c r="C233" t="s">
        <v>223</v>
      </c>
      <c r="D233">
        <v>1230000</v>
      </c>
      <c r="E233" t="s">
        <v>162</v>
      </c>
      <c r="F233" s="23" t="str">
        <f t="shared" si="6"/>
        <v>rtdc.l.rtdc.4002:itc</v>
      </c>
      <c r="G233" s="8">
        <f t="shared" si="7"/>
        <v>42609.050162037034</v>
      </c>
    </row>
    <row r="234" spans="1:7" x14ac:dyDescent="0.25">
      <c r="A234" s="8">
        <v>42609.068136574075</v>
      </c>
      <c r="B234" t="s">
        <v>222</v>
      </c>
      <c r="C234" t="s">
        <v>224</v>
      </c>
      <c r="D234">
        <v>2260000</v>
      </c>
      <c r="E234" t="s">
        <v>179</v>
      </c>
      <c r="F234" s="23" t="str">
        <f t="shared" si="6"/>
        <v>rtdc.l.rtdc.4028:itc</v>
      </c>
      <c r="G234" s="8">
        <f t="shared" si="7"/>
        <v>42609.068136574075</v>
      </c>
    </row>
    <row r="235" spans="1:7" x14ac:dyDescent="0.25">
      <c r="A235" s="8">
        <v>42609.071516203701</v>
      </c>
      <c r="B235" t="s">
        <v>221</v>
      </c>
      <c r="C235" t="s">
        <v>225</v>
      </c>
      <c r="D235">
        <v>1800000</v>
      </c>
      <c r="E235" t="s">
        <v>167</v>
      </c>
      <c r="F235" s="23" t="str">
        <f t="shared" si="6"/>
        <v>rtdc.l.rtdc.4040:itc</v>
      </c>
      <c r="G235" s="8">
        <f t="shared" si="7"/>
        <v>42609.071516203701</v>
      </c>
    </row>
    <row r="236" spans="1:7" x14ac:dyDescent="0.25">
      <c r="A236" s="8">
        <v>42609.076782407406</v>
      </c>
      <c r="B236" t="s">
        <v>178</v>
      </c>
      <c r="C236" t="s">
        <v>226</v>
      </c>
      <c r="D236">
        <v>2090000</v>
      </c>
      <c r="E236" t="s">
        <v>176</v>
      </c>
      <c r="F236" s="23" t="str">
        <f t="shared" ref="F236:F265" si="8">B236</f>
        <v>rtdc.l.rtdc.4004:itc</v>
      </c>
      <c r="G236" s="8">
        <f t="shared" ref="G236:G265" si="9">A236</f>
        <v>42609.076782407406</v>
      </c>
    </row>
    <row r="237" spans="1:7" x14ac:dyDescent="0.25">
      <c r="A237" s="8">
        <v>42609.10533564815</v>
      </c>
      <c r="B237" t="s">
        <v>93</v>
      </c>
      <c r="C237" t="s">
        <v>227</v>
      </c>
      <c r="D237">
        <v>2260000</v>
      </c>
      <c r="E237" t="s">
        <v>179</v>
      </c>
      <c r="F237" s="23" t="str">
        <f t="shared" si="8"/>
        <v>rtdc.l.rtdc.4027:itc</v>
      </c>
      <c r="G237" s="8">
        <f t="shared" si="9"/>
        <v>42609.10533564815</v>
      </c>
    </row>
    <row r="238" spans="1:7" x14ac:dyDescent="0.25">
      <c r="F238" s="23">
        <f t="shared" si="8"/>
        <v>0</v>
      </c>
      <c r="G238" s="8">
        <f t="shared" si="9"/>
        <v>0</v>
      </c>
    </row>
    <row r="239" spans="1:7" x14ac:dyDescent="0.25">
      <c r="A239" s="8">
        <v>42594.971458333333</v>
      </c>
      <c r="B239" t="s">
        <v>90</v>
      </c>
      <c r="C239" t="s">
        <v>150</v>
      </c>
      <c r="D239">
        <v>2100000</v>
      </c>
      <c r="E239" t="s">
        <v>136</v>
      </c>
      <c r="F239" s="23" t="str">
        <f t="shared" si="8"/>
        <v>rtdc.l.rtdc.4013:itc</v>
      </c>
      <c r="G239" s="8">
        <f t="shared" si="9"/>
        <v>42594.971458333333</v>
      </c>
    </row>
    <row r="240" spans="1:7" x14ac:dyDescent="0.25">
      <c r="A240" s="8">
        <v>42594.992303240739</v>
      </c>
      <c r="B240" t="s">
        <v>140</v>
      </c>
      <c r="C240" t="s">
        <v>151</v>
      </c>
      <c r="D240">
        <v>1300000</v>
      </c>
      <c r="E240" t="s">
        <v>137</v>
      </c>
      <c r="F240" s="23" t="str">
        <f t="shared" si="8"/>
        <v>rtdc.l.rtdc.4037:itc</v>
      </c>
      <c r="G240" s="8">
        <f t="shared" si="9"/>
        <v>42594.992303240739</v>
      </c>
    </row>
    <row r="241" spans="1:7" x14ac:dyDescent="0.25">
      <c r="A241" s="8">
        <v>42594.99628472222</v>
      </c>
      <c r="B241" t="s">
        <v>113</v>
      </c>
      <c r="C241" t="s">
        <v>153</v>
      </c>
      <c r="D241">
        <v>2000000</v>
      </c>
      <c r="E241" t="s">
        <v>139</v>
      </c>
      <c r="F241" s="23" t="str">
        <f t="shared" si="8"/>
        <v>rtdc.l.rtdc.4031:itc</v>
      </c>
      <c r="G241" s="8">
        <f t="shared" si="9"/>
        <v>42594.99628472222</v>
      </c>
    </row>
    <row r="242" spans="1:7" x14ac:dyDescent="0.25">
      <c r="A242" s="8">
        <v>42595.014097222222</v>
      </c>
      <c r="B242" t="s">
        <v>92</v>
      </c>
      <c r="C242" t="s">
        <v>152</v>
      </c>
      <c r="D242">
        <v>1230000</v>
      </c>
      <c r="E242" t="s">
        <v>162</v>
      </c>
      <c r="F242" s="23" t="str">
        <f t="shared" si="8"/>
        <v>rtdc.l.rtdc.4030:itc</v>
      </c>
      <c r="G242" s="8">
        <f t="shared" si="9"/>
        <v>42595.014097222222</v>
      </c>
    </row>
    <row r="243" spans="1:7" x14ac:dyDescent="0.25">
      <c r="A243" s="8">
        <v>42595.015775462962</v>
      </c>
      <c r="B243" t="s">
        <v>111</v>
      </c>
      <c r="C243" t="s">
        <v>155</v>
      </c>
      <c r="D243">
        <v>2100000</v>
      </c>
      <c r="E243" t="s">
        <v>136</v>
      </c>
      <c r="F243" s="23" t="str">
        <f t="shared" si="8"/>
        <v>rtdc.l.rtdc.4014:itc</v>
      </c>
      <c r="G243" s="8">
        <f t="shared" si="9"/>
        <v>42595.015775462962</v>
      </c>
    </row>
    <row r="244" spans="1:7" x14ac:dyDescent="0.25">
      <c r="A244" s="8">
        <v>42595.034780092596</v>
      </c>
      <c r="B244" t="s">
        <v>145</v>
      </c>
      <c r="C244" t="s">
        <v>157</v>
      </c>
      <c r="D244">
        <v>1300000</v>
      </c>
      <c r="E244" t="s">
        <v>137</v>
      </c>
      <c r="F244" s="23" t="str">
        <f t="shared" si="8"/>
        <v>rtdc.l.rtdc.4038:itc</v>
      </c>
      <c r="G244" s="8">
        <f t="shared" si="9"/>
        <v>42595.034780092596</v>
      </c>
    </row>
    <row r="245" spans="1:7" x14ac:dyDescent="0.25">
      <c r="A245" s="8">
        <v>42595.036539351851</v>
      </c>
      <c r="B245" t="s">
        <v>114</v>
      </c>
      <c r="C245" t="s">
        <v>154</v>
      </c>
      <c r="D245">
        <v>2000000</v>
      </c>
      <c r="E245" t="s">
        <v>139</v>
      </c>
      <c r="F245" s="23" t="str">
        <f t="shared" si="8"/>
        <v>rtdc.l.rtdc.4032:itc</v>
      </c>
      <c r="G245" s="8">
        <f t="shared" si="9"/>
        <v>42595.036539351851</v>
      </c>
    </row>
    <row r="246" spans="1:7" x14ac:dyDescent="0.25">
      <c r="A246" s="8">
        <v>42595.046134259261</v>
      </c>
      <c r="B246" t="s">
        <v>91</v>
      </c>
      <c r="C246" t="s">
        <v>159</v>
      </c>
      <c r="D246">
        <v>1230000</v>
      </c>
      <c r="E246" t="s">
        <v>162</v>
      </c>
      <c r="F246" s="23" t="str">
        <f t="shared" si="8"/>
        <v>rtdc.l.rtdc.4029:itc</v>
      </c>
      <c r="G246" s="8">
        <f t="shared" si="9"/>
        <v>42595.046134259261</v>
      </c>
    </row>
    <row r="247" spans="1:7" x14ac:dyDescent="0.25">
      <c r="A247" s="8">
        <v>42595.053819444445</v>
      </c>
      <c r="B247" t="s">
        <v>90</v>
      </c>
      <c r="C247" t="s">
        <v>156</v>
      </c>
      <c r="D247">
        <v>2100000</v>
      </c>
      <c r="E247" t="s">
        <v>136</v>
      </c>
      <c r="F247" s="23" t="str">
        <f t="shared" si="8"/>
        <v>rtdc.l.rtdc.4013:itc</v>
      </c>
      <c r="G247" s="8">
        <f t="shared" si="9"/>
        <v>42595.053819444445</v>
      </c>
    </row>
    <row r="248" spans="1:7" x14ac:dyDescent="0.25">
      <c r="A248" s="8">
        <v>42595.068229166667</v>
      </c>
      <c r="B248" t="s">
        <v>113</v>
      </c>
      <c r="C248" t="s">
        <v>160</v>
      </c>
      <c r="D248">
        <v>2000000</v>
      </c>
      <c r="E248" t="s">
        <v>139</v>
      </c>
      <c r="F248" s="23" t="str">
        <f t="shared" si="8"/>
        <v>rtdc.l.rtdc.4031:itc</v>
      </c>
      <c r="G248" s="8">
        <f t="shared" si="9"/>
        <v>42595.068229166667</v>
      </c>
    </row>
    <row r="249" spans="1:7" x14ac:dyDescent="0.25">
      <c r="A249" s="8">
        <v>42595.072916666664</v>
      </c>
      <c r="B249" t="s">
        <v>140</v>
      </c>
      <c r="C249" t="s">
        <v>158</v>
      </c>
      <c r="D249">
        <v>1300000</v>
      </c>
      <c r="E249" t="s">
        <v>137</v>
      </c>
      <c r="F249" s="23" t="str">
        <f t="shared" si="8"/>
        <v>rtdc.l.rtdc.4037:itc</v>
      </c>
      <c r="G249" s="8">
        <f t="shared" si="9"/>
        <v>42595.072916666664</v>
      </c>
    </row>
    <row r="250" spans="1:7" x14ac:dyDescent="0.25">
      <c r="A250" s="8">
        <v>42595.09070601852</v>
      </c>
      <c r="B250" t="s">
        <v>111</v>
      </c>
      <c r="C250" t="s">
        <v>163</v>
      </c>
      <c r="D250">
        <v>2100000</v>
      </c>
      <c r="E250" t="s">
        <v>136</v>
      </c>
      <c r="F250" s="23" t="str">
        <f t="shared" si="8"/>
        <v>rtdc.l.rtdc.4014:itc</v>
      </c>
      <c r="G250" s="8">
        <f t="shared" si="9"/>
        <v>42595.09070601852</v>
      </c>
    </row>
    <row r="251" spans="1:7" x14ac:dyDescent="0.25">
      <c r="A251" s="8">
        <v>42595.110555555555</v>
      </c>
      <c r="B251" t="s">
        <v>145</v>
      </c>
      <c r="C251" t="s">
        <v>161</v>
      </c>
      <c r="D251">
        <v>1300000</v>
      </c>
      <c r="E251" t="s">
        <v>137</v>
      </c>
      <c r="F251" s="23" t="str">
        <f t="shared" si="8"/>
        <v>rtdc.l.rtdc.4038:itc</v>
      </c>
      <c r="G251" s="8">
        <f t="shared" si="9"/>
        <v>42595.110555555555</v>
      </c>
    </row>
    <row r="252" spans="1:7" x14ac:dyDescent="0.25">
      <c r="F252" s="23">
        <f t="shared" si="8"/>
        <v>0</v>
      </c>
      <c r="G252" s="8">
        <f t="shared" si="9"/>
        <v>0</v>
      </c>
    </row>
    <row r="253" spans="1:7" x14ac:dyDescent="0.25">
      <c r="F253" s="23">
        <f t="shared" si="8"/>
        <v>0</v>
      </c>
      <c r="G253" s="8">
        <f t="shared" si="9"/>
        <v>0</v>
      </c>
    </row>
    <row r="254" spans="1:7" x14ac:dyDescent="0.25">
      <c r="F254" s="23">
        <f t="shared" si="8"/>
        <v>0</v>
      </c>
      <c r="G254" s="8">
        <f t="shared" si="9"/>
        <v>0</v>
      </c>
    </row>
    <row r="255" spans="1:7" x14ac:dyDescent="0.25">
      <c r="F255" s="23">
        <f t="shared" si="8"/>
        <v>0</v>
      </c>
      <c r="G255" s="8">
        <f t="shared" si="9"/>
        <v>0</v>
      </c>
    </row>
    <row r="256" spans="1:7" x14ac:dyDescent="0.25">
      <c r="F256" s="23">
        <f t="shared" si="8"/>
        <v>0</v>
      </c>
      <c r="G256" s="8">
        <f t="shared" si="9"/>
        <v>0</v>
      </c>
    </row>
    <row r="257" spans="6:7" x14ac:dyDescent="0.25">
      <c r="F257" s="23">
        <f t="shared" si="8"/>
        <v>0</v>
      </c>
      <c r="G257" s="8">
        <f t="shared" si="9"/>
        <v>0</v>
      </c>
    </row>
    <row r="258" spans="6:7" x14ac:dyDescent="0.25">
      <c r="F258" s="23">
        <f t="shared" si="8"/>
        <v>0</v>
      </c>
      <c r="G258" s="8">
        <f t="shared" si="9"/>
        <v>0</v>
      </c>
    </row>
    <row r="259" spans="6:7" x14ac:dyDescent="0.25">
      <c r="F259" s="23">
        <f t="shared" si="8"/>
        <v>0</v>
      </c>
      <c r="G259" s="8">
        <f t="shared" si="9"/>
        <v>0</v>
      </c>
    </row>
    <row r="260" spans="6:7" x14ac:dyDescent="0.25">
      <c r="F260" s="23">
        <f t="shared" si="8"/>
        <v>0</v>
      </c>
      <c r="G260" s="8">
        <f t="shared" si="9"/>
        <v>0</v>
      </c>
    </row>
    <row r="261" spans="6:7" x14ac:dyDescent="0.25">
      <c r="F261" s="23">
        <f t="shared" si="8"/>
        <v>0</v>
      </c>
      <c r="G261" s="8">
        <f t="shared" si="9"/>
        <v>0</v>
      </c>
    </row>
    <row r="262" spans="6:7" x14ac:dyDescent="0.25">
      <c r="F262" s="23">
        <f t="shared" si="8"/>
        <v>0</v>
      </c>
      <c r="G262" s="8">
        <f t="shared" si="9"/>
        <v>0</v>
      </c>
    </row>
    <row r="263" spans="6:7" x14ac:dyDescent="0.25">
      <c r="F263" s="23">
        <f t="shared" si="8"/>
        <v>0</v>
      </c>
      <c r="G263" s="8">
        <f t="shared" si="9"/>
        <v>0</v>
      </c>
    </row>
    <row r="264" spans="6:7" x14ac:dyDescent="0.25">
      <c r="F264" s="23">
        <f t="shared" si="8"/>
        <v>0</v>
      </c>
      <c r="G264" s="8">
        <f t="shared" si="9"/>
        <v>0</v>
      </c>
    </row>
    <row r="265" spans="6:7" x14ac:dyDescent="0.25">
      <c r="F265" s="23">
        <f t="shared" si="8"/>
        <v>0</v>
      </c>
      <c r="G265" s="8">
        <f t="shared" si="9"/>
        <v>0</v>
      </c>
    </row>
    <row r="266" spans="6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3">
        <f t="shared" si="10"/>
        <v>0</v>
      </c>
      <c r="G267" s="8">
        <f t="shared" si="11"/>
        <v>0</v>
      </c>
    </row>
    <row r="268" spans="6:7" x14ac:dyDescent="0.25">
      <c r="F268" s="23">
        <f t="shared" si="10"/>
        <v>0</v>
      </c>
      <c r="G268" s="8">
        <f t="shared" si="11"/>
        <v>0</v>
      </c>
    </row>
    <row r="269" spans="6:7" x14ac:dyDescent="0.25">
      <c r="F269" s="23">
        <f t="shared" si="10"/>
        <v>0</v>
      </c>
      <c r="G269" s="8">
        <f t="shared" si="11"/>
        <v>0</v>
      </c>
    </row>
    <row r="270" spans="6:7" x14ac:dyDescent="0.25">
      <c r="F270" s="23">
        <f t="shared" si="10"/>
        <v>0</v>
      </c>
      <c r="G270" s="8">
        <f t="shared" si="11"/>
        <v>0</v>
      </c>
    </row>
    <row r="271" spans="6:7" x14ac:dyDescent="0.25">
      <c r="F271" s="23">
        <f t="shared" si="10"/>
        <v>0</v>
      </c>
      <c r="G271" s="8">
        <f t="shared" si="11"/>
        <v>0</v>
      </c>
    </row>
    <row r="272" spans="6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2"/>
  <sheetViews>
    <sheetView tabSelected="1" workbookViewId="0">
      <selection activeCell="S12" sqref="S12"/>
    </sheetView>
  </sheetViews>
  <sheetFormatPr defaultRowHeight="15" x14ac:dyDescent="0.25"/>
  <cols>
    <col min="1" max="1" width="21.5703125" style="8" customWidth="1"/>
    <col min="2" max="2" width="7" bestFit="1" customWidth="1"/>
    <col min="3" max="3" width="12.28515625" bestFit="1" customWidth="1"/>
    <col min="4" max="4" width="16.7109375" bestFit="1" customWidth="1"/>
    <col min="5" max="5" width="10.85546875" bestFit="1" customWidth="1"/>
    <col min="6" max="6" width="9" bestFit="1" customWidth="1"/>
    <col min="7" max="7" width="8.5703125" bestFit="1" customWidth="1"/>
    <col min="8" max="8" width="12.7109375" bestFit="1" customWidth="1"/>
    <col min="9" max="9" width="20.85546875" bestFit="1" customWidth="1"/>
    <col min="10" max="10" width="8.7109375" bestFit="1" customWidth="1"/>
    <col min="11" max="13" width="11" bestFit="1" customWidth="1"/>
    <col min="14" max="14" width="12.140625" bestFit="1" customWidth="1"/>
    <col min="15" max="15" width="14.5703125" bestFit="1" customWidth="1"/>
    <col min="16" max="16" width="9.5703125" bestFit="1" customWidth="1"/>
    <col min="17" max="17" width="16.42578125" bestFit="1" customWidth="1"/>
  </cols>
  <sheetData>
    <row r="1" spans="1:17" x14ac:dyDescent="0.25">
      <c r="A1" s="8" t="s">
        <v>698</v>
      </c>
      <c r="B1" s="114" t="s">
        <v>699</v>
      </c>
      <c r="C1" s="114" t="s">
        <v>700</v>
      </c>
      <c r="D1" s="114" t="s">
        <v>701</v>
      </c>
      <c r="E1" s="114" t="s">
        <v>702</v>
      </c>
      <c r="F1" s="114" t="s">
        <v>703</v>
      </c>
      <c r="G1" s="114" t="s">
        <v>704</v>
      </c>
      <c r="H1" s="114" t="s">
        <v>705</v>
      </c>
      <c r="I1" s="114" t="s">
        <v>706</v>
      </c>
      <c r="J1" s="114" t="s">
        <v>707</v>
      </c>
      <c r="K1" s="114" t="s">
        <v>708</v>
      </c>
      <c r="L1" s="114" t="s">
        <v>709</v>
      </c>
      <c r="M1" s="114" t="s">
        <v>710</v>
      </c>
      <c r="N1" s="114" t="s">
        <v>711</v>
      </c>
      <c r="O1" s="114" t="s">
        <v>712</v>
      </c>
      <c r="P1" s="114" t="s">
        <v>713</v>
      </c>
      <c r="Q1" s="114" t="s">
        <v>714</v>
      </c>
    </row>
    <row r="2" spans="1:17" x14ac:dyDescent="0.25">
      <c r="A2" s="8">
        <v>42617</v>
      </c>
      <c r="B2" s="114">
        <v>278.10000000000002</v>
      </c>
      <c r="C2" s="114">
        <v>63.99</v>
      </c>
      <c r="D2" s="114" t="s">
        <v>715</v>
      </c>
      <c r="E2" s="114" t="s">
        <v>716</v>
      </c>
      <c r="F2" s="114">
        <v>0.62</v>
      </c>
      <c r="G2" s="114">
        <v>10</v>
      </c>
      <c r="H2" s="114" t="s">
        <v>717</v>
      </c>
      <c r="I2" s="114">
        <v>63.99</v>
      </c>
      <c r="J2" s="114">
        <v>1008.95</v>
      </c>
      <c r="K2" s="114">
        <v>2.5299999999999998</v>
      </c>
      <c r="L2" s="114">
        <v>0.08</v>
      </c>
      <c r="M2" s="114">
        <v>1472968800</v>
      </c>
      <c r="N2" s="114">
        <v>258</v>
      </c>
      <c r="O2" s="114">
        <v>1.1999999999999999E-3</v>
      </c>
      <c r="P2" s="114">
        <v>50.68</v>
      </c>
      <c r="Q2" s="114">
        <v>0.02</v>
      </c>
    </row>
    <row r="3" spans="1:17" x14ac:dyDescent="0.25">
      <c r="A3" s="8">
        <v>42617.041666666664</v>
      </c>
      <c r="B3" s="114">
        <v>277.8</v>
      </c>
      <c r="C3" s="114">
        <v>62.09</v>
      </c>
      <c r="D3" s="114" t="s">
        <v>715</v>
      </c>
      <c r="E3" s="114" t="s">
        <v>716</v>
      </c>
      <c r="F3" s="114">
        <v>0.63</v>
      </c>
      <c r="G3" s="114">
        <v>10</v>
      </c>
      <c r="H3" s="114" t="s">
        <v>717</v>
      </c>
      <c r="I3" s="114">
        <v>62.09</v>
      </c>
      <c r="J3" s="114">
        <v>1008.83</v>
      </c>
      <c r="K3" s="114">
        <v>2.1800000000000002</v>
      </c>
      <c r="L3" s="114">
        <v>0.05</v>
      </c>
      <c r="M3" s="114">
        <v>1472972400</v>
      </c>
      <c r="N3" s="114">
        <v>244</v>
      </c>
      <c r="O3" s="114">
        <v>8.9999999999999998E-4</v>
      </c>
      <c r="P3" s="114">
        <v>49.24</v>
      </c>
      <c r="Q3" s="114">
        <v>0.01</v>
      </c>
    </row>
    <row r="4" spans="1:17" x14ac:dyDescent="0.25">
      <c r="A4" s="8">
        <v>42617.083333333336</v>
      </c>
      <c r="B4" s="114">
        <v>277.5</v>
      </c>
      <c r="C4" s="114">
        <v>60.88</v>
      </c>
      <c r="D4" s="114" t="s">
        <v>715</v>
      </c>
      <c r="E4" s="114">
        <v>48.44</v>
      </c>
      <c r="F4" s="114">
        <v>0.64</v>
      </c>
      <c r="G4" s="114">
        <v>10</v>
      </c>
      <c r="H4" s="114" t="s">
        <v>717</v>
      </c>
      <c r="I4" s="114">
        <v>60.88</v>
      </c>
      <c r="J4" s="114">
        <v>1008.72</v>
      </c>
      <c r="K4" s="114">
        <v>2.87</v>
      </c>
      <c r="L4" s="114">
        <v>0.03</v>
      </c>
      <c r="M4" s="114">
        <v>1472976000</v>
      </c>
      <c r="N4" s="114">
        <v>223</v>
      </c>
      <c r="O4" s="114">
        <v>0</v>
      </c>
      <c r="P4" s="114">
        <v>0</v>
      </c>
      <c r="Q4" s="114"/>
    </row>
    <row r="5" spans="1:17" x14ac:dyDescent="0.25">
      <c r="A5" s="8">
        <v>42617.125</v>
      </c>
      <c r="B5" s="114">
        <v>277.2</v>
      </c>
      <c r="C5" s="114">
        <v>59.01</v>
      </c>
      <c r="D5" s="114" t="s">
        <v>715</v>
      </c>
      <c r="E5" s="114">
        <v>47</v>
      </c>
      <c r="F5" s="114">
        <v>0.64</v>
      </c>
      <c r="G5" s="114">
        <v>10</v>
      </c>
      <c r="H5" s="114" t="s">
        <v>717</v>
      </c>
      <c r="I5" s="114">
        <v>59.01</v>
      </c>
      <c r="J5" s="114">
        <v>1008.61</v>
      </c>
      <c r="K5" s="114">
        <v>2.76</v>
      </c>
      <c r="L5" s="114">
        <v>0</v>
      </c>
      <c r="M5" s="114">
        <v>1472979600</v>
      </c>
      <c r="N5" s="114">
        <v>224</v>
      </c>
      <c r="O5" s="114">
        <v>0</v>
      </c>
      <c r="P5" s="114">
        <v>0</v>
      </c>
      <c r="Q5" s="114"/>
    </row>
    <row r="6" spans="1:17" x14ac:dyDescent="0.25">
      <c r="A6" s="8">
        <v>42617.166666666664</v>
      </c>
      <c r="B6" s="114">
        <v>277.36</v>
      </c>
      <c r="C6" s="114">
        <v>57.8</v>
      </c>
      <c r="D6" s="114" t="s">
        <v>715</v>
      </c>
      <c r="E6" s="114">
        <v>45.7</v>
      </c>
      <c r="F6" s="114">
        <v>0.64</v>
      </c>
      <c r="G6" s="114">
        <v>10</v>
      </c>
      <c r="H6" s="114" t="s">
        <v>717</v>
      </c>
      <c r="I6" s="114">
        <v>57.8</v>
      </c>
      <c r="J6" s="114">
        <v>1008.94</v>
      </c>
      <c r="K6" s="114">
        <v>2.73</v>
      </c>
      <c r="L6" s="114">
        <v>0</v>
      </c>
      <c r="M6" s="114">
        <v>1472983200</v>
      </c>
      <c r="N6" s="114">
        <v>244</v>
      </c>
      <c r="O6" s="114">
        <v>0</v>
      </c>
      <c r="P6" s="114">
        <v>0</v>
      </c>
      <c r="Q6" s="114"/>
    </row>
    <row r="7" spans="1:17" x14ac:dyDescent="0.25">
      <c r="A7" s="8">
        <v>42617.208333333336</v>
      </c>
      <c r="B7" s="114">
        <v>277.7</v>
      </c>
      <c r="C7" s="114">
        <v>56.5</v>
      </c>
      <c r="D7" s="114" t="s">
        <v>715</v>
      </c>
      <c r="E7" s="114">
        <v>44.09</v>
      </c>
      <c r="F7" s="114">
        <v>0.63</v>
      </c>
      <c r="G7" s="114">
        <v>10</v>
      </c>
      <c r="H7" s="114" t="s">
        <v>717</v>
      </c>
      <c r="I7" s="114">
        <v>56.5</v>
      </c>
      <c r="J7" s="114">
        <v>1009.39</v>
      </c>
      <c r="K7" s="114">
        <v>2.25</v>
      </c>
      <c r="L7" s="114">
        <v>0</v>
      </c>
      <c r="M7" s="114">
        <v>1472986800</v>
      </c>
      <c r="N7" s="114">
        <v>248</v>
      </c>
      <c r="O7" s="114">
        <v>0</v>
      </c>
      <c r="P7" s="114">
        <v>0</v>
      </c>
      <c r="Q7" s="114"/>
    </row>
    <row r="8" spans="1:17" x14ac:dyDescent="0.25">
      <c r="A8" s="8">
        <v>42617.25</v>
      </c>
      <c r="B8" s="114">
        <v>277.89999999999998</v>
      </c>
      <c r="C8" s="114">
        <v>54.77</v>
      </c>
      <c r="D8" s="114" t="s">
        <v>715</v>
      </c>
      <c r="E8" s="114">
        <v>41.61</v>
      </c>
      <c r="F8" s="114">
        <v>0.61</v>
      </c>
      <c r="G8" s="114">
        <v>10</v>
      </c>
      <c r="H8" s="114" t="s">
        <v>717</v>
      </c>
      <c r="I8" s="114">
        <v>54.77</v>
      </c>
      <c r="J8" s="114">
        <v>1009.46</v>
      </c>
      <c r="K8" s="114">
        <v>2.2599999999999998</v>
      </c>
      <c r="L8" s="114">
        <v>0.01</v>
      </c>
      <c r="M8" s="114">
        <v>1472990400</v>
      </c>
      <c r="N8" s="114">
        <v>249</v>
      </c>
      <c r="O8" s="114">
        <v>0</v>
      </c>
      <c r="P8" s="114">
        <v>0</v>
      </c>
      <c r="Q8" s="114"/>
    </row>
    <row r="9" spans="1:17" x14ac:dyDescent="0.25">
      <c r="A9" s="8">
        <v>42617.291666666664</v>
      </c>
      <c r="B9" s="114">
        <v>277.8</v>
      </c>
      <c r="C9" s="114">
        <v>56.94</v>
      </c>
      <c r="D9" s="114" t="s">
        <v>718</v>
      </c>
      <c r="E9" s="114">
        <v>41.52</v>
      </c>
      <c r="F9" s="114">
        <v>0.56000000000000005</v>
      </c>
      <c r="G9" s="114">
        <v>10</v>
      </c>
      <c r="H9" s="114" t="s">
        <v>717</v>
      </c>
      <c r="I9" s="114">
        <v>56.94</v>
      </c>
      <c r="J9" s="114">
        <v>1008.75</v>
      </c>
      <c r="K9" s="114">
        <v>2.34</v>
      </c>
      <c r="L9" s="114">
        <v>0.03</v>
      </c>
      <c r="M9" s="114">
        <v>1472994000</v>
      </c>
      <c r="N9" s="114">
        <v>245</v>
      </c>
      <c r="O9" s="114">
        <v>0</v>
      </c>
      <c r="P9" s="114">
        <v>0</v>
      </c>
      <c r="Q9" s="114"/>
    </row>
    <row r="10" spans="1:17" x14ac:dyDescent="0.25">
      <c r="A10" s="8">
        <v>42617.333333333336</v>
      </c>
      <c r="B10" s="114">
        <v>277.56</v>
      </c>
      <c r="C10" s="114">
        <v>62.3</v>
      </c>
      <c r="D10" s="114" t="s">
        <v>718</v>
      </c>
      <c r="E10" s="114">
        <v>43.44</v>
      </c>
      <c r="F10" s="114">
        <v>0.5</v>
      </c>
      <c r="G10" s="114">
        <v>10</v>
      </c>
      <c r="H10" s="114" t="s">
        <v>717</v>
      </c>
      <c r="I10" s="114">
        <v>62.3</v>
      </c>
      <c r="J10" s="114">
        <v>1007.61</v>
      </c>
      <c r="K10" s="114">
        <v>1.99</v>
      </c>
      <c r="L10" s="114">
        <v>0.05</v>
      </c>
      <c r="M10" s="114">
        <v>1472997600</v>
      </c>
      <c r="N10" s="114">
        <v>227</v>
      </c>
      <c r="O10" s="114">
        <v>0</v>
      </c>
      <c r="P10" s="114">
        <v>0</v>
      </c>
      <c r="Q10" s="114"/>
    </row>
    <row r="11" spans="1:17" x14ac:dyDescent="0.25">
      <c r="A11" s="8">
        <v>42617.375</v>
      </c>
      <c r="B11" s="114">
        <v>277.39999999999998</v>
      </c>
      <c r="C11" s="114">
        <v>67.760000000000005</v>
      </c>
      <c r="D11" s="114" t="s">
        <v>718</v>
      </c>
      <c r="E11" s="114">
        <v>45.43</v>
      </c>
      <c r="F11" s="114">
        <v>0.45</v>
      </c>
      <c r="G11" s="114">
        <v>10</v>
      </c>
      <c r="H11" s="114" t="s">
        <v>717</v>
      </c>
      <c r="I11" s="114">
        <v>67.760000000000005</v>
      </c>
      <c r="J11" s="114">
        <v>1006.62</v>
      </c>
      <c r="K11" s="114">
        <v>2.19</v>
      </c>
      <c r="L11" s="114">
        <v>0.05</v>
      </c>
      <c r="M11" s="114">
        <v>1473001200</v>
      </c>
      <c r="N11" s="114">
        <v>200</v>
      </c>
      <c r="O11" s="114">
        <v>0</v>
      </c>
      <c r="P11" s="114">
        <v>0</v>
      </c>
      <c r="Q11" s="114"/>
    </row>
    <row r="12" spans="1:17" x14ac:dyDescent="0.25">
      <c r="A12" s="8">
        <v>42617.416666666664</v>
      </c>
      <c r="B12" s="114">
        <v>277.01</v>
      </c>
      <c r="C12" s="114">
        <v>72.069999999999993</v>
      </c>
      <c r="D12" s="114" t="s">
        <v>718</v>
      </c>
      <c r="E12" s="114">
        <v>47.12</v>
      </c>
      <c r="F12" s="114">
        <v>0.41</v>
      </c>
      <c r="G12" s="114">
        <v>10</v>
      </c>
      <c r="H12" s="114" t="s">
        <v>717</v>
      </c>
      <c r="I12" s="114">
        <v>72.069999999999993</v>
      </c>
      <c r="J12" s="114">
        <v>1006.17</v>
      </c>
      <c r="K12" s="114">
        <v>1.05</v>
      </c>
      <c r="L12" s="114">
        <v>0.04</v>
      </c>
      <c r="M12" s="114">
        <v>1473004800</v>
      </c>
      <c r="N12" s="114">
        <v>168</v>
      </c>
      <c r="O12" s="114">
        <v>0</v>
      </c>
      <c r="P12" s="114">
        <v>0</v>
      </c>
      <c r="Q12" s="114"/>
    </row>
    <row r="13" spans="1:17" x14ac:dyDescent="0.25">
      <c r="A13" s="8">
        <v>42617.458333333336</v>
      </c>
      <c r="B13" s="114">
        <v>276.69</v>
      </c>
      <c r="C13" s="114">
        <v>75.14</v>
      </c>
      <c r="D13" s="114" t="s">
        <v>718</v>
      </c>
      <c r="E13" s="114">
        <v>48.03</v>
      </c>
      <c r="F13" s="114">
        <v>0.38</v>
      </c>
      <c r="G13" s="114">
        <v>10</v>
      </c>
      <c r="H13" s="114" t="s">
        <v>717</v>
      </c>
      <c r="I13" s="114">
        <v>75.14</v>
      </c>
      <c r="J13" s="114">
        <v>1005.92</v>
      </c>
      <c r="K13" s="114">
        <v>0.46</v>
      </c>
      <c r="L13" s="114">
        <v>0.01</v>
      </c>
      <c r="M13" s="114">
        <v>1473008400</v>
      </c>
      <c r="N13" s="114">
        <v>147</v>
      </c>
      <c r="O13" s="114">
        <v>0</v>
      </c>
      <c r="P13" s="114">
        <v>0</v>
      </c>
      <c r="Q13" s="114"/>
    </row>
    <row r="14" spans="1:17" x14ac:dyDescent="0.25">
      <c r="A14" s="8">
        <v>42617.5</v>
      </c>
      <c r="B14" s="114">
        <v>277.60000000000002</v>
      </c>
      <c r="C14" s="114">
        <v>77.77</v>
      </c>
      <c r="D14" s="114" t="s">
        <v>718</v>
      </c>
      <c r="E14" s="114">
        <v>48.45</v>
      </c>
      <c r="F14" s="114">
        <v>0.36</v>
      </c>
      <c r="G14" s="114">
        <v>10</v>
      </c>
      <c r="H14" s="114" t="s">
        <v>717</v>
      </c>
      <c r="I14" s="114">
        <v>77.77</v>
      </c>
      <c r="J14" s="114">
        <v>1005.45</v>
      </c>
      <c r="K14" s="114">
        <v>0.23</v>
      </c>
      <c r="L14" s="114">
        <v>0.02</v>
      </c>
      <c r="M14" s="114">
        <v>1473012000</v>
      </c>
      <c r="N14" s="114">
        <v>143</v>
      </c>
      <c r="O14" s="114">
        <v>0</v>
      </c>
      <c r="P14" s="114">
        <v>0</v>
      </c>
      <c r="Q14" s="114"/>
    </row>
    <row r="15" spans="1:17" x14ac:dyDescent="0.25">
      <c r="A15" s="8">
        <v>42617.541666666664</v>
      </c>
      <c r="B15" s="114">
        <v>280.93</v>
      </c>
      <c r="C15" s="114">
        <v>80.72</v>
      </c>
      <c r="D15" s="114" t="s">
        <v>718</v>
      </c>
      <c r="E15" s="114" t="s">
        <v>716</v>
      </c>
      <c r="F15" s="114">
        <v>0.32</v>
      </c>
      <c r="G15" s="114">
        <v>10</v>
      </c>
      <c r="H15" s="114" t="s">
        <v>717</v>
      </c>
      <c r="I15" s="114">
        <v>79.81</v>
      </c>
      <c r="J15" s="114">
        <v>1004.56</v>
      </c>
      <c r="K15" s="114">
        <v>2.25</v>
      </c>
      <c r="L15" s="114">
        <v>0.09</v>
      </c>
      <c r="M15" s="114">
        <v>1473015600</v>
      </c>
      <c r="N15" s="114">
        <v>167</v>
      </c>
      <c r="O15" s="114">
        <v>1E-3</v>
      </c>
      <c r="P15" s="114">
        <v>48.48</v>
      </c>
      <c r="Q15" s="114">
        <v>0.01</v>
      </c>
    </row>
    <row r="16" spans="1:17" x14ac:dyDescent="0.25">
      <c r="A16" s="8">
        <v>42617.583333333336</v>
      </c>
      <c r="B16" s="114">
        <v>285.48</v>
      </c>
      <c r="C16" s="114">
        <v>82.41</v>
      </c>
      <c r="D16" s="114" t="s">
        <v>718</v>
      </c>
      <c r="E16" s="114" t="s">
        <v>716</v>
      </c>
      <c r="F16" s="114">
        <v>0.28999999999999998</v>
      </c>
      <c r="G16" s="114">
        <v>10</v>
      </c>
      <c r="H16" s="114" t="s">
        <v>717</v>
      </c>
      <c r="I16" s="114">
        <v>80.72</v>
      </c>
      <c r="J16" s="114">
        <v>1003.54</v>
      </c>
      <c r="K16" s="114">
        <v>5.37</v>
      </c>
      <c r="L16" s="114">
        <v>0.18</v>
      </c>
      <c r="M16" s="114">
        <v>1473019200</v>
      </c>
      <c r="N16" s="114">
        <v>184</v>
      </c>
      <c r="O16" s="114">
        <v>1.5E-3</v>
      </c>
      <c r="P16" s="114">
        <v>47.11</v>
      </c>
      <c r="Q16" s="114">
        <v>0.03</v>
      </c>
    </row>
    <row r="17" spans="1:17" x14ac:dyDescent="0.25">
      <c r="A17" s="8">
        <v>42617.625</v>
      </c>
      <c r="B17" s="114">
        <v>288.8</v>
      </c>
      <c r="C17" s="114">
        <v>82.75</v>
      </c>
      <c r="D17" s="114" t="s">
        <v>719</v>
      </c>
      <c r="E17" s="114" t="s">
        <v>716</v>
      </c>
      <c r="F17" s="114">
        <v>0.27</v>
      </c>
      <c r="G17" s="114">
        <v>10</v>
      </c>
      <c r="H17" s="114" t="s">
        <v>720</v>
      </c>
      <c r="I17" s="114">
        <v>80.77</v>
      </c>
      <c r="J17" s="114">
        <v>1002.68</v>
      </c>
      <c r="K17" s="114">
        <v>6.33</v>
      </c>
      <c r="L17" s="114">
        <v>0.25</v>
      </c>
      <c r="M17" s="114">
        <v>1473022800</v>
      </c>
      <c r="N17" s="114">
        <v>221</v>
      </c>
      <c r="O17" s="114">
        <v>1.6999999999999999E-3</v>
      </c>
      <c r="P17" s="114">
        <v>45.15</v>
      </c>
      <c r="Q17" s="114">
        <v>0.04</v>
      </c>
    </row>
    <row r="18" spans="1:17" x14ac:dyDescent="0.25">
      <c r="A18" s="8">
        <v>42617.666666666664</v>
      </c>
      <c r="B18" s="114">
        <v>289.67</v>
      </c>
      <c r="C18" s="114">
        <v>83.53</v>
      </c>
      <c r="D18" s="114" t="s">
        <v>718</v>
      </c>
      <c r="E18" s="114" t="s">
        <v>716</v>
      </c>
      <c r="F18" s="114">
        <v>0.25</v>
      </c>
      <c r="G18" s="114">
        <v>10</v>
      </c>
      <c r="H18" s="114" t="s">
        <v>717</v>
      </c>
      <c r="I18" s="114">
        <v>81.23</v>
      </c>
      <c r="J18" s="114">
        <v>1002.01</v>
      </c>
      <c r="K18" s="114">
        <v>7.99</v>
      </c>
      <c r="L18" s="114">
        <v>0.24</v>
      </c>
      <c r="M18" s="114">
        <v>1473026400</v>
      </c>
      <c r="N18" s="114">
        <v>200</v>
      </c>
      <c r="O18" s="114">
        <v>1.2999999999999999E-3</v>
      </c>
      <c r="P18" s="114">
        <v>44.1</v>
      </c>
      <c r="Q18" s="114">
        <v>0.02</v>
      </c>
    </row>
    <row r="19" spans="1:17" x14ac:dyDescent="0.25">
      <c r="A19" s="8">
        <v>42617.708333333336</v>
      </c>
      <c r="B19" s="114">
        <v>289.3</v>
      </c>
      <c r="C19" s="114">
        <v>82.41</v>
      </c>
      <c r="D19" s="114" t="s">
        <v>718</v>
      </c>
      <c r="E19" s="114">
        <v>41.83</v>
      </c>
      <c r="F19" s="114">
        <v>0.24</v>
      </c>
      <c r="G19" s="114">
        <v>10</v>
      </c>
      <c r="H19" s="114" t="s">
        <v>717</v>
      </c>
      <c r="I19" s="114">
        <v>80.34</v>
      </c>
      <c r="J19" s="114">
        <v>1001.52</v>
      </c>
      <c r="K19" s="114">
        <v>9.6</v>
      </c>
      <c r="L19" s="114">
        <v>0.21</v>
      </c>
      <c r="M19" s="114">
        <v>1473030000</v>
      </c>
      <c r="N19" s="114">
        <v>216</v>
      </c>
      <c r="O19" s="114">
        <v>0</v>
      </c>
      <c r="P19" s="114">
        <v>0</v>
      </c>
      <c r="Q19" s="114"/>
    </row>
    <row r="20" spans="1:17" x14ac:dyDescent="0.25">
      <c r="A20" s="8">
        <v>42617.75</v>
      </c>
      <c r="B20" s="114">
        <v>288.89999999999998</v>
      </c>
      <c r="C20" s="114">
        <v>81.28</v>
      </c>
      <c r="D20" s="114" t="s">
        <v>718</v>
      </c>
      <c r="E20" s="114">
        <v>41.79</v>
      </c>
      <c r="F20" s="114">
        <v>0.25</v>
      </c>
      <c r="G20" s="114">
        <v>10</v>
      </c>
      <c r="H20" s="114" t="s">
        <v>717</v>
      </c>
      <c r="I20" s="114">
        <v>79.64</v>
      </c>
      <c r="J20" s="114">
        <v>1001.45</v>
      </c>
      <c r="K20" s="114">
        <v>4.92</v>
      </c>
      <c r="L20" s="114">
        <v>0.11</v>
      </c>
      <c r="M20" s="114">
        <v>1473033600</v>
      </c>
      <c r="N20" s="114">
        <v>207</v>
      </c>
      <c r="O20" s="114">
        <v>0</v>
      </c>
      <c r="P20" s="114">
        <v>0</v>
      </c>
      <c r="Q20" s="114"/>
    </row>
    <row r="21" spans="1:17" x14ac:dyDescent="0.25">
      <c r="A21" s="8">
        <v>42617.791666666664</v>
      </c>
      <c r="B21" s="114">
        <v>288.73</v>
      </c>
      <c r="C21" s="114">
        <v>77.3</v>
      </c>
      <c r="D21" s="114" t="s">
        <v>718</v>
      </c>
      <c r="E21" s="114" t="s">
        <v>716</v>
      </c>
      <c r="F21" s="114">
        <v>0.3</v>
      </c>
      <c r="G21" s="114">
        <v>10</v>
      </c>
      <c r="H21" s="114" t="s">
        <v>717</v>
      </c>
      <c r="I21" s="114">
        <v>77.3</v>
      </c>
      <c r="J21" s="114">
        <v>1002.03</v>
      </c>
      <c r="K21" s="114">
        <v>3.25</v>
      </c>
      <c r="L21" s="114">
        <v>0.06</v>
      </c>
      <c r="M21" s="114">
        <v>1473037200</v>
      </c>
      <c r="N21" s="114">
        <v>215</v>
      </c>
      <c r="O21" s="114">
        <v>1.2999999999999999E-3</v>
      </c>
      <c r="P21" s="114">
        <v>43.13</v>
      </c>
      <c r="Q21" s="114">
        <v>0.02</v>
      </c>
    </row>
    <row r="22" spans="1:17" x14ac:dyDescent="0.25">
      <c r="A22" s="8">
        <v>42617.833333333336</v>
      </c>
      <c r="B22" s="114">
        <v>288.52</v>
      </c>
      <c r="C22" s="114">
        <v>71.89</v>
      </c>
      <c r="D22" s="114" t="s">
        <v>715</v>
      </c>
      <c r="E22" s="114">
        <v>45.49</v>
      </c>
      <c r="F22" s="114">
        <v>0.39</v>
      </c>
      <c r="G22" s="114">
        <v>10</v>
      </c>
      <c r="H22" s="114" t="s">
        <v>717</v>
      </c>
      <c r="I22" s="114">
        <v>71.89</v>
      </c>
      <c r="J22" s="114">
        <v>1002.9</v>
      </c>
      <c r="K22" s="114">
        <v>1.32</v>
      </c>
      <c r="L22" s="114">
        <v>0.03</v>
      </c>
      <c r="M22" s="114">
        <v>1473040800</v>
      </c>
      <c r="N22" s="114">
        <v>19</v>
      </c>
      <c r="O22" s="114">
        <v>0</v>
      </c>
      <c r="P22" s="114">
        <v>0</v>
      </c>
      <c r="Q22" s="114"/>
    </row>
    <row r="23" spans="1:17" x14ac:dyDescent="0.25">
      <c r="A23" s="8">
        <v>42617.875</v>
      </c>
      <c r="B23" s="114">
        <v>288.7</v>
      </c>
      <c r="C23" s="114">
        <v>67.81</v>
      </c>
      <c r="D23" s="114" t="s">
        <v>715</v>
      </c>
      <c r="E23" s="114">
        <v>46.51</v>
      </c>
      <c r="F23" s="114">
        <v>0.46</v>
      </c>
      <c r="G23" s="114">
        <v>10</v>
      </c>
      <c r="H23" s="114" t="s">
        <v>717</v>
      </c>
      <c r="I23" s="114">
        <v>67.81</v>
      </c>
      <c r="J23" s="114">
        <v>1003.86</v>
      </c>
      <c r="K23" s="114">
        <v>1.95</v>
      </c>
      <c r="L23" s="114">
        <v>0</v>
      </c>
      <c r="M23" s="114">
        <v>1473044400</v>
      </c>
      <c r="N23" s="114">
        <v>5</v>
      </c>
      <c r="O23" s="114">
        <v>0</v>
      </c>
      <c r="P23" s="114">
        <v>0</v>
      </c>
      <c r="Q23" s="114"/>
    </row>
    <row r="24" spans="1:17" x14ac:dyDescent="0.25">
      <c r="A24" s="8">
        <v>42617.916666666664</v>
      </c>
      <c r="B24" s="114">
        <v>289.63</v>
      </c>
      <c r="C24" s="114">
        <v>64.81</v>
      </c>
      <c r="D24" s="114" t="s">
        <v>715</v>
      </c>
      <c r="E24" s="114">
        <v>47.25</v>
      </c>
      <c r="F24" s="114">
        <v>0.53</v>
      </c>
      <c r="G24" s="114">
        <v>10</v>
      </c>
      <c r="H24" s="114" t="s">
        <v>717</v>
      </c>
      <c r="I24" s="114">
        <v>64.81</v>
      </c>
      <c r="J24" s="114">
        <v>1004.97</v>
      </c>
      <c r="K24" s="114">
        <v>2.36</v>
      </c>
      <c r="L24" s="114">
        <v>0</v>
      </c>
      <c r="M24" s="114">
        <v>1473048000</v>
      </c>
      <c r="N24" s="114">
        <v>352</v>
      </c>
      <c r="O24" s="114">
        <v>0</v>
      </c>
      <c r="P24" s="114">
        <v>0</v>
      </c>
      <c r="Q24" s="114"/>
    </row>
    <row r="25" spans="1:17" x14ac:dyDescent="0.25">
      <c r="A25" s="8">
        <v>42617.958333333336</v>
      </c>
      <c r="B25" s="114">
        <v>290.94</v>
      </c>
      <c r="C25" s="114">
        <v>62.38</v>
      </c>
      <c r="D25" s="114" t="s">
        <v>715</v>
      </c>
      <c r="E25" s="114">
        <v>48.35</v>
      </c>
      <c r="F25" s="114">
        <v>0.6</v>
      </c>
      <c r="G25" s="114">
        <v>10</v>
      </c>
      <c r="H25" s="114" t="s">
        <v>717</v>
      </c>
      <c r="I25" s="114">
        <v>62.38</v>
      </c>
      <c r="J25" s="114">
        <v>1006.23</v>
      </c>
      <c r="K25" s="114">
        <v>3.63</v>
      </c>
      <c r="L25" s="114">
        <v>0</v>
      </c>
      <c r="M25" s="114">
        <v>1473051600</v>
      </c>
      <c r="N25" s="114">
        <v>347</v>
      </c>
      <c r="O25" s="114">
        <v>0</v>
      </c>
      <c r="P25" s="114">
        <v>0</v>
      </c>
      <c r="Q25" s="114"/>
    </row>
    <row r="26" spans="1:17" x14ac:dyDescent="0.25">
      <c r="A26" s="8">
        <v>42618</v>
      </c>
      <c r="B26" s="114">
        <v>292</v>
      </c>
      <c r="C26" s="114">
        <v>60.36</v>
      </c>
      <c r="D26" s="114" t="s">
        <v>715</v>
      </c>
      <c r="E26" s="114">
        <v>47.63</v>
      </c>
      <c r="F26" s="114">
        <v>0.63</v>
      </c>
      <c r="G26" s="114">
        <v>10</v>
      </c>
      <c r="H26" s="114" t="s">
        <v>717</v>
      </c>
      <c r="I26" s="114">
        <v>60.36</v>
      </c>
      <c r="J26" s="114">
        <v>1007.37</v>
      </c>
      <c r="K26" s="114">
        <v>2.58</v>
      </c>
      <c r="L26" s="114">
        <v>0</v>
      </c>
      <c r="M26" s="114">
        <v>1473055200</v>
      </c>
      <c r="N26" s="114">
        <v>329</v>
      </c>
      <c r="O26" s="114">
        <v>0</v>
      </c>
      <c r="P26" s="114">
        <v>0</v>
      </c>
      <c r="Q26" s="114"/>
    </row>
    <row r="27" spans="1:17" x14ac:dyDescent="0.25">
      <c r="A27" s="8">
        <v>42618.041666666664</v>
      </c>
      <c r="B27" s="114">
        <v>292.33</v>
      </c>
      <c r="C27" s="114">
        <v>58.96</v>
      </c>
      <c r="D27" s="114" t="s">
        <v>715</v>
      </c>
      <c r="E27" s="114">
        <v>47.36</v>
      </c>
      <c r="F27" s="114">
        <v>0.65</v>
      </c>
      <c r="G27" s="114">
        <v>10</v>
      </c>
      <c r="H27" s="114" t="s">
        <v>717</v>
      </c>
      <c r="I27" s="114">
        <v>58.96</v>
      </c>
      <c r="J27" s="114">
        <v>1007.76</v>
      </c>
      <c r="K27" s="114">
        <v>1.7</v>
      </c>
      <c r="L27" s="114">
        <v>0.01</v>
      </c>
      <c r="M27" s="114">
        <v>1473058800</v>
      </c>
      <c r="N27" s="114">
        <v>304</v>
      </c>
      <c r="O27" s="114">
        <v>0</v>
      </c>
      <c r="P27" s="114">
        <v>0</v>
      </c>
      <c r="Q27" s="114"/>
    </row>
    <row r="28" spans="1:17" x14ac:dyDescent="0.25">
      <c r="A28" s="8">
        <v>42618.083333333336</v>
      </c>
      <c r="B28" s="114">
        <v>292.67</v>
      </c>
      <c r="C28" s="114">
        <v>57.06</v>
      </c>
      <c r="D28" s="114" t="s">
        <v>715</v>
      </c>
      <c r="E28" s="114">
        <v>46.36</v>
      </c>
      <c r="F28" s="114">
        <v>0.67</v>
      </c>
      <c r="G28" s="114">
        <v>10</v>
      </c>
      <c r="H28" s="114" t="s">
        <v>717</v>
      </c>
      <c r="I28" s="114">
        <v>57.06</v>
      </c>
      <c r="J28" s="114">
        <v>1008.13</v>
      </c>
      <c r="K28" s="114">
        <v>1.31</v>
      </c>
      <c r="L28" s="114">
        <v>0.01</v>
      </c>
      <c r="M28" s="114">
        <v>1473062400</v>
      </c>
      <c r="N28" s="114">
        <v>260</v>
      </c>
      <c r="O28" s="114">
        <v>0</v>
      </c>
      <c r="P28" s="114">
        <v>0</v>
      </c>
      <c r="Q28" s="114"/>
    </row>
    <row r="29" spans="1:17" x14ac:dyDescent="0.25">
      <c r="A29" s="8">
        <v>42618.125</v>
      </c>
      <c r="B29" s="114">
        <v>293</v>
      </c>
      <c r="C29" s="114">
        <v>55.75</v>
      </c>
      <c r="D29" s="114" t="s">
        <v>715</v>
      </c>
      <c r="E29" s="114">
        <v>45.57</v>
      </c>
      <c r="F29" s="114">
        <v>0.69</v>
      </c>
      <c r="G29" s="114">
        <v>10</v>
      </c>
      <c r="H29" s="114" t="s">
        <v>717</v>
      </c>
      <c r="I29" s="114">
        <v>55.75</v>
      </c>
      <c r="J29" s="114">
        <v>1008.46</v>
      </c>
      <c r="K29" s="114">
        <v>1.73</v>
      </c>
      <c r="L29" s="114">
        <v>0.02</v>
      </c>
      <c r="M29" s="114">
        <v>1473066000</v>
      </c>
      <c r="N29" s="114">
        <v>204</v>
      </c>
      <c r="O29" s="114">
        <v>0</v>
      </c>
      <c r="P29" s="114">
        <v>0</v>
      </c>
      <c r="Q29" s="114"/>
    </row>
    <row r="30" spans="1:17" x14ac:dyDescent="0.25">
      <c r="A30" s="8" t="s">
        <v>721</v>
      </c>
      <c r="B30" s="114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</row>
    <row r="31" spans="1:17" x14ac:dyDescent="0.25">
      <c r="A31" s="8" t="s">
        <v>722</v>
      </c>
      <c r="B31" s="114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14"/>
      <c r="N31" s="114"/>
      <c r="O31" s="114"/>
      <c r="P31" s="114"/>
      <c r="Q31" s="114"/>
    </row>
    <row r="32" spans="1:17" x14ac:dyDescent="0.25">
      <c r="B32" s="114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2" sqref="A2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115</v>
      </c>
      <c r="D1" s="74" t="s">
        <v>116</v>
      </c>
      <c r="J1" s="34" t="s">
        <v>117</v>
      </c>
      <c r="K1" s="34" t="s">
        <v>72</v>
      </c>
      <c r="L1" s="34" t="s">
        <v>73</v>
      </c>
      <c r="O1" s="77" t="s">
        <v>118</v>
      </c>
    </row>
    <row r="2" spans="1:16" ht="15.75" thickBot="1" x14ac:dyDescent="0.3">
      <c r="A2" s="14">
        <v>42617</v>
      </c>
      <c r="B2" s="4"/>
      <c r="C2" s="75">
        <v>50</v>
      </c>
      <c r="D2" s="76">
        <v>25</v>
      </c>
      <c r="F2" t="s">
        <v>141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119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142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143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144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97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98</v>
      </c>
      <c r="K19" s="36"/>
      <c r="L19" s="36"/>
      <c r="M19" s="70" t="s">
        <v>129</v>
      </c>
    </row>
    <row r="20" spans="10:13" x14ac:dyDescent="0.25">
      <c r="J20" t="s">
        <v>99</v>
      </c>
      <c r="M20" s="70" t="s">
        <v>170</v>
      </c>
    </row>
    <row r="21" spans="10:13" x14ac:dyDescent="0.25">
      <c r="J21" s="23" t="s">
        <v>102</v>
      </c>
      <c r="K21" s="23" t="s">
        <v>103</v>
      </c>
      <c r="M21" s="70" t="s">
        <v>103</v>
      </c>
    </row>
    <row r="22" spans="10:13" x14ac:dyDescent="0.25">
      <c r="J22" s="23" t="s">
        <v>104</v>
      </c>
      <c r="K22" s="23" t="s">
        <v>105</v>
      </c>
      <c r="M22" s="70" t="s">
        <v>128</v>
      </c>
    </row>
    <row r="23" spans="10:13" x14ac:dyDescent="0.25">
      <c r="J23" s="31" t="s">
        <v>107</v>
      </c>
      <c r="K23" s="23"/>
      <c r="M23" s="114">
        <v>-6</v>
      </c>
    </row>
    <row r="24" spans="10:13" x14ac:dyDescent="0.25">
      <c r="J24" s="23" t="s">
        <v>125</v>
      </c>
      <c r="K24" s="23"/>
      <c r="M24" s="70" t="s">
        <v>127</v>
      </c>
    </row>
    <row r="25" spans="10:13" x14ac:dyDescent="0.25">
      <c r="J25" t="s">
        <v>219</v>
      </c>
      <c r="M25" s="70" t="b">
        <v>1</v>
      </c>
    </row>
    <row r="26" spans="10:13" x14ac:dyDescent="0.25">
      <c r="J26" t="s">
        <v>220</v>
      </c>
      <c r="M26" s="70" t="str">
        <f>"C:\Users\stu\Documents\GitHub\eaglep3-reporting\EC\"&amp;TEXT(A2,"yyyy-mm-dd")&amp;"-refined-times.txt"</f>
        <v>C:\Users\stu\Documents\GitHub\eaglep3-reporting\EC\2016-09-04-refined-times.txt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/>
  </sheetViews>
  <sheetFormatPr defaultRowHeight="15" x14ac:dyDescent="0.25"/>
  <cols>
    <col min="1" max="1" width="32.85546875" style="143" bestFit="1" customWidth="1"/>
    <col min="2" max="7" width="9.140625" style="143"/>
    <col min="8" max="8" width="17.7109375" style="143" bestFit="1" customWidth="1"/>
    <col min="9" max="9" width="9.140625" style="145"/>
    <col min="10" max="16384" width="9.140625" style="143"/>
  </cols>
  <sheetData>
    <row r="1" spans="1:11" x14ac:dyDescent="0.25">
      <c r="A1" s="142" t="s">
        <v>184</v>
      </c>
      <c r="B1" s="142" t="s">
        <v>185</v>
      </c>
      <c r="C1" s="143" t="s">
        <v>186</v>
      </c>
      <c r="H1" t="s">
        <v>180</v>
      </c>
      <c r="I1" s="144" t="s">
        <v>182</v>
      </c>
      <c r="J1"/>
    </row>
    <row r="2" spans="1:11" x14ac:dyDescent="0.25">
      <c r="A2" s="143" t="s">
        <v>187</v>
      </c>
      <c r="B2" s="143" t="s">
        <v>188</v>
      </c>
      <c r="C2" s="143" t="s">
        <v>189</v>
      </c>
      <c r="H2" t="s">
        <v>181</v>
      </c>
      <c r="I2" s="114" t="s">
        <v>183</v>
      </c>
      <c r="J2"/>
    </row>
    <row r="3" spans="1:11" x14ac:dyDescent="0.25">
      <c r="A3" s="143" t="s">
        <v>190</v>
      </c>
      <c r="B3" s="143" t="s">
        <v>191</v>
      </c>
      <c r="C3" s="143" t="s">
        <v>192</v>
      </c>
      <c r="H3" t="s">
        <v>207</v>
      </c>
      <c r="I3" s="114">
        <v>1</v>
      </c>
      <c r="J3"/>
      <c r="K3" s="70"/>
    </row>
    <row r="4" spans="1:11" x14ac:dyDescent="0.25">
      <c r="A4" s="143" t="s">
        <v>193</v>
      </c>
      <c r="C4" s="143" t="s">
        <v>194</v>
      </c>
      <c r="H4" t="s">
        <v>208</v>
      </c>
      <c r="I4" s="114">
        <v>2</v>
      </c>
      <c r="J4"/>
      <c r="K4" s="70"/>
    </row>
    <row r="5" spans="1:11" x14ac:dyDescent="0.25">
      <c r="A5" s="143" t="s">
        <v>195</v>
      </c>
      <c r="C5" s="143" t="s">
        <v>196</v>
      </c>
      <c r="H5" t="s">
        <v>209</v>
      </c>
      <c r="I5" s="114">
        <v>23</v>
      </c>
      <c r="J5"/>
      <c r="K5" s="70"/>
    </row>
    <row r="6" spans="1:11" x14ac:dyDescent="0.25">
      <c r="A6" s="143" t="s">
        <v>197</v>
      </c>
      <c r="C6" s="143" t="s">
        <v>198</v>
      </c>
      <c r="H6" s="146" t="s">
        <v>210</v>
      </c>
      <c r="I6" s="147" t="s">
        <v>188</v>
      </c>
    </row>
    <row r="7" spans="1:11" x14ac:dyDescent="0.25">
      <c r="A7" s="143" t="s">
        <v>199</v>
      </c>
      <c r="C7" s="143" t="s">
        <v>200</v>
      </c>
    </row>
    <row r="8" spans="1:11" x14ac:dyDescent="0.25">
      <c r="C8" s="143" t="s">
        <v>201</v>
      </c>
    </row>
    <row r="9" spans="1:11" x14ac:dyDescent="0.25">
      <c r="C9" s="143" t="s">
        <v>202</v>
      </c>
    </row>
    <row r="10" spans="1:11" x14ac:dyDescent="0.25">
      <c r="C10" s="143" t="s">
        <v>203</v>
      </c>
    </row>
    <row r="11" spans="1:11" x14ac:dyDescent="0.25">
      <c r="C11" s="143" t="s">
        <v>204</v>
      </c>
    </row>
    <row r="12" spans="1:11" x14ac:dyDescent="0.25">
      <c r="C12" s="143" t="s">
        <v>205</v>
      </c>
    </row>
    <row r="13" spans="1:11" x14ac:dyDescent="0.25">
      <c r="C13" s="143" t="s">
        <v>206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2016-09-08T18:28:02Z</dcterms:modified>
</cp:coreProperties>
</file>