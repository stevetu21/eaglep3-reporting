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Runs'!$A$12:$AG$588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8" i="1" l="1"/>
  <c r="X199" i="1"/>
  <c r="K197" i="1"/>
  <c r="L197" i="1"/>
  <c r="M197" i="1"/>
  <c r="N197" i="1"/>
  <c r="V197" i="1"/>
  <c r="AA197" i="1"/>
  <c r="AB197" i="1"/>
  <c r="AC197" i="1"/>
  <c r="AD197" i="1"/>
  <c r="T197" i="1" s="1"/>
  <c r="AE197" i="1"/>
  <c r="AF197" i="1"/>
  <c r="AH197" i="1"/>
  <c r="AM197" i="1"/>
  <c r="AN197" i="1"/>
  <c r="AO197" i="1"/>
  <c r="X195" i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X190" i="1"/>
  <c r="X191" i="1"/>
  <c r="K189" i="1"/>
  <c r="L189" i="1"/>
  <c r="M189" i="1"/>
  <c r="N189" i="1" s="1"/>
  <c r="V189" i="1"/>
  <c r="AA189" i="1"/>
  <c r="AB189" i="1"/>
  <c r="AC189" i="1"/>
  <c r="AD189" i="1"/>
  <c r="T189" i="1" s="1"/>
  <c r="AE189" i="1"/>
  <c r="AF189" i="1"/>
  <c r="AH189" i="1"/>
  <c r="AM189" i="1"/>
  <c r="AN189" i="1"/>
  <c r="AO189" i="1"/>
  <c r="X187" i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X154" i="1"/>
  <c r="X155" i="1"/>
  <c r="X156" i="1"/>
  <c r="X157" i="1"/>
  <c r="X158" i="1"/>
  <c r="X159" i="1"/>
  <c r="K156" i="1"/>
  <c r="L156" i="1"/>
  <c r="M156" i="1"/>
  <c r="N156" i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54" i="1"/>
  <c r="L154" i="1"/>
  <c r="M154" i="1"/>
  <c r="N154" i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X148" i="1"/>
  <c r="X149" i="1"/>
  <c r="X150" i="1"/>
  <c r="K147" i="1"/>
  <c r="L147" i="1"/>
  <c r="M147" i="1"/>
  <c r="N147" i="1"/>
  <c r="V147" i="1"/>
  <c r="AA147" i="1"/>
  <c r="AB147" i="1"/>
  <c r="AC147" i="1"/>
  <c r="AD147" i="1"/>
  <c r="T147" i="1" s="1"/>
  <c r="AE147" i="1"/>
  <c r="AF147" i="1"/>
  <c r="AH147" i="1"/>
  <c r="AM147" i="1"/>
  <c r="AN147" i="1"/>
  <c r="AO147" i="1"/>
  <c r="X139" i="1"/>
  <c r="X140" i="1"/>
  <c r="X141" i="1"/>
  <c r="K140" i="1"/>
  <c r="L140" i="1"/>
  <c r="M140" i="1"/>
  <c r="N140" i="1"/>
  <c r="V140" i="1"/>
  <c r="AA140" i="1"/>
  <c r="AB140" i="1"/>
  <c r="AC140" i="1"/>
  <c r="AD140" i="1"/>
  <c r="T140" i="1" s="1"/>
  <c r="AE140" i="1"/>
  <c r="AF140" i="1"/>
  <c r="AH140" i="1"/>
  <c r="AM140" i="1"/>
  <c r="AN140" i="1"/>
  <c r="AO140" i="1"/>
  <c r="K138" i="1"/>
  <c r="L138" i="1"/>
  <c r="M138" i="1"/>
  <c r="N138" i="1"/>
  <c r="V138" i="1"/>
  <c r="AA138" i="1"/>
  <c r="AB138" i="1"/>
  <c r="AC138" i="1"/>
  <c r="AD138" i="1"/>
  <c r="T138" i="1" s="1"/>
  <c r="AE138" i="1"/>
  <c r="AF138" i="1"/>
  <c r="AH138" i="1"/>
  <c r="AM138" i="1"/>
  <c r="AN138" i="1"/>
  <c r="AO138" i="1"/>
  <c r="X132" i="1"/>
  <c r="X133" i="1"/>
  <c r="K131" i="1"/>
  <c r="L131" i="1"/>
  <c r="M131" i="1"/>
  <c r="N131" i="1"/>
  <c r="V131" i="1"/>
  <c r="AA131" i="1"/>
  <c r="AB131" i="1"/>
  <c r="AC131" i="1"/>
  <c r="AD131" i="1"/>
  <c r="T131" i="1" s="1"/>
  <c r="AE131" i="1"/>
  <c r="AF131" i="1"/>
  <c r="AH131" i="1"/>
  <c r="AM131" i="1"/>
  <c r="AN131" i="1"/>
  <c r="AO131" i="1"/>
  <c r="AG197" i="1"/>
  <c r="AG194" i="1"/>
  <c r="AG189" i="1"/>
  <c r="AG186" i="1"/>
  <c r="AG156" i="1"/>
  <c r="AG154" i="1"/>
  <c r="AG147" i="1"/>
  <c r="AG140" i="1"/>
  <c r="AG138" i="1"/>
  <c r="AG131" i="1"/>
  <c r="AI197" i="1" l="1"/>
  <c r="U197" i="1"/>
  <c r="S197" i="1" s="1"/>
  <c r="W197" i="1"/>
  <c r="X197" i="1"/>
  <c r="AI194" i="1"/>
  <c r="U194" i="1"/>
  <c r="S194" i="1" s="1"/>
  <c r="W194" i="1"/>
  <c r="X194" i="1"/>
  <c r="AI189" i="1"/>
  <c r="U189" i="1"/>
  <c r="S189" i="1" s="1"/>
  <c r="W189" i="1"/>
  <c r="X189" i="1"/>
  <c r="AI186" i="1"/>
  <c r="U186" i="1"/>
  <c r="S186" i="1" s="1"/>
  <c r="W186" i="1"/>
  <c r="X186" i="1"/>
  <c r="AI156" i="1"/>
  <c r="U156" i="1"/>
  <c r="S156" i="1" s="1"/>
  <c r="W156" i="1"/>
  <c r="AI154" i="1"/>
  <c r="U154" i="1"/>
  <c r="S154" i="1" s="1"/>
  <c r="W154" i="1"/>
  <c r="U147" i="1"/>
  <c r="S147" i="1" s="1"/>
  <c r="AI147" i="1"/>
  <c r="W147" i="1"/>
  <c r="X147" i="1"/>
  <c r="AI140" i="1"/>
  <c r="U140" i="1"/>
  <c r="S140" i="1" s="1"/>
  <c r="W140" i="1"/>
  <c r="AI138" i="1"/>
  <c r="U138" i="1"/>
  <c r="S138" i="1" s="1"/>
  <c r="W138" i="1"/>
  <c r="X138" i="1"/>
  <c r="AI131" i="1"/>
  <c r="U131" i="1"/>
  <c r="S131" i="1" s="1"/>
  <c r="W131" i="1"/>
  <c r="X131" i="1"/>
  <c r="X122" i="1"/>
  <c r="K121" i="1"/>
  <c r="L121" i="1"/>
  <c r="M121" i="1"/>
  <c r="N121" i="1"/>
  <c r="V121" i="1"/>
  <c r="AA121" i="1"/>
  <c r="AB121" i="1"/>
  <c r="AC121" i="1"/>
  <c r="AD121" i="1"/>
  <c r="T121" i="1" s="1"/>
  <c r="AE121" i="1"/>
  <c r="AF121" i="1"/>
  <c r="AH121" i="1"/>
  <c r="AM121" i="1"/>
  <c r="AN121" i="1"/>
  <c r="AO121" i="1"/>
  <c r="K120" i="1"/>
  <c r="L120" i="1"/>
  <c r="M120" i="1"/>
  <c r="N120" i="1" s="1"/>
  <c r="V120" i="1"/>
  <c r="AA120" i="1"/>
  <c r="AB120" i="1"/>
  <c r="AC120" i="1"/>
  <c r="AD120" i="1"/>
  <c r="T120" i="1" s="1"/>
  <c r="AE120" i="1"/>
  <c r="AF120" i="1"/>
  <c r="AH120" i="1"/>
  <c r="AM120" i="1"/>
  <c r="AN120" i="1"/>
  <c r="AO120" i="1"/>
  <c r="X117" i="1"/>
  <c r="K116" i="1"/>
  <c r="L116" i="1"/>
  <c r="M116" i="1"/>
  <c r="N116" i="1"/>
  <c r="V116" i="1"/>
  <c r="AA116" i="1"/>
  <c r="AB116" i="1"/>
  <c r="AC116" i="1"/>
  <c r="AD116" i="1"/>
  <c r="T116" i="1" s="1"/>
  <c r="AE116" i="1"/>
  <c r="AF116" i="1"/>
  <c r="AH116" i="1"/>
  <c r="AM116" i="1"/>
  <c r="AN116" i="1"/>
  <c r="AO116" i="1"/>
  <c r="X70" i="1"/>
  <c r="X71" i="1"/>
  <c r="K69" i="1"/>
  <c r="L69" i="1"/>
  <c r="M69" i="1"/>
  <c r="N69" i="1"/>
  <c r="V69" i="1"/>
  <c r="AA69" i="1"/>
  <c r="AB69" i="1"/>
  <c r="AC69" i="1"/>
  <c r="AD69" i="1"/>
  <c r="T69" i="1" s="1"/>
  <c r="AE69" i="1"/>
  <c r="AF69" i="1"/>
  <c r="AH69" i="1"/>
  <c r="AM69" i="1"/>
  <c r="AN69" i="1"/>
  <c r="AO69" i="1"/>
  <c r="K26" i="1"/>
  <c r="L26" i="1"/>
  <c r="M26" i="1"/>
  <c r="V26" i="1"/>
  <c r="Y26" i="1"/>
  <c r="Z26" i="1"/>
  <c r="AA26" i="1" s="1"/>
  <c r="AB26" i="1"/>
  <c r="AC26" i="1"/>
  <c r="AD26" i="1"/>
  <c r="T26" i="1" s="1"/>
  <c r="AE26" i="1"/>
  <c r="AF26" i="1"/>
  <c r="AG121" i="1"/>
  <c r="AG120" i="1"/>
  <c r="AG116" i="1"/>
  <c r="AG69" i="1"/>
  <c r="AG26" i="1"/>
  <c r="U121" i="1" l="1"/>
  <c r="S121" i="1" s="1"/>
  <c r="AI121" i="1"/>
  <c r="W121" i="1"/>
  <c r="X121" i="1"/>
  <c r="AI120" i="1"/>
  <c r="U120" i="1"/>
  <c r="S120" i="1" s="1"/>
  <c r="W120" i="1"/>
  <c r="X120" i="1"/>
  <c r="AI116" i="1"/>
  <c r="U116" i="1"/>
  <c r="S116" i="1" s="1"/>
  <c r="W116" i="1"/>
  <c r="X116" i="1"/>
  <c r="AI69" i="1"/>
  <c r="U69" i="1"/>
  <c r="S69" i="1" s="1"/>
  <c r="W69" i="1"/>
  <c r="X69" i="1"/>
  <c r="U26" i="1"/>
  <c r="W26" i="1"/>
  <c r="AH26" i="1"/>
  <c r="AI26" i="1"/>
  <c r="AM26" i="1"/>
  <c r="AN26" i="1"/>
  <c r="AO26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X26" i="1" s="1"/>
  <c r="AE25" i="1"/>
  <c r="AF25" i="1"/>
  <c r="AH25" i="1"/>
  <c r="AM25" i="1"/>
  <c r="AN25" i="1"/>
  <c r="AO25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7" i="3" s="1"/>
  <c r="Y39" i="1"/>
  <c r="Z39" i="1"/>
  <c r="AB39" i="1"/>
  <c r="AC39" i="1"/>
  <c r="AD39" i="1"/>
  <c r="AE39" i="1"/>
  <c r="R7" i="3" s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S19" i="3" s="1"/>
  <c r="Y53" i="1"/>
  <c r="Z53" i="1"/>
  <c r="AB53" i="1"/>
  <c r="AC53" i="1"/>
  <c r="AD53" i="1"/>
  <c r="AE53" i="1"/>
  <c r="R19" i="3" s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S20" i="3" s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S16" i="3" s="1"/>
  <c r="Y74" i="1"/>
  <c r="Z74" i="1"/>
  <c r="AB74" i="1"/>
  <c r="AC74" i="1"/>
  <c r="AD74" i="1"/>
  <c r="T74" i="1" s="1"/>
  <c r="AE74" i="1"/>
  <c r="R16" i="3" s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S9" i="3" s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X92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S8" i="3" s="1"/>
  <c r="Y93" i="1"/>
  <c r="Z93" i="1"/>
  <c r="AB93" i="1"/>
  <c r="AC93" i="1"/>
  <c r="AD93" i="1"/>
  <c r="T93" i="1" s="1"/>
  <c r="AE93" i="1"/>
  <c r="R8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X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X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S12" i="3" s="1"/>
  <c r="Y130" i="1"/>
  <c r="Z130" i="1"/>
  <c r="AB130" i="1"/>
  <c r="AC130" i="1"/>
  <c r="AD130" i="1"/>
  <c r="AE130" i="1"/>
  <c r="R18" i="3" s="1"/>
  <c r="AF130" i="1"/>
  <c r="AH130" i="1"/>
  <c r="AM130" i="1"/>
  <c r="AN130" i="1"/>
  <c r="AO130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S17" i="3" s="1"/>
  <c r="Y135" i="1"/>
  <c r="Z135" i="1"/>
  <c r="AB135" i="1"/>
  <c r="AC135" i="1"/>
  <c r="AD135" i="1"/>
  <c r="AE135" i="1"/>
  <c r="R15" i="3" s="1"/>
  <c r="AF135" i="1"/>
  <c r="AH135" i="1"/>
  <c r="AM135" i="1"/>
  <c r="AN135" i="1"/>
  <c r="AO135" i="1"/>
  <c r="K136" i="1"/>
  <c r="L136" i="1"/>
  <c r="M136" i="1"/>
  <c r="N136" i="1" s="1"/>
  <c r="V136" i="1"/>
  <c r="S13" i="3" s="1"/>
  <c r="Y136" i="1"/>
  <c r="Z136" i="1"/>
  <c r="AB136" i="1"/>
  <c r="AC136" i="1"/>
  <c r="AD136" i="1"/>
  <c r="T136" i="1" s="1"/>
  <c r="AE136" i="1"/>
  <c r="R13" i="3" s="1"/>
  <c r="AF136" i="1"/>
  <c r="AH136" i="1"/>
  <c r="AM136" i="1"/>
  <c r="AN136" i="1"/>
  <c r="AO136" i="1"/>
  <c r="K137" i="1"/>
  <c r="L137" i="1"/>
  <c r="M137" i="1"/>
  <c r="N137" i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AO137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8" i="1"/>
  <c r="L148" i="1"/>
  <c r="M148" i="1"/>
  <c r="N148" i="1" s="1"/>
  <c r="V148" i="1"/>
  <c r="S14" i="3" s="1"/>
  <c r="Y148" i="1"/>
  <c r="Z148" i="1"/>
  <c r="AB148" i="1"/>
  <c r="AC148" i="1"/>
  <c r="AD148" i="1"/>
  <c r="T148" i="1" s="1"/>
  <c r="AE148" i="1"/>
  <c r="R14" i="3" s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AO15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S27" i="3" s="1"/>
  <c r="Y209" i="1"/>
  <c r="Z209" i="1"/>
  <c r="AB209" i="1"/>
  <c r="AC209" i="1"/>
  <c r="AD209" i="1"/>
  <c r="T209" i="1" s="1"/>
  <c r="AE209" i="1"/>
  <c r="R27" i="3" s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69" i="1"/>
  <c r="AM169" i="1"/>
  <c r="AN169" i="1"/>
  <c r="AO169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170" i="1"/>
  <c r="AM170" i="1"/>
  <c r="AN170" i="1"/>
  <c r="AO17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1" i="1"/>
  <c r="AM171" i="1"/>
  <c r="AN171" i="1"/>
  <c r="AO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AO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AO173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S35" i="3" s="1"/>
  <c r="Y230" i="1"/>
  <c r="Z230" i="1"/>
  <c r="AB230" i="1"/>
  <c r="AC230" i="1"/>
  <c r="AD230" i="1"/>
  <c r="T230" i="1" s="1"/>
  <c r="AE230" i="1"/>
  <c r="R32" i="3" s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AO177" i="1"/>
  <c r="K232" i="1"/>
  <c r="L232" i="1"/>
  <c r="M232" i="1"/>
  <c r="N232" i="1" s="1"/>
  <c r="V232" i="1"/>
  <c r="Y232" i="1"/>
  <c r="Z232" i="1"/>
  <c r="AB232" i="1"/>
  <c r="AC232" i="1"/>
  <c r="AD232" i="1"/>
  <c r="X232" i="1" s="1"/>
  <c r="AE232" i="1"/>
  <c r="AF232" i="1"/>
  <c r="AH178" i="1"/>
  <c r="AM178" i="1"/>
  <c r="AN178" i="1"/>
  <c r="AO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AO180" i="1"/>
  <c r="K235" i="1"/>
  <c r="L235" i="1"/>
  <c r="M235" i="1"/>
  <c r="N235" i="1" s="1"/>
  <c r="V235" i="1"/>
  <c r="S34" i="3" s="1"/>
  <c r="Y235" i="1"/>
  <c r="Z235" i="1"/>
  <c r="AB235" i="1"/>
  <c r="AC235" i="1"/>
  <c r="AD235" i="1"/>
  <c r="AE235" i="1"/>
  <c r="R31" i="3" s="1"/>
  <c r="AF235" i="1"/>
  <c r="AH181" i="1"/>
  <c r="AM181" i="1"/>
  <c r="AN181" i="1"/>
  <c r="AO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A237" i="1" s="1"/>
  <c r="AB237" i="1"/>
  <c r="AC237" i="1"/>
  <c r="AD237" i="1"/>
  <c r="AE237" i="1"/>
  <c r="AF237" i="1"/>
  <c r="AH183" i="1"/>
  <c r="AM183" i="1"/>
  <c r="AN183" i="1"/>
  <c r="AO183" i="1"/>
  <c r="K238" i="1"/>
  <c r="L238" i="1"/>
  <c r="M238" i="1"/>
  <c r="N238" i="1" s="1"/>
  <c r="V238" i="1"/>
  <c r="S36" i="3" s="1"/>
  <c r="Y238" i="1"/>
  <c r="Z238" i="1"/>
  <c r="AB238" i="1"/>
  <c r="AC238" i="1"/>
  <c r="AD238" i="1"/>
  <c r="T238" i="1" s="1"/>
  <c r="AE238" i="1"/>
  <c r="R36" i="3" s="1"/>
  <c r="AF238" i="1"/>
  <c r="AH184" i="1"/>
  <c r="AM184" i="1"/>
  <c r="AN184" i="1"/>
  <c r="AO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AO185" i="1"/>
  <c r="K240" i="1"/>
  <c r="L240" i="1"/>
  <c r="M240" i="1"/>
  <c r="N240" i="1" s="1"/>
  <c r="V240" i="1"/>
  <c r="S33" i="3" s="1"/>
  <c r="Y240" i="1"/>
  <c r="Z240" i="1"/>
  <c r="AB240" i="1"/>
  <c r="AC240" i="1"/>
  <c r="AD240" i="1"/>
  <c r="T240" i="1" s="1"/>
  <c r="AE240" i="1"/>
  <c r="R33" i="3" s="1"/>
  <c r="AF240" i="1"/>
  <c r="AH187" i="1"/>
  <c r="AM187" i="1"/>
  <c r="AN187" i="1"/>
  <c r="AO187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8" i="1"/>
  <c r="AM188" i="1"/>
  <c r="AN188" i="1"/>
  <c r="AO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0" i="1"/>
  <c r="AM190" i="1"/>
  <c r="AN190" i="1"/>
  <c r="AO190" i="1"/>
  <c r="K243" i="1"/>
  <c r="L243" i="1"/>
  <c r="M243" i="1"/>
  <c r="N243" i="1"/>
  <c r="V243" i="1"/>
  <c r="Y243" i="1"/>
  <c r="Z243" i="1"/>
  <c r="AB243" i="1"/>
  <c r="AC243" i="1"/>
  <c r="AD243" i="1"/>
  <c r="AE243" i="1"/>
  <c r="AF243" i="1"/>
  <c r="AH191" i="1"/>
  <c r="AM191" i="1"/>
  <c r="AN191" i="1"/>
  <c r="AO19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2" i="1"/>
  <c r="AM192" i="1"/>
  <c r="AN192" i="1"/>
  <c r="AO1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3" i="1"/>
  <c r="AM193" i="1"/>
  <c r="AN193" i="1"/>
  <c r="AO1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AM195" i="1"/>
  <c r="AN195" i="1"/>
  <c r="AO1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6" i="1"/>
  <c r="AM196" i="1"/>
  <c r="AN196" i="1"/>
  <c r="AO1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8" i="1"/>
  <c r="AM198" i="1"/>
  <c r="AN198" i="1"/>
  <c r="AO198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9" i="1"/>
  <c r="AM199" i="1"/>
  <c r="AN199" i="1"/>
  <c r="AO199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200" i="1"/>
  <c r="AM200" i="1"/>
  <c r="AN200" i="1"/>
  <c r="AO200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201" i="1"/>
  <c r="AM201" i="1"/>
  <c r="AN201" i="1"/>
  <c r="AO2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2" i="1"/>
  <c r="AM202" i="1"/>
  <c r="AN202" i="1"/>
  <c r="AO2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3" i="1"/>
  <c r="AM203" i="1"/>
  <c r="AN203" i="1"/>
  <c r="AO2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4" i="1"/>
  <c r="AM204" i="1"/>
  <c r="AN204" i="1"/>
  <c r="AO20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5" i="1"/>
  <c r="AM205" i="1"/>
  <c r="AN205" i="1"/>
  <c r="AO2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6" i="1"/>
  <c r="AM206" i="1"/>
  <c r="AN206" i="1"/>
  <c r="AO2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7" i="1"/>
  <c r="AM207" i="1"/>
  <c r="AN207" i="1"/>
  <c r="AO207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08" i="1"/>
  <c r="AM208" i="1"/>
  <c r="AN208" i="1"/>
  <c r="AO20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9" i="1"/>
  <c r="AM209" i="1"/>
  <c r="AN209" i="1"/>
  <c r="AO2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0" i="1"/>
  <c r="AM210" i="1"/>
  <c r="AN210" i="1"/>
  <c r="AO2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1" i="1"/>
  <c r="AM211" i="1"/>
  <c r="AN211" i="1"/>
  <c r="AO211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2" i="1"/>
  <c r="AM212" i="1"/>
  <c r="AN212" i="1"/>
  <c r="AO2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3" i="1"/>
  <c r="AM213" i="1"/>
  <c r="AN213" i="1"/>
  <c r="AO213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214" i="1"/>
  <c r="AM214" i="1"/>
  <c r="AN214" i="1"/>
  <c r="AO2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5" i="1"/>
  <c r="AM215" i="1"/>
  <c r="AN215" i="1"/>
  <c r="AO2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6" i="1"/>
  <c r="AM216" i="1"/>
  <c r="AN216" i="1"/>
  <c r="AO2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7" i="1"/>
  <c r="AM217" i="1"/>
  <c r="AN217" i="1"/>
  <c r="AO2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8" i="1"/>
  <c r="AM218" i="1"/>
  <c r="AN218" i="1"/>
  <c r="AO2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9" i="1"/>
  <c r="AM219" i="1"/>
  <c r="AN219" i="1"/>
  <c r="AO2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0" i="1"/>
  <c r="AM220" i="1"/>
  <c r="AN220" i="1"/>
  <c r="AO220" i="1"/>
  <c r="K185" i="1"/>
  <c r="L185" i="1"/>
  <c r="M185" i="1"/>
  <c r="N185" i="1" s="1"/>
  <c r="V185" i="1"/>
  <c r="S26" i="3" s="1"/>
  <c r="Y185" i="1"/>
  <c r="Z185" i="1"/>
  <c r="AB185" i="1"/>
  <c r="AC185" i="1"/>
  <c r="AD185" i="1"/>
  <c r="AE185" i="1"/>
  <c r="R26" i="3" s="1"/>
  <c r="AF185" i="1"/>
  <c r="AH221" i="1"/>
  <c r="AM221" i="1"/>
  <c r="AN221" i="1"/>
  <c r="AO2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2" i="1"/>
  <c r="AM222" i="1"/>
  <c r="AN222" i="1"/>
  <c r="AO2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3" i="1"/>
  <c r="AM223" i="1"/>
  <c r="AN223" i="1"/>
  <c r="AO223" i="1"/>
  <c r="K190" i="1"/>
  <c r="L190" i="1"/>
  <c r="M190" i="1"/>
  <c r="N190" i="1" s="1"/>
  <c r="V190" i="1"/>
  <c r="S23" i="3" s="1"/>
  <c r="Y190" i="1"/>
  <c r="Z190" i="1"/>
  <c r="AA190" i="1" s="1"/>
  <c r="AB190" i="1"/>
  <c r="AC190" i="1"/>
  <c r="AD190" i="1"/>
  <c r="T190" i="1" s="1"/>
  <c r="AE190" i="1"/>
  <c r="R23" i="3" s="1"/>
  <c r="AF190" i="1"/>
  <c r="AH224" i="1"/>
  <c r="AM224" i="1"/>
  <c r="AN224" i="1"/>
  <c r="AO224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25" i="1"/>
  <c r="AM225" i="1"/>
  <c r="AN225" i="1"/>
  <c r="AO22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6" i="1"/>
  <c r="AM226" i="1"/>
  <c r="AN226" i="1"/>
  <c r="AO22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7" i="1"/>
  <c r="AM227" i="1"/>
  <c r="AN227" i="1"/>
  <c r="AO227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8" i="1"/>
  <c r="AM228" i="1"/>
  <c r="AN228" i="1"/>
  <c r="AO228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229" i="1"/>
  <c r="AM229" i="1"/>
  <c r="AN229" i="1"/>
  <c r="AO229" i="1"/>
  <c r="K198" i="1"/>
  <c r="L198" i="1"/>
  <c r="M198" i="1"/>
  <c r="N198" i="1" s="1"/>
  <c r="V198" i="1"/>
  <c r="S25" i="3" s="1"/>
  <c r="Y198" i="1"/>
  <c r="Z198" i="1"/>
  <c r="AB198" i="1"/>
  <c r="AC198" i="1"/>
  <c r="AD198" i="1"/>
  <c r="T198" i="1" s="1"/>
  <c r="AE198" i="1"/>
  <c r="R25" i="3" s="1"/>
  <c r="AF198" i="1"/>
  <c r="AH230" i="1"/>
  <c r="AM230" i="1"/>
  <c r="AN230" i="1"/>
  <c r="AO230" i="1"/>
  <c r="K199" i="1"/>
  <c r="L199" i="1"/>
  <c r="M199" i="1"/>
  <c r="N199" i="1" s="1"/>
  <c r="V199" i="1"/>
  <c r="S21" i="3" s="1"/>
  <c r="Y199" i="1"/>
  <c r="Z199" i="1"/>
  <c r="AB199" i="1"/>
  <c r="AC199" i="1"/>
  <c r="AD199" i="1"/>
  <c r="AE199" i="1"/>
  <c r="R21" i="3" s="1"/>
  <c r="AF199" i="1"/>
  <c r="AH231" i="1"/>
  <c r="AM231" i="1"/>
  <c r="AN231" i="1"/>
  <c r="AO23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2" i="1"/>
  <c r="AM232" i="1"/>
  <c r="AN232" i="1"/>
  <c r="AO23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3" i="1"/>
  <c r="AM233" i="1"/>
  <c r="AN233" i="1"/>
  <c r="AO233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34" i="1"/>
  <c r="AM234" i="1"/>
  <c r="AN234" i="1"/>
  <c r="AO23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5" i="1"/>
  <c r="AM235" i="1"/>
  <c r="AN235" i="1"/>
  <c r="AO2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6" i="1"/>
  <c r="AM236" i="1"/>
  <c r="AN236" i="1"/>
  <c r="AO23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7" i="1"/>
  <c r="AM237" i="1"/>
  <c r="AN237" i="1"/>
  <c r="AO237" i="1"/>
  <c r="K206" i="1"/>
  <c r="L206" i="1"/>
  <c r="M206" i="1"/>
  <c r="N206" i="1" s="1"/>
  <c r="T206" i="1"/>
  <c r="V206" i="1"/>
  <c r="Y206" i="1"/>
  <c r="AA206" i="1" s="1"/>
  <c r="Z206" i="1"/>
  <c r="AB206" i="1"/>
  <c r="AC206" i="1"/>
  <c r="AD206" i="1"/>
  <c r="AE206" i="1"/>
  <c r="AF206" i="1"/>
  <c r="AH238" i="1"/>
  <c r="AM238" i="1"/>
  <c r="AN238" i="1"/>
  <c r="AO238" i="1"/>
  <c r="K218" i="1"/>
  <c r="L218" i="1"/>
  <c r="M218" i="1"/>
  <c r="N218" i="1" s="1"/>
  <c r="V218" i="1"/>
  <c r="S29" i="3" s="1"/>
  <c r="Y218" i="1"/>
  <c r="Z218" i="1"/>
  <c r="AB218" i="1"/>
  <c r="AC218" i="1"/>
  <c r="AD218" i="1"/>
  <c r="X218" i="1" s="1"/>
  <c r="AE218" i="1"/>
  <c r="R29" i="3" s="1"/>
  <c r="AF218" i="1"/>
  <c r="AH239" i="1"/>
  <c r="AM239" i="1"/>
  <c r="AN239" i="1"/>
  <c r="AO239" i="1"/>
  <c r="K219" i="1"/>
  <c r="L219" i="1"/>
  <c r="M219" i="1"/>
  <c r="N219" i="1" s="1"/>
  <c r="V219" i="1"/>
  <c r="Y219" i="1"/>
  <c r="AA219" i="1" s="1"/>
  <c r="Z219" i="1"/>
  <c r="AB219" i="1"/>
  <c r="AC219" i="1"/>
  <c r="AD219" i="1"/>
  <c r="T219" i="1" s="1"/>
  <c r="AE219" i="1"/>
  <c r="AF219" i="1"/>
  <c r="AH240" i="1"/>
  <c r="AM240" i="1"/>
  <c r="AN240" i="1"/>
  <c r="AO24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1" i="1"/>
  <c r="AM241" i="1"/>
  <c r="AN241" i="1"/>
  <c r="AO24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2" i="1"/>
  <c r="AM242" i="1"/>
  <c r="AN242" i="1"/>
  <c r="AO24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3" i="1"/>
  <c r="AM243" i="1"/>
  <c r="AN243" i="1"/>
  <c r="AO243" i="1"/>
  <c r="M27" i="3"/>
  <c r="U27" i="3"/>
  <c r="T27" i="3" s="1"/>
  <c r="V27" i="3"/>
  <c r="X27" i="3"/>
  <c r="M29" i="3"/>
  <c r="U29" i="3"/>
  <c r="AD29" i="3" s="1"/>
  <c r="V29" i="3"/>
  <c r="X29" i="3"/>
  <c r="M7" i="3"/>
  <c r="U7" i="3"/>
  <c r="AC7" i="3" s="1"/>
  <c r="V7" i="3"/>
  <c r="X7" i="3"/>
  <c r="M19" i="3"/>
  <c r="U19" i="3"/>
  <c r="AC19" i="3" s="1"/>
  <c r="V19" i="3"/>
  <c r="X19" i="3"/>
  <c r="M20" i="3"/>
  <c r="R20" i="3"/>
  <c r="U20" i="3"/>
  <c r="V20" i="3"/>
  <c r="X20" i="3"/>
  <c r="M35" i="3"/>
  <c r="U35" i="3"/>
  <c r="AC35" i="3" s="1"/>
  <c r="V35" i="3"/>
  <c r="X35" i="3"/>
  <c r="M34" i="3"/>
  <c r="U34" i="3"/>
  <c r="T34" i="3" s="1"/>
  <c r="V34" i="3"/>
  <c r="X34" i="3"/>
  <c r="M30" i="3"/>
  <c r="U30" i="3"/>
  <c r="V30" i="3"/>
  <c r="X30" i="3"/>
  <c r="M31" i="3"/>
  <c r="U31" i="3"/>
  <c r="AC31" i="3" s="1"/>
  <c r="V31" i="3"/>
  <c r="X31" i="3"/>
  <c r="M16" i="3"/>
  <c r="U16" i="3"/>
  <c r="AC16" i="3" s="1"/>
  <c r="V16" i="3"/>
  <c r="X16" i="3"/>
  <c r="M32" i="3"/>
  <c r="U32" i="3"/>
  <c r="V32" i="3"/>
  <c r="X32" i="3"/>
  <c r="M9" i="3"/>
  <c r="R9" i="3"/>
  <c r="U9" i="3"/>
  <c r="AC9" i="3" s="1"/>
  <c r="V9" i="3"/>
  <c r="X9" i="3"/>
  <c r="M36" i="3"/>
  <c r="U36" i="3"/>
  <c r="AC36" i="3" s="1"/>
  <c r="V36" i="3"/>
  <c r="X36" i="3"/>
  <c r="M8" i="3"/>
  <c r="U8" i="3"/>
  <c r="T8" i="3" s="1"/>
  <c r="V8" i="3"/>
  <c r="X8" i="3"/>
  <c r="M33" i="3"/>
  <c r="U33" i="3"/>
  <c r="AC33" i="3" s="1"/>
  <c r="V33" i="3"/>
  <c r="X33" i="3"/>
  <c r="M22" i="3"/>
  <c r="U22" i="3"/>
  <c r="AC22" i="3" s="1"/>
  <c r="V22" i="3"/>
  <c r="X22" i="3"/>
  <c r="M26" i="3"/>
  <c r="U26" i="3"/>
  <c r="T26" i="3" s="1"/>
  <c r="V26" i="3"/>
  <c r="X26" i="3"/>
  <c r="M24" i="3"/>
  <c r="R24" i="3"/>
  <c r="S24" i="3"/>
  <c r="U24" i="3"/>
  <c r="V24" i="3"/>
  <c r="X24" i="3"/>
  <c r="M23" i="3"/>
  <c r="U23" i="3"/>
  <c r="AC23" i="3" s="1"/>
  <c r="V23" i="3"/>
  <c r="X23" i="3"/>
  <c r="M37" i="3"/>
  <c r="U37" i="3"/>
  <c r="AC37" i="3" s="1"/>
  <c r="V37" i="3"/>
  <c r="X37" i="3"/>
  <c r="M12" i="3"/>
  <c r="U12" i="3"/>
  <c r="T12" i="3" s="1"/>
  <c r="V12" i="3"/>
  <c r="X12" i="3"/>
  <c r="M18" i="3"/>
  <c r="U18" i="3"/>
  <c r="V18" i="3"/>
  <c r="X18" i="3"/>
  <c r="M21" i="3"/>
  <c r="U21" i="3"/>
  <c r="AC21" i="3" s="1"/>
  <c r="V21" i="3"/>
  <c r="X21" i="3"/>
  <c r="M13" i="3"/>
  <c r="U13" i="3"/>
  <c r="AC13" i="3" s="1"/>
  <c r="V13" i="3"/>
  <c r="X13" i="3"/>
  <c r="M25" i="3"/>
  <c r="U25" i="3"/>
  <c r="T25" i="3" s="1"/>
  <c r="V25" i="3"/>
  <c r="X25" i="3"/>
  <c r="M17" i="3"/>
  <c r="U17" i="3"/>
  <c r="V17" i="3"/>
  <c r="X17" i="3"/>
  <c r="M15" i="3"/>
  <c r="U15" i="3"/>
  <c r="AC15" i="3" s="1"/>
  <c r="V15" i="3"/>
  <c r="X15" i="3"/>
  <c r="M10" i="3"/>
  <c r="U10" i="3"/>
  <c r="AC10" i="3" s="1"/>
  <c r="V10" i="3"/>
  <c r="X10" i="3"/>
  <c r="M14" i="3"/>
  <c r="U14" i="3"/>
  <c r="T14" i="3" s="1"/>
  <c r="V14" i="3"/>
  <c r="X14" i="3"/>
  <c r="M11" i="3"/>
  <c r="R11" i="3"/>
  <c r="S11" i="3"/>
  <c r="U11" i="3"/>
  <c r="V11" i="3"/>
  <c r="X11" i="3"/>
  <c r="R28" i="3"/>
  <c r="M28" i="3"/>
  <c r="S28" i="3"/>
  <c r="U28" i="3"/>
  <c r="AC28" i="3" s="1"/>
  <c r="V28" i="3"/>
  <c r="X28" i="3"/>
  <c r="AG27" i="1"/>
  <c r="AG35" i="1"/>
  <c r="AG43" i="1"/>
  <c r="AG51" i="1"/>
  <c r="AG28" i="1"/>
  <c r="AG56" i="1"/>
  <c r="AG64" i="1"/>
  <c r="AG32" i="1"/>
  <c r="AG57" i="1"/>
  <c r="AG18" i="1"/>
  <c r="AG29" i="1"/>
  <c r="AG39" i="1"/>
  <c r="AG49" i="1"/>
  <c r="AG36" i="1"/>
  <c r="AG60" i="1"/>
  <c r="AG24" i="1"/>
  <c r="AG59" i="1"/>
  <c r="AG67" i="1"/>
  <c r="AG72" i="1"/>
  <c r="AG76" i="1"/>
  <c r="AG80" i="1"/>
  <c r="AG84" i="1"/>
  <c r="AG88" i="1"/>
  <c r="AG50" i="1"/>
  <c r="AG107" i="1"/>
  <c r="AG114" i="1"/>
  <c r="AG119" i="1"/>
  <c r="AG125" i="1"/>
  <c r="AG100" i="1"/>
  <c r="AG127" i="1"/>
  <c r="AG132" i="1"/>
  <c r="AG136" i="1"/>
  <c r="AG142" i="1"/>
  <c r="AG146" i="1"/>
  <c r="AG151" i="1"/>
  <c r="AG157" i="1"/>
  <c r="AG210" i="1"/>
  <c r="AG214" i="1"/>
  <c r="AG223" i="1"/>
  <c r="AG227" i="1"/>
  <c r="AG231" i="1"/>
  <c r="AG235" i="1"/>
  <c r="AG239" i="1"/>
  <c r="AG243" i="1"/>
  <c r="AG161" i="1"/>
  <c r="AG165" i="1"/>
  <c r="AG169" i="1"/>
  <c r="AG173" i="1"/>
  <c r="AG177" i="1"/>
  <c r="AG181" i="1"/>
  <c r="AG183" i="1"/>
  <c r="AG188" i="1"/>
  <c r="AG193" i="1"/>
  <c r="AG199" i="1"/>
  <c r="AG203" i="1"/>
  <c r="AG218" i="1"/>
  <c r="AG222" i="1"/>
  <c r="AG101" i="1"/>
  <c r="AG110" i="1"/>
  <c r="AG98" i="1"/>
  <c r="AG123" i="1"/>
  <c r="AG208" i="1"/>
  <c r="AG233" i="1"/>
  <c r="AG241" i="1"/>
  <c r="AG163" i="1"/>
  <c r="AG171" i="1"/>
  <c r="AG175" i="1"/>
  <c r="AG46" i="1"/>
  <c r="AG191" i="1"/>
  <c r="AG201" i="1"/>
  <c r="AG220" i="1"/>
  <c r="AG109" i="1"/>
  <c r="AG106" i="1"/>
  <c r="AG21" i="1"/>
  <c r="AG31" i="1"/>
  <c r="AG41" i="1"/>
  <c r="AG53" i="1"/>
  <c r="AG44" i="1"/>
  <c r="AG62" i="1"/>
  <c r="AG40" i="1"/>
  <c r="AG61" i="1"/>
  <c r="AG68" i="1"/>
  <c r="AG73" i="1"/>
  <c r="AG77" i="1"/>
  <c r="AG81" i="1"/>
  <c r="AG85" i="1"/>
  <c r="AG89" i="1"/>
  <c r="AG22" i="1"/>
  <c r="AG95" i="1"/>
  <c r="AG111" i="1"/>
  <c r="AG115" i="1"/>
  <c r="AG122" i="1"/>
  <c r="AG30" i="1"/>
  <c r="AG104" i="1"/>
  <c r="AG128" i="1"/>
  <c r="AG133" i="1"/>
  <c r="AG137" i="1"/>
  <c r="AG143" i="1"/>
  <c r="AG148" i="1"/>
  <c r="AG152" i="1"/>
  <c r="AG207" i="1"/>
  <c r="AG211" i="1"/>
  <c r="AG215" i="1"/>
  <c r="AG224" i="1"/>
  <c r="AG228" i="1"/>
  <c r="AG232" i="1"/>
  <c r="AG236" i="1"/>
  <c r="AG240" i="1"/>
  <c r="AG158" i="1"/>
  <c r="AG162" i="1"/>
  <c r="AG166" i="1"/>
  <c r="AG170" i="1"/>
  <c r="AG174" i="1"/>
  <c r="AG178" i="1"/>
  <c r="AG19" i="1"/>
  <c r="AG184" i="1"/>
  <c r="AG190" i="1"/>
  <c r="AG195" i="1"/>
  <c r="AG200" i="1"/>
  <c r="AG204" i="1"/>
  <c r="AG219" i="1"/>
  <c r="AG54" i="1"/>
  <c r="AG105" i="1"/>
  <c r="AG38" i="1"/>
  <c r="AG14" i="1"/>
  <c r="AG23" i="1"/>
  <c r="AG33" i="1"/>
  <c r="AG45" i="1"/>
  <c r="AG15" i="1"/>
  <c r="AG52" i="1"/>
  <c r="AG66" i="1"/>
  <c r="AG48" i="1"/>
  <c r="AG63" i="1"/>
  <c r="AG70" i="1"/>
  <c r="AG74" i="1"/>
  <c r="AG78" i="1"/>
  <c r="AG82" i="1"/>
  <c r="AG86" i="1"/>
  <c r="AG90" i="1"/>
  <c r="AG34" i="1"/>
  <c r="AG99" i="1"/>
  <c r="AG112" i="1"/>
  <c r="AG117" i="1"/>
  <c r="AG92" i="1"/>
  <c r="AG108" i="1"/>
  <c r="AG129" i="1"/>
  <c r="AG134" i="1"/>
  <c r="AG139" i="1"/>
  <c r="AG144" i="1"/>
  <c r="AG149" i="1"/>
  <c r="AG153" i="1"/>
  <c r="AG212" i="1"/>
  <c r="AG216" i="1"/>
  <c r="AG225" i="1"/>
  <c r="AG229" i="1"/>
  <c r="AG237" i="1"/>
  <c r="AG159" i="1"/>
  <c r="AG167" i="1"/>
  <c r="AG179" i="1"/>
  <c r="AG185" i="1"/>
  <c r="AG196" i="1"/>
  <c r="AG205" i="1"/>
  <c r="AG93" i="1"/>
  <c r="AG16" i="1"/>
  <c r="AG25" i="1"/>
  <c r="AG37" i="1"/>
  <c r="AG47" i="1"/>
  <c r="AG20" i="1"/>
  <c r="AG58" i="1"/>
  <c r="AG17" i="1"/>
  <c r="AG55" i="1"/>
  <c r="AG65" i="1"/>
  <c r="AG71" i="1"/>
  <c r="AG75" i="1"/>
  <c r="AG79" i="1"/>
  <c r="AG83" i="1"/>
  <c r="AG87" i="1"/>
  <c r="AG91" i="1"/>
  <c r="AG42" i="1"/>
  <c r="AG103" i="1"/>
  <c r="AG113" i="1"/>
  <c r="AG124" i="1"/>
  <c r="AG96" i="1"/>
  <c r="AG126" i="1"/>
  <c r="AG130" i="1"/>
  <c r="AG135" i="1"/>
  <c r="AG141" i="1"/>
  <c r="AG145" i="1"/>
  <c r="AG150" i="1"/>
  <c r="AG155" i="1"/>
  <c r="AG209" i="1"/>
  <c r="AG213" i="1"/>
  <c r="AG217" i="1"/>
  <c r="AG230" i="1"/>
  <c r="AG234" i="1"/>
  <c r="AG238" i="1"/>
  <c r="AG242" i="1"/>
  <c r="AG160" i="1"/>
  <c r="AG168" i="1"/>
  <c r="AG172" i="1"/>
  <c r="AG176" i="1"/>
  <c r="AG182" i="1"/>
  <c r="AG187" i="1"/>
  <c r="AG198" i="1"/>
  <c r="AG202" i="1"/>
  <c r="AG221" i="1"/>
  <c r="AG97" i="1"/>
  <c r="AG94" i="1"/>
  <c r="AG118" i="1"/>
  <c r="AG226" i="1"/>
  <c r="AG164" i="1"/>
  <c r="AG180" i="1"/>
  <c r="AG192" i="1"/>
  <c r="AG206" i="1"/>
  <c r="AG102" i="1"/>
  <c r="W29" i="3"/>
  <c r="W32" i="3"/>
  <c r="W17" i="3"/>
  <c r="W37" i="3"/>
  <c r="W31" i="3"/>
  <c r="W21" i="3"/>
  <c r="W36" i="3"/>
  <c r="W27" i="3"/>
  <c r="W25" i="3"/>
  <c r="W11" i="3"/>
  <c r="W9" i="3"/>
  <c r="W22" i="3"/>
  <c r="W8" i="3"/>
  <c r="W20" i="3"/>
  <c r="W24" i="3"/>
  <c r="W19" i="3"/>
  <c r="W33" i="3"/>
  <c r="W13" i="3"/>
  <c r="W26" i="3"/>
  <c r="W30" i="3"/>
  <c r="W18" i="3"/>
  <c r="W16" i="3"/>
  <c r="W35" i="3"/>
  <c r="W23" i="3"/>
  <c r="W10" i="3"/>
  <c r="W34" i="3"/>
  <c r="W12" i="3"/>
  <c r="W7" i="3"/>
  <c r="W15" i="3"/>
  <c r="W14" i="3"/>
  <c r="W28" i="3"/>
  <c r="R35" i="3" l="1"/>
  <c r="S22" i="3"/>
  <c r="R12" i="3"/>
  <c r="AE27" i="3"/>
  <c r="S10" i="3"/>
  <c r="R22" i="3"/>
  <c r="S31" i="3"/>
  <c r="S15" i="3"/>
  <c r="S18" i="3"/>
  <c r="X219" i="1"/>
  <c r="AA134" i="1"/>
  <c r="AA39" i="1"/>
  <c r="X119" i="1"/>
  <c r="S32" i="3"/>
  <c r="AC27" i="3"/>
  <c r="AA218" i="1"/>
  <c r="AA199" i="1"/>
  <c r="AA193" i="1"/>
  <c r="AA183" i="1"/>
  <c r="X162" i="1"/>
  <c r="AA235" i="1"/>
  <c r="W235" i="1" s="1"/>
  <c r="T232" i="1"/>
  <c r="AA209" i="1"/>
  <c r="AA155" i="1"/>
  <c r="AA133" i="1"/>
  <c r="W133" i="1" s="1"/>
  <c r="X94" i="1"/>
  <c r="AA94" i="1"/>
  <c r="X130" i="1"/>
  <c r="X110" i="1"/>
  <c r="AA95" i="1"/>
  <c r="X86" i="1"/>
  <c r="AA184" i="1"/>
  <c r="W184" i="1" s="1"/>
  <c r="X178" i="1"/>
  <c r="T153" i="1"/>
  <c r="X137" i="1"/>
  <c r="AA132" i="1"/>
  <c r="X112" i="1"/>
  <c r="X111" i="1"/>
  <c r="R37" i="3"/>
  <c r="X188" i="1"/>
  <c r="AA200" i="1"/>
  <c r="AA182" i="1"/>
  <c r="AA151" i="1"/>
  <c r="W151" i="1" s="1"/>
  <c r="AA146" i="1"/>
  <c r="AA142" i="1"/>
  <c r="AA100" i="1"/>
  <c r="AA99" i="1"/>
  <c r="W99" i="1" s="1"/>
  <c r="X98" i="1"/>
  <c r="X97" i="1"/>
  <c r="AA187" i="1"/>
  <c r="W187" i="1" s="1"/>
  <c r="AA168" i="1"/>
  <c r="AA234" i="1"/>
  <c r="AA215" i="1"/>
  <c r="X215" i="1"/>
  <c r="X152" i="1"/>
  <c r="AA145" i="1"/>
  <c r="X144" i="1"/>
  <c r="X143" i="1"/>
  <c r="AA136" i="1"/>
  <c r="AA127" i="1"/>
  <c r="AA80" i="1"/>
  <c r="AA43" i="1"/>
  <c r="X222" i="1"/>
  <c r="X200" i="1"/>
  <c r="X211" i="1"/>
  <c r="R30" i="3"/>
  <c r="AA221" i="1"/>
  <c r="AA204" i="1"/>
  <c r="X203" i="1"/>
  <c r="X196" i="1"/>
  <c r="T188" i="1"/>
  <c r="AA160" i="1"/>
  <c r="AA213" i="1"/>
  <c r="W213" i="1" s="1"/>
  <c r="AA150" i="1"/>
  <c r="T139" i="1"/>
  <c r="U139" i="1" s="1"/>
  <c r="S139" i="1" s="1"/>
  <c r="AA129" i="1"/>
  <c r="AA114" i="1"/>
  <c r="T110" i="1"/>
  <c r="AA96" i="1"/>
  <c r="AA84" i="1"/>
  <c r="X72" i="1"/>
  <c r="AA41" i="1"/>
  <c r="W41" i="1" s="1"/>
  <c r="AA90" i="1"/>
  <c r="AA47" i="1"/>
  <c r="AA29" i="1"/>
  <c r="AA15" i="1"/>
  <c r="W15" i="1" s="1"/>
  <c r="X204" i="1"/>
  <c r="AA198" i="1"/>
  <c r="AA192" i="1"/>
  <c r="X183" i="1"/>
  <c r="X182" i="1"/>
  <c r="X170" i="1"/>
  <c r="X193" i="1"/>
  <c r="X185" i="1"/>
  <c r="AA179" i="1"/>
  <c r="AA177" i="1"/>
  <c r="AA173" i="1"/>
  <c r="AA158" i="1"/>
  <c r="AA242" i="1"/>
  <c r="AA232" i="1"/>
  <c r="AA229" i="1"/>
  <c r="W229" i="1" s="1"/>
  <c r="AA212" i="1"/>
  <c r="AA210" i="1"/>
  <c r="AA153" i="1"/>
  <c r="AA139" i="1"/>
  <c r="W139" i="1" s="1"/>
  <c r="T133" i="1"/>
  <c r="AA124" i="1"/>
  <c r="T119" i="1"/>
  <c r="U119" i="1" s="1"/>
  <c r="S119" i="1" s="1"/>
  <c r="T109" i="1"/>
  <c r="X105" i="1"/>
  <c r="T101" i="1"/>
  <c r="T98" i="1"/>
  <c r="U98" i="1" s="1"/>
  <c r="S98" i="1" s="1"/>
  <c r="X96" i="1"/>
  <c r="X95" i="1"/>
  <c r="X93" i="1"/>
  <c r="AA92" i="1"/>
  <c r="W92" i="1" s="1"/>
  <c r="AA83" i="1"/>
  <c r="X80" i="1"/>
  <c r="X74" i="1"/>
  <c r="AA52" i="1"/>
  <c r="W52" i="1" s="1"/>
  <c r="AA48" i="1"/>
  <c r="AA42" i="1"/>
  <c r="AA37" i="1"/>
  <c r="AA222" i="1"/>
  <c r="W222" i="1" s="1"/>
  <c r="AA203" i="1"/>
  <c r="T196" i="1"/>
  <c r="T191" i="1"/>
  <c r="AA180" i="1"/>
  <c r="W180" i="1" s="1"/>
  <c r="AA169" i="1"/>
  <c r="T149" i="1"/>
  <c r="T144" i="1"/>
  <c r="T130" i="1"/>
  <c r="U130" i="1" s="1"/>
  <c r="S130" i="1" s="1"/>
  <c r="X129" i="1"/>
  <c r="T94" i="1"/>
  <c r="AA88" i="1"/>
  <c r="AA85" i="1"/>
  <c r="W85" i="1" s="1"/>
  <c r="X84" i="1"/>
  <c r="AA38" i="1"/>
  <c r="AA240" i="1"/>
  <c r="AA236" i="1"/>
  <c r="W236" i="1" s="1"/>
  <c r="AA225" i="1"/>
  <c r="X224" i="1"/>
  <c r="AA216" i="1"/>
  <c r="AA157" i="1"/>
  <c r="AA149" i="1"/>
  <c r="AA144" i="1"/>
  <c r="AA135" i="1"/>
  <c r="W135" i="1" s="1"/>
  <c r="AA130" i="1"/>
  <c r="AA126" i="1"/>
  <c r="AA113" i="1"/>
  <c r="AA91" i="1"/>
  <c r="AA89" i="1"/>
  <c r="AA75" i="1"/>
  <c r="AA74" i="1"/>
  <c r="AA70" i="1"/>
  <c r="W70" i="1" s="1"/>
  <c r="AA68" i="1"/>
  <c r="AA67" i="1"/>
  <c r="AA66" i="1"/>
  <c r="AA65" i="1"/>
  <c r="W65" i="1" s="1"/>
  <c r="AA64" i="1"/>
  <c r="AA51" i="1"/>
  <c r="AA50" i="1"/>
  <c r="AA25" i="1"/>
  <c r="W25" i="1" s="1"/>
  <c r="T218" i="1"/>
  <c r="X125" i="1"/>
  <c r="T125" i="1"/>
  <c r="T222" i="1"/>
  <c r="U222" i="1" s="1"/>
  <c r="S222" i="1" s="1"/>
  <c r="T203" i="1"/>
  <c r="X145" i="1"/>
  <c r="X146" i="1"/>
  <c r="X106" i="1"/>
  <c r="T106" i="1"/>
  <c r="X220" i="1"/>
  <c r="X135" i="1"/>
  <c r="T135" i="1"/>
  <c r="X136" i="1"/>
  <c r="T126" i="1"/>
  <c r="X127" i="1"/>
  <c r="X108" i="1"/>
  <c r="X107" i="1"/>
  <c r="R34" i="3"/>
  <c r="X221" i="1"/>
  <c r="X206" i="1"/>
  <c r="X202" i="1"/>
  <c r="T199" i="1"/>
  <c r="T193" i="1"/>
  <c r="X192" i="1"/>
  <c r="AA188" i="1"/>
  <c r="T185" i="1"/>
  <c r="U185" i="1" s="1"/>
  <c r="S185" i="1" s="1"/>
  <c r="X184" i="1"/>
  <c r="AA174" i="1"/>
  <c r="AA170" i="1"/>
  <c r="T162" i="1"/>
  <c r="U162" i="1" s="1"/>
  <c r="S162" i="1" s="1"/>
  <c r="AA238" i="1"/>
  <c r="X151" i="1"/>
  <c r="X142" i="1"/>
  <c r="X128" i="1"/>
  <c r="T128" i="1"/>
  <c r="X102" i="1"/>
  <c r="T102" i="1"/>
  <c r="U102" i="1" s="1"/>
  <c r="S102" i="1" s="1"/>
  <c r="X205" i="1"/>
  <c r="X201" i="1"/>
  <c r="AA220" i="1"/>
  <c r="W220" i="1" s="1"/>
  <c r="AA205" i="1"/>
  <c r="AA201" i="1"/>
  <c r="AA185" i="1"/>
  <c r="T183" i="1"/>
  <c r="U183" i="1" s="1"/>
  <c r="S183" i="1" s="1"/>
  <c r="AA166" i="1"/>
  <c r="AA162" i="1"/>
  <c r="AA159" i="1"/>
  <c r="AA241" i="1"/>
  <c r="W241" i="1" s="1"/>
  <c r="X240" i="1"/>
  <c r="T224" i="1"/>
  <c r="AA217" i="1"/>
  <c r="T155" i="1"/>
  <c r="U155" i="1" s="1"/>
  <c r="S155" i="1" s="1"/>
  <c r="T145" i="1"/>
  <c r="T103" i="1"/>
  <c r="X103" i="1"/>
  <c r="X104" i="1"/>
  <c r="AA54" i="1"/>
  <c r="W54" i="1" s="1"/>
  <c r="AA175" i="1"/>
  <c r="AA171" i="1"/>
  <c r="X166" i="1"/>
  <c r="AA161" i="1"/>
  <c r="AA243" i="1"/>
  <c r="AA233" i="1"/>
  <c r="AA230" i="1"/>
  <c r="W230" i="1" s="1"/>
  <c r="AA226" i="1"/>
  <c r="AA207" i="1"/>
  <c r="AA152" i="1"/>
  <c r="AA148" i="1"/>
  <c r="W148" i="1" s="1"/>
  <c r="AA143" i="1"/>
  <c r="X114" i="1"/>
  <c r="T114" i="1"/>
  <c r="AA98" i="1"/>
  <c r="AA86" i="1"/>
  <c r="AA81" i="1"/>
  <c r="X75" i="1"/>
  <c r="T75" i="1"/>
  <c r="U75" i="1" s="1"/>
  <c r="S75" i="1" s="1"/>
  <c r="T70" i="1"/>
  <c r="AA181" i="1"/>
  <c r="AA167" i="1"/>
  <c r="W167" i="1" s="1"/>
  <c r="AA163" i="1"/>
  <c r="AA239" i="1"/>
  <c r="X134" i="1"/>
  <c r="AA128" i="1"/>
  <c r="W128" i="1" s="1"/>
  <c r="AA125" i="1"/>
  <c r="X76" i="1"/>
  <c r="T71" i="1"/>
  <c r="U71" i="1" s="1"/>
  <c r="S71" i="1" s="1"/>
  <c r="AA53" i="1"/>
  <c r="AA35" i="1"/>
  <c r="AA223" i="1"/>
  <c r="AA214" i="1"/>
  <c r="W214" i="1" s="1"/>
  <c r="AA77" i="1"/>
  <c r="AA76" i="1"/>
  <c r="AA71" i="1"/>
  <c r="AA49" i="1"/>
  <c r="W49" i="1" s="1"/>
  <c r="AA34" i="1"/>
  <c r="AA33" i="1"/>
  <c r="AA18" i="1"/>
  <c r="X236" i="1"/>
  <c r="AA231" i="1"/>
  <c r="AA227" i="1"/>
  <c r="AA208" i="1"/>
  <c r="AA119" i="1"/>
  <c r="W119" i="1" s="1"/>
  <c r="AA118" i="1"/>
  <c r="AA108" i="1"/>
  <c r="AA104" i="1"/>
  <c r="AA97" i="1"/>
  <c r="AA93" i="1"/>
  <c r="AA87" i="1"/>
  <c r="AA79" i="1"/>
  <c r="AA78" i="1"/>
  <c r="W78" i="1" s="1"/>
  <c r="AA73" i="1"/>
  <c r="AA72" i="1"/>
  <c r="AA45" i="1"/>
  <c r="AA44" i="1"/>
  <c r="W44" i="1" s="1"/>
  <c r="AA21" i="1"/>
  <c r="AA17" i="1"/>
  <c r="AA16" i="1"/>
  <c r="AI98" i="1"/>
  <c r="AI94" i="1"/>
  <c r="U94" i="1"/>
  <c r="S94" i="1" s="1"/>
  <c r="AI106" i="1"/>
  <c r="U106" i="1"/>
  <c r="S106" i="1" s="1"/>
  <c r="AI38" i="1"/>
  <c r="W38" i="1"/>
  <c r="AI110" i="1"/>
  <c r="U110" i="1"/>
  <c r="S110" i="1" s="1"/>
  <c r="AI102" i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54" i="1"/>
  <c r="AI243" i="1"/>
  <c r="U221" i="1"/>
  <c r="S221" i="1" s="1"/>
  <c r="AI242" i="1"/>
  <c r="U220" i="1"/>
  <c r="S220" i="1" s="1"/>
  <c r="AI241" i="1"/>
  <c r="U219" i="1"/>
  <c r="S219" i="1" s="1"/>
  <c r="AI240" i="1"/>
  <c r="U218" i="1"/>
  <c r="S218" i="1" s="1"/>
  <c r="AI239" i="1"/>
  <c r="U206" i="1"/>
  <c r="S206" i="1" s="1"/>
  <c r="AI238" i="1"/>
  <c r="U205" i="1"/>
  <c r="S205" i="1" s="1"/>
  <c r="AI237" i="1"/>
  <c r="U204" i="1"/>
  <c r="S204" i="1" s="1"/>
  <c r="AI236" i="1"/>
  <c r="U203" i="1"/>
  <c r="S203" i="1" s="1"/>
  <c r="AI235" i="1"/>
  <c r="U202" i="1"/>
  <c r="S202" i="1" s="1"/>
  <c r="AI234" i="1"/>
  <c r="U201" i="1"/>
  <c r="S201" i="1" s="1"/>
  <c r="AI233" i="1"/>
  <c r="U200" i="1"/>
  <c r="S200" i="1" s="1"/>
  <c r="AI232" i="1"/>
  <c r="U199" i="1"/>
  <c r="S199" i="1" s="1"/>
  <c r="AI231" i="1"/>
  <c r="U198" i="1"/>
  <c r="S198" i="1" s="1"/>
  <c r="AI230" i="1"/>
  <c r="U196" i="1"/>
  <c r="S196" i="1" s="1"/>
  <c r="AI229" i="1"/>
  <c r="U195" i="1"/>
  <c r="S195" i="1" s="1"/>
  <c r="AI228" i="1"/>
  <c r="U193" i="1"/>
  <c r="S193" i="1" s="1"/>
  <c r="AI227" i="1"/>
  <c r="U192" i="1"/>
  <c r="S192" i="1" s="1"/>
  <c r="AI226" i="1"/>
  <c r="U191" i="1"/>
  <c r="S191" i="1" s="1"/>
  <c r="AI225" i="1"/>
  <c r="U190" i="1"/>
  <c r="S190" i="1" s="1"/>
  <c r="AI224" i="1"/>
  <c r="U188" i="1"/>
  <c r="S188" i="1" s="1"/>
  <c r="AI223" i="1"/>
  <c r="U187" i="1"/>
  <c r="S187" i="1" s="1"/>
  <c r="AI222" i="1"/>
  <c r="AI221" i="1"/>
  <c r="U184" i="1"/>
  <c r="S184" i="1" s="1"/>
  <c r="AI220" i="1"/>
  <c r="AI219" i="1"/>
  <c r="U182" i="1"/>
  <c r="S182" i="1" s="1"/>
  <c r="AI218" i="1"/>
  <c r="AI46" i="1"/>
  <c r="W46" i="1"/>
  <c r="AI19" i="1"/>
  <c r="AI217" i="1"/>
  <c r="U180" i="1"/>
  <c r="S180" i="1" s="1"/>
  <c r="AI216" i="1"/>
  <c r="AI215" i="1"/>
  <c r="U178" i="1"/>
  <c r="S178" i="1" s="1"/>
  <c r="AI214" i="1"/>
  <c r="AI213" i="1"/>
  <c r="U176" i="1"/>
  <c r="S176" i="1" s="1"/>
  <c r="AI212" i="1"/>
  <c r="AI211" i="1"/>
  <c r="U174" i="1"/>
  <c r="S174" i="1" s="1"/>
  <c r="AI210" i="1"/>
  <c r="AI209" i="1"/>
  <c r="U172" i="1"/>
  <c r="S172" i="1" s="1"/>
  <c r="AI208" i="1"/>
  <c r="AI207" i="1"/>
  <c r="U170" i="1"/>
  <c r="S170" i="1" s="1"/>
  <c r="AI206" i="1"/>
  <c r="AI205" i="1"/>
  <c r="U168" i="1"/>
  <c r="S168" i="1" s="1"/>
  <c r="AI204" i="1"/>
  <c r="AI203" i="1"/>
  <c r="U166" i="1"/>
  <c r="S166" i="1" s="1"/>
  <c r="AI202" i="1"/>
  <c r="AI201" i="1"/>
  <c r="U164" i="1"/>
  <c r="S164" i="1" s="1"/>
  <c r="AI200" i="1"/>
  <c r="AI199" i="1"/>
  <c r="AI198" i="1"/>
  <c r="AI196" i="1"/>
  <c r="U160" i="1"/>
  <c r="S160" i="1" s="1"/>
  <c r="AI195" i="1"/>
  <c r="AI193" i="1"/>
  <c r="U158" i="1"/>
  <c r="S158" i="1" s="1"/>
  <c r="AI192" i="1"/>
  <c r="AI191" i="1"/>
  <c r="U242" i="1"/>
  <c r="S242" i="1" s="1"/>
  <c r="AI190" i="1"/>
  <c r="AI188" i="1"/>
  <c r="U240" i="1"/>
  <c r="S240" i="1" s="1"/>
  <c r="AI187" i="1"/>
  <c r="AI185" i="1"/>
  <c r="U238" i="1"/>
  <c r="S238" i="1" s="1"/>
  <c r="AI184" i="1"/>
  <c r="AI183" i="1"/>
  <c r="U236" i="1"/>
  <c r="S236" i="1" s="1"/>
  <c r="AI182" i="1"/>
  <c r="AI181" i="1"/>
  <c r="U234" i="1"/>
  <c r="S234" i="1" s="1"/>
  <c r="AI180" i="1"/>
  <c r="AI179" i="1"/>
  <c r="U232" i="1"/>
  <c r="S232" i="1" s="1"/>
  <c r="AI178" i="1"/>
  <c r="AI177" i="1"/>
  <c r="U230" i="1"/>
  <c r="S230" i="1" s="1"/>
  <c r="AI176" i="1"/>
  <c r="AI175" i="1"/>
  <c r="U228" i="1"/>
  <c r="S228" i="1" s="1"/>
  <c r="AI174" i="1"/>
  <c r="AI173" i="1"/>
  <c r="U226" i="1"/>
  <c r="S226" i="1" s="1"/>
  <c r="AI172" i="1"/>
  <c r="AI171" i="1"/>
  <c r="U224" i="1"/>
  <c r="S224" i="1" s="1"/>
  <c r="AI170" i="1"/>
  <c r="AI169" i="1"/>
  <c r="U217" i="1"/>
  <c r="S217" i="1" s="1"/>
  <c r="AI168" i="1"/>
  <c r="AI167" i="1"/>
  <c r="U215" i="1"/>
  <c r="S215" i="1" s="1"/>
  <c r="AI166" i="1"/>
  <c r="AI165" i="1"/>
  <c r="U213" i="1"/>
  <c r="S213" i="1" s="1"/>
  <c r="AI164" i="1"/>
  <c r="AI163" i="1"/>
  <c r="U211" i="1"/>
  <c r="S211" i="1" s="1"/>
  <c r="AI162" i="1"/>
  <c r="AI161" i="1"/>
  <c r="U209" i="1"/>
  <c r="S209" i="1" s="1"/>
  <c r="AI160" i="1"/>
  <c r="AI159" i="1"/>
  <c r="U207" i="1"/>
  <c r="S207" i="1" s="1"/>
  <c r="AI158" i="1"/>
  <c r="AI157" i="1"/>
  <c r="AI155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AI139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W126" i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U92" i="1"/>
  <c r="S92" i="1" s="1"/>
  <c r="AI92" i="1"/>
  <c r="AI30" i="1"/>
  <c r="AI125" i="1"/>
  <c r="U125" i="1"/>
  <c r="S125" i="1" s="1"/>
  <c r="AI124" i="1"/>
  <c r="U124" i="1"/>
  <c r="S124" i="1" s="1"/>
  <c r="AI123" i="1"/>
  <c r="U123" i="1"/>
  <c r="S123" i="1" s="1"/>
  <c r="AI122" i="1"/>
  <c r="AI119" i="1"/>
  <c r="AI118" i="1"/>
  <c r="U118" i="1"/>
  <c r="S118" i="1" s="1"/>
  <c r="AI117" i="1"/>
  <c r="U117" i="1"/>
  <c r="S117" i="1" s="1"/>
  <c r="AI115" i="1"/>
  <c r="AI114" i="1"/>
  <c r="U114" i="1"/>
  <c r="S114" i="1" s="1"/>
  <c r="AI113" i="1"/>
  <c r="U113" i="1"/>
  <c r="S113" i="1" s="1"/>
  <c r="AI112" i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50" i="1"/>
  <c r="W50" i="1"/>
  <c r="AI42" i="1"/>
  <c r="W42" i="1"/>
  <c r="AI34" i="1"/>
  <c r="W34" i="1"/>
  <c r="AI22" i="1"/>
  <c r="AI91" i="1"/>
  <c r="U90" i="1"/>
  <c r="S90" i="1" s="1"/>
  <c r="AI90" i="1"/>
  <c r="AI89" i="1"/>
  <c r="U88" i="1"/>
  <c r="S88" i="1" s="1"/>
  <c r="AI88" i="1"/>
  <c r="AI87" i="1"/>
  <c r="U86" i="1"/>
  <c r="S86" i="1" s="1"/>
  <c r="AI86" i="1"/>
  <c r="AI85" i="1"/>
  <c r="U84" i="1"/>
  <c r="S84" i="1" s="1"/>
  <c r="AI84" i="1"/>
  <c r="AI83" i="1"/>
  <c r="W83" i="1"/>
  <c r="U82" i="1"/>
  <c r="S82" i="1" s="1"/>
  <c r="AI82" i="1"/>
  <c r="AI81" i="1"/>
  <c r="U80" i="1"/>
  <c r="S80" i="1" s="1"/>
  <c r="AI80" i="1"/>
  <c r="AI79" i="1"/>
  <c r="W79" i="1"/>
  <c r="U78" i="1"/>
  <c r="S78" i="1" s="1"/>
  <c r="AI78" i="1"/>
  <c r="AI77" i="1"/>
  <c r="AI76" i="1"/>
  <c r="U76" i="1"/>
  <c r="S76" i="1" s="1"/>
  <c r="AI75" i="1"/>
  <c r="AI74" i="1"/>
  <c r="U74" i="1"/>
  <c r="S74" i="1" s="1"/>
  <c r="AI73" i="1"/>
  <c r="AI72" i="1"/>
  <c r="U72" i="1"/>
  <c r="S72" i="1" s="1"/>
  <c r="AI71" i="1"/>
  <c r="AI70" i="1"/>
  <c r="U70" i="1"/>
  <c r="S70" i="1" s="1"/>
  <c r="AI68" i="1"/>
  <c r="AI67" i="1"/>
  <c r="W67" i="1"/>
  <c r="AI65" i="1"/>
  <c r="AI63" i="1"/>
  <c r="AI61" i="1"/>
  <c r="AI59" i="1"/>
  <c r="AI57" i="1"/>
  <c r="AI55" i="1"/>
  <c r="AI48" i="1"/>
  <c r="AI40" i="1"/>
  <c r="AI32" i="1"/>
  <c r="AI24" i="1"/>
  <c r="AI17" i="1"/>
  <c r="AI66" i="1"/>
  <c r="AI64" i="1"/>
  <c r="AI62" i="1"/>
  <c r="AI60" i="1"/>
  <c r="AI58" i="1"/>
  <c r="AI56" i="1"/>
  <c r="AI52" i="1"/>
  <c r="AI44" i="1"/>
  <c r="AI36" i="1"/>
  <c r="AI28" i="1"/>
  <c r="AI20" i="1"/>
  <c r="AI15" i="1"/>
  <c r="AI53" i="1"/>
  <c r="AI51" i="1"/>
  <c r="AI49" i="1"/>
  <c r="AI47" i="1"/>
  <c r="AI45" i="1"/>
  <c r="AI43" i="1"/>
  <c r="AI41" i="1"/>
  <c r="AI39" i="1"/>
  <c r="AI37" i="1"/>
  <c r="AI35" i="1"/>
  <c r="AI33" i="1"/>
  <c r="AI31" i="1"/>
  <c r="AI29" i="1"/>
  <c r="AI27" i="1"/>
  <c r="AI25" i="1"/>
  <c r="AI23" i="1"/>
  <c r="AI21" i="1"/>
  <c r="AI18" i="1"/>
  <c r="AI16" i="1"/>
  <c r="AI14" i="1"/>
  <c r="W219" i="1"/>
  <c r="W200" i="1"/>
  <c r="W195" i="1"/>
  <c r="W192" i="1"/>
  <c r="W199" i="1"/>
  <c r="W196" i="1"/>
  <c r="W193" i="1"/>
  <c r="W191" i="1"/>
  <c r="W188" i="1"/>
  <c r="W185" i="1"/>
  <c r="W204" i="1"/>
  <c r="W198" i="1"/>
  <c r="W190" i="1"/>
  <c r="W130" i="1"/>
  <c r="W205" i="1"/>
  <c r="W201" i="1"/>
  <c r="W221" i="1"/>
  <c r="W206" i="1"/>
  <c r="W202" i="1"/>
  <c r="W218" i="1"/>
  <c r="W203" i="1"/>
  <c r="W181" i="1"/>
  <c r="T167" i="1"/>
  <c r="U167" i="1" s="1"/>
  <c r="S167" i="1" s="1"/>
  <c r="X167" i="1"/>
  <c r="W165" i="1"/>
  <c r="W164" i="1"/>
  <c r="X237" i="1"/>
  <c r="T237" i="1"/>
  <c r="U237" i="1" s="1"/>
  <c r="S237" i="1" s="1"/>
  <c r="W234" i="1"/>
  <c r="X216" i="1"/>
  <c r="T216" i="1"/>
  <c r="U216" i="1" s="1"/>
  <c r="S216" i="1" s="1"/>
  <c r="W157" i="1"/>
  <c r="W155" i="1"/>
  <c r="W152" i="1"/>
  <c r="W150" i="1"/>
  <c r="W145" i="1"/>
  <c r="W143" i="1"/>
  <c r="W141" i="1"/>
  <c r="W137" i="1"/>
  <c r="T64" i="1"/>
  <c r="U64" i="1" s="1"/>
  <c r="S64" i="1" s="1"/>
  <c r="X64" i="1"/>
  <c r="T173" i="1"/>
  <c r="U173" i="1" s="1"/>
  <c r="S173" i="1" s="1"/>
  <c r="X173" i="1"/>
  <c r="W171" i="1"/>
  <c r="W170" i="1"/>
  <c r="X168" i="1"/>
  <c r="X243" i="1"/>
  <c r="T243" i="1"/>
  <c r="U243" i="1" s="1"/>
  <c r="S243" i="1" s="1"/>
  <c r="W240" i="1"/>
  <c r="X238" i="1"/>
  <c r="X227" i="1"/>
  <c r="T227" i="1"/>
  <c r="U227" i="1" s="1"/>
  <c r="S227" i="1" s="1"/>
  <c r="W225" i="1"/>
  <c r="W224" i="1"/>
  <c r="X217" i="1"/>
  <c r="T157" i="1"/>
  <c r="U157" i="1" s="1"/>
  <c r="S157" i="1" s="1"/>
  <c r="W153" i="1"/>
  <c r="W149" i="1"/>
  <c r="W146" i="1"/>
  <c r="W144" i="1"/>
  <c r="W142" i="1"/>
  <c r="W136" i="1"/>
  <c r="W81" i="1"/>
  <c r="X179" i="1"/>
  <c r="T179" i="1"/>
  <c r="U179" i="1" s="1"/>
  <c r="S179" i="1" s="1"/>
  <c r="W177" i="1"/>
  <c r="W176" i="1"/>
  <c r="X174" i="1"/>
  <c r="X171" i="1"/>
  <c r="T171" i="1"/>
  <c r="U171" i="1" s="1"/>
  <c r="S171" i="1" s="1"/>
  <c r="W169" i="1"/>
  <c r="W168" i="1"/>
  <c r="X163" i="1"/>
  <c r="T163" i="1"/>
  <c r="U163" i="1" s="1"/>
  <c r="S163" i="1" s="1"/>
  <c r="W161" i="1"/>
  <c r="W160" i="1"/>
  <c r="X241" i="1"/>
  <c r="T241" i="1"/>
  <c r="U241" i="1" s="1"/>
  <c r="S241" i="1" s="1"/>
  <c r="W239" i="1"/>
  <c r="W238" i="1"/>
  <c r="S30" i="3"/>
  <c r="S37" i="3"/>
  <c r="X233" i="1"/>
  <c r="T233" i="1"/>
  <c r="U233" i="1" s="1"/>
  <c r="S233" i="1" s="1"/>
  <c r="W231" i="1"/>
  <c r="X228" i="1"/>
  <c r="X225" i="1"/>
  <c r="T225" i="1"/>
  <c r="U225" i="1" s="1"/>
  <c r="S225" i="1" s="1"/>
  <c r="W223" i="1"/>
  <c r="W217" i="1"/>
  <c r="X212" i="1"/>
  <c r="T212" i="1"/>
  <c r="U212" i="1" s="1"/>
  <c r="S212" i="1" s="1"/>
  <c r="W210" i="1"/>
  <c r="W209" i="1"/>
  <c r="X207" i="1"/>
  <c r="W134" i="1"/>
  <c r="W95" i="1"/>
  <c r="W39" i="1"/>
  <c r="X175" i="1"/>
  <c r="T175" i="1"/>
  <c r="U175" i="1" s="1"/>
  <c r="S175" i="1" s="1"/>
  <c r="W173" i="1"/>
  <c r="W172" i="1"/>
  <c r="T159" i="1"/>
  <c r="U159" i="1" s="1"/>
  <c r="S159" i="1" s="1"/>
  <c r="W243" i="1"/>
  <c r="W242" i="1"/>
  <c r="X229" i="1"/>
  <c r="T229" i="1"/>
  <c r="U229" i="1" s="1"/>
  <c r="S229" i="1" s="1"/>
  <c r="W227" i="1"/>
  <c r="W226" i="1"/>
  <c r="X208" i="1"/>
  <c r="T208" i="1"/>
  <c r="U208" i="1" s="1"/>
  <c r="S208" i="1" s="1"/>
  <c r="W132" i="1"/>
  <c r="T122" i="1"/>
  <c r="U122" i="1" s="1"/>
  <c r="S122" i="1" s="1"/>
  <c r="X87" i="1"/>
  <c r="T87" i="1"/>
  <c r="U87" i="1" s="1"/>
  <c r="S87" i="1" s="1"/>
  <c r="X88" i="1"/>
  <c r="X77" i="1"/>
  <c r="X78" i="1"/>
  <c r="T77" i="1"/>
  <c r="U77" i="1" s="1"/>
  <c r="S77" i="1" s="1"/>
  <c r="W183" i="1"/>
  <c r="T181" i="1"/>
  <c r="U181" i="1" s="1"/>
  <c r="S181" i="1" s="1"/>
  <c r="X181" i="1"/>
  <c r="W179" i="1"/>
  <c r="W178" i="1"/>
  <c r="X176" i="1"/>
  <c r="T165" i="1"/>
  <c r="U165" i="1" s="1"/>
  <c r="S165" i="1" s="1"/>
  <c r="X165" i="1"/>
  <c r="W163" i="1"/>
  <c r="W162" i="1"/>
  <c r="X160" i="1"/>
  <c r="X235" i="1"/>
  <c r="T235" i="1"/>
  <c r="U235" i="1" s="1"/>
  <c r="S235" i="1" s="1"/>
  <c r="W233" i="1"/>
  <c r="W232" i="1"/>
  <c r="X230" i="1"/>
  <c r="X214" i="1"/>
  <c r="T214" i="1"/>
  <c r="U214" i="1" s="1"/>
  <c r="S214" i="1" s="1"/>
  <c r="W212" i="1"/>
  <c r="W211" i="1"/>
  <c r="X209" i="1"/>
  <c r="W129" i="1"/>
  <c r="W114" i="1"/>
  <c r="W182" i="1"/>
  <c r="X180" i="1"/>
  <c r="T177" i="1"/>
  <c r="U177" i="1" s="1"/>
  <c r="S177" i="1" s="1"/>
  <c r="X177" i="1"/>
  <c r="W175" i="1"/>
  <c r="W174" i="1"/>
  <c r="X172" i="1"/>
  <c r="X169" i="1"/>
  <c r="T169" i="1"/>
  <c r="U169" i="1" s="1"/>
  <c r="S169" i="1" s="1"/>
  <c r="W166" i="1"/>
  <c r="X164" i="1"/>
  <c r="T161" i="1"/>
  <c r="U161" i="1" s="1"/>
  <c r="S161" i="1" s="1"/>
  <c r="X161" i="1"/>
  <c r="W159" i="1"/>
  <c r="W158" i="1"/>
  <c r="X242" i="1"/>
  <c r="X239" i="1"/>
  <c r="T239" i="1"/>
  <c r="U239" i="1" s="1"/>
  <c r="S239" i="1" s="1"/>
  <c r="W237" i="1"/>
  <c r="X234" i="1"/>
  <c r="X231" i="1"/>
  <c r="T231" i="1"/>
  <c r="U231" i="1" s="1"/>
  <c r="S231" i="1" s="1"/>
  <c r="W228" i="1"/>
  <c r="X226" i="1"/>
  <c r="X223" i="1"/>
  <c r="T223" i="1"/>
  <c r="U223" i="1" s="1"/>
  <c r="S223" i="1" s="1"/>
  <c r="W216" i="1"/>
  <c r="W215" i="1"/>
  <c r="X213" i="1"/>
  <c r="X210" i="1"/>
  <c r="T210" i="1"/>
  <c r="U210" i="1" s="1"/>
  <c r="S210" i="1" s="1"/>
  <c r="W208" i="1"/>
  <c r="W207" i="1"/>
  <c r="R17" i="3"/>
  <c r="R10" i="3"/>
  <c r="W127" i="1"/>
  <c r="W125" i="1"/>
  <c r="X115" i="1"/>
  <c r="T115" i="1"/>
  <c r="U115" i="1" s="1"/>
  <c r="S115" i="1" s="1"/>
  <c r="W91" i="1"/>
  <c r="W124" i="1"/>
  <c r="W118" i="1"/>
  <c r="W113" i="1"/>
  <c r="W108" i="1"/>
  <c r="W104" i="1"/>
  <c r="W89" i="1"/>
  <c r="X81" i="1"/>
  <c r="T81" i="1"/>
  <c r="U81" i="1" s="1"/>
  <c r="S81" i="1" s="1"/>
  <c r="X82" i="1"/>
  <c r="W68" i="1"/>
  <c r="X124" i="1"/>
  <c r="AA123" i="1"/>
  <c r="W123" i="1" s="1"/>
  <c r="X118" i="1"/>
  <c r="AA117" i="1"/>
  <c r="W117" i="1" s="1"/>
  <c r="X113" i="1"/>
  <c r="AA112" i="1"/>
  <c r="W112" i="1" s="1"/>
  <c r="T112" i="1"/>
  <c r="U112" i="1" s="1"/>
  <c r="S112" i="1" s="1"/>
  <c r="X89" i="1"/>
  <c r="T89" i="1"/>
  <c r="U89" i="1" s="1"/>
  <c r="S89" i="1" s="1"/>
  <c r="X90" i="1"/>
  <c r="W73" i="1"/>
  <c r="X68" i="1"/>
  <c r="T68" i="1"/>
  <c r="U68" i="1" s="1"/>
  <c r="S68" i="1" s="1"/>
  <c r="X126" i="1"/>
  <c r="X123" i="1"/>
  <c r="AA122" i="1"/>
  <c r="W122" i="1" s="1"/>
  <c r="AA115" i="1"/>
  <c r="W115" i="1" s="1"/>
  <c r="AA111" i="1"/>
  <c r="W111" i="1" s="1"/>
  <c r="AA107" i="1"/>
  <c r="W107" i="1" s="1"/>
  <c r="AA103" i="1"/>
  <c r="W103" i="1" s="1"/>
  <c r="W98" i="1"/>
  <c r="W94" i="1"/>
  <c r="W87" i="1"/>
  <c r="W86" i="1"/>
  <c r="W84" i="1"/>
  <c r="W77" i="1"/>
  <c r="X73" i="1"/>
  <c r="T73" i="1"/>
  <c r="U73" i="1" s="1"/>
  <c r="S73" i="1" s="1"/>
  <c r="W64" i="1"/>
  <c r="W47" i="1"/>
  <c r="W29" i="1"/>
  <c r="T23" i="1"/>
  <c r="U23" i="1" s="1"/>
  <c r="S23" i="1" s="1"/>
  <c r="X23" i="1"/>
  <c r="AA110" i="1"/>
  <c r="W110" i="1" s="1"/>
  <c r="AA106" i="1"/>
  <c r="W106" i="1" s="1"/>
  <c r="AA102" i="1"/>
  <c r="W102" i="1" s="1"/>
  <c r="W97" i="1"/>
  <c r="W93" i="1"/>
  <c r="W90" i="1"/>
  <c r="X85" i="1"/>
  <c r="T85" i="1"/>
  <c r="U85" i="1" s="1"/>
  <c r="S85" i="1" s="1"/>
  <c r="W82" i="1"/>
  <c r="X79" i="1"/>
  <c r="T79" i="1"/>
  <c r="U79" i="1" s="1"/>
  <c r="S79" i="1" s="1"/>
  <c r="T66" i="1"/>
  <c r="U66" i="1" s="1"/>
  <c r="S66" i="1" s="1"/>
  <c r="X66" i="1"/>
  <c r="T27" i="1"/>
  <c r="U27" i="1" s="1"/>
  <c r="S27" i="1" s="1"/>
  <c r="X27" i="1"/>
  <c r="AA109" i="1"/>
  <c r="W109" i="1" s="1"/>
  <c r="AA105" i="1"/>
  <c r="W105" i="1" s="1"/>
  <c r="AA101" i="1"/>
  <c r="W101" i="1" s="1"/>
  <c r="W100" i="1"/>
  <c r="W96" i="1"/>
  <c r="X91" i="1"/>
  <c r="T91" i="1"/>
  <c r="U91" i="1" s="1"/>
  <c r="S91" i="1" s="1"/>
  <c r="W88" i="1"/>
  <c r="X83" i="1"/>
  <c r="T83" i="1"/>
  <c r="U83" i="1" s="1"/>
  <c r="S83" i="1" s="1"/>
  <c r="W80" i="1"/>
  <c r="W75" i="1"/>
  <c r="W71" i="1"/>
  <c r="W66" i="1"/>
  <c r="W51" i="1"/>
  <c r="W43" i="1"/>
  <c r="W35" i="1"/>
  <c r="W76" i="1"/>
  <c r="W74" i="1"/>
  <c r="W72" i="1"/>
  <c r="W53" i="1"/>
  <c r="W48" i="1"/>
  <c r="W45" i="1"/>
  <c r="W37" i="1"/>
  <c r="W33" i="1"/>
  <c r="T31" i="1"/>
  <c r="U31" i="1" s="1"/>
  <c r="S31" i="1" s="1"/>
  <c r="X31" i="1"/>
  <c r="W18" i="1"/>
  <c r="W16" i="1"/>
  <c r="W14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T53" i="1"/>
  <c r="U53" i="1" s="1"/>
  <c r="S53" i="1" s="1"/>
  <c r="X53" i="1"/>
  <c r="T49" i="1"/>
  <c r="U49" i="1" s="1"/>
  <c r="S49" i="1" s="1"/>
  <c r="X49" i="1"/>
  <c r="T45" i="1"/>
  <c r="U45" i="1" s="1"/>
  <c r="S45" i="1" s="1"/>
  <c r="X45" i="1"/>
  <c r="T41" i="1"/>
  <c r="U41" i="1" s="1"/>
  <c r="S41" i="1" s="1"/>
  <c r="X41" i="1"/>
  <c r="T37" i="1"/>
  <c r="U37" i="1" s="1"/>
  <c r="S37" i="1" s="1"/>
  <c r="X37" i="1"/>
  <c r="T33" i="1"/>
  <c r="U33" i="1" s="1"/>
  <c r="S33" i="1" s="1"/>
  <c r="X33" i="1"/>
  <c r="W21" i="1"/>
  <c r="AA62" i="1"/>
  <c r="W62" i="1" s="1"/>
  <c r="AA60" i="1"/>
  <c r="W60" i="1" s="1"/>
  <c r="AA58" i="1"/>
  <c r="W58" i="1" s="1"/>
  <c r="AA56" i="1"/>
  <c r="W56" i="1" s="1"/>
  <c r="T51" i="1"/>
  <c r="U51" i="1" s="1"/>
  <c r="S51" i="1" s="1"/>
  <c r="X51" i="1"/>
  <c r="T43" i="1"/>
  <c r="U43" i="1" s="1"/>
  <c r="S43" i="1" s="1"/>
  <c r="X43" i="1"/>
  <c r="AA36" i="1"/>
  <c r="W36" i="1" s="1"/>
  <c r="T35" i="1"/>
  <c r="U35" i="1" s="1"/>
  <c r="S35" i="1" s="1"/>
  <c r="X35" i="1"/>
  <c r="T29" i="1"/>
  <c r="U29" i="1" s="1"/>
  <c r="S29" i="1" s="1"/>
  <c r="X29" i="1"/>
  <c r="AA27" i="1"/>
  <c r="W27" i="1" s="1"/>
  <c r="T21" i="1"/>
  <c r="U21" i="1" s="1"/>
  <c r="S21" i="1" s="1"/>
  <c r="T16" i="1"/>
  <c r="U16" i="1" s="1"/>
  <c r="S16" i="1" s="1"/>
  <c r="X16" i="1"/>
  <c r="AA63" i="1"/>
  <c r="W63" i="1" s="1"/>
  <c r="AA61" i="1"/>
  <c r="W61" i="1" s="1"/>
  <c r="AA59" i="1"/>
  <c r="W59" i="1" s="1"/>
  <c r="AA57" i="1"/>
  <c r="W57" i="1" s="1"/>
  <c r="AA55" i="1"/>
  <c r="W55" i="1" s="1"/>
  <c r="T47" i="1"/>
  <c r="U47" i="1" s="1"/>
  <c r="S47" i="1" s="1"/>
  <c r="X47" i="1"/>
  <c r="AA40" i="1"/>
  <c r="W40" i="1" s="1"/>
  <c r="T39" i="1"/>
  <c r="U39" i="1" s="1"/>
  <c r="S39" i="1" s="1"/>
  <c r="X39" i="1"/>
  <c r="AA31" i="1"/>
  <c r="W31" i="1" s="1"/>
  <c r="T25" i="1"/>
  <c r="U25" i="1" s="1"/>
  <c r="S25" i="1" s="1"/>
  <c r="X25" i="1"/>
  <c r="AA23" i="1"/>
  <c r="W23" i="1" s="1"/>
  <c r="T18" i="1"/>
  <c r="U18" i="1" s="1"/>
  <c r="S18" i="1" s="1"/>
  <c r="X18" i="1"/>
  <c r="T14" i="1"/>
  <c r="U14" i="1" s="1"/>
  <c r="S14" i="1" s="1"/>
  <c r="AA32" i="1"/>
  <c r="W32" i="1" s="1"/>
  <c r="AA30" i="1"/>
  <c r="W30" i="1" s="1"/>
  <c r="AA28" i="1"/>
  <c r="W28" i="1" s="1"/>
  <c r="AA24" i="1"/>
  <c r="W24" i="1" s="1"/>
  <c r="AA22" i="1"/>
  <c r="W22" i="1" s="1"/>
  <c r="AA20" i="1"/>
  <c r="W20" i="1" s="1"/>
  <c r="AA19" i="1"/>
  <c r="W19" i="1" s="1"/>
  <c r="W17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T19" i="1"/>
  <c r="U19" i="1" s="1"/>
  <c r="S19" i="1" s="1"/>
  <c r="X19" i="1"/>
  <c r="T17" i="1"/>
  <c r="U17" i="1" s="1"/>
  <c r="S17" i="1" s="1"/>
  <c r="X17" i="1"/>
  <c r="T15" i="1"/>
  <c r="U15" i="1" s="1"/>
  <c r="S15" i="1" s="1"/>
  <c r="X15" i="1"/>
  <c r="AD20" i="3"/>
  <c r="T7" i="3"/>
  <c r="AE35" i="3"/>
  <c r="AE32" i="3"/>
  <c r="AD34" i="3"/>
  <c r="AD30" i="3"/>
  <c r="T15" i="3"/>
  <c r="AD37" i="3"/>
  <c r="AE36" i="3"/>
  <c r="T21" i="3"/>
  <c r="AD33" i="3"/>
  <c r="AE31" i="3"/>
  <c r="T23" i="3"/>
  <c r="AE28" i="3"/>
  <c r="T33" i="3"/>
  <c r="AD26" i="3"/>
  <c r="AE25" i="3"/>
  <c r="AE24" i="3"/>
  <c r="T9" i="3"/>
  <c r="AD22" i="3"/>
  <c r="AE21" i="3"/>
  <c r="T31" i="3"/>
  <c r="AE19" i="3"/>
  <c r="AE18" i="3"/>
  <c r="T35" i="3"/>
  <c r="AD16" i="3"/>
  <c r="AD15" i="3"/>
  <c r="T19" i="3"/>
  <c r="AE11" i="3"/>
  <c r="AE10" i="3"/>
  <c r="AE15" i="3"/>
  <c r="AD13" i="3"/>
  <c r="AD9" i="3"/>
  <c r="AD23" i="3"/>
  <c r="AD17" i="3"/>
  <c r="AD12" i="3"/>
  <c r="AD8" i="3"/>
  <c r="T10" i="3"/>
  <c r="AE37" i="3"/>
  <c r="AD36" i="3"/>
  <c r="T13" i="3"/>
  <c r="AE33" i="3"/>
  <c r="AD32" i="3"/>
  <c r="T37" i="3"/>
  <c r="AE29" i="3"/>
  <c r="AD28" i="3"/>
  <c r="T22" i="3"/>
  <c r="AE26" i="3"/>
  <c r="AD25" i="3"/>
  <c r="T36" i="3"/>
  <c r="AE22" i="3"/>
  <c r="AD21" i="3"/>
  <c r="T16" i="3"/>
  <c r="AD19" i="3"/>
  <c r="AE16" i="3"/>
  <c r="AE14" i="3"/>
  <c r="AC14" i="3"/>
  <c r="AC25" i="3"/>
  <c r="AC12" i="3"/>
  <c r="AC26" i="3"/>
  <c r="AC8" i="3"/>
  <c r="AC34" i="3"/>
  <c r="AD11" i="3"/>
  <c r="Y14" i="3"/>
  <c r="Y25" i="3"/>
  <c r="Y12" i="3"/>
  <c r="Y26" i="3"/>
  <c r="Y8" i="3"/>
  <c r="Y34" i="3"/>
  <c r="Y27" i="3"/>
  <c r="Y10" i="3"/>
  <c r="Y13" i="3"/>
  <c r="Y22" i="3"/>
  <c r="Y36" i="3"/>
  <c r="Y15" i="3"/>
  <c r="Y21" i="3"/>
  <c r="Y23" i="3"/>
  <c r="Y33" i="3"/>
  <c r="Y9" i="3"/>
  <c r="Y31" i="3"/>
  <c r="Y35" i="3"/>
  <c r="Y7" i="3"/>
  <c r="Y37" i="3"/>
  <c r="Y16" i="3"/>
  <c r="Y19" i="3"/>
  <c r="Y11" i="3"/>
  <c r="Y17" i="3"/>
  <c r="Y18" i="3"/>
  <c r="Y24" i="3"/>
  <c r="Y32" i="3"/>
  <c r="Y30" i="3"/>
  <c r="Y20" i="3"/>
  <c r="Y29" i="3"/>
  <c r="AC11" i="3"/>
  <c r="AC17" i="3"/>
  <c r="AC18" i="3"/>
  <c r="AC24" i="3"/>
  <c r="AC32" i="3"/>
  <c r="AC30" i="3"/>
  <c r="AC20" i="3"/>
  <c r="AC29" i="3"/>
  <c r="T11" i="3"/>
  <c r="T17" i="3"/>
  <c r="AD35" i="3"/>
  <c r="AE34" i="3"/>
  <c r="T18" i="3"/>
  <c r="AD31" i="3"/>
  <c r="AE30" i="3"/>
  <c r="T24" i="3"/>
  <c r="AD27" i="3"/>
  <c r="AD24" i="3"/>
  <c r="AE23" i="3"/>
  <c r="T32" i="3"/>
  <c r="AE20" i="3"/>
  <c r="T30" i="3"/>
  <c r="AD18" i="3"/>
  <c r="AE17" i="3"/>
  <c r="T20" i="3"/>
  <c r="AD14" i="3"/>
  <c r="AE13" i="3"/>
  <c r="AD10" i="3"/>
  <c r="AE9" i="3"/>
  <c r="T29" i="3"/>
  <c r="AE12" i="3"/>
  <c r="AE8" i="3"/>
  <c r="Y28" i="3"/>
  <c r="T28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D3" i="6" s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D4" i="6" s="1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N14" i="3" s="1"/>
  <c r="G235" i="4"/>
  <c r="N11" i="3" s="1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N27" i="3" s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9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7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20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6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9" i="3" s="1"/>
  <c r="G131" i="4"/>
  <c r="G132" i="4"/>
  <c r="G133" i="4"/>
  <c r="G134" i="4"/>
  <c r="N36" i="3" s="1"/>
  <c r="G135" i="4"/>
  <c r="G136" i="4"/>
  <c r="G137" i="4"/>
  <c r="G138" i="4"/>
  <c r="G139" i="4"/>
  <c r="G140" i="4"/>
  <c r="G141" i="4"/>
  <c r="N8" i="3" s="1"/>
  <c r="G142" i="4"/>
  <c r="N33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24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N23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21" i="3" s="1"/>
  <c r="G210" i="4"/>
  <c r="G211" i="4"/>
  <c r="G212" i="4"/>
  <c r="N25" i="3" s="1"/>
  <c r="G213" i="4"/>
  <c r="N13" i="3" s="1"/>
  <c r="G214" i="4"/>
  <c r="G215" i="4"/>
  <c r="G216" i="4"/>
  <c r="G217" i="4"/>
  <c r="G218" i="4"/>
  <c r="G219" i="4"/>
  <c r="G220" i="4"/>
  <c r="G221" i="4"/>
  <c r="G222" i="4"/>
  <c r="G223" i="4"/>
  <c r="G2" i="4"/>
  <c r="N18" i="3" l="1"/>
  <c r="N12" i="3"/>
  <c r="N26" i="3"/>
  <c r="N22" i="3"/>
  <c r="N32" i="3"/>
  <c r="N35" i="3"/>
  <c r="N28" i="3"/>
  <c r="N19" i="3"/>
  <c r="N34" i="3"/>
  <c r="N37" i="3"/>
  <c r="N31" i="3"/>
  <c r="N30" i="3"/>
  <c r="N10" i="3"/>
  <c r="N17" i="3"/>
  <c r="N1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<sst xmlns="http://schemas.openxmlformats.org/spreadsheetml/2006/main" count="2866" uniqueCount="1087">
  <si>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</si>
  <si>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</si>
  <si>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</si>
  <si>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</si>
  <si>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</si>
  <si>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</si>
  <si>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</si>
  <si>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</si>
  <si>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</si>
  <si>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</si>
  <si>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</si>
  <si>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</si>
  <si>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</si>
  <si>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</si>
  <si>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</si>
  <si>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</si>
  <si>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</si>
  <si>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</si>
  <si>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</si>
  <si>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</si>
  <si>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</si>
  <si>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</si>
  <si>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</si>
  <si>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</si>
  <si>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</si>
  <si>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</si>
  <si>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</si>
  <si>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</si>
  <si>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</si>
  <si>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</si>
  <si>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</si>
  <si>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</si>
  <si>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</si>
  <si>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</si>
  <si>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</si>
  <si>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</si>
  <si>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</si>
  <si>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</si>
  <si>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</si>
  <si>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</si>
  <si>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</si>
  <si>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</si>
  <si>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</si>
  <si>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</si>
  <si>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</si>
  <si>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</si>
  <si>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</si>
  <si>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</si>
  <si>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</si>
  <si>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</si>
  <si>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</si>
  <si>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</si>
  <si>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</si>
  <si>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</si>
  <si>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</si>
  <si>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</si>
  <si>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</si>
  <si>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</si>
  <si>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</si>
  <si>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</si>
  <si>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</si>
  <si>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</si>
  <si>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</si>
  <si>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</si>
  <si>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</si>
  <si>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</si>
  <si>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</si>
  <si>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</si>
  <si>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</si>
  <si>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</si>
  <si>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</si>
  <si>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</si>
  <si>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</si>
  <si>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</si>
  <si>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</si>
  <si>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</si>
  <si>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</si>
  <si>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</si>
  <si>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</si>
  <si>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</si>
  <si>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</si>
  <si>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</si>
  <si>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</si>
  <si>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</si>
  <si>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</si>
  <si>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</si>
  <si>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</si>
  <si>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</si>
  <si>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</si>
  <si>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</si>
  <si>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</si>
  <si>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</si>
  <si>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</si>
  <si>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</si>
  <si>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</si>
  <si>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</si>
  <si>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</si>
  <si>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</si>
  <si>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</si>
  <si>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</si>
  <si>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</si>
  <si>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</si>
  <si>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</si>
  <si>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</si>
  <si>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</si>
  <si>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</si>
  <si>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</si>
  <si>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</si>
  <si>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</si>
  <si>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</si>
  <si>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</si>
  <si>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</si>
  <si>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</si>
  <si>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</si>
  <si>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</si>
  <si>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</si>
  <si>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</si>
  <si>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</si>
  <si>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</si>
  <si>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</si>
  <si>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</si>
  <si>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</si>
  <si>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</si>
  <si>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</si>
  <si>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</si>
  <si>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</si>
  <si>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</si>
  <si>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</si>
  <si>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</si>
  <si>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</si>
  <si>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</si>
  <si>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</si>
  <si>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</si>
  <si>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</si>
  <si>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</si>
  <si>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</si>
  <si>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</si>
  <si>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</si>
  <si>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</si>
  <si>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</si>
  <si>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</si>
  <si>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</si>
  <si>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</si>
  <si>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</si>
  <si>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</si>
  <si>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</si>
  <si>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</si>
  <si>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</si>
  <si>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</si>
  <si>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</si>
  <si>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</si>
  <si>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</si>
  <si>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</si>
  <si>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</si>
  <si>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</si>
  <si>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</si>
  <si>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</si>
  <si>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</si>
  <si>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</si>
  <si>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</si>
  <si>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</si>
  <si>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</si>
  <si>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</si>
  <si>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</si>
  <si>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</si>
  <si>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</si>
  <si>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</si>
  <si>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</si>
  <si>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</si>
  <si>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</si>
  <si>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</si>
  <si>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</si>
  <si>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</si>
  <si>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</si>
  <si>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</si>
  <si>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</si>
  <si>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</si>
  <si>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</si>
  <si>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</si>
  <si>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</si>
  <si>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</si>
  <si>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</si>
  <si>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</si>
  <si>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</si>
  <si>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</si>
  <si>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</si>
  <si>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</si>
  <si>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</si>
  <si>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</si>
  <si>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</si>
  <si>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</si>
  <si>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</si>
  <si>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</si>
  <si>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</si>
  <si>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</si>
  <si>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</si>
  <si>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</si>
  <si>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</si>
  <si>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</si>
  <si>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</si>
  <si>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</si>
  <si>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</si>
  <si>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</si>
  <si>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</si>
  <si>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</si>
  <si>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</si>
  <si>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</si>
  <si>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</si>
  <si>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</si>
  <si>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</si>
  <si>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</si>
  <si>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</si>
  <si>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</si>
  <si>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</si>
  <si>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</si>
  <si>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</si>
  <si>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</si>
  <si>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</si>
  <si>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</si>
  <si>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</si>
  <si>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</si>
  <si>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</si>
  <si>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</si>
  <si>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</si>
  <si>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</si>
  <si>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</si>
  <si>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</si>
  <si>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</si>
  <si>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</si>
  <si>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</si>
  <si>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</si>
  <si>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</si>
  <si>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</si>
  <si>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</si>
  <si>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</si>
  <si>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</si>
  <si>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</si>
  <si>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</si>
  <si>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</si>
  <si>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</si>
  <si>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</si>
  <si>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</si>
  <si>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</si>
  <si>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</si>
  <si>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</si>
  <si>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</si>
  <si>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</si>
  <si>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</si>
  <si>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</si>
  <si>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</si>
  <si>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</si>
  <si>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</si>
  <si>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</si>
  <si>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</si>
  <si>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</si>
  <si>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</si>
  <si>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</si>
  <si>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</si>
  <si>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</si>
  <si>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</si>
  <si>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</si>
  <si>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</si>
  <si>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</si>
  <si>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</si>
  <si>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</si>
  <si>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</si>
  <si>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</si>
  <si>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</si>
  <si>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</si>
  <si>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</si>
  <si>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</si>
  <si>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</si>
  <si>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</si>
  <si>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</si>
  <si>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</si>
  <si>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</si>
  <si>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</si>
  <si>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</si>
  <si>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</si>
  <si>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</si>
  <si>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</si>
  <si>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</si>
  <si>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</si>
  <si>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</si>
  <si>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</si>
  <si>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</si>
  <si>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</si>
  <si>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</si>
  <si>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</si>
  <si>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</si>
  <si>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</si>
  <si>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</si>
  <si>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</si>
  <si>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</si>
  <si>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</si>
  <si>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</si>
  <si>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</si>
  <si>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</si>
  <si>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</si>
  <si>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</si>
  <si>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</si>
  <si>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</si>
  <si>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</si>
  <si>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</si>
  <si>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</si>
  <si>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</si>
  <si>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</si>
  <si>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</si>
  <si>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</si>
  <si>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</si>
  <si>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</si>
  <si>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</si>
  <si>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</si>
  <si>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</si>
  <si>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</si>
  <si>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</si>
  <si>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</si>
  <si>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</si>
  <si>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</si>
  <si>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</si>
  <si>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</si>
  <si>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</si>
  <si>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</si>
  <si>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</si>
  <si>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</si>
  <si>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</si>
  <si>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</si>
  <si>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</si>
  <si>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</si>
  <si>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</si>
  <si>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</si>
  <si>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</si>
  <si>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</si>
  <si>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</si>
  <si>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</si>
  <si>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</si>
  <si>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</si>
  <si>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</si>
  <si>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</si>
  <si>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</si>
  <si>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</si>
  <si>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</si>
  <si>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</si>
  <si>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</si>
  <si>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</si>
  <si>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</si>
  <si>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</si>
  <si>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</si>
  <si>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</si>
  <si>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</si>
  <si>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</si>
  <si>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</si>
  <si>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</si>
  <si>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</si>
  <si>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</si>
  <si>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</si>
  <si>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</si>
  <si>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</si>
  <si>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</si>
  <si>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</si>
  <si>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</si>
  <si>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</si>
  <si>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</si>
  <si>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</si>
  <si>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</si>
  <si>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</si>
  <si>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</si>
  <si>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</si>
  <si>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</si>
  <si>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</si>
  <si>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</si>
  <si>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</si>
  <si>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</si>
  <si>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</si>
  <si>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</si>
  <si>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</si>
  <si>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</si>
  <si>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</si>
  <si>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</si>
  <si>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</si>
  <si>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</si>
  <si>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</si>
  <si>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</si>
  <si>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</si>
  <si>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</si>
  <si>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</si>
  <si>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</si>
  <si>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</si>
  <si>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</si>
  <si>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</si>
  <si>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</si>
  <si>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</si>
  <si>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</si>
  <si>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</si>
  <si>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</si>
  <si>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</si>
  <si>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</si>
  <si>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</si>
  <si>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</si>
  <si>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</si>
  <si>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</si>
  <si>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</si>
  <si>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</si>
  <si>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</si>
  <si>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</si>
  <si>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</si>
  <si>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</si>
  <si>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</si>
  <si>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</si>
  <si>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</si>
  <si>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</si>
  <si>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</si>
  <si>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</si>
  <si>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</si>
  <si>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</si>
  <si>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</si>
  <si>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</si>
  <si>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</si>
  <si>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</si>
  <si>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</si>
  <si>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</si>
  <si>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</si>
  <si>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</si>
  <si>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</si>
  <si>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</si>
  <si>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</si>
  <si>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</si>
  <si>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</si>
  <si>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</si>
  <si>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</si>
  <si>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</si>
  <si>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</si>
  <si>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</si>
  <si>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</si>
  <si>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</si>
  <si>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</si>
  <si>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</si>
  <si>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</si>
  <si>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</si>
  <si>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</si>
  <si>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</si>
  <si>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</si>
  <si>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</si>
  <si>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</si>
  <si>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</si>
  <si>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</si>
  <si>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</si>
  <si>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</si>
  <si>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</si>
  <si>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</si>
  <si>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</si>
  <si>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</si>
  <si>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</si>
  <si>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</si>
  <si>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</si>
  <si>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</si>
  <si>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</si>
  <si>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</si>
  <si>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Wi-MAX data drop</t>
  </si>
  <si>
    <t>204:225</t>
  </si>
  <si>
    <t>ANDERS</t>
  </si>
  <si>
    <t>STEVEN</t>
  </si>
  <si>
    <t>rtdc.l.rtdc.4009:itc</t>
  </si>
  <si>
    <t>204:201</t>
  </si>
  <si>
    <t>rtdc.l.rtdc.4044:itc</t>
  </si>
  <si>
    <t>204:205</t>
  </si>
  <si>
    <t>204:517</t>
  </si>
  <si>
    <t>DAVID</t>
  </si>
  <si>
    <t>204:200</t>
  </si>
  <si>
    <t>rtdc.l.rtdc.4019:itc</t>
  </si>
  <si>
    <t>rtdc.l.rtdc.4020:itc</t>
  </si>
  <si>
    <t>204:489</t>
  </si>
  <si>
    <t>204:214</t>
  </si>
  <si>
    <t>SWITCH UNKNOWN</t>
  </si>
  <si>
    <t>Track device (7)</t>
  </si>
  <si>
    <t>204:508</t>
  </si>
  <si>
    <t>rtdc.l.rtdc.4033:itc</t>
  </si>
  <si>
    <t>rtdc.l.rtdc.4064:itc</t>
  </si>
  <si>
    <t>204:515</t>
  </si>
  <si>
    <t>204:498</t>
  </si>
  <si>
    <t>204:172</t>
  </si>
  <si>
    <t>204:211</t>
  </si>
  <si>
    <t>204:469</t>
  </si>
  <si>
    <t>204:218</t>
  </si>
  <si>
    <t>rtdc.l.rtdc.4063:itc</t>
  </si>
  <si>
    <t>clear-day</t>
  </si>
  <si>
    <t>Clear</t>
  </si>
  <si>
    <t>clear-night</t>
  </si>
  <si>
    <t>204:232983</t>
  </si>
  <si>
    <t>204:540</t>
  </si>
  <si>
    <t>204:551</t>
  </si>
  <si>
    <t>204:232942</t>
  </si>
  <si>
    <t>rtdc.l.rtdc.4034:itc</t>
  </si>
  <si>
    <t>FORTUNATO</t>
  </si>
  <si>
    <t>FRANK</t>
  </si>
  <si>
    <t>204:152</t>
  </si>
  <si>
    <t>204:533</t>
  </si>
  <si>
    <t>204:232972</t>
  </si>
  <si>
    <t>204:231</t>
  </si>
  <si>
    <t>204:504</t>
  </si>
  <si>
    <t>204:437</t>
  </si>
  <si>
    <t>204:482</t>
  </si>
  <si>
    <t>204:233286</t>
  </si>
  <si>
    <t>204:260</t>
  </si>
  <si>
    <t>204:513</t>
  </si>
  <si>
    <t>rtdc.l.rtdc.4045:itc</t>
  </si>
  <si>
    <t>rtdc.l.rtdc.4046:itc</t>
  </si>
  <si>
    <t>rtdc.l.rtdc.4015:itc</t>
  </si>
  <si>
    <t>rtdc.l.rtdc.4043:itc</t>
  </si>
  <si>
    <t>rtdc.l.rtdc.4056:itc</t>
  </si>
  <si>
    <t>DONTE</t>
  </si>
  <si>
    <t>rtdc.l.rtdc.4016:itc</t>
  </si>
  <si>
    <t>WEST</t>
  </si>
  <si>
    <t>BRYAN</t>
  </si>
  <si>
    <t>204:149</t>
  </si>
  <si>
    <t>204:233289</t>
  </si>
  <si>
    <t>204:233297</t>
  </si>
  <si>
    <t>204:488</t>
  </si>
  <si>
    <t>204:187</t>
  </si>
  <si>
    <t>204:455</t>
  </si>
  <si>
    <t>204:509</t>
  </si>
  <si>
    <t>204:233336</t>
  </si>
  <si>
    <t>204:181</t>
  </si>
  <si>
    <t>204:233317</t>
  </si>
  <si>
    <t>204:212</t>
  </si>
  <si>
    <t>204:185</t>
  </si>
  <si>
    <t>204:240</t>
  </si>
  <si>
    <t>LESTER</t>
  </si>
  <si>
    <t>DELGADO</t>
  </si>
  <si>
    <t>DIANAH</t>
  </si>
  <si>
    <t>MACDONALD</t>
  </si>
  <si>
    <t>THOMAS</t>
  </si>
  <si>
    <t>ROMERO</t>
  </si>
  <si>
    <t>CHAD</t>
  </si>
  <si>
    <t>Partly Cloudy</t>
  </si>
  <si>
    <t>partly-cloudy-night</t>
  </si>
  <si>
    <t>204:233287</t>
  </si>
  <si>
    <t>204:232927</t>
  </si>
  <si>
    <t>204:232965</t>
  </si>
  <si>
    <t>204:154</t>
  </si>
  <si>
    <t>204:232963</t>
  </si>
  <si>
    <t>204:233000</t>
  </si>
  <si>
    <t>204:233311</t>
  </si>
  <si>
    <t>204:178</t>
  </si>
  <si>
    <t>204:464</t>
  </si>
  <si>
    <t>204:495</t>
  </si>
  <si>
    <t>204:502</t>
  </si>
  <si>
    <t>204:471</t>
  </si>
  <si>
    <t>204:478</t>
  </si>
  <si>
    <t>204:233246</t>
  </si>
  <si>
    <t>204:232953</t>
  </si>
  <si>
    <t>204:555</t>
  </si>
  <si>
    <t>300:23308</t>
  </si>
  <si>
    <t>Poor GPS under Wewatta St. overpass</t>
  </si>
  <si>
    <t>rtdc.l.rtdc.4025:itc</t>
  </si>
  <si>
    <t>rtdc.l.rtdc.4014:itc</t>
  </si>
  <si>
    <t>TRACK WARRANT AUTHORITY</t>
  </si>
  <si>
    <t>Form based authority (4)</t>
  </si>
  <si>
    <t>rtdc.l.rtdc.4041:itc</t>
  </si>
  <si>
    <t>rtdc.l.rtdc.4013:itc</t>
  </si>
  <si>
    <t>rtdc.l.rtdc.4026:itc</t>
  </si>
  <si>
    <t>KILLION</t>
  </si>
  <si>
    <t>rtdc.l.rtdc.4021:itc</t>
  </si>
  <si>
    <t>SPECTOR</t>
  </si>
  <si>
    <t>204:233321</t>
  </si>
  <si>
    <t>204:233245</t>
  </si>
  <si>
    <t>204:233281</t>
  </si>
  <si>
    <t>204:232976</t>
  </si>
  <si>
    <t>204:233274</t>
  </si>
  <si>
    <t>204:449</t>
  </si>
  <si>
    <t>204:169</t>
  </si>
  <si>
    <t>204:233283</t>
  </si>
  <si>
    <t>204:170</t>
  </si>
  <si>
    <t>204:233322</t>
  </si>
  <si>
    <t>204:232973</t>
  </si>
  <si>
    <t>204:477</t>
  </si>
  <si>
    <t>204:233293</t>
  </si>
  <si>
    <t>204:232971</t>
  </si>
  <si>
    <t>204:233309</t>
  </si>
  <si>
    <t>204:145</t>
  </si>
  <si>
    <t>204:233221</t>
  </si>
  <si>
    <t>204:180</t>
  </si>
  <si>
    <t>204:233259</t>
  </si>
  <si>
    <t>204:232934</t>
  </si>
  <si>
    <t>204:233308</t>
  </si>
  <si>
    <t>204:223</t>
  </si>
  <si>
    <t>204:232926</t>
  </si>
  <si>
    <t>204:183</t>
  </si>
  <si>
    <t>204:158</t>
  </si>
  <si>
    <t>204:537</t>
  </si>
  <si>
    <t>204:233306</t>
  </si>
  <si>
    <t>204:473</t>
  </si>
  <si>
    <t>300:58611</t>
  </si>
  <si>
    <t>300:58600</t>
  </si>
  <si>
    <t>204:148</t>
  </si>
  <si>
    <t>300:58997</t>
  </si>
  <si>
    <t>300:58677</t>
  </si>
  <si>
    <t>204:453</t>
  </si>
  <si>
    <t>300:58988</t>
  </si>
  <si>
    <t>204:232978</t>
  </si>
  <si>
    <t>204:506</t>
  </si>
  <si>
    <t>204:232957</t>
  </si>
  <si>
    <t>204:220</t>
  </si>
  <si>
    <t>204:233285</t>
  </si>
  <si>
    <t>204:466</t>
  </si>
  <si>
    <t>204:232979</t>
  </si>
  <si>
    <t>204:232964</t>
  </si>
  <si>
    <t>204:243</t>
  </si>
  <si>
    <t>204:265</t>
  </si>
  <si>
    <t>204:232936</t>
  </si>
  <si>
    <t>204:553</t>
  </si>
  <si>
    <t>204:559</t>
  </si>
  <si>
    <t>204:233234</t>
  </si>
  <si>
    <t>300:23310</t>
  </si>
  <si>
    <t>300:23306</t>
  </si>
  <si>
    <t>GRADE CROSSING</t>
  </si>
  <si>
    <t>rtdc.l.rtdc.4054:itc</t>
  </si>
  <si>
    <t>908-08</t>
  </si>
  <si>
    <t>Early Arrival</t>
  </si>
  <si>
    <t>DAVIDSON</t>
  </si>
  <si>
    <t>rtdc.l.rtdc.4053:itc</t>
  </si>
  <si>
    <t>LANGERAK</t>
  </si>
  <si>
    <t>WILLIAM</t>
  </si>
  <si>
    <t>ROBINSON</t>
  </si>
  <si>
    <t>KADDIBA</t>
  </si>
  <si>
    <t>STEWART</t>
  </si>
  <si>
    <t>LONG</t>
  </si>
  <si>
    <t>FULLER</t>
  </si>
  <si>
    <t>LORI</t>
  </si>
  <si>
    <t>SANTOS</t>
  </si>
  <si>
    <t>241-08</t>
  </si>
  <si>
    <t>238-08</t>
  </si>
  <si>
    <t>300-09</t>
  </si>
  <si>
    <t>204:233295</t>
  </si>
  <si>
    <t>204:232977</t>
  </si>
  <si>
    <t>204:493</t>
  </si>
  <si>
    <t>204:232970</t>
  </si>
  <si>
    <t>204:238</t>
  </si>
  <si>
    <t>204:233291</t>
  </si>
  <si>
    <t>204:176</t>
  </si>
  <si>
    <t>204:232889</t>
  </si>
  <si>
    <t>204:233261</t>
  </si>
  <si>
    <t>204:232950</t>
  </si>
  <si>
    <t>204:528</t>
  </si>
  <si>
    <t>204:451</t>
  </si>
  <si>
    <t>204:233276</t>
  </si>
  <si>
    <t>204:232955</t>
  </si>
  <si>
    <t>204:232945</t>
  </si>
  <si>
    <t>204:189</t>
  </si>
  <si>
    <t>204:467</t>
  </si>
  <si>
    <t>204:233013</t>
  </si>
  <si>
    <t>204:233268</t>
  </si>
  <si>
    <t>204:232947</t>
  </si>
  <si>
    <t>204:233334</t>
  </si>
  <si>
    <t>204:229</t>
  </si>
  <si>
    <t>204:161</t>
  </si>
  <si>
    <t>204:233021</t>
  </si>
  <si>
    <t>204:232966</t>
  </si>
  <si>
    <t>204:232968</t>
  </si>
  <si>
    <t>204:232948</t>
  </si>
  <si>
    <t>204:227</t>
  </si>
  <si>
    <t>204:232974</t>
  </si>
  <si>
    <t>204:232</t>
  </si>
  <si>
    <t>204:233278</t>
  </si>
  <si>
    <t>204:497</t>
  </si>
  <si>
    <t>204:233230</t>
  </si>
  <si>
    <t>204:233255</t>
  </si>
  <si>
    <t>204:549</t>
  </si>
  <si>
    <t>204:150</t>
  </si>
  <si>
    <t>300:23302</t>
  </si>
  <si>
    <t>300:112578</t>
  </si>
  <si>
    <t>204:1162</t>
  </si>
  <si>
    <t>300:112258</t>
  </si>
  <si>
    <t>204:165</t>
  </si>
  <si>
    <t>204:470</t>
  </si>
  <si>
    <t>204:446</t>
  </si>
  <si>
    <t>300:58623</t>
  </si>
  <si>
    <t>204:146</t>
  </si>
  <si>
    <t>204:151</t>
  </si>
  <si>
    <t>204:484</t>
  </si>
  <si>
    <t>204:432</t>
  </si>
  <si>
    <t>300:58935</t>
  </si>
  <si>
    <t>300:58619</t>
  </si>
  <si>
    <t>300:58928</t>
  </si>
  <si>
    <t>204:144</t>
  </si>
  <si>
    <t>204:448</t>
  </si>
  <si>
    <t>300:58621</t>
  </si>
  <si>
    <t>204:131</t>
  </si>
  <si>
    <t>204:433</t>
  </si>
  <si>
    <t>300:58937</t>
  </si>
  <si>
    <t>300:58941</t>
  </si>
  <si>
    <t>300:58624</t>
  </si>
  <si>
    <t>204:133</t>
  </si>
  <si>
    <t>300:58630</t>
  </si>
  <si>
    <t>204:442</t>
  </si>
  <si>
    <t>300:58617</t>
  </si>
  <si>
    <t>204:142</t>
  </si>
  <si>
    <t>300:58613</t>
  </si>
  <si>
    <t>300:58933</t>
  </si>
  <si>
    <t>204:140</t>
  </si>
  <si>
    <t>204:157</t>
  </si>
  <si>
    <t>204:126</t>
  </si>
  <si>
    <t>304-09</t>
  </si>
  <si>
    <t>rtdc.l.rtdc.4039:itc</t>
  </si>
  <si>
    <t>902-09</t>
  </si>
  <si>
    <t>126-09</t>
  </si>
  <si>
    <t>65-09</t>
  </si>
  <si>
    <t>814-09</t>
  </si>
  <si>
    <t>140-09</t>
  </si>
  <si>
    <t>147-09</t>
  </si>
  <si>
    <t>64-09</t>
  </si>
  <si>
    <t>66-09</t>
  </si>
  <si>
    <t>161-09</t>
  </si>
  <si>
    <t>63-09</t>
  </si>
  <si>
    <t>172-09</t>
  </si>
  <si>
    <t>67-09</t>
  </si>
  <si>
    <t>180-09</t>
  </si>
  <si>
    <t>68-09</t>
  </si>
  <si>
    <t>827-09</t>
  </si>
  <si>
    <t>828-09</t>
  </si>
  <si>
    <t>832-09</t>
  </si>
  <si>
    <t>217-09</t>
  </si>
  <si>
    <t>rtdc.l.rtdc.4040:itc</t>
  </si>
  <si>
    <t>841-09</t>
  </si>
  <si>
    <t>223-09</t>
  </si>
  <si>
    <t>840-09</t>
  </si>
  <si>
    <t>222-09</t>
  </si>
  <si>
    <t>235-09</t>
  </si>
  <si>
    <t>234-09</t>
  </si>
  <si>
    <t>101-09</t>
  </si>
  <si>
    <t>51-09</t>
  </si>
  <si>
    <t>52-09</t>
  </si>
  <si>
    <t>103-09</t>
  </si>
  <si>
    <t>BONDS</t>
  </si>
  <si>
    <t>REYNALDO</t>
  </si>
  <si>
    <t>102-09</t>
  </si>
  <si>
    <t>61-09</t>
  </si>
  <si>
    <t>306-09</t>
  </si>
  <si>
    <t>105-09</t>
  </si>
  <si>
    <t>62-09</t>
  </si>
  <si>
    <t>107-09</t>
  </si>
  <si>
    <t>308-09</t>
  </si>
  <si>
    <t>LAMAR</t>
  </si>
  <si>
    <t>NEKESHA</t>
  </si>
  <si>
    <t>104-09</t>
  </si>
  <si>
    <t>901-09</t>
  </si>
  <si>
    <t>109-09</t>
  </si>
  <si>
    <t>310-09</t>
  </si>
  <si>
    <t>YANAI</t>
  </si>
  <si>
    <t>IAN</t>
  </si>
  <si>
    <t>800-09</t>
  </si>
  <si>
    <t>111-09</t>
  </si>
  <si>
    <t>113-09</t>
  </si>
  <si>
    <t>108-09</t>
  </si>
  <si>
    <t>106-09</t>
  </si>
  <si>
    <t>312-09</t>
  </si>
  <si>
    <t>115-09</t>
  </si>
  <si>
    <t>801-09</t>
  </si>
  <si>
    <t>112-09</t>
  </si>
  <si>
    <t>110-09</t>
  </si>
  <si>
    <t>117-09</t>
  </si>
  <si>
    <t>114-09</t>
  </si>
  <si>
    <t>802-09</t>
  </si>
  <si>
    <t>119-09</t>
  </si>
  <si>
    <t>803-09</t>
  </si>
  <si>
    <t>121-09</t>
  </si>
  <si>
    <t>116-09</t>
  </si>
  <si>
    <t>118-09</t>
  </si>
  <si>
    <t>805-09</t>
  </si>
  <si>
    <t>123-09</t>
  </si>
  <si>
    <t>804-09</t>
  </si>
  <si>
    <t>125-09</t>
  </si>
  <si>
    <t>127-09</t>
  </si>
  <si>
    <t>120-09</t>
  </si>
  <si>
    <t>806-09</t>
  </si>
  <si>
    <t>807-09</t>
  </si>
  <si>
    <t>122-09</t>
  </si>
  <si>
    <t>129-09</t>
  </si>
  <si>
    <t>124-09</t>
  </si>
  <si>
    <t>808-09</t>
  </si>
  <si>
    <t>131-09</t>
  </si>
  <si>
    <t>809-09</t>
  </si>
  <si>
    <t>128-09</t>
  </si>
  <si>
    <t>133-09</t>
  </si>
  <si>
    <t>135-09</t>
  </si>
  <si>
    <t>810-09</t>
  </si>
  <si>
    <t>811-09</t>
  </si>
  <si>
    <t>130-09</t>
  </si>
  <si>
    <t>137-09</t>
  </si>
  <si>
    <t>139-09</t>
  </si>
  <si>
    <t>132-09</t>
  </si>
  <si>
    <t>812-09</t>
  </si>
  <si>
    <t>903-09</t>
  </si>
  <si>
    <t>141-09</t>
  </si>
  <si>
    <t>134-09</t>
  </si>
  <si>
    <t>136-09</t>
  </si>
  <si>
    <t>143-09</t>
  </si>
  <si>
    <t>813-09</t>
  </si>
  <si>
    <t>138-09</t>
  </si>
  <si>
    <t>145-09</t>
  </si>
  <si>
    <t>142-09</t>
  </si>
  <si>
    <t>149-09</t>
  </si>
  <si>
    <t>144-09</t>
  </si>
  <si>
    <t>151-09</t>
  </si>
  <si>
    <t>815-09</t>
  </si>
  <si>
    <t>153-09</t>
  </si>
  <si>
    <t>146-09</t>
  </si>
  <si>
    <t>155-09</t>
  </si>
  <si>
    <t>148-09</t>
  </si>
  <si>
    <t>816-09</t>
  </si>
  <si>
    <t>150-09</t>
  </si>
  <si>
    <t>157-09</t>
  </si>
  <si>
    <t>DE LA ROSA</t>
  </si>
  <si>
    <t>ALEX</t>
  </si>
  <si>
    <t>154-09</t>
  </si>
  <si>
    <t>152-09</t>
  </si>
  <si>
    <t>159-09</t>
  </si>
  <si>
    <t>817-09</t>
  </si>
  <si>
    <t>156-09</t>
  </si>
  <si>
    <t>163-09</t>
  </si>
  <si>
    <t>818-09</t>
  </si>
  <si>
    <t>165-09</t>
  </si>
  <si>
    <t>158-09</t>
  </si>
  <si>
    <t>167-09</t>
  </si>
  <si>
    <t>160-09</t>
  </si>
  <si>
    <t>162-09</t>
  </si>
  <si>
    <t>819-09</t>
  </si>
  <si>
    <t>169-09</t>
  </si>
  <si>
    <t>164-09</t>
  </si>
  <si>
    <t>171-09</t>
  </si>
  <si>
    <t>166-09</t>
  </si>
  <si>
    <t>173-09</t>
  </si>
  <si>
    <t>820-09</t>
  </si>
  <si>
    <t>168-09</t>
  </si>
  <si>
    <t>175-09</t>
  </si>
  <si>
    <t>BRUDER</t>
  </si>
  <si>
    <t>RICHARD</t>
  </si>
  <si>
    <t>821-09</t>
  </si>
  <si>
    <t>170-09</t>
  </si>
  <si>
    <t>177-09</t>
  </si>
  <si>
    <t>179-09</t>
  </si>
  <si>
    <t>822-09</t>
  </si>
  <si>
    <t>174-09</t>
  </si>
  <si>
    <t>ZEWDU</t>
  </si>
  <si>
    <t>DEREJE</t>
  </si>
  <si>
    <t>181-09</t>
  </si>
  <si>
    <t>176-09</t>
  </si>
  <si>
    <t>183-09</t>
  </si>
  <si>
    <t>823-09</t>
  </si>
  <si>
    <t>178-09</t>
  </si>
  <si>
    <t>185-09</t>
  </si>
  <si>
    <t>824-09</t>
  </si>
  <si>
    <t>187-09</t>
  </si>
  <si>
    <t>182-09</t>
  </si>
  <si>
    <t>189-09</t>
  </si>
  <si>
    <t>191-09</t>
  </si>
  <si>
    <t>184-09</t>
  </si>
  <si>
    <t>825-09</t>
  </si>
  <si>
    <t>186-09</t>
  </si>
  <si>
    <t>193-09</t>
  </si>
  <si>
    <t>904-09</t>
  </si>
  <si>
    <t>188-09</t>
  </si>
  <si>
    <t>75-09</t>
  </si>
  <si>
    <t>NEWELL</t>
  </si>
  <si>
    <t>826-09</t>
  </si>
  <si>
    <t>195-09</t>
  </si>
  <si>
    <t>190-09</t>
  </si>
  <si>
    <t>197-09</t>
  </si>
  <si>
    <t>192-09</t>
  </si>
  <si>
    <t>199-09</t>
  </si>
  <si>
    <t>829-09</t>
  </si>
  <si>
    <t>194-09</t>
  </si>
  <si>
    <t>201-09</t>
  </si>
  <si>
    <t>196-09</t>
  </si>
  <si>
    <t>830-09</t>
  </si>
  <si>
    <t>203-09</t>
  </si>
  <si>
    <t>831-09</t>
  </si>
  <si>
    <t>198-09</t>
  </si>
  <si>
    <t>205-09</t>
  </si>
  <si>
    <t>200-09</t>
  </si>
  <si>
    <t>207-09</t>
  </si>
  <si>
    <t>833-09</t>
  </si>
  <si>
    <t>202-09</t>
  </si>
  <si>
    <t>209-09</t>
  </si>
  <si>
    <t>LEVERE</t>
  </si>
  <si>
    <t>CRAIG</t>
  </si>
  <si>
    <t>50-09</t>
  </si>
  <si>
    <t>204-09</t>
  </si>
  <si>
    <t>211-09</t>
  </si>
  <si>
    <t>834-09</t>
  </si>
  <si>
    <t>835-09</t>
  </si>
  <si>
    <t>206-09</t>
  </si>
  <si>
    <t>213-09</t>
  </si>
  <si>
    <t>208-09</t>
  </si>
  <si>
    <t>215-09</t>
  </si>
  <si>
    <t>836-09</t>
  </si>
  <si>
    <t>837-09</t>
  </si>
  <si>
    <t>210-09</t>
  </si>
  <si>
    <t>212-09</t>
  </si>
  <si>
    <t>838-09</t>
  </si>
  <si>
    <t>839-09</t>
  </si>
  <si>
    <t>219-09</t>
  </si>
  <si>
    <t>214-09</t>
  </si>
  <si>
    <t>301-09</t>
  </si>
  <si>
    <t>216-09</t>
  </si>
  <si>
    <t>906-09</t>
  </si>
  <si>
    <t>221-09</t>
  </si>
  <si>
    <t>218-09</t>
  </si>
  <si>
    <t>303-09</t>
  </si>
  <si>
    <t>220-09</t>
  </si>
  <si>
    <t>305-09</t>
  </si>
  <si>
    <t>225-09</t>
  </si>
  <si>
    <t>843-09</t>
  </si>
  <si>
    <t>227-09</t>
  </si>
  <si>
    <t>224-09</t>
  </si>
  <si>
    <t>842-09</t>
  </si>
  <si>
    <t>226-09</t>
  </si>
  <si>
    <t>229-09</t>
  </si>
  <si>
    <t>845-09</t>
  </si>
  <si>
    <t>231-09</t>
  </si>
  <si>
    <t>844-09</t>
  </si>
  <si>
    <t>228-09</t>
  </si>
  <si>
    <t>233-09</t>
  </si>
  <si>
    <t>230-09</t>
  </si>
  <si>
    <t>847-09</t>
  </si>
  <si>
    <t>232-09</t>
  </si>
  <si>
    <t>846-09</t>
  </si>
  <si>
    <t>237-09</t>
  </si>
  <si>
    <t>849-09</t>
  </si>
  <si>
    <t>239-09</t>
  </si>
  <si>
    <t>908-09</t>
  </si>
  <si>
    <t>236-09</t>
  </si>
  <si>
    <t>241-09</t>
  </si>
  <si>
    <t>238-09</t>
  </si>
  <si>
    <t>240-09</t>
  </si>
  <si>
    <t>243-09</t>
  </si>
  <si>
    <t>313-09</t>
  </si>
  <si>
    <t>242-09</t>
  </si>
  <si>
    <t>307-09</t>
  </si>
  <si>
    <t>244-09</t>
  </si>
  <si>
    <t>311-09</t>
  </si>
  <si>
    <t>partly-cloudy-day</t>
  </si>
  <si>
    <t>204:759</t>
  </si>
  <si>
    <t>204:928</t>
  </si>
  <si>
    <t>204:233326</t>
  </si>
  <si>
    <t>204:233011</t>
  </si>
  <si>
    <t>204:232996</t>
  </si>
  <si>
    <t>204:233213</t>
  </si>
  <si>
    <t>204:232877</t>
  </si>
  <si>
    <t>204:539</t>
  </si>
  <si>
    <t>204:232911</t>
  </si>
  <si>
    <t>204:245</t>
  </si>
  <si>
    <t>204:233282</t>
  </si>
  <si>
    <t>204:233298</t>
  </si>
  <si>
    <t>204:233190</t>
  </si>
  <si>
    <t>204:232867</t>
  </si>
  <si>
    <t>204:233176</t>
  </si>
  <si>
    <t>204:232870</t>
  </si>
  <si>
    <t>204:233201</t>
  </si>
  <si>
    <t>204:232892</t>
  </si>
  <si>
    <t>204:232959</t>
  </si>
  <si>
    <t>204:232990</t>
  </si>
  <si>
    <t>204:233219</t>
  </si>
  <si>
    <t>204:232902</t>
  </si>
  <si>
    <t>204:234</t>
  </si>
  <si>
    <t>204:233224</t>
  </si>
  <si>
    <t>204:232898</t>
  </si>
  <si>
    <t>204:233329</t>
  </si>
  <si>
    <t>204:232998</t>
  </si>
  <si>
    <t>204:475</t>
  </si>
  <si>
    <t>204:435</t>
  </si>
  <si>
    <t>204:542</t>
  </si>
  <si>
    <t>204:233303</t>
  </si>
  <si>
    <t>204:258</t>
  </si>
  <si>
    <t>204:233215</t>
  </si>
  <si>
    <t>204:232894</t>
  </si>
  <si>
    <t>204:233218</t>
  </si>
  <si>
    <t>204:233019</t>
  </si>
  <si>
    <t>204:289</t>
  </si>
  <si>
    <t>204:511</t>
  </si>
  <si>
    <t>204:232882</t>
  </si>
  <si>
    <t>204:232962</t>
  </si>
  <si>
    <t>204:548</t>
  </si>
  <si>
    <t>204:233232</t>
  </si>
  <si>
    <t>204:1865</t>
  </si>
  <si>
    <t>204:232951</t>
  </si>
  <si>
    <t>204:233199</t>
  </si>
  <si>
    <t>204:232881</t>
  </si>
  <si>
    <t>204:242</t>
  </si>
  <si>
    <t>204:1152</t>
  </si>
  <si>
    <t>204:233203</t>
  </si>
  <si>
    <t>204:233217</t>
  </si>
  <si>
    <t>204:232908</t>
  </si>
  <si>
    <t>204:546</t>
  </si>
  <si>
    <t>204:232888</t>
  </si>
  <si>
    <t>204:233238</t>
  </si>
  <si>
    <t>204:232938</t>
  </si>
  <si>
    <t>204:233229</t>
  </si>
  <si>
    <t>204:584</t>
  </si>
  <si>
    <t>204:232900</t>
  </si>
  <si>
    <t>204:247</t>
  </si>
  <si>
    <t>300:23533</t>
  </si>
  <si>
    <t>300:22692</t>
  </si>
  <si>
    <t>300:22140</t>
  </si>
  <si>
    <t>300:23779</t>
  </si>
  <si>
    <t>300:23716</t>
  </si>
  <si>
    <t>300:23301</t>
  </si>
  <si>
    <t>204:1233</t>
  </si>
  <si>
    <t>204:424</t>
  </si>
  <si>
    <t>204:3554</t>
  </si>
  <si>
    <t>204:3205</t>
  </si>
  <si>
    <t>204:1184</t>
  </si>
  <si>
    <t>204:1503</t>
  </si>
  <si>
    <t>204:3542</t>
  </si>
  <si>
    <t>204:3236</t>
  </si>
  <si>
    <t>300:38970</t>
  </si>
  <si>
    <t>300:38828</t>
  </si>
  <si>
    <t>300:112580</t>
  </si>
  <si>
    <t>300:112199</t>
  </si>
  <si>
    <t>300:38645</t>
  </si>
  <si>
    <t>300:112221</t>
  </si>
  <si>
    <t>300:39222</t>
  </si>
  <si>
    <t>204:1116</t>
  </si>
  <si>
    <t>300:30489</t>
  </si>
  <si>
    <t>300:38697</t>
  </si>
  <si>
    <t>300:112517</t>
  </si>
  <si>
    <t>300:112266</t>
  </si>
  <si>
    <t>300:38376</t>
  </si>
  <si>
    <t>300:112277</t>
  </si>
  <si>
    <t>300:38507</t>
  </si>
  <si>
    <t>300:25118</t>
  </si>
  <si>
    <t>300:24646</t>
  </si>
  <si>
    <t>300:110265</t>
  </si>
  <si>
    <t>300:112570</t>
  </si>
  <si>
    <t>300:39530</t>
  </si>
  <si>
    <t>300:112260</t>
  </si>
  <si>
    <t>300:112264</t>
  </si>
  <si>
    <t>300:39212</t>
  </si>
  <si>
    <t>300:28786</t>
  </si>
  <si>
    <t>204:606</t>
  </si>
  <si>
    <t>300:58615</t>
  </si>
  <si>
    <t>300:58990</t>
  </si>
  <si>
    <t>300:58673</t>
  </si>
  <si>
    <t>300:58969</t>
  </si>
  <si>
    <t>300:58649</t>
  </si>
  <si>
    <t>204:155</t>
  </si>
  <si>
    <t>300:59007</t>
  </si>
  <si>
    <t>300:58688</t>
  </si>
  <si>
    <t>300:58672</t>
  </si>
  <si>
    <t>204:135</t>
  </si>
  <si>
    <t>204:459</t>
  </si>
  <si>
    <t>300:58679</t>
  </si>
  <si>
    <t>300:58939</t>
  </si>
  <si>
    <t>204:129</t>
  </si>
  <si>
    <t>300:58916</t>
  </si>
  <si>
    <t>204:4552</t>
  </si>
  <si>
    <t>204:406</t>
  </si>
  <si>
    <t>300:58634</t>
  </si>
  <si>
    <t>300:58946</t>
  </si>
  <si>
    <t>300:23737</t>
  </si>
  <si>
    <t>300:23347</t>
  </si>
  <si>
    <t>204:441</t>
  </si>
  <si>
    <t>300:24205</t>
  </si>
  <si>
    <t>300:23508</t>
  </si>
  <si>
    <t>300:28769</t>
  </si>
  <si>
    <t>300:28780</t>
  </si>
  <si>
    <t>start /low /b %USERPROFILE%\Documents\GitHub\eaglep3\Utilities\DownloadLogsFromS3.py --loco 4033 --day 2018-01-09</t>
  </si>
  <si>
    <t>start /low /b %USERPROFILE%\Documents\GitHub\eaglep3\Utilities\DownloadLogsFromS3.py --loco 4039 --day 2018-01-09</t>
  </si>
  <si>
    <t>start /low /b %USERPROFILE%\Documents\GitHub\eaglep3\Utilities\DownloadLogsFromS3.py --loco 4013 --day 2018-01-09</t>
  </si>
  <si>
    <t>start /low /b %USERPROFILE%\Documents\GitHub\eaglep3\Utilities\DownloadLogsFromS3.py --loco 4045 --day 2018-01-09</t>
  </si>
  <si>
    <t>start /low /b %USERPROFILE%\Documents\GitHub\eaglep3\Utilities\DownloadLogsFromS3.py --loco 4049 --day 2018-01-09</t>
  </si>
  <si>
    <t>start /low /b %USERPROFILE%\Documents\GitHub\eaglep3\Utilities\DownloadLogsFromS3.py --loco 4013 --day 2018-01-10</t>
  </si>
  <si>
    <t>start /low /b %USERPROFILE%\Documents\GitHub\eaglep3\Utilities\DownloadLogsFromS3.py --loco 4009 --day 2018-01-10</t>
  </si>
  <si>
    <t>start /low /b %USERPROFILE%\Documents\GitHub\eaglep3\Utilities\DownloadLogsFromS3.py --loco 4010 --day 2018-01-10</t>
  </si>
  <si>
    <t>start /low /b %USERPROFILE%\Documents\GitHub\eaglep3\Utilities\DownloadLogsFromS3.py --loco 4050 --day 2018-01-10</t>
  </si>
  <si>
    <t>start /low /b %USERPROFILE%\Documents\GitHub\eaglep3\Utilities\DownloadLogsFromS3.py --loco 4056 --day 2018-01-10</t>
  </si>
  <si>
    <t>start /low /b %USERPROFILE%\Documents\GitHub\eaglep3\Utilities\DownloadLogsFromS3.py --loco 4056 --day 2018-01-09</t>
  </si>
  <si>
    <t>start /low /b %USERPROFILE%\Documents\GitHub\eaglep3\Utilities\DownloadLogsFromS3.py --loco 4040 --day 2018-01-10</t>
  </si>
  <si>
    <t>start /low /b %USERPROFILE%\Documents\GitHub\eaglep3\Utilities\DownloadLogsFromS3.py --loco 4022 --day 2018-01-09</t>
  </si>
  <si>
    <t>start /low /b %USERPROFILE%\Documents\GitHub\eaglep3\Utilities\DownloadLogsFromS3.py --loco 4021 --day 2018-01-10</t>
  </si>
  <si>
    <t>start /low /b %USERPROFILE%\Documents\GitHub\eaglep3\Utilities\DownloadLogsFromS3.py --loco 4021 --day 2018-01-09</t>
  </si>
  <si>
    <t>start /low /b %USERPROFILE%\Documents\GitHub\eaglep3\Utilities\DownloadLogsFromS3.py --loco 4039 --day 2018-01-10</t>
  </si>
  <si>
    <t>Trip delay due to passenger disturbance (59551)</t>
  </si>
  <si>
    <t>Cascade delay from 204-09</t>
  </si>
  <si>
    <t>Form C</t>
  </si>
  <si>
    <t>Observed unhealthy xing at Chambers due to onboard en route failure</t>
  </si>
  <si>
    <t>Unable to select track due to reverser handle not in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</si>
</sst>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93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COUNTIFS($N$13:$N$9636,"&gt;0",$AG$13:$AG$9636,I1)</f>
        <v>144</v>
      </c>
      <c r="K5" s="39"/>
      <c r="L5" s="171"/>
      <c r="M5" s="40">
        <f>AVERAGEIFS($N$13:$N$9636,$AG$13:$AG$9636,I1)</f>
        <v>38.453240740127512</v>
      </c>
      <c r="N5" s="38">
        <f t="array" ref="N5">MIN(IF($AG$13:$AG$9636=I1,IF(ISNUMBER($N$13:$N$9636),IF($N$13:$N$9636&gt;0,$N$13:$N$9636))))</f>
        <v>33.81666666129604</v>
      </c>
      <c r="O5" s="3">
        <f t="array" ref="O5">MAX(IF($AG$13:$AG$9636=I1,IF(ISNUMBER($N$13:$N$9636),IF($N$13:$N$9636&gt;0,$N$13:$N$9636))))</f>
        <v>57.433333327062428</v>
      </c>
      <c r="P5" s="2"/>
      <c r="R5" s="162" t="s">
        <v>17</v>
      </c>
      <c r="S5" s="206">
        <f>COUNTIFS($N$13:$N$9636,"&gt;0",$AG$13:$AG$9636,R1)</f>
        <v>49</v>
      </c>
      <c r="T5" s="171"/>
      <c r="U5" s="194"/>
      <c r="V5" s="210">
        <f>AVERAGEIFS($N$13:$N$9636,$AG$13:$AG$9636,R1)</f>
        <v>13.269387754606919</v>
      </c>
      <c r="W5" s="211">
        <f t="array" ref="W5">MIN(IF($AG$13:$AG$9636=R1,IF(ISNUMBER($N$13:$N$9636),IF($N$13:$N$9636&gt;0,$N$13:$N$9636))))</f>
        <v>9.7833333257585764</v>
      </c>
      <c r="X5" s="199">
        <f t="array" ref="X5">MAX(IF($AG$13:$AG$9636=R1,IF(ISNUMBER($N$13:$N$9636),IF($N$13:$N$9636&gt;0,$N$13:$N$9636))))</f>
        <v>15.583333329996094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COUNT($O$13:$O$394)</f>
        <v>0</v>
      </c>
      <c r="K6" s="39"/>
      <c r="L6" s="171"/>
      <c r="M6" s="40">
        <f>IFERROR(AVERAGE($O$13:$O$394),0)</f>
        <v>0</v>
      </c>
      <c r="N6" s="38">
        <f>MIN($O$13:$O$394)</f>
        <v>0</v>
      </c>
      <c r="O6" s="3">
        <f>MAX($O$13:$O$394)</f>
        <v>0</v>
      </c>
      <c r="P6" s="2"/>
      <c r="R6" s="163" t="s">
        <v>43</v>
      </c>
      <c r="S6" s="206">
        <f>COUNT($O$13:$O$394)</f>
        <v>0</v>
      </c>
      <c r="T6" s="171"/>
      <c r="U6" s="194"/>
      <c r="V6" s="210">
        <f>IFERROR(AVERAGE($O$13:$O$394),0)</f>
        <v>0</v>
      </c>
      <c r="W6" s="211">
        <f>MIN($O$13:$O$394)</f>
        <v>0</v>
      </c>
      <c r="X6" s="199">
        <f>MAX($O$13:$O$394)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COUNTIFS($P$13:$P$9636,"&gt;0",$AG$13:$AG$9636,I1)</f>
        <v>0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COUNTIFS($P$13:$P$9636,"&gt;0",$AG$13:$AG$9636,R1)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38.453240740127512</v>
      </c>
      <c r="N8" s="38">
        <f>N5</f>
        <v>33.81666666129604</v>
      </c>
      <c r="O8" s="3">
        <f>O5</f>
        <v>57.433333327062428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13.269387754606919</v>
      </c>
      <c r="W8" s="211">
        <f>W5</f>
        <v>9.7833333257585764</v>
      </c>
      <c r="X8" s="199">
        <f>X5</f>
        <v>15.583333329996094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- 2018-01-09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AVERAGE(S13:S143)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729</v>
      </c>
      <c r="B13" s="7">
        <v>4042</v>
      </c>
      <c r="C13" s="21" t="s">
        <v>191</v>
      </c>
      <c r="D13" s="21" t="s">
        <v>942</v>
      </c>
      <c r="E13" s="13">
        <v>43109.122812499998</v>
      </c>
      <c r="F13" s="13">
        <v>43109.135810185187</v>
      </c>
      <c r="G13" s="7">
        <v>76</v>
      </c>
      <c r="H13" s="21" t="s">
        <v>516</v>
      </c>
      <c r="I13" s="13">
        <v>43109.159363425926</v>
      </c>
      <c r="J13" s="7">
        <v>0</v>
      </c>
      <c r="K13" s="89" t="str">
        <f>IF(ISEVEN(B13),(B13-1)&amp;"/"&amp;B13,B13&amp;"/"&amp;(B13+1))</f>
        <v>4041/4042</v>
      </c>
      <c r="L13" s="184" t="str">
        <f>VLOOKUP(A13,'Trips&amp;Operators'!$C$1:$G$99911,5,FALSE)</f>
        <v>YORK EDGAR</v>
      </c>
      <c r="M13" s="6">
        <f>I13-F13</f>
        <v>2.3553240738692693E-2</v>
      </c>
      <c r="N13" s="7">
        <f>24*60*SUM($M13:$M13)</f>
        <v>33.916666663717479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-09T01:56:51-0700',mode:absolute,to:'2018-01-09T04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7.5899999999999995E-2</v>
      </c>
      <c r="Z13" s="203">
        <f>RIGHT(H13,LEN(H13)-4)/10000</f>
        <v>23.329699999999999</v>
      </c>
      <c r="AA13" s="203">
        <f>ABS(Z13-Y13)</f>
        <v>23.253799999999998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"%USERPROFILE%\AppData\Local\Temp\OnboardLogs"\RTDC4042\2018-01-09 --exclude "*" --recursive --include "*20180109*" &amp; "%USERPROFILE%\Documents\GitHub\mrs-test-scripts\Headless Mode &amp; Sideloading\WalkAndUnGZ.bat" "%USERPROFILE%\AppData\Local\Temp\OnboardLogs"\RTDC4042\2018-01-09 &amp; aws s3 cp s3://rtdc.mdm.uploadarchive.raw/RTDC4042/ "%USERPROFILE%\AppData\Local\Temp\OnboardLogs"\RTDC4042\2018-01-10 --exclude "*" --recursive --include "*20180110*" &amp; "%USERPROFILE%\Documents\GitHub\mrs-test-scripts\Headless Mode &amp; Sideloading\WalkAndUnGZ.bat" "%USERPROFILE%\AppData\Local\Temp\OnboardLogs"\RTDC4042\2018-01-10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/stypes="app*4042*20180109*"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4042 --swversion DE.1.0.9.0 --startMP 204:759 --initTime 2018-01-09T02:56:51 --startdatetime 2018-01-09T03:15:34 --delay 76 --endMP 204:233297 --enddatetime 2018-01-09T03:49:29 --enforcementcount 0 &gt;&gt;%USERPROFILE%\Documents\GitHub\eaglep3-reporting\EC\2018-01-09-refined-times.txt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{"issue":{"subject":"","project_id":79,"tracker_id":40,"status_id":1,"priority_id":2,"assigned_to_id":338,"start_date":"2018-01-09","description":"","custom_fields":[{"id":1,"name":"Subdivision","value":"EC"},{"id":4,"name":"Milepost","value":"23.3297"},{"id":17,"name":"Train ID","value":"101-09"},{"id":16,"name":"Locomotive ID","value":"4042"},{"id":130,"name":"Impact","value":""},{"id":150,"name":"Time of Event (Mountain Time)","value":"03:49:29"},{"id":151,"name":"Denver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4042 --day 2018-01-09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-09T01:56:51-0700',mode:absolute,to:'2018-01-09T04:49:29-0700'))&amp;_a=(columns:!('Message%20ID',Summary),filters:!(),index:'emp_*',interval:auto,query:(query_string:(analyze_wildcard:!t,query:'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735</v>
      </c>
      <c r="B14" s="225">
        <v>4041</v>
      </c>
      <c r="C14" s="227" t="s">
        <v>191</v>
      </c>
      <c r="D14" s="227" t="s">
        <v>540</v>
      </c>
      <c r="E14" s="226">
        <v>43109.160219907404</v>
      </c>
      <c r="F14" s="226">
        <v>43109.175208333334</v>
      </c>
      <c r="G14" s="225">
        <v>53</v>
      </c>
      <c r="H14" s="227" t="s">
        <v>943</v>
      </c>
      <c r="I14" s="226">
        <v>43109.200682870367</v>
      </c>
      <c r="J14" s="225">
        <v>0</v>
      </c>
      <c r="K14" s="237" t="str">
        <f>IF(ISEVEN(B14),(B14-1)&amp;"/"&amp;B14,B14&amp;"/"&amp;(B14+1))</f>
        <v>4041/4042</v>
      </c>
      <c r="L14" s="245" t="str">
        <f>VLOOKUP(A14,'Trips&amp;Operators'!$C$1:$G$99911,5,FALSE)</f>
        <v>YORK EDGAR</v>
      </c>
      <c r="M14" s="224">
        <f>I14-F14</f>
        <v>2.5474537033005618E-2</v>
      </c>
      <c r="N14" s="225">
        <f>24*60*SUM($M14:$M14)</f>
        <v>36.683333327528089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-09T02:50:43-0700',mode:absolute,to:'2018-01-09T05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23.296299999999999</v>
      </c>
      <c r="Z14" s="247">
        <f>RIGHT(H14,LEN(H14)-4)/10000</f>
        <v>9.2799999999999994E-2</v>
      </c>
      <c r="AA14" s="247">
        <f>ABS(Z14-Y14)</f>
        <v>23.203499999999998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s3://rtdc.mdm.uploadarchive.raw/RTDC4041/ "%USERPROFILE%\AppData\Local\Temp\OnboardLogs"\RTDC4041\2018-01-09 --exclude "*" --recursive --include "*20180109*" &amp; "%USERPROFILE%\Documents\GitHub\mrs-test-scripts\Headless Mode &amp; Sideloading\WalkAndUnGZ.bat" "%USERPROFILE%\AppData\Local\Temp\OnboardLogs"\RTDC4041\2018-01-09 &amp; aws s3 cp s3://rtdc.mdm.uploadarchive.raw/RTDC4041/ "%USERPROFILE%\AppData\Local\Temp\OnboardLogs"\RTDC4041\2018-01-10 --exclude "*" --recursive --include "*20180110*" &amp; "%USERPROFILE%\Documents\GitHub\mrs-test-scripts\Headless Mode &amp; Sideloading\WalkAndUnGZ.bat" "%USERPROFILE%\AppData\Local\Temp\OnboardLogs"\RTDC4041\2018-01-10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/stypes="app*4041*20180109*"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4041 --swversion DE.1.0.9.0 --startMP 204:232963 --initTime 2018-01-09T03:50:43 --startdatetime 2018-01-09T04:12:18 --delay 53 --endMP 204:928 --enddatetime 2018-01-09T04:48:59 --enforcementcount 0 &gt;&gt;%USERPROFILE%\Documents\GitHub\eaglep3-reporting\EC\2018-01-09-refined-times.txt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{"issue":{"subject":"","project_id":79,"tracker_id":40,"status_id":1,"priority_id":2,"assigned_to_id":338,"start_date":"2018-01-09","description":"","custom_fields":[{"id":1,"name":"Subdivision","value":"EC"},{"id":4,"name":"Milepost","value":"0.0928"},{"id":17,"name":"Train ID","value":"102-09"},{"id":16,"name":"Locomotive ID","value":"4041"},{"id":130,"name":"Impact","value":""},{"id":150,"name":"Time of Event (Mountain Time)","value":"04:48:59"},{"id":151,"name":"Denver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4041 --day 2018-01-09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-09T02:50:43-0700',mode:absolute,to:'2018-01-09T05:48:59-0700'))&amp;_a=(columns:!('Message%20ID',Summary),filters:!(),index:'emp_*',interval:auto,query:(query_string:(analyze_wildcard:!t,query:'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732</v>
      </c>
      <c r="B15" s="225">
        <v>4050</v>
      </c>
      <c r="C15" s="227" t="s">
        <v>191</v>
      </c>
      <c r="D15" s="227" t="s">
        <v>520</v>
      </c>
      <c r="E15" s="226">
        <v>43109.153368055559</v>
      </c>
      <c r="F15" s="226">
        <v>43109.156435185185</v>
      </c>
      <c r="G15" s="225">
        <v>69</v>
      </c>
      <c r="H15" s="227" t="s">
        <v>633</v>
      </c>
      <c r="I15" s="226">
        <v>43109.181296296294</v>
      </c>
      <c r="J15" s="225">
        <v>0</v>
      </c>
      <c r="K15" s="237" t="str">
        <f>IF(ISEVEN(B15),(B15-1)&amp;"/"&amp;B15,B15&amp;"/"&amp;(B15+1))</f>
        <v>4049/4050</v>
      </c>
      <c r="L15" s="245" t="str">
        <f>VLOOKUP(A15,'Trips&amp;Operators'!$C$1:$G$99911,5,FALSE)</f>
        <v>BONDS REYNALDO</v>
      </c>
      <c r="M15" s="224">
        <f>I15-F15</f>
        <v>2.4861111109203193E-2</v>
      </c>
      <c r="N15" s="225">
        <f>24*60*SUM($M15:$M15)</f>
        <v>35.799999997252598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-09T02:40:51-0700',mode:absolute,to:'2018-01-09T05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5.0900000000000001E-2</v>
      </c>
      <c r="Z15" s="247">
        <f>RIGHT(H15,LEN(H15)-4)/10000</f>
        <v>23.329499999999999</v>
      </c>
      <c r="AA15" s="247">
        <f>ABS(Z15-Y15)</f>
        <v>23.278600000000001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/stypes="app*4050*20180109*"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103-09 --locoid 4050 --swversion DE.1.0.9.0 --startMP 204:509 --initTime 2018-01-09T03:40:51 --startdatetime 2018-01-09T03:45:16 --delay 69 --endMP 204:233295 --enddatetime 2018-01-09T04:21:04 --enforcementcount 0 &gt;&gt;%USERPROFILE%\Documents\GitHub\eaglep3-reporting\EC\2018-01-09-refined-times.txt</v>
      </c>
      <c r="AI1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{"issue":{"subject":"","project_id":79,"tracker_id":40,"status_id":1,"priority_id":2,"assigned_to_id":338,"start_date":"2018-01-09","description":"","custom_fields":[{"id":1,"name":"Subdivision","value":"EC"},{"id":4,"name":"Milepost","value":"23.3295"},{"id":17,"name":"Train ID","value":"103-09"},{"id":16,"name":"Locomotive ID","value":"4050"},{"id":130,"name":"Impact","value":""},{"id":150,"name":"Time of Event (Mountain Time)","value":"04:21:04"},{"id":151,"name":"Denver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4050 --day 2018-01-09</v>
      </c>
      <c r="AN1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-09T02:40:51-0700',mode:absolute,to:'2018-01-09T05:21:04-0700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744</v>
      </c>
      <c r="B16" s="225">
        <v>4049</v>
      </c>
      <c r="C16" s="227" t="s">
        <v>191</v>
      </c>
      <c r="D16" s="227" t="s">
        <v>599</v>
      </c>
      <c r="E16" s="226">
        <v>43109.191840277781</v>
      </c>
      <c r="F16" s="226">
        <v>43109.196006944447</v>
      </c>
      <c r="G16" s="225">
        <v>94</v>
      </c>
      <c r="H16" s="227" t="s">
        <v>472</v>
      </c>
      <c r="I16" s="226">
        <v>43109.222592592596</v>
      </c>
      <c r="J16" s="225">
        <v>0</v>
      </c>
      <c r="K16" s="237" t="str">
        <f>IF(ISEVEN(B16),(B16-1)&amp;"/"&amp;B16,B16&amp;"/"&amp;(B16+1))</f>
        <v>4049/4050</v>
      </c>
      <c r="L16" s="245" t="str">
        <f>VLOOKUP(A16,'Trips&amp;Operators'!$C$1:$G$99911,5,FALSE)</f>
        <v>BONDS REYNALDO</v>
      </c>
      <c r="M16" s="224">
        <f>I16-F16</f>
        <v>2.658564814919373E-2</v>
      </c>
      <c r="N16" s="225">
        <f>24*60*SUM($M16:$M16)</f>
        <v>38.283333334838971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-09T03:36:15-0700',mode:absolute,to:'2018-01-09T06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23.297799999999999</v>
      </c>
      <c r="Z16" s="247">
        <f>RIGHT(H16,LEN(H16)-4)/10000</f>
        <v>2.1399999999999999E-2</v>
      </c>
      <c r="AA16" s="247">
        <f>ABS(Z16-Y16)</f>
        <v>23.276399999999999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/stypes="app*4049*20180109*"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104-09 --locoid 4049 --swversion DE.1.0.9.0 --startMP 204:232978 --initTime 2018-01-09T04:36:15 --startdatetime 2018-01-09T04:42:15 --delay 94 --endMP 204:214 --enddatetime 2018-01-09T05:20:32 --enforcementcount 0 &gt;&gt;%USERPROFILE%\Documents\GitHub\eaglep3-reporting\EC\2018-01-09-refined-times.txt</v>
      </c>
      <c r="AI1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{"issue":{"subject":"","project_id":79,"tracker_id":40,"status_id":1,"priority_id":2,"assigned_to_id":338,"start_date":"2018-01-09","description":"","custom_fields":[{"id":1,"name":"Subdivision","value":"EC"},{"id":4,"name":"Milepost","value":"0.0214"},{"id":17,"name":"Train ID","value":"104-09"},{"id":16,"name":"Locomotive ID","value":"4049"},{"id":130,"name":"Impact","value":""},{"id":150,"name":"Time of Event (Mountain Time)","value":"05:20:32"},{"id":151,"name":"Denver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4049 --day 2018-01-09</v>
      </c>
      <c r="AN1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-09T03:36:15-0700',mode:absolute,to:'2018-01-09T06:20:32-0700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738</v>
      </c>
      <c r="B17" s="225">
        <v>4056</v>
      </c>
      <c r="C17" s="227" t="s">
        <v>191</v>
      </c>
      <c r="D17" s="227" t="s">
        <v>591</v>
      </c>
      <c r="E17" s="226">
        <v>43109.174490740741</v>
      </c>
      <c r="F17" s="226">
        <v>43109.17832175926</v>
      </c>
      <c r="G17" s="225">
        <v>86</v>
      </c>
      <c r="H17" s="227" t="s">
        <v>651</v>
      </c>
      <c r="I17" s="226">
        <v>43109.203055555554</v>
      </c>
      <c r="J17" s="225">
        <v>0</v>
      </c>
      <c r="K17" s="237" t="str">
        <f>IF(ISEVEN(B17),(B17-1)&amp;"/"&amp;B17,B17&amp;"/"&amp;(B17+1))</f>
        <v>4055/4056</v>
      </c>
      <c r="L17" s="245" t="str">
        <f>VLOOKUP(A17,'Trips&amp;Operators'!$C$1:$G$99911,5,FALSE)</f>
        <v>THOMPSON LESTER</v>
      </c>
      <c r="M17" s="224">
        <f>I17-F17</f>
        <v>2.4733796293730848E-2</v>
      </c>
      <c r="N17" s="225">
        <f>24*60*SUM($M17:$M17)</f>
        <v>35.61666666297242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-09T03:11:16-0700',mode:absolute,to:'2018-01-09T05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4.7300000000000002E-2</v>
      </c>
      <c r="Z17" s="247">
        <f>RIGHT(H17,LEN(H17)-4)/10000</f>
        <v>23.326799999999999</v>
      </c>
      <c r="AA17" s="247">
        <f>ABS(Z17-Y17)</f>
        <v>23.279499999999999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/stypes="app*4056*20180109*"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105-09 --locoid 4056 --swversion DE.1.0.9.0 --startMP 204:473 --initTime 2018-01-09T04:11:16 --startdatetime 2018-01-09T04:16:47 --delay 86 --endMP 204:233268 --enddatetime 2018-01-09T04:52:24 --enforcementcount 0 &gt;&gt;%USERPROFILE%\Documents\GitHub\eaglep3-reporting\EC\2018-01-09-refined-times.txt</v>
      </c>
      <c r="AI1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{"issue":{"subject":"","project_id":79,"tracker_id":40,"status_id":1,"priority_id":2,"assigned_to_id":338,"start_date":"2018-01-09","description":"","custom_fields":[{"id":1,"name":"Subdivision","value":"EC"},{"id":4,"name":"Milepost","value":"23.3268"},{"id":17,"name":"Train ID","value":"105-09"},{"id":16,"name":"Locomotive ID","value":"4056"},{"id":130,"name":"Impact","value":""},{"id":150,"name":"Time of Event (Mountain Time)","value":"04:52:24"},{"id":151,"name":"Denver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4056 --day 2018-01-09</v>
      </c>
      <c r="AN1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-09T03:11:16-0700',mode:absolute,to:'2018-01-09T05:52:24-0700'))&amp;_a=(columns:!('Message%20ID',Summary),filters:!(),index:'emp_*',interval:auto,query:(query_string:(analyze_wildcard:!t,query:'%22rtdc.l.rtdc.4056%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754</v>
      </c>
      <c r="B18" s="225">
        <v>4055</v>
      </c>
      <c r="C18" s="227" t="s">
        <v>191</v>
      </c>
      <c r="D18" s="227" t="s">
        <v>634</v>
      </c>
      <c r="E18" s="226">
        <v>43109.215636574074</v>
      </c>
      <c r="F18" s="226">
        <v>43109.216990740744</v>
      </c>
      <c r="G18" s="225">
        <v>51</v>
      </c>
      <c r="H18" s="227" t="s">
        <v>581</v>
      </c>
      <c r="I18" s="226">
        <v>43109.244085648148</v>
      </c>
      <c r="J18" s="225">
        <v>0</v>
      </c>
      <c r="K18" s="237" t="str">
        <f>IF(ISEVEN(B18),(B18-1)&amp;"/"&amp;B18,B18&amp;"/"&amp;(B18+1))</f>
        <v>4055/4056</v>
      </c>
      <c r="L18" s="245" t="str">
        <f>VLOOKUP(A18,'Trips&amp;Operators'!$C$1:$G$99911,5,FALSE)</f>
        <v>THOMPSON LESTER</v>
      </c>
      <c r="M18" s="224">
        <f>I18-F18</f>
        <v>2.7094907403807156E-2</v>
      </c>
      <c r="N18" s="225">
        <f>24*60*SUM($M18:$M18)</f>
        <v>39.016666661482304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-09T04:10:31-0700',mode:absolute,to:'2018-01-09T06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23.297699999999999</v>
      </c>
      <c r="Z18" s="247">
        <f>RIGHT(H18,LEN(H18)-4)/10000</f>
        <v>1.7999999999999999E-2</v>
      </c>
      <c r="AA18" s="247">
        <f>ABS(Z18-Y18)</f>
        <v>23.279699999999998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/stypes="app*4055*20180109*"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106-09 --locoid 4055 --swversion DE.1.0.9.0 --startMP 204:232977 --initTime 2018-01-09T05:10:31 --startdatetime 2018-01-09T05:12:28 --delay 51 --endMP 204:180 --enddatetime 2018-01-09T05:51:29 --enforcementcount 0 &gt;&gt;%USERPROFILE%\Documents\GitHub\eaglep3-reporting\EC\2018-01-09-refined-times.txt</v>
      </c>
      <c r="AI18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{"issue":{"subject":"","project_id":79,"tracker_id":40,"status_id":1,"priority_id":2,"assigned_to_id":338,"start_date":"2018-01-09","description":"","custom_fields":[{"id":1,"name":"Subdivision","value":"EC"},{"id":4,"name":"Milepost","value":"0.018"},{"id":17,"name":"Train ID","value":"106-09"},{"id":16,"name":"Locomotive ID","value":"4055"},{"id":130,"name":"Impact","value":""},{"id":150,"name":"Time of Event (Mountain Time)","value":"05:51:29"},{"id":151,"name":"Denver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4055 --day 2018-01-09</v>
      </c>
      <c r="AN18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-09T04:10:31-0700',mode:absolute,to:'2018-01-09T06:51:29-0700'))&amp;_a=(columns:!('Message%20ID',Summary),filters:!(),index:'emp_*',interval:auto,query:(query_string:(analyze_wildcard:!t,query:'%22rtdc.l.rtdc.4055%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740</v>
      </c>
      <c r="B19" s="225">
        <v>4064</v>
      </c>
      <c r="C19" s="227" t="s">
        <v>191</v>
      </c>
      <c r="D19" s="227" t="s">
        <v>600</v>
      </c>
      <c r="E19" s="226">
        <v>43109.181840277779</v>
      </c>
      <c r="F19" s="226">
        <v>43109.187696759262</v>
      </c>
      <c r="G19" s="225">
        <v>74</v>
      </c>
      <c r="H19" s="227" t="s">
        <v>590</v>
      </c>
      <c r="I19" s="226">
        <v>43109.212800925925</v>
      </c>
      <c r="J19" s="225">
        <v>0</v>
      </c>
      <c r="K19" s="237" t="str">
        <f>IF(ISEVEN(B19),(B19-1)&amp;"/"&amp;B19,B19&amp;"/"&amp;(B19+1))</f>
        <v>4063/4064</v>
      </c>
      <c r="L19" s="245" t="str">
        <f>VLOOKUP(A19,'Trips&amp;Operators'!$C$1:$G$99911,5,FALSE)</f>
        <v>LANGERAK WILLIAM</v>
      </c>
      <c r="M19" s="224">
        <f>I19-F19</f>
        <v>2.5104166663368233E-2</v>
      </c>
      <c r="N19" s="225">
        <f>24*60*SUM($M19:$M19)</f>
        <v>36.149999995250255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-09T03:21:51-0700',mode:absolute,to:'2018-01-09T06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5.0599999999999999E-2</v>
      </c>
      <c r="Z19" s="247">
        <f>RIGHT(H19,LEN(H19)-4)/10000</f>
        <v>23.3306</v>
      </c>
      <c r="AA19" s="247">
        <f>ABS(Z19-Y19)</f>
        <v>23.28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/stypes="app*4064*20180109*"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107-09 --locoid 4064 --swversion DE.1.0.9.0 --startMP 204:506 --initTime 2018-01-09T04:21:51 --startdatetime 2018-01-09T04:30:17 --delay 74 --endMP 204:233306 --enddatetime 2018-01-09T05:06:26 --enforcementcount 0 &gt;&gt;%USERPROFILE%\Documents\GitHub\eaglep3-reporting\EC\2018-01-09-refined-times.txt</v>
      </c>
      <c r="AI19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{"issue":{"subject":"","project_id":79,"tracker_id":40,"status_id":1,"priority_id":2,"assigned_to_id":338,"start_date":"2018-01-09","description":"","custom_fields":[{"id":1,"name":"Subdivision","value":"EC"},{"id":4,"name":"Milepost","value":"23.3306"},{"id":17,"name":"Train ID","value":"107-09"},{"id":16,"name":"Locomotive ID","value":"4064"},{"id":130,"name":"Impact","value":""},{"id":150,"name":"Time of Event (Mountain Time)","value":"05:06:26"},{"id":151,"name":"Denver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4064 --day 2018-01-09</v>
      </c>
      <c r="AN19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-09T03:21:51-0700',mode:absolute,to:'2018-01-09T06:06:26-0700'))&amp;_a=(columns:!('Message%20ID',Summary),filters:!(),index:'emp_*',interval:auto,query:(query_string:(analyze_wildcard:!t,query:'%22rtdc.l.rtdc.4064%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753</v>
      </c>
      <c r="B20" s="225">
        <v>4063</v>
      </c>
      <c r="C20" s="227" t="s">
        <v>191</v>
      </c>
      <c r="D20" s="227" t="s">
        <v>658</v>
      </c>
      <c r="E20" s="226">
        <v>43109.214212962965</v>
      </c>
      <c r="F20" s="226">
        <v>43109.227268518516</v>
      </c>
      <c r="G20" s="225">
        <v>70</v>
      </c>
      <c r="H20" s="227" t="s">
        <v>648</v>
      </c>
      <c r="I20" s="226">
        <v>43109.253518518519</v>
      </c>
      <c r="J20" s="225">
        <v>0</v>
      </c>
      <c r="K20" s="237" t="str">
        <f>IF(ISEVEN(B20),(B20-1)&amp;"/"&amp;B20,B20&amp;"/"&amp;(B20+1))</f>
        <v>4063/4064</v>
      </c>
      <c r="L20" s="245" t="str">
        <f>VLOOKUP(A20,'Trips&amp;Operators'!$C$1:$G$99911,5,FALSE)</f>
        <v>LANGERAK WILLIAM</v>
      </c>
      <c r="M20" s="224">
        <f>I20-F20</f>
        <v>2.6250000002619345E-2</v>
      </c>
      <c r="N20" s="225">
        <f>24*60*SUM($M20:$M20)</f>
        <v>37.800000003771856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-09T04:08:28-0700',mode:absolute,to:'2018-01-09T07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247" t="str">
        <f>IF(AA20&lt;VLOOKUP(AG20,Variables!$AC$3:$AD$8,2,FALSE),"Y","N")</f>
        <v>N</v>
      </c>
      <c r="X20" s="247">
        <f t="shared" ref="X20:X21" si="10">VALUE(LEFT(AD20,4))-VALUE(LEFT(AD19,4))</f>
        <v>1</v>
      </c>
      <c r="Y20" s="247">
        <f>RIGHT(D20,LEN(D20)-4)/10000</f>
        <v>23.296800000000001</v>
      </c>
      <c r="Z20" s="247">
        <f>RIGHT(H20,LEN(H20)-4)/10000</f>
        <v>1.89E-2</v>
      </c>
      <c r="AA20" s="247">
        <f>ABS(Z20-Y20)</f>
        <v>23.277900000000002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/stypes="app*4063*20180109*"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108-09 --locoid 4063 --swversion DE.1.0.9.0 --startMP 204:232968 --initTime 2018-01-09T05:08:28 --startdatetime 2018-01-09T05:27:16 --delay 70 --endMP 204:189 --enddatetime 2018-01-09T06:05:04 --enforcementcount 0 &gt;&gt;%USERPROFILE%\Documents\GitHub\eaglep3-reporting\EC\2018-01-09-refined-times.txt</v>
      </c>
      <c r="AI20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{"issue":{"subject":"","project_id":79,"tracker_id":40,"status_id":1,"priority_id":2,"assigned_to_id":338,"start_date":"2018-01-09","description":"","custom_fields":[{"id":1,"name":"Subdivision","value":"EC"},{"id":4,"name":"Milepost","value":"0.0189"},{"id":17,"name":"Train ID","value":"108-09"},{"id":16,"name":"Locomotive ID","value":"4063"},{"id":130,"name":"Impact","value":""},{"id":150,"name":"Time of Event (Mountain Time)","value":"06:05:04"},{"id":151,"name":"Denver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4063 --day 2018-01-09</v>
      </c>
      <c r="AN20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-09T04:08:28-0700',mode:absolute,to:'2018-01-09T07:05:04-0700'))&amp;_a=(columns:!('Message%20ID',Summary),filters:!(),index:'emp_*',interval:auto,query:(query_string:(analyze_wildcard:!t,query:'%22rtdc.l.rtdc.4063%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746</v>
      </c>
      <c r="B21" s="225">
        <v>4046</v>
      </c>
      <c r="C21" s="227" t="s">
        <v>191</v>
      </c>
      <c r="D21" s="227" t="s">
        <v>575</v>
      </c>
      <c r="E21" s="226">
        <v>43109.19427083333</v>
      </c>
      <c r="F21" s="226">
        <v>43109.198101851849</v>
      </c>
      <c r="G21" s="225">
        <v>64</v>
      </c>
      <c r="H21" s="227" t="s">
        <v>542</v>
      </c>
      <c r="I21" s="226">
        <v>43109.222337962965</v>
      </c>
      <c r="J21" s="225">
        <v>0</v>
      </c>
      <c r="K21" s="237" t="str">
        <f>IF(ISEVEN(B21),(B21-1)&amp;"/"&amp;B21,B21&amp;"/"&amp;(B21+1))</f>
        <v>4045/4046</v>
      </c>
      <c r="L21" s="245" t="str">
        <f>VLOOKUP(A21,'Trips&amp;Operators'!$C$1:$G$99911,5,FALSE)</f>
        <v>LAMAR NEKESHA</v>
      </c>
      <c r="M21" s="224">
        <f>I21-F21</f>
        <v>2.4236111115897074E-2</v>
      </c>
      <c r="N21" s="225">
        <f>24*60*SUM($M21:$M21)</f>
        <v>34.900000006891787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-09T03:39:45-0700',mode:absolute,to:'2018-01-09T06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247" t="str">
        <f>IF(AA21&lt;VLOOKUP(AG21,Variables!$AC$3:$AD$8,2,FALSE),"Y","N")</f>
        <v>N</v>
      </c>
      <c r="X21" s="247">
        <f t="shared" si="10"/>
        <v>1</v>
      </c>
      <c r="Y21" s="247">
        <f>RIGHT(D21,LEN(D21)-4)/10000</f>
        <v>4.7699999999999999E-2</v>
      </c>
      <c r="Z21" s="247">
        <f>RIGHT(H21,LEN(H21)-4)/10000</f>
        <v>23.331099999999999</v>
      </c>
      <c r="AA21" s="247">
        <f>ABS(Z21-Y21)</f>
        <v>23.2834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/stypes="app*4046*20180109*"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109-09 --locoid 4046 --swversion DE.1.0.9.0 --startMP 204:477 --initTime 2018-01-09T04:39:45 --startdatetime 2018-01-09T04:45:16 --delay 64 --endMP 204:233311 --enddatetime 2018-01-09T05:20:10 --enforcementcount 0 &gt;&gt;%USERPROFILE%\Documents\GitHub\eaglep3-reporting\EC\2018-01-09-refined-times.txt</v>
      </c>
      <c r="AI21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{"issue":{"subject":"","project_id":79,"tracker_id":40,"status_id":1,"priority_id":2,"assigned_to_id":338,"start_date":"2018-01-09","description":"","custom_fields":[{"id":1,"name":"Subdivision","value":"EC"},{"id":4,"name":"Milepost","value":"23.3311"},{"id":17,"name":"Train ID","value":"109-09"},{"id":16,"name":"Locomotive ID","value":"4046"},{"id":130,"name":"Impact","value":""},{"id":150,"name":"Time of Event (Mountain Time)","value":"05:20:10"},{"id":151,"name":"Denver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4046 --day 2018-01-09</v>
      </c>
      <c r="AN21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-09T03:39:45-0700',mode:absolute,to:'2018-01-09T06:20:10-0700'))&amp;_a=(columns:!('Message%20ID',Summary),filters:!(),index:'emp_*',interval:auto,query:(query_string:(analyze_wildcard:!t,query:'%22rtdc.l.rtdc.4046%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759</v>
      </c>
      <c r="B22" s="225">
        <v>4045</v>
      </c>
      <c r="C22" s="227" t="s">
        <v>191</v>
      </c>
      <c r="D22" s="227" t="s">
        <v>574</v>
      </c>
      <c r="E22" s="226">
        <v>43109.235474537039</v>
      </c>
      <c r="F22" s="226">
        <v>43109.237673611111</v>
      </c>
      <c r="G22" s="225">
        <v>56</v>
      </c>
      <c r="H22" s="227" t="s">
        <v>639</v>
      </c>
      <c r="I22" s="226">
        <v>43109.263831018521</v>
      </c>
      <c r="J22" s="225">
        <v>0</v>
      </c>
      <c r="K22" s="237" t="str">
        <f>IF(ISEVEN(B22),(B22-1)&amp;"/"&amp;B22,B22&amp;"/"&amp;(B22+1))</f>
        <v>4045/4046</v>
      </c>
      <c r="L22" s="245" t="str">
        <f>VLOOKUP(A22,'Trips&amp;Operators'!$C$1:$G$99911,5,FALSE)</f>
        <v>LAMAR NEKESHA</v>
      </c>
      <c r="M22" s="224">
        <f>I22-F22</f>
        <v>2.6157407410209998E-2</v>
      </c>
      <c r="N22" s="225">
        <f>24*60*SUM($M22:$M22)</f>
        <v>37.666666670702398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-09T04:39:05-0700',mode:absolute,to:'2018-01-09T07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23.2973</v>
      </c>
      <c r="Z22" s="247">
        <f>RIGHT(H22,LEN(H22)-4)/10000</f>
        <v>1.7600000000000001E-2</v>
      </c>
      <c r="AA22" s="247">
        <f>ABS(Z22-Y22)</f>
        <v>23.279699999999998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/stypes="app*4045*20180109*"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110-09 --locoid 4045 --swversion DE.1.0.9.0 --startMP 204:232973 --initTime 2018-01-09T05:39:05 --startdatetime 2018-01-09T05:42:15 --delay 56 --endMP 204:176 --enddatetime 2018-01-09T06:19:55 --enforcementcount 0 &gt;&gt;%USERPROFILE%\Documents\GitHub\eaglep3-reporting\EC\2018-01-09-refined-times.txt</v>
      </c>
      <c r="AI22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{"issue":{"subject":"","project_id":79,"tracker_id":40,"status_id":1,"priority_id":2,"assigned_to_id":338,"start_date":"2018-01-09","description":"","custom_fields":[{"id":1,"name":"Subdivision","value":"EC"},{"id":4,"name":"Milepost","value":"0.0176"},{"id":17,"name":"Train ID","value":"110-09"},{"id":16,"name":"Locomotive ID","value":"4045"},{"id":130,"name":"Impact","value":""},{"id":150,"name":"Time of Event (Mountain Time)","value":"06:19:55"},{"id":151,"name":"Denver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4045 --day 2018-01-09</v>
      </c>
      <c r="AN22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-09T04:39:05-0700',mode:absolute,to:'2018-01-09T07:19:55-0700'))&amp;_a=(columns:!('Message%20ID',Summary),filters:!(),index:'emp_*',interval:auto,query:(query_string:(analyze_wildcard:!t,query:'%22rtdc.l.rtdc.4045%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751</v>
      </c>
      <c r="B23" s="225">
        <v>4014</v>
      </c>
      <c r="C23" s="227" t="s">
        <v>191</v>
      </c>
      <c r="D23" s="227" t="s">
        <v>597</v>
      </c>
      <c r="E23" s="226">
        <v>43109.206875000003</v>
      </c>
      <c r="F23" s="226">
        <v>43109.208935185183</v>
      </c>
      <c r="G23" s="225">
        <v>43</v>
      </c>
      <c r="H23" s="227" t="s">
        <v>536</v>
      </c>
      <c r="I23" s="226">
        <v>43109.233356481483</v>
      </c>
      <c r="J23" s="225">
        <v>0</v>
      </c>
      <c r="K23" s="237" t="str">
        <f>IF(ISEVEN(B23),(B23-1)&amp;"/"&amp;B23,B23&amp;"/"&amp;(B23+1))</f>
        <v>4013/4014</v>
      </c>
      <c r="L23" s="245" t="str">
        <f>VLOOKUP(A23,'Trips&amp;Operators'!$C$1:$G$99911,5,FALSE)</f>
        <v>YORK EDGAR</v>
      </c>
      <c r="M23" s="224">
        <f>I23-F23</f>
        <v>2.4421296300715767E-2</v>
      </c>
      <c r="N23" s="225">
        <f>24*60*SUM($M23:$M23)</f>
        <v>35.166666673030704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-09T03:57:54-0700',mode:absolute,to:'2018-01-09T06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4.53E-2</v>
      </c>
      <c r="Z23" s="247">
        <f>RIGHT(H23,LEN(H23)-4)/10000</f>
        <v>23.328700000000001</v>
      </c>
      <c r="AA23" s="247">
        <f>ABS(Z23-Y23)</f>
        <v>23.2834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/stypes="app*4014*20180109*"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111-09 --locoid 4014 --swversion DE.1.0.9.0 --startMP 204:453 --initTime 2018-01-09T04:57:54 --startdatetime 2018-01-09T05:00:52 --delay 43 --endMP 204:233287 --enddatetime 2018-01-09T05:36:02 --enforcementcount 0 &gt;&gt;%USERPROFILE%\Documents\GitHub\eaglep3-reporting\EC\2018-01-09-refined-times.txt</v>
      </c>
      <c r="AI23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{"issue":{"subject":"","project_id":79,"tracker_id":40,"status_id":1,"priority_id":2,"assigned_to_id":338,"start_date":"2018-01-09","description":"","custom_fields":[{"id":1,"name":"Subdivision","value":"EC"},{"id":4,"name":"Milepost","value":"23.3287"},{"id":17,"name":"Train ID","value":"111-09"},{"id":16,"name":"Locomotive ID","value":"4014"},{"id":130,"name":"Impact","value":""},{"id":150,"name":"Time of Event (Mountain Time)","value":"05:36:02"},{"id":151,"name":"Denver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4014 --day 2018-01-09</v>
      </c>
      <c r="AN23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-09T03:57:54-0700',mode:absolute,to:'2018-01-09T06:36:02-0700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758</v>
      </c>
      <c r="B24" s="225">
        <v>4013</v>
      </c>
      <c r="C24" s="227" t="s">
        <v>191</v>
      </c>
      <c r="D24" s="227" t="s">
        <v>605</v>
      </c>
      <c r="E24" s="226">
        <v>43109.234525462962</v>
      </c>
      <c r="F24" s="226">
        <v>43109.248078703706</v>
      </c>
      <c r="G24" s="225">
        <v>57</v>
      </c>
      <c r="H24" s="227" t="s">
        <v>570</v>
      </c>
      <c r="I24" s="226">
        <v>43109.273622685185</v>
      </c>
      <c r="J24" s="225">
        <v>0</v>
      </c>
      <c r="K24" s="237" t="str">
        <f>IF(ISEVEN(B24),(B24-1)&amp;"/"&amp;B24,B24&amp;"/"&amp;(B24+1))</f>
        <v>4013/4014</v>
      </c>
      <c r="L24" s="245" t="str">
        <f>VLOOKUP(A24,'Trips&amp;Operators'!$C$1:$G$99911,5,FALSE)</f>
        <v>YORK EDGAR</v>
      </c>
      <c r="M24" s="224">
        <f>I24-F24</f>
        <v>2.5543981479131617E-2</v>
      </c>
      <c r="N24" s="225">
        <f>24*60*SUM($M24:$M24)</f>
        <v>36.783333329949528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-09T04:37:43-0700',mode:absolute,to:'2018-01-09T07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23.297899999999998</v>
      </c>
      <c r="Z24" s="247">
        <f>RIGHT(H24,LEN(H24)-4)/10000</f>
        <v>1.6899999999999998E-2</v>
      </c>
      <c r="AA24" s="247">
        <f>ABS(Z24-Y24)</f>
        <v>23.280999999999999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/stypes="app*4013*20180109*"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112-09 --locoid 4013 --swversion DE.1.0.9.0 --startMP 204:232979 --initTime 2018-01-09T05:37:43 --startdatetime 2018-01-09T05:57:14 --delay 57 --endMP 204:169 --enddatetime 2018-01-09T06:34:01 --enforcementcount 0 &gt;&gt;%USERPROFILE%\Documents\GitHub\eaglep3-reporting\EC\2018-01-09-refined-times.txt</v>
      </c>
      <c r="AI24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{"issue":{"subject":"","project_id":79,"tracker_id":40,"status_id":1,"priority_id":2,"assigned_to_id":338,"start_date":"2018-01-09","description":"","custom_fields":[{"id":1,"name":"Subdivision","value":"EC"},{"id":4,"name":"Milepost","value":"0.0169"},{"id":17,"name":"Train ID","value":"112-09"},{"id":16,"name":"Locomotive ID","value":"4013"},{"id":130,"name":"Impact","value":""},{"id":150,"name":"Time of Event (Mountain Time)","value":"06:34:01"},{"id":151,"name":"Denver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4013 --day 2018-01-09</v>
      </c>
      <c r="AN24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-09T04:37:43-0700',mode:absolute,to:'2018-01-09T07:34:01-0700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752</v>
      </c>
      <c r="B25" s="225">
        <v>4034</v>
      </c>
      <c r="C25" s="227" t="s">
        <v>191</v>
      </c>
      <c r="D25" s="227" t="s">
        <v>644</v>
      </c>
      <c r="E25" s="226">
        <v>43109.20721064815</v>
      </c>
      <c r="F25" s="226">
        <v>43109.218912037039</v>
      </c>
      <c r="G25" s="225">
        <v>67</v>
      </c>
      <c r="H25" s="227" t="s">
        <v>944</v>
      </c>
      <c r="I25" s="226">
        <v>43109.243333333332</v>
      </c>
      <c r="J25" s="225">
        <v>0</v>
      </c>
      <c r="K25" s="237" t="str">
        <f>IF(ISEVEN(B25),(B25-1)&amp;"/"&amp;B25,B25&amp;"/"&amp;(B25+1))</f>
        <v>4033/4034</v>
      </c>
      <c r="L25" s="245" t="str">
        <f>VLOOKUP(A25,'Trips&amp;Operators'!$C$1:$G$99911,5,FALSE)</f>
        <v>YANAI IAN</v>
      </c>
      <c r="M25" s="224">
        <f>I25-F25</f>
        <v>2.4421296293439809E-2</v>
      </c>
      <c r="N25" s="225">
        <f>24*60*SUM($M25:$M25)</f>
        <v>35.166666662553325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-09T03:58:23-0700',mode:absolute,to:'2018-01-09T06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4.5100000000000001E-2</v>
      </c>
      <c r="Z25" s="247">
        <f>RIGHT(H25,LEN(H25)-4)/10000</f>
        <v>23.332599999999999</v>
      </c>
      <c r="AA25" s="247">
        <f>ABS(Z25-Y25)</f>
        <v>23.287499999999998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/stypes="app*4034*20180109*"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113-09 --locoid 4034 --swversion DE.1.0.9.0 --startMP 204:451 --initTime 2018-01-09T04:58:23 --startdatetime 2018-01-09T05:15:14 --delay 67 --endMP 204:233326 --enddatetime 2018-01-09T05:50:24 --enforcementcount 0 &gt;&gt;%USERPROFILE%\Documents\GitHub\eaglep3-reporting\EC\2018-01-09-refined-times.txt</v>
      </c>
      <c r="AI2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{"issue":{"subject":"","project_id":79,"tracker_id":40,"status_id":1,"priority_id":2,"assigned_to_id":338,"start_date":"2018-01-09","description":"","custom_fields":[{"id":1,"name":"Subdivision","value":"EC"},{"id":4,"name":"Milepost","value":"23.3326"},{"id":17,"name":"Train ID","value":"113-09"},{"id":16,"name":"Locomotive ID","value":"4034"},{"id":130,"name":"Impact","value":""},{"id":150,"name":"Time of Event (Mountain Time)","value":"05:50:24"},{"id":151,"name":"Denver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4034 --day 2018-01-09</v>
      </c>
      <c r="AN2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-09T03:58:23-0700',mode:absolute,to:'2018-01-09T06:50:24-0700'))&amp;_a=(columns:!('Message%20ID',Summary),filters:!(),index:'emp_*',interval:auto,query:(query_string:(analyze_wildcard:!t,query:'%22rtdc.l.rtdc.4034%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761</v>
      </c>
      <c r="B26" s="225">
        <v>4033</v>
      </c>
      <c r="C26" s="227" t="s">
        <v>191</v>
      </c>
      <c r="D26" s="227" t="s">
        <v>945</v>
      </c>
      <c r="E26" s="226">
        <v>43109.244513888887</v>
      </c>
      <c r="F26" s="226">
        <v>43109.258483796293</v>
      </c>
      <c r="G26" s="225">
        <v>60</v>
      </c>
      <c r="H26" s="227" t="s">
        <v>945</v>
      </c>
      <c r="I26" s="226">
        <v>43109.284432870372</v>
      </c>
      <c r="J26" s="225">
        <v>0</v>
      </c>
      <c r="K26" s="237" t="str">
        <f>IF(ISEVEN(B26),(B26-1)&amp;"/"&amp;B26,B26&amp;"/"&amp;(B26+1))</f>
        <v>4033/4034</v>
      </c>
      <c r="L26" s="245" t="str">
        <f>VLOOKUP(A26,'Trips&amp;Operators'!$C$1:$G$99911,5,FALSE)</f>
        <v>YANAI IAN</v>
      </c>
      <c r="M26" s="224">
        <f>I26-F26</f>
        <v>2.5949074079107959E-2</v>
      </c>
      <c r="N26" s="225"/>
      <c r="O26" s="225"/>
      <c r="P26" s="225"/>
      <c r="Q26" s="228"/>
      <c r="R26" s="242"/>
      <c r="S26" s="249"/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-09T04:52:06-0700',mode:absolute,to:'2018-01-09T07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247" t="str">
        <f>IF(AA26&lt;VLOOKUP(AG26,Variables!$AC$3:$AD$8,2,FALSE),"Y","N")</f>
        <v>Y</v>
      </c>
      <c r="X26" s="247">
        <f>VALUE(LEFT(AD26,4))-VALUE(LEFT(AD25,4))</f>
        <v>1</v>
      </c>
      <c r="Y26" s="247">
        <f>RIGHT(D26,LEN(D26)-4)/10000</f>
        <v>23.301100000000002</v>
      </c>
      <c r="Z26" s="247">
        <f>RIGHT(H26,LEN(H26)-4)/10000</f>
        <v>23.301100000000002</v>
      </c>
      <c r="AA26" s="247">
        <f>ABS(Z26-Y26)</f>
        <v>0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/stypes="app*4033*20180109*"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114-09 --locoid 4033 --swversion DE.1.0.9.0 --startMP 204:233011 --initTime 2018-01-09T05:52:06 --startdatetime 2018-01-09T06:12:13 --delay 60 --endMP 204:233011 --enddatetime 2018-01-09T06:49:35 --enforcementcount 0 &gt;&gt;%USERPROFILE%\Documents\GitHub\eaglep3-reporting\EC\2018-01-09-refined-times.txt</v>
      </c>
      <c r="AI2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{"issue":{"subject":"","project_id":79,"tracker_id":40,"status_id":1,"priority_id":2,"assigned_to_id":338,"start_date":"2018-01-09","description":"","custom_fields":[{"id":1,"name":"Subdivision","value":"EC"},{"id":4,"name":"Milepost","value":"23.3011"},{"id":17,"name":"Train ID","value":"114-09"},{"id":16,"name":"Locomotive ID","value":"4033"},{"id":130,"name":"Impact","value":""},{"id":150,"name":"Time of Event (Mountain Time)","value":"06:49:35"},{"id":151,"name":"Denver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4033 --day 2018-01-09</v>
      </c>
      <c r="AN2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-09T04:52:06-0700',mode:absolute,to:'2018-01-09T07:49:35-0700'))&amp;_a=(columns:!('Message%20ID',Summary),filters:!(),index:'emp_*',interval:auto,query:(query_string:(analyze_wildcard:!t,query:'%22rtdc.l.rtdc.4033%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761</v>
      </c>
      <c r="B27" s="225">
        <v>4033</v>
      </c>
      <c r="C27" s="227" t="s">
        <v>191</v>
      </c>
      <c r="D27" s="227" t="s">
        <v>946</v>
      </c>
      <c r="E27" s="226">
        <v>43109.256388888891</v>
      </c>
      <c r="F27" s="226">
        <v>43109.258483796293</v>
      </c>
      <c r="G27" s="225">
        <v>52</v>
      </c>
      <c r="H27" s="227" t="s">
        <v>585</v>
      </c>
      <c r="I27" s="226">
        <v>43109.284432870372</v>
      </c>
      <c r="J27" s="225">
        <v>0</v>
      </c>
      <c r="K27" s="237" t="str">
        <f>IF(ISEVEN(B27),(B27-1)&amp;"/"&amp;B27,B27&amp;"/"&amp;(B27+1))</f>
        <v>4033/4034</v>
      </c>
      <c r="L27" s="245" t="str">
        <f>VLOOKUP(A27,'Trips&amp;Operators'!$C$1:$G$99911,5,FALSE)</f>
        <v>YANAI IAN</v>
      </c>
      <c r="M27" s="224">
        <f>I27-F27</f>
        <v>2.5949074079107959E-2</v>
      </c>
      <c r="N27" s="225">
        <f>24*60*SUM($M27:$M27)</f>
        <v>37.366666673915461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-09T05:09:12-0700',mode:absolute,to:'2018-01-09T07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0</v>
      </c>
      <c r="Y27" s="247">
        <f>RIGHT(D27,LEN(D27)-4)/10000</f>
        <v>23.299600000000002</v>
      </c>
      <c r="Z27" s="247">
        <f>RIGHT(H27,LEN(H27)-4)/10000</f>
        <v>2.23E-2</v>
      </c>
      <c r="AA27" s="247">
        <f>ABS(Z27-Y27)</f>
        <v>23.2773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114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/stypes="app*4033*20180109*"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114-09 --locoid 4033 --swversion DE.1.0.9.0 --startMP 204:232996 --initTime 2018-01-09T06:09:12 --startdatetime 2018-01-09T06:12:13 --delay 52 --endMP 204:223 --enddatetime 2018-01-09T06:49:35 --enforcementcount 0 &gt;&gt;%USERPROFILE%\Documents\GitHub\eaglep3-reporting\EC\2018-01-09-refined-times.txt</v>
      </c>
      <c r="AI2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{"issue":{"subject":"","project_id":79,"tracker_id":40,"status_id":1,"priority_id":2,"assigned_to_id":338,"start_date":"2018-01-09","description":"","custom_fields":[{"id":1,"name":"Subdivision","value":"EC"},{"id":4,"name":"Milepost","value":"0.0223"},{"id":17,"name":"Train ID","value":"114-09"},{"id":16,"name":"Locomotive ID","value":"4033"},{"id":130,"name":"Impact","value":""},{"id":150,"name":"Time of Event (Mountain Time)","value":"06:49:35"},{"id":151,"name":"Denver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4033 --day 2018-01-09</v>
      </c>
      <c r="AN2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-09T05:09:12-0700',mode:absolute,to:'2018-01-09T07:49:35-0700'))&amp;_a=(columns:!('Message%20ID',Summary),filters:!(),index:'emp_*',interval:auto,query:(query_string:(analyze_wildcard:!t,query:'%22rtdc.l.rtdc.4033%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756</v>
      </c>
      <c r="B28" s="225">
        <v>4050</v>
      </c>
      <c r="C28" s="227" t="s">
        <v>191</v>
      </c>
      <c r="D28" s="227" t="s">
        <v>504</v>
      </c>
      <c r="E28" s="226">
        <v>43109.226527777777</v>
      </c>
      <c r="F28" s="226">
        <v>43109.229421296295</v>
      </c>
      <c r="G28" s="225">
        <v>52</v>
      </c>
      <c r="H28" s="227" t="s">
        <v>603</v>
      </c>
      <c r="I28" s="226">
        <v>43109.254606481481</v>
      </c>
      <c r="J28" s="225">
        <v>0</v>
      </c>
      <c r="K28" s="237" t="str">
        <f>IF(ISEVEN(B28),(B28-1)&amp;"/"&amp;B28,B28&amp;"/"&amp;(B28+1))</f>
        <v>4049/4050</v>
      </c>
      <c r="L28" s="245" t="str">
        <f>VLOOKUP(A28,'Trips&amp;Operators'!$C$1:$G$99911,5,FALSE)</f>
        <v>BONDS REYNALDO</v>
      </c>
      <c r="M28" s="224">
        <f>I28-F28</f>
        <v>2.5185185186273884E-2</v>
      </c>
      <c r="N28" s="225">
        <f>24*60*SUM($M28:$M28)</f>
        <v>36.266666668234393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-09T04:26:12-0700',mode:absolute,to:'2018-01-09T07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5.1299999999999998E-2</v>
      </c>
      <c r="Z28" s="247">
        <f>RIGHT(H28,LEN(H28)-4)/10000</f>
        <v>23.328499999999998</v>
      </c>
      <c r="AA28" s="247">
        <f>ABS(Z28-Y28)</f>
        <v>23.277199999999997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115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/stypes="app*4050*20180109*" /stext=" 13:.+((SYSTEM_STATE.+slice.+state.+changed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115-09 --locoid 4050 --swversion DE.1.0.9.0 --startMP 204:513 --initTime 2018-01-09T05:26:12 --startdatetime 2018-01-09T05:30:22 --delay 52 --endMP 204:233285 --enddatetime 2018-01-09T06:06:38 --enforcementcount 0 &gt;&gt;%USERPROFILE%\Documents\GitHub\eaglep3-reporting\EC\2018-01-09-refined-times.txt</v>
      </c>
      <c r="AI28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{"issue":{"subject":"","project_id":79,"tracker_id":40,"status_id":1,"priority_id":2,"assigned_to_id":338,"start_date":"2018-01-09","description":"","custom_fields":[{"id":1,"name":"Subdivision","value":"EC"},{"id":4,"name":"Milepost","value":"23.3285"},{"id":17,"name":"Train ID","value":"115-09"},{"id":16,"name":"Locomotive ID","value":"4050"},{"id":130,"name":"Impact","value":""},{"id":150,"name":"Time of Event (Mountain Time)","value":"06:06:38"},{"id":151,"name":"Denver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4050 --day 2018-01-09</v>
      </c>
      <c r="AN28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-09T04:26:12-0700',mode:absolute,to:'2018-01-09T07:06:38-0700'))&amp;_a=(columns:!('Message%20ID',Summary),filters:!(),index:'emp_*',interval:auto,query:(query_string:(analyze_wildcard:!t,query:'%22rtdc.l.rtdc.4050%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766</v>
      </c>
      <c r="B29" s="225">
        <v>4049</v>
      </c>
      <c r="C29" s="227" t="s">
        <v>191</v>
      </c>
      <c r="D29" s="227" t="s">
        <v>646</v>
      </c>
      <c r="E29" s="226">
        <v>43109.26284722222</v>
      </c>
      <c r="F29" s="226">
        <v>43109.268923611111</v>
      </c>
      <c r="G29" s="225">
        <v>52</v>
      </c>
      <c r="H29" s="227" t="s">
        <v>468</v>
      </c>
      <c r="I29" s="226">
        <v>43109.295243055552</v>
      </c>
      <c r="J29" s="225">
        <v>0</v>
      </c>
      <c r="K29" s="237" t="str">
        <f>IF(ISEVEN(B29),(B29-1)&amp;"/"&amp;B29,B29&amp;"/"&amp;(B29+1))</f>
        <v>4049/4050</v>
      </c>
      <c r="L29" s="245" t="str">
        <f>VLOOKUP(A29,'Trips&amp;Operators'!$C$1:$G$99911,5,FALSE)</f>
        <v>BONDS REYNALDO</v>
      </c>
      <c r="M29" s="224">
        <f>I29-F29</f>
        <v>2.6319444441469386E-2</v>
      </c>
      <c r="N29" s="225">
        <f>24*60*SUM($M29:$M29)</f>
        <v>37.899999995715916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-09T05:18:30-0700',mode:absolute,to:'2018-01-09T08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23.295500000000001</v>
      </c>
      <c r="Z29" s="247">
        <f>RIGHT(H29,LEN(H29)-4)/10000</f>
        <v>0.02</v>
      </c>
      <c r="AA29" s="247">
        <f>ABS(Z29-Y29)</f>
        <v>23.275500000000001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116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/stypes="app*4049*20180109*" /stext=" 14:.+((SYSTEM_STATE.+slice.+state.+changed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116-09 --locoid 4049 --swversion DE.1.0.9.0 --startMP 204:232955 --initTime 2018-01-09T06:18:30 --startdatetime 2018-01-09T06:27:15 --delay 52 --endMP 204:200 --enddatetime 2018-01-09T07:05:09 --enforcementcount 0 &gt;&gt;%USERPROFILE%\Documents\GitHub\eaglep3-reporting\EC\2018-01-09-refined-times.txt</v>
      </c>
      <c r="AI29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{"issue":{"subject":"","project_id":79,"tracker_id":40,"status_id":1,"priority_id":2,"assigned_to_id":338,"start_date":"2018-01-09","description":"","custom_fields":[{"id":1,"name":"Subdivision","value":"EC"},{"id":4,"name":"Milepost","value":"0.02"},{"id":17,"name":"Train ID","value":"116-09"},{"id":16,"name":"Locomotive ID","value":"4049"},{"id":130,"name":"Impact","value":""},{"id":150,"name":"Time of Event (Mountain Time)","value":"07:05:09"},{"id":151,"name":"Denver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4049 --day 2018-01-09</v>
      </c>
      <c r="AN29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-09T05:18:30-0700',mode:absolute,to:'2018-01-09T08:05:09-0700'))&amp;_a=(columns:!('Message%20ID',Summary),filters:!(),index:'emp_*',interval:auto,query:(query_string:(analyze_wildcard:!t,query:'%22rtdc.l.rtdc.4049%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760</v>
      </c>
      <c r="B30" s="225">
        <v>4016</v>
      </c>
      <c r="C30" s="227" t="s">
        <v>191</v>
      </c>
      <c r="D30" s="227" t="s">
        <v>479</v>
      </c>
      <c r="E30" s="226">
        <v>43109.23541666667</v>
      </c>
      <c r="F30" s="226">
        <v>43109.239953703705</v>
      </c>
      <c r="G30" s="225">
        <v>91</v>
      </c>
      <c r="H30" s="227" t="s">
        <v>947</v>
      </c>
      <c r="I30" s="226">
        <v>43109.264282407406</v>
      </c>
      <c r="J30" s="225">
        <v>0</v>
      </c>
      <c r="K30" s="237" t="str">
        <f>IF(ISEVEN(B30),(B30-1)&amp;"/"&amp;B30,B30&amp;"/"&amp;(B30+1))</f>
        <v>4015/4016</v>
      </c>
      <c r="L30" s="245" t="str">
        <f>VLOOKUP(A30,'Trips&amp;Operators'!$C$1:$G$99911,5,FALSE)</f>
        <v>MACDONALD THOMAS</v>
      </c>
      <c r="M30" s="224">
        <f>I30-F30</f>
        <v>2.4328703701030463E-2</v>
      </c>
      <c r="N30" s="225">
        <f>24*60*SUM($M30:$M30)</f>
        <v>35.033333329483867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-09T04:39:00-0700',mode:absolute,to:'2018-01-09T07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4.9799999999999997E-2</v>
      </c>
      <c r="Z30" s="247">
        <f>RIGHT(H30,LEN(H30)-4)/10000</f>
        <v>23.321300000000001</v>
      </c>
      <c r="AA30" s="247">
        <f>ABS(Z30-Y30)</f>
        <v>23.2715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117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/stypes="app*4016*20180109*" /stext=" 13:.+((SYSTEM_STATE.+slice.+state.+changed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117-09 --locoid 4016 --swversion DE.1.0.9.0 --startMP 204:498 --initTime 2018-01-09T05:39:00 --startdatetime 2018-01-09T05:45:32 --delay 91 --endMP 204:233213 --enddatetime 2018-01-09T06:20:34 --enforcementcount 0 &gt;&gt;%USERPROFILE%\Documents\GitHub\eaglep3-reporting\EC\2018-01-09-refined-times.txt</v>
      </c>
      <c r="AI30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{"issue":{"subject":"","project_id":79,"tracker_id":40,"status_id":1,"priority_id":2,"assigned_to_id":338,"start_date":"2018-01-09","description":"","custom_fields":[{"id":1,"name":"Subdivision","value":"EC"},{"id":4,"name":"Milepost","value":"23.3213"},{"id":17,"name":"Train ID","value":"117-09"},{"id":16,"name":"Locomotive ID","value":"4016"},{"id":130,"name":"Impact","value":""},{"id":150,"name":"Time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4016 --day 2018-01-09</v>
      </c>
      <c r="AN30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-09T04:39:00-0700',mode:absolute,to:'2018-01-09T07:20:34-0700'))&amp;_a=(columns:!('Message%20ID',Summary),filters:!(),index:'emp_*',interval:auto,query:(query_string:(analyze_wildcard:!t,query:'%22rtdc.l.rtdc.4016%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767</v>
      </c>
      <c r="B31" s="225">
        <v>4015</v>
      </c>
      <c r="C31" s="227" t="s">
        <v>191</v>
      </c>
      <c r="D31" s="227" t="s">
        <v>948</v>
      </c>
      <c r="E31" s="226">
        <v>43109.267222222225</v>
      </c>
      <c r="F31" s="226">
        <v>43109.279513888891</v>
      </c>
      <c r="G31" s="225">
        <v>47</v>
      </c>
      <c r="H31" s="227" t="s">
        <v>602</v>
      </c>
      <c r="I31" s="226">
        <v>43109.305902777778</v>
      </c>
      <c r="J31" s="225">
        <v>0</v>
      </c>
      <c r="K31" s="237" t="str">
        <f>IF(ISEVEN(B31),(B31-1)&amp;"/"&amp;B31,B31&amp;"/"&amp;(B31+1))</f>
        <v>4015/4016</v>
      </c>
      <c r="L31" s="245" t="str">
        <f>VLOOKUP(A31,'Trips&amp;Operators'!$C$1:$G$99911,5,FALSE)</f>
        <v>MACDONALD THOMAS</v>
      </c>
      <c r="M31" s="224">
        <f>I31-F31</f>
        <v>2.6388888887595385E-2</v>
      </c>
      <c r="N31" s="225">
        <f>24*60*SUM($M31:$M31)</f>
        <v>37.999999998137355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-09T05:24:48-0700',mode:absolute,to:'2018-01-09T08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23.287700000000001</v>
      </c>
      <c r="Z31" s="247">
        <f>RIGHT(H31,LEN(H31)-4)/10000</f>
        <v>2.1999999999999999E-2</v>
      </c>
      <c r="AA31" s="247">
        <f>ABS(Z31-Y31)</f>
        <v>23.265700000000002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118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/stypes="app*4015*20180109*" /stext=" 14:.+((SYSTEM_STATE.+slice.+state.+changed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118-09 --locoid 4015 --swversion DE.1.0.9.0 --startMP 204:232877 --initTime 2018-01-09T06:24:48 --startdatetime 2018-01-09T06:42:30 --delay 47 --endMP 204:220 --enddatetime 2018-01-09T07:20:30 --enforcementcount 0 &gt;&gt;%USERPROFILE%\Documents\GitHub\eaglep3-reporting\EC\2018-01-09-refined-times.txt</v>
      </c>
      <c r="AI31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{"issue":{"subject":"","project_id":79,"tracker_id":40,"status_id":1,"priority_id":2,"assigned_to_id":338,"start_date":"2018-01-09","description":"","custom_fields":[{"id":1,"name":"Subdivision","value":"EC"},{"id":4,"name":"Milepost","value":"0.022"},{"id":17,"name":"Train ID","value":"118-09"},{"id":16,"name":"Locomotive ID","value":"4015"},{"id":130,"name":"Impact","value":""},{"id":150,"name":"Time of Event (Mountain Time)","value":"07:20:30"},{"id":151,"name":"Denver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4015 --day 2018-01-09</v>
      </c>
      <c r="AN31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-09T05:24:48-0700',mode:absolute,to:'2018-01-09T08:20:30-0700'))&amp;_a=(columns:!('Message%20ID',Summary),filters:!(),index:'emp_*',interval:auto,query:(query_string:(analyze_wildcard:!t,query:'%22rtdc.l.rtdc.4015%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763</v>
      </c>
      <c r="B32" s="225">
        <v>4056</v>
      </c>
      <c r="C32" s="227" t="s">
        <v>191</v>
      </c>
      <c r="D32" s="227" t="s">
        <v>471</v>
      </c>
      <c r="E32" s="226">
        <v>43109.24795138889</v>
      </c>
      <c r="F32" s="226">
        <v>43109.250439814816</v>
      </c>
      <c r="G32" s="225">
        <v>54</v>
      </c>
      <c r="H32" s="227" t="s">
        <v>576</v>
      </c>
      <c r="I32" s="226">
        <v>43109.276354166665</v>
      </c>
      <c r="J32" s="225">
        <v>0</v>
      </c>
      <c r="K32" s="237" t="str">
        <f>IF(ISEVEN(B32),(B32-1)&amp;"/"&amp;B32,B32&amp;"/"&amp;(B32+1))</f>
        <v>4055/4056</v>
      </c>
      <c r="L32" s="245" t="str">
        <f>VLOOKUP(A32,'Trips&amp;Operators'!$C$1:$G$99911,5,FALSE)</f>
        <v>THOMPSON LESTER</v>
      </c>
      <c r="M32" s="224">
        <f>I32-F32</f>
        <v>2.5914351848769002E-2</v>
      </c>
      <c r="N32" s="225">
        <f>24*60*SUM($M32:$M32)</f>
        <v>37.316666662227362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-09T04:57:03-0700',mode:absolute,to:'2018-01-09T07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4.8899999999999999E-2</v>
      </c>
      <c r="Z32" s="247">
        <f>RIGHT(H32,LEN(H32)-4)/10000</f>
        <v>23.3293</v>
      </c>
      <c r="AA32" s="247">
        <f>ABS(Z32-Y32)</f>
        <v>23.2804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119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/stypes="app*4056*20180109*" /stext=" 13:.+((SYSTEM_STATE.+slice.+state.+changed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119-09 --locoid 4056 --swversion DE.1.0.9.0 --startMP 204:489 --initTime 2018-01-09T05:57:03 --startdatetime 2018-01-09T06:00:38 --delay 54 --endMP 204:233293 --enddatetime 2018-01-09T06:37:57 --enforcementcount 0 &gt;&gt;%USERPROFILE%\Documents\GitHub\eaglep3-reporting\EC\2018-01-09-refined-times.txt</v>
      </c>
      <c r="AI32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{"issue":{"subject":"","project_id":79,"tracker_id":40,"status_id":1,"priority_id":2,"assigned_to_id":338,"start_date":"2018-01-09","description":"","custom_fields":[{"id":1,"name":"Subdivision","value":"EC"},{"id":4,"name":"Milepost","value":"23.3293"},{"id":17,"name":"Train ID","value":"119-09"},{"id":16,"name":"Locomotive ID","value":"4056"},{"id":130,"name":"Impact","value":""},{"id":150,"name":"Time of Event (Mountain Time)","value":"06:37:57"},{"id":151,"name":"Denver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4056 --day 2018-01-09</v>
      </c>
      <c r="AN32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-09T04:57:03-0700',mode:absolute,to:'2018-01-09T07:37:57-0700'))&amp;_a=(columns:!('Message%20ID',Summary),filters:!(),index:'emp_*',interval:auto,query:(query_string:(analyze_wildcard:!t,query:'%22rtdc.l.rtdc.4056%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773</v>
      </c>
      <c r="B33" s="225">
        <v>4055</v>
      </c>
      <c r="C33" s="227" t="s">
        <v>191</v>
      </c>
      <c r="D33" s="227" t="s">
        <v>497</v>
      </c>
      <c r="E33" s="226">
        <v>43109.288032407407</v>
      </c>
      <c r="F33" s="226">
        <v>43109.289849537039</v>
      </c>
      <c r="G33" s="225">
        <v>63</v>
      </c>
      <c r="H33" s="227" t="s">
        <v>480</v>
      </c>
      <c r="I33" s="226">
        <v>43109.316793981481</v>
      </c>
      <c r="J33" s="225">
        <v>0</v>
      </c>
      <c r="K33" s="237" t="str">
        <f>IF(ISEVEN(B33),(B33-1)&amp;"/"&amp;B33,B33&amp;"/"&amp;(B33+1))</f>
        <v>4055/4056</v>
      </c>
      <c r="L33" s="245" t="str">
        <f>VLOOKUP(A33,'Trips&amp;Operators'!$C$1:$G$99911,5,FALSE)</f>
        <v>THOMPSON LESTER</v>
      </c>
      <c r="M33" s="224">
        <f>I33-F33</f>
        <v>2.6944444442051463E-2</v>
      </c>
      <c r="N33" s="225">
        <f>24*60*SUM($M33:$M33)</f>
        <v>38.799999996554106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-09T05:54:46-0700',mode:absolute,to:'2018-01-09T08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23.2972</v>
      </c>
      <c r="Z33" s="247">
        <f>RIGHT(H33,LEN(H33)-4)/10000</f>
        <v>1.72E-2</v>
      </c>
      <c r="AA33" s="247">
        <f>ABS(Z33-Y33)</f>
        <v>23.28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120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/stypes="app*4055*20180109*" /stext=" 14:.+((SYSTEM_STATE.+slice.+state.+changed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120-09 --locoid 4055 --swversion DE.1.0.9.0 --startMP 204:232972 --initTime 2018-01-09T06:54:46 --startdatetime 2018-01-09T06:57:23 --delay 63 --endMP 204:172 --enddatetime 2018-01-09T07:36:11 --enforcementcount 0 &gt;&gt;%USERPROFILE%\Documents\GitHub\eaglep3-reporting\EC\2018-01-09-refined-times.txt</v>
      </c>
      <c r="AI33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{"issue":{"subject":"","project_id":79,"tracker_id":40,"status_id":1,"priority_id":2,"assigned_to_id":338,"start_date":"2018-01-09","description":"","custom_fields":[{"id":1,"name":"Subdivision","value":"EC"},{"id":4,"name":"Milepost","value":"0.0172"},{"id":17,"name":"Train ID","value":"120-09"},{"id":16,"name":"Locomotive ID","value":"4055"},{"id":130,"name":"Impact","value":""},{"id":150,"name":"Time of Event (Mountain Time)","value":"07:36:11"},{"id":151,"name":"Denver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4055 --day 2018-01-09</v>
      </c>
      <c r="AN33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-09T05:54:46-0700',mode:absolute,to:'2018-01-09T08:36:11-0700'))&amp;_a=(columns:!('Message%20ID',Summary),filters:!(),index:'emp_*',interval:auto,query:(query_string:(analyze_wildcard:!t,query:'%22rtdc.l.rtdc.4055%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765</v>
      </c>
      <c r="B34" s="225">
        <v>4064</v>
      </c>
      <c r="C34" s="227" t="s">
        <v>191</v>
      </c>
      <c r="D34" s="227" t="s">
        <v>517</v>
      </c>
      <c r="E34" s="226">
        <v>43109.254861111112</v>
      </c>
      <c r="F34" s="226">
        <v>43109.260613425926</v>
      </c>
      <c r="G34" s="225">
        <v>54</v>
      </c>
      <c r="H34" s="227" t="s">
        <v>582</v>
      </c>
      <c r="I34" s="226">
        <v>43109.285509259258</v>
      </c>
      <c r="J34" s="225">
        <v>0</v>
      </c>
      <c r="K34" s="237" t="str">
        <f>IF(ISEVEN(B34),(B34-1)&amp;"/"&amp;B34,B34&amp;"/"&amp;(B34+1))</f>
        <v>4063/4064</v>
      </c>
      <c r="L34" s="245" t="str">
        <f>VLOOKUP(A34,'Trips&amp;Operators'!$C$1:$G$99911,5,FALSE)</f>
        <v>LANGERAK WILLIAM</v>
      </c>
      <c r="M34" s="224">
        <f>I34-F34</f>
        <v>2.4895833332266193E-2</v>
      </c>
      <c r="N34" s="225">
        <f>24*60*SUM($M34:$M34)</f>
        <v>35.849999998463318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-09T05:07:00-0700',mode:absolute,to:'2018-01-09T07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4.8800000000000003E-2</v>
      </c>
      <c r="Z34" s="247">
        <f>RIGHT(H34,LEN(H34)-4)/10000</f>
        <v>23.325900000000001</v>
      </c>
      <c r="AA34" s="247">
        <f>ABS(Z34-Y34)</f>
        <v>23.277100000000001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121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/stypes="app*4064*20180109*" /stext=" 13:.+((SYSTEM_STATE.+slice.+state.+changed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121-09 --locoid 4064 --swversion DE.1.0.9.0 --startMP 204:488 --initTime 2018-01-09T06:07:00 --startdatetime 2018-01-09T06:15:17 --delay 54 --endMP 204:233259 --enddatetime 2018-01-09T06:51:08 --enforcementcount 0 &gt;&gt;%USERPROFILE%\Documents\GitHub\eaglep3-reporting\EC\2018-01-09-refined-times.txt</v>
      </c>
      <c r="AI34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{"issue":{"subject":"","project_id":79,"tracker_id":40,"status_id":1,"priority_id":2,"assigned_to_id":338,"start_date":"2018-01-09","description":"","custom_fields":[{"id":1,"name":"Subdivision","value":"EC"},{"id":4,"name":"Milepost","value":"23.3259"},{"id":17,"name":"Train ID","value":"121-09"},{"id":16,"name":"Locomotive ID","value":"4064"},{"id":130,"name":"Impact","value":""},{"id":150,"name":"Time of Event (Mountain Time)","value":"06:51:08"},{"id":151,"name":"Denver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4064 --day 2018-01-09</v>
      </c>
      <c r="AN34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-09T05:07:00-0700',mode:absolute,to:'2018-01-09T07:51:08-0700'))&amp;_a=(columns:!('Message%20ID',Summary),filters:!(),index:'emp_*',interval:auto,query:(query_string:(analyze_wildcard:!t,query:'%22rtdc.l.rtdc.4064%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776</v>
      </c>
      <c r="B35" s="225">
        <v>4063</v>
      </c>
      <c r="C35" s="227" t="s">
        <v>191</v>
      </c>
      <c r="D35" s="227" t="s">
        <v>609</v>
      </c>
      <c r="E35" s="226">
        <v>43109.292002314818</v>
      </c>
      <c r="F35" s="226">
        <v>43109.300173611111</v>
      </c>
      <c r="G35" s="225">
        <v>51</v>
      </c>
      <c r="H35" s="227" t="s">
        <v>522</v>
      </c>
      <c r="I35" s="226">
        <v>43109.326863425929</v>
      </c>
      <c r="J35" s="225">
        <v>0</v>
      </c>
      <c r="K35" s="237" t="str">
        <f>IF(ISEVEN(B35),(B35-1)&amp;"/"&amp;B35,B35&amp;"/"&amp;(B35+1))</f>
        <v>4063/4064</v>
      </c>
      <c r="L35" s="245" t="str">
        <f>VLOOKUP(A35,'Trips&amp;Operators'!$C$1:$G$99911,5,FALSE)</f>
        <v>LANGERAK WILLIAM</v>
      </c>
      <c r="M35" s="224">
        <f>I35-F35</f>
        <v>2.6689814818382729E-2</v>
      </c>
      <c r="N35" s="225">
        <f>24*60*SUM($M35:$M35)</f>
        <v>38.43333333847113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-09T06:00:29-0700',mode:absolute,to:'2018-01-09T08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23.293600000000001</v>
      </c>
      <c r="Z35" s="247">
        <f>RIGHT(H35,LEN(H35)-4)/10000</f>
        <v>1.8100000000000002E-2</v>
      </c>
      <c r="AA35" s="247">
        <f>ABS(Z35-Y35)</f>
        <v>23.275500000000001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122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/stypes="app*4063*20180109*"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122-09 --locoid 4063 --swversion DE.1.0.9.0 --startMP 204:232936 --initTime 2018-01-09T07:00:29 --startdatetime 2018-01-09T07:12:15 --delay 51 --endMP 204:181 --enddatetime 2018-01-09T07:50:41 --enforcementcount 0 &gt;&gt;%USERPROFILE%\Documents\GitHub\eaglep3-reporting\EC\2018-01-09-refined-times.txt</v>
      </c>
      <c r="AI3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{"issue":{"subject":"","project_id":79,"tracker_id":40,"status_id":1,"priority_id":2,"assigned_to_id":338,"start_date":"2018-01-09","description":"","custom_fields":[{"id":1,"name":"Subdivision","value":"EC"},{"id":4,"name":"Milepost","value":"0.0181"},{"id":17,"name":"Train ID","value":"122-09"},{"id":16,"name":"Locomotive ID","value":"4063"},{"id":130,"name":"Impact","value":""},{"id":150,"name":"Time of Event (Mountain Time)","value":"07:50:41"},{"id":151,"name":"Denver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4063 --day 2018-01-09</v>
      </c>
      <c r="AN3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-09T06:00:29-0700',mode:absolute,to:'2018-01-09T08:50:41-0700'))&amp;_a=(columns:!('Message%20ID',Summary),filters:!(),index:'emp_*',interval:auto,query:(query_string:(analyze_wildcard:!t,query:'%22rtdc.l.rtdc.4063%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769</v>
      </c>
      <c r="B36" s="225">
        <v>4046</v>
      </c>
      <c r="C36" s="227" t="s">
        <v>191</v>
      </c>
      <c r="D36" s="227" t="s">
        <v>545</v>
      </c>
      <c r="E36" s="226">
        <v>43109.269571759258</v>
      </c>
      <c r="F36" s="226">
        <v>43109.27103009259</v>
      </c>
      <c r="G36" s="225">
        <v>49</v>
      </c>
      <c r="H36" s="227" t="s">
        <v>515</v>
      </c>
      <c r="I36" s="226">
        <v>43109.295659722222</v>
      </c>
      <c r="J36" s="225">
        <v>0</v>
      </c>
      <c r="K36" s="237" t="str">
        <f>IF(ISEVEN(B36),(B36-1)&amp;"/"&amp;B36,B36&amp;"/"&amp;(B36+1))</f>
        <v>4045/4046</v>
      </c>
      <c r="L36" s="245" t="str">
        <f>VLOOKUP(A36,'Trips&amp;Operators'!$C$1:$G$99911,5,FALSE)</f>
        <v>LAMAR NEKESHA</v>
      </c>
      <c r="M36" s="224">
        <f>I36-F36</f>
        <v>2.4629629631817807E-2</v>
      </c>
      <c r="N36" s="225">
        <f>24*60*SUM($M36:$M36)</f>
        <v>35.466666669817641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-09T05:28:11-0700',mode:absolute,to:'2018-01-09T08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4.9500000000000002E-2</v>
      </c>
      <c r="Z36" s="247">
        <f>RIGHT(H36,LEN(H36)-4)/10000</f>
        <v>23.328900000000001</v>
      </c>
      <c r="AA36" s="247">
        <f>ABS(Z36-Y36)</f>
        <v>23.279400000000003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/stypes="app*4046*20180109*"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123-09 --locoid 4046 --swversion DE.1.0.9.0 --startMP 204:495 --initTime 2018-01-09T06:28:11 --startdatetime 2018-01-09T06:30:17 --delay 49 --endMP 204:233289 --enddatetime 2018-01-09T07:05:45 --enforcementcount 0 &gt;&gt;%USERPROFILE%\Documents\GitHub\eaglep3-reporting\EC\2018-01-09-refined-times.txt</v>
      </c>
      <c r="AI3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{"issue":{"subject":"","project_id":79,"tracker_id":40,"status_id":1,"priority_id":2,"assigned_to_id":338,"start_date":"2018-01-09","description":"","custom_fields":[{"id":1,"name":"Subdivision","value":"EC"},{"id":4,"name":"Milepost","value":"23.3289"},{"id":17,"name":"Train ID","value":"123-09"},{"id":16,"name":"Locomotive ID","value":"4046"},{"id":130,"name":"Impact","value":""},{"id":150,"name":"Time of Event (Mountain Time)","value":"07:05:45"},{"id":151,"name":"Denver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4046 --day 2018-01-09</v>
      </c>
      <c r="AN3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-09T05:28:11-0700',mode:absolute,to:'2018-01-09T08:05:45-0700'))&amp;_a=(columns:!('Message%20ID',Summary),filters:!(),index:'emp_*',interval:auto,query:(query_string:(analyze_wildcard:!t,query:'%22rtdc.l.rtdc.4046%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778</v>
      </c>
      <c r="B37" s="225">
        <v>4045</v>
      </c>
      <c r="C37" s="227" t="s">
        <v>191</v>
      </c>
      <c r="D37" s="227" t="s">
        <v>661</v>
      </c>
      <c r="E37" s="226">
        <v>43109.307349537034</v>
      </c>
      <c r="F37" s="226">
        <v>43109.310613425929</v>
      </c>
      <c r="G37" s="225">
        <v>55</v>
      </c>
      <c r="H37" s="227" t="s">
        <v>518</v>
      </c>
      <c r="I37" s="226">
        <v>43109.336828703701</v>
      </c>
      <c r="J37" s="225">
        <v>0</v>
      </c>
      <c r="K37" s="237" t="str">
        <f>IF(ISEVEN(B37),(B37-1)&amp;"/"&amp;B37,B37&amp;"/"&amp;(B37+1))</f>
        <v>4045/4046</v>
      </c>
      <c r="L37" s="245" t="str">
        <f>VLOOKUP(A37,'Trips&amp;Operators'!$C$1:$G$99911,5,FALSE)</f>
        <v>LAMAR NEKESHA</v>
      </c>
      <c r="M37" s="224">
        <f>I37-F37</f>
        <v>2.6215277772280388E-2</v>
      </c>
      <c r="N37" s="225">
        <f>24*60*SUM($M37:$M37)</f>
        <v>37.749999992083758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-09T06:22:35-0700',mode:absolute,to:'2018-01-09T09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23.2974</v>
      </c>
      <c r="Z37" s="247">
        <f>RIGHT(H37,LEN(H37)-4)/10000</f>
        <v>1.8700000000000001E-2</v>
      </c>
      <c r="AA37" s="247">
        <f>ABS(Z37-Y37)</f>
        <v>23.278700000000001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124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/stypes="app*4045*20180109*"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124-09 --locoid 4045 --swversion DE.1.0.9.0 --startMP 204:232974 --initTime 2018-01-09T07:22:35 --startdatetime 2018-01-09T07:27:17 --delay 55 --endMP 204:187 --enddatetime 2018-01-09T08:05:02 --enforcementcount 0 &gt;&gt;%USERPROFILE%\Documents\GitHub\eaglep3-reporting\EC\2018-01-09-refined-times.txt</v>
      </c>
      <c r="AI3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{"issue":{"subject":"","project_id":79,"tracker_id":40,"status_id":1,"priority_id":2,"assigned_to_id":338,"start_date":"2018-01-09","description":"","custom_fields":[{"id":1,"name":"Subdivision","value":"EC"},{"id":4,"name":"Milepost","value":"0.0187"},{"id":17,"name":"Train ID","value":"124-09"},{"id":16,"name":"Locomotive ID","value":"4045"},{"id":130,"name":"Impact","value":""},{"id":150,"name":"Time of Event (Mountain Time)","value":"08:05:02"},{"id":151,"name":"Denver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4045 --day 2018-01-09</v>
      </c>
      <c r="AN3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-09T06:22:35-0700',mode:absolute,to:'2018-01-09T09:05:02-0700'))&amp;_a=(columns:!('Message%20ID',Summary),filters:!(),index:'emp_*',interval:auto,query:(query_string:(analyze_wildcard:!t,query:'%22rtdc.l.rtdc.4045%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771</v>
      </c>
      <c r="B38" s="225">
        <v>4014</v>
      </c>
      <c r="C38" s="227" t="s">
        <v>191</v>
      </c>
      <c r="D38" s="227" t="s">
        <v>649</v>
      </c>
      <c r="E38" s="226">
        <v>43109.274710648147</v>
      </c>
      <c r="F38" s="226">
        <v>43109.281446759262</v>
      </c>
      <c r="G38" s="225">
        <v>50</v>
      </c>
      <c r="H38" s="227" t="s">
        <v>515</v>
      </c>
      <c r="I38" s="226">
        <v>43109.305300925924</v>
      </c>
      <c r="J38" s="225">
        <v>0</v>
      </c>
      <c r="K38" s="237" t="str">
        <f>IF(ISEVEN(B38),(B38-1)&amp;"/"&amp;B38,B38&amp;"/"&amp;(B38+1))</f>
        <v>4013/4014</v>
      </c>
      <c r="L38" s="245" t="str">
        <f>VLOOKUP(A38,'Trips&amp;Operators'!$C$1:$G$99911,5,FALSE)</f>
        <v>YORK EDGAR</v>
      </c>
      <c r="M38" s="224">
        <f>I38-F38</f>
        <v>2.3854166662204079E-2</v>
      </c>
      <c r="N38" s="225">
        <f>24*60*SUM($M38:$M38)</f>
        <v>34.349999993573874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-09T05:35:35-0700',mode:absolute,to:'2018-01-09T08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4.6699999999999998E-2</v>
      </c>
      <c r="Z38" s="247">
        <f>RIGHT(H38,LEN(H38)-4)/10000</f>
        <v>23.328900000000001</v>
      </c>
      <c r="AA38" s="247">
        <f>ABS(Z38-Y38)</f>
        <v>23.2822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125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/stypes="app*4014*20180109*" /stext=" 14:.+((SYSTEM_STATE.+slice.+state.+changed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125-09 --locoid 4014 --swversion DE.1.0.9.0 --startMP 204:467 --initTime 2018-01-09T06:35:35 --startdatetime 2018-01-09T06:45:17 --delay 50 --endMP 204:233289 --enddatetime 2018-01-09T07:19:38 --enforcementcount 0 &gt;&gt;%USERPROFILE%\Documents\GitHub\eaglep3-reporting\EC\2018-01-09-refined-times.txt</v>
      </c>
      <c r="AI38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{"issue":{"subject":"","project_id":79,"tracker_id":40,"status_id":1,"priority_id":2,"assigned_to_id":338,"start_date":"2018-01-09","description":"","custom_fields":[{"id":1,"name":"Subdivision","value":"EC"},{"id":4,"name":"Milepost","value":"23.3289"},{"id":17,"name":"Train ID","value":"125-09"},{"id":16,"name":"Locomotive ID","value":"4014"},{"id":130,"name":"Impact","value":""},{"id":150,"name":"Time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4014 --day 2018-01-09</v>
      </c>
      <c r="AN38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-09T05:35:35-0700',mode:absolute,to:'2018-01-09T08:19:38-0700'))&amp;_a=(columns:!('Message%20ID',Summary),filters:!(),index:'emp_*',interval:auto,query:(query_string:(analyze_wildcard:!t,query:'%22rtdc.l.rtdc.4014%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705</v>
      </c>
      <c r="B39" s="225">
        <v>4013</v>
      </c>
      <c r="C39" s="227" t="s">
        <v>191</v>
      </c>
      <c r="D39" s="227" t="s">
        <v>577</v>
      </c>
      <c r="E39" s="226">
        <v>43109.319699074076</v>
      </c>
      <c r="F39" s="226">
        <v>43109.321087962962</v>
      </c>
      <c r="G39" s="225">
        <v>46</v>
      </c>
      <c r="H39" s="227" t="s">
        <v>655</v>
      </c>
      <c r="I39" s="226">
        <v>43109.347453703704</v>
      </c>
      <c r="J39" s="225">
        <v>0</v>
      </c>
      <c r="K39" s="237" t="str">
        <f>IF(ISEVEN(B39),(B39-1)&amp;"/"&amp;B39,B39&amp;"/"&amp;(B39+1))</f>
        <v>4013/4014</v>
      </c>
      <c r="L39" s="245" t="str">
        <f>VLOOKUP(A39,'Trips&amp;Operators'!$C$1:$G$99911,5,FALSE)</f>
        <v>YORK EDGAR</v>
      </c>
      <c r="M39" s="224">
        <f>I39-F39</f>
        <v>2.6365740741312038E-2</v>
      </c>
      <c r="N39" s="225">
        <f>24*60*SUM($M39:$M39)</f>
        <v>37.966666667489335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-09T06:40:22-0700',mode:absolute,to:'2018-01-09T09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23.2971</v>
      </c>
      <c r="Z39" s="247">
        <f>RIGHT(H39,LEN(H39)-4)/10000</f>
        <v>1.61E-2</v>
      </c>
      <c r="AA39" s="247">
        <f>ABS(Z39-Y39)</f>
        <v>23.280999999999999</v>
      </c>
      <c r="AB39" s="233" t="str">
        <f>VLOOKUP(A39,Enforcements!$C$7:$K$9,8,0)</f>
        <v>Bulletin (2)</v>
      </c>
      <c r="AC39" s="232" t="str">
        <f>VLOOKUP(A39,Enforcements!$C$7:$E$9,3,0)</f>
        <v>GRADE CROSSING</v>
      </c>
      <c r="AD39" s="243">
        <f>VALUE(LEFT(A39,LEN(A39)-3))</f>
        <v>126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/stypes="app*4013*20180109*" /stext=" 15:.+((SYSTEM_STATE.+slice.+state.+changed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126-09 --locoid 4013 --swversion DE.1.0.9.0 --startMP 204:232971 --initTime 2018-01-09T07:40:22 --startdatetime 2018-01-09T07:42:22 --delay 46 --endMP 204:161 --enddatetime 2018-01-09T08:20:20 --enforcementcount 0 &gt;&gt;%USERPROFILE%\Documents\GitHub\eaglep3-reporting\EC\2018-01-09-refined-times.txt</v>
      </c>
      <c r="AI39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{"issue":{"subject":"","project_id":79,"tracker_id":40,"status_id":1,"priority_id":2,"assigned_to_id":338,"start_date":"2018-01-09","description":"","custom_fields":[{"id":1,"name":"Subdivision","value":"EC"},{"id":4,"name":"Milepost","value":"0.0161"},{"id":17,"name":"Train ID","value":"126-09"},{"id":16,"name":"Locomotive ID","value":"4013"},{"id":130,"name":"Impact","value":""},{"id":150,"name":"Time of Event (Mountain Time)","value":"08:20:20"},{"id":151,"name":"Denver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4013 --day 2018-01-09</v>
      </c>
      <c r="AN39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-09T06:40:22-0700',mode:absolute,to:'2018-01-09T09:20:20-0700'))&amp;_a=(columns:!('Message%20ID',Summary),filters:!(),index:'emp_*',interval:auto,query:(query_string:(analyze_wildcard:!t,query:'%22rtdc.l.rtdc.4013%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772</v>
      </c>
      <c r="B40" s="225">
        <v>4034</v>
      </c>
      <c r="C40" s="227" t="s">
        <v>191</v>
      </c>
      <c r="D40" s="227" t="s">
        <v>589</v>
      </c>
      <c r="E40" s="226">
        <v>43109.285462962966</v>
      </c>
      <c r="F40" s="226">
        <v>43109.291828703703</v>
      </c>
      <c r="G40" s="225">
        <v>53</v>
      </c>
      <c r="H40" s="227" t="s">
        <v>633</v>
      </c>
      <c r="I40" s="226">
        <v>43109.318020833336</v>
      </c>
      <c r="J40" s="225">
        <v>0</v>
      </c>
      <c r="K40" s="237" t="str">
        <f>IF(ISEVEN(B40),(B40-1)&amp;"/"&amp;B40,B40&amp;"/"&amp;(B40+1))</f>
        <v>4033/4034</v>
      </c>
      <c r="L40" s="245" t="str">
        <f>VLOOKUP(A40,'Trips&amp;Operators'!$C$1:$G$99911,5,FALSE)</f>
        <v>YANAI IAN</v>
      </c>
      <c r="M40" s="224">
        <f>I40-F40</f>
        <v>2.6192129633272998E-2</v>
      </c>
      <c r="N40" s="225">
        <f>24*60*SUM($M40:$M40)</f>
        <v>37.716666671913117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-09T05:51:04-0700',mode:absolute,to:'2018-01-09T08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5.3699999999999998E-2</v>
      </c>
      <c r="Z40" s="247">
        <f>RIGHT(H40,LEN(H40)-4)/10000</f>
        <v>23.329499999999999</v>
      </c>
      <c r="AA40" s="247">
        <f>ABS(Z40-Y40)</f>
        <v>23.2758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127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/stypes="app*4034*20180109*" /stext=" 14:.+((SYSTEM_STATE.+slice.+state.+changed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127-09 --locoid 4034 --swversion DE.1.0.9.0 --startMP 204:537 --initTime 2018-01-09T06:51:04 --startdatetime 2018-01-09T07:00:14 --delay 53 --endMP 204:233295 --enddatetime 2018-01-09T07:37:57 --enforcementcount 0 &gt;&gt;%USERPROFILE%\Documents\GitHub\eaglep3-reporting\EC\2018-01-09-refined-times.txt</v>
      </c>
      <c r="AI40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{"issue":{"subject":"","project_id":79,"tracker_id":40,"status_id":1,"priority_id":2,"assigned_to_id":338,"start_date":"2018-01-09","description":"","custom_fields":[{"id":1,"name":"Subdivision","value":"EC"},{"id":4,"name":"Milepost","value":"23.3295"},{"id":17,"name":"Train ID","value":"127-09"},{"id":16,"name":"Locomotive ID","value":"4034"},{"id":130,"name":"Impact","value":""},{"id":150,"name":"Time of Event (Mountain Time)","value":"07:37:57"},{"id":151,"name":"Denver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4034 --day 2018-01-09</v>
      </c>
      <c r="AN40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-09T05:51:04-0700',mode:absolute,to:'2018-01-09T08:37:57-0700'))&amp;_a=(columns:!('Message%20ID',Summary),filters:!(),index:'emp_*',interval:auto,query:(query_string:(analyze_wildcard:!t,query:'%22rtdc.l.rtdc.4034%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782</v>
      </c>
      <c r="B41" s="225">
        <v>4033</v>
      </c>
      <c r="C41" s="227" t="s">
        <v>191</v>
      </c>
      <c r="D41" s="227" t="s">
        <v>567</v>
      </c>
      <c r="E41" s="226">
        <v>43109.318912037037</v>
      </c>
      <c r="F41" s="226">
        <v>43109.331435185188</v>
      </c>
      <c r="G41" s="225">
        <v>79</v>
      </c>
      <c r="H41" s="227" t="s">
        <v>660</v>
      </c>
      <c r="I41" s="226">
        <v>43109.358101851853</v>
      </c>
      <c r="J41" s="225">
        <v>0</v>
      </c>
      <c r="K41" s="237" t="str">
        <f>IF(ISEVEN(B41),(B41-1)&amp;"/"&amp;B41,B41&amp;"/"&amp;(B41+1))</f>
        <v>4033/4034</v>
      </c>
      <c r="L41" s="245" t="str">
        <f>VLOOKUP(A41,'Trips&amp;Operators'!$C$1:$G$99911,5,FALSE)</f>
        <v>YANAI IAN</v>
      </c>
      <c r="M41" s="224">
        <f>I41-F41</f>
        <v>2.6666666664823424E-2</v>
      </c>
      <c r="N41" s="225">
        <f>24*60*SUM($M41:$M41)</f>
        <v>38.399999997345731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-09T06:39:14-0700',mode:absolute,to:'2018-01-09T09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23.297599999999999</v>
      </c>
      <c r="Z41" s="247">
        <f>RIGHT(H41,LEN(H41)-4)/10000</f>
        <v>2.2700000000000001E-2</v>
      </c>
      <c r="AA41" s="247">
        <f>ABS(Z41-Y41)</f>
        <v>23.274899999999999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128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/stypes="app*4033*20180109*" /stext=" 15:.+((SYSTEM_STATE.+slice.+state.+changed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128-09 --locoid 4033 --swversion DE.1.0.9.0 --startMP 204:232976 --initTime 2018-01-09T07:39:14 --startdatetime 2018-01-09T07:57:16 --delay 79 --endMP 204:227 --enddatetime 2018-01-09T08:35:40 --enforcementcount 0 &gt;&gt;%USERPROFILE%\Documents\GitHub\eaglep3-reporting\EC\2018-01-09-refined-times.txt</v>
      </c>
      <c r="AI41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{"issue":{"subject":"","project_id":79,"tracker_id":40,"status_id":1,"priority_id":2,"assigned_to_id":338,"start_date":"2018-01-09","description":"","custom_fields":[{"id":1,"name":"Subdivision","value":"EC"},{"id":4,"name":"Milepost","value":"0.0227"},{"id":17,"name":"Train ID","value":"128-09"},{"id":16,"name":"Locomotive ID","value":"4033"},{"id":130,"name":"Impact","value":""},{"id":150,"name":"Time of Event (Mountain Time)","value":"08:35:40"},{"id":151,"name":"Denver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4033 --day 2018-01-09</v>
      </c>
      <c r="AN41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-09T06:39:14-0700',mode:absolute,to:'2018-01-09T09:35:40-0700'))&amp;_a=(columns:!('Message%20ID',Summary),filters:!(),index:'emp_*',interval:auto,query:(query_string:(analyze_wildcard:!t,query:'%22rtdc.l.rtdc.4033%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777</v>
      </c>
      <c r="B42" s="225">
        <v>4050</v>
      </c>
      <c r="C42" s="227" t="s">
        <v>191</v>
      </c>
      <c r="D42" s="227" t="s">
        <v>949</v>
      </c>
      <c r="E42" s="226">
        <v>43109.297523148147</v>
      </c>
      <c r="F42" s="226">
        <v>43109.302604166667</v>
      </c>
      <c r="G42" s="225">
        <v>66</v>
      </c>
      <c r="H42" s="227" t="s">
        <v>645</v>
      </c>
      <c r="I42" s="226">
        <v>43109.327233796299</v>
      </c>
      <c r="J42" s="225">
        <v>0</v>
      </c>
      <c r="K42" s="237" t="str">
        <f>IF(ISEVEN(B42),(B42-1)&amp;"/"&amp;B42,B42&amp;"/"&amp;(B42+1))</f>
        <v>4049/4050</v>
      </c>
      <c r="L42" s="245" t="str">
        <f>VLOOKUP(A42,'Trips&amp;Operators'!$C$1:$G$99911,5,FALSE)</f>
        <v>BONDS REYNALDO</v>
      </c>
      <c r="M42" s="224">
        <f>I42-F42</f>
        <v>2.4629629631817807E-2</v>
      </c>
      <c r="N42" s="225">
        <f>24*60*SUM($M42:$M42)</f>
        <v>35.466666669817641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-09T06:08:26-0700',mode:absolute,to:'2018-01-09T08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5.3900000000000003E-2</v>
      </c>
      <c r="Z42" s="247">
        <f>RIGHT(H42,LEN(H42)-4)/10000</f>
        <v>23.3276</v>
      </c>
      <c r="AA42" s="247">
        <f>ABS(Z42-Y42)</f>
        <v>23.273700000000002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/stypes="app*4050*20180109*"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129-09 --locoid 4050 --swversion DE.1.0.9.0 --startMP 204:539 --initTime 2018-01-09T07:08:26 --startdatetime 2018-01-09T07:15:45 --delay 66 --endMP 204:233276 --enddatetime 2018-01-09T07:51:13 --enforcementcount 0 &gt;&gt;%USERPROFILE%\Documents\GitHub\eaglep3-reporting\EC\2018-01-09-refined-times.txt</v>
      </c>
      <c r="AI42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{"issue":{"subject":"","project_id":79,"tracker_id":40,"status_id":1,"priority_id":2,"assigned_to_id":338,"start_date":"2018-01-09","description":"","custom_fields":[{"id":1,"name":"Subdivision","value":"EC"},{"id":4,"name":"Milepost","value":"23.3276"},{"id":17,"name":"Train ID","value":"129-09"},{"id":16,"name":"Locomotive ID","value":"4050"},{"id":130,"name":"Impact","value":""},{"id":150,"name":"Time of Event (Mountain Time)","value":"07:51:13"},{"id":151,"name":"Denver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4050 --day 2018-01-09</v>
      </c>
      <c r="AN42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-09T06:08:26-0700',mode:absolute,to:'2018-01-09T08:51:13-0700'))&amp;_a=(columns:!('Message%20ID',Summary),filters:!(),index:'emp_*',interval:auto,query:(query_string:(analyze_wildcard:!t,query:'%22rtdc.l.rtdc.4050%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787</v>
      </c>
      <c r="B43" s="225">
        <v>4049</v>
      </c>
      <c r="C43" s="227" t="s">
        <v>191</v>
      </c>
      <c r="D43" s="227" t="s">
        <v>659</v>
      </c>
      <c r="E43" s="226">
        <v>43109.337777777779</v>
      </c>
      <c r="F43" s="226">
        <v>43109.341828703706</v>
      </c>
      <c r="G43" s="225">
        <v>75</v>
      </c>
      <c r="H43" s="227" t="s">
        <v>648</v>
      </c>
      <c r="I43" s="226">
        <v>43109.367928240739</v>
      </c>
      <c r="J43" s="225">
        <v>0</v>
      </c>
      <c r="K43" s="237" t="str">
        <f>IF(ISEVEN(B43),(B43-1)&amp;"/"&amp;B43,B43&amp;"/"&amp;(B43+1))</f>
        <v>4049/4050</v>
      </c>
      <c r="L43" s="245" t="str">
        <f>VLOOKUP(A43,'Trips&amp;Operators'!$C$1:$G$99911,5,FALSE)</f>
        <v>BONDS REYNALDO</v>
      </c>
      <c r="M43" s="224">
        <f>I43-F43</f>
        <v>2.6099537033587694E-2</v>
      </c>
      <c r="N43" s="225">
        <f>24*60*SUM($M43:$M43)</f>
        <v>37.58333332836628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-09T07:06:24-0700',mode:absolute,to:'2018-01-09T09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23.294799999999999</v>
      </c>
      <c r="Z43" s="247">
        <f>RIGHT(H43,LEN(H43)-4)/10000</f>
        <v>1.89E-2</v>
      </c>
      <c r="AA43" s="247">
        <f>ABS(Z43-Y43)</f>
        <v>23.2759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/stypes="app*4049*20180109*"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130-09 --locoid 4049 --swversion DE.1.0.9.0 --startMP 204:232948 --initTime 2018-01-09T08:06:24 --startdatetime 2018-01-09T08:12:14 --delay 75 --endMP 204:189 --enddatetime 2018-01-09T08:49:49 --enforcementcount 0 &gt;&gt;%USERPROFILE%\Documents\GitHub\eaglep3-reporting\EC\2018-01-09-refined-times.txt</v>
      </c>
      <c r="AI43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{"issue":{"subject":"","project_id":79,"tracker_id":40,"status_id":1,"priority_id":2,"assigned_to_id":338,"start_date":"2018-01-09","description":"","custom_fields":[{"id":1,"name":"Subdivision","value":"EC"},{"id":4,"name":"Milepost","value":"0.0189"},{"id":17,"name":"Train ID","value":"130-09"},{"id":16,"name":"Locomotive ID","value":"4049"},{"id":130,"name":"Impact","value":""},{"id":150,"name":"Time of Event (Mountain Time)","value":"08:49:49"},{"id":151,"name":"Denver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4049 --day 2018-01-09</v>
      </c>
      <c r="AN43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-09T07:06:24-0700',mode:absolute,to:'2018-01-09T09:49:49-0700'))&amp;_a=(columns:!('Message%20ID',Summary),filters:!(),index:'emp_*',interval:auto,query:(query_string:(analyze_wildcard:!t,query:'%22rtdc.l.rtdc.4049%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780</v>
      </c>
      <c r="B44" s="225">
        <v>4016</v>
      </c>
      <c r="C44" s="227" t="s">
        <v>191</v>
      </c>
      <c r="D44" s="227" t="s">
        <v>466</v>
      </c>
      <c r="E44" s="226">
        <v>43109.310972222222</v>
      </c>
      <c r="F44" s="226">
        <v>43109.312685185185</v>
      </c>
      <c r="G44" s="225">
        <v>45</v>
      </c>
      <c r="H44" s="227" t="s">
        <v>580</v>
      </c>
      <c r="I44" s="226">
        <v>43109.33792824074</v>
      </c>
      <c r="J44" s="225">
        <v>0</v>
      </c>
      <c r="K44" s="237" t="str">
        <f>IF(ISEVEN(B44),(B44-1)&amp;"/"&amp;B44,B44&amp;"/"&amp;(B44+1))</f>
        <v>4015/4016</v>
      </c>
      <c r="L44" s="245" t="str">
        <f>VLOOKUP(A44,'Trips&amp;Operators'!$C$1:$G$99911,5,FALSE)</f>
        <v>MACDONALD THOMAS</v>
      </c>
      <c r="M44" s="224">
        <f>I44-F44</f>
        <v>2.5243055555620231E-2</v>
      </c>
      <c r="N44" s="225">
        <f>24*60*SUM($M44:$M44)</f>
        <v>36.350000000093132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-09T06:27:48-0700',mode:absolute,to:'2018-01-09T09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5.1700000000000003E-2</v>
      </c>
      <c r="Z44" s="247">
        <f>RIGHT(H44,LEN(H44)-4)/10000</f>
        <v>23.322099999999999</v>
      </c>
      <c r="AA44" s="247">
        <f>ABS(Z44-Y44)</f>
        <v>23.270399999999999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/stypes="app*4016*20180109*"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131-09 --locoid 4016 --swversion DE.1.0.9.0 --startMP 204:517 --initTime 2018-01-09T07:27:48 --startdatetime 2018-01-09T07:30:16 --delay 45 --endMP 204:233221 --enddatetime 2018-01-09T08:06:37 --enforcementcount 0 &gt;&gt;%USERPROFILE%\Documents\GitHub\eaglep3-reporting\EC\2018-01-09-refined-times.txt</v>
      </c>
      <c r="AI44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{"issue":{"subject":"","project_id":79,"tracker_id":40,"status_id":1,"priority_id":2,"assigned_to_id":338,"start_date":"2018-01-09","description":"","custom_fields":[{"id":1,"name":"Subdivision","value":"EC"},{"id":4,"name":"Milepost","value":"23.3221"},{"id":17,"name":"Train ID","value":"131-09"},{"id":16,"name":"Locomotive ID","value":"4016"},{"id":130,"name":"Impact","value":""},{"id":150,"name":"Time of Event (Mountain Time)","value":"08:06:37"},{"id":151,"name":"Denver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4016 --day 2018-01-09</v>
      </c>
      <c r="AN44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-09T06:27:48-0700',mode:absolute,to:'2018-01-09T09:06:37-0700'))&amp;_a=(columns:!('Message%20ID',Summary),filters:!(),index:'emp_*',interval:auto,query:(query_string:(analyze_wildcard:!t,query:'%22rtdc.l.rtdc.4016%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790</v>
      </c>
      <c r="B45" s="225">
        <v>4015</v>
      </c>
      <c r="C45" s="227" t="s">
        <v>191</v>
      </c>
      <c r="D45" s="227" t="s">
        <v>950</v>
      </c>
      <c r="E45" s="226">
        <v>43109.351180555554</v>
      </c>
      <c r="F45" s="226">
        <v>43109.35229166667</v>
      </c>
      <c r="G45" s="225">
        <v>45</v>
      </c>
      <c r="H45" s="227" t="s">
        <v>951</v>
      </c>
      <c r="I45" s="226">
        <v>43109.378032407411</v>
      </c>
      <c r="J45" s="225">
        <v>0</v>
      </c>
      <c r="K45" s="237" t="str">
        <f>IF(ISEVEN(B45),(B45-1)&amp;"/"&amp;B45,B45&amp;"/"&amp;(B45+1))</f>
        <v>4015/4016</v>
      </c>
      <c r="L45" s="245" t="str">
        <f>VLOOKUP(A45,'Trips&amp;Operators'!$C$1:$G$99911,5,FALSE)</f>
        <v>MACDONALD THOMAS</v>
      </c>
      <c r="M45" s="224">
        <f>I45-F45</f>
        <v>2.5740740740729962E-2</v>
      </c>
      <c r="N45" s="225">
        <f>24*60*SUM($M45:$M45)</f>
        <v>37.066666666651145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-09T07:25:42-0700',mode:absolute,to:'2018-01-09T10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23.2911</v>
      </c>
      <c r="Z45" s="247">
        <f>RIGHT(H45,LEN(H45)-4)/10000</f>
        <v>2.4500000000000001E-2</v>
      </c>
      <c r="AA45" s="247">
        <f>ABS(Z45-Y45)</f>
        <v>23.2666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/stypes="app*4015*20180109*"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132-09 --locoid 4015 --swversion DE.1.0.9.0 --startMP 204:232911 --initTime 2018-01-09T08:25:42 --startdatetime 2018-01-09T08:27:18 --delay 45 --endMP 204:245 --enddatetime 2018-01-09T09:04:22 --enforcementcount 0 &gt;&gt;%USERPROFILE%\Documents\GitHub\eaglep3-reporting\EC\2018-01-09-refined-times.txt</v>
      </c>
      <c r="AI4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{"issue":{"subject":"","project_id":79,"tracker_id":40,"status_id":1,"priority_id":2,"assigned_to_id":338,"start_date":"2018-01-09","description":"","custom_fields":[{"id":1,"name":"Subdivision","value":"EC"},{"id":4,"name":"Milepost","value":"0.0245"},{"id":17,"name":"Train ID","value":"132-09"},{"id":16,"name":"Locomotive ID","value":"4015"},{"id":130,"name":"Impact","value":""},{"id":150,"name":"Time of Event (Mountain Time)","value":"09:04:22"},{"id":151,"name":"Denver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4015 --day 2018-01-09</v>
      </c>
      <c r="AN4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-09T07:25:42-0700',mode:absolute,to:'2018-01-09T10:04:22-0700'))&amp;_a=(columns:!('Message%20ID',Summary),filters:!(),index:'emp_*',interval:auto,query:(query_string:(analyze_wildcard:!t,query:'%22rtdc.l.rtdc.4015%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783</v>
      </c>
      <c r="B46" s="225">
        <v>4056</v>
      </c>
      <c r="C46" s="227" t="s">
        <v>191</v>
      </c>
      <c r="D46" s="227" t="s">
        <v>547</v>
      </c>
      <c r="E46" s="226">
        <v>43109.321458333332</v>
      </c>
      <c r="F46" s="226">
        <v>43109.323287037034</v>
      </c>
      <c r="G46" s="225">
        <v>62</v>
      </c>
      <c r="H46" s="227" t="s">
        <v>502</v>
      </c>
      <c r="I46" s="226">
        <v>43109.347824074073</v>
      </c>
      <c r="J46" s="225">
        <v>0</v>
      </c>
      <c r="K46" s="237" t="str">
        <f>IF(ISEVEN(B46),(B46-1)&amp;"/"&amp;B46,B46&amp;"/"&amp;(B46+1))</f>
        <v>4055/4056</v>
      </c>
      <c r="L46" s="245" t="str">
        <f>VLOOKUP(A46,'Trips&amp;Operators'!$C$1:$G$99911,5,FALSE)</f>
        <v>THOMPSON LESTER</v>
      </c>
      <c r="M46" s="224">
        <f>I46-F46</f>
        <v>2.453703703940846E-2</v>
      </c>
      <c r="N46" s="225">
        <f>24*60*SUM($M46:$M46)</f>
        <v>35.333333336748183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-09T06:42:54-0700',mode:absolute,to:'2018-01-09T09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4.7100000000000003E-2</v>
      </c>
      <c r="Z46" s="247">
        <f>RIGHT(H46,LEN(H46)-4)/10000</f>
        <v>23.328600000000002</v>
      </c>
      <c r="AA46" s="247">
        <f>ABS(Z46-Y46)</f>
        <v>23.281500000000001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/stypes="app*4056*20180109*"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133-09 --locoid 4056 --swversion DE.1.0.9.0 --startMP 204:471 --initTime 2018-01-09T07:42:54 --startdatetime 2018-01-09T07:45:32 --delay 62 --endMP 204:233286 --enddatetime 2018-01-09T08:20:52 --enforcementcount 0 &gt;&gt;%USERPROFILE%\Documents\GitHub\eaglep3-reporting\EC\2018-01-09-refined-times.txt</v>
      </c>
      <c r="AI4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{"issue":{"subject":"","project_id":79,"tracker_id":40,"status_id":1,"priority_id":2,"assigned_to_id":338,"start_date":"2018-01-09","description":"","custom_fields":[{"id":1,"name":"Subdivision","value":"EC"},{"id":4,"name":"Milepost","value":"23.3286"},{"id":17,"name":"Train ID","value":"133-09"},{"id":16,"name":"Locomotive ID","value":"4056"},{"id":130,"name":"Impact","value":""},{"id":150,"name":"Time of Event (Mountain Time)","value":"08:20:52"},{"id":151,"name":"Denver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4056 --day 2018-01-09</v>
      </c>
      <c r="AN4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-09T06:42:54-0700',mode:absolute,to:'2018-01-09T09:20:52-0700'))&amp;_a=(columns:!('Message%20ID',Summary),filters:!(),index:'emp_*',interval:auto,query:(query_string:(analyze_wildcard:!t,query:'%22rtdc.l.rtdc.4056%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794</v>
      </c>
      <c r="B47" s="225">
        <v>4055</v>
      </c>
      <c r="C47" s="227" t="s">
        <v>191</v>
      </c>
      <c r="D47" s="227" t="s">
        <v>601</v>
      </c>
      <c r="E47" s="226">
        <v>43109.360995370371</v>
      </c>
      <c r="F47" s="226">
        <v>43109.362812500003</v>
      </c>
      <c r="G47" s="225">
        <v>53</v>
      </c>
      <c r="H47" s="227" t="s">
        <v>543</v>
      </c>
      <c r="I47" s="226">
        <v>43109.389756944445</v>
      </c>
      <c r="J47" s="225">
        <v>0</v>
      </c>
      <c r="K47" s="237" t="str">
        <f>IF(ISEVEN(B47),(B47-1)&amp;"/"&amp;B47,B47&amp;"/"&amp;(B47+1))</f>
        <v>4055/4056</v>
      </c>
      <c r="L47" s="245" t="str">
        <f>VLOOKUP(A47,'Trips&amp;Operators'!$C$1:$G$99911,5,FALSE)</f>
        <v>THOMPSON LESTER</v>
      </c>
      <c r="M47" s="224">
        <f>I47-F47</f>
        <v>2.6944444442051463E-2</v>
      </c>
      <c r="N47" s="225">
        <f>24*60*SUM($M47:$M47)</f>
        <v>38.799999996554106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-09T07:39:50-0700',mode:absolute,to:'2018-01-09T10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23.2957</v>
      </c>
      <c r="Z47" s="247">
        <f>RIGHT(H47,LEN(H47)-4)/10000</f>
        <v>1.78E-2</v>
      </c>
      <c r="AA47" s="247">
        <f>ABS(Z47-Y47)</f>
        <v>23.277899999999999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/stypes="app*4055*20180109*"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134-09 --locoid 4055 --swversion DE.1.0.9.0 --startMP 204:232957 --initTime 2018-01-09T08:39:50 --startdatetime 2018-01-09T08:42:27 --delay 53 --endMP 204:178 --enddatetime 2018-01-09T09:21:15 --enforcementcount 0 &gt;&gt;%USERPROFILE%\Documents\GitHub\eaglep3-reporting\EC\2018-01-09-refined-times.txt</v>
      </c>
      <c r="AI4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{"issue":{"subject":"","project_id":79,"tracker_id":40,"status_id":1,"priority_id":2,"assigned_to_id":338,"start_date":"2018-01-09","description":"","custom_fields":[{"id":1,"name":"Subdivision","value":"EC"},{"id":4,"name":"Milepost","value":"0.0178"},{"id":17,"name":"Train ID","value":"134-09"},{"id":16,"name":"Locomotive ID","value":"4055"},{"id":130,"name":"Impact","value":""},{"id":150,"name":"Time of Event (Mountain Time)","value":"09:21:15"},{"id":151,"name":"Denver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4055 --day 2018-01-09</v>
      </c>
      <c r="AN4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-09T07:39:50-0700',mode:absolute,to:'2018-01-09T10:21:15-0700'))&amp;_a=(columns:!('Message%20ID',Summary),filters:!(),index:'emp_*',interval:auto,query:(query_string:(analyze_wildcard:!t,query:'%22rtdc.l.rtdc.4055%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784</v>
      </c>
      <c r="B48" s="225">
        <v>4064</v>
      </c>
      <c r="C48" s="227" t="s">
        <v>191</v>
      </c>
      <c r="D48" s="227" t="s">
        <v>679</v>
      </c>
      <c r="E48" s="226">
        <v>43109.32849537037</v>
      </c>
      <c r="F48" s="226">
        <v>43109.333518518521</v>
      </c>
      <c r="G48" s="225">
        <v>55</v>
      </c>
      <c r="H48" s="227" t="s">
        <v>663</v>
      </c>
      <c r="I48" s="226">
        <v>43109.358402777776</v>
      </c>
      <c r="J48" s="225">
        <v>0</v>
      </c>
      <c r="K48" s="237" t="str">
        <f>IF(ISEVEN(B48),(B48-1)&amp;"/"&amp;B48,B48&amp;"/"&amp;(B48+1))</f>
        <v>4063/4064</v>
      </c>
      <c r="L48" s="245" t="str">
        <f>VLOOKUP(A48,'Trips&amp;Operators'!$C$1:$G$99911,5,FALSE)</f>
        <v>LANGERAK WILLIAM</v>
      </c>
      <c r="M48" s="224">
        <f>I48-F48</f>
        <v>2.488425925548654E-2</v>
      </c>
      <c r="N48" s="225">
        <f>24*60*SUM($M48:$M48)</f>
        <v>35.833333327900618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-09T06:53:02-0700',mode:absolute,to:'2018-01-09T09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4.8399999999999999E-2</v>
      </c>
      <c r="Z48" s="247">
        <f>RIGHT(H48,LEN(H48)-4)/10000</f>
        <v>23.3278</v>
      </c>
      <c r="AA48" s="247">
        <f>ABS(Z48-Y48)</f>
        <v>23.279399999999999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/stypes="app*4064*20180109*"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135-09 --locoid 4064 --swversion DE.1.0.9.0 --startMP 204:484 --initTime 2018-01-09T07:53:02 --startdatetime 2018-01-09T08:00:16 --delay 55 --endMP 204:233278 --enddatetime 2018-01-09T08:36:06 --enforcementcount 0 &gt;&gt;%USERPROFILE%\Documents\GitHub\eaglep3-reporting\EC\2018-01-09-refined-times.txt</v>
      </c>
      <c r="AI48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{"issue":{"subject":"","project_id":79,"tracker_id":40,"status_id":1,"priority_id":2,"assigned_to_id":338,"start_date":"2018-01-09","description":"","custom_fields":[{"id":1,"name":"Subdivision","value":"EC"},{"id":4,"name":"Milepost","value":"23.3278"},{"id":17,"name":"Train ID","value":"135-09"},{"id":16,"name":"Locomotive ID","value":"4064"},{"id":130,"name":"Impact","value":""},{"id":150,"name":"Time of Event (Mountain Time)","value":"08:36:06"},{"id":151,"name":"Denver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4064 --day 2018-01-09</v>
      </c>
      <c r="AN48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-09T06:53:02-0700',mode:absolute,to:'2018-01-09T09:36:06-0700'))&amp;_a=(columns:!('Message%20ID',Summary),filters:!(),index:'emp_*',interval:auto,query:(query_string:(analyze_wildcard:!t,query:'%22rtdc.l.rtdc.4064%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795</v>
      </c>
      <c r="B49" s="225">
        <v>4063</v>
      </c>
      <c r="C49" s="227" t="s">
        <v>191</v>
      </c>
      <c r="D49" s="227" t="s">
        <v>606</v>
      </c>
      <c r="E49" s="226">
        <v>43109.366493055553</v>
      </c>
      <c r="F49" s="226">
        <v>43109.373101851852</v>
      </c>
      <c r="G49" s="225">
        <v>57</v>
      </c>
      <c r="H49" s="227" t="s">
        <v>459</v>
      </c>
      <c r="I49" s="226">
        <v>43109.399016203701</v>
      </c>
      <c r="J49" s="225">
        <v>0</v>
      </c>
      <c r="K49" s="237" t="str">
        <f>IF(ISEVEN(B49),(B49-1)&amp;"/"&amp;B49,B49&amp;"/"&amp;(B49+1))</f>
        <v>4063/4064</v>
      </c>
      <c r="L49" s="245" t="str">
        <f>VLOOKUP(A49,'Trips&amp;Operators'!$C$1:$G$99911,5,FALSE)</f>
        <v>LANGERAK WILLIAM</v>
      </c>
      <c r="M49" s="224">
        <f>I49-F49</f>
        <v>2.5914351848769002E-2</v>
      </c>
      <c r="N49" s="225">
        <f>24*60*SUM($M49:$M49)</f>
        <v>37.316666662227362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-09T07:47:45-0700',mode:absolute,to:'2018-01-09T10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23.296399999999998</v>
      </c>
      <c r="Z49" s="247">
        <f>RIGHT(H49,LEN(H49)-4)/10000</f>
        <v>2.2499999999999999E-2</v>
      </c>
      <c r="AA49" s="247">
        <f>ABS(Z49-Y49)</f>
        <v>23.273899999999998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/stypes="app*4063*20180109*"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136-09 --locoid 4063 --swversion DE.1.0.9.0 --startMP 204:232964 --initTime 2018-01-09T08:47:45 --startdatetime 2018-01-09T08:57:16 --delay 57 --endMP 204:225 --enddatetime 2018-01-09T09:34:35 --enforcementcount 0 &gt;&gt;%USERPROFILE%\Documents\GitHub\eaglep3-reporting\EC\2018-01-09-refined-times.txt</v>
      </c>
      <c r="AI49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{"issue":{"subject":"","project_id":79,"tracker_id":40,"status_id":1,"priority_id":2,"assigned_to_id":338,"start_date":"2018-01-09","description":"","custom_fields":[{"id":1,"name":"Subdivision","value":"EC"},{"id":4,"name":"Milepost","value":"0.0225"},{"id":17,"name":"Train ID","value":"136-09"},{"id":16,"name":"Locomotive ID","value":"4063"},{"id":130,"name":"Impact","value":""},{"id":150,"name":"Time of Event (Mountain Time)","value":"09:34:35"},{"id":151,"name":"Denver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4063 --day 2018-01-09</v>
      </c>
      <c r="AN49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-09T07:47:45-0700',mode:absolute,to:'2018-01-09T10:34:35-0700'))&amp;_a=(columns:!('Message%20ID',Summary),filters:!(),index:'emp_*',interval:auto,query:(query_string:(analyze_wildcard:!t,query:'%22rtdc.l.rtdc.4063%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788</v>
      </c>
      <c r="B50" s="225">
        <v>4046</v>
      </c>
      <c r="C50" s="227" t="s">
        <v>191</v>
      </c>
      <c r="D50" s="227" t="s">
        <v>499</v>
      </c>
      <c r="E50" s="226">
        <v>43109.34</v>
      </c>
      <c r="F50" s="226">
        <v>43109.344155092593</v>
      </c>
      <c r="G50" s="225">
        <v>54</v>
      </c>
      <c r="H50" s="227" t="s">
        <v>952</v>
      </c>
      <c r="I50" s="226">
        <v>43109.367638888885</v>
      </c>
      <c r="J50" s="225">
        <v>0</v>
      </c>
      <c r="K50" s="237" t="str">
        <f>IF(ISEVEN(B50),(B50-1)&amp;"/"&amp;B50,B50&amp;"/"&amp;(B50+1))</f>
        <v>4045/4046</v>
      </c>
      <c r="L50" s="245" t="str">
        <f>VLOOKUP(A50,'Trips&amp;Operators'!$C$1:$G$99911,5,FALSE)</f>
        <v>LAMAR NEKESHA</v>
      </c>
      <c r="M50" s="224">
        <f>I50-F50</f>
        <v>2.3483796292566694E-2</v>
      </c>
      <c r="N50" s="225">
        <f>24*60*SUM($M50:$M50)</f>
        <v>33.81666666129604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-09T07:09:36-0700',mode:absolute,to:'2018-01-09T09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5.04E-2</v>
      </c>
      <c r="Z50" s="247">
        <f>RIGHT(H50,LEN(H50)-4)/10000</f>
        <v>23.328199999999999</v>
      </c>
      <c r="AA50" s="247">
        <f>ABS(Z50-Y50)</f>
        <v>23.277799999999999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/stypes="app*4046*20180109*"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137-09 --locoid 4046 --swversion DE.1.0.9.0 --startMP 204:504 --initTime 2018-01-09T08:09:36 --startdatetime 2018-01-09T08:15:35 --delay 54 --endMP 204:233282 --enddatetime 2018-01-09T08:49:24 --enforcementcount 0 &gt;&gt;%USERPROFILE%\Documents\GitHub\eaglep3-reporting\EC\2018-01-09-refined-times.txt</v>
      </c>
      <c r="AI50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{"issue":{"subject":"","project_id":79,"tracker_id":40,"status_id":1,"priority_id":2,"assigned_to_id":338,"start_date":"2018-01-09","description":"","custom_fields":[{"id":1,"name":"Subdivision","value":"EC"},{"id":4,"name":"Milepost","value":"23.3282"},{"id":17,"name":"Train ID","value":"137-09"},{"id":16,"name":"Locomotive ID","value":"4046"},{"id":130,"name":"Impact","value":""},{"id":150,"name":"Time of Event (Mountain Time)","value":"08:49:24"},{"id":151,"name":"Denver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4046 --day 2018-01-09</v>
      </c>
      <c r="AN50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-09T07:09:36-0700',mode:absolute,to:'2018-01-09T09:49:24-0700'))&amp;_a=(columns:!('Message%20ID',Summary),filters:!(),index:'emp_*',interval:auto,query:(query_string:(analyze_wildcard:!t,query:'%22rtdc.l.rtdc.4046%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798</v>
      </c>
      <c r="B51" s="225">
        <v>4045</v>
      </c>
      <c r="C51" s="227" t="s">
        <v>191</v>
      </c>
      <c r="D51" s="227" t="s">
        <v>540</v>
      </c>
      <c r="E51" s="226">
        <v>43109.378564814811</v>
      </c>
      <c r="F51" s="226">
        <v>43109.383518518516</v>
      </c>
      <c r="G51" s="225">
        <v>83</v>
      </c>
      <c r="H51" s="227" t="s">
        <v>518</v>
      </c>
      <c r="I51" s="226">
        <v>43109.409560185188</v>
      </c>
      <c r="J51" s="225">
        <v>0</v>
      </c>
      <c r="K51" s="237" t="str">
        <f>IF(ISEVEN(B51),(B51-1)&amp;"/"&amp;B51,B51&amp;"/"&amp;(B51+1))</f>
        <v>4045/4046</v>
      </c>
      <c r="L51" s="245" t="str">
        <f>VLOOKUP(A51,'Trips&amp;Operators'!$C$1:$G$99911,5,FALSE)</f>
        <v>LAMAR NEKESHA</v>
      </c>
      <c r="M51" s="224">
        <f>I51-F51</f>
        <v>2.6041666671517305E-2</v>
      </c>
      <c r="N51" s="225">
        <f>24*60*SUM($M51:$M51)</f>
        <v>37.500000006984919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-09T08:05:08-0700',mode:absolute,to:'2018-01-09T10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23.296299999999999</v>
      </c>
      <c r="Z51" s="247">
        <f>RIGHT(H51,LEN(H51)-4)/10000</f>
        <v>1.8700000000000001E-2</v>
      </c>
      <c r="AA51" s="247">
        <f>ABS(Z51-Y51)</f>
        <v>23.2776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/stypes="app*4045*20180109*"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138-09 --locoid 4045 --swversion DE.1.0.9.0 --startMP 204:232963 --initTime 2018-01-09T09:05:08 --startdatetime 2018-01-09T09:12:16 --delay 83 --endMP 204:187 --enddatetime 2018-01-09T09:49:46 --enforcementcount 0 &gt;&gt;%USERPROFILE%\Documents\GitHub\eaglep3-reporting\EC\2018-01-09-refined-times.txt</v>
      </c>
      <c r="AI51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{"issue":{"subject":"","project_id":79,"tracker_id":40,"status_id":1,"priority_id":2,"assigned_to_id":338,"start_date":"2018-01-09","description":"","custom_fields":[{"id":1,"name":"Subdivision","value":"EC"},{"id":4,"name":"Milepost","value":"0.0187"},{"id":17,"name":"Train ID","value":"138-09"},{"id":16,"name":"Locomotive ID","value":"4045"},{"id":130,"name":"Impact","value":""},{"id":150,"name":"Time of Event (Mountain Time)","value":"09:49:46"},{"id":151,"name":"Denver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4045 --day 2018-01-09</v>
      </c>
      <c r="AN51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-09T08:05:08-0700',mode:absolute,to:'2018-01-09T10:49:46-0700'))&amp;_a=(columns:!('Message%20ID',Summary),filters:!(),index:'emp_*',interval:auto,query:(query_string:(analyze_wildcard:!t,query:'%22rtdc.l.rtdc.4045%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789</v>
      </c>
      <c r="B52" s="225">
        <v>4014</v>
      </c>
      <c r="C52" s="227" t="s">
        <v>191</v>
      </c>
      <c r="D52" s="227" t="s">
        <v>482</v>
      </c>
      <c r="E52" s="226">
        <v>43109.348865740743</v>
      </c>
      <c r="F52" s="226">
        <v>43109.354351851849</v>
      </c>
      <c r="G52" s="225">
        <v>44</v>
      </c>
      <c r="H52" s="227" t="s">
        <v>953</v>
      </c>
      <c r="I52" s="226">
        <v>43109.379016203704</v>
      </c>
      <c r="J52" s="225">
        <v>0</v>
      </c>
      <c r="K52" s="237" t="str">
        <f>IF(ISEVEN(B52),(B52-1)&amp;"/"&amp;B52,B52&amp;"/"&amp;(B52+1))</f>
        <v>4013/4014</v>
      </c>
      <c r="L52" s="245" t="str">
        <f>VLOOKUP(A52,'Trips&amp;Operators'!$C$1:$G$99911,5,FALSE)</f>
        <v>YORK EDGAR</v>
      </c>
      <c r="M52" s="224">
        <f>I52-F52</f>
        <v>2.4664351854880806E-2</v>
      </c>
      <c r="N52" s="225">
        <f>24*60*SUM($M52:$M52)</f>
        <v>35.516666671028361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-09T07:22:22-0700',mode:absolute,to:'2018-01-09T10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4.6899999999999997E-2</v>
      </c>
      <c r="Z52" s="247">
        <f>RIGHT(H52,LEN(H52)-4)/10000</f>
        <v>23.329799999999999</v>
      </c>
      <c r="AA52" s="247">
        <f>ABS(Z52-Y52)</f>
        <v>23.282899999999998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/stypes="app*4014*20180109*"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139-09 --locoid 4014 --swversion DE.1.0.9.0 --startMP 204:469 --initTime 2018-01-09T08:22:22 --startdatetime 2018-01-09T08:30:16 --delay 44 --endMP 204:233298 --enddatetime 2018-01-09T09:05:47 --enforcementcount 0 &gt;&gt;%USERPROFILE%\Documents\GitHub\eaglep3-reporting\EC\2018-01-09-refined-times.txt</v>
      </c>
      <c r="AI52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{"issue":{"subject":"","project_id":79,"tracker_id":40,"status_id":1,"priority_id":2,"assigned_to_id":338,"start_date":"2018-01-09","description":"","custom_fields":[{"id":1,"name":"Subdivision","value":"EC"},{"id":4,"name":"Milepost","value":"23.3298"},{"id":17,"name":"Train ID","value":"139-09"},{"id":16,"name":"Locomotive ID","value":"4014"},{"id":130,"name":"Impact","value":""},{"id":150,"name":"Time of Event (Mountain Time)","value":"09:05:47"},{"id":151,"name":"Denver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4014 --day 2018-01-09</v>
      </c>
      <c r="AN52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-09T07:22:22-0700',mode:absolute,to:'2018-01-09T10:05:47-0700'))&amp;_a=(columns:!('Message%20ID',Summary),filters:!(),index:'emp_*',interval:auto,query:(query_string:(analyze_wildcard:!t,query:'%22rtdc.l.rtdc.4014%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708</v>
      </c>
      <c r="B53" s="225">
        <v>4013</v>
      </c>
      <c r="C53" s="227" t="s">
        <v>191</v>
      </c>
      <c r="D53" s="227" t="s">
        <v>488</v>
      </c>
      <c r="E53" s="226">
        <v>43109.380428240744</v>
      </c>
      <c r="F53" s="226">
        <v>43109.393958333334</v>
      </c>
      <c r="G53" s="225">
        <v>46</v>
      </c>
      <c r="H53" s="227" t="s">
        <v>465</v>
      </c>
      <c r="I53" s="226">
        <v>43109.419212962966</v>
      </c>
      <c r="J53" s="225">
        <v>0</v>
      </c>
      <c r="K53" s="237" t="str">
        <f>IF(ISEVEN(B53),(B53-1)&amp;"/"&amp;B53,B53&amp;"/"&amp;(B53+1))</f>
        <v>4013/4014</v>
      </c>
      <c r="L53" s="245" t="str">
        <f>VLOOKUP(A53,'Trips&amp;Operators'!$C$1:$G$99911,5,FALSE)</f>
        <v>YORK EDGAR</v>
      </c>
      <c r="M53" s="224">
        <f>I53-F53</f>
        <v>2.5254629632399883E-2</v>
      </c>
      <c r="N53" s="225">
        <f>24*60*SUM($M53:$M53)</f>
        <v>36.366666670655832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-09T08:07:49-0700',mode:absolute,to:'2018-01-09T11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23.298300000000001</v>
      </c>
      <c r="Z53" s="247">
        <f>RIGHT(H53,LEN(H53)-4)/10000</f>
        <v>2.0500000000000001E-2</v>
      </c>
      <c r="AA53" s="247">
        <f>ABS(Z53-Y53)</f>
        <v>23.277800000000003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/stypes="app*4013*20180109*"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140-09 --locoid 4013 --swversion DE.1.0.9.0 --startMP 204:232983 --initTime 2018-01-09T09:07:49 --startdatetime 2018-01-09T09:27:18 --delay 46 --endMP 204:205 --enddatetime 2018-01-09T10:03:40 --enforcementcount 0 &gt;&gt;%USERPROFILE%\Documents\GitHub\eaglep3-reporting\EC\2018-01-09-refined-times.txt</v>
      </c>
      <c r="AI53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{"issue":{"subject":"","project_id":79,"tracker_id":40,"status_id":1,"priority_id":2,"assigned_to_id":338,"start_date":"2018-01-09","description":"","custom_fields":[{"id":1,"name":"Subdivision","value":"EC"},{"id":4,"name":"Milepost","value":"0.0205"},{"id":17,"name":"Train ID","value":"140-09"},{"id":16,"name":"Locomotive ID","value":"4013"},{"id":130,"name":"Impact","value":""},{"id":150,"name":"Time of Event (Mountain Time)","value":"10:03:40"},{"id":151,"name":"Denver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4013 --day 2018-01-09</v>
      </c>
      <c r="AN53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-09T08:07:49-0700',mode:absolute,to:'2018-01-09T11:03:40-0700'))&amp;_a=(columns:!('Message%20ID',Summary),filters:!(),index:'emp_*',interval:auto,query:(query_string:(analyze_wildcard:!t,query:'%22rtdc.l.rtdc.4013%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793</v>
      </c>
      <c r="B54" s="225">
        <v>4034</v>
      </c>
      <c r="C54" s="227" t="s">
        <v>191</v>
      </c>
      <c r="D54" s="227" t="s">
        <v>667</v>
      </c>
      <c r="E54" s="226">
        <v>43109.360173611109</v>
      </c>
      <c r="F54" s="226">
        <v>43109.364756944444</v>
      </c>
      <c r="G54" s="225">
        <v>47</v>
      </c>
      <c r="H54" s="227" t="s">
        <v>653</v>
      </c>
      <c r="I54" s="226">
        <v>43109.388460648152</v>
      </c>
      <c r="J54" s="225">
        <v>0</v>
      </c>
      <c r="K54" s="237" t="str">
        <f>IF(ISEVEN(B54),(B54-1)&amp;"/"&amp;B54,B54&amp;"/"&amp;(B54+1))</f>
        <v>4033/4034</v>
      </c>
      <c r="L54" s="245" t="str">
        <f>VLOOKUP(A54,'Trips&amp;Operators'!$C$1:$G$99911,5,FALSE)</f>
        <v>YANAI IAN</v>
      </c>
      <c r="M54" s="224">
        <f>I54-F54</f>
        <v>2.3703703707724344E-2</v>
      </c>
      <c r="N54" s="225">
        <f>24*60*SUM($M54:$M54)</f>
        <v>34.133333339123055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-09T07:38:39-0700',mode:absolute,to:'2018-01-09T10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5.4899999999999997E-2</v>
      </c>
      <c r="Z54" s="247">
        <f>RIGHT(H54,LEN(H54)-4)/10000</f>
        <v>23.333400000000001</v>
      </c>
      <c r="AA54" s="247">
        <f>ABS(Z54-Y54)</f>
        <v>23.278500000000001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/stypes="app*4034*20180109*"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141-09 --locoid 4034 --swversion DE.1.0.9.0 --startMP 204:549 --initTime 2018-01-09T08:38:39 --startdatetime 2018-01-09T08:45:15 --delay 47 --endMP 204:233334 --enddatetime 2018-01-09T09:19:23 --enforcementcount 0 &gt;&gt;%USERPROFILE%\Documents\GitHub\eaglep3-reporting\EC\2018-01-09-refined-times.txt</v>
      </c>
      <c r="AI54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{"issue":{"subject":"","project_id":79,"tracker_id":40,"status_id":1,"priority_id":2,"assigned_to_id":338,"start_date":"2018-01-09","description":"","custom_fields":[{"id":1,"name":"Subdivision","value":"EC"},{"id":4,"name":"Milepost","value":"23.3334"},{"id":17,"name":"Train ID","value":"141-09"},{"id":16,"name":"Locomotive ID","value":"4034"},{"id":130,"name":"Impact","value":""},{"id":150,"name":"Time of Event (Mountain Time)","value":"09:19:23"},{"id":151,"name":"Denver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4034 --day 2018-01-09</v>
      </c>
      <c r="AN54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-09T07:38:39-0700',mode:absolute,to:'2018-01-09T10:19:23-0700'))&amp;_a=(columns:!('Message%20ID',Summary),filters:!(),index:'emp_*',interval:auto,query:(query_string:(analyze_wildcard:!t,query:'%22rtdc.l.rtdc.4034%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800</v>
      </c>
      <c r="B55" s="225">
        <v>4033</v>
      </c>
      <c r="C55" s="227" t="s">
        <v>191</v>
      </c>
      <c r="D55" s="227" t="s">
        <v>541</v>
      </c>
      <c r="E55" s="226">
        <v>43109.389525462961</v>
      </c>
      <c r="F55" s="226">
        <v>43109.404328703706</v>
      </c>
      <c r="G55" s="225">
        <v>45</v>
      </c>
      <c r="H55" s="227" t="s">
        <v>581</v>
      </c>
      <c r="I55" s="226">
        <v>43109.429907407408</v>
      </c>
      <c r="J55" s="225">
        <v>0</v>
      </c>
      <c r="K55" s="237" t="str">
        <f>IF(ISEVEN(B55),(B55-1)&amp;"/"&amp;B55,B55&amp;"/"&amp;(B55+1))</f>
        <v>4033/4034</v>
      </c>
      <c r="L55" s="245" t="str">
        <f>VLOOKUP(A55,'Trips&amp;Operators'!$C$1:$G$99911,5,FALSE)</f>
        <v>YANAI IAN</v>
      </c>
      <c r="M55" s="224">
        <f>I55-F55</f>
        <v>2.5578703702194616E-2</v>
      </c>
      <c r="N55" s="225">
        <f>24*60*SUM($M55:$M55)</f>
        <v>36.833333331160247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-09T08:20:55-0700',mode:absolute,to:'2018-01-09T11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23.3</v>
      </c>
      <c r="Z55" s="247">
        <f>RIGHT(H55,LEN(H55)-4)/10000</f>
        <v>1.7999999999999999E-2</v>
      </c>
      <c r="AA55" s="247">
        <f>ABS(Z55-Y55)</f>
        <v>23.282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/stypes="app*4033*20180109*"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142-09 --locoid 4033 --swversion DE.1.0.9.0 --startMP 204:233000 --initTime 2018-01-09T09:20:55 --startdatetime 2018-01-09T09:42:14 --delay 45 --endMP 204:180 --enddatetime 2018-01-09T10:19:04 --enforcementcount 0 &gt;&gt;%USERPROFILE%\Documents\GitHub\eaglep3-reporting\EC\2018-01-09-refined-times.txt</v>
      </c>
      <c r="AI5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{"issue":{"subject":"","project_id":79,"tracker_id":40,"status_id":1,"priority_id":2,"assigned_to_id":338,"start_date":"2018-01-09","description":"","custom_fields":[{"id":1,"name":"Subdivision","value":"EC"},{"id":4,"name":"Milepost","value":"0.018"},{"id":17,"name":"Train ID","value":"142-09"},{"id":16,"name":"Locomotive ID","value":"4033"},{"id":130,"name":"Impact","value":""},{"id":150,"name":"Time of Event (Mountain Time)","value":"10:19:04"},{"id":151,"name":"Denver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4033 --day 2018-01-09</v>
      </c>
      <c r="AN5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-09T08:20:55-0700',mode:absolute,to:'2018-01-09T11:19:04-0700'))&amp;_a=(columns:!('Message%20ID',Summary),filters:!(),index:'emp_*',interval:auto,query:(query_string:(analyze_wildcard:!t,query:'%22rtdc.l.rtdc.4033%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796</v>
      </c>
      <c r="B56" s="225">
        <v>4050</v>
      </c>
      <c r="C56" s="227" t="s">
        <v>191</v>
      </c>
      <c r="D56" s="227" t="s">
        <v>499</v>
      </c>
      <c r="E56" s="226">
        <v>43109.370462962965</v>
      </c>
      <c r="F56" s="226">
        <v>43109.375208333331</v>
      </c>
      <c r="G56" s="225">
        <v>52</v>
      </c>
      <c r="H56" s="227" t="s">
        <v>523</v>
      </c>
      <c r="I56" s="226">
        <v>43109.400104166663</v>
      </c>
      <c r="J56" s="225">
        <v>0</v>
      </c>
      <c r="K56" s="237" t="str">
        <f>IF(ISEVEN(B56),(B56-1)&amp;"/"&amp;B56,B56&amp;"/"&amp;(B56+1))</f>
        <v>4049/4050</v>
      </c>
      <c r="L56" s="245" t="str">
        <f>VLOOKUP(A56,'Trips&amp;Operators'!$C$1:$G$99911,5,FALSE)</f>
        <v>BONDS REYNALDO</v>
      </c>
      <c r="M56" s="224">
        <f>I56-F56</f>
        <v>2.4895833332266193E-2</v>
      </c>
      <c r="N56" s="225">
        <f>24*60*SUM($M56:$M56)</f>
        <v>35.849999998463318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-09T07:53:28-0700',mode:absolute,to:'2018-01-09T10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5.04E-2</v>
      </c>
      <c r="Z56" s="247">
        <f>RIGHT(H56,LEN(H56)-4)/10000</f>
        <v>23.331700000000001</v>
      </c>
      <c r="AA56" s="247">
        <f>ABS(Z56-Y56)</f>
        <v>23.281300000000002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/stypes="app*4050*20180109*"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143-09 --locoid 4050 --swversion DE.1.0.9.0 --startMP 204:504 --initTime 2018-01-09T08:53:28 --startdatetime 2018-01-09T09:00:18 --delay 52 --endMP 204:233317 --enddatetime 2018-01-09T09:36:09 --enforcementcount 0 &gt;&gt;%USERPROFILE%\Documents\GitHub\eaglep3-reporting\EC\2018-01-09-refined-times.txt</v>
      </c>
      <c r="AI5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{"issue":{"subject":"","project_id":79,"tracker_id":40,"status_id":1,"priority_id":2,"assigned_to_id":338,"start_date":"2018-01-09","description":"","custom_fields":[{"id":1,"name":"Subdivision","value":"EC"},{"id":4,"name":"Milepost","value":"23.3317"},{"id":17,"name":"Train ID","value":"143-09"},{"id":16,"name":"Locomotive ID","value":"4050"},{"id":130,"name":"Impact","value":""},{"id":150,"name":"Time of Event (Mountain Time)","value":"09:36:09"},{"id":151,"name":"Denver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4050 --day 2018-01-09</v>
      </c>
      <c r="AN5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-09T07:53:28-0700',mode:absolute,to:'2018-01-09T10:36:09-0700'))&amp;_a=(columns:!('Message%20ID',Summary),filters:!(),index:'emp_*',interval:auto,query:(query_string:(analyze_wildcard:!t,query:'%22rtdc.l.rtdc.4050%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802</v>
      </c>
      <c r="B57" s="225">
        <v>4049</v>
      </c>
      <c r="C57" s="227" t="s">
        <v>191</v>
      </c>
      <c r="D57" s="227" t="s">
        <v>946</v>
      </c>
      <c r="E57" s="226">
        <v>43109.409189814818</v>
      </c>
      <c r="F57" s="226">
        <v>43109.414756944447</v>
      </c>
      <c r="G57" s="225">
        <v>50</v>
      </c>
      <c r="H57" s="227" t="s">
        <v>585</v>
      </c>
      <c r="I57" s="226">
        <v>43109.440879629627</v>
      </c>
      <c r="J57" s="225">
        <v>0</v>
      </c>
      <c r="K57" s="237" t="str">
        <f>IF(ISEVEN(B57),(B57-1)&amp;"/"&amp;B57,B57&amp;"/"&amp;(B57+1))</f>
        <v>4049/4050</v>
      </c>
      <c r="L57" s="245" t="str">
        <f>VLOOKUP(A57,'Trips&amp;Operators'!$C$1:$G$99911,5,FALSE)</f>
        <v>BONDS REYNALDO</v>
      </c>
      <c r="M57" s="224">
        <f>I57-F57</f>
        <v>2.6122685179871041E-2</v>
      </c>
      <c r="N57" s="225">
        <f>24*60*SUM($M57:$M57)</f>
        <v>37.6166666590143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-09T08:49:14-0700',mode:absolute,to:'2018-01-09T11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23.299600000000002</v>
      </c>
      <c r="Z57" s="247">
        <f>RIGHT(H57,LEN(H57)-4)/10000</f>
        <v>2.23E-2</v>
      </c>
      <c r="AA57" s="247">
        <f>ABS(Z57-Y57)</f>
        <v>23.2773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/stypes="app*4049*20180109*"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144-09 --locoid 4049 --swversion DE.1.0.9.0 --startMP 204:232996 --initTime 2018-01-09T09:49:14 --startdatetime 2018-01-09T09:57:15 --delay 50 --endMP 204:223 --enddatetime 2018-01-09T10:34:52 --enforcementcount 0 &gt;&gt;%USERPROFILE%\Documents\GitHub\eaglep3-reporting\EC\2018-01-09-refined-times.txt</v>
      </c>
      <c r="AI5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{"issue":{"subject":"","project_id":79,"tracker_id":40,"status_id":1,"priority_id":2,"assigned_to_id":338,"start_date":"2018-01-09","description":"","custom_fields":[{"id":1,"name":"Subdivision","value":"EC"},{"id":4,"name":"Milepost","value":"0.0223"},{"id":17,"name":"Train ID","value":"144-09"},{"id":16,"name":"Locomotive ID","value":"4049"},{"id":130,"name":"Impact","value":""},{"id":150,"name":"Time of Event (Mountain Time)","value":"10:34:52"},{"id":151,"name":"Denver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4049 --day 2018-01-09</v>
      </c>
      <c r="AN5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-09T08:49:14-0700',mode:absolute,to:'2018-01-09T11:34:52-0700'))&amp;_a=(columns:!('Message%20ID',Summary),filters:!(),index:'emp_*',interval:auto,query:(query_string:(analyze_wildcard:!t,query:'%22rtdc.l.rtdc.4049%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799</v>
      </c>
      <c r="B58" s="225">
        <v>4016</v>
      </c>
      <c r="C58" s="227" t="s">
        <v>191</v>
      </c>
      <c r="D58" s="227" t="s">
        <v>496</v>
      </c>
      <c r="E58" s="226">
        <v>43109.383344907408</v>
      </c>
      <c r="F58" s="226">
        <v>43109.385914351849</v>
      </c>
      <c r="G58" s="225">
        <v>58</v>
      </c>
      <c r="H58" s="227" t="s">
        <v>954</v>
      </c>
      <c r="I58" s="226">
        <v>43109.409699074073</v>
      </c>
      <c r="J58" s="225">
        <v>0</v>
      </c>
      <c r="K58" s="237" t="str">
        <f>IF(ISEVEN(B58),(B58-1)&amp;"/"&amp;B58,B58&amp;"/"&amp;(B58+1))</f>
        <v>4015/4016</v>
      </c>
      <c r="L58" s="245" t="str">
        <f>VLOOKUP(A58,'Trips&amp;Operators'!$C$1:$G$99911,5,FALSE)</f>
        <v>MACDONALD THOMAS</v>
      </c>
      <c r="M58" s="224">
        <f>I58-F58</f>
        <v>2.3784722223354038E-2</v>
      </c>
      <c r="N58" s="225">
        <f>24*60*SUM($M58:$M58)</f>
        <v>34.250000001629815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-09T08:12:01-0700',mode:absolute,to:'2018-01-09T10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5.33E-2</v>
      </c>
      <c r="Z58" s="247">
        <f>RIGHT(H58,LEN(H58)-4)/10000</f>
        <v>23.318999999999999</v>
      </c>
      <c r="AA58" s="247">
        <f>ABS(Z58-Y58)</f>
        <v>23.265699999999999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/stypes="app*4016*20180109*"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145-09 --locoid 4016 --swversion DE.1.0.9.0 --startMP 204:533 --initTime 2018-01-09T09:12:01 --startdatetime 2018-01-09T09:15:43 --delay 58 --endMP 204:233190 --enddatetime 2018-01-09T09:49:58 --enforcementcount 0 &gt;&gt;%USERPROFILE%\Documents\GitHub\eaglep3-reporting\EC\2018-01-09-refined-times.txt</v>
      </c>
      <c r="AI58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{"issue":{"subject":"","project_id":79,"tracker_id":40,"status_id":1,"priority_id":2,"assigned_to_id":338,"start_date":"2018-01-09","description":"","custom_fields":[{"id":1,"name":"Subdivision","value":"EC"},{"id":4,"name":"Milepost","value":"23.319"},{"id":17,"name":"Train ID","value":"145-09"},{"id":16,"name":"Locomotive ID","value":"4016"},{"id":130,"name":"Impact","value":""},{"id":150,"name":"Time of Event (Mountain Time)","value":"09:49:58"},{"id":151,"name":"Denver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4016 --day 2018-01-09</v>
      </c>
      <c r="AN58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-09T08:12:01-0700',mode:absolute,to:'2018-01-09T10:49:58-0700'))&amp;_a=(columns:!('Message%20ID',Summary),filters:!(),index:'emp_*',interval:auto,query:(query_string:(analyze_wildcard:!t,query:'%22rtdc.l.rtdc.4016%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806</v>
      </c>
      <c r="B59" s="225">
        <v>4015</v>
      </c>
      <c r="C59" s="227" t="s">
        <v>191</v>
      </c>
      <c r="D59" s="227" t="s">
        <v>955</v>
      </c>
      <c r="E59" s="226">
        <v>43109.42392361111</v>
      </c>
      <c r="F59" s="226">
        <v>43109.425208333334</v>
      </c>
      <c r="G59" s="225">
        <v>46</v>
      </c>
      <c r="H59" s="227" t="s">
        <v>660</v>
      </c>
      <c r="I59" s="226">
        <v>43109.451458333337</v>
      </c>
      <c r="J59" s="225">
        <v>0</v>
      </c>
      <c r="K59" s="237" t="str">
        <f>IF(ISEVEN(B59),(B59-1)&amp;"/"&amp;B59,B59&amp;"/"&amp;(B59+1))</f>
        <v>4015/4016</v>
      </c>
      <c r="L59" s="245" t="str">
        <f>VLOOKUP(A59,'Trips&amp;Operators'!$C$1:$G$99911,5,FALSE)</f>
        <v>MACDONALD THOMAS</v>
      </c>
      <c r="M59" s="224">
        <f>I59-F59</f>
        <v>2.6250000002619345E-2</v>
      </c>
      <c r="N59" s="225">
        <f>24*60*SUM($M59:$M59)</f>
        <v>37.800000003771856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-09T09:10:27-0700',mode:absolute,to:'2018-01-09T11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23.2867</v>
      </c>
      <c r="Z59" s="247">
        <f>RIGHT(H59,LEN(H59)-4)/10000</f>
        <v>2.2700000000000001E-2</v>
      </c>
      <c r="AA59" s="247">
        <f>ABS(Z59-Y59)</f>
        <v>23.263999999999999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/stypes="app*4015*20180109*"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146-09 --locoid 4015 --swversion DE.1.0.9.0 --startMP 204:232867 --initTime 2018-01-09T10:10:27 --startdatetime 2018-01-09T10:12:18 --delay 46 --endMP 204:227 --enddatetime 2018-01-09T10:50:06 --enforcementcount 0 &gt;&gt;%USERPROFILE%\Documents\GitHub\eaglep3-reporting\EC\2018-01-09-refined-times.txt</v>
      </c>
      <c r="AI59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{"issue":{"subject":"","project_id":79,"tracker_id":40,"status_id":1,"priority_id":2,"assigned_to_id":338,"start_date":"2018-01-09","description":"","custom_fields":[{"id":1,"name":"Subdivision","value":"EC"},{"id":4,"name":"Milepost","value":"0.0227"},{"id":17,"name":"Train ID","value":"146-09"},{"id":16,"name":"Locomotive ID","value":"4015"},{"id":130,"name":"Impact","value":""},{"id":150,"name":"Time of Event (Mountain Time)","value":"10:50:06"},{"id":151,"name":"Denver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4015 --day 2018-01-09</v>
      </c>
      <c r="AN59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-09T09:10:27-0700',mode:absolute,to:'2018-01-09T11:50:06-0700'))&amp;_a=(columns:!('Message%20ID',Summary),filters:!(),index:'emp_*',interval:auto,query:(query_string:(analyze_wildcard:!t,query:'%22rtdc.l.rtdc.4015%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709</v>
      </c>
      <c r="B60" s="225">
        <v>4056</v>
      </c>
      <c r="C60" s="227" t="s">
        <v>191</v>
      </c>
      <c r="D60" s="227" t="s">
        <v>501</v>
      </c>
      <c r="E60" s="226">
        <v>43109.394224537034</v>
      </c>
      <c r="F60" s="226">
        <v>43109.396087962959</v>
      </c>
      <c r="G60" s="225">
        <v>51</v>
      </c>
      <c r="H60" s="227" t="s">
        <v>956</v>
      </c>
      <c r="I60" s="226">
        <v>43109.42150462963</v>
      </c>
      <c r="J60" s="225">
        <v>0</v>
      </c>
      <c r="K60" s="237" t="str">
        <f>IF(ISEVEN(B60),(B60-1)&amp;"/"&amp;B60,B60&amp;"/"&amp;(B60+1))</f>
        <v>4055/4056</v>
      </c>
      <c r="L60" s="245" t="str">
        <f>VLOOKUP(A60,'Trips&amp;Operators'!$C$1:$G$99911,5,FALSE)</f>
        <v>THOMPSON LESTER</v>
      </c>
      <c r="M60" s="224">
        <f>I60-F60</f>
        <v>2.5416666670935228E-2</v>
      </c>
      <c r="N60" s="225">
        <f>24*60*SUM($M60:$M60)</f>
        <v>36.600000006146729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-09T08:27:41-0700',mode:absolute,to:'2018-01-09T11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4.82E-2</v>
      </c>
      <c r="Z60" s="247">
        <f>RIGHT(H60,LEN(H60)-4)/10000</f>
        <v>23.317599999999999</v>
      </c>
      <c r="AA60" s="247">
        <f>ABS(Z60-Y60)</f>
        <v>23.269399999999997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/stypes="app*4056*20180109*"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147-09 --locoid 4056 --swversion DE.1.0.9.0 --startMP 204:482 --initTime 2018-01-09T09:27:41 --startdatetime 2018-01-09T09:30:22 --delay 51 --endMP 204:233176 --enddatetime 2018-01-09T10:06:58 --enforcementcount 0 &gt;&gt;%USERPROFILE%\Documents\GitHub\eaglep3-reporting\EC\2018-01-09-refined-times.txt</v>
      </c>
      <c r="AI60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{"issue":{"subject":"","project_id":79,"tracker_id":40,"status_id":1,"priority_id":2,"assigned_to_id":338,"start_date":"2018-01-09","description":"","custom_fields":[{"id":1,"name":"Subdivision","value":"EC"},{"id":4,"name":"Milepost","value":"23.3176"},{"id":17,"name":"Train ID","value":"147-09"},{"id":16,"name":"Locomotive ID","value":"4056"},{"id":130,"name":"Impact","value":""},{"id":150,"name":"Time of Event (Mountain Time)","value":"10:06:58"},{"id":151,"name":"Denver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4056 --day 2018-01-09</v>
      </c>
      <c r="AN60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-09T08:27:41-0700',mode:absolute,to:'2018-01-09T11:06:58-0700'))&amp;_a=(columns:!('Message%20ID',Summary),filters:!(),index:'emp_*',interval:auto,query:(query_string:(analyze_wildcard:!t,query:'%22rtdc.l.rtdc.4056%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808</v>
      </c>
      <c r="B61" s="225">
        <v>4055</v>
      </c>
      <c r="C61" s="227" t="s">
        <v>191</v>
      </c>
      <c r="D61" s="227" t="s">
        <v>957</v>
      </c>
      <c r="E61" s="226">
        <v>43109.43482638889</v>
      </c>
      <c r="F61" s="226">
        <v>43109.436400462961</v>
      </c>
      <c r="G61" s="225">
        <v>46</v>
      </c>
      <c r="H61" s="227" t="s">
        <v>522</v>
      </c>
      <c r="I61" s="226">
        <v>43109.462766203702</v>
      </c>
      <c r="J61" s="225">
        <v>0</v>
      </c>
      <c r="K61" s="237" t="str">
        <f>IF(ISEVEN(B61),(B61-1)&amp;"/"&amp;B61,B61&amp;"/"&amp;(B61+1))</f>
        <v>4055/4056</v>
      </c>
      <c r="L61" s="245" t="str">
        <f>VLOOKUP(A61,'Trips&amp;Operators'!$C$1:$G$99911,5,FALSE)</f>
        <v>THOMPSON LESTER</v>
      </c>
      <c r="M61" s="224">
        <f>I61-F61</f>
        <v>2.6365740741312038E-2</v>
      </c>
      <c r="N61" s="225">
        <f>24*60*SUM($M61:$M61)</f>
        <v>37.966666667489335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-09T09:26:09-0700',mode:absolute,to:'2018-01-09T12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23.286999999999999</v>
      </c>
      <c r="Z61" s="247">
        <f>RIGHT(H61,LEN(H61)-4)/10000</f>
        <v>1.8100000000000002E-2</v>
      </c>
      <c r="AA61" s="247">
        <f>ABS(Z61-Y61)</f>
        <v>23.268899999999999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/stypes="app*4055*20180109*"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148-09 --locoid 4055 --swversion DE.1.0.9.0 --startMP 204:232870 --initTime 2018-01-09T10:26:09 --startdatetime 2018-01-09T10:28:25 --delay 46 --endMP 204:181 --enddatetime 2018-01-09T11:06:23 --enforcementcount 0 &gt;&gt;%USERPROFILE%\Documents\GitHub\eaglep3-reporting\EC\2018-01-09-refined-times.txt</v>
      </c>
      <c r="AI61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{"issue":{"subject":"","project_id":79,"tracker_id":40,"status_id":1,"priority_id":2,"assigned_to_id":338,"start_date":"2018-01-09","description":"","custom_fields":[{"id":1,"name":"Subdivision","value":"EC"},{"id":4,"name":"Milepost","value":"0.0181"},{"id":17,"name":"Train ID","value":"148-09"},{"id":16,"name":"Locomotive ID","value":"4055"},{"id":130,"name":"Impact","value":""},{"id":150,"name":"Time of Event (Mountain Time)","value":"11:06:23"},{"id":151,"name":"Denver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4055 --day 2018-01-09</v>
      </c>
      <c r="AN61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-09T09:26:09-0700',mode:absolute,to:'2018-01-09T12:06:23-0700'))&amp;_a=(columns:!('Message%20ID',Summary),filters:!(),index:'emp_*',interval:auto,query:(query_string:(analyze_wildcard:!t,query:'%22rtdc.l.rtdc.4055%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801</v>
      </c>
      <c r="B62" s="225">
        <v>4064</v>
      </c>
      <c r="C62" s="227" t="s">
        <v>191</v>
      </c>
      <c r="D62" s="227" t="s">
        <v>489</v>
      </c>
      <c r="E62" s="226">
        <v>43109.400520833333</v>
      </c>
      <c r="F62" s="226">
        <v>43109.406736111108</v>
      </c>
      <c r="G62" s="225">
        <v>69</v>
      </c>
      <c r="H62" s="227" t="s">
        <v>958</v>
      </c>
      <c r="I62" s="226">
        <v>43109.432349537034</v>
      </c>
      <c r="J62" s="225">
        <v>0</v>
      </c>
      <c r="K62" s="237" t="str">
        <f>IF(ISEVEN(B62),(B62-1)&amp;"/"&amp;B62,B62&amp;"/"&amp;(B62+1))</f>
        <v>4063/4064</v>
      </c>
      <c r="L62" s="245" t="str">
        <f>VLOOKUP(A62,'Trips&amp;Operators'!$C$1:$G$99911,5,FALSE)</f>
        <v>LANGERAK WILLIAM</v>
      </c>
      <c r="M62" s="224">
        <f>I62-F62</f>
        <v>2.5613425925257616E-2</v>
      </c>
      <c r="N62" s="225">
        <f>24*60*SUM($M62:$M62)</f>
        <v>36.883333332370967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-09T08:36:45-0700',mode:absolute,to:'2018-01-09T11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5.3999999999999999E-2</v>
      </c>
      <c r="Z62" s="247">
        <f>RIGHT(H62,LEN(H62)-4)/10000</f>
        <v>23.3201</v>
      </c>
      <c r="AA62" s="247">
        <f>ABS(Z62-Y62)</f>
        <v>23.266100000000002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/stypes="app*4064*20180109*"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149-09 --locoid 4064 --swversion DE.1.0.9.0 --startMP 204:540 --initTime 2018-01-09T09:36:45 --startdatetime 2018-01-09T09:45:42 --delay 69 --endMP 204:233201 --enddatetime 2018-01-09T10:22:35 --enforcementcount 0 &gt;&gt;%USERPROFILE%\Documents\GitHub\eaglep3-reporting\EC\2018-01-09-refined-times.txt</v>
      </c>
      <c r="AI62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{"issue":{"subject":"","project_id":79,"tracker_id":40,"status_id":1,"priority_id":2,"assigned_to_id":338,"start_date":"2018-01-09","description":"","custom_fields":[{"id":1,"name":"Subdivision","value":"EC"},{"id":4,"name":"Milepost","value":"23.3201"},{"id":17,"name":"Train ID","value":"149-09"},{"id":16,"name":"Locomotive ID","value":"4064"},{"id":130,"name":"Impact","value":""},{"id":150,"name":"Time of Event (Mountain Time)","value":"10:22:35"},{"id":151,"name":"Denver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4064 --day 2018-01-09</v>
      </c>
      <c r="AN62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-09T08:36:45-0700',mode:absolute,to:'2018-01-09T11:22:35-0700'))&amp;_a=(columns:!('Message%20ID',Summary),filters:!(),index:'emp_*',interval:auto,query:(query_string:(analyze_wildcard:!t,query:'%22rtdc.l.rtdc.4064%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810</v>
      </c>
      <c r="B63" s="225">
        <v>4063</v>
      </c>
      <c r="C63" s="227" t="s">
        <v>191</v>
      </c>
      <c r="D63" s="227" t="s">
        <v>959</v>
      </c>
      <c r="E63" s="226">
        <v>43109.441053240742</v>
      </c>
      <c r="F63" s="226">
        <v>43109.446018518516</v>
      </c>
      <c r="G63" s="225">
        <v>75</v>
      </c>
      <c r="H63" s="227" t="s">
        <v>570</v>
      </c>
      <c r="I63" s="226">
        <v>43109.472743055558</v>
      </c>
      <c r="J63" s="225">
        <v>0</v>
      </c>
      <c r="K63" s="237" t="str">
        <f>IF(ISEVEN(B63),(B63-1)&amp;"/"&amp;B63,B63&amp;"/"&amp;(B63+1))</f>
        <v>4063/4064</v>
      </c>
      <c r="L63" s="245" t="str">
        <f>VLOOKUP(A63,'Trips&amp;Operators'!$C$1:$G$99911,5,FALSE)</f>
        <v>LANGERAK WILLIAM</v>
      </c>
      <c r="M63" s="224">
        <f>I63-F63</f>
        <v>2.6724537041445728E-2</v>
      </c>
      <c r="N63" s="225">
        <f>24*60*SUM($M63:$M63)</f>
        <v>38.483333339681849</v>
      </c>
      <c r="O63" s="225"/>
      <c r="P63" s="225"/>
      <c r="Q63" s="228"/>
      <c r="R63" s="242" t="s">
        <v>1085</v>
      </c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-09T09:35:07-0700',mode:absolute,to:'2018-01-09T12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23.289200000000001</v>
      </c>
      <c r="Z63" s="247">
        <f>RIGHT(H63,LEN(H63)-4)/10000</f>
        <v>1.6899999999999998E-2</v>
      </c>
      <c r="AA63" s="247">
        <f>ABS(Z63-Y63)</f>
        <v>23.272300000000001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/stypes="app*4063*20180109*"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150-09 --locoid 4063 --swversion DE.1.0.9.0 --startMP 204:232892 --initTime 2018-01-09T10:35:07 --startdatetime 2018-01-09T10:42:16 --delay 75 --endMP 204:169 --enddatetime 2018-01-09T11:20:45 --enforcementcount 0 &gt;&gt;%USERPROFILE%\Documents\GitHub\eaglep3-reporting\EC\2018-01-09-refined-times.txt</v>
      </c>
      <c r="AI63" s="238" t="str">
        <f t="shared" si="6"/>
        <v>echo {"issue":{"subject":"Observed unhealthy xing at Chambers due to onboard en route failure","project_id":79,"tracker_id":40,"status_id":1,"priority_id":2,"assigned_to_id":338,"start_date":"2018-01-09","description":"","custom_fields":[{"id":1,"name":"Subdivision","value":"EC"},{"id":4,"name":"Milepost","value":"0.0169"},{"id":17,"name":"Train ID","value":"150-09"},{"id":16,"name":"Locomotive ID","value":"4063"},{"id":130,"name":"Impact","value":""},{"id":150,"name":"Time of Event (Mountain Time)","value":"11:20:45"},{"id":151,"name":"Denver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4063 --day 2018-01-09</v>
      </c>
      <c r="AN63" s="241" t="str">
        <f t="shared" si="8"/>
        <v>echo {"issue":{"subject":"Observed unhealthy xing at Chambers due to onboard en route failure","project_id":30,"tracker_id":4,"status_id":1,"priority_id":1,"assigned_to_id":10,"start_date":"2018-01-09","description":"","custom_fields":[{"id":30,"name":"Category","value":"Issue"},{"id":3,"name":"Functional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-09T09:35:07-0700',mode:absolute,to:'2018-01-09T12:20:45-0700'))&amp;_a=(columns:!('Message%20ID',Summary),filters:!(),index:'emp_*',interval:auto,query:(query_string:(analyze_wildcard:!t,query:'%22rtdc.l.rtdc.4063%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803</v>
      </c>
      <c r="B64" s="225">
        <v>4046</v>
      </c>
      <c r="C64" s="227" t="s">
        <v>191</v>
      </c>
      <c r="D64" s="227" t="s">
        <v>545</v>
      </c>
      <c r="E64" s="226">
        <v>43109.410752314812</v>
      </c>
      <c r="F64" s="226">
        <v>43109.417037037034</v>
      </c>
      <c r="G64" s="225">
        <v>45</v>
      </c>
      <c r="H64" s="227" t="s">
        <v>633</v>
      </c>
      <c r="I64" s="226">
        <v>43109.441562499997</v>
      </c>
      <c r="J64" s="225">
        <v>0</v>
      </c>
      <c r="K64" s="237" t="str">
        <f>IF(ISEVEN(B64),(B64-1)&amp;"/"&amp;B64,B64&amp;"/"&amp;(B64+1))</f>
        <v>4045/4046</v>
      </c>
      <c r="L64" s="245" t="str">
        <f>VLOOKUP(A64,'Trips&amp;Operators'!$C$1:$G$99911,5,FALSE)</f>
        <v>LAMAR NEKESHA</v>
      </c>
      <c r="M64" s="224">
        <f>I64-F64</f>
        <v>2.4525462962628808E-2</v>
      </c>
      <c r="N64" s="225">
        <f>24*60*SUM($M64:$M64)</f>
        <v>35.316666666185483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-09T08:51:29-0700',mode:absolute,to:'2018-01-09T11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4.9500000000000002E-2</v>
      </c>
      <c r="Z64" s="247">
        <f>RIGHT(H64,LEN(H64)-4)/10000</f>
        <v>23.329499999999999</v>
      </c>
      <c r="AA64" s="247">
        <f>ABS(Z64-Y64)</f>
        <v>23.28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/stypes="app*4046*20180109*"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151-09 --locoid 4046 --swversion DE.1.0.9.0 --startMP 204:495 --initTime 2018-01-09T09:51:29 --startdatetime 2018-01-09T10:00:32 --delay 45 --endMP 204:233295 --enddatetime 2018-01-09T10:35:51 --enforcementcount 0 &gt;&gt;%USERPROFILE%\Documents\GitHub\eaglep3-reporting\EC\2018-01-09-refined-times.txt</v>
      </c>
      <c r="AI64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{"issue":{"subject":"","project_id":79,"tracker_id":40,"status_id":1,"priority_id":2,"assigned_to_id":338,"start_date":"2018-01-09","description":"","custom_fields":[{"id":1,"name":"Subdivision","value":"EC"},{"id":4,"name":"Milepost","value":"23.3295"},{"id":17,"name":"Train ID","value":"151-09"},{"id":16,"name":"Locomotive ID","value":"4046"},{"id":130,"name":"Impact","value":""},{"id":150,"name":"Time of Event (Mountain Time)","value":"10:35:51"},{"id":151,"name":"Denver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4046 --day 2018-01-09</v>
      </c>
      <c r="AN64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-09T08:51:29-0700',mode:absolute,to:'2018-01-09T11:35:51-0700'))&amp;_a=(columns:!('Message%20ID',Summary),filters:!(),index:'emp_*',interval:auto,query:(query_string:(analyze_wildcard:!t,query:'%22rtdc.l.rtdc.4046%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815</v>
      </c>
      <c r="B65" s="225">
        <v>4045</v>
      </c>
      <c r="C65" s="227" t="s">
        <v>191</v>
      </c>
      <c r="D65" s="227" t="s">
        <v>605</v>
      </c>
      <c r="E65" s="226">
        <v>43109.454907407409</v>
      </c>
      <c r="F65" s="226">
        <v>43109.456400462965</v>
      </c>
      <c r="G65" s="225">
        <v>45</v>
      </c>
      <c r="H65" s="227" t="s">
        <v>639</v>
      </c>
      <c r="I65" s="226">
        <v>43109.481898148151</v>
      </c>
      <c r="J65" s="225">
        <v>0</v>
      </c>
      <c r="K65" s="237" t="str">
        <f>IF(ISEVEN(B65),(B65-1)&amp;"/"&amp;B65,B65&amp;"/"&amp;(B65+1))</f>
        <v>4045/4046</v>
      </c>
      <c r="L65" s="245" t="str">
        <f>VLOOKUP(A65,'Trips&amp;Operators'!$C$1:$G$99911,5,FALSE)</f>
        <v>LAMAR NEKESHA</v>
      </c>
      <c r="M65" s="224">
        <f>I65-F65</f>
        <v>2.5497685186564922E-2</v>
      </c>
      <c r="N65" s="225">
        <f>24*60*SUM($M65:$M65)</f>
        <v>36.716666668653488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-09T09:55:04-0700',mode:absolute,to:'2018-01-09T12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23.297899999999998</v>
      </c>
      <c r="Z65" s="247">
        <f>RIGHT(H65,LEN(H65)-4)/10000</f>
        <v>1.7600000000000001E-2</v>
      </c>
      <c r="AA65" s="247">
        <f>ABS(Z65-Y65)</f>
        <v>23.280299999999997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/stypes="app*4045*20180109*"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152-09 --locoid 4045 --swversion DE.1.0.9.0 --startMP 204:232979 --initTime 2018-01-09T10:55:04 --startdatetime 2018-01-09T10:57:13 --delay 45 --endMP 204:176 --enddatetime 2018-01-09T11:33:56 --enforcementcount 0 &gt;&gt;%USERPROFILE%\Documents\GitHub\eaglep3-reporting\EC\2018-01-09-refined-times.txt</v>
      </c>
      <c r="AI6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{"issue":{"subject":"","project_id":79,"tracker_id":40,"status_id":1,"priority_id":2,"assigned_to_id":338,"start_date":"2018-01-09","description":"","custom_fields":[{"id":1,"name":"Subdivision","value":"EC"},{"id":4,"name":"Milepost","value":"0.0176"},{"id":17,"name":"Train ID","value":"152-09"},{"id":16,"name":"Locomotive ID","value":"4045"},{"id":130,"name":"Impact","value":""},{"id":150,"name":"Time of Event (Mountain Time)","value":"11:33:56"},{"id":151,"name":"Denver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4045 --day 2018-01-09</v>
      </c>
      <c r="AN6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-09T09:55:04-0700',mode:absolute,to:'2018-01-09T12:33:56-0700'))&amp;_a=(columns:!('Message%20ID',Summary),filters:!(),index:'emp_*',interval:auto,query:(query_string:(analyze_wildcard:!t,query:'%22rtdc.l.rtdc.4045%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805</v>
      </c>
      <c r="B66" s="225">
        <v>4014</v>
      </c>
      <c r="C66" s="227" t="s">
        <v>191</v>
      </c>
      <c r="D66" s="227" t="s">
        <v>664</v>
      </c>
      <c r="E66" s="226">
        <v>43109.421134259261</v>
      </c>
      <c r="F66" s="226">
        <v>43109.42728009259</v>
      </c>
      <c r="G66" s="225">
        <v>74</v>
      </c>
      <c r="H66" s="227" t="s">
        <v>645</v>
      </c>
      <c r="I66" s="226">
        <v>43109.452418981484</v>
      </c>
      <c r="J66" s="225">
        <v>0</v>
      </c>
      <c r="K66" s="237" t="str">
        <f>IF(ISEVEN(B66),(B66-1)&amp;"/"&amp;B66,B66&amp;"/"&amp;(B66+1))</f>
        <v>4013/4014</v>
      </c>
      <c r="L66" s="245" t="str">
        <f>VLOOKUP(A66,'Trips&amp;Operators'!$C$1:$G$99911,5,FALSE)</f>
        <v>DAVIDSON DAVID</v>
      </c>
      <c r="M66" s="224">
        <f>I66-F66</f>
        <v>2.513888889370719E-2</v>
      </c>
      <c r="N66" s="225">
        <f>24*60*SUM($M66:$M66)</f>
        <v>36.200000006938353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-09T09:06:26-0700',mode:absolute,to:'2018-01-09T11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4.9700000000000001E-2</v>
      </c>
      <c r="Z66" s="247">
        <f>RIGHT(H66,LEN(H66)-4)/10000</f>
        <v>23.3276</v>
      </c>
      <c r="AA66" s="247">
        <f>ABS(Z66-Y66)</f>
        <v>23.277899999999999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/stypes="app*4014*20180109*"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153-09 --locoid 4014 --swversion DE.1.0.9.0 --startMP 204:497 --initTime 2018-01-09T10:06:26 --startdatetime 2018-01-09T10:15:17 --delay 74 --endMP 204:233276 --enddatetime 2018-01-09T10:51:29 --enforcementcount 0 &gt;&gt;%USERPROFILE%\Documents\GitHub\eaglep3-reporting\EC\2018-01-09-refined-times.txt</v>
      </c>
      <c r="AI6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{"issue":{"subject":"","project_id":79,"tracker_id":40,"status_id":1,"priority_id":2,"assigned_to_id":338,"start_date":"2018-01-09","description":"","custom_fields":[{"id":1,"name":"Subdivision","value":"EC"},{"id":4,"name":"Milepost","value":"23.3276"},{"id":17,"name":"Train ID","value":"153-09"},{"id":16,"name":"Locomotive ID","value":"4014"},{"id":130,"name":"Impact","value":""},{"id":150,"name":"Time of Event (Mountain Time)","value":"10:51:29"},{"id":151,"name":"Denver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4014 --day 2018-01-09</v>
      </c>
      <c r="AN6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-09T09:06:26-0700',mode:absolute,to:'2018-01-09T11:51:29-0700'))&amp;_a=(columns:!('Message%20ID',Summary),filters:!(),index:'emp_*',interval:auto,query:(query_string:(analyze_wildcard:!t,query:'%22rtdc.l.rtdc.4014%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814</v>
      </c>
      <c r="B67" s="225">
        <v>4013</v>
      </c>
      <c r="C67" s="227" t="s">
        <v>191</v>
      </c>
      <c r="D67" s="227" t="s">
        <v>960</v>
      </c>
      <c r="E67" s="226">
        <v>43109.453865740739</v>
      </c>
      <c r="F67" s="226">
        <v>43109.466874999998</v>
      </c>
      <c r="G67" s="225">
        <v>73</v>
      </c>
      <c r="H67" s="227" t="s">
        <v>524</v>
      </c>
      <c r="I67" s="226">
        <v>43109.493449074071</v>
      </c>
      <c r="J67" s="225">
        <v>0</v>
      </c>
      <c r="K67" s="237" t="str">
        <f>IF(ISEVEN(B67),(B67-1)&amp;"/"&amp;B67,B67&amp;"/"&amp;(B67+1))</f>
        <v>4013/4014</v>
      </c>
      <c r="L67" s="245" t="str">
        <f>VLOOKUP(A67,'Trips&amp;Operators'!$C$1:$G$99911,5,FALSE)</f>
        <v>DAVIDSON DAVID</v>
      </c>
      <c r="M67" s="224">
        <f>I67-F67</f>
        <v>2.6574074072414078E-2</v>
      </c>
      <c r="N67" s="225">
        <f>24*60*SUM($M67:$M67)</f>
        <v>38.266666664276272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-09T09:53:34-0700',mode:absolute,to:'2018-01-09T12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23.2959</v>
      </c>
      <c r="Z67" s="247">
        <f>RIGHT(H67,LEN(H67)-4)/10000</f>
        <v>2.12E-2</v>
      </c>
      <c r="AA67" s="247">
        <f>ABS(Z67-Y67)</f>
        <v>23.274699999999999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/stypes="app*4013*20180109*"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154-09 --locoid 4013 --swversion DE.1.0.9.0 --startMP 204:232959 --initTime 2018-01-09T10:53:34 --startdatetime 2018-01-09T11:12:18 --delay 73 --endMP 204:212 --enddatetime 2018-01-09T11:50:34 --enforcementcount 0 &gt;&gt;%USERPROFILE%\Documents\GitHub\eaglep3-reporting\EC\2018-01-09-refined-times.txt</v>
      </c>
      <c r="AI6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{"issue":{"subject":"","project_id":79,"tracker_id":40,"status_id":1,"priority_id":2,"assigned_to_id":338,"start_date":"2018-01-09","description":"","custom_fields":[{"id":1,"name":"Subdivision","value":"EC"},{"id":4,"name":"Milepost","value":"0.0212"},{"id":17,"name":"Train ID","value":"154-09"},{"id":16,"name":"Locomotive ID","value":"4013"},{"id":130,"name":"Impact","value":""},{"id":150,"name":"Time of Event (Mountain Time)","value":"11:50:34"},{"id":151,"name":"Denver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4013 --day 2018-01-09</v>
      </c>
      <c r="AN6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-09T09:53:34-0700',mode:absolute,to:'2018-01-09T12:50:34-0700'))&amp;_a=(columns:!('Message%20ID',Summary),filters:!(),index:'emp_*',interval:auto,query:(query_string:(analyze_wildcard:!t,query:'%22rtdc.l.rtdc.4013%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807</v>
      </c>
      <c r="B68" s="225">
        <v>4034</v>
      </c>
      <c r="C68" s="227" t="s">
        <v>191</v>
      </c>
      <c r="D68" s="227" t="s">
        <v>604</v>
      </c>
      <c r="E68" s="226">
        <v>43109.431006944447</v>
      </c>
      <c r="F68" s="226">
        <v>43109.437662037039</v>
      </c>
      <c r="G68" s="225">
        <v>48</v>
      </c>
      <c r="H68" s="227" t="s">
        <v>564</v>
      </c>
      <c r="I68" s="226">
        <v>43109.462268518517</v>
      </c>
      <c r="J68" s="225">
        <v>0</v>
      </c>
      <c r="K68" s="237" t="str">
        <f>IF(ISEVEN(B68),(B68-1)&amp;"/"&amp;B68,B68&amp;"/"&amp;(B68+1))</f>
        <v>4033/4034</v>
      </c>
      <c r="L68" s="245" t="str">
        <f>VLOOKUP(A68,'Trips&amp;Operators'!$C$1:$G$99911,5,FALSE)</f>
        <v>YANAI IAN</v>
      </c>
      <c r="M68" s="224">
        <f>I68-F68</f>
        <v>2.4606481478258502E-2</v>
      </c>
      <c r="N68" s="225">
        <f>24*60*SUM($M68:$M68)</f>
        <v>35.433333328692243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-09T09:20:39-0700',mode:absolute,to:'2018-01-09T12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4.6600000000000003E-2</v>
      </c>
      <c r="Z68" s="247">
        <f>RIGHT(H68,LEN(H68)-4)/10000</f>
        <v>23.332100000000001</v>
      </c>
      <c r="AA68" s="247">
        <f>ABS(Z68-Y68)</f>
        <v>23.285499999999999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/stypes="app*4034*20180109*"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155-09 --locoid 4034 --swversion DE.1.0.9.0 --startMP 204:466 --initTime 2018-01-09T10:20:39 --startdatetime 2018-01-09T10:30:14 --delay 48 --endMP 204:233321 --enddatetime 2018-01-09T11:05:40 --enforcementcount 0 &gt;&gt;%USERPROFILE%\Documents\GitHub\eaglep3-reporting\EC\2018-01-09-refined-times.txt</v>
      </c>
      <c r="AI68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{"issue":{"subject":"","project_id":79,"tracker_id":40,"status_id":1,"priority_id":2,"assigned_to_id":338,"start_date":"2018-01-09","description":"","custom_fields":[{"id":1,"name":"Subdivision","value":"EC"},{"id":4,"name":"Milepost","value":"23.3321"},{"id":17,"name":"Train ID","value":"155-09"},{"id":16,"name":"Locomotive ID","value":"4034"},{"id":130,"name":"Impact","value":""},{"id":150,"name":"Time of Event (Mountain Time)","value":"11:05:40"},{"id":151,"name":"Denver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4034 --day 2018-01-09</v>
      </c>
      <c r="AN68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-09T09:20:39-0700',mode:absolute,to:'2018-01-09T12:05:40-0700'))&amp;_a=(columns:!('Message%20ID',Summary),filters:!(),index:'emp_*',interval:auto,query:(query_string:(analyze_wildcard:!t,query:'%22rtdc.l.rtdc.4034%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818</v>
      </c>
      <c r="B69" s="225">
        <v>4033</v>
      </c>
      <c r="C69" s="227" t="s">
        <v>191</v>
      </c>
      <c r="D69" s="227" t="s">
        <v>604</v>
      </c>
      <c r="E69" s="226">
        <v>43109.431006944447</v>
      </c>
      <c r="F69" s="226">
        <v>43109.477256944447</v>
      </c>
      <c r="G69" s="225">
        <v>48</v>
      </c>
      <c r="H69" s="227" t="s">
        <v>564</v>
      </c>
      <c r="I69" s="226">
        <v>43109.502708333333</v>
      </c>
      <c r="J69" s="225">
        <v>0</v>
      </c>
      <c r="K69" s="237" t="str">
        <f>IF(ISEVEN(B69),(B69-1)&amp;"/"&amp;B69,B69&amp;"/"&amp;(B69+1))</f>
        <v>4033/4034</v>
      </c>
      <c r="L69" s="245" t="str">
        <f>VLOOKUP(A69,'Trips&amp;Operators'!$C$1:$G$99911,5,FALSE)</f>
        <v>YANAI IAN</v>
      </c>
      <c r="M69" s="224">
        <f>I69-F69</f>
        <v>2.545138888672227E-2</v>
      </c>
      <c r="N69" s="225">
        <f>24*60*SUM($M69:$M69)</f>
        <v>36.649999996880069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-09T09:20:39-0700',mode:absolute,to:'2018-01-09T13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v>23.271100000000001</v>
      </c>
      <c r="Z69" s="247">
        <v>1.43E-2</v>
      </c>
      <c r="AA69" s="247">
        <f>ABS(Z69-Y69)</f>
        <v>23.256800000000002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/stypes="app*4033*20180109*"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ref="AH69" si="11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156-09 --locoid 4033 --swversion DE.1.0.9.0 --startMP 204:466 --initTime 2018-01-09T10:20:39 --startdatetime 2018-01-09T11:27:15 --delay 48 --endMP 204:233321 --enddatetime 2018-01-09T12:03:54 --enforcementcount 0 &gt;&gt;%USERPROFILE%\Documents\GitHub\eaglep3-reporting\EC\2018-01-09-refined-times.txt</v>
      </c>
      <c r="AI69" s="238" t="str">
        <f t="shared" ref="AI69" si="12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{"issue":{"subject":"","project_id":79,"tracker_id":40,"status_id":1,"priority_id":2,"assigned_to_id":338,"start_date":"2018-01-09","description":"","custom_fields":[{"id":1,"name":"Subdivision","value":"EC"},{"id":4,"name":"Milepost","value":"0.0143"},{"id":17,"name":"Train ID","value":"156-09"},{"id":16,"name":"Locomotive ID","value":"4033"},{"id":130,"name":"Impact","value":""},{"id":150,"name":"Time of Event (Mountain Time)","value":"12:03:54"},{"id":151,"name":"Denver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ref="AM69" si="13">"start /low /b "&amp;dls3logs&amp;" --loco "&amp;B69&amp;" --day "&amp;TEXT(F69,"YYYY-MM-DD")</f>
        <v>start /low /b %USERPROFILE%\Documents\GitHub\eaglep3\Utilities\DownloadLogsFromS3.py --loco 4033 --day 2018-01-09</v>
      </c>
      <c r="AN69" s="241" t="str">
        <f t="shared" ref="AN69" si="14">"echo {""issue"":{""subject"":"""&amp;R69&amp;""",""project_id"":30,""tracker_id"":4,""status_id"":"&amp;redmine_status_wcr&amp;",""priority_id"":"&amp;redmine_priority_wcr&amp;",""assigned_to_id"":"&amp;redmine_assignee_wcr&amp;",""start_date"":"""&amp;TEXT(I69-utc_offset/24,"YYYY-mm-dd")&amp;""",""description"":"""&amp;AJ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ref="AO69" si="15"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Message%20ID',Summary),filters:!(),index:'emp_*',interval:auto,query:"&amp;"(query_string:(analyze_wildcard:!t,query:'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-09T09:20:39-0700',mode:absolute,to:'2018-01-09T13:03:54-0700'))&amp;_a=(columns:!('Message%20ID',Summary),filters:!(),index:'emp_*',interval:auto,query:(query_string:(analyze_wildcard:!t,query:'%22rtdc.l.rtdc.4033%22')),sort:!(Time.ISO8601,asc))</v>
      </c>
      <c r="AP69" s="223"/>
      <c r="AQ69" s="223"/>
      <c r="AR69" s="223"/>
      <c r="AS69" s="223"/>
      <c r="AT69" s="223"/>
      <c r="AU69" s="223"/>
      <c r="AV69" s="223"/>
      <c r="AW69" s="223"/>
      <c r="AX69" s="223"/>
      <c r="AY69" s="223"/>
      <c r="AZ69" s="223"/>
      <c r="BA69" s="223"/>
      <c r="BB69" s="223"/>
      <c r="BC69" s="223"/>
      <c r="BD69" s="223"/>
      <c r="BE69" s="223"/>
      <c r="BF69" s="223"/>
      <c r="BG69" s="223"/>
      <c r="BH69" s="223"/>
      <c r="BI69" s="223"/>
      <c r="BJ69" s="223"/>
      <c r="BK69" s="223"/>
      <c r="BL69" s="223"/>
      <c r="BM69" s="223"/>
      <c r="BN69" s="223"/>
      <c r="BO69" s="223"/>
      <c r="BP69" s="223"/>
      <c r="BQ69" s="223"/>
      <c r="BR69" s="223"/>
      <c r="BS69" s="223"/>
      <c r="BT69" s="223"/>
      <c r="BU69" s="223"/>
      <c r="BV69" s="223"/>
      <c r="BW69" s="223"/>
      <c r="BX69" s="223"/>
      <c r="BY69" s="223"/>
      <c r="BZ69" s="223"/>
      <c r="CA69" s="223"/>
      <c r="CB69" s="223"/>
      <c r="CC69" s="223"/>
      <c r="CD69" s="223"/>
      <c r="CE69" s="223"/>
      <c r="CF69" s="223"/>
      <c r="CG69" s="223"/>
      <c r="CH69" s="223"/>
      <c r="CI69" s="223"/>
      <c r="CJ69" s="223"/>
      <c r="CK69" s="223"/>
      <c r="CL69" s="223"/>
      <c r="CM69" s="223"/>
    </row>
    <row r="70" spans="1:91" s="1" customFormat="1" x14ac:dyDescent="0.3">
      <c r="A70" s="229" t="s">
        <v>811</v>
      </c>
      <c r="B70" s="225">
        <v>4050</v>
      </c>
      <c r="C70" s="227" t="s">
        <v>191</v>
      </c>
      <c r="D70" s="227" t="s">
        <v>504</v>
      </c>
      <c r="E70" s="226">
        <v>43109.443379629629</v>
      </c>
      <c r="F70" s="226">
        <v>43109.448217592595</v>
      </c>
      <c r="G70" s="225">
        <v>145</v>
      </c>
      <c r="H70" s="227" t="s">
        <v>578</v>
      </c>
      <c r="I70" s="226">
        <v>43109.471944444442</v>
      </c>
      <c r="J70" s="225">
        <v>0</v>
      </c>
      <c r="K70" s="237" t="str">
        <f>IF(ISEVEN(B70),(B70-1)&amp;"/"&amp;B70,B70&amp;"/"&amp;(B70+1))</f>
        <v>4049/4050</v>
      </c>
      <c r="L70" s="245" t="str">
        <f>VLOOKUP(A70,'Trips&amp;Operators'!$C$1:$G$99911,5,FALSE)</f>
        <v>DE LA ROSA ALEX</v>
      </c>
      <c r="M70" s="224">
        <f>I70-F70</f>
        <v>2.3726851846731734E-2</v>
      </c>
      <c r="N70" s="225">
        <f>24*60*SUM($M70:$M70)</f>
        <v>34.166666659293696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-09T09:38:28-0700',mode:absolute,to:'2018-01-09T12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0" s="247" t="str">
        <f>IF(AA70&lt;VLOOKUP(AG70,Variables!$AC$3:$AD$8,2,FALSE),"Y","N")</f>
        <v>N</v>
      </c>
      <c r="X70" s="247">
        <f t="shared" ref="X70:X71" si="16">VALUE(LEFT(AD70,4))-VALUE(LEFT(AD69,4))</f>
        <v>1</v>
      </c>
      <c r="Y70" s="247">
        <f>RIGHT(D70,LEN(D70)-4)/10000</f>
        <v>5.1299999999999998E-2</v>
      </c>
      <c r="Z70" s="247">
        <f>RIGHT(H70,LEN(H70)-4)/10000</f>
        <v>23.3309</v>
      </c>
      <c r="AA70" s="247">
        <f>ABS(Z70-Y70)</f>
        <v>23.279599999999999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157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/stypes="app*4050*20180109*" /stext=" 18:.+((SYSTEM_STATE.+slice.+state.+changed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157-09 --locoid 4050 --swversion DE.1.0.9.0 --startMP 204:513 --initTime 2018-01-09T10:38:28 --startdatetime 2018-01-09T10:45:26 --delay 145 --endMP 204:233309 --enddatetime 2018-01-09T11:19:36 --enforcementcount 0 &gt;&gt;%USERPROFILE%\Documents\GitHub\eaglep3-reporting\EC\2018-01-09-refined-times.txt</v>
      </c>
      <c r="AI70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{"issue":{"subject":"","project_id":79,"tracker_id":40,"status_id":1,"priority_id":2,"assigned_to_id":338,"start_date":"2018-01-09","description":"","custom_fields":[{"id":1,"name":"Subdivision","value":"EC"},{"id":4,"name":"Milepost","value":"23.3309"},{"id":17,"name":"Train ID","value":"157-09"},{"id":16,"name":"Locomotive ID","value":"4050"},{"id":130,"name":"Impact","value":""},{"id":150,"name":"Time of Event (Mountain Time)","value":"11:19:36"},{"id":151,"name":"Denver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4050 --day 2018-01-09</v>
      </c>
      <c r="AN70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-09T09:38:28-0700',mode:absolute,to:'2018-01-09T12:19:36-0700'))&amp;_a=(columns:!('Message%20ID',Summary),filters:!(),index:'emp_*',interval:auto,query:(query_string:(analyze_wildcard:!t,query:'%22rtdc.l.rtdc.4050%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822</v>
      </c>
      <c r="B71" s="225">
        <v>4049</v>
      </c>
      <c r="C71" s="227" t="s">
        <v>191</v>
      </c>
      <c r="D71" s="227" t="s">
        <v>961</v>
      </c>
      <c r="E71" s="226">
        <v>43109.484594907408</v>
      </c>
      <c r="F71" s="226">
        <v>43109.48777777778</v>
      </c>
      <c r="G71" s="225">
        <v>86</v>
      </c>
      <c r="H71" s="227" t="s">
        <v>539</v>
      </c>
      <c r="I71" s="226">
        <v>43109.513483796298</v>
      </c>
      <c r="J71" s="225">
        <v>0</v>
      </c>
      <c r="K71" s="237" t="str">
        <f>IF(ISEVEN(B71),(B71-1)&amp;"/"&amp;B71,B71&amp;"/"&amp;(B71+1))</f>
        <v>4049/4050</v>
      </c>
      <c r="L71" s="245" t="str">
        <f>VLOOKUP(A71,'Trips&amp;Operators'!$C$1:$G$99911,5,FALSE)</f>
        <v>DE LA ROSA ALEX</v>
      </c>
      <c r="M71" s="224">
        <f>I71-F71</f>
        <v>2.5706018517666962E-2</v>
      </c>
      <c r="N71" s="225">
        <f>24*60*SUM($M71:$M71)</f>
        <v>37.016666665440425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-09T10:37:49-0700',mode:absolute,to:'2018-01-09T13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1" s="247" t="str">
        <f>IF(AA71&lt;VLOOKUP(AG71,Variables!$AC$3:$AD$8,2,FALSE),"Y","N")</f>
        <v>N</v>
      </c>
      <c r="X71" s="247">
        <f t="shared" si="16"/>
        <v>1</v>
      </c>
      <c r="Y71" s="247">
        <f>RIGHT(D71,LEN(D71)-4)/10000</f>
        <v>23.298999999999999</v>
      </c>
      <c r="Z71" s="247">
        <f>RIGHT(H71,LEN(H71)-4)/10000</f>
        <v>1.54E-2</v>
      </c>
      <c r="AA71" s="247">
        <f>ABS(Z71-Y71)</f>
        <v>23.2836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158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/stypes="app*4049*20180109*" /stext=" 19:.+((SYSTEM_STATE.+slice.+state.+changed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158-09 --locoid 4049 --swversion DE.1.0.9.0 --startMP 204:232990 --initTime 2018-01-09T11:37:49 --startdatetime 2018-01-09T11:42:24 --delay 86 --endMP 204:154 --enddatetime 2018-01-09T12:19:25 --enforcementcount 0 &gt;&gt;%USERPROFILE%\Documents\GitHub\eaglep3-reporting\EC\2018-01-09-refined-times.txt</v>
      </c>
      <c r="AI71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{"issue":{"subject":"","project_id":79,"tracker_id":40,"status_id":1,"priority_id":2,"assigned_to_id":338,"start_date":"2018-01-09","description":"","custom_fields":[{"id":1,"name":"Subdivision","value":"EC"},{"id":4,"name":"Milepost","value":"0.0154"},{"id":17,"name":"Train ID","value":"158-09"},{"id":16,"name":"Locomotive ID","value":"4049"},{"id":130,"name":"Impact","value":""},{"id":150,"name":"Time of Event (Mountain Time)","value":"12:19:25"},{"id":151,"name":"Denver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4049 --day 2018-01-09</v>
      </c>
      <c r="AN71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-09T10:37:49-0700',mode:absolute,to:'2018-01-09T13:19:25-0700'))&amp;_a=(columns:!('Message%20ID',Summary),filters:!(),index:'emp_*',interval:auto,query:(query_string:(analyze_wildcard:!t,query:'%22rtdc.l.rtdc.4049%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816</v>
      </c>
      <c r="B72" s="225">
        <v>4016</v>
      </c>
      <c r="C72" s="227" t="s">
        <v>191</v>
      </c>
      <c r="D72" s="227" t="s">
        <v>475</v>
      </c>
      <c r="E72" s="226">
        <v>43109.455474537041</v>
      </c>
      <c r="F72" s="226">
        <v>43109.458645833336</v>
      </c>
      <c r="G72" s="225">
        <v>52</v>
      </c>
      <c r="H72" s="227" t="s">
        <v>962</v>
      </c>
      <c r="I72" s="226">
        <v>43109.483229166668</v>
      </c>
      <c r="J72" s="225">
        <v>0</v>
      </c>
      <c r="K72" s="237" t="str">
        <f>IF(ISEVEN(B72),(B72-1)&amp;"/"&amp;B72,B72&amp;"/"&amp;(B72+1))</f>
        <v>4015/4016</v>
      </c>
      <c r="L72" s="245" t="str">
        <f>VLOOKUP(A72,'Trips&amp;Operators'!$C$1:$G$99911,5,FALSE)</f>
        <v>MACDONALD THOMAS</v>
      </c>
      <c r="M72" s="224">
        <f>I72-F72</f>
        <v>2.4583333331975155E-2</v>
      </c>
      <c r="N72" s="225">
        <f>24*60*SUM($M72:$M72)</f>
        <v>35.399999998044223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-09T09:55:53-0700',mode:absolute,to:'2018-01-09T12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5.0799999999999998E-2</v>
      </c>
      <c r="Z72" s="247">
        <f>RIGHT(H72,LEN(H72)-4)/10000</f>
        <v>23.321899999999999</v>
      </c>
      <c r="AA72" s="247">
        <f>ABS(Z72-Y72)</f>
        <v>23.271100000000001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159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/stypes="app*4016*20180109*" /stext=" 18:.+((SYSTEM_STATE.+slice.+state.+changed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159-09 --locoid 4016 --swversion DE.1.0.9.0 --startMP 204:508 --initTime 2018-01-09T10:55:53 --startdatetime 2018-01-09T11:00:27 --delay 52 --endMP 204:233219 --enddatetime 2018-01-09T11:35:51 --enforcementcount 0 &gt;&gt;%USERPROFILE%\Documents\GitHub\eaglep3-reporting\EC\2018-01-09-refined-times.txt</v>
      </c>
      <c r="AI72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{"issue":{"subject":"","project_id":79,"tracker_id":40,"status_id":1,"priority_id":2,"assigned_to_id":338,"start_date":"2018-01-09","description":"","custom_fields":[{"id":1,"name":"Subdivision","value":"EC"},{"id":4,"name":"Milepost","value":"23.3219"},{"id":17,"name":"Train ID","value":"159-09"},{"id":16,"name":"Locomotive ID","value":"4016"},{"id":130,"name":"Impact","value":""},{"id":150,"name":"Time of Event (Mountain Time)","value":"11:35:51"},{"id":151,"name":"Denver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4016 --day 2018-01-09</v>
      </c>
      <c r="AN72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-09T09:55:53-0700',mode:absolute,to:'2018-01-09T12:35:51-0700'))&amp;_a=(columns:!('Message%20ID',Summary),filters:!(),index:'emp_*',interval:auto,query:(query_string:(analyze_wildcard:!t,query:'%22rtdc.l.rtdc.4016%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824</v>
      </c>
      <c r="B73" s="225">
        <v>4015</v>
      </c>
      <c r="C73" s="227" t="s">
        <v>191</v>
      </c>
      <c r="D73" s="227" t="s">
        <v>963</v>
      </c>
      <c r="E73" s="226">
        <v>43109.498333333337</v>
      </c>
      <c r="F73" s="226">
        <v>43109.499212962961</v>
      </c>
      <c r="G73" s="225">
        <v>48</v>
      </c>
      <c r="H73" s="227" t="s">
        <v>964</v>
      </c>
      <c r="I73" s="226">
        <v>43109.525046296294</v>
      </c>
      <c r="J73" s="225">
        <v>0</v>
      </c>
      <c r="K73" s="237" t="str">
        <f>IF(ISEVEN(B73),(B73-1)&amp;"/"&amp;B73,B73&amp;"/"&amp;(B73+1))</f>
        <v>4015/4016</v>
      </c>
      <c r="L73" s="245" t="str">
        <f>VLOOKUP(A73,'Trips&amp;Operators'!$C$1:$G$99911,5,FALSE)</f>
        <v>MACDONALD THOMAS</v>
      </c>
      <c r="M73" s="224">
        <f>I73-F73</f>
        <v>2.5833333333139308E-2</v>
      </c>
      <c r="N73" s="225">
        <f>24*60*SUM($M73:$M73)</f>
        <v>37.199999999720603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-09T10:57:36-0700',mode:absolute,to:'2018-01-09T13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23.290199999999999</v>
      </c>
      <c r="Z73" s="247">
        <f>RIGHT(H73,LEN(H73)-4)/10000</f>
        <v>2.3400000000000001E-2</v>
      </c>
      <c r="AA73" s="247">
        <f>ABS(Z73-Y73)</f>
        <v>23.2668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160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/stypes="app*4015*20180109*" /stext=" 19:.+((SYSTEM_STATE.+slice.+state.+changed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160-09 --locoid 4015 --swversion DE.1.0.9.0 --startMP 204:232902 --initTime 2018-01-09T11:57:36 --startdatetime 2018-01-09T11:58:52 --delay 48 --endMP 204:234 --enddatetime 2018-01-09T12:36:04 --enforcementcount 0 &gt;&gt;%USERPROFILE%\Documents\GitHub\eaglep3-reporting\EC\2018-01-09-refined-times.txt</v>
      </c>
      <c r="AI73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{"issue":{"subject":"","project_id":79,"tracker_id":40,"status_id":1,"priority_id":2,"assigned_to_id":338,"start_date":"2018-01-09","description":"","custom_fields":[{"id":1,"name":"Subdivision","value":"EC"},{"id":4,"name":"Milepost","value":"0.0234"},{"id":17,"name":"Train ID","value":"160-09"},{"id":16,"name":"Locomotive ID","value":"4015"},{"id":130,"name":"Impact","value":""},{"id":150,"name":"Time of Event (Mountain Time)","value":"12:36:04"},{"id":151,"name":"Denver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4015 --day 2018-01-09</v>
      </c>
      <c r="AN73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-09T10:57:36-0700',mode:absolute,to:'2018-01-09T13:36:04-0700'))&amp;_a=(columns:!('Message%20ID',Summary),filters:!(),index:'emp_*',interval:auto,query:(query_string:(analyze_wildcard:!t,query:'%22rtdc.l.rtdc.4015%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712</v>
      </c>
      <c r="B74" s="225">
        <v>4056</v>
      </c>
      <c r="C74" s="227" t="s">
        <v>191</v>
      </c>
      <c r="D74" s="227" t="s">
        <v>517</v>
      </c>
      <c r="E74" s="226">
        <v>43109.465300925927</v>
      </c>
      <c r="F74" s="226">
        <v>43109.468935185185</v>
      </c>
      <c r="G74" s="225">
        <v>96</v>
      </c>
      <c r="H74" s="227" t="s">
        <v>965</v>
      </c>
      <c r="I74" s="226">
        <v>43109.493923611109</v>
      </c>
      <c r="J74" s="225">
        <v>0</v>
      </c>
      <c r="K74" s="237" t="str">
        <f>IF(ISEVEN(B74),(B74-1)&amp;"/"&amp;B74,B74&amp;"/"&amp;(B74+1))</f>
        <v>4055/4056</v>
      </c>
      <c r="L74" s="245" t="str">
        <f>VLOOKUP(A74,'Trips&amp;Operators'!$C$1:$G$99911,5,FALSE)</f>
        <v>KILLION DAVID</v>
      </c>
      <c r="M74" s="224">
        <f>I74-F74</f>
        <v>2.4988425924675539E-2</v>
      </c>
      <c r="N74" s="225">
        <f>24*60*SUM($M74:$M74)</f>
        <v>35.983333331532776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-09T10:10:02-0700',mode:absolute,to:'2018-01-09T12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4.8800000000000003E-2</v>
      </c>
      <c r="Z74" s="247">
        <f>RIGHT(H74,LEN(H74)-4)/10000</f>
        <v>23.322399999999998</v>
      </c>
      <c r="AA74" s="247">
        <f>ABS(Z74-Y74)</f>
        <v>23.273599999999998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161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/stypes="app*4056*20180109*" /stext=" 18:.+((SYSTEM_STATE.+slice.+state.+changed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161-09 --locoid 4056 --swversion DE.1.0.9.0 --startMP 204:488 --initTime 2018-01-09T11:10:02 --startdatetime 2018-01-09T11:15:16 --delay 96 --endMP 204:233224 --enddatetime 2018-01-09T11:51:15 --enforcementcount 0 &gt;&gt;%USERPROFILE%\Documents\GitHub\eaglep3-reporting\EC\2018-01-09-refined-times.txt</v>
      </c>
      <c r="AI74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{"issue":{"subject":"","project_id":79,"tracker_id":40,"status_id":1,"priority_id":2,"assigned_to_id":338,"start_date":"2018-01-09","description":"","custom_fields":[{"id":1,"name":"Subdivision","value":"EC"},{"id":4,"name":"Milepost","value":"23.3224"},{"id":17,"name":"Train ID","value":"161-09"},{"id":16,"name":"Locomotive ID","value":"4056"},{"id":130,"name":"Impact","value":""},{"id":150,"name":"Time of Event (Mountain Time)","value":"11:51:15"},{"id":151,"name":"Denver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4056 --day 2018-01-09</v>
      </c>
      <c r="AN74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-09T10:10:02-0700',mode:absolute,to:'2018-01-09T12:51:15-0700'))&amp;_a=(columns:!('Message%20ID',Summary),filters:!(),index:'emp_*',interval:auto,query:(query_string:(analyze_wildcard:!t,query:'%22rtdc.l.rtdc.4056%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825</v>
      </c>
      <c r="B75" s="225">
        <v>4055</v>
      </c>
      <c r="C75" s="227" t="s">
        <v>191</v>
      </c>
      <c r="D75" s="227" t="s">
        <v>966</v>
      </c>
      <c r="E75" s="226">
        <v>43109.500196759262</v>
      </c>
      <c r="F75" s="226">
        <v>43109.50854166667</v>
      </c>
      <c r="G75" s="225">
        <v>73</v>
      </c>
      <c r="H75" s="227" t="s">
        <v>581</v>
      </c>
      <c r="I75" s="226">
        <v>43109.535243055558</v>
      </c>
      <c r="J75" s="225">
        <v>0</v>
      </c>
      <c r="K75" s="237" t="str">
        <f>IF(ISEVEN(B75),(B75-1)&amp;"/"&amp;B75,B75&amp;"/"&amp;(B75+1))</f>
        <v>4055/4056</v>
      </c>
      <c r="L75" s="245" t="str">
        <f>VLOOKUP(A75,'Trips&amp;Operators'!$C$1:$G$99911,5,FALSE)</f>
        <v>KILLION DAVID</v>
      </c>
      <c r="M75" s="224">
        <f>I75-F75</f>
        <v>2.6701388887886424E-2</v>
      </c>
      <c r="N75" s="225">
        <f>24*60*SUM($M75:$M75)</f>
        <v>38.44999999855645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-09T11:00:17-0700',mode:absolute,to:'2018-01-09T13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23.2898</v>
      </c>
      <c r="Z75" s="247">
        <f>RIGHT(H75,LEN(H75)-4)/10000</f>
        <v>1.7999999999999999E-2</v>
      </c>
      <c r="AA75" s="247">
        <f>ABS(Z75-Y75)</f>
        <v>23.271799999999999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162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/stypes="app*4055*20180109*"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162-09 --locoid 4055 --swversion DE.1.0.9.0 --startMP 204:232898 --initTime 2018-01-09T12:00:17 --startdatetime 2018-01-09T12:12:18 --delay 73 --endMP 204:180 --enddatetime 2018-01-09T12:50:45 --enforcementcount 0 &gt;&gt;%USERPROFILE%\Documents\GitHub\eaglep3-reporting\EC\2018-01-09-refined-times.txt</v>
      </c>
      <c r="AI75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{"issue":{"subject":"","project_id":79,"tracker_id":40,"status_id":1,"priority_id":2,"assigned_to_id":338,"start_date":"2018-01-09","description":"","custom_fields":[{"id":1,"name":"Subdivision","value":"EC"},{"id":4,"name":"Milepost","value":"0.018"},{"id":17,"name":"Train ID","value":"162-09"},{"id":16,"name":"Locomotive ID","value":"4055"},{"id":130,"name":"Impact","value":""},{"id":150,"name":"Time of Event (Mountain Time)","value":"12:50:45"},{"id":151,"name":"Denver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4055 --day 2018-01-09</v>
      </c>
      <c r="AN75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-09T11:00:17-0700',mode:absolute,to:'2018-01-09T13:50:45-0700'))&amp;_a=(columns:!('Message%20ID',Summary),filters:!(),index:'emp_*',interval:auto,query:(query_string:(analyze_wildcard:!t,query:'%22rtdc.l.rtdc.4055%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819</v>
      </c>
      <c r="B76" s="225">
        <v>4064</v>
      </c>
      <c r="C76" s="227" t="s">
        <v>191</v>
      </c>
      <c r="D76" s="227" t="s">
        <v>591</v>
      </c>
      <c r="E76" s="226">
        <v>43109.47552083333</v>
      </c>
      <c r="F76" s="226">
        <v>43109.479432870372</v>
      </c>
      <c r="G76" s="225">
        <v>85</v>
      </c>
      <c r="H76" s="227" t="s">
        <v>967</v>
      </c>
      <c r="I76" s="226">
        <v>43109.504780092589</v>
      </c>
      <c r="J76" s="225">
        <v>0</v>
      </c>
      <c r="K76" s="237" t="str">
        <f>IF(ISEVEN(B76),(B76-1)&amp;"/"&amp;B76,B76&amp;"/"&amp;(B76+1))</f>
        <v>4063/4064</v>
      </c>
      <c r="L76" s="245" t="str">
        <f>VLOOKUP(A76,'Trips&amp;Operators'!$C$1:$G$99911,5,FALSE)</f>
        <v>STEWART MICHAEL</v>
      </c>
      <c r="M76" s="224">
        <f>I76-F76</f>
        <v>2.5347222217533272E-2</v>
      </c>
      <c r="N76" s="225">
        <f>24*60*SUM($M76:$M76)</f>
        <v>36.499999993247911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-09T10:24:45-0700',mode:absolute,to:'2018-01-09T13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4.7300000000000002E-2</v>
      </c>
      <c r="Z76" s="247">
        <f>RIGHT(H76,LEN(H76)-4)/10000</f>
        <v>23.332899999999999</v>
      </c>
      <c r="AA76" s="247">
        <f>ABS(Z76-Y76)</f>
        <v>23.285599999999999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163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/stypes="app*4064*20180109*"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163-09 --locoid 4064 --swversion DE.1.0.9.0 --startMP 204:473 --initTime 2018-01-09T11:24:45 --startdatetime 2018-01-09T11:30:23 --delay 85 --endMP 204:233329 --enddatetime 2018-01-09T12:06:53 --enforcementcount 0 &gt;&gt;%USERPROFILE%\Documents\GitHub\eaglep3-reporting\EC\2018-01-09-refined-times.txt</v>
      </c>
      <c r="AI76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{"issue":{"subject":"","project_id":79,"tracker_id":40,"status_id":1,"priority_id":2,"assigned_to_id":338,"start_date":"2018-01-09","description":"","custom_fields":[{"id":1,"name":"Subdivision","value":"EC"},{"id":4,"name":"Milepost","value":"23.3329"},{"id":17,"name":"Train ID","value":"163-09"},{"id":16,"name":"Locomotive ID","value":"4064"},{"id":130,"name":"Impact","value":""},{"id":150,"name":"Time of Event (Mountain Time)","value":"12:06:53"},{"id":151,"name":"Denver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4064 --day 2018-01-09</v>
      </c>
      <c r="AN76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-09T10:24:45-0700',mode:absolute,to:'2018-01-09T13:06:53-0700'))&amp;_a=(columns:!('Message%20ID',Summary),filters:!(),index:'emp_*',interval:auto,query:(query_string:(analyze_wildcard:!t,query:'%22rtdc.l.rtdc.4064%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828</v>
      </c>
      <c r="B77" s="225">
        <v>4063</v>
      </c>
      <c r="C77" s="227" t="s">
        <v>191</v>
      </c>
      <c r="D77" s="227" t="s">
        <v>968</v>
      </c>
      <c r="E77" s="226">
        <v>43109.51489583333</v>
      </c>
      <c r="F77" s="226">
        <v>43109.518993055557</v>
      </c>
      <c r="G77" s="225">
        <v>92</v>
      </c>
      <c r="H77" s="227" t="s">
        <v>673</v>
      </c>
      <c r="I77" s="226">
        <v>43109.545335648145</v>
      </c>
      <c r="J77" s="225">
        <v>0</v>
      </c>
      <c r="K77" s="237" t="str">
        <f>IF(ISEVEN(B77),(B77-1)&amp;"/"&amp;B77,B77&amp;"/"&amp;(B77+1))</f>
        <v>4063/4064</v>
      </c>
      <c r="L77" s="245" t="str">
        <f>VLOOKUP(A77,'Trips&amp;Operators'!$C$1:$G$99911,5,FALSE)</f>
        <v>STEWART MICHAEL</v>
      </c>
      <c r="M77" s="224">
        <f>I77-F77</f>
        <v>2.6342592587752733E-2</v>
      </c>
      <c r="N77" s="225">
        <f>24*60*SUM($M77:$M77)</f>
        <v>37.933333326363936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-09T11:21:27-0700',mode:absolute,to:'2018-01-09T14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23.299800000000001</v>
      </c>
      <c r="Z77" s="247">
        <f>RIGHT(H77,LEN(H77)-4)/10000</f>
        <v>1.6500000000000001E-2</v>
      </c>
      <c r="AA77" s="247">
        <f>ABS(Z77-Y77)</f>
        <v>23.283300000000001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164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/stypes="app*4063*20180109*" /stext=" 20:.+((SYSTEM_STATE.+slice.+state.+changed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164-09 --locoid 4063 --swversion DE.1.0.9.0 --startMP 204:232998 --initTime 2018-01-09T12:21:27 --startdatetime 2018-01-09T12:27:21 --delay 92 --endMP 204:165 --enddatetime 2018-01-09T13:05:17 --enforcementcount 0 &gt;&gt;%USERPROFILE%\Documents\GitHub\eaglep3-reporting\EC\2018-01-09-refined-times.txt</v>
      </c>
      <c r="AI77" s="238" t="str">
        <f t="shared" si="6"/>
        <v>echo {"issue":{"subject":"","project_id":79,"tracker_id":40,"status_id":1,"priority_id":2,"assigned_to_id":338,"start_date":"2018-01-09","description":"","custom_fields":[{"id":1,"name":"Subdivision","value":"EC"},{"id":4,"name":"Milepost","value":"0.0165"},{"id":17,"name":"Train ID","value":"164-09"},{"id":16,"name":"Locomotive ID","value":"4063"},{"id":130,"name":"Impact","value":""},{"id":150,"name":"Time of Event (Mountain Time)","value":"13:05:17"},{"id":151,"name":"Denver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4063 --day 2018-01-09</v>
      </c>
      <c r="AN77" s="241" t="str">
        <f t="shared" si="8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-09T11:21:27-0700',mode:absolute,to:'2018-01-09T14:05:17-0700'))&amp;_a=(columns:!('Message%20ID',Summary),filters:!(),index:'emp_*',interval:auto,query:(query_string:(analyze_wildcard:!t,query:'%22rtdc.l.rtdc.4063%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821</v>
      </c>
      <c r="B78" s="225">
        <v>4046</v>
      </c>
      <c r="C78" s="227" t="s">
        <v>191</v>
      </c>
      <c r="D78" s="227" t="s">
        <v>969</v>
      </c>
      <c r="E78" s="226">
        <v>43109.483472222222</v>
      </c>
      <c r="F78" s="226">
        <v>43109.489837962959</v>
      </c>
      <c r="G78" s="225">
        <v>129</v>
      </c>
      <c r="H78" s="227" t="s">
        <v>573</v>
      </c>
      <c r="I78" s="226">
        <v>43109.514768518522</v>
      </c>
      <c r="J78" s="225">
        <v>0</v>
      </c>
      <c r="K78" s="237" t="str">
        <f>IF(ISEVEN(B78),(B78-1)&amp;"/"&amp;B78,B78&amp;"/"&amp;(B78+1))</f>
        <v>4045/4046</v>
      </c>
      <c r="L78" s="245" t="str">
        <f>VLOOKUP(A78,'Trips&amp;Operators'!$C$1:$G$99911,5,FALSE)</f>
        <v>LEVIN SCOTT</v>
      </c>
      <c r="M78" s="224">
        <f>I78-F78</f>
        <v>2.493055556260515E-2</v>
      </c>
      <c r="N78" s="225">
        <f>24*60*SUM($M78:$M78)</f>
        <v>35.900000010151416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-09T10:36:12-0700',mode:absolute,to:'2018-01-09T13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4.7500000000000001E-2</v>
      </c>
      <c r="Z78" s="247">
        <f>RIGHT(H78,LEN(H78)-4)/10000</f>
        <v>23.3322</v>
      </c>
      <c r="AA78" s="247">
        <f>ABS(Z78-Y78)</f>
        <v>23.284700000000001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165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/stypes="app*4046*20180109*" /stext=" 19:.+((SYSTEM_STATE.+slice.+state.+changed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8" si="1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165-09 --locoid 4046 --swversion DE.1.0.9.0 --startMP 204:475 --initTime 2018-01-09T11:36:12 --startdatetime 2018-01-09T11:45:22 --delay 129 --endMP 204:233322 --enddatetime 2018-01-09T12:21:16 --enforcementcount 0 &gt;&gt;%USERPROFILE%\Documents\GitHub\eaglep3-reporting\EC\2018-01-09-refined-times.txt</v>
      </c>
      <c r="AI78" s="238" t="str">
        <f t="shared" ref="AI78:AI148" si="1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{"issue":{"subject":"","project_id":79,"tracker_id":40,"status_id":1,"priority_id":2,"assigned_to_id":338,"start_date":"2018-01-09","description":"","custom_fields":[{"id":1,"name":"Subdivision","value":"EC"},{"id":4,"name":"Milepost","value":"23.3322"},{"id":17,"name":"Train ID","value":"165-09"},{"id":16,"name":"Locomotive ID","value":"4046"},{"id":130,"name":"Impact","value":""},{"id":150,"name":"Time of Event (Mountain Time)","value":"12:21:16"},{"id":151,"name":"Denver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8" si="19">"start /low /b "&amp;dls3logs&amp;" --loco "&amp;B78&amp;" --day "&amp;TEXT(F78,"YYYY-MM-DD")</f>
        <v>start /low /b %USERPROFILE%\Documents\GitHub\eaglep3\Utilities\DownloadLogsFromS3.py --loco 4046 --day 2018-01-09</v>
      </c>
      <c r="AN78" s="241" t="str">
        <f t="shared" ref="AN78:AN148" si="2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8" si="21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-09T10:36:12-0700',mode:absolute,to:'2018-01-09T13:21:16-0700'))&amp;_a=(columns:!('Message%20ID',Summary),filters:!(),index:'emp_*',interval:auto,query:(query_string:(analyze_wildcard:!t,query:'%22rtdc.l.rtdc.4046%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830</v>
      </c>
      <c r="B79" s="225">
        <v>4045</v>
      </c>
      <c r="C79" s="227" t="s">
        <v>191</v>
      </c>
      <c r="D79" s="227" t="s">
        <v>945</v>
      </c>
      <c r="E79" s="226">
        <v>43109.519525462965</v>
      </c>
      <c r="F79" s="226">
        <v>43109.529351851852</v>
      </c>
      <c r="G79" s="225">
        <v>76</v>
      </c>
      <c r="H79" s="227" t="s">
        <v>539</v>
      </c>
      <c r="I79" s="226">
        <v>43109.555324074077</v>
      </c>
      <c r="J79" s="225">
        <v>0</v>
      </c>
      <c r="K79" s="237" t="str">
        <f>IF(ISEVEN(B79),(B79-1)&amp;"/"&amp;B79,B79&amp;"/"&amp;(B79+1))</f>
        <v>4045/4046</v>
      </c>
      <c r="L79" s="245" t="str">
        <f>VLOOKUP(A79,'Trips&amp;Operators'!$C$1:$G$99911,5,FALSE)</f>
        <v>LEVIN SCOTT</v>
      </c>
      <c r="M79" s="224">
        <f>I79-F79</f>
        <v>2.5972222225391306E-2</v>
      </c>
      <c r="N79" s="225">
        <f>24*60*SUM($M79:$M79)</f>
        <v>37.400000004563481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-09T11:28:07-0700',mode:absolute,to:'2018-01-09T14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23.301100000000002</v>
      </c>
      <c r="Z79" s="247">
        <f>RIGHT(H79,LEN(H79)-4)/10000</f>
        <v>1.54E-2</v>
      </c>
      <c r="AA79" s="247">
        <f>ABS(Z79-Y79)</f>
        <v>23.285700000000002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166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/stypes="app*4045*20180109*" /stext=" 20:.+((SYSTEM_STATE.+slice.+state.+changed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7"/>
        <v>"%USERPROFILE%\Documents\GitHub\eaglep3\Utilities\RefineRTDCRunTimes.py" --tripid 166-09 --locoid 4045 --swversion DE.1.0.9.0 --startMP 204:233011 --initTime 2018-01-09T12:28:07 --startdatetime 2018-01-09T12:42:16 --delay 76 --endMP 204:154 --enddatetime 2018-01-09T13:19:40 --enforcementcount 0 &gt;&gt;%USERPROFILE%\Documents\GitHub\eaglep3-reporting\EC\2018-01-09-refined-times.txt</v>
      </c>
      <c r="AI79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{"issue":{"subject":"","project_id":79,"tracker_id":40,"status_id":1,"priority_id":2,"assigned_to_id":338,"start_date":"2018-01-09","description":"","custom_fields":[{"id":1,"name":"Subdivision","value":"EC"},{"id":4,"name":"Milepost","value":"0.0154"},{"id":17,"name":"Train ID","value":"166-09"},{"id":16,"name":"Locomotive ID","value":"4045"},{"id":130,"name":"Impact","value":""},{"id":150,"name":"Time of Event (Mountain Time)","value":"13:19:40"},{"id":151,"name":"Denver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9"/>
        <v>start /low /b %USERPROFILE%\Documents\GitHub\eaglep3\Utilities\DownloadLogsFromS3.py --loco 4045 --day 2018-01-09</v>
      </c>
      <c r="AN79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21"/>
        <v>https://d0f6bd738d7f1b3e5a7ca70fe4ff75f0.us-east-1.aws.found.io/app/kibana#/discover/Steve-Slow-Train-Analysis-(2080s-and-2083s)?_g=(refreshInterval:(display:Off,pause:!f,section:0,value:0),time:(from:'2018-01-09T11:28:07-0700',mode:absolute,to:'2018-01-09T14:19:40-0700'))&amp;_a=(columns:!('Message%20ID',Summary),filters:!(),index:'emp_*',interval:auto,query:(query_string:(analyze_wildcard:!t,query:'%22rtdc.l.rtdc.4045%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823</v>
      </c>
      <c r="B80" s="225">
        <v>4014</v>
      </c>
      <c r="C80" s="227" t="s">
        <v>191</v>
      </c>
      <c r="D80" s="227" t="s">
        <v>504</v>
      </c>
      <c r="E80" s="226">
        <v>43109.494340277779</v>
      </c>
      <c r="F80" s="226">
        <v>43109.500208333331</v>
      </c>
      <c r="G80" s="225">
        <v>124</v>
      </c>
      <c r="H80" s="227" t="s">
        <v>612</v>
      </c>
      <c r="I80" s="226">
        <v>43109.526435185187</v>
      </c>
      <c r="J80" s="225">
        <v>0</v>
      </c>
      <c r="K80" s="237" t="str">
        <f>IF(ISEVEN(B80),(B80-1)&amp;"/"&amp;B80,B80&amp;"/"&amp;(B80+1))</f>
        <v>4013/4014</v>
      </c>
      <c r="L80" s="245" t="str">
        <f>VLOOKUP(A80,'Trips&amp;Operators'!$C$1:$G$99911,5,FALSE)</f>
        <v>LONG FULLER</v>
      </c>
      <c r="M80" s="224">
        <f>I80-F80</f>
        <v>2.6226851856335998E-2</v>
      </c>
      <c r="N80" s="225">
        <f>24*60*SUM($M80:$M80)</f>
        <v>37.766666673123837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-09T10:51:51-0700',mode:absolute,to:'2018-01-09T13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5.1299999999999998E-2</v>
      </c>
      <c r="Z80" s="247">
        <f>RIGHT(H80,LEN(H80)-4)/10000</f>
        <v>23.323399999999999</v>
      </c>
      <c r="AA80" s="247">
        <f>ABS(Z80-Y80)</f>
        <v>23.272099999999998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167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/stypes="app*4014*20180109*" /stext=" 19:.+((SYSTEM_STATE.+slice.+state.+changed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7"/>
        <v>"%USERPROFILE%\Documents\GitHub\eaglep3\Utilities\RefineRTDCRunTimes.py" --tripid 167-09 --locoid 4014 --swversion DE.1.0.9.0 --startMP 204:513 --initTime 2018-01-09T11:51:51 --startdatetime 2018-01-09T12:00:18 --delay 124 --endMP 204:233234 --enddatetime 2018-01-09T12:38:04 --enforcementcount 0 &gt;&gt;%USERPROFILE%\Documents\GitHub\eaglep3-reporting\EC\2018-01-09-refined-times.txt</v>
      </c>
      <c r="AI80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{"issue":{"subject":"","project_id":79,"tracker_id":40,"status_id":1,"priority_id":2,"assigned_to_id":338,"start_date":"2018-01-09","description":"","custom_fields":[{"id":1,"name":"Subdivision","value":"EC"},{"id":4,"name":"Milepost","value":"23.3234"},{"id":17,"name":"Train ID","value":"167-09"},{"id":16,"name":"Locomotive ID","value":"4014"},{"id":130,"name":"Impact","value":""},{"id":150,"name":"Time of Event (Mountain Time)","value":"12:38:04"},{"id":151,"name":"Denver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9"/>
        <v>start /low /b %USERPROFILE%\Documents\GitHub\eaglep3\Utilities\DownloadLogsFromS3.py --loco 4014 --day 2018-01-09</v>
      </c>
      <c r="AN80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21"/>
        <v>https://d0f6bd738d7f1b3e5a7ca70fe4ff75f0.us-east-1.aws.found.io/app/kibana#/discover/Steve-Slow-Train-Analysis-(2080s-and-2083s)?_g=(refreshInterval:(display:Off,pause:!f,section:0,value:0),time:(from:'2018-01-09T10:51:51-0700',mode:absolute,to:'2018-01-09T13:38:04-0700'))&amp;_a=(columns:!('Message%20ID',Summary),filters:!(),index:'emp_*',interval:auto,query:(query_string:(analyze_wildcard:!t,query:'%22rtdc.l.rtdc.4014%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833</v>
      </c>
      <c r="B81" s="225">
        <v>4013</v>
      </c>
      <c r="C81" s="227" t="s">
        <v>191</v>
      </c>
      <c r="D81" s="227" t="s">
        <v>652</v>
      </c>
      <c r="E81" s="226">
        <v>43109.534201388888</v>
      </c>
      <c r="F81" s="226">
        <v>43109.539768518516</v>
      </c>
      <c r="G81" s="225">
        <v>97</v>
      </c>
      <c r="H81" s="227" t="s">
        <v>585</v>
      </c>
      <c r="I81" s="226">
        <v>43109.567129629628</v>
      </c>
      <c r="J81" s="225">
        <v>0</v>
      </c>
      <c r="K81" s="237" t="str">
        <f>IF(ISEVEN(B81),(B81-1)&amp;"/"&amp;B81,B81&amp;"/"&amp;(B81+1))</f>
        <v>4013/4014</v>
      </c>
      <c r="L81" s="245" t="str">
        <f>VLOOKUP(A81,'Trips&amp;Operators'!$C$1:$G$99911,5,FALSE)</f>
        <v>LONG FULLER</v>
      </c>
      <c r="M81" s="224">
        <f>I81-F81</f>
        <v>2.73611111115315E-2</v>
      </c>
      <c r="N81" s="225">
        <f>24*60*SUM($M81:$M81)</f>
        <v>39.40000000060536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-09T11:49:15-0700',mode:absolute,to:'2018-01-09T14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23.294699999999999</v>
      </c>
      <c r="Z81" s="247">
        <f>RIGHT(H81,LEN(H81)-4)/10000</f>
        <v>2.23E-2</v>
      </c>
      <c r="AA81" s="247">
        <f>ABS(Z81-Y81)</f>
        <v>23.272399999999998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168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/stypes="app*4013*20180109*" /stext=" 20:.+((SYSTEM_STATE.+slice.+state.+changed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7"/>
        <v>"%USERPROFILE%\Documents\GitHub\eaglep3\Utilities\RefineRTDCRunTimes.py" --tripid 168-09 --locoid 4013 --swversion DE.1.0.9.0 --startMP 204:232947 --initTime 2018-01-09T12:49:15 --startdatetime 2018-01-09T12:57:16 --delay 97 --endMP 204:223 --enddatetime 2018-01-09T13:36:40 --enforcementcount 0 &gt;&gt;%USERPROFILE%\Documents\GitHub\eaglep3-reporting\EC\2018-01-09-refined-times.txt</v>
      </c>
      <c r="AI81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{"issue":{"subject":"","project_id":79,"tracker_id":40,"status_id":1,"priority_id":2,"assigned_to_id":338,"start_date":"2018-01-09","description":"","custom_fields":[{"id":1,"name":"Subdivision","value":"EC"},{"id":4,"name":"Milepost","value":"0.0223"},{"id":17,"name":"Train ID","value":"168-09"},{"id":16,"name":"Locomotive ID","value":"4013"},{"id":130,"name":"Impact","value":""},{"id":150,"name":"Time of Event (Mountain Time)","value":"13:36:40"},{"id":151,"name":"Denver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9"/>
        <v>start /low /b %USERPROFILE%\Documents\GitHub\eaglep3\Utilities\DownloadLogsFromS3.py --loco 4013 --day 2018-01-09</v>
      </c>
      <c r="AN81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21"/>
        <v>https://d0f6bd738d7f1b3e5a7ca70fe4ff75f0.us-east-1.aws.found.io/app/kibana#/discover/Steve-Slow-Train-Analysis-(2080s-and-2083s)?_g=(refreshInterval:(display:Off,pause:!f,section:0,value:0),time:(from:'2018-01-09T11:49:15-0700',mode:absolute,to:'2018-01-09T14:36:40-0700'))&amp;_a=(columns:!('Message%20ID',Summary),filters:!(),index:'emp_*',interval:auto,query:(query_string:(analyze_wildcard:!t,query:'%22rtdc.l.rtdc.4013%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827</v>
      </c>
      <c r="B82" s="225">
        <v>4034</v>
      </c>
      <c r="C82" s="227" t="s">
        <v>191</v>
      </c>
      <c r="D82" s="227" t="s">
        <v>970</v>
      </c>
      <c r="E82" s="226">
        <v>43109.505324074074</v>
      </c>
      <c r="F82" s="226">
        <v>43109.510752314818</v>
      </c>
      <c r="G82" s="225">
        <v>67</v>
      </c>
      <c r="H82" s="227" t="s">
        <v>565</v>
      </c>
      <c r="I82" s="226">
        <v>43109.534861111111</v>
      </c>
      <c r="J82" s="225">
        <v>0</v>
      </c>
      <c r="K82" s="237" t="str">
        <f>IF(ISEVEN(B82),(B82-1)&amp;"/"&amp;B82,B82&amp;"/"&amp;(B82+1))</f>
        <v>4033/4034</v>
      </c>
      <c r="L82" s="245" t="str">
        <f>VLOOKUP(A82,'Trips&amp;Operators'!$C$1:$G$99911,5,FALSE)</f>
        <v>MOSES BRADLEY</v>
      </c>
      <c r="M82" s="224">
        <f>I82-F82</f>
        <v>2.4108796293148771E-2</v>
      </c>
      <c r="N82" s="225">
        <f>24*60*SUM($M82:$M82)</f>
        <v>34.71666666213423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-09T11:07:40-0700',mode:absolute,to:'2018-01-09T13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4.3499999999999997E-2</v>
      </c>
      <c r="Z82" s="247">
        <f>RIGHT(H82,LEN(H82)-4)/10000</f>
        <v>23.3245</v>
      </c>
      <c r="AA82" s="247">
        <f>ABS(Z82-Y82)</f>
        <v>23.280999999999999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169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/stypes="app*4034*20180109*" /stext=" 19:.+((SYSTEM_STATE.+slice.+state.+changed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7"/>
        <v>"%USERPROFILE%\Documents\GitHub\eaglep3\Utilities\RefineRTDCRunTimes.py" --tripid 169-09 --locoid 4034 --swversion DE.1.0.9.0 --startMP 204:435 --initTime 2018-01-09T12:07:40 --startdatetime 2018-01-09T12:15:29 --delay 67 --endMP 204:233245 --enddatetime 2018-01-09T12:50:12 --enforcementcount 0 &gt;&gt;%USERPROFILE%\Documents\GitHub\eaglep3-reporting\EC\2018-01-09-refined-times.txt</v>
      </c>
      <c r="AI8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{"issue":{"subject":"","project_id":79,"tracker_id":40,"status_id":1,"priority_id":2,"assigned_to_id":338,"start_date":"2018-01-09","description":"","custom_fields":[{"id":1,"name":"Subdivision","value":"EC"},{"id":4,"name":"Milepost","value":"23.3245"},{"id":17,"name":"Train ID","value":"169-09"},{"id":16,"name":"Locomotive ID","value":"4034"},{"id":130,"name":"Impact","value":""},{"id":150,"name":"Time of Event (Mountain Time)","value":"12:50:12"},{"id":151,"name":"Denver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9"/>
        <v>start /low /b %USERPROFILE%\Documents\GitHub\eaglep3\Utilities\DownloadLogsFromS3.py --loco 4034 --day 2018-01-09</v>
      </c>
      <c r="AN82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21"/>
        <v>https://d0f6bd738d7f1b3e5a7ca70fe4ff75f0.us-east-1.aws.found.io/app/kibana#/discover/Steve-Slow-Train-Analysis-(2080s-and-2083s)?_g=(refreshInterval:(display:Off,pause:!f,section:0,value:0),time:(from:'2018-01-09T11:07:40-0700',mode:absolute,to:'2018-01-09T13:50:12-0700'))&amp;_a=(columns:!('Message%20ID',Summary),filters:!(),index:'emp_*',interval:auto,query:(query_string:(analyze_wildcard:!t,query:'%22rtdc.l.rtdc.4034%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838</v>
      </c>
      <c r="B83" s="225">
        <v>4033</v>
      </c>
      <c r="C83" s="227" t="s">
        <v>191</v>
      </c>
      <c r="D83" s="227" t="s">
        <v>950</v>
      </c>
      <c r="E83" s="226">
        <v>43109.537546296298</v>
      </c>
      <c r="F83" s="226">
        <v>43109.550254629627</v>
      </c>
      <c r="G83" s="225">
        <v>850</v>
      </c>
      <c r="H83" s="227" t="s">
        <v>587</v>
      </c>
      <c r="I83" s="226">
        <v>43109.576967592591</v>
      </c>
      <c r="J83" s="225">
        <v>0</v>
      </c>
      <c r="K83" s="237" t="str">
        <f>IF(ISEVEN(B83),(B83-1)&amp;"/"&amp;B83,B83&amp;"/"&amp;(B83+1))</f>
        <v>4033/4034</v>
      </c>
      <c r="L83" s="245" t="str">
        <f>VLOOKUP(A83,'Trips&amp;Operators'!$C$1:$G$99911,5,FALSE)</f>
        <v>MOSES BRADLEY</v>
      </c>
      <c r="M83" s="224">
        <f>I83-F83</f>
        <v>2.6712962964666076E-2</v>
      </c>
      <c r="N83" s="225">
        <f>24*60*SUM($M83:$M83)</f>
        <v>38.466666669119149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-09T11:54:04-0700',mode:absolute,to:'2018-01-09T14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23.2911</v>
      </c>
      <c r="Z83" s="247">
        <f>RIGHT(H83,LEN(H83)-4)/10000</f>
        <v>1.83E-2</v>
      </c>
      <c r="AA83" s="247">
        <f>ABS(Z83-Y83)</f>
        <v>23.2728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170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/stypes="app*4033*20180109*"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7"/>
        <v>"%USERPROFILE%\Documents\GitHub\eaglep3\Utilities\RefineRTDCRunTimes.py" --tripid 170-09 --locoid 4033 --swversion DE.1.0.9.0 --startMP 204:232911 --initTime 2018-01-09T12:54:04 --startdatetime 2018-01-09T13:12:22 --delay 850 --endMP 204:183 --enddatetime 2018-01-09T13:50:50 --enforcementcount 0 &gt;&gt;%USERPROFILE%\Documents\GitHub\eaglep3-reporting\EC\2018-01-09-refined-times.txt</v>
      </c>
      <c r="AI8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{"issue":{"subject":"","project_id":79,"tracker_id":40,"status_id":1,"priority_id":2,"assigned_to_id":338,"start_date":"2018-01-09","description":"","custom_fields":[{"id":1,"name":"Subdivision","value":"EC"},{"id":4,"name":"Milepost","value":"0.0183"},{"id":17,"name":"Train ID","value":"170-09"},{"id":16,"name":"Locomotive ID","value":"4033"},{"id":130,"name":"Impact","value":""},{"id":150,"name":"Time of Event (Mountain Time)","value":"13:50:50"},{"id":151,"name":"Denver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9"/>
        <v>start /low /b %USERPROFILE%\Documents\GitHub\eaglep3\Utilities\DownloadLogsFromS3.py --loco 4033 --day 2018-01-09</v>
      </c>
      <c r="AN83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21"/>
        <v>https://d0f6bd738d7f1b3e5a7ca70fe4ff75f0.us-east-1.aws.found.io/app/kibana#/discover/Steve-Slow-Train-Analysis-(2080s-and-2083s)?_g=(refreshInterval:(display:Off,pause:!f,section:0,value:0),time:(from:'2018-01-09T11:54:04-0700',mode:absolute,to:'2018-01-09T14:50:50-0700'))&amp;_a=(columns:!('Message%20ID',Summary),filters:!(),index:'emp_*',interval:auto,query:(query_string:(analyze_wildcard:!t,query:'%22rtdc.l.rtdc.4033%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829</v>
      </c>
      <c r="B84" s="225">
        <v>4050</v>
      </c>
      <c r="C84" s="227" t="s">
        <v>191</v>
      </c>
      <c r="D84" s="227" t="s">
        <v>569</v>
      </c>
      <c r="E84" s="226">
        <v>43109.516296296293</v>
      </c>
      <c r="F84" s="226">
        <v>43109.521134259259</v>
      </c>
      <c r="G84" s="225">
        <v>64</v>
      </c>
      <c r="H84" s="227" t="s">
        <v>663</v>
      </c>
      <c r="I84" s="226">
        <v>43109.54583333333</v>
      </c>
      <c r="J84" s="225">
        <v>0</v>
      </c>
      <c r="K84" s="237" t="str">
        <f>IF(ISEVEN(B84),(B84-1)&amp;"/"&amp;B84,B84&amp;"/"&amp;(B84+1))</f>
        <v>4049/4050</v>
      </c>
      <c r="L84" s="245" t="str">
        <f>VLOOKUP(A84,'Trips&amp;Operators'!$C$1:$G$99911,5,FALSE)</f>
        <v>DE LA ROSA ALEX</v>
      </c>
      <c r="M84" s="224">
        <f>I84-F84</f>
        <v>2.4699074070667848E-2</v>
      </c>
      <c r="N84" s="225">
        <f>24*60*SUM($M84:$M84)</f>
        <v>35.566666661761701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-09T11:23:28-0700',mode:absolute,to:'2018-01-09T14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4.4900000000000002E-2</v>
      </c>
      <c r="Z84" s="247">
        <f>RIGHT(H84,LEN(H84)-4)/10000</f>
        <v>23.3278</v>
      </c>
      <c r="AA84" s="247">
        <f>ABS(Z84-Y84)</f>
        <v>23.282900000000001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171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/stypes="app*4050*20180109*"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7"/>
        <v>"%USERPROFILE%\Documents\GitHub\eaglep3\Utilities\RefineRTDCRunTimes.py" --tripid 171-09 --locoid 4050 --swversion DE.1.0.9.0 --startMP 204:449 --initTime 2018-01-09T12:23:28 --startdatetime 2018-01-09T12:30:26 --delay 64 --endMP 204:233278 --enddatetime 2018-01-09T13:06:00 --enforcementcount 0 &gt;&gt;%USERPROFILE%\Documents\GitHub\eaglep3-reporting\EC\2018-01-09-refined-times.txt</v>
      </c>
      <c r="AI8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{"issue":{"subject":"","project_id":79,"tracker_id":40,"status_id":1,"priority_id":2,"assigned_to_id":338,"start_date":"2018-01-09","description":"","custom_fields":[{"id":1,"name":"Subdivision","value":"EC"},{"id":4,"name":"Milepost","value":"23.3278"},{"id":17,"name":"Train ID","value":"171-09"},{"id":16,"name":"Locomotive ID","value":"4050"},{"id":130,"name":"Impact","value":""},{"id":150,"name":"Time of Event (Mountain Time)","value":"13:06:00"},{"id":151,"name":"Denver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9"/>
        <v>start /low /b %USERPROFILE%\Documents\GitHub\eaglep3\Utilities\DownloadLogsFromS3.py --loco 4050 --day 2018-01-09</v>
      </c>
      <c r="AN84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21"/>
        <v>https://d0f6bd738d7f1b3e5a7ca70fe4ff75f0.us-east-1.aws.found.io/app/kibana#/discover/Steve-Slow-Train-Analysis-(2080s-and-2083s)?_g=(refreshInterval:(display:Off,pause:!f,section:0,value:0),time:(from:'2018-01-09T11:23:28-0700',mode:absolute,to:'2018-01-09T14:06:00-0700'))&amp;_a=(columns:!('Message%20ID',Summary),filters:!(),index:'emp_*',interval:auto,query:(query_string:(analyze_wildcard:!t,query:'%22rtdc.l.rtdc.4050%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714</v>
      </c>
      <c r="B85" s="225">
        <v>4049</v>
      </c>
      <c r="C85" s="227" t="s">
        <v>191</v>
      </c>
      <c r="D85" s="227" t="s">
        <v>550</v>
      </c>
      <c r="E85" s="226">
        <v>43109.556793981479</v>
      </c>
      <c r="F85" s="226">
        <v>43109.560567129629</v>
      </c>
      <c r="G85" s="225">
        <v>55</v>
      </c>
      <c r="H85" s="227" t="s">
        <v>637</v>
      </c>
      <c r="I85" s="226">
        <v>43109.588414351849</v>
      </c>
      <c r="J85" s="225">
        <v>0</v>
      </c>
      <c r="K85" s="237" t="str">
        <f>IF(ISEVEN(B85),(B85-1)&amp;"/"&amp;B85,B85&amp;"/"&amp;(B85+1))</f>
        <v>4049/4050</v>
      </c>
      <c r="L85" s="245" t="str">
        <f>VLOOKUP(A85,'Trips&amp;Operators'!$C$1:$G$99911,5,FALSE)</f>
        <v>DE LA ROSA ALEX</v>
      </c>
      <c r="M85" s="224">
        <f>I85-F85</f>
        <v>2.7847222219861578E-2</v>
      </c>
      <c r="N85" s="225">
        <f>24*60*SUM($M85:$M85)</f>
        <v>40.099999996600673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-09T12:21:47-0700',mode:absolute,to:'2018-01-09T15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23.295300000000001</v>
      </c>
      <c r="Z85" s="247">
        <f>RIGHT(H85,LEN(H85)-4)/10000</f>
        <v>2.3800000000000002E-2</v>
      </c>
      <c r="AA85" s="247">
        <f>ABS(Z85-Y85)</f>
        <v>23.2715</v>
      </c>
      <c r="AB85" s="233" t="str">
        <f>VLOOKUP(A85,Enforcements!$C$7:$K$9,8,0)</f>
        <v>Bulletin (2)</v>
      </c>
      <c r="AC85" s="232" t="str">
        <f>VLOOKUP(A85,Enforcements!$C$7:$E$9,3,0)</f>
        <v>GRADE CROSSING</v>
      </c>
      <c r="AD85" s="243">
        <f>VALUE(LEFT(A85,LEN(A85)-3))</f>
        <v>172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/stypes="app*4049*20180109*" /stext=" 21:.+((SYSTEM_STATE.+slice.+state.+changed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7"/>
        <v>"%USERPROFILE%\Documents\GitHub\eaglep3\Utilities\RefineRTDCRunTimes.py" --tripid 172-09 --locoid 4049 --swversion DE.1.0.9.0 --startMP 204:232953 --initTime 2018-01-09T13:21:47 --startdatetime 2018-01-09T13:27:13 --delay 55 --endMP 204:238 --enddatetime 2018-01-09T14:07:19 --enforcementcount 0 &gt;&gt;%USERPROFILE%\Documents\GitHub\eaglep3-reporting\EC\2018-01-09-refined-times.txt</v>
      </c>
      <c r="AI8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{"issue":{"subject":"","project_id":79,"tracker_id":40,"status_id":1,"priority_id":2,"assigned_to_id":338,"start_date":"2018-01-09","description":"","custom_fields":[{"id":1,"name":"Subdivision","value":"EC"},{"id":4,"name":"Milepost","value":"0.0238"},{"id":17,"name":"Train ID","value":"172-09"},{"id":16,"name":"Locomotive ID","value":"4049"},{"id":130,"name":"Impact","value":""},{"id":150,"name":"Time of Event (Mountain Time)","value":"14:07:19"},{"id":151,"name":"Denver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9"/>
        <v>start /low /b %USERPROFILE%\Documents\GitHub\eaglep3\Utilities\DownloadLogsFromS3.py --loco 4049 --day 2018-01-09</v>
      </c>
      <c r="AN85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21"/>
        <v>https://d0f6bd738d7f1b3e5a7ca70fe4ff75f0.us-east-1.aws.found.io/app/kibana#/discover/Steve-Slow-Train-Analysis-(2080s-and-2083s)?_g=(refreshInterval:(display:Off,pause:!f,section:0,value:0),time:(from:'2018-01-09T12:21:47-0700',mode:absolute,to:'2018-01-09T15:07:19-0700'))&amp;_a=(columns:!('Message%20ID',Summary),filters:!(),index:'emp_*',interval:auto,query:(query_string:(analyze_wildcard:!t,query:'%22rtdc.l.rtdc.4049%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831</v>
      </c>
      <c r="B86" s="225">
        <v>4016</v>
      </c>
      <c r="C86" s="227" t="s">
        <v>191</v>
      </c>
      <c r="D86" s="227" t="s">
        <v>971</v>
      </c>
      <c r="E86" s="226">
        <v>43109.527719907404</v>
      </c>
      <c r="F86" s="226">
        <v>43109.531597222223</v>
      </c>
      <c r="G86" s="225">
        <v>62</v>
      </c>
      <c r="H86" s="227" t="s">
        <v>972</v>
      </c>
      <c r="I86" s="226">
        <v>43109.555995370371</v>
      </c>
      <c r="J86" s="225">
        <v>0</v>
      </c>
      <c r="K86" s="237" t="str">
        <f>IF(ISEVEN(B86),(B86-1)&amp;"/"&amp;B86,B86&amp;"/"&amp;(B86+1))</f>
        <v>4015/4016</v>
      </c>
      <c r="L86" s="245" t="str">
        <f>VLOOKUP(A86,'Trips&amp;Operators'!$C$1:$G$99911,5,FALSE)</f>
        <v>SMITH MICHAEL</v>
      </c>
      <c r="M86" s="224">
        <f>I86-F86</f>
        <v>2.4398148147156462E-2</v>
      </c>
      <c r="N86" s="225">
        <f>24*60*SUM($M86:$M86)</f>
        <v>35.133333331905305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-09T11:39:55-0700',mode:absolute,to:'2018-01-09T14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5.4199999999999998E-2</v>
      </c>
      <c r="Z86" s="247">
        <f>RIGHT(H86,LEN(H86)-4)/10000</f>
        <v>23.330300000000001</v>
      </c>
      <c r="AA86" s="247">
        <f>ABS(Z86-Y86)</f>
        <v>23.2761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173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/stypes="app*4016*20180109*" /stext=" 20:.+((SYSTEM_STATE.+slice.+state.+changed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7"/>
        <v>"%USERPROFILE%\Documents\GitHub\eaglep3\Utilities\RefineRTDCRunTimes.py" --tripid 173-09 --locoid 4016 --swversion DE.1.0.9.0 --startMP 204:542 --initTime 2018-01-09T12:39:55 --startdatetime 2018-01-09T12:45:30 --delay 62 --endMP 204:233303 --enddatetime 2018-01-09T13:20:38 --enforcementcount 0 &gt;&gt;%USERPROFILE%\Documents\GitHub\eaglep3-reporting\EC\2018-01-09-refined-times.txt</v>
      </c>
      <c r="AI86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{"issue":{"subject":"","project_id":79,"tracker_id":40,"status_id":1,"priority_id":2,"assigned_to_id":338,"start_date":"2018-01-09","description":"","custom_fields":[{"id":1,"name":"Subdivision","value":"EC"},{"id":4,"name":"Milepost","value":"23.3303"},{"id":17,"name":"Train ID","value":"173-09"},{"id":16,"name":"Locomotive ID","value":"4016"},{"id":130,"name":"Impact","value":""},{"id":150,"name":"Time of Event (Mountain Time)","value":"13:20:38"},{"id":151,"name":"Denver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9"/>
        <v>start /low /b %USERPROFILE%\Documents\GitHub\eaglep3\Utilities\DownloadLogsFromS3.py --loco 4016 --day 2018-01-09</v>
      </c>
      <c r="AN86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21"/>
        <v>https://d0f6bd738d7f1b3e5a7ca70fe4ff75f0.us-east-1.aws.found.io/app/kibana#/discover/Steve-Slow-Train-Analysis-(2080s-and-2083s)?_g=(refreshInterval:(display:Off,pause:!f,section:0,value:0),time:(from:'2018-01-09T11:39:55-0700',mode:absolute,to:'2018-01-09T14:20:38-0700'))&amp;_a=(columns:!('Message%20ID',Summary),filters:!(),index:'emp_*',interval:auto,query:(query_string:(analyze_wildcard:!t,query:'%22rtdc.l.rtdc.4016%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842</v>
      </c>
      <c r="B87" s="225">
        <v>4015</v>
      </c>
      <c r="C87" s="227" t="s">
        <v>191</v>
      </c>
      <c r="D87" s="227" t="s">
        <v>538</v>
      </c>
      <c r="E87" s="226">
        <v>43109.566562499997</v>
      </c>
      <c r="F87" s="226">
        <v>43109.571631944447</v>
      </c>
      <c r="G87" s="225">
        <v>81</v>
      </c>
      <c r="H87" s="227" t="s">
        <v>973</v>
      </c>
      <c r="I87" s="226">
        <v>43109.602893518517</v>
      </c>
      <c r="J87" s="225">
        <v>0</v>
      </c>
      <c r="K87" s="237" t="str">
        <f>IF(ISEVEN(B87),(B87-1)&amp;"/"&amp;B87,B87&amp;"/"&amp;(B87+1))</f>
        <v>4015/4016</v>
      </c>
      <c r="L87" s="245" t="str">
        <f>VLOOKUP(A87,'Trips&amp;Operators'!$C$1:$G$99911,5,FALSE)</f>
        <v>SMITH MICHAEL</v>
      </c>
      <c r="M87" s="224">
        <f>I87-F87</f>
        <v>3.1261574069503695E-2</v>
      </c>
      <c r="N87" s="225">
        <f>24*60*SUM($M87:$M87)</f>
        <v>45.01666666008532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-09T12:35:51-0700',mode:absolute,to:'2018-01-09T15:28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23.296500000000002</v>
      </c>
      <c r="Z87" s="247">
        <f>RIGHT(H87,LEN(H87)-4)/10000</f>
        <v>2.58E-2</v>
      </c>
      <c r="AA87" s="247">
        <f>ABS(Z87-Y87)</f>
        <v>23.270700000000001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174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/stypes="app*4015*20180109*" /stext=" 21:.+((SYSTEM_STATE.+slice.+state.+changed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7"/>
        <v>"%USERPROFILE%\Documents\GitHub\eaglep3\Utilities\RefineRTDCRunTimes.py" --tripid 174-09 --locoid 4015 --swversion DE.1.0.9.0 --startMP 204:232965 --initTime 2018-01-09T13:35:51 --startdatetime 2018-01-09T13:43:09 --delay 81 --endMP 204:258 --enddatetime 2018-01-09T14:28:10 --enforcementcount 0 &gt;&gt;%USERPROFILE%\Documents\GitHub\eaglep3-reporting\EC\2018-01-09-refined-times.txt</v>
      </c>
      <c r="AI87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{"issue":{"subject":"","project_id":79,"tracker_id":40,"status_id":1,"priority_id":2,"assigned_to_id":338,"start_date":"2018-01-09","description":"","custom_fields":[{"id":1,"name":"Subdivision","value":"EC"},{"id":4,"name":"Milepost","value":"0.0258"},{"id":17,"name":"Train ID","value":"174-09"},{"id":16,"name":"Locomotive ID","value":"4015"},{"id":130,"name":"Impact","value":""},{"id":150,"name":"Time of Event (Mountain Time)","value":"14:28:10"},{"id":151,"name":"Denver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9"/>
        <v>start /low /b %USERPROFILE%\Documents\GitHub\eaglep3\Utilities\DownloadLogsFromS3.py --loco 4015 --day 2018-01-09</v>
      </c>
      <c r="AN87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21:28:10"},{"id":29,"name":"Sharepoint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21"/>
        <v>https://d0f6bd738d7f1b3e5a7ca70fe4ff75f0.us-east-1.aws.found.io/app/kibana#/discover/Steve-Slow-Train-Analysis-(2080s-and-2083s)?_g=(refreshInterval:(display:Off,pause:!f,section:0,value:0),time:(from:'2018-01-09T12:35:51-0700',mode:absolute,to:'2018-01-09T15:28:10-0700'))&amp;_a=(columns:!('Message%20ID',Summary),filters:!(),index:'emp_*',interval:auto,query:(query_string:(analyze_wildcard:!t,query:'%22rtdc.l.rtdc.4015%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834</v>
      </c>
      <c r="B88" s="225">
        <v>4056</v>
      </c>
      <c r="C88" s="227" t="s">
        <v>191</v>
      </c>
      <c r="D88" s="227" t="s">
        <v>649</v>
      </c>
      <c r="E88" s="226">
        <v>43109.538483796299</v>
      </c>
      <c r="F88" s="226">
        <v>43109.542013888888</v>
      </c>
      <c r="G88" s="225">
        <v>119</v>
      </c>
      <c r="H88" s="227" t="s">
        <v>974</v>
      </c>
      <c r="I88" s="226">
        <v>43109.56653935185</v>
      </c>
      <c r="J88" s="225">
        <v>0</v>
      </c>
      <c r="K88" s="237" t="str">
        <f>IF(ISEVEN(B88),(B88-1)&amp;"/"&amp;B88,B88&amp;"/"&amp;(B88+1))</f>
        <v>4055/4056</v>
      </c>
      <c r="L88" s="245" t="str">
        <f>VLOOKUP(A88,'Trips&amp;Operators'!$C$1:$G$99911,5,FALSE)</f>
        <v>BRUDER RICHARD</v>
      </c>
      <c r="M88" s="224">
        <f>I88-F88</f>
        <v>2.4525462962628808E-2</v>
      </c>
      <c r="N88" s="225">
        <f>24*60*SUM($M88:$M88)</f>
        <v>35.316666666185483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-09T11:55:25-0700',mode:absolute,to:'2018-01-09T14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4.6699999999999998E-2</v>
      </c>
      <c r="Z88" s="247">
        <f>RIGHT(H88,LEN(H88)-4)/10000</f>
        <v>23.3215</v>
      </c>
      <c r="AA88" s="247">
        <f>ABS(Z88-Y88)</f>
        <v>23.274799999999999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175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/stypes="app*4056*20180109*" /stext=" 20:.+((SYSTEM_STATE.+slice.+state.+changed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7"/>
        <v>"%USERPROFILE%\Documents\GitHub\eaglep3\Utilities\RefineRTDCRunTimes.py" --tripid 175-09 --locoid 4056 --swversion DE.1.0.9.0 --startMP 204:467 --initTime 2018-01-09T12:55:25 --startdatetime 2018-01-09T13:00:30 --delay 119 --endMP 204:233215 --enddatetime 2018-01-09T13:35:49 --enforcementcount 0 &gt;&gt;%USERPROFILE%\Documents\GitHub\eaglep3-reporting\EC\2018-01-09-refined-times.txt</v>
      </c>
      <c r="AI88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{"issue":{"subject":"","project_id":79,"tracker_id":40,"status_id":1,"priority_id":2,"assigned_to_id":338,"start_date":"2018-01-09","description":"","custom_fields":[{"id":1,"name":"Subdivision","value":"EC"},{"id":4,"name":"Milepost","value":"23.3215"},{"id":17,"name":"Train ID","value":"175-09"},{"id":16,"name":"Locomotive ID","value":"4056"},{"id":130,"name":"Impact","value":""},{"id":150,"name":"Time of Event (Mountain Time)","value":"13:35:49"},{"id":151,"name":"Denver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9"/>
        <v>start /low /b %USERPROFILE%\Documents\GitHub\eaglep3\Utilities\DownloadLogsFromS3.py --loco 4056 --day 2018-01-09</v>
      </c>
      <c r="AN88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21"/>
        <v>https://d0f6bd738d7f1b3e5a7ca70fe4ff75f0.us-east-1.aws.found.io/app/kibana#/discover/Steve-Slow-Train-Analysis-(2080s-and-2083s)?_g=(refreshInterval:(display:Off,pause:!f,section:0,value:0),time:(from:'2018-01-09T11:55:25-0700',mode:absolute,to:'2018-01-09T14:35:49-0700'))&amp;_a=(columns:!('Message%20ID',Summary),filters:!(),index:'emp_*',interval:auto,query:(query_string:(analyze_wildcard:!t,query:'%22rtdc.l.rtdc.4056%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846</v>
      </c>
      <c r="B89" s="225">
        <v>4055</v>
      </c>
      <c r="C89" s="227" t="s">
        <v>191</v>
      </c>
      <c r="D89" s="227" t="s">
        <v>975</v>
      </c>
      <c r="E89" s="226">
        <v>43109.576701388891</v>
      </c>
      <c r="F89" s="226">
        <v>43109.617442129631</v>
      </c>
      <c r="G89" s="225">
        <v>98</v>
      </c>
      <c r="H89" s="227" t="s">
        <v>654</v>
      </c>
      <c r="I89" s="226">
        <v>43109.647604166668</v>
      </c>
      <c r="J89" s="225">
        <v>0</v>
      </c>
      <c r="K89" s="237" t="str">
        <f>IF(ISEVEN(B89),(B89-1)&amp;"/"&amp;B89,B89&amp;"/"&amp;(B89+1))</f>
        <v>4055/4056</v>
      </c>
      <c r="L89" s="245" t="str">
        <f>VLOOKUP(A89,'Trips&amp;Operators'!$C$1:$G$99911,5,FALSE)</f>
        <v>BRUDER RICHARD</v>
      </c>
      <c r="M89" s="224">
        <f>I89-F89</f>
        <v>3.0162037037371192E-2</v>
      </c>
      <c r="N89" s="225">
        <f>24*60*SUM($M89:$M89)</f>
        <v>43.433333333814517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-09T12:50:27-0700',mode:absolute,to:'2018-01-09T16:32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23.289400000000001</v>
      </c>
      <c r="Z89" s="247">
        <f>RIGHT(H89,LEN(H89)-4)/10000</f>
        <v>2.29E-2</v>
      </c>
      <c r="AA89" s="247">
        <f>ABS(Z89-Y89)</f>
        <v>23.266500000000001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176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/stypes="app*4055*20180109*" /stext=" 22:.+((SYSTEM_STATE.+slice.+state.+changed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7"/>
        <v>"%USERPROFILE%\Documents\GitHub\eaglep3\Utilities\RefineRTDCRunTimes.py" --tripid 176-09 --locoid 4055 --swversion DE.1.0.9.0 --startMP 204:232894 --initTime 2018-01-09T13:50:27 --startdatetime 2018-01-09T14:49:07 --delay 98 --endMP 204:229 --enddatetime 2018-01-09T15:32:33 --enforcementcount 0 &gt;&gt;%USERPROFILE%\Documents\GitHub\eaglep3-reporting\EC\2018-01-09-refined-times.txt</v>
      </c>
      <c r="AI89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{"issue":{"subject":"","project_id":79,"tracker_id":40,"status_id":1,"priority_id":2,"assigned_to_id":338,"start_date":"2018-01-09","description":"","custom_fields":[{"id":1,"name":"Subdivision","value":"EC"},{"id":4,"name":"Milepost","value":"0.0229"},{"id":17,"name":"Train ID","value":"176-09"},{"id":16,"name":"Locomotive ID","value":"4055"},{"id":130,"name":"Impact","value":""},{"id":150,"name":"Time of Event (Mountain Time)","value":"15:32:33"},{"id":151,"name":"Denver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9"/>
        <v>start /low /b %USERPROFILE%\Documents\GitHub\eaglep3\Utilities\DownloadLogsFromS3.py --loco 4055 --day 2018-01-09</v>
      </c>
      <c r="AN89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21"/>
        <v>https://d0f6bd738d7f1b3e5a7ca70fe4ff75f0.us-east-1.aws.found.io/app/kibana#/discover/Steve-Slow-Train-Analysis-(2080s-and-2083s)?_g=(refreshInterval:(display:Off,pause:!f,section:0,value:0),time:(from:'2018-01-09T12:50:27-0700',mode:absolute,to:'2018-01-09T16:32:33-0700'))&amp;_a=(columns:!('Message%20ID',Summary),filters:!(),index:'emp_*',interval:auto,query:(query_string:(analyze_wildcard:!t,query:'%22rtdc.l.rtdc.4055%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839</v>
      </c>
      <c r="B90" s="225">
        <v>4064</v>
      </c>
      <c r="C90" s="227" t="s">
        <v>191</v>
      </c>
      <c r="D90" s="227" t="s">
        <v>548</v>
      </c>
      <c r="E90" s="226">
        <v>43109.548217592594</v>
      </c>
      <c r="F90" s="226">
        <v>43109.552511574075</v>
      </c>
      <c r="G90" s="225">
        <v>239</v>
      </c>
      <c r="H90" s="227" t="s">
        <v>976</v>
      </c>
      <c r="I90" s="226">
        <v>43109.577013888891</v>
      </c>
      <c r="J90" s="225">
        <v>0</v>
      </c>
      <c r="K90" s="237" t="str">
        <f>IF(ISEVEN(B90),(B90-1)&amp;"/"&amp;B90,B90&amp;"/"&amp;(B90+1))</f>
        <v>4063/4064</v>
      </c>
      <c r="L90" s="245" t="str">
        <f>VLOOKUP(A90,'Trips&amp;Operators'!$C$1:$G$99911,5,FALSE)</f>
        <v>KILLION DAVID</v>
      </c>
      <c r="M90" s="224">
        <f>I90-F90</f>
        <v>2.4502314816345461E-2</v>
      </c>
      <c r="N90" s="225">
        <f>24*60*SUM($M90:$M90)</f>
        <v>35.283333335537463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-09T12:09:26-0700',mode:absolute,to:'2018-01-09T14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4.7800000000000002E-2</v>
      </c>
      <c r="Z90" s="247">
        <f>RIGHT(H90,LEN(H90)-4)/10000</f>
        <v>23.3218</v>
      </c>
      <c r="AA90" s="247">
        <f>ABS(Z90-Y90)</f>
        <v>23.274000000000001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177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/stypes="app*4064*20180109*" /stext=" 20:.+((SYSTEM_STATE.+slice.+state.+changed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7"/>
        <v>"%USERPROFILE%\Documents\GitHub\eaglep3\Utilities\RefineRTDCRunTimes.py" --tripid 177-09 --locoid 4064 --swversion DE.1.0.9.0 --startMP 204:478 --initTime 2018-01-09T13:09:26 --startdatetime 2018-01-09T13:15:37 --delay 239 --endMP 204:233218 --enddatetime 2018-01-09T13:50:54 --enforcementcount 0 &gt;&gt;%USERPROFILE%\Documents\GitHub\eaglep3-reporting\EC\2018-01-09-refined-times.txt</v>
      </c>
      <c r="AI90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{"issue":{"subject":"","project_id":79,"tracker_id":40,"status_id":1,"priority_id":2,"assigned_to_id":338,"start_date":"2018-01-09","description":"","custom_fields":[{"id":1,"name":"Subdivision","value":"EC"},{"id":4,"name":"Milepost","value":"23.3218"},{"id":17,"name":"Train ID","value":"177-09"},{"id":16,"name":"Locomotive ID","value":"4064"},{"id":130,"name":"Impact","value":""},{"id":150,"name":"Time of Event (Mountain Time)","value":"13:50:54"},{"id":151,"name":"Denver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9"/>
        <v>start /low /b %USERPROFILE%\Documents\GitHub\eaglep3\Utilities\DownloadLogsFromS3.py --loco 4064 --day 2018-01-09</v>
      </c>
      <c r="AN90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21"/>
        <v>https://d0f6bd738d7f1b3e5a7ca70fe4ff75f0.us-east-1.aws.found.io/app/kibana#/discover/Steve-Slow-Train-Analysis-(2080s-and-2083s)?_g=(refreshInterval:(display:Off,pause:!f,section:0,value:0),time:(from:'2018-01-09T12:09:26-0700',mode:absolute,to:'2018-01-09T14:50:54-0700'))&amp;_a=(columns:!('Message%20ID',Summary),filters:!(),index:'emp_*',interval:auto,query:(query_string:(analyze_wildcard:!t,query:'%22rtdc.l.rtdc.4064%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849</v>
      </c>
      <c r="B91" s="225">
        <v>4063</v>
      </c>
      <c r="C91" s="227" t="s">
        <v>191</v>
      </c>
      <c r="D91" s="227" t="s">
        <v>966</v>
      </c>
      <c r="E91" s="226">
        <v>43109.584953703707</v>
      </c>
      <c r="F91" s="226">
        <v>43109.591840277775</v>
      </c>
      <c r="G91" s="225">
        <v>91</v>
      </c>
      <c r="H91" s="227" t="s">
        <v>648</v>
      </c>
      <c r="I91" s="226">
        <v>43109.620034722226</v>
      </c>
      <c r="J91" s="225">
        <v>0</v>
      </c>
      <c r="K91" s="237" t="str">
        <f>IF(ISEVEN(B91),(B91-1)&amp;"/"&amp;B91,B91&amp;"/"&amp;(B91+1))</f>
        <v>4063/4064</v>
      </c>
      <c r="L91" s="245" t="str">
        <f>VLOOKUP(A91,'Trips&amp;Operators'!$C$1:$G$99911,5,FALSE)</f>
        <v>KILLION DAVID</v>
      </c>
      <c r="M91" s="224">
        <f>I91-F91</f>
        <v>2.8194444450491574E-2</v>
      </c>
      <c r="N91" s="225">
        <f>24*60*SUM($M91:$M91)</f>
        <v>40.600000008707866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-09T13:02:20-0700',mode:absolute,to:'2018-01-09T15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23.2898</v>
      </c>
      <c r="Z91" s="247">
        <f>RIGHT(H91,LEN(H91)-4)/10000</f>
        <v>1.89E-2</v>
      </c>
      <c r="AA91" s="247">
        <f>ABS(Z91-Y91)</f>
        <v>23.270900000000001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178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/stypes="app*4063*20180109*"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7"/>
        <v>"%USERPROFILE%\Documents\GitHub\eaglep3\Utilities\RefineRTDCRunTimes.py" --tripid 178-09 --locoid 4063 --swversion DE.1.0.9.0 --startMP 204:232898 --initTime 2018-01-09T14:02:20 --startdatetime 2018-01-09T14:12:15 --delay 91 --endMP 204:189 --enddatetime 2018-01-09T14:52:51 --enforcementcount 0 &gt;&gt;%USERPROFILE%\Documents\GitHub\eaglep3-reporting\EC\2018-01-09-refined-times.txt</v>
      </c>
      <c r="AI91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{"issue":{"subject":"","project_id":79,"tracker_id":40,"status_id":1,"priority_id":2,"assigned_to_id":338,"start_date":"2018-01-09","description":"","custom_fields":[{"id":1,"name":"Subdivision","value":"EC"},{"id":4,"name":"Milepost","value":"0.0189"},{"id":17,"name":"Train ID","value":"178-09"},{"id":16,"name":"Locomotive ID","value":"4063"},{"id":130,"name":"Impact","value":""},{"id":150,"name":"Time of Event (Mountain Time)","value":"14:52:51"},{"id":151,"name":"Denver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9"/>
        <v>start /low /b %USERPROFILE%\Documents\GitHub\eaglep3\Utilities\DownloadLogsFromS3.py --loco 4063 --day 2018-01-09</v>
      </c>
      <c r="AN91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21"/>
        <v>https://d0f6bd738d7f1b3e5a7ca70fe4ff75f0.us-east-1.aws.found.io/app/kibana#/discover/Steve-Slow-Train-Analysis-(2080s-and-2083s)?_g=(refreshInterval:(display:Off,pause:!f,section:0,value:0),time:(from:'2018-01-09T13:02:20-0700',mode:absolute,to:'2018-01-09T15:52:51-0700'))&amp;_a=(columns:!('Message%20ID',Summary),filters:!(),index:'emp_*',interval:auto,query:(query_string:(analyze_wildcard:!t,query:'%22rtdc.l.rtdc.4063%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840</v>
      </c>
      <c r="B92" s="225">
        <v>4046</v>
      </c>
      <c r="C92" s="227" t="s">
        <v>191</v>
      </c>
      <c r="D92" s="227" t="s">
        <v>597</v>
      </c>
      <c r="E92" s="226">
        <v>43109.557303240741</v>
      </c>
      <c r="F92" s="226">
        <v>43109.562696759262</v>
      </c>
      <c r="G92" s="225">
        <v>70</v>
      </c>
      <c r="H92" s="227" t="s">
        <v>523</v>
      </c>
      <c r="I92" s="226">
        <v>43109.596145833333</v>
      </c>
      <c r="J92" s="225">
        <v>0</v>
      </c>
      <c r="K92" s="237" t="str">
        <f>IF(ISEVEN(B92),(B92-1)&amp;"/"&amp;B92,B92&amp;"/"&amp;(B92+1))</f>
        <v>4045/4046</v>
      </c>
      <c r="L92" s="245" t="str">
        <f>VLOOKUP(A92,'Trips&amp;Operators'!$C$1:$G$99911,5,FALSE)</f>
        <v>LEVIN SCOTT</v>
      </c>
      <c r="M92" s="224">
        <f>I92-F92</f>
        <v>3.3449074071540963E-2</v>
      </c>
      <c r="N92" s="225">
        <f>24*60*SUM($M92:$M92)</f>
        <v>48.166666663018987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-09T12:22:31-0700',mode:absolute,to:'2018-01-09T15:18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4.53E-2</v>
      </c>
      <c r="Z92" s="247">
        <f>RIGHT(H92,LEN(H92)-4)/10000</f>
        <v>23.331700000000001</v>
      </c>
      <c r="AA92" s="247">
        <f>ABS(Z92-Y92)</f>
        <v>23.2864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179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/stypes="app*4046*20180109*"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7"/>
        <v>"%USERPROFILE%\Documents\GitHub\eaglep3\Utilities\RefineRTDCRunTimes.py" --tripid 179-09 --locoid 4046 --swversion DE.1.0.9.0 --startMP 204:453 --initTime 2018-01-09T13:22:31 --startdatetime 2018-01-09T13:30:17 --delay 70 --endMP 204:233317 --enddatetime 2018-01-09T14:18:27 --enforcementcount 0 &gt;&gt;%USERPROFILE%\Documents\GitHub\eaglep3-reporting\EC\2018-01-09-refined-times.txt</v>
      </c>
      <c r="AI9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{"issue":{"subject":"","project_id":79,"tracker_id":40,"status_id":1,"priority_id":2,"assigned_to_id":338,"start_date":"2018-01-09","description":"","custom_fields":[{"id":1,"name":"Subdivision","value":"EC"},{"id":4,"name":"Milepost","value":"23.3317"},{"id":17,"name":"Train ID","value":"179-09"},{"id":16,"name":"Locomotive ID","value":"4046"},{"id":130,"name":"Impact","value":""},{"id":150,"name":"Time of Event (Mountain Time)","value":"14:18:27"},{"id":151,"name":"Denver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9"/>
        <v>start /low /b %USERPROFILE%\Documents\GitHub\eaglep3\Utilities\DownloadLogsFromS3.py --loco 4046 --day 2018-01-09</v>
      </c>
      <c r="AN92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21"/>
        <v>https://d0f6bd738d7f1b3e5a7ca70fe4ff75f0.us-east-1.aws.found.io/app/kibana#/discover/Steve-Slow-Train-Analysis-(2080s-and-2083s)?_g=(refreshInterval:(display:Off,pause:!f,section:0,value:0),time:(from:'2018-01-09T12:22:31-0700',mode:absolute,to:'2018-01-09T15:18:27-0700'))&amp;_a=(columns:!('Message%20ID',Summary),filters:!(),index:'emp_*',interval:auto,query:(query_string:(analyze_wildcard:!t,query:'%22rtdc.l.rtdc.4046%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716</v>
      </c>
      <c r="B93" s="225">
        <v>4045</v>
      </c>
      <c r="C93" s="227" t="s">
        <v>191</v>
      </c>
      <c r="D93" s="227" t="s">
        <v>977</v>
      </c>
      <c r="E93" s="226">
        <v>43109.598252314812</v>
      </c>
      <c r="F93" s="226">
        <v>43109.603344907409</v>
      </c>
      <c r="G93" s="225">
        <v>82</v>
      </c>
      <c r="H93" s="227" t="s">
        <v>978</v>
      </c>
      <c r="I93" s="226">
        <v>43109.633368055554</v>
      </c>
      <c r="J93" s="225">
        <v>0</v>
      </c>
      <c r="K93" s="237" t="str">
        <f>IF(ISEVEN(B93),(B93-1)&amp;"/"&amp;B93,B93&amp;"/"&amp;(B93+1))</f>
        <v>4045/4046</v>
      </c>
      <c r="L93" s="245" t="str">
        <f>VLOOKUP(A93,'Trips&amp;Operators'!$C$1:$G$99911,5,FALSE)</f>
        <v>LEVIN SCOTT</v>
      </c>
      <c r="M93" s="224">
        <f>I93-F93</f>
        <v>3.0023148145119194E-2</v>
      </c>
      <c r="N93" s="225">
        <f>24*60*SUM($M93:$M93)</f>
        <v>43.233333328971639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-09T13:21:29-0700',mode:absolute,to:'2018-01-09T16:12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23.3019</v>
      </c>
      <c r="Z93" s="247">
        <f>RIGHT(H93,LEN(H93)-4)/10000</f>
        <v>2.8899999999999999E-2</v>
      </c>
      <c r="AA93" s="247">
        <f>ABS(Z93-Y93)</f>
        <v>23.273</v>
      </c>
      <c r="AB93" s="233" t="str">
        <f>VLOOKUP(A93,Enforcements!$C$7:$K$9,8,0)</f>
        <v>Bulletin (2)</v>
      </c>
      <c r="AC93" s="232" t="str">
        <f>VLOOKUP(A93,Enforcements!$C$7:$E$9,3,0)</f>
        <v>GRADE CROSSING</v>
      </c>
      <c r="AD93" s="243">
        <f>VALUE(LEFT(A93,LEN(A93)-3))</f>
        <v>180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/stypes="app*4045*20180109*" /stext=" 22:.+((SYSTEM_STATE.+slice.+state.+changed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7"/>
        <v>"%USERPROFILE%\Documents\GitHub\eaglep3\Utilities\RefineRTDCRunTimes.py" --tripid 180-09 --locoid 4045 --swversion DE.1.0.9.0 --startMP 204:233019 --initTime 2018-01-09T14:21:29 --startdatetime 2018-01-09T14:28:49 --delay 82 --endMP 204:289 --enddatetime 2018-01-09T15:12:03 --enforcementcount 0 &gt;&gt;%USERPROFILE%\Documents\GitHub\eaglep3-reporting\EC\2018-01-09-refined-times.txt</v>
      </c>
      <c r="AI9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{"issue":{"subject":"","project_id":79,"tracker_id":40,"status_id":1,"priority_id":2,"assigned_to_id":338,"start_date":"2018-01-09","description":"","custom_fields":[{"id":1,"name":"Subdivision","value":"EC"},{"id":4,"name":"Milepost","value":"0.0289"},{"id":17,"name":"Train ID","value":"180-09"},{"id":16,"name":"Locomotive ID","value":"4045"},{"id":130,"name":"Impact","value":""},{"id":150,"name":"Time of Event (Mountain Time)","value":"15:12:03"},{"id":151,"name":"Denver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9"/>
        <v>start /low /b %USERPROFILE%\Documents\GitHub\eaglep3\Utilities\DownloadLogsFromS3.py --loco 4045 --day 2018-01-09</v>
      </c>
      <c r="AN93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22:12:03"},{"id":29,"name":"Sharepoint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21"/>
        <v>https://d0f6bd738d7f1b3e5a7ca70fe4ff75f0.us-east-1.aws.found.io/app/kibana#/discover/Steve-Slow-Train-Analysis-(2080s-and-2083s)?_g=(refreshInterval:(display:Off,pause:!f,section:0,value:0),time:(from:'2018-01-09T13:21:29-0700',mode:absolute,to:'2018-01-09T16:12:03-0700'))&amp;_a=(columns:!('Message%20ID',Summary),filters:!(),index:'emp_*',interval:auto,query:(query_string:(analyze_wildcard:!t,query:'%22rtdc.l.rtdc.4045%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845</v>
      </c>
      <c r="B94" s="225">
        <v>4014</v>
      </c>
      <c r="C94" s="227" t="s">
        <v>191</v>
      </c>
      <c r="D94" s="227" t="s">
        <v>589</v>
      </c>
      <c r="E94" s="226">
        <v>43109.568680555552</v>
      </c>
      <c r="F94" s="226">
        <v>43109.573217592595</v>
      </c>
      <c r="G94" s="225">
        <v>79</v>
      </c>
      <c r="H94" s="227" t="s">
        <v>641</v>
      </c>
      <c r="I94" s="226">
        <v>43109.605312500003</v>
      </c>
      <c r="J94" s="225">
        <v>0</v>
      </c>
      <c r="K94" s="237" t="str">
        <f>IF(ISEVEN(B94),(B94-1)&amp;"/"&amp;B94,B94&amp;"/"&amp;(B94+1))</f>
        <v>4013/4014</v>
      </c>
      <c r="L94" s="245" t="str">
        <f>VLOOKUP(A94,'Trips&amp;Operators'!$C$1:$G$99911,5,FALSE)</f>
        <v>LONG FULLER</v>
      </c>
      <c r="M94" s="224">
        <f>I94-F94</f>
        <v>3.2094907408463769E-2</v>
      </c>
      <c r="N94" s="225">
        <f>24*60*SUM($M94:$M94)</f>
        <v>46.216666668187827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-09T12:38:54-0700',mode:absolute,to:'2018-01-09T15:31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5.3699999999999998E-2</v>
      </c>
      <c r="Z94" s="247">
        <f>RIGHT(H94,LEN(H94)-4)/10000</f>
        <v>23.3261</v>
      </c>
      <c r="AA94" s="247">
        <f>ABS(Z94-Y94)</f>
        <v>23.272400000000001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181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/stypes="app*4014*20180109*" /stext=" 21:.+((SYSTEM_STATE.+slice.+state.+changed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7"/>
        <v>"%USERPROFILE%\Documents\GitHub\eaglep3\Utilities\RefineRTDCRunTimes.py" --tripid 181-09 --locoid 4014 --swversion DE.1.0.9.0 --startMP 204:537 --initTime 2018-01-09T13:38:54 --startdatetime 2018-01-09T13:45:26 --delay 79 --endMP 204:233261 --enddatetime 2018-01-09T14:31:39 --enforcementcount 0 &gt;&gt;%USERPROFILE%\Documents\GitHub\eaglep3-reporting\EC\2018-01-09-refined-times.txt</v>
      </c>
      <c r="AI9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{"issue":{"subject":"","project_id":79,"tracker_id":40,"status_id":1,"priority_id":2,"assigned_to_id":338,"start_date":"2018-01-09","description":"","custom_fields":[{"id":1,"name":"Subdivision","value":"EC"},{"id":4,"name":"Milepost","value":"23.3261"},{"id":17,"name":"Train ID","value":"181-09"},{"id":16,"name":"Locomotive ID","value":"4014"},{"id":130,"name":"Impact","value":""},{"id":150,"name":"Time of Event (Mountain Time)","value":"14:31:39"},{"id":151,"name":"Denver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9"/>
        <v>start /low /b %USERPROFILE%\Documents\GitHub\eaglep3\Utilities\DownloadLogsFromS3.py --loco 4014 --day 2018-01-09</v>
      </c>
      <c r="AN94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21:31:39"},{"id":29,"name":"Sharepoint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21"/>
        <v>https://d0f6bd738d7f1b3e5a7ca70fe4ff75f0.us-east-1.aws.found.io/app/kibana#/discover/Steve-Slow-Train-Analysis-(2080s-and-2083s)?_g=(refreshInterval:(display:Off,pause:!f,section:0,value:0),time:(from:'2018-01-09T12:38:54-0700',mode:absolute,to:'2018-01-09T15:31:39-0700'))&amp;_a=(columns:!('Message%20ID',Summary),filters:!(),index:'emp_*',interval:auto,query:(query_string:(analyze_wildcard:!t,query:'%22rtdc.l.rtdc.4014%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853</v>
      </c>
      <c r="B95" s="225">
        <v>4013</v>
      </c>
      <c r="C95" s="227" t="s">
        <v>191</v>
      </c>
      <c r="D95" s="227" t="s">
        <v>491</v>
      </c>
      <c r="E95" s="226">
        <v>43109.608784722222</v>
      </c>
      <c r="F95" s="226">
        <v>43109.613078703704</v>
      </c>
      <c r="G95" s="225">
        <v>58</v>
      </c>
      <c r="H95" s="227" t="s">
        <v>654</v>
      </c>
      <c r="I95" s="226">
        <v>43109.646134259259</v>
      </c>
      <c r="J95" s="225">
        <v>0</v>
      </c>
      <c r="K95" s="237" t="str">
        <f>IF(ISEVEN(B95),(B95-1)&amp;"/"&amp;B95,B95&amp;"/"&amp;(B95+1))</f>
        <v>4013/4014</v>
      </c>
      <c r="L95" s="245" t="str">
        <f>VLOOKUP(A95,'Trips&amp;Operators'!$C$1:$G$99911,5,FALSE)</f>
        <v>LONG FULLER</v>
      </c>
      <c r="M95" s="224">
        <f>I95-F95</f>
        <v>3.3055555555620231E-2</v>
      </c>
      <c r="N95" s="225">
        <f>24*60*SUM($M95:$M95)</f>
        <v>47.600000000093132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-09T13:36:39-0700',mode:absolute,to:'2018-01-09T16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23.2942</v>
      </c>
      <c r="Z95" s="247">
        <f>RIGHT(H95,LEN(H95)-4)/10000</f>
        <v>2.29E-2</v>
      </c>
      <c r="AA95" s="247">
        <f>ABS(Z95-Y95)</f>
        <v>23.2713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182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/stypes="app*4013*20180109*" /stext=" 22:.+((SYSTEM_STATE.+slice.+state.+changed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7"/>
        <v>"%USERPROFILE%\Documents\GitHub\eaglep3\Utilities\RefineRTDCRunTimes.py" --tripid 182-09 --locoid 4013 --swversion DE.1.0.9.0 --startMP 204:232942 --initTime 2018-01-09T14:36:39 --startdatetime 2018-01-09T14:42:50 --delay 58 --endMP 204:229 --enddatetime 2018-01-09T15:30:26 --enforcementcount 0 &gt;&gt;%USERPROFILE%\Documents\GitHub\eaglep3-reporting\EC\2018-01-09-refined-times.txt</v>
      </c>
      <c r="AI9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{"issue":{"subject":"","project_id":79,"tracker_id":40,"status_id":1,"priority_id":2,"assigned_to_id":338,"start_date":"2018-01-09","description":"","custom_fields":[{"id":1,"name":"Subdivision","value":"EC"},{"id":4,"name":"Milepost","value":"0.0229"},{"id":17,"name":"Train ID","value":"182-09"},{"id":16,"name":"Locomotive ID","value":"4013"},{"id":130,"name":"Impact","value":""},{"id":150,"name":"Time of Event (Mountain Time)","value":"15:30:26"},{"id":151,"name":"Denver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9"/>
        <v>start /low /b %USERPROFILE%\Documents\GitHub\eaglep3\Utilities\DownloadLogsFromS3.py --loco 4013 --day 2018-01-09</v>
      </c>
      <c r="AN95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21"/>
        <v>https://d0f6bd738d7f1b3e5a7ca70fe4ff75f0.us-east-1.aws.found.io/app/kibana#/discover/Steve-Slow-Train-Analysis-(2080s-and-2083s)?_g=(refreshInterval:(display:Off,pause:!f,section:0,value:0),time:(from:'2018-01-09T13:36:39-0700',mode:absolute,to:'2018-01-09T16:30:26-0700'))&amp;_a=(columns:!('Message%20ID',Summary),filters:!(),index:'emp_*',interval:auto,query:(query_string:(analyze_wildcard:!t,query:'%22rtdc.l.rtdc.4013%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847</v>
      </c>
      <c r="B96" s="225">
        <v>4034</v>
      </c>
      <c r="C96" s="227" t="s">
        <v>191</v>
      </c>
      <c r="D96" s="227" t="s">
        <v>545</v>
      </c>
      <c r="E96" s="226">
        <v>43109.579652777778</v>
      </c>
      <c r="F96" s="226">
        <v>43109.583634259259</v>
      </c>
      <c r="G96" s="225">
        <v>124</v>
      </c>
      <c r="H96" s="227" t="s">
        <v>953</v>
      </c>
      <c r="I96" s="226">
        <v>43109.610671296294</v>
      </c>
      <c r="J96" s="225">
        <v>0</v>
      </c>
      <c r="K96" s="237" t="str">
        <f>IF(ISEVEN(B96),(B96-1)&amp;"/"&amp;B96,B96&amp;"/"&amp;(B96+1))</f>
        <v>4033/4034</v>
      </c>
      <c r="L96" s="245" t="str">
        <f>VLOOKUP(A96,'Trips&amp;Operators'!$C$1:$G$99911,5,FALSE)</f>
        <v>MOSES BRADLEY</v>
      </c>
      <c r="M96" s="224">
        <f>I96-F96</f>
        <v>2.7037037034460809E-2</v>
      </c>
      <c r="N96" s="225">
        <f>24*60*SUM($M96:$M96)</f>
        <v>38.933333329623565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-09T12:54:42-0700',mode:absolute,to:'2018-01-09T15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4.9500000000000002E-2</v>
      </c>
      <c r="Z96" s="247">
        <f>RIGHT(H96,LEN(H96)-4)/10000</f>
        <v>23.329799999999999</v>
      </c>
      <c r="AA96" s="247">
        <f>ABS(Z96-Y96)</f>
        <v>23.2803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183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/stypes="app*4034*20180109*" /stext=" 21:.+((SYSTEM_STATE.+slice.+state.+changed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7"/>
        <v>"%USERPROFILE%\Documents\GitHub\eaglep3\Utilities\RefineRTDCRunTimes.py" --tripid 183-09 --locoid 4034 --swversion DE.1.0.9.0 --startMP 204:495 --initTime 2018-01-09T13:54:42 --startdatetime 2018-01-09T14:00:26 --delay 124 --endMP 204:233298 --enddatetime 2018-01-09T14:39:22 --enforcementcount 0 &gt;&gt;%USERPROFILE%\Documents\GitHub\eaglep3-reporting\EC\2018-01-09-refined-times.txt</v>
      </c>
      <c r="AI96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{"issue":{"subject":"","project_id":79,"tracker_id":40,"status_id":1,"priority_id":2,"assigned_to_id":338,"start_date":"2018-01-09","description":"","custom_fields":[{"id":1,"name":"Subdivision","value":"EC"},{"id":4,"name":"Milepost","value":"23.3298"},{"id":17,"name":"Train ID","value":"183-09"},{"id":16,"name":"Locomotive ID","value":"4034"},{"id":130,"name":"Impact","value":""},{"id":150,"name":"Time of Event (Mountain Time)","value":"14:39:22"},{"id":151,"name":"Denver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9"/>
        <v>start /low /b %USERPROFILE%\Documents\GitHub\eaglep3\Utilities\DownloadLogsFromS3.py --loco 4034 --day 2018-01-09</v>
      </c>
      <c r="AN96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21"/>
        <v>https://d0f6bd738d7f1b3e5a7ca70fe4ff75f0.us-east-1.aws.found.io/app/kibana#/discover/Steve-Slow-Train-Analysis-(2080s-and-2083s)?_g=(refreshInterval:(display:Off,pause:!f,section:0,value:0),time:(from:'2018-01-09T12:54:42-0700',mode:absolute,to:'2018-01-09T15:39:22-0700'))&amp;_a=(columns:!('Message%20ID',Summary),filters:!(),index:'emp_*',interval:auto,query:(query_string:(analyze_wildcard:!t,query:'%22rtdc.l.rtdc.4034%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856</v>
      </c>
      <c r="B97" s="225">
        <v>4033</v>
      </c>
      <c r="C97" s="227" t="s">
        <v>191</v>
      </c>
      <c r="D97" s="227" t="s">
        <v>636</v>
      </c>
      <c r="E97" s="226">
        <v>43109.62128472222</v>
      </c>
      <c r="F97" s="226">
        <v>43109.623564814814</v>
      </c>
      <c r="G97" s="225">
        <v>108</v>
      </c>
      <c r="H97" s="227" t="s">
        <v>481</v>
      </c>
      <c r="I97" s="226">
        <v>43109.650960648149</v>
      </c>
      <c r="J97" s="225">
        <v>0</v>
      </c>
      <c r="K97" s="237" t="str">
        <f>IF(ISEVEN(B97),(B97-1)&amp;"/"&amp;B97,B97&amp;"/"&amp;(B97+1))</f>
        <v>4033/4034</v>
      </c>
      <c r="L97" s="245" t="str">
        <f>VLOOKUP(A97,'Trips&amp;Operators'!$C$1:$G$99911,5,FALSE)</f>
        <v>MOSES BRADLEY</v>
      </c>
      <c r="M97" s="224">
        <f>I97-F97</f>
        <v>2.7395833334594499E-2</v>
      </c>
      <c r="N97" s="225">
        <f>24*60*SUM($M97:$M97)</f>
        <v>39.450000001816079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-09T13:54:39-0700',mode:absolute,to:'2018-01-09T16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23.297000000000001</v>
      </c>
      <c r="Z97" s="247">
        <f>RIGHT(H97,LEN(H97)-4)/10000</f>
        <v>2.1100000000000001E-2</v>
      </c>
      <c r="AA97" s="247">
        <f>ABS(Z97-Y97)</f>
        <v>23.2759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184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/stypes="app*4033*20180109*" /stext=" 22:.+((SYSTEM_STATE.+slice.+state.+changed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7"/>
        <v>"%USERPROFILE%\Documents\GitHub\eaglep3\Utilities\RefineRTDCRunTimes.py" --tripid 184-09 --locoid 4033 --swversion DE.1.0.9.0 --startMP 204:232970 --initTime 2018-01-09T14:54:39 --startdatetime 2018-01-09T14:57:56 --delay 108 --endMP 204:211 --enddatetime 2018-01-09T15:37:23 --enforcementcount 0 &gt;&gt;%USERPROFILE%\Documents\GitHub\eaglep3-reporting\EC\2018-01-09-refined-times.txt</v>
      </c>
      <c r="AI97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{"issue":{"subject":"","project_id":79,"tracker_id":40,"status_id":1,"priority_id":2,"assigned_to_id":338,"start_date":"2018-01-09","description":"","custom_fields":[{"id":1,"name":"Subdivision","value":"EC"},{"id":4,"name":"Milepost","value":"0.0211"},{"id":17,"name":"Train ID","value":"184-09"},{"id":16,"name":"Locomotive ID","value":"4033"},{"id":130,"name":"Impact","value":""},{"id":150,"name":"Time of Event (Mountain Time)","value":"15:37:23"},{"id":151,"name":"Denver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9"/>
        <v>start /low /b %USERPROFILE%\Documents\GitHub\eaglep3\Utilities\DownloadLogsFromS3.py --loco 4033 --day 2018-01-09</v>
      </c>
      <c r="AN97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21"/>
        <v>https://d0f6bd738d7f1b3e5a7ca70fe4ff75f0.us-east-1.aws.found.io/app/kibana#/discover/Steve-Slow-Train-Analysis-(2080s-and-2083s)?_g=(refreshInterval:(display:Off,pause:!f,section:0,value:0),time:(from:'2018-01-09T13:54:39-0700',mode:absolute,to:'2018-01-09T16:37:23-0700'))&amp;_a=(columns:!('Message%20ID',Summary),filters:!(),index:'emp_*',interval:auto,query:(query_string:(analyze_wildcard:!t,query:'%22rtdc.l.rtdc.4033%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850</v>
      </c>
      <c r="B98" s="225">
        <v>4050</v>
      </c>
      <c r="C98" s="227" t="s">
        <v>191</v>
      </c>
      <c r="D98" s="227" t="s">
        <v>971</v>
      </c>
      <c r="E98" s="226">
        <v>43109.589236111111</v>
      </c>
      <c r="F98" s="226">
        <v>43109.593935185185</v>
      </c>
      <c r="G98" s="225">
        <v>67</v>
      </c>
      <c r="H98" s="227" t="s">
        <v>638</v>
      </c>
      <c r="I98" s="226">
        <v>43109.61917824074</v>
      </c>
      <c r="J98" s="225">
        <v>0</v>
      </c>
      <c r="K98" s="237" t="str">
        <f>IF(ISEVEN(B98),(B98-1)&amp;"/"&amp;B98,B98&amp;"/"&amp;(B98+1))</f>
        <v>4049/4050</v>
      </c>
      <c r="L98" s="245" t="str">
        <f>VLOOKUP(A98,'Trips&amp;Operators'!$C$1:$G$99911,5,FALSE)</f>
        <v>DE LA ROSA ALEX</v>
      </c>
      <c r="M98" s="224">
        <f>I98-F98</f>
        <v>2.5243055555620231E-2</v>
      </c>
      <c r="N98" s="225">
        <f>24*60*SUM($M98:$M98)</f>
        <v>36.350000000093132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-09T13:08:30-0700',mode:absolute,to:'2018-01-09T15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5.4199999999999998E-2</v>
      </c>
      <c r="Z98" s="247">
        <f>RIGHT(H98,LEN(H98)-4)/10000</f>
        <v>23.3291</v>
      </c>
      <c r="AA98" s="247">
        <f>ABS(Z98-Y98)</f>
        <v>23.274899999999999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185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/stypes="app*4050*20180109*" /stext=" 21:.+((SYSTEM_STATE.+slice.+state.+changed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7"/>
        <v>"%USERPROFILE%\Documents\GitHub\eaglep3\Utilities\RefineRTDCRunTimes.py" --tripid 185-09 --locoid 4050 --swversion DE.1.0.9.0 --startMP 204:542 --initTime 2018-01-09T14:08:30 --startdatetime 2018-01-09T14:15:16 --delay 67 --endMP 204:233291 --enddatetime 2018-01-09T14:51:37 --enforcementcount 0 &gt;&gt;%USERPROFILE%\Documents\GitHub\eaglep3-reporting\EC\2018-01-09-refined-times.txt</v>
      </c>
      <c r="AI98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{"issue":{"subject":"","project_id":79,"tracker_id":40,"status_id":1,"priority_id":2,"assigned_to_id":338,"start_date":"2018-01-09","description":"","custom_fields":[{"id":1,"name":"Subdivision","value":"EC"},{"id":4,"name":"Milepost","value":"23.3291"},{"id":17,"name":"Train ID","value":"185-09"},{"id":16,"name":"Locomotive ID","value":"4050"},{"id":130,"name":"Impact","value":""},{"id":150,"name":"Time of Event (Mountain Time)","value":"14:51:37"},{"id":151,"name":"Denver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9"/>
        <v>start /low /b %USERPROFILE%\Documents\GitHub\eaglep3\Utilities\DownloadLogsFromS3.py --loco 4050 --day 2018-01-09</v>
      </c>
      <c r="AN98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21"/>
        <v>https://d0f6bd738d7f1b3e5a7ca70fe4ff75f0.us-east-1.aws.found.io/app/kibana#/discover/Steve-Slow-Train-Analysis-(2080s-and-2083s)?_g=(refreshInterval:(display:Off,pause:!f,section:0,value:0),time:(from:'2018-01-09T13:08:30-0700',mode:absolute,to:'2018-01-09T15:51:37-0700'))&amp;_a=(columns:!('Message%20ID',Summary),filters:!(),index:'emp_*',interval:auto,query:(query_string:(analyze_wildcard:!t,query:'%22rtdc.l.rtdc.4050%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858</v>
      </c>
      <c r="B99" s="225">
        <v>4049</v>
      </c>
      <c r="C99" s="227" t="s">
        <v>191</v>
      </c>
      <c r="D99" s="227" t="s">
        <v>646</v>
      </c>
      <c r="E99" s="226">
        <v>43109.630787037036</v>
      </c>
      <c r="F99" s="226">
        <v>43109.633564814816</v>
      </c>
      <c r="G99" s="225">
        <v>81</v>
      </c>
      <c r="H99" s="227" t="s">
        <v>468</v>
      </c>
      <c r="I99" s="226">
        <v>43109.662141203706</v>
      </c>
      <c r="J99" s="225">
        <v>0</v>
      </c>
      <c r="K99" s="237" t="str">
        <f>IF(ISEVEN(B99),(B99-1)&amp;"/"&amp;B99,B99&amp;"/"&amp;(B99+1))</f>
        <v>4049/4050</v>
      </c>
      <c r="L99" s="245" t="str">
        <f>VLOOKUP(A99,'Trips&amp;Operators'!$C$1:$G$99911,5,FALSE)</f>
        <v>DE LA ROSA ALEX</v>
      </c>
      <c r="M99" s="224">
        <f>I99-F99</f>
        <v>2.8576388889632653E-2</v>
      </c>
      <c r="N99" s="225">
        <f>24*60*SUM($M99:$M99)</f>
        <v>41.150000001071021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-09T14:08:20-0700',mode:absolute,to:'2018-01-09T16:53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23.295500000000001</v>
      </c>
      <c r="Z99" s="247">
        <f>RIGHT(H99,LEN(H99)-4)/10000</f>
        <v>0.02</v>
      </c>
      <c r="AA99" s="247">
        <f>ABS(Z99-Y99)</f>
        <v>23.275500000000001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186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/stypes="app*4049*20180109*"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7"/>
        <v>"%USERPROFILE%\Documents\GitHub\eaglep3\Utilities\RefineRTDCRunTimes.py" --tripid 186-09 --locoid 4049 --swversion DE.1.0.9.0 --startMP 204:232955 --initTime 2018-01-09T15:08:20 --startdatetime 2018-01-09T15:12:20 --delay 81 --endMP 204:200 --enddatetime 2018-01-09T15:53:29 --enforcementcount 0 &gt;&gt;%USERPROFILE%\Documents\GitHub\eaglep3-reporting\EC\2018-01-09-refined-times.txt</v>
      </c>
      <c r="AI99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{"issue":{"subject":"","project_id":79,"tracker_id":40,"status_id":1,"priority_id":2,"assigned_to_id":338,"start_date":"2018-01-09","description":"","custom_fields":[{"id":1,"name":"Subdivision","value":"EC"},{"id":4,"name":"Milepost","value":"0.02"},{"id":17,"name":"Train ID","value":"186-09"},{"id":16,"name":"Locomotive ID","value":"4049"},{"id":130,"name":"Impact","value":""},{"id":150,"name":"Time of Event (Mountain Time)","value":"15:53:29"},{"id":151,"name":"Denver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9"/>
        <v>start /low /b %USERPROFILE%\Documents\GitHub\eaglep3\Utilities\DownloadLogsFromS3.py --loco 4049 --day 2018-01-09</v>
      </c>
      <c r="AN99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21"/>
        <v>https://d0f6bd738d7f1b3e5a7ca70fe4ff75f0.us-east-1.aws.found.io/app/kibana#/discover/Steve-Slow-Train-Analysis-(2080s-and-2083s)?_g=(refreshInterval:(display:Off,pause:!f,section:0,value:0),time:(from:'2018-01-09T14:08:20-0700',mode:absolute,to:'2018-01-09T16:53:29-0700'))&amp;_a=(columns:!('Message%20ID',Summary),filters:!(),index:'emp_*',interval:auto,query:(query_string:(analyze_wildcard:!t,query:'%22rtdc.l.rtdc.4049%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852</v>
      </c>
      <c r="B100" s="225">
        <v>4016</v>
      </c>
      <c r="C100" s="227" t="s">
        <v>191</v>
      </c>
      <c r="D100" s="227" t="s">
        <v>551</v>
      </c>
      <c r="E100" s="226">
        <v>43109.604097222225</v>
      </c>
      <c r="F100" s="226">
        <v>43109.605902777781</v>
      </c>
      <c r="G100" s="225">
        <v>51</v>
      </c>
      <c r="H100" s="227" t="s">
        <v>515</v>
      </c>
      <c r="I100" s="226">
        <v>43109.637152777781</v>
      </c>
      <c r="J100" s="225">
        <v>0</v>
      </c>
      <c r="K100" s="237" t="str">
        <f>IF(ISEVEN(B100),(B100-1)&amp;"/"&amp;B100,B100&amp;"/"&amp;(B100+1))</f>
        <v>4015/4016</v>
      </c>
      <c r="L100" s="245" t="str">
        <f>VLOOKUP(A100,'Trips&amp;Operators'!$C$1:$G$99911,5,FALSE)</f>
        <v>SMITH MICHAEL</v>
      </c>
      <c r="M100" s="224">
        <f>I100-F100</f>
        <v>3.125E-2</v>
      </c>
      <c r="N100" s="225">
        <f>24*60*SUM($M100:$M100)</f>
        <v>45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-09T13:29:54-0700',mode:absolute,to:'2018-01-09T16:17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5.5500000000000001E-2</v>
      </c>
      <c r="Z100" s="247">
        <f>RIGHT(H100,LEN(H100)-4)/10000</f>
        <v>23.328900000000001</v>
      </c>
      <c r="AA100" s="247">
        <f>ABS(Z100-Y100)</f>
        <v>23.273400000000002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187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/stypes="app*4016*20180109*"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7"/>
        <v>"%USERPROFILE%\Documents\GitHub\eaglep3\Utilities\RefineRTDCRunTimes.py" --tripid 187-09 --locoid 4016 --swversion DE.1.0.9.0 --startMP 204:555 --initTime 2018-01-09T14:29:54 --startdatetime 2018-01-09T14:32:30 --delay 51 --endMP 204:233289 --enddatetime 2018-01-09T15:17:30 --enforcementcount 0 &gt;&gt;%USERPROFILE%\Documents\GitHub\eaglep3-reporting\EC\2018-01-09-refined-times.txt</v>
      </c>
      <c r="AI100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{"issue":{"subject":"","project_id":79,"tracker_id":40,"status_id":1,"priority_id":2,"assigned_to_id":338,"start_date":"2018-01-09","description":"","custom_fields":[{"id":1,"name":"Subdivision","value":"EC"},{"id":4,"name":"Milepost","value":"23.3289"},{"id":17,"name":"Train ID","value":"187-09"},{"id":16,"name":"Locomotive ID","value":"4016"},{"id":130,"name":"Impact","value":""},{"id":150,"name":"Time of Event (Mountain Time)","value":"15:17:30"},{"id":151,"name":"Denver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9"/>
        <v>start /low /b %USERPROFILE%\Documents\GitHub\eaglep3\Utilities\DownloadLogsFromS3.py --loco 4016 --day 2018-01-09</v>
      </c>
      <c r="AN100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22:17:30"},{"id":29,"name":"Sharepoint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21"/>
        <v>https://d0f6bd738d7f1b3e5a7ca70fe4ff75f0.us-east-1.aws.found.io/app/kibana#/discover/Steve-Slow-Train-Analysis-(2080s-and-2083s)?_g=(refreshInterval:(display:Off,pause:!f,section:0,value:0),time:(from:'2018-01-09T13:29:54-0700',mode:absolute,to:'2018-01-09T16:17:30-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861</v>
      </c>
      <c r="B101" s="225">
        <v>4015</v>
      </c>
      <c r="C101" s="227" t="s">
        <v>191</v>
      </c>
      <c r="D101" s="227" t="s">
        <v>634</v>
      </c>
      <c r="E101" s="226">
        <v>43109.639062499999</v>
      </c>
      <c r="F101" s="226">
        <v>43109.645312499997</v>
      </c>
      <c r="G101" s="225">
        <v>66</v>
      </c>
      <c r="H101" s="227" t="s">
        <v>602</v>
      </c>
      <c r="I101" s="226">
        <v>43109.674421296295</v>
      </c>
      <c r="J101" s="225">
        <v>0</v>
      </c>
      <c r="K101" s="237" t="str">
        <f>IF(ISEVEN(B101),(B101-1)&amp;"/"&amp;B101,B101&amp;"/"&amp;(B101+1))</f>
        <v>4015/4016</v>
      </c>
      <c r="L101" s="245" t="str">
        <f>VLOOKUP(A101,'Trips&amp;Operators'!$C$1:$G$99911,5,FALSE)</f>
        <v>SMITH MICHAEL</v>
      </c>
      <c r="M101" s="224">
        <f>I101-F101</f>
        <v>2.9108796297805384E-2</v>
      </c>
      <c r="N101" s="225">
        <f>24*60*SUM($M101:$M101)</f>
        <v>41.916666668839753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-09T14:20:15-0700',mode:absolute,to:'2018-01-09T17:11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23.297699999999999</v>
      </c>
      <c r="Z101" s="247">
        <f>RIGHT(H101,LEN(H101)-4)/10000</f>
        <v>2.1999999999999999E-2</v>
      </c>
      <c r="AA101" s="247">
        <f>ABS(Z101-Y101)</f>
        <v>23.275700000000001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188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/stypes="app*4015*20180109*" /stext=" 23:.+((SYSTEM_STATE.+slice.+state.+changed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7"/>
        <v>"%USERPROFILE%\Documents\GitHub\eaglep3\Utilities\RefineRTDCRunTimes.py" --tripid 188-09 --locoid 4015 --swversion DE.1.0.9.0 --startMP 204:232977 --initTime 2018-01-09T15:20:15 --startdatetime 2018-01-09T15:29:15 --delay 66 --endMP 204:220 --enddatetime 2018-01-09T16:11:10 --enforcementcount 0 &gt;&gt;%USERPROFILE%\Documents\GitHub\eaglep3-reporting\EC\2018-01-09-refined-times.txt</v>
      </c>
      <c r="AI101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{"issue":{"subject":"","project_id":79,"tracker_id":40,"status_id":1,"priority_id":2,"assigned_to_id":338,"start_date":"2018-01-09","description":"","custom_fields":[{"id":1,"name":"Subdivision","value":"EC"},{"id":4,"name":"Milepost","value":"0.022"},{"id":17,"name":"Train ID","value":"188-09"},{"id":16,"name":"Locomotive ID","value":"4015"},{"id":130,"name":"Impact","value":""},{"id":150,"name":"Time of Event (Mountain Time)","value":"16:11:10"},{"id":151,"name":"Denver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9"/>
        <v>start /low /b %USERPROFILE%\Documents\GitHub\eaglep3\Utilities\DownloadLogsFromS3.py --loco 4015 --day 2018-01-09</v>
      </c>
      <c r="AN101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23:11:10"},{"id":29,"name":"Sharepoint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21"/>
        <v>https://d0f6bd738d7f1b3e5a7ca70fe4ff75f0.us-east-1.aws.found.io/app/kibana#/discover/Steve-Slow-Train-Analysis-(2080s-and-2083s)?_g=(refreshInterval:(display:Off,pause:!f,section:0,value:0),time:(from:'2018-01-09T14:20:15-0700',mode:absolute,to:'2018-01-09T17:11:10-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854</v>
      </c>
      <c r="B102" s="225">
        <v>4056</v>
      </c>
      <c r="C102" s="227" t="s">
        <v>191</v>
      </c>
      <c r="D102" s="227" t="s">
        <v>979</v>
      </c>
      <c r="E102" s="226">
        <v>43109.615960648145</v>
      </c>
      <c r="F102" s="226">
        <v>43109.617442129631</v>
      </c>
      <c r="G102" s="225">
        <v>52</v>
      </c>
      <c r="H102" s="227" t="s">
        <v>958</v>
      </c>
      <c r="I102" s="226">
        <v>43109.647604166668</v>
      </c>
      <c r="J102" s="225">
        <v>0</v>
      </c>
      <c r="K102" s="237" t="str">
        <f>IF(ISEVEN(B102),(B102-1)&amp;"/"&amp;B102,B102&amp;"/"&amp;(B102+1))</f>
        <v>4055/4056</v>
      </c>
      <c r="L102" s="245" t="str">
        <f>VLOOKUP(A102,'Trips&amp;Operators'!$C$1:$G$99911,5,FALSE)</f>
        <v>BRUDER RICHARD</v>
      </c>
      <c r="M102" s="224">
        <f>I102-F102</f>
        <v>3.0162037037371192E-2</v>
      </c>
      <c r="N102" s="225">
        <f>24*60*SUM($M102:$M102)</f>
        <v>43.433333333814517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-09T13:46:59-0700',mode:absolute,to:'2018-01-09T16:32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5.11E-2</v>
      </c>
      <c r="Z102" s="247">
        <f>RIGHT(H102,LEN(H102)-4)/10000</f>
        <v>23.3201</v>
      </c>
      <c r="AA102" s="247">
        <f>ABS(Z102-Y102)</f>
        <v>23.268999999999998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189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/stypes="app*4056*20180109*"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7"/>
        <v>"%USERPROFILE%\Documents\GitHub\eaglep3\Utilities\RefineRTDCRunTimes.py" --tripid 189-09 --locoid 4056 --swversion DE.1.0.9.0 --startMP 204:511 --initTime 2018-01-09T14:46:59 --startdatetime 2018-01-09T14:49:07 --delay 52 --endMP 204:233201 --enddatetime 2018-01-09T15:32:33 --enforcementcount 0 &gt;&gt;%USERPROFILE%\Documents\GitHub\eaglep3-reporting\EC\2018-01-09-refined-times.txt</v>
      </c>
      <c r="AI10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{"issue":{"subject":"","project_id":79,"tracker_id":40,"status_id":1,"priority_id":2,"assigned_to_id":338,"start_date":"2018-01-09","description":"","custom_fields":[{"id":1,"name":"Subdivision","value":"EC"},{"id":4,"name":"Milepost","value":"23.3201"},{"id":17,"name":"Train ID","value":"189-09"},{"id":16,"name":"Locomotive ID","value":"4056"},{"id":130,"name":"Impact","value":""},{"id":150,"name":"Time of Event (Mountain Time)","value":"15:32:33"},{"id":151,"name":"Denver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9"/>
        <v>start /low /b %USERPROFILE%\Documents\GitHub\eaglep3\Utilities\DownloadLogsFromS3.py --loco 4056 --day 2018-01-09</v>
      </c>
      <c r="AN102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21"/>
        <v>https://d0f6bd738d7f1b3e5a7ca70fe4ff75f0.us-east-1.aws.found.io/app/kibana#/discover/Steve-Slow-Train-Analysis-(2080s-and-2083s)?_g=(refreshInterval:(display:Off,pause:!f,section:0,value:0),time:(from:'2018-01-09T13:46:59-0700',mode:absolute,to:'2018-01-09T16:32:33-0700'))&amp;_a=(columns:!('Message%20ID',Summary),filters:!(),index:'emp_*',interval:auto,query:(query_string:(analyze_wildcard:!t,query:'%22rtdc.l.rtdc.4056%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866</v>
      </c>
      <c r="B103" s="225">
        <v>4055</v>
      </c>
      <c r="C103" s="227" t="s">
        <v>191</v>
      </c>
      <c r="D103" s="227" t="s">
        <v>980</v>
      </c>
      <c r="E103" s="226">
        <v>43109.650740740741</v>
      </c>
      <c r="F103" s="226">
        <v>43109.655891203707</v>
      </c>
      <c r="G103" s="225">
        <v>95</v>
      </c>
      <c r="H103" s="227" t="s">
        <v>654</v>
      </c>
      <c r="I103" s="226">
        <v>43109.687118055554</v>
      </c>
      <c r="J103" s="225">
        <v>0</v>
      </c>
      <c r="K103" s="237" t="str">
        <f>IF(ISEVEN(B103),(B103-1)&amp;"/"&amp;B103,B103&amp;"/"&amp;(B103+1))</f>
        <v>4055/4056</v>
      </c>
      <c r="L103" s="245" t="str">
        <f>VLOOKUP(A103,'Trips&amp;Operators'!$C$1:$G$99911,5,FALSE)</f>
        <v>BRUDER RICHARD</v>
      </c>
      <c r="M103" s="224">
        <f>I103-F103</f>
        <v>3.1226851846440695E-2</v>
      </c>
      <c r="N103" s="225">
        <f>24*60*SUM($M103:$M103)</f>
        <v>44.966666658874601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-09T14:37:04-0700',mode:absolute,to:'2018-01-09T17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23.2882</v>
      </c>
      <c r="Z103" s="247">
        <f>RIGHT(H103,LEN(H103)-4)/10000</f>
        <v>2.29E-2</v>
      </c>
      <c r="AA103" s="247">
        <f>ABS(Z103-Y103)</f>
        <v>23.2653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190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/stypes="app*4055*20180109*" /stext=" 23:.+((SYSTEM_STATE.+slice.+state.+changed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7"/>
        <v>"%USERPROFILE%\Documents\GitHub\eaglep3\Utilities\RefineRTDCRunTimes.py" --tripid 190-09 --locoid 4055 --swversion DE.1.0.9.0 --startMP 204:232882 --initTime 2018-01-09T15:37:04 --startdatetime 2018-01-09T15:44:29 --delay 95 --endMP 204:229 --enddatetime 2018-01-09T16:29:27 --enforcementcount 0 &gt;&gt;%USERPROFILE%\Documents\GitHub\eaglep3-reporting\EC\2018-01-09-refined-times.txt</v>
      </c>
      <c r="AI10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{"issue":{"subject":"","project_id":79,"tracker_id":40,"status_id":1,"priority_id":2,"assigned_to_id":338,"start_date":"2018-01-09","description":"","custom_fields":[{"id":1,"name":"Subdivision","value":"EC"},{"id":4,"name":"Milepost","value":"0.0229"},{"id":17,"name":"Train ID","value":"190-09"},{"id":16,"name":"Locomotive ID","value":"4055"},{"id":130,"name":"Impact","value":""},{"id":150,"name":"Time of Event (Mountain Time)","value":"16:29:27"},{"id":151,"name":"Denver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9"/>
        <v>start /low /b %USERPROFILE%\Documents\GitHub\eaglep3\Utilities\DownloadLogsFromS3.py --loco 4055 --day 2018-01-09</v>
      </c>
      <c r="AN103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21"/>
        <v>https://d0f6bd738d7f1b3e5a7ca70fe4ff75f0.us-east-1.aws.found.io/app/kibana#/discover/Steve-Slow-Train-Analysis-(2080s-and-2083s)?_g=(refreshInterval:(display:Off,pause:!f,section:0,value:0),time:(from:'2018-01-09T14:37:04-0700',mode:absolute,to:'2018-01-09T17:29:27-0700'))&amp;_a=(columns:!('Message%20ID',Summary),filters:!(),index:'emp_*',interval:auto,query:(query_string:(analyze_wildcard:!t,query:'%22rtdc.l.rtdc.4055%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855</v>
      </c>
      <c r="B104" s="225">
        <v>4064</v>
      </c>
      <c r="C104" s="227" t="s">
        <v>191</v>
      </c>
      <c r="D104" s="227" t="s">
        <v>545</v>
      </c>
      <c r="E104" s="226">
        <v>43109.621087962965</v>
      </c>
      <c r="F104" s="226">
        <v>43109.6253125</v>
      </c>
      <c r="G104" s="225">
        <v>83</v>
      </c>
      <c r="H104" s="227" t="s">
        <v>566</v>
      </c>
      <c r="I104" s="226">
        <v>43109.653344907405</v>
      </c>
      <c r="J104" s="225">
        <v>0</v>
      </c>
      <c r="K104" s="237" t="str">
        <f>IF(ISEVEN(B104),(B104-1)&amp;"/"&amp;B104,B104&amp;"/"&amp;(B104+1))</f>
        <v>4063/4064</v>
      </c>
      <c r="L104" s="245" t="str">
        <f>VLOOKUP(A104,'Trips&amp;Operators'!$C$1:$G$99911,5,FALSE)</f>
        <v>STEWART MICHAEL</v>
      </c>
      <c r="M104" s="224">
        <f>I104-F104</f>
        <v>2.8032407404680271E-2</v>
      </c>
      <c r="N104" s="225">
        <f>24*60*SUM($M104:$M104)</f>
        <v>40.36666666273959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-09T13:54:22-0700',mode:absolute,to:'2018-01-09T16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4.9500000000000002E-2</v>
      </c>
      <c r="Z104" s="247">
        <f>RIGHT(H104,LEN(H104)-4)/10000</f>
        <v>23.328099999999999</v>
      </c>
      <c r="AA104" s="247">
        <f>ABS(Z104-Y104)</f>
        <v>23.278600000000001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191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/stypes="app*4064*20180109*" /stext=" 22:.+((SYSTEM_STATE.+slice.+state.+changed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7"/>
        <v>"%USERPROFILE%\Documents\GitHub\eaglep3\Utilities\RefineRTDCRunTimes.py" --tripid 191-09 --locoid 4064 --swversion DE.1.0.9.0 --startMP 204:495 --initTime 2018-01-09T14:54:22 --startdatetime 2018-01-09T15:00:27 --delay 83 --endMP 204:233281 --enddatetime 2018-01-09T15:40:49 --enforcementcount 0 &gt;&gt;%USERPROFILE%\Documents\GitHub\eaglep3-reporting\EC\2018-01-09-refined-times.txt</v>
      </c>
      <c r="AI10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{"issue":{"subject":"","project_id":79,"tracker_id":40,"status_id":1,"priority_id":2,"assigned_to_id":338,"start_date":"2018-01-09","description":"","custom_fields":[{"id":1,"name":"Subdivision","value":"EC"},{"id":4,"name":"Milepost","value":"23.3281"},{"id":17,"name":"Train ID","value":"191-09"},{"id":16,"name":"Locomotive ID","value":"4064"},{"id":130,"name":"Impact","value":""},{"id":150,"name":"Time of Event (Mountain Time)","value":"15:40:49"},{"id":151,"name":"Denver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9"/>
        <v>start /low /b %USERPROFILE%\Documents\GitHub\eaglep3\Utilities\DownloadLogsFromS3.py --loco 4064 --day 2018-01-09</v>
      </c>
      <c r="AN104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22:40:49"},{"id":29,"name":"Sharepoint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21"/>
        <v>https://d0f6bd738d7f1b3e5a7ca70fe4ff75f0.us-east-1.aws.found.io/app/kibana#/discover/Steve-Slow-Train-Analysis-(2080s-and-2083s)?_g=(refreshInterval:(display:Off,pause:!f,section:0,value:0),time:(from:'2018-01-09T13:54:22-0700',mode:absolute,to:'2018-01-09T16:40:49-0700'))&amp;_a=(columns:!('Message%20ID',Summary),filters:!(),index:'emp_*',interval:auto,query:(query_string:(analyze_wildcard:!t,query:'%22rtdc.l.rtdc.4064%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868</v>
      </c>
      <c r="B105" s="225">
        <v>4063</v>
      </c>
      <c r="C105" s="227" t="s">
        <v>191</v>
      </c>
      <c r="D105" s="227" t="s">
        <v>981</v>
      </c>
      <c r="E105" s="226">
        <v>43109.66134259259</v>
      </c>
      <c r="F105" s="226">
        <v>43109.664907407408</v>
      </c>
      <c r="G105" s="225">
        <v>69</v>
      </c>
      <c r="H105" s="227" t="s">
        <v>525</v>
      </c>
      <c r="I105" s="226">
        <v>43109.693483796298</v>
      </c>
      <c r="J105" s="225">
        <v>0</v>
      </c>
      <c r="K105" s="237" t="str">
        <f>IF(ISEVEN(B105),(B105-1)&amp;"/"&amp;B105,B105&amp;"/"&amp;(B105+1))</f>
        <v>4063/4064</v>
      </c>
      <c r="L105" s="245" t="str">
        <f>VLOOKUP(A105,'Trips&amp;Operators'!$C$1:$G$99911,5,FALSE)</f>
        <v>STEWART MICHAEL</v>
      </c>
      <c r="M105" s="224">
        <f>I105-F105</f>
        <v>2.8576388889632653E-2</v>
      </c>
      <c r="N105" s="225">
        <f>24*60*SUM($M105:$M105)</f>
        <v>41.150000001071021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-09T14:52:20-0700',mode:absolute,to:'2018-01-09T17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23.296199999999999</v>
      </c>
      <c r="Z105" s="247">
        <f>RIGHT(H105,LEN(H105)-4)/10000</f>
        <v>1.8499999999999999E-2</v>
      </c>
      <c r="AA105" s="247">
        <f>ABS(Z105-Y105)</f>
        <v>23.277699999999999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192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/stypes="app*4063*20180109*" /stext=" 23:.+((SYSTEM_STATE.+slice.+state.+changed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7"/>
        <v>"%USERPROFILE%\Documents\GitHub\eaglep3\Utilities\RefineRTDCRunTimes.py" --tripid 192-09 --locoid 4063 --swversion DE.1.0.9.0 --startMP 204:232962 --initTime 2018-01-09T15:52:20 --startdatetime 2018-01-09T15:57:28 --delay 69 --endMP 204:185 --enddatetime 2018-01-09T16:38:37 --enforcementcount 0 &gt;&gt;%USERPROFILE%\Documents\GitHub\eaglep3-reporting\EC\2018-01-09-refined-times.txt</v>
      </c>
      <c r="AI10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{"issue":{"subject":"","project_id":79,"tracker_id":40,"status_id":1,"priority_id":2,"assigned_to_id":338,"start_date":"2018-01-09","description":"","custom_fields":[{"id":1,"name":"Subdivision","value":"EC"},{"id":4,"name":"Milepost","value":"0.0185"},{"id":17,"name":"Train ID","value":"192-09"},{"id":16,"name":"Locomotive ID","value":"4063"},{"id":130,"name":"Impact","value":""},{"id":150,"name":"Time of Event (Mountain Time)","value":"16:38:37"},{"id":151,"name":"Denver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9"/>
        <v>start /low /b %USERPROFILE%\Documents\GitHub\eaglep3\Utilities\DownloadLogsFromS3.py --loco 4063 --day 2018-01-09</v>
      </c>
      <c r="AN105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21"/>
        <v>https://d0f6bd738d7f1b3e5a7ca70fe4ff75f0.us-east-1.aws.found.io/app/kibana#/discover/Steve-Slow-Train-Analysis-(2080s-and-2083s)?_g=(refreshInterval:(display:Off,pause:!f,section:0,value:0),time:(from:'2018-01-09T14:52:20-0700',mode:absolute,to:'2018-01-09T17:38:37-0700'))&amp;_a=(columns:!('Message%20ID',Summary),filters:!(),index:'emp_*',interval:auto,query:(query_string:(analyze_wildcard:!t,query:'%22rtdc.l.rtdc.4063%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859</v>
      </c>
      <c r="B106" s="225">
        <v>4020</v>
      </c>
      <c r="C106" s="227" t="s">
        <v>191</v>
      </c>
      <c r="D106" s="227" t="s">
        <v>671</v>
      </c>
      <c r="E106" s="226">
        <v>43109.628807870373</v>
      </c>
      <c r="F106" s="226">
        <v>43109.638067129628</v>
      </c>
      <c r="G106" s="225">
        <v>258</v>
      </c>
      <c r="H106" s="227" t="s">
        <v>521</v>
      </c>
      <c r="I106" s="226">
        <v>43109.664502314816</v>
      </c>
      <c r="J106" s="225">
        <v>0</v>
      </c>
      <c r="K106" s="237" t="str">
        <f>IF(ISEVEN(B106),(B106-1)&amp;"/"&amp;B106,B106&amp;"/"&amp;(B106+1))</f>
        <v>4019/4020</v>
      </c>
      <c r="L106" s="245" t="str">
        <f>VLOOKUP(A106,'Trips&amp;Operators'!$C$1:$G$99911,5,FALSE)</f>
        <v>LEVIN SCOTT</v>
      </c>
      <c r="M106" s="224">
        <f>I106-F106</f>
        <v>2.6435185187438037E-2</v>
      </c>
      <c r="N106" s="225">
        <f>24*60*SUM($M106:$M106)</f>
        <v>38.066666669910774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-09T14:05:29-0700',mode:absolute,to:'2018-01-09T16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0.1162</v>
      </c>
      <c r="Z106" s="247">
        <f>RIGHT(H106,LEN(H106)-4)/10000</f>
        <v>23.333600000000001</v>
      </c>
      <c r="AA106" s="247">
        <f>ABS(Z106-Y106)</f>
        <v>23.217400000000001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193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 &amp; 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/stypes="app*4020*20180109*"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7"/>
        <v>"%USERPROFILE%\Documents\GitHub\eaglep3\Utilities\RefineRTDCRunTimes.py" --tripid 193-09 --locoid 4020 --swversion DE.1.0.9.0 --startMP 204:1162 --initTime 2018-01-09T15:05:29 --startdatetime 2018-01-09T15:18:49 --delay 258 --endMP 204:233336 --enddatetime 2018-01-09T15:56:53 --enforcementcount 0 &gt;&gt;%USERPROFILE%\Documents\GitHub\eaglep3-reporting\EC\2018-01-09-refined-times.txt</v>
      </c>
      <c r="AI106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{"issue":{"subject":"","project_id":79,"tracker_id":40,"status_id":1,"priority_id":2,"assigned_to_id":338,"start_date":"2018-01-09","description":"","custom_fields":[{"id":1,"name":"Subdivision","value":"EC"},{"id":4,"name":"Milepost","value":"23.3336"},{"id":17,"name":"Train ID","value":"193-09"},{"id":16,"name":"Locomotive ID","value":"4020"},{"id":130,"name":"Impact","value":""},{"id":150,"name":"Time of Event (Mountain Time)","value":"15:56:53"},{"id":151,"name":"Denver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si="19"/>
        <v>start /low /b %USERPROFILE%\Documents\GitHub\eaglep3\Utilities\DownloadLogsFromS3.py --loco 4020 --day 2018-01-09</v>
      </c>
      <c r="AN106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21"/>
        <v>https://d0f6bd738d7f1b3e5a7ca70fe4ff75f0.us-east-1.aws.found.io/app/kibana#/discover/Steve-Slow-Train-Analysis-(2080s-and-2083s)?_g=(refreshInterval:(display:Off,pause:!f,section:0,value:0),time:(from:'2018-01-09T14:05:29-0700',mode:absolute,to:'2018-01-09T16:56:53-0700'))&amp;_a=(columns:!('Message%20ID',Summary),filters:!(),index:'emp_*',interval:auto,query:(query_string:(analyze_wildcard:!t,query:'%22rtdc.l.rtdc.4020%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871</v>
      </c>
      <c r="B107" s="225">
        <v>4019</v>
      </c>
      <c r="C107" s="227" t="s">
        <v>191</v>
      </c>
      <c r="D107" s="227" t="s">
        <v>656</v>
      </c>
      <c r="E107" s="226">
        <v>43109.670208333337</v>
      </c>
      <c r="F107" s="226">
        <v>43109.676064814812</v>
      </c>
      <c r="G107" s="225">
        <v>69</v>
      </c>
      <c r="H107" s="227" t="s">
        <v>480</v>
      </c>
      <c r="I107" s="226">
        <v>43109.704293981478</v>
      </c>
      <c r="J107" s="225">
        <v>0</v>
      </c>
      <c r="K107" s="237" t="str">
        <f>IF(ISEVEN(B107),(B107-1)&amp;"/"&amp;B107,B107&amp;"/"&amp;(B107+1))</f>
        <v>4019/4020</v>
      </c>
      <c r="L107" s="245" t="str">
        <f>VLOOKUP(A107,'Trips&amp;Operators'!$C$1:$G$99911,5,FALSE)</f>
        <v>LEVIN SCOTT</v>
      </c>
      <c r="M107" s="224">
        <f>I107-F107</f>
        <v>2.8229166666278616E-2</v>
      </c>
      <c r="N107" s="225">
        <f>24*60*SUM($M107:$M107)</f>
        <v>40.649999999441206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-09T15:05:06-0700',mode:absolute,to:'2018-01-09T17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23.302099999999999</v>
      </c>
      <c r="Z107" s="247">
        <f>RIGHT(H107,LEN(H107)-4)/10000</f>
        <v>1.72E-2</v>
      </c>
      <c r="AA107" s="247">
        <f>ABS(Z107-Y107)</f>
        <v>23.2849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194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 &amp; 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/stypes="app*4019*20180109*"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7"/>
        <v>"%USERPROFILE%\Documents\GitHub\eaglep3\Utilities\RefineRTDCRunTimes.py" --tripid 194-09 --locoid 4019 --swversion DE.1.0.9.0 --startMP 204:233021 --initTime 2018-01-09T16:05:06 --startdatetime 2018-01-09T16:13:32 --delay 69 --endMP 204:172 --enddatetime 2018-01-09T16:54:11 --enforcementcount 0 &gt;&gt;%USERPROFILE%\Documents\GitHub\eaglep3-reporting\EC\2018-01-09-refined-times.txt</v>
      </c>
      <c r="AI107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{"issue":{"subject":"","project_id":79,"tracker_id":40,"status_id":1,"priority_id":2,"assigned_to_id":338,"start_date":"2018-01-09","description":"","custom_fields":[{"id":1,"name":"Subdivision","value":"EC"},{"id":4,"name":"Milepost","value":"0.0172"},{"id":17,"name":"Train ID","value":"194-09"},{"id":16,"name":"Locomotive ID","value":"4019"},{"id":130,"name":"Impact","value":""},{"id":150,"name":"Time of Event (Mountain Time)","value":"16:54:11"},{"id":151,"name":"Denver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9"/>
        <v>start /low /b %USERPROFILE%\Documents\GitHub\eaglep3\Utilities\DownloadLogsFromS3.py --loco 4019 --day 2018-01-09</v>
      </c>
      <c r="AN107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21"/>
        <v>https://d0f6bd738d7f1b3e5a7ca70fe4ff75f0.us-east-1.aws.found.io/app/kibana#/discover/Steve-Slow-Train-Analysis-(2080s-and-2083s)?_g=(refreshInterval:(display:Off,pause:!f,section:0,value:0),time:(from:'2018-01-09T15:05:06-0700',mode:absolute,to:'2018-01-09T17:54:11-0700'))&amp;_a=(columns:!('Message%20ID',Summary),filters:!(),index:'emp_*',interval:auto,query:(query_string:(analyze_wildcard:!t,query:'%22rtdc.l.rtdc.4019%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865</v>
      </c>
      <c r="B108" s="225">
        <v>4014</v>
      </c>
      <c r="C108" s="227" t="s">
        <v>191</v>
      </c>
      <c r="D108" s="227" t="s">
        <v>635</v>
      </c>
      <c r="E108" s="226">
        <v>43109.646539351852</v>
      </c>
      <c r="F108" s="226">
        <v>43109.649351851855</v>
      </c>
      <c r="G108" s="225">
        <v>54</v>
      </c>
      <c r="H108" s="227" t="s">
        <v>536</v>
      </c>
      <c r="I108" s="226">
        <v>43109.681493055556</v>
      </c>
      <c r="J108" s="225">
        <v>0</v>
      </c>
      <c r="K108" s="237" t="str">
        <f>IF(ISEVEN(B108),(B108-1)&amp;"/"&amp;B108,B108&amp;"/"&amp;(B108+1))</f>
        <v>4013/4014</v>
      </c>
      <c r="L108" s="245" t="str">
        <f>VLOOKUP(A108,'Trips&amp;Operators'!$C$1:$G$99911,5,FALSE)</f>
        <v>LONG FULLER</v>
      </c>
      <c r="M108" s="224">
        <f>I108-F108</f>
        <v>3.2141203701030463E-2</v>
      </c>
      <c r="N108" s="225">
        <f>24*60*SUM($M108:$M108)</f>
        <v>46.283333329483867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-09T14:31:01-0700',mode:absolute,to:'2018-01-09T17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4.9299999999999997E-2</v>
      </c>
      <c r="Z108" s="247">
        <f>RIGHT(H108,LEN(H108)-4)/10000</f>
        <v>23.328700000000001</v>
      </c>
      <c r="AA108" s="247">
        <f>ABS(Z108-Y108)</f>
        <v>23.279400000000003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195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/stypes="app*4014*20180109*"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7"/>
        <v>"%USERPROFILE%\Documents\GitHub\eaglep3\Utilities\RefineRTDCRunTimes.py" --tripid 195-09 --locoid 4014 --swversion DE.1.0.9.0 --startMP 204:493 --initTime 2018-01-09T15:31:01 --startdatetime 2018-01-09T15:35:04 --delay 54 --endMP 204:233287 --enddatetime 2018-01-09T16:21:21 --enforcementcount 0 &gt;&gt;%USERPROFILE%\Documents\GitHub\eaglep3-reporting\EC\2018-01-09-refined-times.txt</v>
      </c>
      <c r="AI108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{"issue":{"subject":"","project_id":79,"tracker_id":40,"status_id":1,"priority_id":2,"assigned_to_id":338,"start_date":"2018-01-09","description":"","custom_fields":[{"id":1,"name":"Subdivision","value":"EC"},{"id":4,"name":"Milepost","value":"23.3287"},{"id":17,"name":"Train ID","value":"195-09"},{"id":16,"name":"Locomotive ID","value":"4014"},{"id":130,"name":"Impact","value":""},{"id":150,"name":"Time of Event (Mountain Time)","value":"16:21:21"},{"id":151,"name":"Denver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9"/>
        <v>start /low /b %USERPROFILE%\Documents\GitHub\eaglep3\Utilities\DownloadLogsFromS3.py --loco 4014 --day 2018-01-09</v>
      </c>
      <c r="AN108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21"/>
        <v>https://d0f6bd738d7f1b3e5a7ca70fe4ff75f0.us-east-1.aws.found.io/app/kibana#/discover/Steve-Slow-Train-Analysis-(2080s-and-2083s)?_g=(refreshInterval:(display:Off,pause:!f,section:0,value:0),time:(from:'2018-01-09T14:31:01-0700',mode:absolute,to:'2018-01-09T17:21:21-0700'))&amp;_a=(columns:!('Message%20ID',Summary),filters:!(),index:'emp_*',interval:auto,query:(query_string:(analyze_wildcard:!t,query:'%22rtdc.l.rtdc.4014%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873</v>
      </c>
      <c r="B109" s="225">
        <v>4013</v>
      </c>
      <c r="C109" s="227" t="s">
        <v>191</v>
      </c>
      <c r="D109" s="227" t="s">
        <v>657</v>
      </c>
      <c r="E109" s="226">
        <v>43109.682905092595</v>
      </c>
      <c r="F109" s="226">
        <v>43109.685706018521</v>
      </c>
      <c r="G109" s="225">
        <v>99</v>
      </c>
      <c r="H109" s="227" t="s">
        <v>463</v>
      </c>
      <c r="I109" s="226">
        <v>43109.717569444445</v>
      </c>
      <c r="J109" s="225">
        <v>0</v>
      </c>
      <c r="K109" s="237" t="str">
        <f>IF(ISEVEN(B109),(B109-1)&amp;"/"&amp;B109,B109&amp;"/"&amp;(B109+1))</f>
        <v>4013/4014</v>
      </c>
      <c r="L109" s="245" t="str">
        <f>VLOOKUP(A109,'Trips&amp;Operators'!$C$1:$G$99911,5,FALSE)</f>
        <v>LONG FULLER</v>
      </c>
      <c r="M109" s="224">
        <f>I109-F109</f>
        <v>3.1863425923802424E-2</v>
      </c>
      <c r="N109" s="225">
        <f>24*60*SUM($M109:$M109)</f>
        <v>45.883333330275491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-09T15:23:23-0700',mode:absolute,to:'2018-01-09T18:13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23.296600000000002</v>
      </c>
      <c r="Z109" s="247">
        <f>RIGHT(H109,LEN(H109)-4)/10000</f>
        <v>2.01E-2</v>
      </c>
      <c r="AA109" s="247">
        <f>ABS(Z109-Y109)</f>
        <v>23.276500000000002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196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/stypes="app*4013*20180110*" /stext=" 00:.+((SYSTEM_STATE.+slice.+state.+changed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7"/>
        <v>"%USERPROFILE%\Documents\GitHub\eaglep3\Utilities\RefineRTDCRunTimes.py" --tripid 196-09 --locoid 4013 --swversion DE.1.0.9.0 --startMP 204:232966 --initTime 2018-01-09T16:23:23 --startdatetime 2018-01-09T16:27:25 --delay 99 --endMP 204:201 --enddatetime 2018-01-09T17:13:18 --enforcementcount 0 &gt;&gt;%USERPROFILE%\Documents\GitHub\eaglep3-reporting\EC\2018-01-09-refined-times.txt</v>
      </c>
      <c r="AI109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{"issue":{"subject":"","project_id":79,"tracker_id":40,"status_id":1,"priority_id":2,"assigned_to_id":338,"start_date":"2018-01-09","description":"","custom_fields":[{"id":1,"name":"Subdivision","value":"EC"},{"id":4,"name":"Milepost","value":"0.0201"},{"id":17,"name":"Train ID","value":"196-09"},{"id":16,"name":"Locomotive ID","value":"4013"},{"id":130,"name":"Impact","value":""},{"id":150,"name":"Time of Event (Mountain Time)","value":"17:13:18"},{"id":151,"name":"Denver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9"/>
        <v>start /low /b %USERPROFILE%\Documents\GitHub\eaglep3\Utilities\DownloadLogsFromS3.py --loco 4013 --day 2018-01-09</v>
      </c>
      <c r="AN109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00:13:18"},{"id":29,"name":"Sharepoint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21"/>
        <v>https://d0f6bd738d7f1b3e5a7ca70fe4ff75f0.us-east-1.aws.found.io/app/kibana#/discover/Steve-Slow-Train-Analysis-(2080s-and-2083s)?_g=(refreshInterval:(display:Off,pause:!f,section:0,value:0),time:(from:'2018-01-09T15:23:23-0700',mode:absolute,to:'2018-01-09T18:13:18-0700'))&amp;_a=(columns:!('Message%20ID',Summary),filters:!(),index:'emp_*',interval:auto,query:(query_string:(analyze_wildcard:!t,query:'%22rtdc.l.rtdc.4013%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867</v>
      </c>
      <c r="B110" s="225">
        <v>4034</v>
      </c>
      <c r="C110" s="227" t="s">
        <v>191</v>
      </c>
      <c r="D110" s="227" t="s">
        <v>479</v>
      </c>
      <c r="E110" s="226">
        <v>43109.651342592595</v>
      </c>
      <c r="F110" s="226">
        <v>43109.656909722224</v>
      </c>
      <c r="G110" s="225">
        <v>233</v>
      </c>
      <c r="H110" s="227" t="s">
        <v>663</v>
      </c>
      <c r="I110" s="226">
        <v>43109.684606481482</v>
      </c>
      <c r="J110" s="225">
        <v>0</v>
      </c>
      <c r="K110" s="237" t="str">
        <f>IF(ISEVEN(B110),(B110-1)&amp;"/"&amp;B110,B110&amp;"/"&amp;(B110+1))</f>
        <v>4033/4034</v>
      </c>
      <c r="L110" s="245" t="str">
        <f>VLOOKUP(A110,'Trips&amp;Operators'!$C$1:$G$99911,5,FALSE)</f>
        <v>MOSES BRADLEY</v>
      </c>
      <c r="M110" s="224">
        <f>I110-F110</f>
        <v>2.7696759258105885E-2</v>
      </c>
      <c r="N110" s="225">
        <f>24*60*SUM($M110:$M110)</f>
        <v>39.883333331672475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-09T14:37:56-0700',mode:absolute,to:'2018-01-09T17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4.9799999999999997E-2</v>
      </c>
      <c r="Z110" s="247">
        <f>RIGHT(H110,LEN(H110)-4)/10000</f>
        <v>23.3278</v>
      </c>
      <c r="AA110" s="247">
        <f>ABS(Z110-Y110)</f>
        <v>23.277999999999999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197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/stypes="app*4034*20180109*" /stext=" 23:.+((SYSTEM_STATE.+slice.+state.+changed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7"/>
        <v>"%USERPROFILE%\Documents\GitHub\eaglep3\Utilities\RefineRTDCRunTimes.py" --tripid 197-09 --locoid 4034 --swversion DE.1.0.9.0 --startMP 204:498 --initTime 2018-01-09T15:37:56 --startdatetime 2018-01-09T15:45:57 --delay 233 --endMP 204:233278 --enddatetime 2018-01-09T16:25:50 --enforcementcount 0 &gt;&gt;%USERPROFILE%\Documents\GitHub\eaglep3-reporting\EC\2018-01-09-refined-times.txt</v>
      </c>
      <c r="AI110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{"issue":{"subject":"","project_id":79,"tracker_id":40,"status_id":1,"priority_id":2,"assigned_to_id":338,"start_date":"2018-01-09","description":"","custom_fields":[{"id":1,"name":"Subdivision","value":"EC"},{"id":4,"name":"Milepost","value":"23.3278"},{"id":17,"name":"Train ID","value":"197-09"},{"id":16,"name":"Locomotive ID","value":"4034"},{"id":130,"name":"Impact","value":""},{"id":150,"name":"Time of Event (Mountain Time)","value":"16:25:50"},{"id":151,"name":"Denver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9"/>
        <v>start /low /b %USERPROFILE%\Documents\GitHub\eaglep3\Utilities\DownloadLogsFromS3.py --loco 4034 --day 2018-01-09</v>
      </c>
      <c r="AN110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21"/>
        <v>https://d0f6bd738d7f1b3e5a7ca70fe4ff75f0.us-east-1.aws.found.io/app/kibana#/discover/Steve-Slow-Train-Analysis-(2080s-and-2083s)?_g=(refreshInterval:(display:Off,pause:!f,section:0,value:0),time:(from:'2018-01-09T14:37:56-0700',mode:absolute,to:'2018-01-09T17:25:50-0700'))&amp;_a=(columns:!('Message%20ID',Summary),filters:!(),index:'emp_*',interval:auto,query:(query_string:(analyze_wildcard:!t,query:'%22rtdc.l.rtdc.4034%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877</v>
      </c>
      <c r="B111" s="225">
        <v>4033</v>
      </c>
      <c r="C111" s="227" t="s">
        <v>191</v>
      </c>
      <c r="D111" s="227" t="s">
        <v>550</v>
      </c>
      <c r="E111" s="226">
        <v>43109.692893518521</v>
      </c>
      <c r="F111" s="226">
        <v>43109.69604166667</v>
      </c>
      <c r="G111" s="225">
        <v>91</v>
      </c>
      <c r="H111" s="227" t="s">
        <v>608</v>
      </c>
      <c r="I111" s="226">
        <v>43109.724768518521</v>
      </c>
      <c r="J111" s="225">
        <v>0</v>
      </c>
      <c r="K111" s="237" t="str">
        <f>IF(ISEVEN(B111),(B111-1)&amp;"/"&amp;B111,B111&amp;"/"&amp;(B111+1))</f>
        <v>4033/4034</v>
      </c>
      <c r="L111" s="245" t="str">
        <f>VLOOKUP(A111,'Trips&amp;Operators'!$C$1:$G$99911,5,FALSE)</f>
        <v>MOSES BRADLEY</v>
      </c>
      <c r="M111" s="224">
        <f>I111-F111</f>
        <v>2.8726851851388346E-2</v>
      </c>
      <c r="N111" s="225">
        <f>24*60*SUM($M111:$M111)</f>
        <v>41.366666665999219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-09T15:37:46-0700',mode:absolute,to:'2018-01-09T18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23.295300000000001</v>
      </c>
      <c r="Z111" s="247">
        <f>RIGHT(H111,LEN(H111)-4)/10000</f>
        <v>2.6499999999999999E-2</v>
      </c>
      <c r="AA111" s="247">
        <f>ABS(Z111-Y111)</f>
        <v>23.268800000000002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198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/stypes="app*4033*20180110*"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7"/>
        <v>"%USERPROFILE%\Documents\GitHub\eaglep3\Utilities\RefineRTDCRunTimes.py" --tripid 198-09 --locoid 4033 --swversion DE.1.0.9.0 --startMP 204:232953 --initTime 2018-01-09T16:37:46 --startdatetime 2018-01-09T16:42:18 --delay 91 --endMP 204:265 --enddatetime 2018-01-09T17:23:40 --enforcementcount 0 &gt;&gt;%USERPROFILE%\Documents\GitHub\eaglep3-reporting\EC\2018-01-09-refined-times.txt</v>
      </c>
      <c r="AI111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{"issue":{"subject":"","project_id":79,"tracker_id":40,"status_id":1,"priority_id":2,"assigned_to_id":338,"start_date":"2018-01-09","description":"","custom_fields":[{"id":1,"name":"Subdivision","value":"EC"},{"id":4,"name":"Milepost","value":"0.0265"},{"id":17,"name":"Train ID","value":"198-09"},{"id":16,"name":"Locomotive ID","value":"4033"},{"id":130,"name":"Impact","value":""},{"id":150,"name":"Time of Event (Mountain Time)","value":"17:23:40"},{"id":151,"name":"Denver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9"/>
        <v>start /low /b %USERPROFILE%\Documents\GitHub\eaglep3\Utilities\DownloadLogsFromS3.py --loco 4033 --day 2018-01-09</v>
      </c>
      <c r="AN111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21"/>
        <v>https://d0f6bd738d7f1b3e5a7ca70fe4ff75f0.us-east-1.aws.found.io/app/kibana#/discover/Steve-Slow-Train-Analysis-(2080s-and-2083s)?_g=(refreshInterval:(display:Off,pause:!f,section:0,value:0),time:(from:'2018-01-09T15:37:46-0700',mode:absolute,to:'2018-01-09T18:23:40-0700'))&amp;_a=(columns:!('Message%20ID',Summary),filters:!(),index:'emp_*',interval:auto,query:(query_string:(analyze_wildcard:!t,query:'%22rtdc.l.rtdc.4033%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869</v>
      </c>
      <c r="B112" s="225">
        <v>4050</v>
      </c>
      <c r="C112" s="227" t="s">
        <v>191</v>
      </c>
      <c r="D112" s="227" t="s">
        <v>635</v>
      </c>
      <c r="E112" s="226">
        <v>43109.662488425929</v>
      </c>
      <c r="F112" s="226">
        <v>43109.666828703703</v>
      </c>
      <c r="G112" s="225">
        <v>171</v>
      </c>
      <c r="H112" s="227" t="s">
        <v>953</v>
      </c>
      <c r="I112" s="226">
        <v>43109.69327546296</v>
      </c>
      <c r="J112" s="225">
        <v>0</v>
      </c>
      <c r="K112" s="237" t="str">
        <f>IF(ISEVEN(B112),(B112-1)&amp;"/"&amp;B112,B112&amp;"/"&amp;(B112+1))</f>
        <v>4049/4050</v>
      </c>
      <c r="L112" s="245" t="str">
        <f>VLOOKUP(A112,'Trips&amp;Operators'!$C$1:$G$99911,5,FALSE)</f>
        <v>DE LA ROSA ALEX</v>
      </c>
      <c r="M112" s="224">
        <f>I112-F112</f>
        <v>2.6446759256941732E-2</v>
      </c>
      <c r="N112" s="225">
        <f>24*60*SUM($M112:$M112)</f>
        <v>38.083333329996094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-09T14:53:59-0700',mode:absolute,to:'2018-01-09T17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4.9299999999999997E-2</v>
      </c>
      <c r="Z112" s="247">
        <f>RIGHT(H112,LEN(H112)-4)/10000</f>
        <v>23.329799999999999</v>
      </c>
      <c r="AA112" s="247">
        <f>ABS(Z112-Y112)</f>
        <v>23.2805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199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/stypes="app*4050*20180109*"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7"/>
        <v>"%USERPROFILE%\Documents\GitHub\eaglep3\Utilities\RefineRTDCRunTimes.py" --tripid 199-09 --locoid 4050 --swversion DE.1.0.9.0 --startMP 204:493 --initTime 2018-01-09T15:53:59 --startdatetime 2018-01-09T16:00:14 --delay 171 --endMP 204:233298 --enddatetime 2018-01-09T16:38:19 --enforcementcount 0 &gt;&gt;%USERPROFILE%\Documents\GitHub\eaglep3-reporting\EC\2018-01-09-refined-times.txt</v>
      </c>
      <c r="AI11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{"issue":{"subject":"","project_id":79,"tracker_id":40,"status_id":1,"priority_id":2,"assigned_to_id":338,"start_date":"2018-01-09","description":"","custom_fields":[{"id":1,"name":"Subdivision","value":"EC"},{"id":4,"name":"Milepost","value":"23.3298"},{"id":17,"name":"Train ID","value":"199-09"},{"id":16,"name":"Locomotive ID","value":"4050"},{"id":130,"name":"Impact","value":""},{"id":150,"name":"Time of Event (Mountain Time)","value":"16:38:19"},{"id":151,"name":"Denver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19"/>
        <v>start /low /b %USERPROFILE%\Documents\GitHub\eaglep3\Utilities\DownloadLogsFromS3.py --loco 4050 --day 2018-01-09</v>
      </c>
      <c r="AN112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21"/>
        <v>https://d0f6bd738d7f1b3e5a7ca70fe4ff75f0.us-east-1.aws.found.io/app/kibana#/discover/Steve-Slow-Train-Analysis-(2080s-and-2083s)?_g=(refreshInterval:(display:Off,pause:!f,section:0,value:0),time:(from:'2018-01-09T14:53:59-0700',mode:absolute,to:'2018-01-09T17:38:19-0700'))&amp;_a=(columns:!('Message%20ID',Summary),filters:!(),index:'emp_*',interval:auto,query:(query_string:(analyze_wildcard:!t,query:'%22rtdc.l.rtdc.4050%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879</v>
      </c>
      <c r="B113" s="225">
        <v>4049</v>
      </c>
      <c r="C113" s="227" t="s">
        <v>191</v>
      </c>
      <c r="D113" s="227" t="s">
        <v>606</v>
      </c>
      <c r="E113" s="226">
        <v>43109.702743055554</v>
      </c>
      <c r="F113" s="226">
        <v>43109.707118055558</v>
      </c>
      <c r="G113" s="225">
        <v>57</v>
      </c>
      <c r="H113" s="227" t="s">
        <v>483</v>
      </c>
      <c r="I113" s="226">
        <v>43109.734270833331</v>
      </c>
      <c r="J113" s="225">
        <v>0</v>
      </c>
      <c r="K113" s="237" t="str">
        <f>IF(ISEVEN(B113),(B113-1)&amp;"/"&amp;B113,B113&amp;"/"&amp;(B113+1))</f>
        <v>4049/4050</v>
      </c>
      <c r="L113" s="245" t="str">
        <f>VLOOKUP(A113,'Trips&amp;Operators'!$C$1:$G$99911,5,FALSE)</f>
        <v>DE LA ROSA ALEX</v>
      </c>
      <c r="M113" s="224">
        <f>I113-F113</f>
        <v>2.7152777773153502E-2</v>
      </c>
      <c r="N113" s="225">
        <f>24*60*SUM($M113:$M113)</f>
        <v>39.099999993341044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-09T15:51:57-0700',mode:absolute,to:'2018-01-09T18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23.296399999999998</v>
      </c>
      <c r="Z113" s="247">
        <f>RIGHT(H113,LEN(H113)-4)/10000</f>
        <v>2.18E-2</v>
      </c>
      <c r="AA113" s="247">
        <f>ABS(Z113-Y113)</f>
        <v>23.2746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200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/stypes="app*4049*20180110*"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7"/>
        <v>"%USERPROFILE%\Documents\GitHub\eaglep3\Utilities\RefineRTDCRunTimes.py" --tripid 200-09 --locoid 4049 --swversion DE.1.0.9.0 --startMP 204:232964 --initTime 2018-01-09T16:51:57 --startdatetime 2018-01-09T16:58:15 --delay 57 --endMP 204:218 --enddatetime 2018-01-09T17:37:21 --enforcementcount 0 &gt;&gt;%USERPROFILE%\Documents\GitHub\eaglep3-reporting\EC\2018-01-09-refined-times.txt</v>
      </c>
      <c r="AI11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{"issue":{"subject":"","project_id":79,"tracker_id":40,"status_id":1,"priority_id":2,"assigned_to_id":338,"start_date":"2018-01-09","description":"","custom_fields":[{"id":1,"name":"Subdivision","value":"EC"},{"id":4,"name":"Milepost","value":"0.0218"},{"id":17,"name":"Train ID","value":"200-09"},{"id":16,"name":"Locomotive ID","value":"4049"},{"id":130,"name":"Impact","value":""},{"id":150,"name":"Time of Event (Mountain Time)","value":"17:37:21"},{"id":151,"name":"Denver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9"/>
        <v>start /low /b %USERPROFILE%\Documents\GitHub\eaglep3\Utilities\DownloadLogsFromS3.py --loco 4049 --day 2018-01-09</v>
      </c>
      <c r="AN113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21"/>
        <v>https://d0f6bd738d7f1b3e5a7ca70fe4ff75f0.us-east-1.aws.found.io/app/kibana#/discover/Steve-Slow-Train-Analysis-(2080s-and-2083s)?_g=(refreshInterval:(display:Off,pause:!f,section:0,value:0),time:(from:'2018-01-09T15:51:57-0700',mode:absolute,to:'2018-01-09T18:37:21-0700'))&amp;_a=(columns:!('Message%20ID',Summary),filters:!(),index:'emp_*',interval:auto,query:(query_string:(analyze_wildcard:!t,query:'%22rtdc.l.rtdc.4049%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872</v>
      </c>
      <c r="B114" s="225">
        <v>4016</v>
      </c>
      <c r="C114" s="227" t="s">
        <v>191</v>
      </c>
      <c r="D114" s="227" t="s">
        <v>982</v>
      </c>
      <c r="E114" s="226">
        <v>43109.674872685187</v>
      </c>
      <c r="F114" s="226">
        <v>43109.677256944444</v>
      </c>
      <c r="G114" s="225">
        <v>55</v>
      </c>
      <c r="H114" s="227" t="s">
        <v>663</v>
      </c>
      <c r="I114" s="226">
        <v>43109.703287037039</v>
      </c>
      <c r="J114" s="225">
        <v>0</v>
      </c>
      <c r="K114" s="237" t="str">
        <f>IF(ISEVEN(B114),(B114-1)&amp;"/"&amp;B114,B114&amp;"/"&amp;(B114+1))</f>
        <v>4015/4016</v>
      </c>
      <c r="L114" s="245" t="str">
        <f>VLOOKUP(A114,'Trips&amp;Operators'!$C$1:$G$99911,5,FALSE)</f>
        <v>SMITH MICHAEL</v>
      </c>
      <c r="M114" s="224">
        <f>I114-F114</f>
        <v>2.6030092594737653E-2</v>
      </c>
      <c r="N114" s="225">
        <f>24*60*SUM($M114:$M114)</f>
        <v>37.48333333642222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-09T15:11:49-0700',mode:absolute,to:'2018-01-09T17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5.4800000000000001E-2</v>
      </c>
      <c r="Z114" s="247">
        <f>RIGHT(H114,LEN(H114)-4)/10000</f>
        <v>23.3278</v>
      </c>
      <c r="AA114" s="247">
        <f>ABS(Z114-Y114)</f>
        <v>23.273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201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/stypes="app*4016*20180109*"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7"/>
        <v>"%USERPROFILE%\Documents\GitHub\eaglep3\Utilities\RefineRTDCRunTimes.py" --tripid 201-09 --locoid 4016 --swversion DE.1.0.9.0 --startMP 204:548 --initTime 2018-01-09T16:11:49 --startdatetime 2018-01-09T16:15:15 --delay 55 --endMP 204:233278 --enddatetime 2018-01-09T16:52:44 --enforcementcount 0 &gt;&gt;%USERPROFILE%\Documents\GitHub\eaglep3-reporting\EC\2018-01-09-refined-times.txt</v>
      </c>
      <c r="AI11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{"issue":{"subject":"","project_id":79,"tracker_id":40,"status_id":1,"priority_id":2,"assigned_to_id":338,"start_date":"2018-01-09","description":"","custom_fields":[{"id":1,"name":"Subdivision","value":"EC"},{"id":4,"name":"Milepost","value":"23.3278"},{"id":17,"name":"Train ID","value":"201-09"},{"id":16,"name":"Locomotive ID","value":"4016"},{"id":130,"name":"Impact","value":""},{"id":150,"name":"Time of Event (Mountain Time)","value":"16:52:44"},{"id":151,"name":"Denver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9"/>
        <v>start /low /b %USERPROFILE%\Documents\GitHub\eaglep3\Utilities\DownloadLogsFromS3.py --loco 4016 --day 2018-01-09</v>
      </c>
      <c r="AN114" s="241" t="str">
        <f t="shared" si="20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21"/>
        <v>https://d0f6bd738d7f1b3e5a7ca70fe4ff75f0.us-east-1.aws.found.io/app/kibana#/discover/Steve-Slow-Train-Analysis-(2080s-and-2083s)?_g=(refreshInterval:(display:Off,pause:!f,section:0,value:0),time:(from:'2018-01-09T15:11:49-0700',mode:absolute,to:'2018-01-09T17:52:44-0700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882</v>
      </c>
      <c r="B115" s="225">
        <v>4015</v>
      </c>
      <c r="C115" s="227" t="s">
        <v>191</v>
      </c>
      <c r="D115" s="227" t="s">
        <v>601</v>
      </c>
      <c r="E115" s="226">
        <v>43109.708969907406</v>
      </c>
      <c r="F115" s="226">
        <v>43109.716863425929</v>
      </c>
      <c r="G115" s="225">
        <v>70</v>
      </c>
      <c r="H115" s="227" t="s">
        <v>572</v>
      </c>
      <c r="I115" s="226">
        <v>43109.744722222225</v>
      </c>
      <c r="J115" s="225">
        <v>0</v>
      </c>
      <c r="K115" s="237" t="str">
        <f>IF(ISEVEN(B115),(B115-1)&amp;"/"&amp;B115,B115&amp;"/"&amp;(B115+1))</f>
        <v>4015/4016</v>
      </c>
      <c r="L115" s="245" t="str">
        <f>VLOOKUP(A115,'Trips&amp;Operators'!$C$1:$G$99911,5,FALSE)</f>
        <v>SMITH MICHAEL</v>
      </c>
      <c r="M115" s="224">
        <f>I115-F115</f>
        <v>2.7858796296641231E-2</v>
      </c>
      <c r="N115" s="225">
        <f>24*60*SUM($M115:$M115)</f>
        <v>40.116666667163372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-09T16:00:55-0700',mode:absolute,to:'2018-01-09T18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23.2957</v>
      </c>
      <c r="Z115" s="247">
        <f>RIGHT(H115,LEN(H115)-4)/10000</f>
        <v>1.7000000000000001E-2</v>
      </c>
      <c r="AA115" s="247">
        <f>ABS(Z115-Y115)</f>
        <v>23.278700000000001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202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/stypes="app*4015*20180110*"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7"/>
        <v>"%USERPROFILE%\Documents\GitHub\eaglep3\Utilities\RefineRTDCRunTimes.py" --tripid 202-09 --locoid 4015 --swversion DE.1.0.9.0 --startMP 204:232957 --initTime 2018-01-09T17:00:55 --startdatetime 2018-01-09T17:12:17 --delay 70 --endMP 204:170 --enddatetime 2018-01-09T17:52:24 --enforcementcount 0 &gt;&gt;%USERPROFILE%\Documents\GitHub\eaglep3-reporting\EC\2018-01-09-refined-times.txt</v>
      </c>
      <c r="AI11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{"issue":{"subject":"","project_id":79,"tracker_id":40,"status_id":1,"priority_id":2,"assigned_to_id":338,"start_date":"2018-01-09","description":"","custom_fields":[{"id":1,"name":"Subdivision","value":"EC"},{"id":4,"name":"Milepost","value":"0.017"},{"id":17,"name":"Train ID","value":"202-09"},{"id":16,"name":"Locomotive ID","value":"4015"},{"id":130,"name":"Impact","value":""},{"id":150,"name":"Time of Event (Mountain Time)","value":"17:52:24"},{"id":151,"name":"Denver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9"/>
        <v>start /low /b %USERPROFILE%\Documents\GitHub\eaglep3\Utilities\DownloadLogsFromS3.py --loco 4015 --day 2018-01-09</v>
      </c>
      <c r="AN115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21"/>
        <v>https://d0f6bd738d7f1b3e5a7ca70fe4ff75f0.us-east-1.aws.found.io/app/kibana#/discover/Steve-Slow-Train-Analysis-(2080s-and-2083s)?_g=(refreshInterval:(display:Off,pause:!f,section:0,value:0),time:(from:'2018-01-09T16:00:55-0700',mode:absolute,to:'2018-01-09T18:52:24-0700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875</v>
      </c>
      <c r="B116" s="225">
        <v>4056</v>
      </c>
      <c r="C116" s="227" t="s">
        <v>191</v>
      </c>
      <c r="D116" s="227" t="s">
        <v>601</v>
      </c>
      <c r="E116" s="226">
        <v>43109.708969907406</v>
      </c>
      <c r="F116" s="226">
        <v>43109.689363425925</v>
      </c>
      <c r="G116" s="225">
        <v>70</v>
      </c>
      <c r="H116" s="227" t="s">
        <v>572</v>
      </c>
      <c r="I116" s="226">
        <v>43109.714456018519</v>
      </c>
      <c r="J116" s="225">
        <v>0</v>
      </c>
      <c r="K116" s="237" t="str">
        <f>IF(ISEVEN(B116),(B116-1)&amp;"/"&amp;B116,B116&amp;"/"&amp;(B116+1))</f>
        <v>4055/4056</v>
      </c>
      <c r="L116" s="245" t="str">
        <f>VLOOKUP(A116,'Trips&amp;Operators'!$C$1:$G$99911,5,FALSE)</f>
        <v>BRUDER RICHARD</v>
      </c>
      <c r="M116" s="224">
        <f>I116-F116</f>
        <v>2.5092592593864538E-2</v>
      </c>
      <c r="N116" s="225">
        <f>24*60*SUM($M116:$M116)</f>
        <v>36.133333335164934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-09T16:00:55-0700',mode:absolute,to:'2018-01-09T18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v>8.1000000000000003E-2</v>
      </c>
      <c r="Z116" s="247">
        <v>23.321899999999999</v>
      </c>
      <c r="AA116" s="247">
        <f>ABS(Z116-Y116)</f>
        <v>23.2409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203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/stypes="app*4056*20180110*"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ref="AH116" si="22"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203-09 --locoid 4056 --swversion DE.1.0.9.0 --startMP 204:232957 --initTime 2018-01-09T17:00:55 --startdatetime 2018-01-09T16:32:41 --delay 70 --endMP 204:170 --enddatetime 2018-01-09T17:08:49 --enforcementcount 0 &gt;&gt;%USERPROFILE%\Documents\GitHub\eaglep3-reporting\EC\2018-01-09-refined-times.txt</v>
      </c>
      <c r="AI116" s="238" t="str">
        <f t="shared" ref="AI116" si="23"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{"issue":{"subject":"","project_id":79,"tracker_id":40,"status_id":1,"priority_id":2,"assigned_to_id":338,"start_date":"2018-01-09","description":"","custom_fields":[{"id":1,"name":"Subdivision","value":"EC"},{"id":4,"name":"Milepost","value":"23.3219"},{"id":17,"name":"Train ID","value":"203-09"},{"id":16,"name":"Locomotive ID","value":"4056"},{"id":130,"name":"Impact","value":""},{"id":150,"name":"Time of Event (Mountain Time)","value":"17:08:49"},{"id":151,"name":"Denver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ref="AM116" si="24">"start /low /b "&amp;dls3logs&amp;" --loco "&amp;B116&amp;" --day "&amp;TEXT(F116,"YYYY-MM-DD")</f>
        <v>start /low /b %USERPROFILE%\Documents\GitHub\eaglep3\Utilities\DownloadLogsFromS3.py --loco 4056 --day 2018-01-09</v>
      </c>
      <c r="AN116" s="241" t="str">
        <f t="shared" ref="AN116" si="25"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ref="AO116" si="26"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-09T16:00:55-0700',mode:absolute,to:'2018-01-09T18:08:49-0700'))&amp;_a=(columns:!('Message%20ID',Summary),filters:!(),index:'emp_*',interval:auto,query:(query_string:(analyze_wildcard:!t,query:'%22rtdc.l.rtdc.4056%22')),sort:!(Time.ISO8601,asc))</v>
      </c>
    </row>
    <row r="117" spans="1:91" s="20" customFormat="1" x14ac:dyDescent="0.3">
      <c r="A117" s="229" t="s">
        <v>887</v>
      </c>
      <c r="B117" s="225">
        <v>4055</v>
      </c>
      <c r="C117" s="227" t="s">
        <v>191</v>
      </c>
      <c r="D117" s="227" t="s">
        <v>640</v>
      </c>
      <c r="E117" s="226">
        <v>43109.724166666667</v>
      </c>
      <c r="F117" s="226">
        <v>43109.727314814816</v>
      </c>
      <c r="G117" s="225">
        <v>86</v>
      </c>
      <c r="H117" s="227" t="s">
        <v>498</v>
      </c>
      <c r="I117" s="226">
        <v>43109.767199074071</v>
      </c>
      <c r="J117" s="225">
        <v>0</v>
      </c>
      <c r="K117" s="237" t="str">
        <f>IF(ISEVEN(B117),(B117-1)&amp;"/"&amp;B117,B117&amp;"/"&amp;(B117+1))</f>
        <v>4055/4056</v>
      </c>
      <c r="L117" s="245" t="str">
        <f>VLOOKUP(A117,'Trips&amp;Operators'!$C$1:$G$99911,5,FALSE)</f>
        <v>BRUDER RICHARD</v>
      </c>
      <c r="M117" s="224">
        <f>I117-F117</f>
        <v>3.9884259254904464E-2</v>
      </c>
      <c r="N117" s="225">
        <f>24*60*SUM($M117:$M117)</f>
        <v>57.433333327062428</v>
      </c>
      <c r="O117" s="225"/>
      <c r="P117" s="225"/>
      <c r="Q117" s="228"/>
      <c r="R117" s="242" t="s">
        <v>1082</v>
      </c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-09T16:22:48-0700',mode:absolute,to:'2018-01-09T19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23.288900000000002</v>
      </c>
      <c r="Z117" s="247">
        <f>RIGHT(H117,LEN(H117)-4)/10000</f>
        <v>2.3099999999999999E-2</v>
      </c>
      <c r="AA117" s="247">
        <f>ABS(Z117-Y117)</f>
        <v>23.265800000000002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204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/stypes="app*4055*20180110*"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7"/>
        <v>"%USERPROFILE%\Documents\GitHub\eaglep3\Utilities\RefineRTDCRunTimes.py" --tripid 204-09 --locoid 4055 --swversion DE.1.0.9.0 --startMP 204:232889 --initTime 2018-01-09T17:22:48 --startdatetime 2018-01-09T17:27:20 --delay 86 --endMP 204:231 --enddatetime 2018-01-09T18:24:46 --enforcementcount 0 &gt;&gt;%USERPROFILE%\Documents\GitHub\eaglep3-reporting\EC\2018-01-09-refined-times.txt</v>
      </c>
      <c r="AI117" s="238" t="str">
        <f t="shared" si="18"/>
        <v>echo {"issue":{"subject":"Trip delay due to passenger disturbance (59551)","project_id":79,"tracker_id":40,"status_id":1,"priority_id":2,"assigned_to_id":338,"start_date":"2018-01-09","description":"","custom_fields":[{"id":1,"name":"Subdivision","value":"EC"},{"id":4,"name":"Milepost","value":"0.0231"},{"id":17,"name":"Train ID","value":"204-09"},{"id":16,"name":"Locomotive ID","value":"4055"},{"id":130,"name":"Impact","value":""},{"id":150,"name":"Time of Event (Mountain Time)","value":"18:24:46"},{"id":151,"name":"Denver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9"/>
        <v>start /low /b %USERPROFILE%\Documents\GitHub\eaglep3\Utilities\DownloadLogsFromS3.py --loco 4055 --day 2018-01-09</v>
      </c>
      <c r="AN117" s="241" t="str">
        <f t="shared" si="20"/>
        <v>echo {"issue":{"subject":"Trip delay due to passenger disturbance (59551)","project_id":30,"tracker_id":4,"status_id":1,"priority_id":1,"assigned_to_id":10,"start_date":"2018-01-10","description":"","custom_fields":[{"id":30,"name":"Category","value":"Issue"},{"id":3,"name":"Functional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21"/>
        <v>https://d0f6bd738d7f1b3e5a7ca70fe4ff75f0.us-east-1.aws.found.io/app/kibana#/discover/Steve-Slow-Train-Analysis-(2080s-and-2083s)?_g=(refreshInterval:(display:Off,pause:!f,section:0,value:0),time:(from:'2018-01-09T16:22:48-0700',mode:absolute,to:'2018-01-09T19:24:46-0700'))&amp;_a=(columns:!('Message%20ID',Summary),filters:!(),index:'emp_*',interval:auto,query:(query_string:(analyze_wildcard:!t,query:'%22rtdc.l.rtdc.4055%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878</v>
      </c>
      <c r="B118" s="225">
        <v>4064</v>
      </c>
      <c r="C118" s="227" t="s">
        <v>191</v>
      </c>
      <c r="D118" s="227" t="s">
        <v>546</v>
      </c>
      <c r="E118" s="226">
        <v>43109.693865740737</v>
      </c>
      <c r="F118" s="226">
        <v>43109.698148148149</v>
      </c>
      <c r="G118" s="225">
        <v>58</v>
      </c>
      <c r="H118" s="227" t="s">
        <v>983</v>
      </c>
      <c r="I118" s="226">
        <v>43109.724710648145</v>
      </c>
      <c r="J118" s="225">
        <v>0</v>
      </c>
      <c r="K118" s="237" t="str">
        <f>IF(ISEVEN(B118),(B118-1)&amp;"/"&amp;B118,B118&amp;"/"&amp;(B118+1))</f>
        <v>4063/4064</v>
      </c>
      <c r="L118" s="245" t="str">
        <f>VLOOKUP(A118,'Trips&amp;Operators'!$C$1:$G$99911,5,FALSE)</f>
        <v>STEWART MICHAEL</v>
      </c>
      <c r="M118" s="224">
        <f>I118-F118</f>
        <v>2.6562499995634425E-2</v>
      </c>
      <c r="N118" s="225">
        <f>24*60*SUM($M118:$M118)</f>
        <v>38.249999993713573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-09T15:39:10-0700',mode:absolute,to:'2018-01-09T18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5.0200000000000002E-2</v>
      </c>
      <c r="Z118" s="247">
        <f>RIGHT(H118,LEN(H118)-4)/10000</f>
        <v>23.3232</v>
      </c>
      <c r="AA118" s="247">
        <f>ABS(Z118-Y118)</f>
        <v>23.273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205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 &amp; aws s3 cp s3://rtdc.mdm.uploadarchive.raw/RTDC4064/ "%USERPROFILE%\AppData\Local\Temp\OnboardLogs"\RTDC4064\2018-01-10 --exclude "*" --recursive --include "*20180110*" &amp; "%USERPROFILE%\Documents\GitHub\mrs-test-scripts\Headless Mode &amp; Sideloading\WalkAndUnGZ.bat" "%USERPROFILE%\AppData\Local\Temp\OnboardLogs"\RTDC4064\2018-01-10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/stypes="app*4064*20180110*"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7"/>
        <v>"%USERPROFILE%\Documents\GitHub\eaglep3\Utilities\RefineRTDCRunTimes.py" --tripid 205-09 --locoid 4064 --swversion DE.1.0.9.0 --startMP 204:502 --initTime 2018-01-09T16:39:10 --startdatetime 2018-01-09T16:45:20 --delay 58 --endMP 204:233232 --enddatetime 2018-01-09T17:23:35 --enforcementcount 0 &gt;&gt;%USERPROFILE%\Documents\GitHub\eaglep3-reporting\EC\2018-01-09-refined-times.txt</v>
      </c>
      <c r="AI118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{"issue":{"subject":"","project_id":79,"tracker_id":40,"status_id":1,"priority_id":2,"assigned_to_id":338,"start_date":"2018-01-09","description":"","custom_fields":[{"id":1,"name":"Subdivision","value":"EC"},{"id":4,"name":"Milepost","value":"23.3232"},{"id":17,"name":"Train ID","value":"205-09"},{"id":16,"name":"Locomotive ID","value":"4064"},{"id":130,"name":"Impact","value":""},{"id":150,"name":"Time of Event (Mountain Time)","value":"17:23:35"},{"id":151,"name":"Denver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9"/>
        <v>start /low /b %USERPROFILE%\Documents\GitHub\eaglep3\Utilities\DownloadLogsFromS3.py --loco 4064 --day 2018-01-09</v>
      </c>
      <c r="AN118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21"/>
        <v>https://d0f6bd738d7f1b3e5a7ca70fe4ff75f0.us-east-1.aws.found.io/app/kibana#/discover/Steve-Slow-Train-Analysis-(2080s-and-2083s)?_g=(refreshInterval:(display:Off,pause:!f,section:0,value:0),time:(from:'2018-01-09T15:39:10-0700',mode:absolute,to:'2018-01-09T18:23:35-0700'))&amp;_a=(columns:!('Message%20ID',Summary),filters:!(),index:'emp_*',interval:auto,query:(query_string:(analyze_wildcard:!t,query:'%22rtdc.l.rtdc.4064%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891</v>
      </c>
      <c r="B119" s="225">
        <v>4063</v>
      </c>
      <c r="C119" s="227" t="s">
        <v>191</v>
      </c>
      <c r="D119" s="227" t="s">
        <v>583</v>
      </c>
      <c r="E119" s="226">
        <v>43109.733414351853</v>
      </c>
      <c r="F119" s="226">
        <v>43109.737719907411</v>
      </c>
      <c r="G119" s="225">
        <v>60</v>
      </c>
      <c r="H119" s="227" t="s">
        <v>984</v>
      </c>
      <c r="I119" s="226">
        <v>43109.772083333337</v>
      </c>
      <c r="J119" s="225">
        <v>0</v>
      </c>
      <c r="K119" s="237" t="str">
        <f>IF(ISEVEN(B119),(B119-1)&amp;"/"&amp;B119,B119&amp;"/"&amp;(B119+1))</f>
        <v>4063/4064</v>
      </c>
      <c r="L119" s="245" t="str">
        <f>VLOOKUP(A119,'Trips&amp;Operators'!$C$1:$G$99911,5,FALSE)</f>
        <v>STEWART MICHAEL</v>
      </c>
      <c r="M119" s="224">
        <f>I119-F119</f>
        <v>3.4363425926130731E-2</v>
      </c>
      <c r="N119" s="225">
        <f>24*60*SUM($M119:$M119)</f>
        <v>49.483333333628252</v>
      </c>
      <c r="O119" s="225"/>
      <c r="P119" s="225"/>
      <c r="Q119" s="228"/>
      <c r="R119" s="242" t="s">
        <v>1083</v>
      </c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-09T16:36:07-0700',mode:absolute,to:'2018-01-09T19:31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23.293399999999998</v>
      </c>
      <c r="Z119" s="247">
        <f>RIGHT(H119,LEN(H119)-4)/10000</f>
        <v>0.1865</v>
      </c>
      <c r="AA119" s="247">
        <f>ABS(Z119-Y119)</f>
        <v>23.1069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206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/stypes="app*4063*20180110*"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7"/>
        <v>"%USERPROFILE%\Documents\GitHub\eaglep3\Utilities\RefineRTDCRunTimes.py" --tripid 206-09 --locoid 4063 --swversion DE.1.0.9.0 --startMP 204:232934 --initTime 2018-01-09T17:36:07 --startdatetime 2018-01-09T17:42:19 --delay 60 --endMP 204:1865 --enddatetime 2018-01-09T18:31:48 --enforcementcount 0 &gt;&gt;%USERPROFILE%\Documents\GitHub\eaglep3-reporting\EC\2018-01-09-refined-times.txt</v>
      </c>
      <c r="AI119" s="238" t="str">
        <f t="shared" si="18"/>
        <v>echo {"issue":{"subject":"Cascade delay from 204-09","project_id":79,"tracker_id":40,"status_id":1,"priority_id":2,"assigned_to_id":338,"start_date":"2018-01-09","description":"","custom_fields":[{"id":1,"name":"Subdivision","value":"EC"},{"id":4,"name":"Milepost","value":"0.1865"},{"id":17,"name":"Train ID","value":"206-09"},{"id":16,"name":"Locomotive ID","value":"4063"},{"id":130,"name":"Impact","value":""},{"id":150,"name":"Time of Event (Mountain Time)","value":"18:31:48"},{"id":151,"name":"Denver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9"/>
        <v>start /low /b %USERPROFILE%\Documents\GitHub\eaglep3\Utilities\DownloadLogsFromS3.py --loco 4063 --day 2018-01-09</v>
      </c>
      <c r="AN119" s="241" t="str">
        <f t="shared" si="20"/>
        <v>echo {"issue":{"subject":"Cascade delay from 204-09","project_id":30,"tracker_id":4,"status_id":1,"priority_id":1,"assigned_to_id":10,"start_date":"2018-01-10","description":"","custom_fields":[{"id":30,"name":"Category","value":"Issue"},{"id":3,"name":"Functional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01:31:48"},{"id":29,"name":"Sharepoint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21"/>
        <v>https://d0f6bd738d7f1b3e5a7ca70fe4ff75f0.us-east-1.aws.found.io/app/kibana#/discover/Steve-Slow-Train-Analysis-(2080s-and-2083s)?_g=(refreshInterval:(display:Off,pause:!f,section:0,value:0),time:(from:'2018-01-09T16:36:07-0700',mode:absolute,to:'2018-01-09T19:31:48-0700'))&amp;_a=(columns:!('Message%20ID',Summary),filters:!(),index:'emp_*',interval:auto,query:(query_string:(analyze_wildcard:!t,query:'%22rtdc.l.rtdc.4063%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880</v>
      </c>
      <c r="B120" s="225">
        <v>4020</v>
      </c>
      <c r="C120" s="227" t="s">
        <v>191</v>
      </c>
      <c r="D120" s="227" t="s">
        <v>583</v>
      </c>
      <c r="E120" s="226">
        <v>43109.733414351853</v>
      </c>
      <c r="F120" s="226">
        <v>43109.708622685182</v>
      </c>
      <c r="G120" s="225">
        <v>60</v>
      </c>
      <c r="H120" s="227" t="s">
        <v>984</v>
      </c>
      <c r="I120" s="226">
        <v>43109.734050925923</v>
      </c>
      <c r="J120" s="225">
        <v>0</v>
      </c>
      <c r="K120" s="237" t="str">
        <f>IF(ISEVEN(B120),(B120-1)&amp;"/"&amp;B120,B120&amp;"/"&amp;(B120+1))</f>
        <v>4019/4020</v>
      </c>
      <c r="L120" s="245" t="str">
        <f>VLOOKUP(A120,'Trips&amp;Operators'!$C$1:$G$99911,5,FALSE)</f>
        <v>LEVIN SCOTT</v>
      </c>
      <c r="M120" s="224">
        <f>I120-F120</f>
        <v>2.5428240740438923E-2</v>
      </c>
      <c r="N120" s="225">
        <f>24*60*SUM($M120:$M120)</f>
        <v>36.616666666232049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-09T16:36:07-0700',mode:absolute,to:'2018-01-09T18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v>7.6600000000000001E-2</v>
      </c>
      <c r="Z120" s="247">
        <v>23.1844</v>
      </c>
      <c r="AA120" s="247">
        <f>ABS(Z120-Y120)</f>
        <v>23.107800000000001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207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 &amp; 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/stypes="app*4020*20180110*"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ref="AH120" si="27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207-09 --locoid 4020 --swversion DE.1.0.9.0 --startMP 204:232934 --initTime 2018-01-09T17:36:07 --startdatetime 2018-01-09T17:00:25 --delay 60 --endMP 204:1865 --enddatetime 2018-01-09T17:37:02 --enforcementcount 0 &gt;&gt;%USERPROFILE%\Documents\GitHub\eaglep3-reporting\EC\2018-01-09-refined-times.txt</v>
      </c>
      <c r="AI120" s="238" t="str">
        <f t="shared" ref="AI120" si="28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{"issue":{"subject":"","project_id":79,"tracker_id":40,"status_id":1,"priority_id":2,"assigned_to_id":338,"start_date":"2018-01-09","description":"","custom_fields":[{"id":1,"name":"Subdivision","value":"EC"},{"id":4,"name":"Milepost","value":"23.1844"},{"id":17,"name":"Train ID","value":"207-09"},{"id":16,"name":"Locomotive ID","value":"4020"},{"id":130,"name":"Impact","value":""},{"id":150,"name":"Time of Event (Mountain Time)","value":"17:37:02"},{"id":151,"name":"Denver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ref="AM120" si="29">"start /low /b "&amp;dls3logs&amp;" --loco "&amp;B120&amp;" --day "&amp;TEXT(F120,"YYYY-MM-DD")</f>
        <v>start /low /b %USERPROFILE%\Documents\GitHub\eaglep3\Utilities\DownloadLogsFromS3.py --loco 4020 --day 2018-01-09</v>
      </c>
      <c r="AN120" s="241" t="str">
        <f t="shared" ref="AN120" si="30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ref="AO120" si="31"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-09T16:36:07-0700',mode:absolute,to:'2018-01-09T18:37:02-0700'))&amp;_a=(columns:!('Message%20ID',Summary),filters:!(),index:'emp_*',interval:auto,query:(query_string:(analyze_wildcard:!t,query:'%22rtdc.l.rtdc.4020%22')),sort:!(Time.ISO8601,asc))</v>
      </c>
    </row>
    <row r="121" spans="1:91" s="223" customFormat="1" x14ac:dyDescent="0.3">
      <c r="A121" s="229" t="s">
        <v>893</v>
      </c>
      <c r="B121" s="225">
        <v>4019</v>
      </c>
      <c r="C121" s="227" t="s">
        <v>191</v>
      </c>
      <c r="D121" s="227" t="s">
        <v>583</v>
      </c>
      <c r="E121" s="226">
        <v>43109.733414351853</v>
      </c>
      <c r="F121" s="226">
        <v>43109.748310185183</v>
      </c>
      <c r="G121" s="225">
        <v>60</v>
      </c>
      <c r="H121" s="227" t="s">
        <v>984</v>
      </c>
      <c r="I121" s="226">
        <v>43109.778437499997</v>
      </c>
      <c r="J121" s="225">
        <v>0</v>
      </c>
      <c r="K121" s="237" t="str">
        <f>IF(ISEVEN(B121),(B121-1)&amp;"/"&amp;B121,B121&amp;"/"&amp;(B121+1))</f>
        <v>4019/4020</v>
      </c>
      <c r="L121" s="245" t="str">
        <f>VLOOKUP(A121,'Trips&amp;Operators'!$C$1:$G$99911,5,FALSE)</f>
        <v>LEVIN SCOTT</v>
      </c>
      <c r="M121" s="224">
        <f>I121-F121</f>
        <v>3.0127314814308193E-2</v>
      </c>
      <c r="N121" s="225">
        <f>24*60*SUM($M121:$M121)</f>
        <v>43.383333332603797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-09T16:36:07-0700',mode:absolute,to:'2018-01-09T19:40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v>23.274899999999999</v>
      </c>
      <c r="Z121" s="247">
        <v>1.5800000000000002E-2</v>
      </c>
      <c r="AA121" s="247">
        <f>ABS(Z121-Y121)</f>
        <v>23.2591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208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 &amp; 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/stypes="app*4019*20180110*"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ref="AH121" si="32"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208-09 --locoid 4019 --swversion DE.1.0.9.0 --startMP 204:232934 --initTime 2018-01-09T17:36:07 --startdatetime 2018-01-09T17:57:34 --delay 60 --endMP 204:1865 --enddatetime 2018-01-09T18:40:57 --enforcementcount 0 &gt;&gt;%USERPROFILE%\Documents\GitHub\eaglep3-reporting\EC\2018-01-09-refined-times.txt</v>
      </c>
      <c r="AI121" s="238" t="str">
        <f t="shared" ref="AI121" si="33"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{"issue":{"subject":"","project_id":79,"tracker_id":40,"status_id":1,"priority_id":2,"assigned_to_id":338,"start_date":"2018-01-09","description":"","custom_fields":[{"id":1,"name":"Subdivision","value":"EC"},{"id":4,"name":"Milepost","value":"0.0158"},{"id":17,"name":"Train ID","value":"208-09"},{"id":16,"name":"Locomotive ID","value":"4019"},{"id":130,"name":"Impact","value":""},{"id":150,"name":"Time of Event (Mountain Time)","value":"18:40:57"},{"id":151,"name":"Denver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ref="AM121" si="34">"start /low /b "&amp;dls3logs&amp;" --loco "&amp;B121&amp;" --day "&amp;TEXT(F121,"YYYY-MM-DD")</f>
        <v>start /low /b %USERPROFILE%\Documents\GitHub\eaglep3\Utilities\DownloadLogsFromS3.py --loco 4019 --day 2018-01-09</v>
      </c>
      <c r="AN121" s="241" t="str">
        <f t="shared" ref="AN121" si="35">"echo {""issue"":{""subject"":"""&amp;R121&amp;""",""project_id"":30,""tracker_id"":4,""status_id"":"&amp;redmine_status_wcr&amp;",""priority_id"":"&amp;redmine_priority_wcr&amp;",""assigned_to_id"":"&amp;redmine_assignee_wcr&amp;",""start_date"":"""&amp;TEXT(I121-utc_offset/24,"YYYY-mm-dd")&amp;""",""description"":"""&amp;AJ121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ref="AO121" si="36"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Message%20ID',Summary),filters:!(),index:'emp_*',interval:auto,query:"&amp;"(query_string:(analyze_wildcard:!t,query:'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-09T16:36:07-0700',mode:absolute,to:'2018-01-09T19:40:57-0700'))&amp;_a=(columns:!('Message%20ID',Summary),filters:!(),index:'emp_*',interval:auto,query:(query_string:(analyze_wildcard:!t,query:'%22rtdc.l.rtdc.4019%22')),sort:!(Time.ISO8601,asc))</v>
      </c>
    </row>
    <row r="122" spans="1:91" s="20" customFormat="1" x14ac:dyDescent="0.3">
      <c r="A122" s="229" t="s">
        <v>883</v>
      </c>
      <c r="B122" s="225">
        <v>4014</v>
      </c>
      <c r="C122" s="227" t="s">
        <v>191</v>
      </c>
      <c r="D122" s="227" t="s">
        <v>635</v>
      </c>
      <c r="E122" s="226">
        <v>43109.718935185185</v>
      </c>
      <c r="F122" s="226">
        <v>43109.720775462964</v>
      </c>
      <c r="G122" s="225">
        <v>62</v>
      </c>
      <c r="H122" s="227" t="s">
        <v>666</v>
      </c>
      <c r="I122" s="226">
        <v>43109.749074074076</v>
      </c>
      <c r="J122" s="225">
        <v>0</v>
      </c>
      <c r="K122" s="237" t="str">
        <f>IF(ISEVEN(B122),(B122-1)&amp;"/"&amp;B122,B122&amp;"/"&amp;(B122+1))</f>
        <v>4013/4014</v>
      </c>
      <c r="L122" s="245" t="str">
        <f>VLOOKUP(A122,'Trips&amp;Operators'!$C$1:$G$99911,5,FALSE)</f>
        <v>LEVERE CRAIG</v>
      </c>
      <c r="M122" s="224">
        <f>I122-F122</f>
        <v>2.8298611112404615E-2</v>
      </c>
      <c r="N122" s="225">
        <f>24*60*SUM($M122:$M122)</f>
        <v>40.750000001862645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-09T16:15:16-0700',mode:absolute,to:'2018-01-09T18:58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4.9299999999999997E-2</v>
      </c>
      <c r="Z122" s="247">
        <f>RIGHT(H122,LEN(H122)-4)/10000</f>
        <v>23.325500000000002</v>
      </c>
      <c r="AA122" s="247">
        <f>ABS(Z122-Y122)</f>
        <v>23.276200000000003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209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/stypes="app*4014*20180110*"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7"/>
        <v>"%USERPROFILE%\Documents\GitHub\eaglep3\Utilities\RefineRTDCRunTimes.py" --tripid 209-09 --locoid 4014 --swversion DE.1.0.9.0 --startMP 204:493 --initTime 2018-01-09T17:15:16 --startdatetime 2018-01-09T17:17:55 --delay 62 --endMP 204:233255 --enddatetime 2018-01-09T17:58:40 --enforcementcount 0 &gt;&gt;%USERPROFILE%\Documents\GitHub\eaglep3-reporting\EC\2018-01-09-refined-times.txt</v>
      </c>
      <c r="AI12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{"issue":{"subject":"","project_id":79,"tracker_id":40,"status_id":1,"priority_id":2,"assigned_to_id":338,"start_date":"2018-01-09","description":"","custom_fields":[{"id":1,"name":"Subdivision","value":"EC"},{"id":4,"name":"Milepost","value":"23.3255"},{"id":17,"name":"Train ID","value":"209-09"},{"id":16,"name":"Locomotive ID","value":"4014"},{"id":130,"name":"Impact","value":""},{"id":150,"name":"Time of Event (Mountain Time)","value":"17:58:40"},{"id":151,"name":"Denver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9"/>
        <v>start /low /b %USERPROFILE%\Documents\GitHub\eaglep3\Utilities\DownloadLogsFromS3.py --loco 4014 --day 2018-01-09</v>
      </c>
      <c r="AN122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00:58:40"},{"id":29,"name":"Sharepoint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21"/>
        <v>https://d0f6bd738d7f1b3e5a7ca70fe4ff75f0.us-east-1.aws.found.io/app/kibana#/discover/Steve-Slow-Train-Analysis-(2080s-and-2083s)?_g=(refreshInterval:(display:Off,pause:!f,section:0,value:0),time:(from:'2018-01-09T16:15:16-0700',mode:absolute,to:'2018-01-09T18:58:40-0700'))&amp;_a=(columns:!('Message%20ID',Summary),filters:!(),index:'emp_*',interval:auto,query:(query_string:(analyze_wildcard:!t,query:'%22rtdc.l.rtdc.4014%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897</v>
      </c>
      <c r="B123" s="225">
        <v>4013</v>
      </c>
      <c r="C123" s="227" t="s">
        <v>191</v>
      </c>
      <c r="D123" s="227" t="s">
        <v>642</v>
      </c>
      <c r="E123" s="226">
        <v>43109.752939814818</v>
      </c>
      <c r="F123" s="226">
        <v>43109.758530092593</v>
      </c>
      <c r="G123" s="225">
        <v>79</v>
      </c>
      <c r="H123" s="227" t="s">
        <v>662</v>
      </c>
      <c r="I123" s="226">
        <v>43109.786608796298</v>
      </c>
      <c r="J123" s="225">
        <v>0</v>
      </c>
      <c r="K123" s="237" t="str">
        <f>IF(ISEVEN(B123),(B123-1)&amp;"/"&amp;B123,B123&amp;"/"&amp;(B123+1))</f>
        <v>4013/4014</v>
      </c>
      <c r="L123" s="245" t="str">
        <f>VLOOKUP(A123,'Trips&amp;Operators'!$C$1:$G$99911,5,FALSE)</f>
        <v>LEVERE CRAIG</v>
      </c>
      <c r="M123" s="224">
        <f>I123-F123</f>
        <v>2.8078703704522923E-2</v>
      </c>
      <c r="N123" s="225">
        <f>24*60*SUM($M123:$M123)</f>
        <v>40.433333334513009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-09T17:04:14-0700',mode:absolute,to:'2018-01-09T19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23.295000000000002</v>
      </c>
      <c r="Z123" s="247">
        <f>RIGHT(H123,LEN(H123)-4)/10000</f>
        <v>2.3199999999999998E-2</v>
      </c>
      <c r="AA123" s="247">
        <f>ABS(Z123-Y123)</f>
        <v>23.271800000000002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210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/stypes="app*4013*20180110*"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7"/>
        <v>"%USERPROFILE%\Documents\GitHub\eaglep3\Utilities\RefineRTDCRunTimes.py" --tripid 210-09 --locoid 4013 --swversion DE.1.0.9.0 --startMP 204:232950 --initTime 2018-01-09T18:04:14 --startdatetime 2018-01-09T18:12:17 --delay 79 --endMP 204:232 --enddatetime 2018-01-09T18:52:43 --enforcementcount 0 &gt;&gt;%USERPROFILE%\Documents\GitHub\eaglep3-reporting\EC\2018-01-09-refined-times.txt</v>
      </c>
      <c r="AI12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{"issue":{"subject":"","project_id":79,"tracker_id":40,"status_id":1,"priority_id":2,"assigned_to_id":338,"start_date":"2018-01-09","description":"","custom_fields":[{"id":1,"name":"Subdivision","value":"EC"},{"id":4,"name":"Milepost","value":"0.0232"},{"id":17,"name":"Train ID","value":"210-09"},{"id":16,"name":"Locomotive ID","value":"4013"},{"id":130,"name":"Impact","value":""},{"id":150,"name":"Time of Event (Mountain Time)","value":"18:52:43"},{"id":151,"name":"Denver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9"/>
        <v>start /low /b %USERPROFILE%\Documents\GitHub\eaglep3\Utilities\DownloadLogsFromS3.py --loco 4013 --day 2018-01-09</v>
      </c>
      <c r="AN123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21"/>
        <v>https://d0f6bd738d7f1b3e5a7ca70fe4ff75f0.us-east-1.aws.found.io/app/kibana#/discover/Steve-Slow-Train-Analysis-(2080s-and-2083s)?_g=(refreshInterval:(display:Off,pause:!f,section:0,value:0),time:(from:'2018-01-09T17:04:14-0700',mode:absolute,to:'2018-01-09T19:52:43-0700'))&amp;_a=(columns:!('Message%20ID',Summary),filters:!(),index:'emp_*',interval:auto,query:(query_string:(analyze_wildcard:!t,query:'%22rtdc.l.rtdc.4013%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888</v>
      </c>
      <c r="B124" s="225">
        <v>4034</v>
      </c>
      <c r="C124" s="227" t="s">
        <v>191</v>
      </c>
      <c r="D124" s="227" t="s">
        <v>982</v>
      </c>
      <c r="E124" s="226">
        <v>43109.726689814815</v>
      </c>
      <c r="F124" s="226">
        <v>43109.729375000003</v>
      </c>
      <c r="G124" s="225">
        <v>74</v>
      </c>
      <c r="H124" s="227" t="s">
        <v>568</v>
      </c>
      <c r="I124" s="226">
        <v>43109.756412037037</v>
      </c>
      <c r="J124" s="225">
        <v>0</v>
      </c>
      <c r="K124" s="237" t="str">
        <f>IF(ISEVEN(B124),(B124-1)&amp;"/"&amp;B124,B124&amp;"/"&amp;(B124+1))</f>
        <v>4033/4034</v>
      </c>
      <c r="L124" s="245" t="str">
        <f>VLOOKUP(A124,'Trips&amp;Operators'!$C$1:$G$99911,5,FALSE)</f>
        <v>MOSES BRADLEY</v>
      </c>
      <c r="M124" s="224">
        <f>I124-F124</f>
        <v>2.7037037034460809E-2</v>
      </c>
      <c r="N124" s="225">
        <f>24*60*SUM($M124:$M124)</f>
        <v>38.933333329623565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-09T16:26:26-0700',mode:absolute,to:'2018-01-09T19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5.4800000000000001E-2</v>
      </c>
      <c r="Z124" s="247">
        <f>RIGHT(H124,LEN(H124)-4)/10000</f>
        <v>23.327400000000001</v>
      </c>
      <c r="AA124" s="247">
        <f>ABS(Z124-Y124)</f>
        <v>23.272600000000001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211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/stypes="app*4034*20180110*"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7"/>
        <v>"%USERPROFILE%\Documents\GitHub\eaglep3\Utilities\RefineRTDCRunTimes.py" --tripid 211-09 --locoid 4034 --swversion DE.1.0.9.0 --startMP 204:548 --initTime 2018-01-09T17:26:26 --startdatetime 2018-01-09T17:30:18 --delay 74 --endMP 204:233274 --enddatetime 2018-01-09T18:09:14 --enforcementcount 0 &gt;&gt;%USERPROFILE%\Documents\GitHub\eaglep3-reporting\EC\2018-01-09-refined-times.txt</v>
      </c>
      <c r="AI12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{"issue":{"subject":"","project_id":79,"tracker_id":40,"status_id":1,"priority_id":2,"assigned_to_id":338,"start_date":"2018-01-09","description":"","custom_fields":[{"id":1,"name":"Subdivision","value":"EC"},{"id":4,"name":"Milepost","value":"23.3274"},{"id":17,"name":"Train ID","value":"211-09"},{"id":16,"name":"Locomotive ID","value":"4034"},{"id":130,"name":"Impact","value":""},{"id":150,"name":"Time of Event (Mountain Time)","value":"18:09:14"},{"id":151,"name":"Denver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9"/>
        <v>start /low /b %USERPROFILE%\Documents\GitHub\eaglep3\Utilities\DownloadLogsFromS3.py --loco 4034 --day 2018-01-09</v>
      </c>
      <c r="AN124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21"/>
        <v>https://d0f6bd738d7f1b3e5a7ca70fe4ff75f0.us-east-1.aws.found.io/app/kibana#/discover/Steve-Slow-Train-Analysis-(2080s-and-2083s)?_g=(refreshInterval:(display:Off,pause:!f,section:0,value:0),time:(from:'2018-01-09T16:26:26-0700',mode:absolute,to:'2018-01-09T19:09:14-0700'))&amp;_a=(columns:!('Message%20ID',Summary),filters:!(),index:'emp_*',interval:auto,query:(query_string:(analyze_wildcard:!t,query:'%22rtdc.l.rtdc.4034%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898</v>
      </c>
      <c r="B125" s="225">
        <v>4033</v>
      </c>
      <c r="C125" s="227" t="s">
        <v>191</v>
      </c>
      <c r="D125" s="227" t="s">
        <v>985</v>
      </c>
      <c r="E125" s="226">
        <v>43109.763240740744</v>
      </c>
      <c r="F125" s="226">
        <v>43109.769062500003</v>
      </c>
      <c r="G125" s="225">
        <v>123</v>
      </c>
      <c r="H125" s="227" t="s">
        <v>526</v>
      </c>
      <c r="I125" s="226">
        <v>43109.798217592594</v>
      </c>
      <c r="J125" s="225">
        <v>0</v>
      </c>
      <c r="K125" s="237" t="str">
        <f>IF(ISEVEN(B125),(B125-1)&amp;"/"&amp;B125,B125&amp;"/"&amp;(B125+1))</f>
        <v>4033/4034</v>
      </c>
      <c r="L125" s="245" t="str">
        <f>VLOOKUP(A125,'Trips&amp;Operators'!$C$1:$G$99911,5,FALSE)</f>
        <v>MOSES BRADLEY</v>
      </c>
      <c r="M125" s="224">
        <f>I125-F125</f>
        <v>2.9155092590372078E-2</v>
      </c>
      <c r="N125" s="225">
        <f>24*60*SUM($M125:$M125)</f>
        <v>41.983333330135792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-09T17:19:04-0700',mode:absolute,to:'2018-01-09T20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23.295100000000001</v>
      </c>
      <c r="Z125" s="247">
        <f>RIGHT(H125,LEN(H125)-4)/10000</f>
        <v>2.4E-2</v>
      </c>
      <c r="AA125" s="247">
        <f>ABS(Z125-Y125)</f>
        <v>23.271100000000001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212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/stypes="app*4033*20180110*" /stext=" 02:.+((SYSTEM_STATE.+slice.+state.+changed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7"/>
        <v>"%USERPROFILE%\Documents\GitHub\eaglep3\Utilities\RefineRTDCRunTimes.py" --tripid 212-09 --locoid 4033 --swversion DE.1.0.9.0 --startMP 204:232951 --initTime 2018-01-09T18:19:04 --startdatetime 2018-01-09T18:27:27 --delay 123 --endMP 204:240 --enddatetime 2018-01-09T19:09:26 --enforcementcount 0 &gt;&gt;%USERPROFILE%\Documents\GitHub\eaglep3-reporting\EC\2018-01-09-refined-times.txt</v>
      </c>
      <c r="AI12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{"issue":{"subject":"","project_id":79,"tracker_id":40,"status_id":1,"priority_id":2,"assigned_to_id":338,"start_date":"2018-01-09","description":"","custom_fields":[{"id":1,"name":"Subdivision","value":"EC"},{"id":4,"name":"Milepost","value":"0.024"},{"id":17,"name":"Train ID","value":"212-09"},{"id":16,"name":"Locomotive ID","value":"4033"},{"id":130,"name":"Impact","value":""},{"id":150,"name":"Time of Event (Mountain Time)","value":"19:09:26"},{"id":151,"name":"Denver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9"/>
        <v>start /low /b %USERPROFILE%\Documents\GitHub\eaglep3\Utilities\DownloadLogsFromS3.py --loco 4033 --day 2018-01-09</v>
      </c>
      <c r="AN125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21"/>
        <v>https://d0f6bd738d7f1b3e5a7ca70fe4ff75f0.us-east-1.aws.found.io/app/kibana#/discover/Steve-Slow-Train-Analysis-(2080s-and-2083s)?_g=(refreshInterval:(display:Off,pause:!f,section:0,value:0),time:(from:'2018-01-09T17:19:04-0700',mode:absolute,to:'2018-01-09T20:09:26-0700'))&amp;_a=(columns:!('Message%20ID',Summary),filters:!(),index:'emp_*',interval:auto,query:(query_string:(analyze_wildcard:!t,query:'%22rtdc.l.rtdc.4033%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892</v>
      </c>
      <c r="B126" s="225">
        <v>4050</v>
      </c>
      <c r="C126" s="227" t="s">
        <v>191</v>
      </c>
      <c r="D126" s="227" t="s">
        <v>979</v>
      </c>
      <c r="E126" s="226">
        <v>43109.736597222225</v>
      </c>
      <c r="F126" s="226">
        <v>43109.73982638889</v>
      </c>
      <c r="G126" s="225">
        <v>151</v>
      </c>
      <c r="H126" s="227" t="s">
        <v>986</v>
      </c>
      <c r="I126" s="226">
        <v>43109.77140046296</v>
      </c>
      <c r="J126" s="225">
        <v>0</v>
      </c>
      <c r="K126" s="237" t="str">
        <f>IF(ISEVEN(B126),(B126-1)&amp;"/"&amp;B126,B126&amp;"/"&amp;(B126+1))</f>
        <v>4049/4050</v>
      </c>
      <c r="L126" s="245" t="str">
        <f>VLOOKUP(A126,'Trips&amp;Operators'!$C$1:$G$99911,5,FALSE)</f>
        <v>LOZA FIDEL</v>
      </c>
      <c r="M126" s="224">
        <f>I126-F126</f>
        <v>3.1574074069794733E-2</v>
      </c>
      <c r="N126" s="225">
        <f>24*60*SUM($M126:$M126)</f>
        <v>45.466666660504416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-09T16:40:42-0700',mode:absolute,to:'2018-01-09T19:30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5.11E-2</v>
      </c>
      <c r="Z126" s="247">
        <f>RIGHT(H126,LEN(H126)-4)/10000</f>
        <v>23.319900000000001</v>
      </c>
      <c r="AA126" s="247">
        <f>ABS(Z126-Y126)</f>
        <v>23.268799999999999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213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/stypes="app*4050*20180110*"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7"/>
        <v>"%USERPROFILE%\Documents\GitHub\eaglep3\Utilities\RefineRTDCRunTimes.py" --tripid 213-09 --locoid 4050 --swversion DE.1.0.9.0 --startMP 204:511 --initTime 2018-01-09T17:40:42 --startdatetime 2018-01-09T17:45:21 --delay 151 --endMP 204:233199 --enddatetime 2018-01-09T18:30:49 --enforcementcount 0 &gt;&gt;%USERPROFILE%\Documents\GitHub\eaglep3-reporting\EC\2018-01-09-refined-times.txt</v>
      </c>
      <c r="AI126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{"issue":{"subject":"","project_id":79,"tracker_id":40,"status_id":1,"priority_id":2,"assigned_to_id":338,"start_date":"2018-01-09","description":"","custom_fields":[{"id":1,"name":"Subdivision","value":"EC"},{"id":4,"name":"Milepost","value":"23.3199"},{"id":17,"name":"Train ID","value":"213-09"},{"id":16,"name":"Locomotive ID","value":"4050"},{"id":130,"name":"Impact","value":""},{"id":150,"name":"Time of Event (Mountain Time)","value":"18:30:49"},{"id":151,"name":"Denver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9"/>
        <v>start /low /b %USERPROFILE%\Documents\GitHub\eaglep3\Utilities\DownloadLogsFromS3.py --loco 4050 --day 2018-01-09</v>
      </c>
      <c r="AN126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01:30:49"},{"id":29,"name":"Sharepoint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21"/>
        <v>https://d0f6bd738d7f1b3e5a7ca70fe4ff75f0.us-east-1.aws.found.io/app/kibana#/discover/Steve-Slow-Train-Analysis-(2080s-and-2083s)?_g=(refreshInterval:(display:Off,pause:!f,section:0,value:0),time:(from:'2018-01-09T16:40:42-0700',mode:absolute,to:'2018-01-09T19:30:49-0700'))&amp;_a=(columns:!('Message%20ID',Summary),filters:!(),index:'emp_*',interval:auto,query:(query_string:(analyze_wildcard:!t,query:'%22rtdc.l.rtdc.4050%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902</v>
      </c>
      <c r="B127" s="225">
        <v>4049</v>
      </c>
      <c r="C127" s="227" t="s">
        <v>191</v>
      </c>
      <c r="D127" s="227" t="s">
        <v>987</v>
      </c>
      <c r="E127" s="226">
        <v>43109.775613425925</v>
      </c>
      <c r="F127" s="226">
        <v>43109.779351851852</v>
      </c>
      <c r="G127" s="225">
        <v>107</v>
      </c>
      <c r="H127" s="227" t="s">
        <v>988</v>
      </c>
      <c r="I127" s="226">
        <v>43109.809166666666</v>
      </c>
      <c r="J127" s="225">
        <v>0</v>
      </c>
      <c r="K127" s="237" t="str">
        <f>IF(ISEVEN(B127),(B127-1)&amp;"/"&amp;B127,B127&amp;"/"&amp;(B127+1))</f>
        <v>4049/4050</v>
      </c>
      <c r="L127" s="245" t="str">
        <f>VLOOKUP(A127,'Trips&amp;Operators'!$C$1:$G$99911,5,FALSE)</f>
        <v>LOZA FIDEL</v>
      </c>
      <c r="M127" s="224">
        <f>I127-F127</f>
        <v>2.9814814814017154E-2</v>
      </c>
      <c r="N127" s="225">
        <f>24*60*SUM($M127:$M127)</f>
        <v>42.933333332184702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-09T17:36:53-0700',mode:absolute,to:'2018-01-09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23.2881</v>
      </c>
      <c r="Z127" s="247">
        <f>RIGHT(H127,LEN(H127)-4)/10000</f>
        <v>2.4199999999999999E-2</v>
      </c>
      <c r="AA127" s="247">
        <f>ABS(Z127-Y127)</f>
        <v>23.2639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214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/stypes="app*4049*20180110*"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7"/>
        <v>"%USERPROFILE%\Documents\GitHub\eaglep3\Utilities\RefineRTDCRunTimes.py" --tripid 214-09 --locoid 4049 --swversion DE.1.0.9.0 --startMP 204:232881 --initTime 2018-01-09T18:36:53 --startdatetime 2018-01-09T18:42:16 --delay 107 --endMP 204:242 --enddatetime 2018-01-09T19:25:12 --enforcementcount 0 &gt;&gt;%USERPROFILE%\Documents\GitHub\eaglep3-reporting\EC\2018-01-09-refined-times.txt</v>
      </c>
      <c r="AI127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{"issue":{"subject":"","project_id":79,"tracker_id":40,"status_id":1,"priority_id":2,"assigned_to_id":338,"start_date":"2018-01-09","description":"","custom_fields":[{"id":1,"name":"Subdivision","value":"EC"},{"id":4,"name":"Milepost","value":"0.0242"},{"id":17,"name":"Train ID","value":"214-09"},{"id":16,"name":"Locomotive ID","value":"4049"},{"id":130,"name":"Impact","value":""},{"id":150,"name":"Time of Event (Mountain Time)","value":"19:25:12"},{"id":151,"name":"Denver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19"/>
        <v>start /low /b %USERPROFILE%\Documents\GitHub\eaglep3\Utilities\DownloadLogsFromS3.py --loco 4049 --day 2018-01-09</v>
      </c>
      <c r="AN127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21"/>
        <v>https://d0f6bd738d7f1b3e5a7ca70fe4ff75f0.us-east-1.aws.found.io/app/kibana#/discover/Steve-Slow-Train-Analysis-(2080s-and-2083s)?_g=(refreshInterval:(display:Off,pause:!f,section:0,value:0),time:(from:'2018-01-09T17:36:53-0700',mode:absolute,to:'2018-01-09T20:25:12-0700'))&amp;_a=(columns:!('Message%20ID',Summary),filters:!(),index:'emp_*',interval:auto,query:(query_string:(analyze_wildcard:!t,query:'%22rtdc.l.rtdc.4049%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894</v>
      </c>
      <c r="B128" s="225">
        <v>4016</v>
      </c>
      <c r="C128" s="227" t="s">
        <v>191</v>
      </c>
      <c r="D128" s="227" t="s">
        <v>591</v>
      </c>
      <c r="E128" s="226">
        <v>43109.746331018519</v>
      </c>
      <c r="F128" s="226">
        <v>43109.750208333331</v>
      </c>
      <c r="G128" s="225">
        <v>72</v>
      </c>
      <c r="H128" s="227" t="s">
        <v>571</v>
      </c>
      <c r="I128" s="226">
        <v>43109.776597222219</v>
      </c>
      <c r="J128" s="225">
        <v>0</v>
      </c>
      <c r="K128" s="237" t="str">
        <f>IF(ISEVEN(B128),(B128-1)&amp;"/"&amp;B128,B128&amp;"/"&amp;(B128+1))</f>
        <v>4015/4016</v>
      </c>
      <c r="L128" s="245" t="str">
        <f>VLOOKUP(A128,'Trips&amp;Operators'!$C$1:$G$99911,5,FALSE)</f>
        <v>SMITH MICHAEL</v>
      </c>
      <c r="M128" s="224">
        <f>I128-F128</f>
        <v>2.6388888887595385E-2</v>
      </c>
      <c r="N128" s="225">
        <f>24*60*SUM($M128:$M128)</f>
        <v>37.999999998137355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-09T16:54:43-0700',mode:absolute,to:'2018-01-09T19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4.7300000000000002E-2</v>
      </c>
      <c r="Z128" s="247">
        <f>RIGHT(H128,LEN(H128)-4)/10000</f>
        <v>23.328299999999999</v>
      </c>
      <c r="AA128" s="247">
        <f>ABS(Z128-Y128)</f>
        <v>23.280999999999999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215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/stypes="app*4016*20180110*"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7"/>
        <v>"%USERPROFILE%\Documents\GitHub\eaglep3\Utilities\RefineRTDCRunTimes.py" --tripid 215-09 --locoid 4016 --swversion DE.1.0.9.0 --startMP 204:473 --initTime 2018-01-09T17:54:43 --startdatetime 2018-01-09T18:00:18 --delay 72 --endMP 204:233283 --enddatetime 2018-01-09T18:38:18 --enforcementcount 0 &gt;&gt;%USERPROFILE%\Documents\GitHub\eaglep3-reporting\EC\2018-01-09-refined-times.txt</v>
      </c>
      <c r="AI128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{"issue":{"subject":"","project_id":79,"tracker_id":40,"status_id":1,"priority_id":2,"assigned_to_id":338,"start_date":"2018-01-09","description":"","custom_fields":[{"id":1,"name":"Subdivision","value":"EC"},{"id":4,"name":"Milepost","value":"23.3283"},{"id":17,"name":"Train ID","value":"215-09"},{"id":16,"name":"Locomotive ID","value":"4016"},{"id":130,"name":"Impact","value":""},{"id":150,"name":"Time of Event (Mountain Time)","value":"18:38:18"},{"id":151,"name":"Denver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9"/>
        <v>start /low /b %USERPROFILE%\Documents\GitHub\eaglep3\Utilities\DownloadLogsFromS3.py --loco 4016 --day 2018-01-09</v>
      </c>
      <c r="AN128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21"/>
        <v>https://d0f6bd738d7f1b3e5a7ca70fe4ff75f0.us-east-1.aws.found.io/app/kibana#/discover/Steve-Slow-Train-Analysis-(2080s-and-2083s)?_g=(refreshInterval:(display:Off,pause:!f,section:0,value:0),time:(from:'2018-01-09T16:54:43-0700',mode:absolute,to:'2018-01-09T19:38:18-0700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904</v>
      </c>
      <c r="B129" s="225">
        <v>4015</v>
      </c>
      <c r="C129" s="227" t="s">
        <v>191</v>
      </c>
      <c r="D129" s="227" t="s">
        <v>567</v>
      </c>
      <c r="E129" s="226">
        <v>43109.783391203702</v>
      </c>
      <c r="F129" s="226">
        <v>43109.789803240739</v>
      </c>
      <c r="G129" s="225">
        <v>59</v>
      </c>
      <c r="H129" s="227" t="s">
        <v>579</v>
      </c>
      <c r="I129" s="226">
        <v>43109.81858796296</v>
      </c>
      <c r="J129" s="225">
        <v>0</v>
      </c>
      <c r="K129" s="237" t="str">
        <f>IF(ISEVEN(B129),(B129-1)&amp;"/"&amp;B129,B129&amp;"/"&amp;(B129+1))</f>
        <v>4015/4016</v>
      </c>
      <c r="L129" s="245" t="str">
        <f>VLOOKUP(A129,'Trips&amp;Operators'!$C$1:$G$99911,5,FALSE)</f>
        <v>SMITH MICHAEL</v>
      </c>
      <c r="M129" s="224">
        <f>I129-F129</f>
        <v>2.8784722220734693E-2</v>
      </c>
      <c r="N129" s="225">
        <f>24*60*SUM($M129:$M129)</f>
        <v>41.449999997857958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-09T17:48:05-0700',mode:absolute,to:'2018-01-09T20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23.297599999999999</v>
      </c>
      <c r="Z129" s="247">
        <f>RIGHT(H129,LEN(H129)-4)/10000</f>
        <v>1.4500000000000001E-2</v>
      </c>
      <c r="AA129" s="247">
        <f>ABS(Z129-Y129)</f>
        <v>23.283099999999997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216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/stypes="app*4015*20180110*"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7"/>
        <v>"%USERPROFILE%\Documents\GitHub\eaglep3\Utilities\RefineRTDCRunTimes.py" --tripid 216-09 --locoid 4015 --swversion DE.1.0.9.0 --startMP 204:232976 --initTime 2018-01-09T18:48:05 --startdatetime 2018-01-09T18:57:19 --delay 59 --endMP 204:145 --enddatetime 2018-01-09T19:38:46 --enforcementcount 0 &gt;&gt;%USERPROFILE%\Documents\GitHub\eaglep3-reporting\EC\2018-01-09-refined-times.txt</v>
      </c>
      <c r="AI129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{"issue":{"subject":"","project_id":79,"tracker_id":40,"status_id":1,"priority_id":2,"assigned_to_id":338,"start_date":"2018-01-09","description":"","custom_fields":[{"id":1,"name":"Subdivision","value":"EC"},{"id":4,"name":"Milepost","value":"0.0145"},{"id":17,"name":"Train ID","value":"216-09"},{"id":16,"name":"Locomotive ID","value":"4015"},{"id":130,"name":"Impact","value":""},{"id":150,"name":"Time of Event (Mountain Time)","value":"19:38:46"},{"id":151,"name":"Denver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9"/>
        <v>start /low /b %USERPROFILE%\Documents\GitHub\eaglep3\Utilities\DownloadLogsFromS3.py --loco 4015 --day 2018-01-09</v>
      </c>
      <c r="AN129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21"/>
        <v>https://d0f6bd738d7f1b3e5a7ca70fe4ff75f0.us-east-1.aws.found.io/app/kibana#/discover/Steve-Slow-Train-Analysis-(2080s-and-2083s)?_g=(refreshInterval:(display:Off,pause:!f,section:0,value:0),time:(from:'2018-01-09T17:48:05-0700',mode:absolute,to:'2018-01-09T20:38:46-0700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721</v>
      </c>
      <c r="B130" s="225">
        <v>4010</v>
      </c>
      <c r="C130" s="227" t="s">
        <v>191</v>
      </c>
      <c r="D130" s="227" t="s">
        <v>989</v>
      </c>
      <c r="E130" s="226">
        <v>43109.75922453704</v>
      </c>
      <c r="F130" s="226">
        <v>43109.762106481481</v>
      </c>
      <c r="G130" s="225">
        <v>95</v>
      </c>
      <c r="H130" s="227" t="s">
        <v>990</v>
      </c>
      <c r="I130" s="226">
        <v>43109.789375</v>
      </c>
      <c r="J130" s="225">
        <v>0</v>
      </c>
      <c r="K130" s="237" t="str">
        <f>IF(ISEVEN(B130),(B130-1)&amp;"/"&amp;B130,B130&amp;"/"&amp;(B130+1))</f>
        <v>4009/4010</v>
      </c>
      <c r="L130" s="245" t="str">
        <f>VLOOKUP(A130,'Trips&amp;Operators'!$C$1:$G$99911,5,FALSE)</f>
        <v>WEST BRYAN</v>
      </c>
      <c r="M130" s="224">
        <f>I130-F130</f>
        <v>2.7268518519122154E-2</v>
      </c>
      <c r="N130" s="225">
        <f>24*60*SUM($M130:$M130)</f>
        <v>39.266666667535901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-09T17:13:17-0700',mode:absolute,to:'2018-01-09T19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0.1152</v>
      </c>
      <c r="Z130" s="247">
        <f>RIGHT(H130,LEN(H130)-4)/10000</f>
        <v>23.3203</v>
      </c>
      <c r="AA130" s="247">
        <f>ABS(Z130-Y130)</f>
        <v>23.205099999999998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217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 &amp; 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/stypes="app*4010*20180110*"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7"/>
        <v>"%USERPROFILE%\Documents\GitHub\eaglep3\Utilities\RefineRTDCRunTimes.py" --tripid 217-09 --locoid 4010 --swversion DE.1.0.9.0 --startMP 204:1152 --initTime 2018-01-09T18:13:17 --startdatetime 2018-01-09T18:17:26 --delay 95 --endMP 204:233203 --enddatetime 2018-01-09T18:56:42 --enforcementcount 0 &gt;&gt;%USERPROFILE%\Documents\GitHub\eaglep3-reporting\EC\2018-01-09-refined-times.txt</v>
      </c>
      <c r="AI130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{"issue":{"subject":"","project_id":79,"tracker_id":40,"status_id":1,"priority_id":2,"assigned_to_id":338,"start_date":"2018-01-09","description":"","custom_fields":[{"id":1,"name":"Subdivision","value":"EC"},{"id":4,"name":"Milepost","value":"23.3203"},{"id":17,"name":"Train ID","value":"217-09"},{"id":16,"name":"Locomotive ID","value":"4010"},{"id":130,"name":"Impact","value":""},{"id":150,"name":"Time of Event (Mountain Time)","value":"18:56:42"},{"id":151,"name":"Denver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9"/>
        <v>start /low /b %USERPROFILE%\Documents\GitHub\eaglep3\Utilities\DownloadLogsFromS3.py --loco 4010 --day 2018-01-09</v>
      </c>
      <c r="AN130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21"/>
        <v>https://d0f6bd738d7f1b3e5a7ca70fe4ff75f0.us-east-1.aws.found.io/app/kibana#/discover/Steve-Slow-Train-Analysis-(2080s-and-2083s)?_g=(refreshInterval:(display:Off,pause:!f,section:0,value:0),time:(from:'2018-01-09T17:13:17-0700',mode:absolute,to:'2018-01-09T19:56:42-0700'))&amp;_a=(columns:!('Message%20ID',Summary),filters:!(),index:'emp_*',interval:auto,query:(query_string:(analyze_wildcard:!t,query:'%22rtdc.l.rtdc.4010%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907</v>
      </c>
      <c r="B131" s="225">
        <v>4009</v>
      </c>
      <c r="C131" s="227" t="s">
        <v>191</v>
      </c>
      <c r="D131" s="227" t="s">
        <v>989</v>
      </c>
      <c r="E131" s="226">
        <v>43109.75922453704</v>
      </c>
      <c r="F131" s="226">
        <v>43109.80028935185</v>
      </c>
      <c r="G131" s="225">
        <v>95</v>
      </c>
      <c r="H131" s="227" t="s">
        <v>990</v>
      </c>
      <c r="I131" s="226">
        <v>43109.827152777776</v>
      </c>
      <c r="J131" s="225">
        <v>0</v>
      </c>
      <c r="K131" s="237" t="str">
        <f>IF(ISEVEN(B131),(B131-1)&amp;"/"&amp;B131,B131&amp;"/"&amp;(B131+1))</f>
        <v>4009/4010</v>
      </c>
      <c r="L131" s="245" t="str">
        <f>VLOOKUP(A131,'Trips&amp;Operators'!$C$1:$G$99911,5,FALSE)</f>
        <v>WEST BRYAN</v>
      </c>
      <c r="M131" s="224">
        <f>I131-F131</f>
        <v>2.6863425926421769E-2</v>
      </c>
      <c r="N131" s="225">
        <f>24*60*SUM($M131:$M131)</f>
        <v>38.683333334047347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-09T17:13:17-0700',mode:absolute,to:'2018-01-09T20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v>23.267700000000001</v>
      </c>
      <c r="Z131" s="247">
        <v>2.6200000000000001E-2</v>
      </c>
      <c r="AA131" s="247">
        <f>ABS(Z131-Y131)</f>
        <v>23.241500000000002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218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 &amp; aws s3 cp s3://rtdc.mdm.uploadarchive.raw/RTDC4009/ "%USERPROFILE%\AppData\Local\Temp\OnboardLogs"\RTDC4009\2018-01-10 --exclude "*" --recursive --include "*20180110*" &amp; "%USERPROFILE%\Documents\GitHub\mrs-test-scripts\Headless Mode &amp; Sideloading\WalkAndUnGZ.bat" "%USERPROFILE%\AppData\Local\Temp\OnboardLogs"\RTDC4009\2018-01-10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/stypes="app*4009*20180110*"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ref="AH131" si="37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218-09 --locoid 4009 --swversion DE.1.0.9.0 --startMP 204:1152 --initTime 2018-01-09T18:13:17 --startdatetime 2018-01-09T19:12:25 --delay 95 --endMP 204:233203 --enddatetime 2018-01-09T19:51:06 --enforcementcount 0 &gt;&gt;%USERPROFILE%\Documents\GitHub\eaglep3-reporting\EC\2018-01-09-refined-times.txt</v>
      </c>
      <c r="AI131" s="238" t="str">
        <f t="shared" ref="AI131" si="38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{"issue":{"subject":"","project_id":79,"tracker_id":40,"status_id":1,"priority_id":2,"assigned_to_id":338,"start_date":"2018-01-09","description":"","custom_fields":[{"id":1,"name":"Subdivision","value":"EC"},{"id":4,"name":"Milepost","value":"0.0262"},{"id":17,"name":"Train ID","value":"218-09"},{"id":16,"name":"Locomotive ID","value":"4009"},{"id":130,"name":"Impact","value":""},{"id":150,"name":"Time of Event (Mountain Time)","value":"19:51:06"},{"id":151,"name":"Denver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ref="AM131" si="39">"start /low /b "&amp;dls3logs&amp;" --loco "&amp;B131&amp;" --day "&amp;TEXT(F131,"YYYY-MM-DD")</f>
        <v>start /low /b %USERPROFILE%\Documents\GitHub\eaglep3\Utilities\DownloadLogsFromS3.py --loco 4009 --day 2018-01-09</v>
      </c>
      <c r="AN131" s="241" t="str">
        <f t="shared" ref="AN131" si="40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ref="AO131" si="41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-09T17:13:17-0700',mode:absolute,to:'2018-01-09T20:51:06-0700'))&amp;_a=(columns:!('Message%20ID',Summary),filters:!(),index:'emp_*',interval:auto,query:(query_string:(analyze_wildcard:!t,query:'%22rtdc.l.rtdc.4009%22')),sort:!(Time.ISO8601,asc))</v>
      </c>
    </row>
    <row r="132" spans="1:91" s="20" customFormat="1" x14ac:dyDescent="0.3">
      <c r="A132" s="229" t="s">
        <v>901</v>
      </c>
      <c r="B132" s="225">
        <v>4056</v>
      </c>
      <c r="C132" s="227" t="s">
        <v>191</v>
      </c>
      <c r="D132" s="227" t="s">
        <v>489</v>
      </c>
      <c r="E132" s="226">
        <v>43109.769803240742</v>
      </c>
      <c r="F132" s="226">
        <v>43109.771238425928</v>
      </c>
      <c r="G132" s="225">
        <v>73</v>
      </c>
      <c r="H132" s="227" t="s">
        <v>991</v>
      </c>
      <c r="I132" s="226">
        <v>43109.797500000001</v>
      </c>
      <c r="J132" s="225">
        <v>0</v>
      </c>
      <c r="K132" s="237" t="str">
        <f>IF(ISEVEN(B132),(B132-1)&amp;"/"&amp;B132,B132&amp;"/"&amp;(B132+1))</f>
        <v>4055/4056</v>
      </c>
      <c r="L132" s="245" t="str">
        <f>VLOOKUP(A132,'Trips&amp;Operators'!$C$1:$G$99911,5,FALSE)</f>
        <v>ANDERS STEVEN</v>
      </c>
      <c r="M132" s="224">
        <f>I132-F132</f>
        <v>2.626157407212304E-2</v>
      </c>
      <c r="N132" s="225">
        <f>24*60*SUM($M132:$M132)</f>
        <v>37.816666663857177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-09T17:28:31-0700',mode:absolute,to:'2018-01-09T20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2" s="247" t="str">
        <f>IF(AA132&lt;VLOOKUP(AG132,Variables!$AC$3:$AD$8,2,FALSE),"Y","N")</f>
        <v>N</v>
      </c>
      <c r="X132" s="247">
        <f t="shared" ref="X132:X133" si="42">VALUE(LEFT(AD132,4))-VALUE(LEFT(AD131,4))</f>
        <v>1</v>
      </c>
      <c r="Y132" s="247">
        <f>RIGHT(D132,LEN(D132)-4)/10000</f>
        <v>5.3999999999999999E-2</v>
      </c>
      <c r="Z132" s="247">
        <f>RIGHT(H132,LEN(H132)-4)/10000</f>
        <v>23.3217</v>
      </c>
      <c r="AA132" s="247">
        <f>ABS(Z132-Y132)</f>
        <v>23.267700000000001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219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/stypes="app*4056*20180110*"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7"/>
        <v>"%USERPROFILE%\Documents\GitHub\eaglep3\Utilities\RefineRTDCRunTimes.py" --tripid 219-09 --locoid 4056 --swversion DE.1.0.9.0 --startMP 204:540 --initTime 2018-01-09T18:28:31 --startdatetime 2018-01-09T18:30:35 --delay 73 --endMP 204:233217 --enddatetime 2018-01-09T19:08:24 --enforcementcount 0 &gt;&gt;%USERPROFILE%\Documents\GitHub\eaglep3-reporting\EC\2018-01-09-refined-times.txt</v>
      </c>
      <c r="AI13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{"issue":{"subject":"","project_id":79,"tracker_id":40,"status_id":1,"priority_id":2,"assigned_to_id":338,"start_date":"2018-01-09","description":"","custom_fields":[{"id":1,"name":"Subdivision","value":"EC"},{"id":4,"name":"Milepost","value":"23.3217"},{"id":17,"name":"Train ID","value":"219-09"},{"id":16,"name":"Locomotive ID","value":"4056"},{"id":130,"name":"Impact","value":""},{"id":150,"name":"Time of Event (Mountain Time)","value":"19:08:24"},{"id":151,"name":"Denver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9"/>
        <v>start /low /b %USERPROFILE%\Documents\GitHub\eaglep3\Utilities\DownloadLogsFromS3.py --loco 4056 --day 2018-01-09</v>
      </c>
      <c r="AN132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21"/>
        <v>https://d0f6bd738d7f1b3e5a7ca70fe4ff75f0.us-east-1.aws.found.io/app/kibana#/discover/Steve-Slow-Train-Analysis-(2080s-and-2083s)?_g=(refreshInterval:(display:Off,pause:!f,section:0,value:0),time:(from:'2018-01-09T17:28:31-0700',mode:absolute,to:'2018-01-09T20:08:24-0700'))&amp;_a=(columns:!('Message%20ID',Summary),filters:!(),index:'emp_*',interval:auto,query:(query_string:(analyze_wildcard:!t,query:'%22rtdc.l.rtdc.4056%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909</v>
      </c>
      <c r="B133" s="225">
        <v>4055</v>
      </c>
      <c r="C133" s="227" t="s">
        <v>191</v>
      </c>
      <c r="D133" s="227" t="s">
        <v>992</v>
      </c>
      <c r="E133" s="226">
        <v>43109.80877314815</v>
      </c>
      <c r="F133" s="226">
        <v>43109.810925925929</v>
      </c>
      <c r="G133" s="225">
        <v>73</v>
      </c>
      <c r="H133" s="227" t="s">
        <v>607</v>
      </c>
      <c r="I133" s="226">
        <v>43109.838773148149</v>
      </c>
      <c r="J133" s="225">
        <v>0</v>
      </c>
      <c r="K133" s="237" t="str">
        <f>IF(ISEVEN(B133),(B133-1)&amp;"/"&amp;B133,B133&amp;"/"&amp;(B133+1))</f>
        <v>4055/4056</v>
      </c>
      <c r="L133" s="245" t="str">
        <f>VLOOKUP(A133,'Trips&amp;Operators'!$C$1:$G$99911,5,FALSE)</f>
        <v>ANDERS STEVEN</v>
      </c>
      <c r="M133" s="224">
        <f>I133-F133</f>
        <v>2.7847222219861578E-2</v>
      </c>
      <c r="N133" s="225">
        <f>24*60*SUM($M133:$M133)</f>
        <v>40.099999996600673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-09T18:24:38-0700',mode:absolute,to:'2018-01-09T21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3" s="247" t="str">
        <f>IF(AA133&lt;VLOOKUP(AG133,Variables!$AC$3:$AD$8,2,FALSE),"Y","N")</f>
        <v>N</v>
      </c>
      <c r="X133" s="247">
        <f t="shared" si="42"/>
        <v>1</v>
      </c>
      <c r="Y133" s="247">
        <f>RIGHT(D133,LEN(D133)-4)/10000</f>
        <v>23.290800000000001</v>
      </c>
      <c r="Z133" s="247">
        <f>RIGHT(H133,LEN(H133)-4)/10000</f>
        <v>2.4299999999999999E-2</v>
      </c>
      <c r="AA133" s="247">
        <f>ABS(Z133-Y133)</f>
        <v>23.266500000000001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220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/stypes="app*4055*20180110*" /stext=" 03:.+((SYSTEM_STATE.+slice.+state.+changed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7"/>
        <v>"%USERPROFILE%\Documents\GitHub\eaglep3\Utilities\RefineRTDCRunTimes.py" --tripid 220-09 --locoid 4055 --swversion DE.1.0.9.0 --startMP 204:232908 --initTime 2018-01-09T19:24:38 --startdatetime 2018-01-09T19:27:44 --delay 73 --endMP 204:243 --enddatetime 2018-01-09T20:07:50 --enforcementcount 0 &gt;&gt;%USERPROFILE%\Documents\GitHub\eaglep3-reporting\EC\2018-01-09-refined-times.txt</v>
      </c>
      <c r="AI13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{"issue":{"subject":"","project_id":79,"tracker_id":40,"status_id":1,"priority_id":2,"assigned_to_id":338,"start_date":"2018-01-09","description":"","custom_fields":[{"id":1,"name":"Subdivision","value":"EC"},{"id":4,"name":"Milepost","value":"0.0243"},{"id":17,"name":"Train ID","value":"220-09"},{"id":16,"name":"Locomotive ID","value":"4055"},{"id":130,"name":"Impact","value":""},{"id":150,"name":"Time of Event (Mountain Time)","value":"20:07:50"},{"id":151,"name":"Denver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19"/>
        <v>start /low /b %USERPROFILE%\Documents\GitHub\eaglep3\Utilities\DownloadLogsFromS3.py --loco 4055 --day 2018-01-09</v>
      </c>
      <c r="AN133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21"/>
        <v>https://d0f6bd738d7f1b3e5a7ca70fe4ff75f0.us-east-1.aws.found.io/app/kibana#/discover/Steve-Slow-Train-Analysis-(2080s-and-2083s)?_g=(refreshInterval:(display:Off,pause:!f,section:0,value:0),time:(from:'2018-01-09T18:24:38-0700',mode:absolute,to:'2018-01-09T21:07:50-0700'))&amp;_a=(columns:!('Message%20ID',Summary),filters:!(),index:'emp_*',interval:auto,query:(query_string:(analyze_wildcard:!t,query:'%22rtdc.l.rtdc.4055%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906</v>
      </c>
      <c r="B134" s="225">
        <v>4014</v>
      </c>
      <c r="C134" s="227" t="s">
        <v>191</v>
      </c>
      <c r="D134" s="227" t="s">
        <v>993</v>
      </c>
      <c r="E134" s="226">
        <v>43109.7887962963</v>
      </c>
      <c r="F134" s="226">
        <v>43109.791898148149</v>
      </c>
      <c r="G134" s="225">
        <v>89</v>
      </c>
      <c r="H134" s="227" t="s">
        <v>582</v>
      </c>
      <c r="I134" s="226">
        <v>43109.81753472222</v>
      </c>
      <c r="J134" s="225">
        <v>0</v>
      </c>
      <c r="K134" s="237" t="str">
        <f>IF(ISEVEN(B134),(B134-1)&amp;"/"&amp;B134,B134&amp;"/"&amp;(B134+1))</f>
        <v>4013/4014</v>
      </c>
      <c r="L134" s="245" t="str">
        <f>VLOOKUP(A134,'Trips&amp;Operators'!$C$1:$G$99911,5,FALSE)</f>
        <v>RESPASS AARON</v>
      </c>
      <c r="M134" s="224">
        <f>I134-F134</f>
        <v>2.5636574071540963E-2</v>
      </c>
      <c r="N134" s="225">
        <f>24*60*SUM($M134:$M134)</f>
        <v>36.916666663018987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-09T17:55:52-0700',mode:absolute,to:'2018-01-09T20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5.4600000000000003E-2</v>
      </c>
      <c r="Z134" s="247">
        <f>RIGHT(H134,LEN(H134)-4)/10000</f>
        <v>23.325900000000001</v>
      </c>
      <c r="AA134" s="247">
        <f>ABS(Z134-Y134)</f>
        <v>23.2713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221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/stypes="app*4014*20180110*"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7"/>
        <v>"%USERPROFILE%\Documents\GitHub\eaglep3\Utilities\RefineRTDCRunTimes.py" --tripid 221-09 --locoid 4014 --swversion DE.1.0.9.0 --startMP 204:546 --initTime 2018-01-09T18:55:52 --startdatetime 2018-01-09T19:00:20 --delay 89 --endMP 204:233259 --enddatetime 2018-01-09T19:37:15 --enforcementcount 0 &gt;&gt;%USERPROFILE%\Documents\GitHub\eaglep3-reporting\EC\2018-01-09-refined-times.txt</v>
      </c>
      <c r="AI13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{"issue":{"subject":"","project_id":79,"tracker_id":40,"status_id":1,"priority_id":2,"assigned_to_id":338,"start_date":"2018-01-09","description":"","custom_fields":[{"id":1,"name":"Subdivision","value":"EC"},{"id":4,"name":"Milepost","value":"23.3259"},{"id":17,"name":"Train ID","value":"221-09"},{"id":16,"name":"Locomotive ID","value":"4014"},{"id":130,"name":"Impact","value":""},{"id":150,"name":"Time of Event (Mountain Time)","value":"19:37:15"},{"id":151,"name":"Denver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9"/>
        <v>start /low /b %USERPROFILE%\Documents\GitHub\eaglep3\Utilities\DownloadLogsFromS3.py --loco 4014 --day 2018-01-09</v>
      </c>
      <c r="AN134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21"/>
        <v>https://d0f6bd738d7f1b3e5a7ca70fe4ff75f0.us-east-1.aws.found.io/app/kibana#/discover/Steve-Slow-Train-Analysis-(2080s-and-2083s)?_g=(refreshInterval:(display:Off,pause:!f,section:0,value:0),time:(from:'2018-01-09T17:55:52-0700',mode:absolute,to:'2018-01-09T20:37:15-0700'))&amp;_a=(columns:!('Message%20ID',Summary),filters:!(),index:'emp_*',interval:auto,query:(query_string:(analyze_wildcard:!t,query:'%22rtdc.l.rtdc.4014%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726</v>
      </c>
      <c r="B135" s="225">
        <v>4013</v>
      </c>
      <c r="C135" s="227" t="s">
        <v>191</v>
      </c>
      <c r="D135" s="227" t="s">
        <v>537</v>
      </c>
      <c r="E135" s="226">
        <v>43109.826643518521</v>
      </c>
      <c r="F135" s="226">
        <v>43109.83152777778</v>
      </c>
      <c r="G135" s="225">
        <v>121</v>
      </c>
      <c r="H135" s="227" t="s">
        <v>988</v>
      </c>
      <c r="I135" s="226">
        <v>43109.861122685186</v>
      </c>
      <c r="J135" s="225">
        <v>0</v>
      </c>
      <c r="K135" s="237" t="str">
        <f>IF(ISEVEN(B135),(B135-1)&amp;"/"&amp;B135,B135&amp;"/"&amp;(B135+1))</f>
        <v>4013/4014</v>
      </c>
      <c r="L135" s="245" t="str">
        <f>VLOOKUP(A135,'Trips&amp;Operators'!$C$1:$G$99911,5,FALSE)</f>
        <v>RESPASS AARON</v>
      </c>
      <c r="M135" s="224">
        <f>I135-F135</f>
        <v>2.9594907406135462E-2</v>
      </c>
      <c r="N135" s="225">
        <f>24*60*SUM($M135:$M135)</f>
        <v>42.616666664835066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-09T18:50:22-0700',mode:absolute,to:'2018-01-09T21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23.2927</v>
      </c>
      <c r="Z135" s="247">
        <f>RIGHT(H135,LEN(H135)-4)/10000</f>
        <v>2.4199999999999999E-2</v>
      </c>
      <c r="AA135" s="247">
        <f>ABS(Z135-Y135)</f>
        <v>23.2685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222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/stypes="app*4013*20180110*"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7"/>
        <v>"%USERPROFILE%\Documents\GitHub\eaglep3\Utilities\RefineRTDCRunTimes.py" --tripid 222-09 --locoid 4013 --swversion DE.1.0.9.0 --startMP 204:232927 --initTime 2018-01-09T19:50:22 --startdatetime 2018-01-09T19:57:24 --delay 121 --endMP 204:242 --enddatetime 2018-01-09T20:40:01 --enforcementcount 0 &gt;&gt;%USERPROFILE%\Documents\GitHub\eaglep3-reporting\EC\2018-01-09-refined-times.txt</v>
      </c>
      <c r="AI13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{"issue":{"subject":"","project_id":79,"tracker_id":40,"status_id":1,"priority_id":2,"assigned_to_id":338,"start_date":"2018-01-09","description":"","custom_fields":[{"id":1,"name":"Subdivision","value":"EC"},{"id":4,"name":"Milepost","value":"0.0242"},{"id":17,"name":"Train ID","value":"222-09"},{"id":16,"name":"Locomotive ID","value":"4013"},{"id":130,"name":"Impact","value":""},{"id":150,"name":"Time of Event (Mountain Time)","value":"20:40:01"},{"id":151,"name":"Denver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9"/>
        <v>start /low /b %USERPROFILE%\Documents\GitHub\eaglep3\Utilities\DownloadLogsFromS3.py --loco 4013 --day 2018-01-09</v>
      </c>
      <c r="AN135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03:40:01"},{"id":29,"name":"Sharepoint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21"/>
        <v>https://d0f6bd738d7f1b3e5a7ca70fe4ff75f0.us-east-1.aws.found.io/app/kibana#/discover/Steve-Slow-Train-Analysis-(2080s-and-2083s)?_g=(refreshInterval:(display:Off,pause:!f,section:0,value:0),time:(from:'2018-01-09T18:50:22-0700',mode:absolute,to:'2018-01-09T21:40:01-0700'))&amp;_a=(columns:!('Message%20ID',Summary),filters:!(),index:'emp_*',interval:auto,query:(query_string:(analyze_wildcard:!t,query:'%22rtdc.l.rtdc.4013%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724</v>
      </c>
      <c r="B136" s="225">
        <v>4050</v>
      </c>
      <c r="C136" s="227" t="s">
        <v>191</v>
      </c>
      <c r="D136" s="227" t="s">
        <v>496</v>
      </c>
      <c r="E136" s="226">
        <v>43109.811145833337</v>
      </c>
      <c r="F136" s="226">
        <v>43109.813564814816</v>
      </c>
      <c r="G136" s="225">
        <v>81</v>
      </c>
      <c r="H136" s="227" t="s">
        <v>666</v>
      </c>
      <c r="I136" s="226">
        <v>43109.839930555558</v>
      </c>
      <c r="J136" s="225">
        <v>0</v>
      </c>
      <c r="K136" s="237" t="str">
        <f>IF(ISEVEN(B136),(B136-1)&amp;"/"&amp;B136,B136&amp;"/"&amp;(B136+1))</f>
        <v>4049/4050</v>
      </c>
      <c r="L136" s="245" t="str">
        <f>VLOOKUP(A136,'Trips&amp;Operators'!$C$1:$G$99911,5,FALSE)</f>
        <v>LORI SANTOS</v>
      </c>
      <c r="M136" s="224">
        <f>I136-F136</f>
        <v>2.6365740741312038E-2</v>
      </c>
      <c r="N136" s="225">
        <f>24*60*SUM($M136:$M136)</f>
        <v>37.966666667489335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-09T18:28:03-0700',mode:absolute,to:'2018-01-09T21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5.33E-2</v>
      </c>
      <c r="Z136" s="247">
        <f>RIGHT(H136,LEN(H136)-4)/10000</f>
        <v>23.325500000000002</v>
      </c>
      <c r="AA136" s="247">
        <f>ABS(Z136-Y136)</f>
        <v>23.272200000000002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223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/stypes="app*4050*20180110*"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7"/>
        <v>"%USERPROFILE%\Documents\GitHub\eaglep3\Utilities\RefineRTDCRunTimes.py" --tripid 223-09 --locoid 4050 --swversion DE.1.0.9.0 --startMP 204:533 --initTime 2018-01-09T19:28:03 --startdatetime 2018-01-09T19:31:32 --delay 81 --endMP 204:233255 --enddatetime 2018-01-09T20:09:30 --enforcementcount 0 &gt;&gt;%USERPROFILE%\Documents\GitHub\eaglep3-reporting\EC\2018-01-09-refined-times.txt</v>
      </c>
      <c r="AI136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{"issue":{"subject":"","project_id":79,"tracker_id":40,"status_id":1,"priority_id":2,"assigned_to_id":338,"start_date":"2018-01-09","description":"","custom_fields":[{"id":1,"name":"Subdivision","value":"EC"},{"id":4,"name":"Milepost","value":"23.3255"},{"id":17,"name":"Train ID","value":"223-09"},{"id":16,"name":"Locomotive ID","value":"4050"},{"id":130,"name":"Impact","value":""},{"id":150,"name":"Time of Event (Mountain Time)","value":"20:09:30"},{"id":151,"name":"Denver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19"/>
        <v>start /low /b %USERPROFILE%\Documents\GitHub\eaglep3\Utilities\DownloadLogsFromS3.py --loco 4050 --day 2018-01-09</v>
      </c>
      <c r="AN136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03:09:30"},{"id":29,"name":"Sharepoint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21"/>
        <v>https://d0f6bd738d7f1b3e5a7ca70fe4ff75f0.us-east-1.aws.found.io/app/kibana#/discover/Steve-Slow-Train-Analysis-(2080s-and-2083s)?_g=(refreshInterval:(display:Off,pause:!f,section:0,value:0),time:(from:'2018-01-09T18:28:03-0700',mode:absolute,to:'2018-01-09T21:09:30-0700'))&amp;_a=(columns:!('Message%20ID',Summary),filters:!(),index:'emp_*',interval:auto,query:(query_string:(analyze_wildcard:!t,query:'%22rtdc.l.rtdc.4050%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914</v>
      </c>
      <c r="B137" s="225">
        <v>4049</v>
      </c>
      <c r="C137" s="227" t="s">
        <v>191</v>
      </c>
      <c r="D137" s="227" t="s">
        <v>981</v>
      </c>
      <c r="E137" s="226">
        <v>43109.848506944443</v>
      </c>
      <c r="F137" s="226">
        <v>43109.852789351855</v>
      </c>
      <c r="G137" s="225">
        <v>89</v>
      </c>
      <c r="H137" s="227" t="s">
        <v>988</v>
      </c>
      <c r="I137" s="226">
        <v>43109.880428240744</v>
      </c>
      <c r="J137" s="225">
        <v>0</v>
      </c>
      <c r="K137" s="237" t="str">
        <f>IF(ISEVEN(B137),(B137-1)&amp;"/"&amp;B137,B137&amp;"/"&amp;(B137+1))</f>
        <v>4049/4050</v>
      </c>
      <c r="L137" s="245" t="str">
        <f>VLOOKUP(A137,'Trips&amp;Operators'!$C$1:$G$99911,5,FALSE)</f>
        <v>LORI SANTOS</v>
      </c>
      <c r="M137" s="224">
        <f>I137-F137</f>
        <v>2.7638888888759539E-2</v>
      </c>
      <c r="N137" s="225">
        <f>24*60*SUM($M137:$M137)</f>
        <v>39.799999999813735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-09T19:21:51-0700',mode:absolute,to:'2018-01-09T22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23.296199999999999</v>
      </c>
      <c r="Z137" s="247">
        <f>RIGHT(H137,LEN(H137)-4)/10000</f>
        <v>2.4199999999999999E-2</v>
      </c>
      <c r="AA137" s="247">
        <f>ABS(Z137-Y137)</f>
        <v>23.271999999999998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224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/stypes="app*4049*20180110*" /stext=" 04:.+((SYSTEM_STATE.+slice.+state.+changed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7"/>
        <v>"%USERPROFILE%\Documents\GitHub\eaglep3\Utilities\RefineRTDCRunTimes.py" --tripid 224-09 --locoid 4049 --swversion DE.1.0.9.0 --startMP 204:232962 --initTime 2018-01-09T20:21:51 --startdatetime 2018-01-09T20:28:01 --delay 89 --endMP 204:242 --enddatetime 2018-01-09T21:07:49 --enforcementcount 0 &gt;&gt;%USERPROFILE%\Documents\GitHub\eaglep3-reporting\EC\2018-01-09-refined-times.txt</v>
      </c>
      <c r="AI137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{"issue":{"subject":"","project_id":79,"tracker_id":40,"status_id":1,"priority_id":2,"assigned_to_id":338,"start_date":"2018-01-09","description":"","custom_fields":[{"id":1,"name":"Subdivision","value":"EC"},{"id":4,"name":"Milepost","value":"0.0242"},{"id":17,"name":"Train ID","value":"224-09"},{"id":16,"name":"Locomotive ID","value":"4049"},{"id":130,"name":"Impact","value":""},{"id":150,"name":"Time of Event (Mountain Time)","value":"21:07:49"},{"id":151,"name":"Denver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9"/>
        <v>start /low /b %USERPROFILE%\Documents\GitHub\eaglep3\Utilities\DownloadLogsFromS3.py --loco 4049 --day 2018-01-09</v>
      </c>
      <c r="AN137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04:07:49"},{"id":29,"name":"Sharepoint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21"/>
        <v>https://d0f6bd738d7f1b3e5a7ca70fe4ff75f0.us-east-1.aws.found.io/app/kibana#/discover/Steve-Slow-Train-Analysis-(2080s-and-2083s)?_g=(refreshInterval:(display:Off,pause:!f,section:0,value:0),time:(from:'2018-01-09T19:21:51-0700',mode:absolute,to:'2018-01-09T22:07:49-0700'))&amp;_a=(columns:!('Message%20ID',Summary),filters:!(),index:'emp_*',interval:auto,query:(query_string:(analyze_wildcard:!t,query:'%22rtdc.l.rtdc.4049%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911</v>
      </c>
      <c r="B138" s="225">
        <v>4010</v>
      </c>
      <c r="C138" s="227" t="s">
        <v>191</v>
      </c>
      <c r="D138" s="227" t="s">
        <v>981</v>
      </c>
      <c r="E138" s="226">
        <v>43109.848506944443</v>
      </c>
      <c r="F138" s="226">
        <v>43109.833634259259</v>
      </c>
      <c r="G138" s="225">
        <v>89</v>
      </c>
      <c r="H138" s="227" t="s">
        <v>988</v>
      </c>
      <c r="I138" s="226">
        <v>43109.858796296299</v>
      </c>
      <c r="J138" s="225">
        <v>0</v>
      </c>
      <c r="K138" s="237" t="str">
        <f>IF(ISEVEN(B138),(B138-1)&amp;"/"&amp;B138,B138&amp;"/"&amp;(B138+1))</f>
        <v>4009/4010</v>
      </c>
      <c r="L138" s="245" t="str">
        <f>VLOOKUP(A138,'Trips&amp;Operators'!$C$1:$G$99911,5,FALSE)</f>
        <v>WEST BRYAN</v>
      </c>
      <c r="M138" s="224">
        <f>I138-F138</f>
        <v>2.5162037039990537E-2</v>
      </c>
      <c r="N138" s="225">
        <f>24*60*SUM($M138:$M138)</f>
        <v>36.233333337586373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-09T19:21:51-0700',mode:absolute,to:'2018-01-09T21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v>7.2999999999999995E-2</v>
      </c>
      <c r="Z138" s="247">
        <v>23.321300000000001</v>
      </c>
      <c r="AA138" s="247">
        <f>ABS(Z138-Y138)</f>
        <v>23.2483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225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 &amp; 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/stypes="app*4010*20180110*"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ref="AH138" si="43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225-09 --locoid 4010 --swversion DE.1.0.9.0 --startMP 204:232962 --initTime 2018-01-09T20:21:51 --startdatetime 2018-01-09T20:00:26 --delay 89 --endMP 204:242 --enddatetime 2018-01-09T20:36:40 --enforcementcount 0 &gt;&gt;%USERPROFILE%\Documents\GitHub\eaglep3-reporting\EC\2018-01-09-refined-times.txt</v>
      </c>
      <c r="AI138" s="238" t="str">
        <f t="shared" ref="AI138" si="44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{"issue":{"subject":"","project_id":79,"tracker_id":40,"status_id":1,"priority_id":2,"assigned_to_id":338,"start_date":"2018-01-09","description":"","custom_fields":[{"id":1,"name":"Subdivision","value":"EC"},{"id":4,"name":"Milepost","value":"23.3213"},{"id":17,"name":"Train ID","value":"225-09"},{"id":16,"name":"Locomotive ID","value":"4010"},{"id":130,"name":"Impact","value":""},{"id":150,"name":"Time of Event (Mountain Time)","value":"20:36:40"},{"id":151,"name":"Denver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ref="AM138" si="45">"start /low /b "&amp;dls3logs&amp;" --loco "&amp;B138&amp;" --day "&amp;TEXT(F138,"YYYY-MM-DD")</f>
        <v>start /low /b %USERPROFILE%\Documents\GitHub\eaglep3\Utilities\DownloadLogsFromS3.py --loco 4010 --day 2018-01-09</v>
      </c>
      <c r="AN138" s="241" t="str">
        <f t="shared" ref="AN138" si="46"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ref="AO138" si="47"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-09T19:21:51-0700',mode:absolute,to:'2018-01-09T21:36:40-0700'))&amp;_a=(columns:!('Message%20ID',Summary),filters:!(),index:'emp_*',interval:auto,query:(query_string:(analyze_wildcard:!t,query:'%22rtdc.l.rtdc.4010%22')),sort:!(Time.ISO8601,asc))</v>
      </c>
    </row>
    <row r="139" spans="1:91" s="20" customFormat="1" x14ac:dyDescent="0.3">
      <c r="A139" s="229" t="s">
        <v>916</v>
      </c>
      <c r="B139" s="225">
        <v>4009</v>
      </c>
      <c r="C139" s="227" t="s">
        <v>191</v>
      </c>
      <c r="D139" s="227" t="s">
        <v>994</v>
      </c>
      <c r="E139" s="226">
        <v>43109.860775462963</v>
      </c>
      <c r="F139" s="226">
        <v>43109.916898148149</v>
      </c>
      <c r="G139" s="225">
        <v>51</v>
      </c>
      <c r="H139" s="227" t="s">
        <v>503</v>
      </c>
      <c r="I139" s="226">
        <v>43109.941874999997</v>
      </c>
      <c r="J139" s="225">
        <v>0</v>
      </c>
      <c r="K139" s="237" t="str">
        <f>IF(ISEVEN(B139),(B139-1)&amp;"/"&amp;B139,B139&amp;"/"&amp;(B139+1))</f>
        <v>4009/4010</v>
      </c>
      <c r="L139" s="245" t="str">
        <f>VLOOKUP(A139,'Trips&amp;Operators'!$C$1:$G$99911,5,FALSE)</f>
        <v>WEST BRYAN</v>
      </c>
      <c r="M139" s="224">
        <f>I139-F139</f>
        <v>2.4976851847895887E-2</v>
      </c>
      <c r="N139" s="225">
        <f>24*60*SUM($M139:$M139)</f>
        <v>35.966666660970077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-09T19:39:31-0700',mode:absolute,to:'2018-01-09T23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247" t="str">
        <f>IF(AA139&lt;VLOOKUP(AG139,Variables!$AC$3:$AD$8,2,FALSE),"Y","N")</f>
        <v>N</v>
      </c>
      <c r="X139" s="247">
        <f t="shared" ref="X139:X141" si="48">VALUE(LEFT(AD139,4))-VALUE(LEFT(AD138,4))</f>
        <v>1</v>
      </c>
      <c r="Y139" s="247">
        <f>RIGHT(D139,LEN(D139)-4)/10000</f>
        <v>23.288799999999998</v>
      </c>
      <c r="Z139" s="247">
        <f>RIGHT(H139,LEN(H139)-4)/10000</f>
        <v>2.5999999999999999E-2</v>
      </c>
      <c r="AA139" s="247">
        <f>ABS(Z139-Y139)</f>
        <v>23.262799999999999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226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 &amp; aws s3 cp s3://rtdc.mdm.uploadarchive.raw/RTDC4009/ "%USERPROFILE%\AppData\Local\Temp\OnboardLogs"\RTDC4009\2018-01-10 --exclude "*" --recursive --include "*20180110*" &amp; "%USERPROFILE%\Documents\GitHub\mrs-test-scripts\Headless Mode &amp; Sideloading\WalkAndUnGZ.bat" "%USERPROFILE%\AppData\Local\Temp\OnboardLogs"\RTDC4009\2018-01-10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/stypes="app*4009*20180110*" /stext=" 05:.+((SYSTEM_STATE.+slice.+state.+changed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7"/>
        <v>"%USERPROFILE%\Documents\GitHub\eaglep3\Utilities\RefineRTDCRunTimes.py" --tripid 226-09 --locoid 4009 --swversion DE.1.0.9.0 --startMP 204:232888 --initTime 2018-01-09T20:39:31 --startdatetime 2018-01-09T22:00:20 --delay 51 --endMP 204:260 --enddatetime 2018-01-09T22:36:18 --enforcementcount 0 &gt;&gt;%USERPROFILE%\Documents\GitHub\eaglep3-reporting\EC\2018-01-09-refined-times.txt</v>
      </c>
      <c r="AI139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{"issue":{"subject":"","project_id":79,"tracker_id":40,"status_id":1,"priority_id":2,"assigned_to_id":338,"start_date":"2018-01-09","description":"","custom_fields":[{"id":1,"name":"Subdivision","value":"EC"},{"id":4,"name":"Milepost","value":"0.026"},{"id":17,"name":"Train ID","value":"226-09"},{"id":16,"name":"Locomotive ID","value":"4009"},{"id":130,"name":"Impact","value":""},{"id":150,"name":"Time of Event (Mountain Time)","value":"22:36:18"},{"id":151,"name":"Denver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9"/>
        <v>start /low /b %USERPROFILE%\Documents\GitHub\eaglep3\Utilities\DownloadLogsFromS3.py --loco 4009 --day 2018-01-09</v>
      </c>
      <c r="AN139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21"/>
        <v>https://d0f6bd738d7f1b3e5a7ca70fe4ff75f0.us-east-1.aws.found.io/app/kibana#/discover/Steve-Slow-Train-Analysis-(2080s-and-2083s)?_g=(refreshInterval:(display:Off,pause:!f,section:0,value:0),time:(from:'2018-01-09T19:39:31-0700',mode:absolute,to:'2018-01-09T23:36:18-0700'))&amp;_a=(columns:!('Message%20ID',Summary),filters:!(),index:'emp_*',interval:auto,query:(query_string:(analyze_wildcard:!t,query:'%22rtdc.l.rtdc.4009%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913</v>
      </c>
      <c r="B140" s="225">
        <v>4056</v>
      </c>
      <c r="C140" s="227" t="s">
        <v>191</v>
      </c>
      <c r="D140" s="227" t="s">
        <v>994</v>
      </c>
      <c r="E140" s="226">
        <v>43109.860775462963</v>
      </c>
      <c r="F140" s="226">
        <v>43109.85460648148</v>
      </c>
      <c r="G140" s="225">
        <v>51</v>
      </c>
      <c r="H140" s="227" t="s">
        <v>503</v>
      </c>
      <c r="I140" s="226">
        <v>43109.882210648146</v>
      </c>
      <c r="J140" s="225">
        <v>0</v>
      </c>
      <c r="K140" s="237" t="str">
        <f>IF(ISEVEN(B140),(B140-1)&amp;"/"&amp;B140,B140&amp;"/"&amp;(B140+1))</f>
        <v>4055/4056</v>
      </c>
      <c r="L140" s="245" t="str">
        <f>VLOOKUP(A140,'Trips&amp;Operators'!$C$1:$G$99911,5,FALSE)</f>
        <v>ANDERS STEVEN</v>
      </c>
      <c r="M140" s="224">
        <f>I140-F140</f>
        <v>2.7604166665696539E-2</v>
      </c>
      <c r="N140" s="225">
        <f>24*60*SUM($M140:$M140)</f>
        <v>39.749999998603016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-09T19:39:31-0700',mode:absolute,to:'2018-01-09T22:10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247" t="str">
        <f>IF(AA140&lt;VLOOKUP(AG140,Variables!$AC$3:$AD$8,2,FALSE),"Y","N")</f>
        <v>N</v>
      </c>
      <c r="X140" s="247">
        <f t="shared" si="48"/>
        <v>1</v>
      </c>
      <c r="Y140" s="247">
        <v>7.6100000000000001E-2</v>
      </c>
      <c r="Z140" s="247">
        <v>23.327000000000002</v>
      </c>
      <c r="AA140" s="247">
        <f>ABS(Z140-Y140)</f>
        <v>23.250900000000001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227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/stypes="app*4056*20180110*"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ref="AH140" si="49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227-09 --locoid 4056 --swversion DE.1.0.9.0 --startMP 204:232888 --initTime 2018-01-09T20:39:31 --startdatetime 2018-01-09T20:30:38 --delay 51 --endMP 204:260 --enddatetime 2018-01-09T21:10:23 --enforcementcount 0 &gt;&gt;%USERPROFILE%\Documents\GitHub\eaglep3-reporting\EC\2018-01-09-refined-times.txt</v>
      </c>
      <c r="AI140" s="238" t="str">
        <f t="shared" ref="AI140" si="50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{"issue":{"subject":"","project_id":79,"tracker_id":40,"status_id":1,"priority_id":2,"assigned_to_id":338,"start_date":"2018-01-09","description":"","custom_fields":[{"id":1,"name":"Subdivision","value":"EC"},{"id":4,"name":"Milepost","value":"23.327"},{"id":17,"name":"Train ID","value":"227-09"},{"id":16,"name":"Locomotive ID","value":"4056"},{"id":130,"name":"Impact","value":""},{"id":150,"name":"Time of Event (Mountain Time)","value":"21:10:23"},{"id":151,"name":"Denver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ref="AM140" si="51">"start /low /b "&amp;dls3logs&amp;" --loco "&amp;B140&amp;" --day "&amp;TEXT(F140,"YYYY-MM-DD")</f>
        <v>start /low /b %USERPROFILE%\Documents\GitHub\eaglep3\Utilities\DownloadLogsFromS3.py --loco 4056 --day 2018-01-09</v>
      </c>
      <c r="AN140" s="241" t="str">
        <f t="shared" ref="AN140" si="52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04:10:23"},{"id":29,"name":"Sharepoint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ref="AO140" si="53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-09T19:39:31-0700',mode:absolute,to:'2018-01-09T22:10:23-0700'))&amp;_a=(columns:!('Message%20ID',Summary),filters:!(),index:'emp_*',interval:auto,query:(query_string:(analyze_wildcard:!t,query:'%22rtdc.l.rtdc.4056%22')),sort:!(Time.ISO8601,asc))</v>
      </c>
    </row>
    <row r="141" spans="1:91" s="223" customFormat="1" x14ac:dyDescent="0.3">
      <c r="A141" s="229" t="s">
        <v>921</v>
      </c>
      <c r="B141" s="225">
        <v>4055</v>
      </c>
      <c r="C141" s="227" t="s">
        <v>191</v>
      </c>
      <c r="D141" s="227" t="s">
        <v>550</v>
      </c>
      <c r="E141" s="226">
        <v>43109.892106481479</v>
      </c>
      <c r="F141" s="226">
        <v>43109.894895833335</v>
      </c>
      <c r="G141" s="225">
        <v>179</v>
      </c>
      <c r="H141" s="227" t="s">
        <v>662</v>
      </c>
      <c r="I141" s="226">
        <v>43109.923113425924</v>
      </c>
      <c r="J141" s="225">
        <v>0</v>
      </c>
      <c r="K141" s="237" t="str">
        <f>IF(ISEVEN(B141),(B141-1)&amp;"/"&amp;B141,B141&amp;"/"&amp;(B141+1))</f>
        <v>4055/4056</v>
      </c>
      <c r="L141" s="245" t="str">
        <f>VLOOKUP(A141,'Trips&amp;Operators'!$C$1:$G$99911,5,FALSE)</f>
        <v>ANDERS STEVEN</v>
      </c>
      <c r="M141" s="224">
        <f>I141-F141</f>
        <v>2.8217592589498963E-2</v>
      </c>
      <c r="N141" s="225">
        <f>24*60*SUM($M141:$M141)</f>
        <v>40.633333328878507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-09T20:24:38-0700',mode:absolute,to:'2018-01-09T23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247" t="str">
        <f>IF(AA141&lt;VLOOKUP(AG141,Variables!$AC$3:$AD$8,2,FALSE),"Y","N")</f>
        <v>N</v>
      </c>
      <c r="X141" s="247">
        <f t="shared" si="48"/>
        <v>1</v>
      </c>
      <c r="Y141" s="247">
        <f>RIGHT(D141,LEN(D141)-4)/10000</f>
        <v>23.295300000000001</v>
      </c>
      <c r="Z141" s="247">
        <f>RIGHT(H141,LEN(H141)-4)/10000</f>
        <v>2.3199999999999998E-2</v>
      </c>
      <c r="AA141" s="247">
        <f>ABS(Z141-Y141)</f>
        <v>23.272100000000002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228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/stypes="app*4055*20180110*" /stext=" 05:.+((SYSTEM_STATE.+slice.+state.+changed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7"/>
        <v>"%USERPROFILE%\Documents\GitHub\eaglep3\Utilities\RefineRTDCRunTimes.py" --tripid 228-09 --locoid 4055 --swversion DE.1.0.9.0 --startMP 204:232953 --initTime 2018-01-09T21:24:38 --startdatetime 2018-01-09T21:28:39 --delay 179 --endMP 204:232 --enddatetime 2018-01-09T22:09:17 --enforcementcount 0 &gt;&gt;%USERPROFILE%\Documents\GitHub\eaglep3-reporting\EC\2018-01-09-refined-times.txt</v>
      </c>
      <c r="AI141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{"issue":{"subject":"","project_id":79,"tracker_id":40,"status_id":1,"priority_id":2,"assigned_to_id":338,"start_date":"2018-01-09","description":"","custom_fields":[{"id":1,"name":"Subdivision","value":"EC"},{"id":4,"name":"Milepost","value":"0.0232"},{"id":17,"name":"Train ID","value":"228-09"},{"id":16,"name":"Locomotive ID","value":"4055"},{"id":130,"name":"Impact","value":""},{"id":150,"name":"Time of Event (Mountain Time)","value":"22:09:17"},{"id":151,"name":"Denver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9"/>
        <v>start /low /b %USERPROFILE%\Documents\GitHub\eaglep3\Utilities\DownloadLogsFromS3.py --loco 4055 --day 2018-01-09</v>
      </c>
      <c r="AN141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21"/>
        <v>https://d0f6bd738d7f1b3e5a7ca70fe4ff75f0.us-east-1.aws.found.io/app/kibana#/discover/Steve-Slow-Train-Analysis-(2080s-and-2083s)?_g=(refreshInterval:(display:Off,pause:!f,section:0,value:0),time:(from:'2018-01-09T20:24:38-0700',mode:absolute,to:'2018-01-09T23:09:17-0700'))&amp;_a=(columns:!('Message%20ID',Summary),filters:!(),index:'emp_*',interval:auto,query:(query_string:(analyze_wildcard:!t,query:'%22rtdc.l.rtdc.4055%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917</v>
      </c>
      <c r="B142" s="225">
        <v>4014</v>
      </c>
      <c r="C142" s="227" t="s">
        <v>191</v>
      </c>
      <c r="D142" s="227" t="s">
        <v>611</v>
      </c>
      <c r="E142" s="226">
        <v>43109.87128472222</v>
      </c>
      <c r="F142" s="226">
        <v>43109.875138888892</v>
      </c>
      <c r="G142" s="225">
        <v>74</v>
      </c>
      <c r="H142" s="227" t="s">
        <v>995</v>
      </c>
      <c r="I142" s="226">
        <v>43109.900659722225</v>
      </c>
      <c r="J142" s="225">
        <v>0</v>
      </c>
      <c r="K142" s="237" t="str">
        <f>IF(ISEVEN(B142),(B142-1)&amp;"/"&amp;B142,B142&amp;"/"&amp;(B142+1))</f>
        <v>4013/4014</v>
      </c>
      <c r="L142" s="245" t="str">
        <f>VLOOKUP(A142,'Trips&amp;Operators'!$C$1:$G$99911,5,FALSE)</f>
        <v>RESPASS AARON</v>
      </c>
      <c r="M142" s="224">
        <f>I142-F142</f>
        <v>2.5520833332848269E-2</v>
      </c>
      <c r="N142" s="225">
        <f>24*60*SUM($M142:$M142)</f>
        <v>36.749999999301508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-09T19:54:39-0700',mode:absolute,to:'2018-01-09T22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5.5899999999999998E-2</v>
      </c>
      <c r="Z142" s="247">
        <f>RIGHT(H142,LEN(H142)-4)/10000</f>
        <v>23.323799999999999</v>
      </c>
      <c r="AA142" s="247">
        <f>ABS(Z142-Y142)</f>
        <v>23.267899999999997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229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/stypes="app*4014*20180110*"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7"/>
        <v>"%USERPROFILE%\Documents\GitHub\eaglep3\Utilities\RefineRTDCRunTimes.py" --tripid 229-09 --locoid 4014 --swversion DE.1.0.9.0 --startMP 204:559 --initTime 2018-01-09T20:54:39 --startdatetime 2018-01-09T21:00:12 --delay 74 --endMP 204:233238 --enddatetime 2018-01-09T21:36:57 --enforcementcount 0 &gt;&gt;%USERPROFILE%\Documents\GitHub\eaglep3-reporting\EC\2018-01-09-refined-times.txt</v>
      </c>
      <c r="AI142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{"issue":{"subject":"","project_id":79,"tracker_id":40,"status_id":1,"priority_id":2,"assigned_to_id":338,"start_date":"2018-01-09","description":"","custom_fields":[{"id":1,"name":"Subdivision","value":"EC"},{"id":4,"name":"Milepost","value":"23.3238"},{"id":17,"name":"Train ID","value":"229-09"},{"id":16,"name":"Locomotive ID","value":"4014"},{"id":130,"name":"Impact","value":""},{"id":150,"name":"Time of Event (Mountain Time)","value":"21:36:57"},{"id":151,"name":"Denver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19"/>
        <v>start /low /b %USERPROFILE%\Documents\GitHub\eaglep3\Utilities\DownloadLogsFromS3.py --loco 4014 --day 2018-01-09</v>
      </c>
      <c r="AN142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04:36:57"},{"id":29,"name":"Sharepoint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21"/>
        <v>https://d0f6bd738d7f1b3e5a7ca70fe4ff75f0.us-east-1.aws.found.io/app/kibana#/discover/Steve-Slow-Train-Analysis-(2080s-and-2083s)?_g=(refreshInterval:(display:Off,pause:!f,section:0,value:0),time:(from:'2018-01-09T19:54:39-0700',mode:absolute,to:'2018-01-09T22:36:57-0700'))&amp;_a=(columns:!('Message%20ID',Summary),filters:!(),index:'emp_*',interval:auto,query:(query_string:(analyze_wildcard:!t,query:'%22rtdc.l.rtdc.4014%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923</v>
      </c>
      <c r="B143" s="225">
        <v>4013</v>
      </c>
      <c r="C143" s="227" t="s">
        <v>191</v>
      </c>
      <c r="D143" s="227" t="s">
        <v>996</v>
      </c>
      <c r="E143" s="226">
        <v>43109.905439814815</v>
      </c>
      <c r="F143" s="226">
        <v>43109.914733796293</v>
      </c>
      <c r="G143" s="225">
        <v>56</v>
      </c>
      <c r="H143" s="227" t="s">
        <v>608</v>
      </c>
      <c r="I143" s="226">
        <v>43109.941643518519</v>
      </c>
      <c r="J143" s="225">
        <v>0</v>
      </c>
      <c r="K143" s="237" t="str">
        <f>IF(ISEVEN(B143),(B143-1)&amp;"/"&amp;B143,B143&amp;"/"&amp;(B143+1))</f>
        <v>4013/4014</v>
      </c>
      <c r="L143" s="245" t="str">
        <f>VLOOKUP(A143,'Trips&amp;Operators'!$C$1:$G$99911,5,FALSE)</f>
        <v>RESPASS AARON</v>
      </c>
      <c r="M143" s="224">
        <f>I143-F143</f>
        <v>2.6909722226264421E-2</v>
      </c>
      <c r="N143" s="225">
        <f>24*60*SUM($M143:$M143)</f>
        <v>38.750000005820766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-09T20:43:50-0700',mode:absolute,to:'2018-01-09T23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23.293800000000001</v>
      </c>
      <c r="Z143" s="247">
        <f>RIGHT(H143,LEN(H143)-4)/10000</f>
        <v>2.6499999999999999E-2</v>
      </c>
      <c r="AA143" s="247">
        <f>ABS(Z143-Y143)</f>
        <v>23.267300000000002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230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/stypes="app*4013*20180110*"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7"/>
        <v>"%USERPROFILE%\Documents\GitHub\eaglep3\Utilities\RefineRTDCRunTimes.py" --tripid 230-09 --locoid 4013 --swversion DE.1.0.9.0 --startMP 204:232938 --initTime 2018-01-09T21:43:50 --startdatetime 2018-01-09T21:57:13 --delay 56 --endMP 204:265 --enddatetime 2018-01-09T22:35:58 --enforcementcount 0 &gt;&gt;%USERPROFILE%\Documents\GitHub\eaglep3-reporting\EC\2018-01-09-refined-times.txt</v>
      </c>
      <c r="AI143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{"issue":{"subject":"","project_id":79,"tracker_id":40,"status_id":1,"priority_id":2,"assigned_to_id":338,"start_date":"2018-01-09","description":"","custom_fields":[{"id":1,"name":"Subdivision","value":"EC"},{"id":4,"name":"Milepost","value":"0.0265"},{"id":17,"name":"Train ID","value":"230-09"},{"id":16,"name":"Locomotive ID","value":"4013"},{"id":130,"name":"Impact","value":""},{"id":150,"name":"Time of Event (Mountain Time)","value":"22:35:58"},{"id":151,"name":"Denver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19"/>
        <v>start /low /b %USERPROFILE%\Documents\GitHub\eaglep3\Utilities\DownloadLogsFromS3.py --loco 4013 --day 2018-01-09</v>
      </c>
      <c r="AN143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21"/>
        <v>https://d0f6bd738d7f1b3e5a7ca70fe4ff75f0.us-east-1.aws.found.io/app/kibana#/discover/Steve-Slow-Train-Analysis-(2080s-and-2083s)?_g=(refreshInterval:(display:Off,pause:!f,section:0,value:0),time:(from:'2018-01-09T20:43:50-0700',mode:absolute,to:'2018-01-09T23:35:58-0700'))&amp;_a=(columns:!('Message%20ID',Summary),filters:!(),index:'emp_*',interval:auto,query:(query_string:(analyze_wildcard:!t,query:'%22rtdc.l.rtdc.4013%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919</v>
      </c>
      <c r="B144" s="225">
        <v>4050</v>
      </c>
      <c r="C144" s="227" t="s">
        <v>191</v>
      </c>
      <c r="D144" s="227" t="s">
        <v>610</v>
      </c>
      <c r="E144" s="226">
        <v>43109.884733796294</v>
      </c>
      <c r="F144" s="226">
        <v>43109.896087962959</v>
      </c>
      <c r="G144" s="225">
        <v>86</v>
      </c>
      <c r="H144" s="227" t="s">
        <v>665</v>
      </c>
      <c r="I144" s="226">
        <v>43109.921226851853</v>
      </c>
      <c r="J144" s="225">
        <v>0</v>
      </c>
      <c r="K144" s="237" t="str">
        <f>IF(ISEVEN(B144),(B144-1)&amp;"/"&amp;B144,B144&amp;"/"&amp;(B144+1))</f>
        <v>4049/4050</v>
      </c>
      <c r="L144" s="245" t="str">
        <f>VLOOKUP(A144,'Trips&amp;Operators'!$C$1:$G$99911,5,FALSE)</f>
        <v>LOZA FIDEL</v>
      </c>
      <c r="M144" s="224">
        <f>I144-F144</f>
        <v>2.513888889370719E-2</v>
      </c>
      <c r="N144" s="225">
        <f>24*60*SUM($M144:$M144)</f>
        <v>36.200000006938353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-09T20:14:01-0700',mode:absolute,to:'2018-01-09T23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5.5300000000000002E-2</v>
      </c>
      <c r="Z144" s="247">
        <f>RIGHT(H144,LEN(H144)-4)/10000</f>
        <v>23.323</v>
      </c>
      <c r="AA144" s="247">
        <f>ABS(Z144-Y144)</f>
        <v>23.267700000000001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231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/stypes="app*4050*20180110*"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7"/>
        <v>"%USERPROFILE%\Documents\GitHub\eaglep3\Utilities\RefineRTDCRunTimes.py" --tripid 231-09 --locoid 4050 --swversion DE.1.0.9.0 --startMP 204:553 --initTime 2018-01-09T21:14:01 --startdatetime 2018-01-09T21:30:22 --delay 86 --endMP 204:233230 --enddatetime 2018-01-09T22:06:34 --enforcementcount 0 &gt;&gt;%USERPROFILE%\Documents\GitHub\eaglep3-reporting\EC\2018-01-09-refined-times.txt</v>
      </c>
      <c r="AI144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{"issue":{"subject":"","project_id":79,"tracker_id":40,"status_id":1,"priority_id":2,"assigned_to_id":338,"start_date":"2018-01-09","description":"","custom_fields":[{"id":1,"name":"Subdivision","value":"EC"},{"id":4,"name":"Milepost","value":"23.323"},{"id":17,"name":"Train ID","value":"231-09"},{"id":16,"name":"Locomotive ID","value":"4050"},{"id":130,"name":"Impact","value":""},{"id":150,"name":"Time of Event (Mountain Time)","value":"22:06:34"},{"id":151,"name":"Denver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9"/>
        <v>start /low /b %USERPROFILE%\Documents\GitHub\eaglep3\Utilities\DownloadLogsFromS3.py --loco 4050 --day 2018-01-09</v>
      </c>
      <c r="AN144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1"/>
        <v>https://d0f6bd738d7f1b3e5a7ca70fe4ff75f0.us-east-1.aws.found.io/app/kibana#/discover/Steve-Slow-Train-Analysis-(2080s-and-2083s)?_g=(refreshInterval:(display:Off,pause:!f,section:0,value:0),time:(from:'2018-01-09T20:14:01-0700',mode:absolute,to:'2018-01-09T23:06:34-0700'))&amp;_a=(columns:!('Message%20ID',Summary),filters:!(),index:'emp_*',interval:auto,query:(query_string:(analyze_wildcard:!t,query:'%22rtdc.l.rtdc.4050%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925</v>
      </c>
      <c r="B145" s="225">
        <v>4049</v>
      </c>
      <c r="C145" s="227" t="s">
        <v>191</v>
      </c>
      <c r="D145" s="227" t="s">
        <v>606</v>
      </c>
      <c r="E145" s="226">
        <v>43109.930752314816</v>
      </c>
      <c r="F145" s="226">
        <v>43109.935763888891</v>
      </c>
      <c r="G145" s="225">
        <v>85</v>
      </c>
      <c r="H145" s="227" t="s">
        <v>964</v>
      </c>
      <c r="I145" s="226">
        <v>43109.962847222225</v>
      </c>
      <c r="J145" s="225">
        <v>0</v>
      </c>
      <c r="K145" s="237" t="str">
        <f>IF(ISEVEN(B145),(B145-1)&amp;"/"&amp;B145,B145&amp;"/"&amp;(B145+1))</f>
        <v>4049/4050</v>
      </c>
      <c r="L145" s="245" t="str">
        <f>VLOOKUP(A145,'Trips&amp;Operators'!$C$1:$G$99911,5,FALSE)</f>
        <v>LOZA FIDEL</v>
      </c>
      <c r="M145" s="224">
        <f>I145-F145</f>
        <v>2.7083333334303461E-2</v>
      </c>
      <c r="N145" s="225">
        <f>24*60*SUM($M145:$M145)</f>
        <v>39.000000001396984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-09T21:20:17-0700',mode:absolute,to:'2018-01-10T00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23.296399999999998</v>
      </c>
      <c r="Z145" s="247">
        <f>RIGHT(H145,LEN(H145)-4)/10000</f>
        <v>2.3400000000000001E-2</v>
      </c>
      <c r="AA145" s="247">
        <f>ABS(Z145-Y145)</f>
        <v>23.273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232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/stypes="app*4049*20180110*" /stext=" 06:.+((SYSTEM_STATE.+slice.+state.+changed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7"/>
        <v>"%USERPROFILE%\Documents\GitHub\eaglep3\Utilities\RefineRTDCRunTimes.py" --tripid 232-09 --locoid 4049 --swversion DE.1.0.9.0 --startMP 204:232964 --initTime 2018-01-09T22:20:17 --startdatetime 2018-01-09T22:27:30 --delay 85 --endMP 204:234 --enddatetime 2018-01-09T23:06:30 --enforcementcount 0 &gt;&gt;%USERPROFILE%\Documents\GitHub\eaglep3-reporting\EC\2018-01-09-refined-times.txt</v>
      </c>
      <c r="AI145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{"issue":{"subject":"","project_id":79,"tracker_id":40,"status_id":1,"priority_id":2,"assigned_to_id":338,"start_date":"2018-01-09","description":"","custom_fields":[{"id":1,"name":"Subdivision","value":"EC"},{"id":4,"name":"Milepost","value":"0.0234"},{"id":17,"name":"Train ID","value":"232-09"},{"id":16,"name":"Locomotive ID","value":"4049"},{"id":130,"name":"Impact","value":""},{"id":150,"name":"Time of Event (Mountain Time)","value":"23:06:30"},{"id":151,"name":"Denver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19"/>
        <v>start /low /b %USERPROFILE%\Documents\GitHub\eaglep3\Utilities\DownloadLogsFromS3.py --loco 4049 --day 2018-01-09</v>
      </c>
      <c r="AN145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1"/>
        <v>https://d0f6bd738d7f1b3e5a7ca70fe4ff75f0.us-east-1.aws.found.io/app/kibana#/discover/Steve-Slow-Train-Analysis-(2080s-and-2083s)?_g=(refreshInterval:(display:Off,pause:!f,section:0,value:0),time:(from:'2018-01-09T21:20:17-0700',mode:absolute,to:'2018-01-10T00:06:30-0700'))&amp;_a=(columns:!('Message%20ID',Summary),filters:!(),index:'emp_*',interval:auto,query:(query_string:(analyze_wildcard:!t,query:'%22rtdc.l.rtdc.4049%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922</v>
      </c>
      <c r="B146" s="225">
        <v>4010</v>
      </c>
      <c r="C146" s="227" t="s">
        <v>191</v>
      </c>
      <c r="D146" s="227" t="s">
        <v>489</v>
      </c>
      <c r="E146" s="226">
        <v>43109.903495370374</v>
      </c>
      <c r="F146" s="226">
        <v>43109.916898148149</v>
      </c>
      <c r="G146" s="225">
        <v>56</v>
      </c>
      <c r="H146" s="227" t="s">
        <v>997</v>
      </c>
      <c r="I146" s="226">
        <v>43109.941874999997</v>
      </c>
      <c r="J146" s="225">
        <v>0</v>
      </c>
      <c r="K146" s="237" t="str">
        <f>IF(ISEVEN(B146),(B146-1)&amp;"/"&amp;B146,B146&amp;"/"&amp;(B146+1))</f>
        <v>4009/4010</v>
      </c>
      <c r="L146" s="245" t="str">
        <f>VLOOKUP(A146,'Trips&amp;Operators'!$C$1:$G$99911,5,FALSE)</f>
        <v>WEST BRYAN</v>
      </c>
      <c r="M146" s="224">
        <f>I146-F146</f>
        <v>2.4976851847895887E-2</v>
      </c>
      <c r="N146" s="225">
        <f>24*60*SUM($M146:$M146)</f>
        <v>35.966666660970077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-09T20:41:02-0700',mode:absolute,to:'2018-01-09T23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5.3999999999999999E-2</v>
      </c>
      <c r="Z146" s="247">
        <f>RIGHT(H146,LEN(H146)-4)/10000</f>
        <v>23.322900000000001</v>
      </c>
      <c r="AA146" s="247">
        <f>ABS(Z146-Y146)</f>
        <v>23.268900000000002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233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 &amp; 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/stypes="app*4010*20180110*"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7"/>
        <v>"%USERPROFILE%\Documents\GitHub\eaglep3\Utilities\RefineRTDCRunTimes.py" --tripid 233-09 --locoid 4010 --swversion DE.1.0.9.0 --startMP 204:540 --initTime 2018-01-09T21:41:02 --startdatetime 2018-01-09T22:00:20 --delay 56 --endMP 204:233229 --enddatetime 2018-01-09T22:36:18 --enforcementcount 0 &gt;&gt;%USERPROFILE%\Documents\GitHub\eaglep3-reporting\EC\2018-01-09-refined-times.txt</v>
      </c>
      <c r="AI146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{"issue":{"subject":"","project_id":79,"tracker_id":40,"status_id":1,"priority_id":2,"assigned_to_id":338,"start_date":"2018-01-09","description":"","custom_fields":[{"id":1,"name":"Subdivision","value":"EC"},{"id":4,"name":"Milepost","value":"23.3229"},{"id":17,"name":"Train ID","value":"233-09"},{"id":16,"name":"Locomotive ID","value":"4010"},{"id":130,"name":"Impact","value":""},{"id":150,"name":"Time of Event (Mountain Time)","value":"22:36:18"},{"id":151,"name":"Denver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19"/>
        <v>start /low /b %USERPROFILE%\Documents\GitHub\eaglep3\Utilities\DownloadLogsFromS3.py --loco 4010 --day 2018-01-09</v>
      </c>
      <c r="AN146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21"/>
        <v>https://d0f6bd738d7f1b3e5a7ca70fe4ff75f0.us-east-1.aws.found.io/app/kibana#/discover/Steve-Slow-Train-Analysis-(2080s-and-2083s)?_g=(refreshInterval:(display:Off,pause:!f,section:0,value:0),time:(from:'2018-01-09T20:41:02-0700',mode:absolute,to:'2018-01-09T23:36:18-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728</v>
      </c>
      <c r="B147" s="225">
        <v>4009</v>
      </c>
      <c r="C147" s="227" t="s">
        <v>191</v>
      </c>
      <c r="D147" s="227" t="s">
        <v>489</v>
      </c>
      <c r="E147" s="226">
        <v>43109.903495370374</v>
      </c>
      <c r="F147" s="226">
        <v>43109.956493055557</v>
      </c>
      <c r="G147" s="225">
        <v>56</v>
      </c>
      <c r="H147" s="227" t="s">
        <v>997</v>
      </c>
      <c r="I147" s="226">
        <v>43109.984131944446</v>
      </c>
      <c r="J147" s="225">
        <v>0</v>
      </c>
      <c r="K147" s="237" t="str">
        <f>IF(ISEVEN(B147),(B147-1)&amp;"/"&amp;B147,B147&amp;"/"&amp;(B147+1))</f>
        <v>4009/4010</v>
      </c>
      <c r="L147" s="245" t="str">
        <f>VLOOKUP(A147,'Trips&amp;Operators'!$C$1:$G$99911,5,FALSE)</f>
        <v>WEST BRYAN</v>
      </c>
      <c r="M147" s="224">
        <f>I147-F147</f>
        <v>2.7638888888759539E-2</v>
      </c>
      <c r="N147" s="225">
        <f>24*60*SUM($M147:$M147)</f>
        <v>39.799999999813735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-09T20:41:02-0700',mode:absolute,to:'2018-01-10T00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v>23.267299999999999</v>
      </c>
      <c r="Z147" s="247">
        <v>2.4899999999999999E-2</v>
      </c>
      <c r="AA147" s="247">
        <f>ABS(Z147-Y147)</f>
        <v>23.2424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234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 &amp; aws s3 cp s3://rtdc.mdm.uploadarchive.raw/RTDC4009/ "%USERPROFILE%\AppData\Local\Temp\OnboardLogs"\RTDC4009\2018-01-10 --exclude "*" --recursive --include "*20180110*" &amp; "%USERPROFILE%\Documents\GitHub\mrs-test-scripts\Headless Mode &amp; Sideloading\WalkAndUnGZ.bat" "%USERPROFILE%\AppData\Local\Temp\OnboardLogs"\RTDC4009\2018-01-10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/stypes="app*4009*20180110*"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ref="AH147" si="54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234-09 --locoid 4009 --swversion DE.1.0.9.0 --startMP 204:540 --initTime 2018-01-09T21:41:02 --startdatetime 2018-01-09T22:57:21 --delay 56 --endMP 204:233229 --enddatetime 2018-01-09T23:37:09 --enforcementcount 0 &gt;&gt;%USERPROFILE%\Documents\GitHub\eaglep3-reporting\EC\2018-01-09-refined-times.txt</v>
      </c>
      <c r="AI147" s="238" t="str">
        <f t="shared" ref="AI147" si="55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{"issue":{"subject":"","project_id":79,"tracker_id":40,"status_id":1,"priority_id":2,"assigned_to_id":338,"start_date":"2018-01-09","description":"","custom_fields":[{"id":1,"name":"Subdivision","value":"EC"},{"id":4,"name":"Milepost","value":"0.0249"},{"id":17,"name":"Train ID","value":"234-09"},{"id":16,"name":"Locomotive ID","value":"4009"},{"id":130,"name":"Impact","value":""},{"id":150,"name":"Time of Event (Mountain Time)","value":"23:37:09"},{"id":151,"name":"Denver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ref="AM147" si="56">"start /low /b "&amp;dls3logs&amp;" --loco "&amp;B147&amp;" --day "&amp;TEXT(F147,"YYYY-MM-DD")</f>
        <v>start /low /b %USERPROFILE%\Documents\GitHub\eaglep3\Utilities\DownloadLogsFromS3.py --loco 4009 --day 2018-01-09</v>
      </c>
      <c r="AN147" s="241" t="str">
        <f t="shared" ref="AN147" si="57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06:37:09"},{"id":29,"name":"Sharepoint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ref="AO147" si="58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-09T20:41:02-0700',mode:absolute,to:'2018-01-10T00:37:09-0700'))&amp;_a=(columns:!('Message%20ID',Summary),filters:!(),index:'emp_*',interval:auto,query:(query_string:(analyze_wildcard:!t,query:'%22rtdc.l.rtdc.4009%22')),sort:!(Time.ISO8601,asc))</v>
      </c>
    </row>
    <row r="148" spans="1:91" s="223" customFormat="1" x14ac:dyDescent="0.3">
      <c r="A148" s="229" t="s">
        <v>727</v>
      </c>
      <c r="B148" s="225">
        <v>4056</v>
      </c>
      <c r="C148" s="227" t="s">
        <v>191</v>
      </c>
      <c r="D148" s="227" t="s">
        <v>982</v>
      </c>
      <c r="E148" s="226">
        <v>43109.936342592591</v>
      </c>
      <c r="F148" s="226">
        <v>43109.937824074077</v>
      </c>
      <c r="G148" s="225">
        <v>49</v>
      </c>
      <c r="H148" s="227" t="s">
        <v>995</v>
      </c>
      <c r="I148" s="226">
        <v>43109.964918981481</v>
      </c>
      <c r="J148" s="225">
        <v>0</v>
      </c>
      <c r="K148" s="237" t="str">
        <f>IF(ISEVEN(B148),(B148-1)&amp;"/"&amp;B148,B148&amp;"/"&amp;(B148+1))</f>
        <v>4055/4056</v>
      </c>
      <c r="L148" s="245" t="str">
        <f>VLOOKUP(A148,'Trips&amp;Operators'!$C$1:$G$99911,5,FALSE)</f>
        <v>ANDERS STEVEN</v>
      </c>
      <c r="M148" s="224">
        <f>I148-F148</f>
        <v>2.7094907403807156E-2</v>
      </c>
      <c r="N148" s="225">
        <f>24*60*SUM($M148:$M148)</f>
        <v>39.016666661482304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-09T21:28:20-0700',mode:absolute,to:'2018-01-10T00:09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8" s="247" t="str">
        <f>IF(AA148&lt;VLOOKUP(AG148,Variables!$AC$3:$AD$8,2,FALSE),"Y","N")</f>
        <v>N</v>
      </c>
      <c r="X148" s="247">
        <f t="shared" ref="X148:X150" si="59">VALUE(LEFT(AD148,4))-VALUE(LEFT(AD147,4))</f>
        <v>1</v>
      </c>
      <c r="Y148" s="247">
        <f>RIGHT(D148,LEN(D148)-4)/10000</f>
        <v>5.4800000000000001E-2</v>
      </c>
      <c r="Z148" s="247">
        <f>RIGHT(H148,LEN(H148)-4)/10000</f>
        <v>23.323799999999999</v>
      </c>
      <c r="AA148" s="247">
        <f>ABS(Z148-Y148)</f>
        <v>23.268999999999998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235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/stypes="app*4056*20180110*"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17"/>
        <v>"%USERPROFILE%\Documents\GitHub\eaglep3\Utilities\RefineRTDCRunTimes.py" --tripid 235-09 --locoid 4056 --swversion DE.1.0.9.0 --startMP 204:548 --initTime 2018-01-09T22:28:20 --startdatetime 2018-01-09T22:30:28 --delay 49 --endMP 204:233238 --enddatetime 2018-01-09T23:09:29 --enforcementcount 0 &gt;&gt;%USERPROFILE%\Documents\GitHub\eaglep3-reporting\EC\2018-01-09-refined-times.txt</v>
      </c>
      <c r="AI148" s="238" t="str">
        <f t="shared" si="18"/>
        <v>echo {"issue":{"subject":"","project_id":79,"tracker_id":40,"status_id":1,"priority_id":2,"assigned_to_id":338,"start_date":"2018-01-09","description":"","custom_fields":[{"id":1,"name":"Subdivision","value":"EC"},{"id":4,"name":"Milepost","value":"23.3238"},{"id":17,"name":"Train ID","value":"235-09"},{"id":16,"name":"Locomotive ID","value":"4056"},{"id":130,"name":"Impact","value":""},{"id":150,"name":"Time of Event (Mountain Time)","value":"23:09:29"},{"id":151,"name":"Denver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19"/>
        <v>start /low /b %USERPROFILE%\Documents\GitHub\eaglep3\Utilities\DownloadLogsFromS3.py --loco 4056 --day 2018-01-09</v>
      </c>
      <c r="AN148" s="241" t="str">
        <f t="shared" si="20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06:09:29"},{"id":29,"name":"Sharepoint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21"/>
        <v>https://d0f6bd738d7f1b3e5a7ca70fe4ff75f0.us-east-1.aws.found.io/app/kibana#/discover/Steve-Slow-Train-Analysis-(2080s-and-2083s)?_g=(refreshInterval:(display:Off,pause:!f,section:0,value:0),time:(from:'2018-01-09T21:28:20-0700',mode:absolute,to:'2018-01-10T00:09:29-0700'))&amp;_a=(columns:!('Message%20ID',Summary),filters:!(),index:'emp_*',interval:auto,query:(query_string:(analyze_wildcard:!t,query:'%22rtdc.l.rtdc.4056%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931</v>
      </c>
      <c r="B149" s="225">
        <v>4055</v>
      </c>
      <c r="C149" s="227" t="s">
        <v>191</v>
      </c>
      <c r="D149" s="227" t="s">
        <v>647</v>
      </c>
      <c r="E149" s="226">
        <v>43109.974849537037</v>
      </c>
      <c r="F149" s="226">
        <v>43109.977488425924</v>
      </c>
      <c r="G149" s="225">
        <v>61</v>
      </c>
      <c r="H149" s="227" t="s">
        <v>607</v>
      </c>
      <c r="I149" s="226">
        <v>43110.004745370374</v>
      </c>
      <c r="J149" s="225">
        <v>0</v>
      </c>
      <c r="K149" s="237" t="str">
        <f>IF(ISEVEN(B149),(B149-1)&amp;"/"&amp;B149,B149&amp;"/"&amp;(B149+1))</f>
        <v>4055/4056</v>
      </c>
      <c r="L149" s="245" t="str">
        <f>VLOOKUP(A149,'Trips&amp;Operators'!$C$1:$G$99911,5,FALSE)</f>
        <v>ANDERS STEVEN</v>
      </c>
      <c r="M149" s="224">
        <f>I149-F149</f>
        <v>2.7256944449618459E-2</v>
      </c>
      <c r="N149" s="225">
        <f>24*60*SUM($M149:$M149)</f>
        <v>39.250000007450581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-09T22:23:47-0700',mode:absolute,to:'2018-01-10T01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9" s="247" t="str">
        <f>IF(AA149&lt;VLOOKUP(AG149,Variables!$AC$3:$AD$8,2,FALSE),"Y","N")</f>
        <v>N</v>
      </c>
      <c r="X149" s="247">
        <f t="shared" si="59"/>
        <v>1</v>
      </c>
      <c r="Y149" s="247">
        <f>RIGHT(D149,LEN(D149)-4)/10000</f>
        <v>23.294499999999999</v>
      </c>
      <c r="Z149" s="247">
        <f>RIGHT(H149,LEN(H149)-4)/10000</f>
        <v>2.4299999999999999E-2</v>
      </c>
      <c r="AA149" s="247">
        <f>ABS(Z149-Y149)</f>
        <v>23.270199999999999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236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/stypes="app*4055*20180110*" /stext=" 07:.+((SYSTEM_STATE.+slice.+state.+changed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:AH218" si="60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236-09 --locoid 4055 --swversion DE.1.0.9.0 --startMP 204:232945 --initTime 2018-01-09T23:23:47 --startdatetime 2018-01-09T23:27:35 --delay 61 --endMP 204:243 --enddatetime 2018-01-10T00:06:50 --enforcementcount 0 &gt;&gt;%USERPROFILE%\Documents\GitHub\eaglep3-reporting\EC\2018-01-09-refined-times.txt</v>
      </c>
      <c r="AI149" s="238" t="str">
        <f t="shared" ref="AI149:AI218" si="61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{"issue":{"subject":"","project_id":79,"tracker_id":40,"status_id":1,"priority_id":2,"assigned_to_id":338,"start_date":"2018-01-10","description":"","custom_fields":[{"id":1,"name":"Subdivision","value":"EC"},{"id":4,"name":"Milepost","value":"0.0243"},{"id":17,"name":"Train ID","value":"236-09"},{"id":16,"name":"Locomotive ID","value":"4055"},{"id":130,"name":"Impact","value":""},{"id":150,"name":"Time of Event (Mountain Time)","value":"00:06:50"},{"id":151,"name":"Denver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:AM218" si="62">"start /low /b "&amp;dls3logs&amp;" --loco "&amp;B149&amp;" --day "&amp;TEXT(F149,"YYYY-MM-DD")</f>
        <v>start /low /b %USERPROFILE%\Documents\GitHub\eaglep3\Utilities\DownloadLogsFromS3.py --loco 4055 --day 2018-01-09</v>
      </c>
      <c r="AN149" s="241" t="str">
        <f t="shared" ref="AN149:AN218" si="63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:AO218" si="64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-09T22:23:47-0700',mode:absolute,to:'2018-01-10T01:06:50-0700'))&amp;_a=(columns:!('Message%20ID',Summary),filters:!(),index:'emp_*',interval:auto,query:(query_string:(analyze_wildcard:!t,query:'%22rtdc.l.rtdc.4055%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927</v>
      </c>
      <c r="B150" s="225">
        <v>4014</v>
      </c>
      <c r="C150" s="227" t="s">
        <v>191</v>
      </c>
      <c r="D150" s="227" t="s">
        <v>998</v>
      </c>
      <c r="E150" s="226">
        <v>43109.950509259259</v>
      </c>
      <c r="F150" s="226">
        <v>43109.958495370367</v>
      </c>
      <c r="G150" s="225">
        <v>55</v>
      </c>
      <c r="H150" s="227" t="s">
        <v>549</v>
      </c>
      <c r="I150" s="226">
        <v>43109.983124999999</v>
      </c>
      <c r="J150" s="225">
        <v>0</v>
      </c>
      <c r="K150" s="237" t="str">
        <f>IF(ISEVEN(B150),(B150-1)&amp;"/"&amp;B150,B150&amp;"/"&amp;(B150+1))</f>
        <v>4013/4014</v>
      </c>
      <c r="L150" s="245" t="str">
        <f>VLOOKUP(A150,'Trips&amp;Operators'!$C$1:$G$99911,5,FALSE)</f>
        <v>RESPASS AARON</v>
      </c>
      <c r="M150" s="224">
        <f>I150-F150</f>
        <v>2.4629629631817807E-2</v>
      </c>
      <c r="N150" s="225">
        <f>24*60*SUM($M150:$M150)</f>
        <v>35.466666669817641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-09T21:48:44-0700',mode:absolute,to:'2018-01-10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47" t="str">
        <f>IF(AA150&lt;VLOOKUP(AG150,Variables!$AC$3:$AD$8,2,FALSE),"Y","N")</f>
        <v>N</v>
      </c>
      <c r="X150" s="247">
        <f t="shared" si="59"/>
        <v>1</v>
      </c>
      <c r="Y150" s="247">
        <f>RIGHT(D150,LEN(D150)-4)/10000</f>
        <v>5.8400000000000001E-2</v>
      </c>
      <c r="Z150" s="247">
        <f>RIGHT(H150,LEN(H150)-4)/10000</f>
        <v>23.3246</v>
      </c>
      <c r="AA150" s="247">
        <f>ABS(Z150-Y150)</f>
        <v>23.266200000000001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237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/stypes="app*4014*20180110*"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60"/>
        <v>"%USERPROFILE%\Documents\GitHub\eaglep3\Utilities\RefineRTDCRunTimes.py" --tripid 237-09 --locoid 4014 --swversion DE.1.0.9.0 --startMP 204:584 --initTime 2018-01-09T22:48:44 --startdatetime 2018-01-09T23:00:14 --delay 55 --endMP 204:233246 --enddatetime 2018-01-09T23:35:42 --enforcementcount 0 &gt;&gt;%USERPROFILE%\Documents\GitHub\eaglep3-reporting\EC\2018-01-09-refined-times.txt</v>
      </c>
      <c r="AI150" s="238" t="str">
        <f t="shared" si="61"/>
        <v>echo {"issue":{"subject":"","project_id":79,"tracker_id":40,"status_id":1,"priority_id":2,"assigned_to_id":338,"start_date":"2018-01-09","description":"","custom_fields":[{"id":1,"name":"Subdivision","value":"EC"},{"id":4,"name":"Milepost","value":"23.3246"},{"id":17,"name":"Train ID","value":"237-09"},{"id":16,"name":"Locomotive ID","value":"4014"},{"id":130,"name":"Impact","value":""},{"id":150,"name":"Time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62"/>
        <v>start /low /b %USERPROFILE%\Documents\GitHub\eaglep3\Utilities\DownloadLogsFromS3.py --loco 4014 --day 2018-01-09</v>
      </c>
      <c r="AN150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64"/>
        <v>https://d0f6bd738d7f1b3e5a7ca70fe4ff75f0.us-east-1.aws.found.io/app/kibana#/discover/Steve-Slow-Train-Analysis-(2080s-and-2083s)?_g=(refreshInterval:(display:Off,pause:!f,section:0,value:0),time:(from:'2018-01-09T21:48:44-0700',mode:absolute,to:'2018-01-10T00:35:42-0700'))&amp;_a=(columns:!('Message%20ID',Summary),filters:!(),index:'emp_*',interval:auto,query:(query_string:(analyze_wildcard:!t,query:'%22rtdc.l.rtdc.4014%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933</v>
      </c>
      <c r="B151" s="225">
        <v>4013</v>
      </c>
      <c r="C151" s="227" t="s">
        <v>191</v>
      </c>
      <c r="D151" s="227" t="s">
        <v>586</v>
      </c>
      <c r="E151" s="226">
        <v>43109.99590277778</v>
      </c>
      <c r="F151" s="226">
        <v>43109.999166666668</v>
      </c>
      <c r="G151" s="225">
        <v>73</v>
      </c>
      <c r="H151" s="227" t="s">
        <v>701</v>
      </c>
      <c r="I151" s="226">
        <v>43110.024699074071</v>
      </c>
      <c r="J151" s="225">
        <v>0</v>
      </c>
      <c r="K151" s="237" t="str">
        <f>IF(ISEVEN(B151),(B151-1)&amp;"/"&amp;B151,B151&amp;"/"&amp;(B151+1))</f>
        <v>4013/4014</v>
      </c>
      <c r="L151" s="245" t="str">
        <f>VLOOKUP(A151,'Trips&amp;Operators'!$C$1:$G$99911,5,FALSE)</f>
        <v>RESPASS AARON</v>
      </c>
      <c r="M151" s="224">
        <f>I151-F151</f>
        <v>2.5532407402351964E-2</v>
      </c>
      <c r="N151" s="225">
        <f>24*60*SUM($M151:$M151)</f>
        <v>36.766666659386829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-09T22:54:06-0700',mode:absolute,to:'2018-01-10T01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23.2926</v>
      </c>
      <c r="Z151" s="247">
        <f>RIGHT(H151,LEN(H151)-4)/10000</f>
        <v>1.26E-2</v>
      </c>
      <c r="AA151" s="247">
        <f>ABS(Z151-Y151)</f>
        <v>23.28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238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/stypes="app*4013*20180110*"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60"/>
        <v>"%USERPROFILE%\Documents\GitHub\eaglep3\Utilities\RefineRTDCRunTimes.py" --tripid 238-09 --locoid 4013 --swversion DE.1.0.9.0 --startMP 204:232926 --initTime 2018-01-09T23:54:06 --startdatetime 2018-01-09T23:58:48 --delay 73 --endMP 204:126 --enddatetime 2018-01-10T00:35:34 --enforcementcount 0 &gt;&gt;%USERPROFILE%\Documents\GitHub\eaglep3-reporting\EC\2018-01-09-refined-times.txt</v>
      </c>
      <c r="AI151" s="238" t="str">
        <f t="shared" si="61"/>
        <v>echo {"issue":{"subject":"","project_id":79,"tracker_id":40,"status_id":1,"priority_id":2,"assigned_to_id":338,"start_date":"2018-01-10","description":"","custom_fields":[{"id":1,"name":"Subdivision","value":"EC"},{"id":4,"name":"Milepost","value":"0.0126"},{"id":17,"name":"Train ID","value":"238-09"},{"id":16,"name":"Locomotive ID","value":"4013"},{"id":130,"name":"Impact","value":""},{"id":150,"name":"Time of Event (Mountain Time)","value":"00:35:34"},{"id":151,"name":"Denver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62"/>
        <v>start /low /b %USERPROFILE%\Documents\GitHub\eaglep3\Utilities\DownloadLogsFromS3.py --loco 4013 --day 2018-01-09</v>
      </c>
      <c r="AN151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64"/>
        <v>https://d0f6bd738d7f1b3e5a7ca70fe4ff75f0.us-east-1.aws.found.io/app/kibana#/discover/Steve-Slow-Train-Analysis-(2080s-and-2083s)?_g=(refreshInterval:(display:Off,pause:!f,section:0,value:0),time:(from:'2018-01-09T22:54:06-0700',mode:absolute,to:'2018-01-10T01:35:34-0700'))&amp;_a=(columns:!('Message%20ID',Summary),filters:!(),index:'emp_*',interval:auto,query:(query_string:(analyze_wildcard:!t,query:'%22rtdc.l.rtdc.4013%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929</v>
      </c>
      <c r="B152" s="225">
        <v>4050</v>
      </c>
      <c r="C152" s="227" t="s">
        <v>191</v>
      </c>
      <c r="D152" s="227" t="s">
        <v>643</v>
      </c>
      <c r="E152" s="226">
        <v>43109.968680555554</v>
      </c>
      <c r="F152" s="226">
        <v>43109.979375000003</v>
      </c>
      <c r="G152" s="225">
        <v>116</v>
      </c>
      <c r="H152" s="227" t="s">
        <v>584</v>
      </c>
      <c r="I152" s="226">
        <v>43110.004247685189</v>
      </c>
      <c r="J152" s="225">
        <v>0</v>
      </c>
      <c r="K152" s="237" t="str">
        <f>IF(ISEVEN(B152),(B152-1)&amp;"/"&amp;B152,B152&amp;"/"&amp;(B152+1))</f>
        <v>4049/4050</v>
      </c>
      <c r="L152" s="245" t="str">
        <f>VLOOKUP(A152,'Trips&amp;Operators'!$C$1:$G$99911,5,FALSE)</f>
        <v>LOZA FIDEL</v>
      </c>
      <c r="M152" s="224">
        <f>I152-F152</f>
        <v>2.4872685185982846E-2</v>
      </c>
      <c r="N152" s="225">
        <f>24*60*SUM($M152:$M152)</f>
        <v>35.816666667815298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-09T22:14:54-0700',mode:absolute,to:'2018-01-10T01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5.28E-2</v>
      </c>
      <c r="Z152" s="247">
        <f>RIGHT(H152,LEN(H152)-4)/10000</f>
        <v>23.3308</v>
      </c>
      <c r="AA152" s="247">
        <f>ABS(Z152-Y152)</f>
        <v>23.277999999999999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239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/stypes="app*4050*20180110*"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60"/>
        <v>"%USERPROFILE%\Documents\GitHub\eaglep3\Utilities\RefineRTDCRunTimes.py" --tripid 239-09 --locoid 4050 --swversion DE.1.0.9.0 --startMP 204:528 --initTime 2018-01-09T23:14:54 --startdatetime 2018-01-09T23:30:18 --delay 116 --endMP 204:233308 --enddatetime 2018-01-10T00:06:07 --enforcementcount 0 &gt;&gt;%USERPROFILE%\Documents\GitHub\eaglep3-reporting\EC\2018-01-09-refined-times.txt</v>
      </c>
      <c r="AI152" s="238" t="str">
        <f t="shared" si="61"/>
        <v>echo {"issue":{"subject":"","project_id":79,"tracker_id":40,"status_id":1,"priority_id":2,"assigned_to_id":338,"start_date":"2018-01-10","description":"","custom_fields":[{"id":1,"name":"Subdivision","value":"EC"},{"id":4,"name":"Milepost","value":"23.3308"},{"id":17,"name":"Train ID","value":"239-09"},{"id":16,"name":"Locomotive ID","value":"4050"},{"id":130,"name":"Impact","value":""},{"id":150,"name":"Time of Event (Mountain Time)","value":"00:06:07"},{"id":151,"name":"Denver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62"/>
        <v>start /low /b %USERPROFILE%\Documents\GitHub\eaglep3\Utilities\DownloadLogsFromS3.py --loco 4050 --day 2018-01-09</v>
      </c>
      <c r="AN152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64"/>
        <v>https://d0f6bd738d7f1b3e5a7ca70fe4ff75f0.us-east-1.aws.found.io/app/kibana#/discover/Steve-Slow-Train-Analysis-(2080s-and-2083s)?_g=(refreshInterval:(display:Off,pause:!f,section:0,value:0),time:(from:'2018-01-09T22:14:54-0700',mode:absolute,to:'2018-01-10T01:06:07-0700'))&amp;_a=(columns:!('Message%20ID',Summary),filters:!(),index:'emp_*',interval:auto,query:(query_string:(analyze_wildcard:!t,query:'%22rtdc.l.rtdc.4050%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934</v>
      </c>
      <c r="B153" s="225">
        <v>4049</v>
      </c>
      <c r="C153" s="227" t="s">
        <v>191</v>
      </c>
      <c r="D153" s="227" t="s">
        <v>650</v>
      </c>
      <c r="E153" s="226">
        <v>43110.017534722225</v>
      </c>
      <c r="F153" s="226">
        <v>43110.018993055557</v>
      </c>
      <c r="G153" s="225">
        <v>51</v>
      </c>
      <c r="H153" s="227" t="s">
        <v>468</v>
      </c>
      <c r="I153" s="226">
        <v>43110.044328703705</v>
      </c>
      <c r="J153" s="225">
        <v>0</v>
      </c>
      <c r="K153" s="237" t="str">
        <f>IF(ISEVEN(B153),(B153-1)&amp;"/"&amp;B153,B153&amp;"/"&amp;(B153+1))</f>
        <v>4049/4050</v>
      </c>
      <c r="L153" s="245" t="str">
        <f>VLOOKUP(A153,'Trips&amp;Operators'!$C$1:$G$99911,5,FALSE)</f>
        <v>LOZA FIDEL</v>
      </c>
      <c r="M153" s="224">
        <f>I153-F153</f>
        <v>2.5335648148029577E-2</v>
      </c>
      <c r="N153" s="225">
        <f>24*60*SUM($M153:$M153)</f>
        <v>36.483333333162591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-09T23:25:15-0700',mode:absolute,to:'2018-01-10T02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23.301300000000001</v>
      </c>
      <c r="Z153" s="247">
        <f>RIGHT(H153,LEN(H153)-4)/10000</f>
        <v>0.02</v>
      </c>
      <c r="AA153" s="247">
        <f>ABS(Z153-Y153)</f>
        <v>23.281300000000002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240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 &amp; aws s3 cp s3://rtdc.mdm.uploadarchive.raw/RTDC4049/ "%USERPROFILE%\AppData\Local\Temp\OnboardLogs"\RTDC4049\2018-01-11 --exclude "*" --recursive --include "*20180111*" &amp; "%USERPROFILE%\Documents\GitHub\mrs-test-scripts\Headless Mode &amp; Sideloading\WalkAndUnGZ.bat" "%USERPROFILE%\AppData\Local\Temp\OnboardLogs"\RTDC4049\2018-01-11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/stypes="app*4049*20180110*" /stext=" 08:.+((SYSTEM_STATE.+slice.+state.+changed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60"/>
        <v>"%USERPROFILE%\Documents\GitHub\eaglep3\Utilities\RefineRTDCRunTimes.py" --tripid 240-09 --locoid 4049 --swversion DE.1.0.9.0 --startMP 204:233013 --initTime 2018-01-10T00:25:15 --startdatetime 2018-01-10T00:27:21 --delay 51 --endMP 204:200 --enddatetime 2018-01-10T01:03:50 --enforcementcount 0 &gt;&gt;%USERPROFILE%\Documents\GitHub\eaglep3-reporting\EC\2018-01-09-refined-times.txt</v>
      </c>
      <c r="AI153" s="238" t="str">
        <f t="shared" si="61"/>
        <v>echo {"issue":{"subject":"","project_id":79,"tracker_id":40,"status_id":1,"priority_id":2,"assigned_to_id":338,"start_date":"2018-01-10","description":"","custom_fields":[{"id":1,"name":"Subdivision","value":"EC"},{"id":4,"name":"Milepost","value":"0.02"},{"id":17,"name":"Train ID","value":"240-09"},{"id":16,"name":"Locomotive ID","value":"4049"},{"id":130,"name":"Impact","value":""},{"id":150,"name":"Time of Event (Mountain Time)","value":"01:03:50"},{"id":151,"name":"Denver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62"/>
        <v>start /low /b %USERPROFILE%\Documents\GitHub\eaglep3\Utilities\DownloadLogsFromS3.py --loco 4049 --day 2018-01-10</v>
      </c>
      <c r="AN153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08:03:50"},{"id":29,"name":"Sharepoint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64"/>
        <v>https://d0f6bd738d7f1b3e5a7ca70fe4ff75f0.us-east-1.aws.found.io/app/kibana#/discover/Steve-Slow-Train-Analysis-(2080s-and-2083s)?_g=(refreshInterval:(display:Off,pause:!f,section:0,value:0),time:(from:'2018-01-09T23:25:15-0700',mode:absolute,to:'2018-01-10T02:03:50-0700'))&amp;_a=(columns:!('Message%20ID',Summary),filters:!(),index:'emp_*',interval:auto,query:(query_string:(analyze_wildcard:!t,query:'%22rtdc.l.rtdc.4049%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932</v>
      </c>
      <c r="B154" s="225">
        <v>4010</v>
      </c>
      <c r="C154" s="227" t="s">
        <v>191</v>
      </c>
      <c r="D154" s="227" t="s">
        <v>650</v>
      </c>
      <c r="E154" s="226">
        <v>43110.017534722225</v>
      </c>
      <c r="F154" s="226">
        <v>43110.000358796293</v>
      </c>
      <c r="G154" s="225">
        <v>51</v>
      </c>
      <c r="H154" s="227" t="s">
        <v>468</v>
      </c>
      <c r="I154" s="226">
        <v>43110.025416666664</v>
      </c>
      <c r="J154" s="225">
        <v>0</v>
      </c>
      <c r="K154" s="237" t="str">
        <f>IF(ISEVEN(B154),(B154-1)&amp;"/"&amp;B154,B154&amp;"/"&amp;(B154+1))</f>
        <v>4009/4010</v>
      </c>
      <c r="L154" s="245" t="str">
        <f>VLOOKUP(A154,'Trips&amp;Operators'!$C$1:$G$99911,5,FALSE)</f>
        <v>WEST BRYAN</v>
      </c>
      <c r="M154" s="224">
        <f>I154-F154</f>
        <v>2.5057870370801538E-2</v>
      </c>
      <c r="N154" s="225">
        <f>24*60*SUM($M154:$M154)</f>
        <v>36.083333333954215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-09T23:25:15-0700',mode:absolute,to:'2018-01-10T01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47" t="str">
        <f>IF(AA154&lt;VLOOKUP(AG154,Variables!$AC$3:$AD$8,2,FALSE),"Y","N")</f>
        <v>N</v>
      </c>
      <c r="X154" s="247">
        <f t="shared" ref="X154:X159" si="65">VALUE(LEFT(AD154,4))-VALUE(LEFT(AD153,4))</f>
        <v>1</v>
      </c>
      <c r="Y154" s="247">
        <v>7.2400000000000006E-2</v>
      </c>
      <c r="Z154" s="247">
        <v>23.320799999999998</v>
      </c>
      <c r="AA154" s="247">
        <f>ABS(Z154-Y154)</f>
        <v>23.2484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241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 &amp; 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/stypes="app*4010*20180110*"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ref="AH154" si="66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241-09 --locoid 4010 --swversion DE.1.0.9.0 --startMP 204:233013 --initTime 2018-01-10T00:25:15 --startdatetime 2018-01-10T00:00:31 --delay 51 --endMP 204:200 --enddatetime 2018-01-10T00:36:36 --enforcementcount 0 &gt;&gt;%USERPROFILE%\Documents\GitHub\eaglep3-reporting\EC\2018-01-09-refined-times.txt</v>
      </c>
      <c r="AI154" s="238" t="str">
        <f t="shared" ref="AI154" si="67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{"issue":{"subject":"","project_id":79,"tracker_id":40,"status_id":1,"priority_id":2,"assigned_to_id":338,"start_date":"2018-01-10","description":"","custom_fields":[{"id":1,"name":"Subdivision","value":"EC"},{"id":4,"name":"Milepost","value":"23.3208"},{"id":17,"name":"Train ID","value":"241-09"},{"id":16,"name":"Locomotive ID","value":"4010"},{"id":130,"name":"Impact","value":""},{"id":150,"name":"Time of Event (Mountain Time)","value":"00:36:36"},{"id":151,"name":"Denver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ref="AM154" si="68">"start /low /b "&amp;dls3logs&amp;" --loco "&amp;B154&amp;" --day "&amp;TEXT(F154,"YYYY-MM-DD")</f>
        <v>start /low /b %USERPROFILE%\Documents\GitHub\eaglep3\Utilities\DownloadLogsFromS3.py --loco 4010 --day 2018-01-10</v>
      </c>
      <c r="AN154" s="241" t="str">
        <f t="shared" ref="AN154" si="69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07:36:36"},{"id":29,"name":"Sharepoint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ref="AO154" si="70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-09T23:25:15-0700',mode:absolute,to:'2018-01-10T01:36:36-0700'))&amp;_a=(columns:!('Message%20ID',Summary),filters:!(),index:'emp_*',interval:auto,query:(query_string:(analyze_wildcard:!t,query:'%22rtdc.l.rtdc.4010%22')),sort:!(Time.ISO8601,asc))</v>
      </c>
    </row>
    <row r="155" spans="1:91" s="223" customFormat="1" x14ac:dyDescent="0.3">
      <c r="A155" s="229" t="s">
        <v>937</v>
      </c>
      <c r="B155" s="225">
        <v>4009</v>
      </c>
      <c r="C155" s="227" t="s">
        <v>191</v>
      </c>
      <c r="D155" s="227" t="s">
        <v>999</v>
      </c>
      <c r="E155" s="226">
        <v>43110.026886574073</v>
      </c>
      <c r="F155" s="226">
        <v>43110.039953703701</v>
      </c>
      <c r="G155" s="225">
        <v>58</v>
      </c>
      <c r="H155" s="227" t="s">
        <v>951</v>
      </c>
      <c r="I155" s="226">
        <v>43110.065659722219</v>
      </c>
      <c r="J155" s="225">
        <v>0</v>
      </c>
      <c r="K155" s="237" t="str">
        <f>IF(ISEVEN(B155),(B155-1)&amp;"/"&amp;B155,B155&amp;"/"&amp;(B155+1))</f>
        <v>4009/4010</v>
      </c>
      <c r="L155" s="245" t="str">
        <f>VLOOKUP(A155,'Trips&amp;Operators'!$C$1:$G$99911,5,FALSE)</f>
        <v>WEST BRYAN</v>
      </c>
      <c r="M155" s="224">
        <f>I155-F155</f>
        <v>2.5706018517666962E-2</v>
      </c>
      <c r="N155" s="225">
        <f>24*60*SUM($M155:$M155)</f>
        <v>37.016666665440425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-09T23:38:43-0700',mode:absolute,to:'2018-01-10T02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47" t="str">
        <f>IF(AA155&lt;VLOOKUP(AG155,Variables!$AC$3:$AD$8,2,FALSE),"Y","N")</f>
        <v>N</v>
      </c>
      <c r="X155" s="247">
        <f t="shared" si="65"/>
        <v>1</v>
      </c>
      <c r="Y155" s="247">
        <f>RIGHT(D155,LEN(D155)-4)/10000</f>
        <v>23.29</v>
      </c>
      <c r="Z155" s="247">
        <f>RIGHT(H155,LEN(H155)-4)/10000</f>
        <v>2.4500000000000001E-2</v>
      </c>
      <c r="AA155" s="247">
        <f>ABS(Z155-Y155)</f>
        <v>23.265499999999999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242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s3://rtdc.mdm.uploadarchive.raw/RTDC4009/ "%USERPROFILE%\AppData\Local\Temp\OnboardLogs"\RTDC4009\2018-01-10 --exclude "*" --recursive --include "*20180110*" &amp; "%USERPROFILE%\Documents\GitHub\mrs-test-scripts\Headless Mode &amp; Sideloading\WalkAndUnGZ.bat" "%USERPROFILE%\AppData\Local\Temp\OnboardLogs"\RTDC4009\2018-01-10 &amp; 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/stypes="app*4009*20180110*"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60"/>
        <v>"%USERPROFILE%\Documents\GitHub\eaglep3\Utilities\RefineRTDCRunTimes.py" --tripid 242-09 --locoid 4009 --swversion DE.1.0.9.0 --startMP 204:232900 --initTime 2018-01-10T00:38:43 --startdatetime 2018-01-10T00:57:32 --delay 58 --endMP 204:245 --enddatetime 2018-01-10T01:34:33 --enforcementcount 0 &gt;&gt;%USERPROFILE%\Documents\GitHub\eaglep3-reporting\EC\2018-01-09-refined-times.txt</v>
      </c>
      <c r="AI155" s="238" t="str">
        <f t="shared" si="61"/>
        <v>echo {"issue":{"subject":"","project_id":79,"tracker_id":40,"status_id":1,"priority_id":2,"assigned_to_id":338,"start_date":"2018-01-10","description":"","custom_fields":[{"id":1,"name":"Subdivision","value":"EC"},{"id":4,"name":"Milepost","value":"0.0245"},{"id":17,"name":"Train ID","value":"242-09"},{"id":16,"name":"Locomotive ID","value":"4009"},{"id":130,"name":"Impact","value":""},{"id":150,"name":"Time of Event (Mountain Time)","value":"01:34:33"},{"id":151,"name":"Denver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62"/>
        <v>start /low /b %USERPROFILE%\Documents\GitHub\eaglep3\Utilities\DownloadLogsFromS3.py --loco 4009 --day 2018-01-10</v>
      </c>
      <c r="AN155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08:34:33"},{"id":29,"name":"Sharepoint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64"/>
        <v>https://d0f6bd738d7f1b3e5a7ca70fe4ff75f0.us-east-1.aws.found.io/app/kibana#/discover/Steve-Slow-Train-Analysis-(2080s-and-2083s)?_g=(refreshInterval:(display:Off,pause:!f,section:0,value:0),time:(from:'2018-01-09T23:38:43-0700',mode:absolute,to:'2018-01-10T02:34:33-0700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935</v>
      </c>
      <c r="B156" s="225">
        <v>4056</v>
      </c>
      <c r="C156" s="227" t="s">
        <v>191</v>
      </c>
      <c r="D156" s="227" t="s">
        <v>999</v>
      </c>
      <c r="E156" s="226">
        <v>43110.026886574073</v>
      </c>
      <c r="F156" s="226">
        <v>43110.021064814813</v>
      </c>
      <c r="G156" s="225">
        <v>58</v>
      </c>
      <c r="H156" s="227" t="s">
        <v>951</v>
      </c>
      <c r="I156" s="226">
        <v>43110.045613425929</v>
      </c>
      <c r="J156" s="225">
        <v>0</v>
      </c>
      <c r="K156" s="237" t="str">
        <f>IF(ISEVEN(B156),(B156-1)&amp;"/"&amp;B156,B156&amp;"/"&amp;(B156+1))</f>
        <v>4055/4056</v>
      </c>
      <c r="L156" s="245" t="str">
        <f>VLOOKUP(A156,'Trips&amp;Operators'!$C$1:$G$99911,5,FALSE)</f>
        <v>ANDERS STEVEN</v>
      </c>
      <c r="M156" s="224">
        <f>I156-F156</f>
        <v>2.4548611116188113E-2</v>
      </c>
      <c r="N156" s="225">
        <f>24*60*SUM($M156:$M156)</f>
        <v>35.350000007310882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-09T23:38:43-0700',mode:absolute,to:'2018-01-10T02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6" s="247" t="str">
        <f>IF(AA156&lt;VLOOKUP(AG156,Variables!$AC$3:$AD$8,2,FALSE),"Y","N")</f>
        <v>N</v>
      </c>
      <c r="X156" s="247">
        <f t="shared" si="65"/>
        <v>1</v>
      </c>
      <c r="Y156" s="247">
        <v>7.85E-2</v>
      </c>
      <c r="Z156" s="247">
        <v>23.3276</v>
      </c>
      <c r="AA156" s="247">
        <f>ABS(Z156-Y156)</f>
        <v>23.249100000000002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243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 &amp; 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/stypes="app*4056*20180110*"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ref="AH156" si="71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243-09 --locoid 4056 --swversion DE.1.0.9.0 --startMP 204:232900 --initTime 2018-01-10T00:38:43 --startdatetime 2018-01-10T00:30:20 --delay 58 --endMP 204:245 --enddatetime 2018-01-10T01:05:41 --enforcementcount 0 &gt;&gt;%USERPROFILE%\Documents\GitHub\eaglep3-reporting\EC\2018-01-09-refined-times.txt</v>
      </c>
      <c r="AI156" s="238" t="str">
        <f t="shared" ref="AI156" si="72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{"issue":{"subject":"","project_id":79,"tracker_id":40,"status_id":1,"priority_id":2,"assigned_to_id":338,"start_date":"2018-01-10","description":"","custom_fields":[{"id":1,"name":"Subdivision","value":"EC"},{"id":4,"name":"Milepost","value":"23.3276"},{"id":17,"name":"Train ID","value":"243-09"},{"id":16,"name":"Locomotive ID","value":"4056"},{"id":130,"name":"Impact","value":""},{"id":150,"name":"Time of Event (Mountain Time)","value":"01:05:41"},{"id":151,"name":"Denver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73">"start /low /b "&amp;dls3logs&amp;" --loco "&amp;B156&amp;" --day "&amp;TEXT(F156,"YYYY-MM-DD")</f>
        <v>start /low /b %USERPROFILE%\Documents\GitHub\eaglep3\Utilities\DownloadLogsFromS3.py --loco 4056 --day 2018-01-10</v>
      </c>
      <c r="AN156" s="241" t="str">
        <f t="shared" ref="AN156" si="74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08:05:41"},{"id":29,"name":"Sharepoint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75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-09T23:38:43-0700',mode:absolute,to:'2018-01-10T02:05:41-0700'))&amp;_a=(columns:!('Message%20ID',Summary),filters:!(),index:'emp_*',interval:auto,query:(query_string:(analyze_wildcard:!t,query:'%22rtdc.l.rtdc.4056%22')),sort:!(Time.ISO8601,asc))</v>
      </c>
    </row>
    <row r="157" spans="1:91" s="223" customFormat="1" x14ac:dyDescent="0.3">
      <c r="A157" s="229" t="s">
        <v>939</v>
      </c>
      <c r="B157" s="225">
        <v>4055</v>
      </c>
      <c r="C157" s="227" t="s">
        <v>191</v>
      </c>
      <c r="D157" s="227" t="s">
        <v>646</v>
      </c>
      <c r="E157" s="226">
        <v>43110.058356481481</v>
      </c>
      <c r="F157" s="226">
        <v>43110.060972222222</v>
      </c>
      <c r="G157" s="225">
        <v>64</v>
      </c>
      <c r="H157" s="227" t="s">
        <v>1000</v>
      </c>
      <c r="I157" s="226">
        <v>43110.088356481479</v>
      </c>
      <c r="J157" s="225">
        <v>0</v>
      </c>
      <c r="K157" s="237" t="str">
        <f>IF(ISEVEN(B157),(B157-1)&amp;"/"&amp;B157,B157&amp;"/"&amp;(B157+1))</f>
        <v>4055/4056</v>
      </c>
      <c r="L157" s="245" t="str">
        <f>VLOOKUP(A157,'Trips&amp;Operators'!$C$1:$G$99911,5,FALSE)</f>
        <v>ANDERS STEVEN</v>
      </c>
      <c r="M157" s="224">
        <f>I157-F157</f>
        <v>2.7384259257814847E-2</v>
      </c>
      <c r="N157" s="225">
        <f>24*60*SUM($M157:$M157)</f>
        <v>39.43333333125338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-10T00:24:02-0700',mode:absolute,to:'2018-01-10T03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247" t="str">
        <f>IF(AA157&lt;VLOOKUP(AG157,Variables!$AC$3:$AD$8,2,FALSE),"Y","N")</f>
        <v>N</v>
      </c>
      <c r="X157" s="247">
        <f t="shared" si="65"/>
        <v>1</v>
      </c>
      <c r="Y157" s="247">
        <f>RIGHT(D157,LEN(D157)-4)/10000</f>
        <v>23.295500000000001</v>
      </c>
      <c r="Z157" s="247">
        <f>RIGHT(H157,LEN(H157)-4)/10000</f>
        <v>2.47E-2</v>
      </c>
      <c r="AA157" s="247">
        <f>ABS(Z157-Y157)</f>
        <v>23.270800000000001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244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 &amp; 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/stypes="app*4055*20180110*" /stext=" 09:.+((SYSTEM_STATE.+slice.+state.+changed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60"/>
        <v>"%USERPROFILE%\Documents\GitHub\eaglep3\Utilities\RefineRTDCRunTimes.py" --tripid 244-09 --locoid 4055 --swversion DE.1.0.9.0 --startMP 204:232955 --initTime 2018-01-10T01:24:02 --startdatetime 2018-01-10T01:27:48 --delay 64 --endMP 204:247 --enddatetime 2018-01-10T02:07:14 --enforcementcount 0 &gt;&gt;%USERPROFILE%\Documents\GitHub\eaglep3-reporting\EC\2018-01-09-refined-times.txt</v>
      </c>
      <c r="AI157" s="238" t="str">
        <f t="shared" si="61"/>
        <v>echo {"issue":{"subject":"","project_id":79,"tracker_id":40,"status_id":1,"priority_id":2,"assigned_to_id":338,"start_date":"2018-01-10","description":"","custom_fields":[{"id":1,"name":"Subdivision","value":"EC"},{"id":4,"name":"Milepost","value":"0.0247"},{"id":17,"name":"Train ID","value":"244-09"},{"id":16,"name":"Locomotive ID","value":"4055"},{"id":130,"name":"Impact","value":""},{"id":150,"name":"Time of Event (Mountain Time)","value":"02:07:14"},{"id":151,"name":"Denver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62"/>
        <v>start /low /b %USERPROFILE%\Documents\GitHub\eaglep3\Utilities\DownloadLogsFromS3.py --loco 4055 --day 2018-01-10</v>
      </c>
      <c r="AN157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09:07:14"},{"id":29,"name":"Sharepoint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64"/>
        <v>https://d0f6bd738d7f1b3e5a7ca70fe4ff75f0.us-east-1.aws.found.io/app/kibana#/discover/Steve-Slow-Train-Analysis-(2080s-and-2083s)?_g=(refreshInterval:(display:Off,pause:!f,section:0,value:0),time:(from:'2018-01-10T00:24:02-0700',mode:absolute,to:'2018-01-10T03:07:14-0700'))&amp;_a=(columns:!('Message%20ID',Summary),filters:!(),index:'emp_*',interval:auto,query:(query_string:(analyze_wildcard:!t,query:'%22rtdc.l.rtdc.4055%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750</v>
      </c>
      <c r="B158" s="225">
        <v>4051</v>
      </c>
      <c r="C158" s="227" t="s">
        <v>191</v>
      </c>
      <c r="D158" s="227" t="s">
        <v>593</v>
      </c>
      <c r="E158" s="226">
        <v>43109.203784722224</v>
      </c>
      <c r="F158" s="226">
        <v>43109.217465277776</v>
      </c>
      <c r="G158" s="225">
        <v>76</v>
      </c>
      <c r="H158" s="227" t="s">
        <v>514</v>
      </c>
      <c r="I158" s="226">
        <v>43109.226481481484</v>
      </c>
      <c r="J158" s="225">
        <v>0</v>
      </c>
      <c r="K158" s="237" t="str">
        <f>IF(ISEVEN(B158),(B158-1)&amp;"/"&amp;B158,B158&amp;"/"&amp;(B158+1))</f>
        <v>4051/4052</v>
      </c>
      <c r="L158" s="245" t="str">
        <f>VLOOKUP(A158,'Trips&amp;Operators'!$C$1:$G$99911,5,FALSE)</f>
        <v>DAVIDSON DAVID</v>
      </c>
      <c r="M158" s="224">
        <f>I158-F158</f>
        <v>9.0162037085974589E-3</v>
      </c>
      <c r="N158" s="225">
        <f>24*60*SUM($M158:$M158)</f>
        <v>12.983333340380341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-09T03:53:27-0700',mode:absolute,to:'2018-01-09T06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8" s="247" t="str">
        <f>IF(AA158&lt;VLOOKUP(AG158,Variables!$AC$3:$AD$8,2,FALSE),"Y","N")</f>
        <v>N</v>
      </c>
      <c r="X158" s="247">
        <f t="shared" si="65"/>
        <v>556</v>
      </c>
      <c r="Y158" s="247">
        <f>RIGHT(D158,LEN(D158)-4)/10000</f>
        <v>5.86</v>
      </c>
      <c r="Z158" s="247">
        <f>RIGHT(H158,LEN(H158)-4)/10000</f>
        <v>1.49E-2</v>
      </c>
      <c r="AA158" s="247">
        <f>ABS(Z158-Y158)</f>
        <v>5.8451000000000004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800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 &amp; aws s3 cp s3://rtdc.mdm.uploadarchive.raw/RTDC4051/ "%USERPROFILE%\AppData\Local\Temp\OnboardLogs"\RTDC4051\2018-01-10 --exclude "*" --recursive --include "*20180110*" &amp; "%USERPROFILE%\Documents\GitHub\mrs-test-scripts\Headless Mode &amp; Sideloading\WalkAndUnGZ.bat" "%USERPROFILE%\AppData\Local\Temp\OnboardLogs"\RTDC4051\2018-01-10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/stypes="app*4051*20180109*" /stext=" 12:.+((SYSTEM_STATE.+slice.+state.+changed )|(ment ac)|(multiple cpu faults)|(system.+state.+changed )|(\[timeout)|(PRM\|1\|D)|(kpr)|(kdp)|(train st.+moving)|(\|lc)|(penalty))"</v>
      </c>
      <c r="AG158" s="244" t="str">
        <f>DetSubdiv(A158)</f>
        <v>NW</v>
      </c>
      <c r="AH158" s="236" t="str">
        <f t="shared" si="60"/>
        <v>"%USERPROFILE%\Documents\GitHub\eaglep3\Utilities\RefineRTDCRunTimes.py" --tripid 800-09 --locoid 4051 --swversion DE.1.0.9.0 --startMP 300:58600 --initTime 2018-01-09T04:53:27 --startdatetime 2018-01-09T05:13:09 --delay 76 --endMP 204:149 --enddatetime 2018-01-09T05:26:08 --enforcementcount 0 &gt;&gt;%USERPROFILE%\Documents\GitHub\eaglep3-reporting\EC\2018-01-09-refined-times.txt</v>
      </c>
      <c r="AI158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{"issue":{"subject":"","project_id":79,"tracker_id":40,"status_id":1,"priority_id":2,"assigned_to_id":338,"start_date":"2018-01-09","description":"","custom_fields":[{"id":1,"name":"Subdivision","value":"NW"},{"id":4,"name":"Milepost","value":"0.0149"},{"id":17,"name":"Train ID","value":"800-09"},{"id":16,"name":"Locomotive ID","value":"4051"},{"id":130,"name":"Impact","value":""},{"id":150,"name":"Time of Event (Mountain Time)","value":"05:26:08"},{"id":151,"name":"Denver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62"/>
        <v>start /low /b %USERPROFILE%\Documents\GitHub\eaglep3\Utilities\DownloadLogsFromS3.py --loco 4051 --day 2018-01-09</v>
      </c>
      <c r="AN158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64"/>
        <v>https://d0f6bd738d7f1b3e5a7ca70fe4ff75f0.us-east-1.aws.found.io/app/kibana#/discover/Steve-Slow-Train-Analysis-(2080s-and-2083s)?_g=(refreshInterval:(display:Off,pause:!f,section:0,value:0),time:(from:'2018-01-09T03:53:27-0700',mode:absolute,to:'2018-01-09T06:26:08-0700'))&amp;_a=(columns:!('Message%20ID',Summary),filters:!(),index:'emp_*',interval:auto,query:(query_string:(analyze_wildcard:!t,query:'%22rtdc.l.rtdc.4051%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757</v>
      </c>
      <c r="B159" s="225">
        <v>4052</v>
      </c>
      <c r="C159" s="227" t="s">
        <v>191</v>
      </c>
      <c r="D159" s="227" t="s">
        <v>680</v>
      </c>
      <c r="E159" s="226">
        <v>43109.228275462963</v>
      </c>
      <c r="F159" s="226">
        <v>43109.235636574071</v>
      </c>
      <c r="G159" s="225">
        <v>56</v>
      </c>
      <c r="H159" s="227" t="s">
        <v>681</v>
      </c>
      <c r="I159" s="226">
        <v>43109.246041666665</v>
      </c>
      <c r="J159" s="225">
        <v>0</v>
      </c>
      <c r="K159" s="237" t="str">
        <f>IF(ISEVEN(B159),(B159-1)&amp;"/"&amp;B159,B159&amp;"/"&amp;(B159+1))</f>
        <v>4051/4052</v>
      </c>
      <c r="L159" s="245" t="str">
        <f>VLOOKUP(A159,'Trips&amp;Operators'!$C$1:$G$99911,5,FALSE)</f>
        <v>DAVIDSON DAVID</v>
      </c>
      <c r="M159" s="224">
        <f>I159-F159</f>
        <v>1.0405092594737653E-2</v>
      </c>
      <c r="N159" s="225">
        <f>24*60*SUM($M159:$M159)</f>
        <v>14.98333333642222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-09T04:28:43-0700',mode:absolute,to:'2018-01-09T06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9" s="247" t="str">
        <f>IF(AA159&lt;VLOOKUP(AG159,Variables!$AC$3:$AD$8,2,FALSE),"Y","N")</f>
        <v>N</v>
      </c>
      <c r="X159" s="247">
        <f t="shared" si="65"/>
        <v>1</v>
      </c>
      <c r="Y159" s="247">
        <f>RIGHT(D159,LEN(D159)-4)/10000</f>
        <v>4.3200000000000002E-2</v>
      </c>
      <c r="Z159" s="247">
        <f>RIGHT(H159,LEN(H159)-4)/10000</f>
        <v>5.8935000000000004</v>
      </c>
      <c r="AA159" s="247">
        <f>ABS(Z159-Y159)</f>
        <v>5.8503000000000007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801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 &amp; aws s3 cp s3://rtdc.mdm.uploadarchive.raw/RTDC4052/ "%USERPROFILE%\AppData\Local\Temp\OnboardLogs"\RTDC4052\2018-01-10 --exclude "*" --recursive --include "*20180110*" &amp; "%USERPROFILE%\Documents\GitHub\mrs-test-scripts\Headless Mode &amp; Sideloading\WalkAndUnGZ.bat" "%USERPROFILE%\AppData\Local\Temp\OnboardLogs"\RTDC4052\2018-01-10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/stypes="app*4052*20180109*" /stext=" 12:.+((SYSTEM_STATE.+slice.+state.+changed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60"/>
        <v>"%USERPROFILE%\Documents\GitHub\eaglep3\Utilities\RefineRTDCRunTimes.py" --tripid 801-09 --locoid 4052 --swversion DE.1.0.9.0 --startMP 204:432 --initTime 2018-01-09T05:28:43 --startdatetime 2018-01-09T05:39:19 --delay 56 --endMP 300:58935 --enddatetime 2018-01-09T05:54:18 --enforcementcount 0 &gt;&gt;%USERPROFILE%\Documents\GitHub\eaglep3-reporting\EC\2018-01-09-refined-times.txt</v>
      </c>
      <c r="AI159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{"issue":{"subject":"","project_id":79,"tracker_id":40,"status_id":1,"priority_id":2,"assigned_to_id":338,"start_date":"2018-01-09","description":"","custom_fields":[{"id":1,"name":"Subdivision","value":"NW"},{"id":4,"name":"Milepost","value":"5.8935"},{"id":17,"name":"Train ID","value":"801-09"},{"id":16,"name":"Locomotive ID","value":"4052"},{"id":130,"name":"Impact","value":""},{"id":150,"name":"Time of Event (Mountain Time)","value":"05:54:18"},{"id":151,"name":"Denver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62"/>
        <v>start /low /b %USERPROFILE%\Documents\GitHub\eaglep3\Utilities\DownloadLogsFromS3.py --loco 4052 --day 2018-01-09</v>
      </c>
      <c r="AN159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64"/>
        <v>https://d0f6bd738d7f1b3e5a7ca70fe4ff75f0.us-east-1.aws.found.io/app/kibana#/discover/Steve-Slow-Train-Analysis-(2080s-and-2083s)?_g=(refreshInterval:(display:Off,pause:!f,section:0,value:0),time:(from:'2018-01-09T04:28:43-0700',mode:absolute,to:'2018-01-09T06:54:18-0700'))&amp;_a=(columns:!('Message%20ID',Summary),filters:!(),index:'emp_*',interval:auto,query:(query_string:(analyze_wildcard:!t,query:'%22rtdc.l.rtdc.4052%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762</v>
      </c>
      <c r="B160" s="225">
        <v>4051</v>
      </c>
      <c r="C160" s="227" t="s">
        <v>191</v>
      </c>
      <c r="D160" s="227" t="s">
        <v>1040</v>
      </c>
      <c r="E160" s="226">
        <v>43109.247303240743</v>
      </c>
      <c r="F160" s="226">
        <v>43109.259120370371</v>
      </c>
      <c r="G160" s="225">
        <v>61</v>
      </c>
      <c r="H160" s="227" t="s">
        <v>588</v>
      </c>
      <c r="I160" s="226">
        <v>43109.267650462964</v>
      </c>
      <c r="J160" s="225">
        <v>0</v>
      </c>
      <c r="K160" s="237" t="str">
        <f>IF(ISEVEN(B160),(B160-1)&amp;"/"&amp;B160,B160&amp;"/"&amp;(B160+1))</f>
        <v>4051/4052</v>
      </c>
      <c r="L160" s="245" t="str">
        <f>VLOOKUP(A160,'Trips&amp;Operators'!$C$1:$G$99911,5,FALSE)</f>
        <v>DAVIDSON DAVID</v>
      </c>
      <c r="M160" s="224">
        <f>I160-F160</f>
        <v>8.5300925929914229E-3</v>
      </c>
      <c r="N160" s="225">
        <f>24*60*SUM($M160:$M160)</f>
        <v>12.283333333907649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-09T04:56:07-0700',mode:absolute,to:'2018-01-09T07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5.8615000000000004</v>
      </c>
      <c r="Z160" s="247">
        <f>RIGHT(H160,LEN(H160)-4)/10000</f>
        <v>1.5800000000000002E-2</v>
      </c>
      <c r="AA160" s="247">
        <f>ABS(Z160-Y160)</f>
        <v>5.8457000000000008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802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 &amp; aws s3 cp s3://rtdc.mdm.uploadarchive.raw/RTDC4051/ "%USERPROFILE%\AppData\Local\Temp\OnboardLogs"\RTDC4051\2018-01-10 --exclude "*" --recursive --include "*20180110*" &amp; "%USERPROFILE%\Documents\GitHub\mrs-test-scripts\Headless Mode &amp; Sideloading\WalkAndUnGZ.bat" "%USERPROFILE%\AppData\Local\Temp\OnboardLogs"\RTDC4051\2018-01-10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/stypes="app*4051*20180109*" /stext=" 13:.+((SYSTEM_STATE.+slice.+state.+changed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60"/>
        <v>"%USERPROFILE%\Documents\GitHub\eaglep3\Utilities\RefineRTDCRunTimes.py" --tripid 802-09 --locoid 4051 --swversion DE.1.0.9.0 --startMP 300:58615 --initTime 2018-01-09T05:56:07 --startdatetime 2018-01-09T06:13:08 --delay 61 --endMP 204:158 --enddatetime 2018-01-09T06:25:25 --enforcementcount 0 &gt;&gt;%USERPROFILE%\Documents\GitHub\eaglep3-reporting\EC\2018-01-09-refined-times.txt</v>
      </c>
      <c r="AI160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{"issue":{"subject":"","project_id":79,"tracker_id":40,"status_id":1,"priority_id":2,"assigned_to_id":338,"start_date":"2018-01-09","description":"","custom_fields":[{"id":1,"name":"Subdivision","value":"NW"},{"id":4,"name":"Milepost","value":"0.0158"},{"id":17,"name":"Train ID","value":"802-09"},{"id":16,"name":"Locomotive ID","value":"4051"},{"id":130,"name":"Impact","value":""},{"id":150,"name":"Time of Event (Mountain Time)","value":"06:25:25"},{"id":151,"name":"Denver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62"/>
        <v>start /low /b %USERPROFILE%\Documents\GitHub\eaglep3\Utilities\DownloadLogsFromS3.py --loco 4051 --day 2018-01-09</v>
      </c>
      <c r="AN160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64"/>
        <v>https://d0f6bd738d7f1b3e5a7ca70fe4ff75f0.us-east-1.aws.found.io/app/kibana#/discover/Steve-Slow-Train-Analysis-(2080s-and-2083s)?_g=(refreshInterval:(display:Off,pause:!f,section:0,value:0),time:(from:'2018-01-09T04:56:07-0700',mode:absolute,to:'2018-01-09T07:25:25-0700'))&amp;_a=(columns:!('Message%20ID',Summary),filters:!(),index:'emp_*',interval:auto,query:(query_string:(analyze_wildcard:!t,query:'%22rtdc.l.rtdc.4051%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764</v>
      </c>
      <c r="B161" s="225">
        <v>4040</v>
      </c>
      <c r="C161" s="227" t="s">
        <v>191</v>
      </c>
      <c r="D161" s="227" t="s">
        <v>575</v>
      </c>
      <c r="E161" s="226">
        <v>43109.249571759261</v>
      </c>
      <c r="F161" s="226">
        <v>43109.25640046296</v>
      </c>
      <c r="G161" s="225">
        <v>71</v>
      </c>
      <c r="H161" s="227" t="s">
        <v>1041</v>
      </c>
      <c r="I161" s="226">
        <v>43109.266689814816</v>
      </c>
      <c r="J161" s="225">
        <v>0</v>
      </c>
      <c r="K161" s="237" t="str">
        <f>IF(ISEVEN(B161),(B161-1)&amp;"/"&amp;B161,B161&amp;"/"&amp;(B161+1))</f>
        <v>4039/4040</v>
      </c>
      <c r="L161" s="245" t="str">
        <f>VLOOKUP(A161,'Trips&amp;Operators'!$C$1:$G$99911,5,FALSE)</f>
        <v>FORTUNATO FRANK</v>
      </c>
      <c r="M161" s="224">
        <f>I161-F161</f>
        <v>1.0289351856044959E-2</v>
      </c>
      <c r="N161" s="225">
        <f>24*60*SUM($M161:$M161)</f>
        <v>14.816666672704741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-09T04:59:23-0700',mode:absolute,to:'2018-01-09T07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4.7699999999999999E-2</v>
      </c>
      <c r="Z161" s="247">
        <f>RIGHT(H161,LEN(H161)-4)/10000</f>
        <v>5.899</v>
      </c>
      <c r="AA161" s="247">
        <f>ABS(Z161-Y161)</f>
        <v>5.8513000000000002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803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/stypes="app*4040*20180109*"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60"/>
        <v>"%USERPROFILE%\Documents\GitHub\eaglep3\Utilities\RefineRTDCRunTimes.py" --tripid 803-09 --locoid 4040 --swversion DE.1.0.9.0 --startMP 204:477 --initTime 2018-01-09T05:59:23 --startdatetime 2018-01-09T06:09:13 --delay 71 --endMP 300:58990 --enddatetime 2018-01-09T06:24:02 --enforcementcount 0 &gt;&gt;%USERPROFILE%\Documents\GitHub\eaglep3-reporting\EC\2018-01-09-refined-times.txt</v>
      </c>
      <c r="AI161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{"issue":{"subject":"","project_id":79,"tracker_id":40,"status_id":1,"priority_id":2,"assigned_to_id":338,"start_date":"2018-01-09","description":"","custom_fields":[{"id":1,"name":"Subdivision","value":"NW"},{"id":4,"name":"Milepost","value":"5.899"},{"id":17,"name":"Train ID","value":"803-09"},{"id":16,"name":"Locomotive ID","value":"4040"},{"id":130,"name":"Impact","value":""},{"id":150,"name":"Time of Event (Mountain Time)","value":"06:24:02"},{"id":151,"name":"Denver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62"/>
        <v>start /low /b %USERPROFILE%\Documents\GitHub\eaglep3\Utilities\DownloadLogsFromS3.py --loco 4040 --day 2018-01-09</v>
      </c>
      <c r="AN161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64"/>
        <v>https://d0f6bd738d7f1b3e5a7ca70fe4ff75f0.us-east-1.aws.found.io/app/kibana#/discover/Steve-Slow-Train-Analysis-(2080s-and-2083s)?_g=(refreshInterval:(display:Off,pause:!f,section:0,value:0),time:(from:'2018-01-09T04:59:23-0700',mode:absolute,to:'2018-01-09T07:24:02-0700'))&amp;_a=(columns:!('Message%20ID',Summary),filters:!(),index:'emp_*',interval:auto,query:(query_string:(analyze_wildcard:!t,query:'%22rtdc.l.rtdc.4040%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29" t="s">
        <v>770</v>
      </c>
      <c r="B162" s="225">
        <v>4039</v>
      </c>
      <c r="C162" s="227" t="s">
        <v>191</v>
      </c>
      <c r="D162" s="227" t="s">
        <v>1042</v>
      </c>
      <c r="E162" s="226">
        <v>43109.269756944443</v>
      </c>
      <c r="F162" s="226">
        <v>43109.279780092591</v>
      </c>
      <c r="G162" s="225">
        <v>93</v>
      </c>
      <c r="H162" s="227" t="s">
        <v>588</v>
      </c>
      <c r="I162" s="226">
        <v>43109.288136574076</v>
      </c>
      <c r="J162" s="225">
        <v>0</v>
      </c>
      <c r="K162" s="237" t="str">
        <f>IF(ISEVEN(B162),(B162-1)&amp;"/"&amp;B162,B162&amp;"/"&amp;(B162+1))</f>
        <v>4039/4040</v>
      </c>
      <c r="L162" s="245" t="str">
        <f>VLOOKUP(A162,'Trips&amp;Operators'!$C$1:$G$99911,5,FALSE)</f>
        <v>FORTUNATO FRANK</v>
      </c>
      <c r="M162" s="224">
        <f>I162-F162</f>
        <v>8.3564814849523827E-3</v>
      </c>
      <c r="N162" s="225">
        <f>24*60*SUM($M162:$M162)</f>
        <v>12.033333338331431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-09T05:28:27-0700',mode:absolute,to:'2018-01-09T07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5.8673000000000002</v>
      </c>
      <c r="Z162" s="247">
        <f>RIGHT(H162,LEN(H162)-4)/10000</f>
        <v>1.5800000000000002E-2</v>
      </c>
      <c r="AA162" s="247">
        <f>ABS(Z162-Y162)</f>
        <v>5.8515000000000006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804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/stypes="app*4039*20180109*"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60"/>
        <v>"%USERPROFILE%\Documents\GitHub\eaglep3\Utilities\RefineRTDCRunTimes.py" --tripid 804-09 --locoid 4039 --swversion DE.1.0.9.0 --startMP 300:58673 --initTime 2018-01-09T06:28:27 --startdatetime 2018-01-09T06:42:53 --delay 93 --endMP 204:158 --enddatetime 2018-01-09T06:54:55 --enforcementcount 0 &gt;&gt;%USERPROFILE%\Documents\GitHub\eaglep3-reporting\EC\2018-01-09-refined-times.txt</v>
      </c>
      <c r="AI162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{"issue":{"subject":"","project_id":79,"tracker_id":40,"status_id":1,"priority_id":2,"assigned_to_id":338,"start_date":"2018-01-09","description":"","custom_fields":[{"id":1,"name":"Subdivision","value":"NW"},{"id":4,"name":"Milepost","value":"0.0158"},{"id":17,"name":"Train ID","value":"804-09"},{"id":16,"name":"Locomotive ID","value":"4039"},{"id":130,"name":"Impact","value":""},{"id":150,"name":"Time of Event (Mountain Time)","value":"06:54:55"},{"id":151,"name":"Denver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62"/>
        <v>start /low /b %USERPROFILE%\Documents\GitHub\eaglep3\Utilities\DownloadLogsFromS3.py --loco 4039 --day 2018-01-09</v>
      </c>
      <c r="AN162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64"/>
        <v>https://d0f6bd738d7f1b3e5a7ca70fe4ff75f0.us-east-1.aws.found.io/app/kibana#/discover/Steve-Slow-Train-Analysis-(2080s-and-2083s)?_g=(refreshInterval:(display:Off,pause:!f,section:0,value:0),time:(from:'2018-01-09T05:28:27-0700',mode:absolute,to:'2018-01-09T07:54:55-0700'))&amp;_a=(columns:!('Message%20ID',Summary),filters:!(),index:'emp_*',interval:auto,query:(query_string:(analyze_wildcard:!t,query:'%22rtdc.l.rtdc.4039%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768</v>
      </c>
      <c r="B163" s="225">
        <v>4052</v>
      </c>
      <c r="C163" s="227" t="s">
        <v>191</v>
      </c>
      <c r="D163" s="227" t="s">
        <v>675</v>
      </c>
      <c r="E163" s="226">
        <v>43109.269178240742</v>
      </c>
      <c r="F163" s="226">
        <v>43109.277395833335</v>
      </c>
      <c r="G163" s="225">
        <v>71</v>
      </c>
      <c r="H163" s="227" t="s">
        <v>698</v>
      </c>
      <c r="I163" s="226">
        <v>43109.288217592592</v>
      </c>
      <c r="J163" s="225">
        <v>0</v>
      </c>
      <c r="K163" s="237" t="str">
        <f>IF(ISEVEN(B163),(B163-1)&amp;"/"&amp;B163,B163&amp;"/"&amp;(B163+1))</f>
        <v>4051/4052</v>
      </c>
      <c r="L163" s="245" t="str">
        <f>VLOOKUP(A163,'Trips&amp;Operators'!$C$1:$G$99911,5,FALSE)</f>
        <v>DAVIDSON DAVID</v>
      </c>
      <c r="M163" s="224">
        <f>I163-F163</f>
        <v>1.0821759256941732E-2</v>
      </c>
      <c r="N163" s="225">
        <f>24*60*SUM($M163:$M163)</f>
        <v>15.583333329996094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-09T05:27:37-0700',mode:absolute,to:'2018-01-09T07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4.4600000000000001E-2</v>
      </c>
      <c r="Z163" s="247">
        <f>RIGHT(H163,LEN(H163)-4)/10000</f>
        <v>5.8933</v>
      </c>
      <c r="AA163" s="247">
        <f>ABS(Z163-Y163)</f>
        <v>5.8487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805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 &amp; aws s3 cp s3://rtdc.mdm.uploadarchive.raw/RTDC4052/ "%USERPROFILE%\AppData\Local\Temp\OnboardLogs"\RTDC4052\2018-01-10 --exclude "*" --recursive --include "*20180110*" &amp; "%USERPROFILE%\Documents\GitHub\mrs-test-scripts\Headless Mode &amp; Sideloading\WalkAndUnGZ.bat" "%USERPROFILE%\AppData\Local\Temp\OnboardLogs"\RTDC4052\2018-01-10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/stypes="app*4052*20180109*"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60"/>
        <v>"%USERPROFILE%\Documents\GitHub\eaglep3\Utilities\RefineRTDCRunTimes.py" --tripid 805-09 --locoid 4052 --swversion DE.1.0.9.0 --startMP 204:446 --initTime 2018-01-09T06:27:37 --startdatetime 2018-01-09T06:39:27 --delay 71 --endMP 300:58933 --enddatetime 2018-01-09T06:55:02 --enforcementcount 0 &gt;&gt;%USERPROFILE%\Documents\GitHub\eaglep3-reporting\EC\2018-01-09-refined-times.txt</v>
      </c>
      <c r="AI163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{"issue":{"subject":"","project_id":79,"tracker_id":40,"status_id":1,"priority_id":2,"assigned_to_id":338,"start_date":"2018-01-09","description":"","custom_fields":[{"id":1,"name":"Subdivision","value":"NW"},{"id":4,"name":"Milepost","value":"5.8933"},{"id":17,"name":"Train ID","value":"805-09"},{"id":16,"name":"Locomotive ID","value":"4052"},{"id":130,"name":"Impact","value":""},{"id":150,"name":"Time of Event (Mountain Time)","value":"06:55:02"},{"id":151,"name":"Denver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62"/>
        <v>start /low /b %USERPROFILE%\Documents\GitHub\eaglep3\Utilities\DownloadLogsFromS3.py --loco 4052 --day 2018-01-09</v>
      </c>
      <c r="AN163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64"/>
        <v>https://d0f6bd738d7f1b3e5a7ca70fe4ff75f0.us-east-1.aws.found.io/app/kibana#/discover/Steve-Slow-Train-Analysis-(2080s-and-2083s)?_g=(refreshInterval:(display:Off,pause:!f,section:0,value:0),time:(from:'2018-01-09T05:27:37-0700',mode:absolute,to:'2018-01-09T07:55:02-0700'))&amp;_a=(columns:!('Message%20ID',Summary),filters:!(),index:'emp_*',interval:auto,query:(query_string:(analyze_wildcard:!t,query:'%22rtdc.l.rtdc.4052%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774</v>
      </c>
      <c r="B164" s="225">
        <v>4051</v>
      </c>
      <c r="C164" s="227" t="s">
        <v>191</v>
      </c>
      <c r="D164" s="227" t="s">
        <v>1040</v>
      </c>
      <c r="E164" s="226">
        <v>43109.289548611108</v>
      </c>
      <c r="F164" s="226">
        <v>43109.300833333335</v>
      </c>
      <c r="G164" s="225">
        <v>55</v>
      </c>
      <c r="H164" s="227" t="s">
        <v>514</v>
      </c>
      <c r="I164" s="226">
        <v>43109.309224537035</v>
      </c>
      <c r="J164" s="225">
        <v>0</v>
      </c>
      <c r="K164" s="237" t="str">
        <f>IF(ISEVEN(B164),(B164-1)&amp;"/"&amp;B164,B164&amp;"/"&amp;(B164+1))</f>
        <v>4051/4052</v>
      </c>
      <c r="L164" s="245" t="str">
        <f>VLOOKUP(A164,'Trips&amp;Operators'!$C$1:$G$99911,5,FALSE)</f>
        <v>DAVIDSON DAVID</v>
      </c>
      <c r="M164" s="224">
        <f>I164-F164</f>
        <v>8.3912037007394247E-3</v>
      </c>
      <c r="N164" s="225">
        <f>24*60*SUM($M164:$M164)</f>
        <v>12.083333329064772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-09T05:56:57-0700',mode:absolute,to:'2018-01-09T08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5.8615000000000004</v>
      </c>
      <c r="Z164" s="247">
        <f>RIGHT(H164,LEN(H164)-4)/10000</f>
        <v>1.49E-2</v>
      </c>
      <c r="AA164" s="247">
        <f>ABS(Z164-Y164)</f>
        <v>5.8466000000000005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806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 &amp; aws s3 cp s3://rtdc.mdm.uploadarchive.raw/RTDC4051/ "%USERPROFILE%\AppData\Local\Temp\OnboardLogs"\RTDC4051\2018-01-10 --exclude "*" --recursive --include "*20180110*" &amp; "%USERPROFILE%\Documents\GitHub\mrs-test-scripts\Headless Mode &amp; Sideloading\WalkAndUnGZ.bat" "%USERPROFILE%\AppData\Local\Temp\OnboardLogs"\RTDC4051\2018-01-10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/stypes="app*4051*20180109*" /stext=" 14:.+((SYSTEM_STATE.+slice.+state.+changed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60"/>
        <v>"%USERPROFILE%\Documents\GitHub\eaglep3\Utilities\RefineRTDCRunTimes.py" --tripid 806-09 --locoid 4051 --swversion DE.1.0.9.0 --startMP 300:58615 --initTime 2018-01-09T06:56:57 --startdatetime 2018-01-09T07:13:12 --delay 55 --endMP 204:149 --enddatetime 2018-01-09T07:25:17 --enforcementcount 0 &gt;&gt;%USERPROFILE%\Documents\GitHub\eaglep3-reporting\EC\2018-01-09-refined-times.txt</v>
      </c>
      <c r="AI164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{"issue":{"subject":"","project_id":79,"tracker_id":40,"status_id":1,"priority_id":2,"assigned_to_id":338,"start_date":"2018-01-09","description":"","custom_fields":[{"id":1,"name":"Subdivision","value":"NW"},{"id":4,"name":"Milepost","value":"0.0149"},{"id":17,"name":"Train ID","value":"806-09"},{"id":16,"name":"Locomotive ID","value":"4051"},{"id":130,"name":"Impact","value":""},{"id":150,"name":"Time of Event (Mountain Time)","value":"07:25:17"},{"id":151,"name":"Denver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62"/>
        <v>start /low /b %USERPROFILE%\Documents\GitHub\eaglep3\Utilities\DownloadLogsFromS3.py --loco 4051 --day 2018-01-09</v>
      </c>
      <c r="AN164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64"/>
        <v>https://d0f6bd738d7f1b3e5a7ca70fe4ff75f0.us-east-1.aws.found.io/app/kibana#/discover/Steve-Slow-Train-Analysis-(2080s-and-2083s)?_g=(refreshInterval:(display:Off,pause:!f,section:0,value:0),time:(from:'2018-01-09T05:56:57-0700',mode:absolute,to:'2018-01-09T08:25:17-0700'))&amp;_a=(columns:!('Message%20ID',Summary),filters:!(),index:'emp_*',interval:auto,query:(query_string:(analyze_wildcard:!t,query:'%22rtdc.l.rtdc.4051%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775</v>
      </c>
      <c r="B165" s="225">
        <v>4040</v>
      </c>
      <c r="C165" s="227" t="s">
        <v>191</v>
      </c>
      <c r="D165" s="227" t="s">
        <v>575</v>
      </c>
      <c r="E165" s="226">
        <v>43109.289780092593</v>
      </c>
      <c r="F165" s="226">
        <v>43109.298067129632</v>
      </c>
      <c r="G165" s="225">
        <v>64</v>
      </c>
      <c r="H165" s="227" t="s">
        <v>1043</v>
      </c>
      <c r="I165" s="226">
        <v>43109.308715277781</v>
      </c>
      <c r="J165" s="225">
        <v>0</v>
      </c>
      <c r="K165" s="237" t="str">
        <f>IF(ISEVEN(B165),(B165-1)&amp;"/"&amp;B165,B165&amp;"/"&amp;(B165+1))</f>
        <v>4039/4040</v>
      </c>
      <c r="L165" s="245" t="str">
        <f>VLOOKUP(A165,'Trips&amp;Operators'!$C$1:$G$99911,5,FALSE)</f>
        <v>FORTUNATO FRANK</v>
      </c>
      <c r="M165" s="224">
        <f>I165-F165</f>
        <v>1.0648148148902692E-2</v>
      </c>
      <c r="N165" s="225">
        <f>24*60*SUM($M165:$M165)</f>
        <v>15.333333334419876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-09T05:57:17-0700',mode:absolute,to:'2018-01-09T08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4.7699999999999999E-2</v>
      </c>
      <c r="Z165" s="247">
        <f>RIGHT(H165,LEN(H165)-4)/10000</f>
        <v>5.8968999999999996</v>
      </c>
      <c r="AA165" s="247">
        <f>ABS(Z165-Y165)</f>
        <v>5.8491999999999997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807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/stypes="app*4040*20180109*" /stext=" 14:.+((SYSTEM_STATE.+slice.+state.+changed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60"/>
        <v>"%USERPROFILE%\Documents\GitHub\eaglep3\Utilities\RefineRTDCRunTimes.py" --tripid 807-09 --locoid 4040 --swversion DE.1.0.9.0 --startMP 204:477 --initTime 2018-01-09T06:57:17 --startdatetime 2018-01-09T07:09:13 --delay 64 --endMP 300:58969 --enddatetime 2018-01-09T07:24:33 --enforcementcount 0 &gt;&gt;%USERPROFILE%\Documents\GitHub\eaglep3-reporting\EC\2018-01-09-refined-times.txt</v>
      </c>
      <c r="AI165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{"issue":{"subject":"","project_id":79,"tracker_id":40,"status_id":1,"priority_id":2,"assigned_to_id":338,"start_date":"2018-01-09","description":"","custom_fields":[{"id":1,"name":"Subdivision","value":"NW"},{"id":4,"name":"Milepost","value":"5.8969"},{"id":17,"name":"Train ID","value":"807-09"},{"id":16,"name":"Locomotive ID","value":"4040"},{"id":130,"name":"Impact","value":""},{"id":150,"name":"Time of Event (Mountain Time)","value":"07:24:33"},{"id":151,"name":"Denver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62"/>
        <v>start /low /b %USERPROFILE%\Documents\GitHub\eaglep3\Utilities\DownloadLogsFromS3.py --loco 4040 --day 2018-01-09</v>
      </c>
      <c r="AN165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64"/>
        <v>https://d0f6bd738d7f1b3e5a7ca70fe4ff75f0.us-east-1.aws.found.io/app/kibana#/discover/Steve-Slow-Train-Analysis-(2080s-and-2083s)?_g=(refreshInterval:(display:Off,pause:!f,section:0,value:0),time:(from:'2018-01-09T05:57:17-0700',mode:absolute,to:'2018-01-09T08:24:33-0700'))&amp;_a=(columns:!('Message%20ID',Summary),filters:!(),index:'emp_*',interval:auto,query:(query_string:(analyze_wildcard:!t,query:'%22rtdc.l.rtdc.4040%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779</v>
      </c>
      <c r="B166" s="225">
        <v>4039</v>
      </c>
      <c r="C166" s="227" t="s">
        <v>191</v>
      </c>
      <c r="D166" s="227" t="s">
        <v>1044</v>
      </c>
      <c r="E166" s="226">
        <v>43109.309953703705</v>
      </c>
      <c r="F166" s="226">
        <v>43109.321550925924</v>
      </c>
      <c r="G166" s="225">
        <v>52</v>
      </c>
      <c r="H166" s="227" t="s">
        <v>1045</v>
      </c>
      <c r="I166" s="226">
        <v>43109.329768518517</v>
      </c>
      <c r="J166" s="225">
        <v>0</v>
      </c>
      <c r="K166" s="237" t="str">
        <f>IF(ISEVEN(B166),(B166-1)&amp;"/"&amp;B166,B166&amp;"/"&amp;(B166+1))</f>
        <v>4039/4040</v>
      </c>
      <c r="L166" s="245" t="str">
        <f>VLOOKUP(A166,'Trips&amp;Operators'!$C$1:$G$99911,5,FALSE)</f>
        <v>FORTUNATO FRANK</v>
      </c>
      <c r="M166" s="224">
        <f>I166-F166</f>
        <v>8.2175925927003846E-3</v>
      </c>
      <c r="N166" s="225">
        <f>24*60*SUM($M166:$M166)</f>
        <v>11.833333333488554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-09T06:26:20-0700',mode:absolute,to:'2018-01-09T08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5.8648999999999996</v>
      </c>
      <c r="Z166" s="247">
        <f>RIGHT(H166,LEN(H166)-4)/10000</f>
        <v>1.55E-2</v>
      </c>
      <c r="AA166" s="247">
        <f>ABS(Z166-Y166)</f>
        <v>5.8493999999999993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808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/stypes="app*4039*20180109*"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60"/>
        <v>"%USERPROFILE%\Documents\GitHub\eaglep3\Utilities\RefineRTDCRunTimes.py" --tripid 808-09 --locoid 4039 --swversion DE.1.0.9.0 --startMP 300:58649 --initTime 2018-01-09T07:26:20 --startdatetime 2018-01-09T07:43:02 --delay 52 --endMP 204:155 --enddatetime 2018-01-09T07:54:52 --enforcementcount 0 &gt;&gt;%USERPROFILE%\Documents\GitHub\eaglep3-reporting\EC\2018-01-09-refined-times.txt</v>
      </c>
      <c r="AI166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{"issue":{"subject":"","project_id":79,"tracker_id":40,"status_id":1,"priority_id":2,"assigned_to_id":338,"start_date":"2018-01-09","description":"","custom_fields":[{"id":1,"name":"Subdivision","value":"NW"},{"id":4,"name":"Milepost","value":"0.0155"},{"id":17,"name":"Train ID","value":"808-09"},{"id":16,"name":"Locomotive ID","value":"4039"},{"id":130,"name":"Impact","value":""},{"id":150,"name":"Time of Event (Mountain Time)","value":"07:54:52"},{"id":151,"name":"Denver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62"/>
        <v>start /low /b %USERPROFILE%\Documents\GitHub\eaglep3\Utilities\DownloadLogsFromS3.py --loco 4039 --day 2018-01-09</v>
      </c>
      <c r="AN166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64"/>
        <v>https://d0f6bd738d7f1b3e5a7ca70fe4ff75f0.us-east-1.aws.found.io/app/kibana#/discover/Steve-Slow-Train-Analysis-(2080s-and-2083s)?_g=(refreshInterval:(display:Off,pause:!f,section:0,value:0),time:(from:'2018-01-09T06:26:20-0700',mode:absolute,to:'2018-01-09T08:54:52-0700'))&amp;_a=(columns:!('Message%20ID',Summary),filters:!(),index:'emp_*',interval:auto,query:(query_string:(analyze_wildcard:!t,query:'%22rtdc.l.rtdc.4039%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781</v>
      </c>
      <c r="B167" s="225">
        <v>4052</v>
      </c>
      <c r="C167" s="227" t="s">
        <v>191</v>
      </c>
      <c r="D167" s="227" t="s">
        <v>694</v>
      </c>
      <c r="E167" s="226">
        <v>43109.311192129629</v>
      </c>
      <c r="F167" s="226">
        <v>43109.319004629629</v>
      </c>
      <c r="G167" s="225">
        <v>72</v>
      </c>
      <c r="H167" s="227" t="s">
        <v>698</v>
      </c>
      <c r="I167" s="226">
        <v>43109.329386574071</v>
      </c>
      <c r="J167" s="225">
        <v>0</v>
      </c>
      <c r="K167" s="237" t="str">
        <f>IF(ISEVEN(B167),(B167-1)&amp;"/"&amp;B167,B167&amp;"/"&amp;(B167+1))</f>
        <v>4051/4052</v>
      </c>
      <c r="L167" s="245" t="str">
        <f>VLOOKUP(A167,'Trips&amp;Operators'!$C$1:$G$99911,5,FALSE)</f>
        <v>DAVIDSON DAVID</v>
      </c>
      <c r="M167" s="224">
        <f>I167-F167</f>
        <v>1.0381944441178348E-2</v>
      </c>
      <c r="N167" s="225">
        <f>24*60*SUM($M167:$M167)</f>
        <v>14.949999995296821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-09T06:28:07-0700',mode:absolute,to:'2018-01-09T08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4.4200000000000003E-2</v>
      </c>
      <c r="Z167" s="247">
        <f>RIGHT(H167,LEN(H167)-4)/10000</f>
        <v>5.8933</v>
      </c>
      <c r="AA167" s="247">
        <f>ABS(Z167-Y167)</f>
        <v>5.8491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809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 &amp; aws s3 cp s3://rtdc.mdm.uploadarchive.raw/RTDC4052/ "%USERPROFILE%\AppData\Local\Temp\OnboardLogs"\RTDC4052\2018-01-10 --exclude "*" --recursive --include "*20180110*" &amp; "%USERPROFILE%\Documents\GitHub\mrs-test-scripts\Headless Mode &amp; Sideloading\WalkAndUnGZ.bat" "%USERPROFILE%\AppData\Local\Temp\OnboardLogs"\RTDC4052\2018-01-10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/stypes="app*4052*20180109*"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60"/>
        <v>"%USERPROFILE%\Documents\GitHub\eaglep3\Utilities\RefineRTDCRunTimes.py" --tripid 809-09 --locoid 4052 --swversion DE.1.0.9.0 --startMP 204:442 --initTime 2018-01-09T07:28:07 --startdatetime 2018-01-09T07:39:22 --delay 72 --endMP 300:58933 --enddatetime 2018-01-09T07:54:19 --enforcementcount 0 &gt;&gt;%USERPROFILE%\Documents\GitHub\eaglep3-reporting\EC\2018-01-09-refined-times.txt</v>
      </c>
      <c r="AI167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{"issue":{"subject":"","project_id":79,"tracker_id":40,"status_id":1,"priority_id":2,"assigned_to_id":338,"start_date":"2018-01-09","description":"","custom_fields":[{"id":1,"name":"Subdivision","value":"NW"},{"id":4,"name":"Milepost","value":"5.8933"},{"id":17,"name":"Train ID","value":"809-09"},{"id":16,"name":"Locomotive ID","value":"4052"},{"id":130,"name":"Impact","value":""},{"id":150,"name":"Time of Event (Mountain Time)","value":"07:54:19"},{"id":151,"name":"Denver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62"/>
        <v>start /low /b %USERPROFILE%\Documents\GitHub\eaglep3\Utilities\DownloadLogsFromS3.py --loco 4052 --day 2018-01-09</v>
      </c>
      <c r="AN167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14:54:19"},{"id":29,"name":"Sharepoint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64"/>
        <v>https://d0f6bd738d7f1b3e5a7ca70fe4ff75f0.us-east-1.aws.found.io/app/kibana#/discover/Steve-Slow-Train-Analysis-(2080s-and-2083s)?_g=(refreshInterval:(display:Off,pause:!f,section:0,value:0),time:(from:'2018-01-09T06:28:07-0700',mode:absolute,to:'2018-01-09T08:54:19-0700'))&amp;_a=(columns:!('Message%20ID',Summary),filters:!(),index:'emp_*',interval:auto,query:(query_string:(analyze_wildcard:!t,query:'%22rtdc.l.rtdc.4052%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785</v>
      </c>
      <c r="B168" s="225">
        <v>4051</v>
      </c>
      <c r="C168" s="227" t="s">
        <v>191</v>
      </c>
      <c r="D168" s="227" t="s">
        <v>697</v>
      </c>
      <c r="E168" s="226">
        <v>43109.330520833333</v>
      </c>
      <c r="F168" s="226">
        <v>43109.342499999999</v>
      </c>
      <c r="G168" s="225">
        <v>54</v>
      </c>
      <c r="H168" s="227" t="s">
        <v>684</v>
      </c>
      <c r="I168" s="226">
        <v>43109.350787037038</v>
      </c>
      <c r="J168" s="225">
        <v>0</v>
      </c>
      <c r="K168" s="237" t="str">
        <f>IF(ISEVEN(B168),(B168-1)&amp;"/"&amp;B168,B168&amp;"/"&amp;(B168+1))</f>
        <v>4051/4052</v>
      </c>
      <c r="L168" s="245" t="str">
        <f>VLOOKUP(A168,'Trips&amp;Operators'!$C$1:$G$99911,5,FALSE)</f>
        <v>DAVIDSON DAVID</v>
      </c>
      <c r="M168" s="224">
        <f>I168-F168</f>
        <v>8.2870370388263837E-3</v>
      </c>
      <c r="N168" s="225">
        <f>24*60*SUM($M168:$M168)</f>
        <v>11.933333335909992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-09T06:55:57-0700',mode:absolute,to:'2018-01-09T09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5.8613</v>
      </c>
      <c r="Z168" s="247">
        <f>RIGHT(H168,LEN(H168)-4)/10000</f>
        <v>1.44E-2</v>
      </c>
      <c r="AA168" s="247">
        <f>ABS(Z168-Y168)</f>
        <v>5.8468999999999998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810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 &amp; aws s3 cp s3://rtdc.mdm.uploadarchive.raw/RTDC4051/ "%USERPROFILE%\AppData\Local\Temp\OnboardLogs"\RTDC4051\2018-01-10 --exclude "*" --recursive --include "*20180110*" &amp; "%USERPROFILE%\Documents\GitHub\mrs-test-scripts\Headless Mode &amp; Sideloading\WalkAndUnGZ.bat" "%USERPROFILE%\AppData\Local\Temp\OnboardLogs"\RTDC4051\2018-01-10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/stypes="app*4051*20180109*" /stext=" 15:.+((SYSTEM_STATE.+slice.+state.+changed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60"/>
        <v>"%USERPROFILE%\Documents\GitHub\eaglep3\Utilities\RefineRTDCRunTimes.py" --tripid 810-09 --locoid 4051 --swversion DE.1.0.9.0 --startMP 300:58613 --initTime 2018-01-09T07:55:57 --startdatetime 2018-01-09T08:13:12 --delay 54 --endMP 204:144 --enddatetime 2018-01-09T08:25:08 --enforcementcount 0 &gt;&gt;%USERPROFILE%\Documents\GitHub\eaglep3-reporting\EC\2018-01-09-refined-times.txt</v>
      </c>
      <c r="AI168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{"issue":{"subject":"","project_id":79,"tracker_id":40,"status_id":1,"priority_id":2,"assigned_to_id":338,"start_date":"2018-01-09","description":"","custom_fields":[{"id":1,"name":"Subdivision","value":"NW"},{"id":4,"name":"Milepost","value":"0.0144"},{"id":17,"name":"Train ID","value":"810-09"},{"id":16,"name":"Locomotive ID","value":"4051"},{"id":130,"name":"Impact","value":""},{"id":150,"name":"Time of Event (Mountain Time)","value":"08:25:08"},{"id":151,"name":"Denver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62"/>
        <v>start /low /b %USERPROFILE%\Documents\GitHub\eaglep3\Utilities\DownloadLogsFromS3.py --loco 4051 --day 2018-01-09</v>
      </c>
      <c r="AN168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64"/>
        <v>https://d0f6bd738d7f1b3e5a7ca70fe4ff75f0.us-east-1.aws.found.io/app/kibana#/discover/Steve-Slow-Train-Analysis-(2080s-and-2083s)?_g=(refreshInterval:(display:Off,pause:!f,section:0,value:0),time:(from:'2018-01-09T06:55:57-0700',mode:absolute,to:'2018-01-09T09:25:08-0700'))&amp;_a=(columns:!('Message%20ID',Summary),filters:!(),index:'emp_*',interval:auto,query:(query_string:(analyze_wildcard:!t,query:'%22rtdc.l.rtdc.4051%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786</v>
      </c>
      <c r="B169" s="225">
        <v>4040</v>
      </c>
      <c r="C169" s="227" t="s">
        <v>191</v>
      </c>
      <c r="D169" s="227" t="s">
        <v>674</v>
      </c>
      <c r="E169" s="226">
        <v>43109.331226851849</v>
      </c>
      <c r="F169" s="226">
        <v>43109.340381944443</v>
      </c>
      <c r="G169" s="225">
        <v>54</v>
      </c>
      <c r="H169" s="227" t="s">
        <v>1046</v>
      </c>
      <c r="I169" s="226">
        <v>43109.350081018521</v>
      </c>
      <c r="J169" s="225">
        <v>0</v>
      </c>
      <c r="K169" s="237" t="str">
        <f>IF(ISEVEN(B169),(B169-1)&amp;"/"&amp;B169,B169&amp;"/"&amp;(B169+1))</f>
        <v>4039/4040</v>
      </c>
      <c r="L169" s="245" t="str">
        <f>VLOOKUP(A169,'Trips&amp;Operators'!$C$1:$G$99911,5,FALSE)</f>
        <v>FORTUNATO FRANK</v>
      </c>
      <c r="M169" s="224">
        <f>I169-F169</f>
        <v>9.6990740785258822E-3</v>
      </c>
      <c r="N169" s="225">
        <f>24*60*SUM($M169:$M169)</f>
        <v>13.96666667307727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-09T06:56:58-0700',mode:absolute,to:'2018-01-09T09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4.7E-2</v>
      </c>
      <c r="Z169" s="247">
        <f>RIGHT(H169,LEN(H169)-4)/10000</f>
        <v>5.9006999999999996</v>
      </c>
      <c r="AA169" s="247">
        <f>ABS(Z169-Y169)</f>
        <v>5.8536999999999999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811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/stypes="app*4040*20180109*" /stext=" 15:.+((SYSTEM_STATE.+slice.+state.+changed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60"/>
        <v>"%USERPROFILE%\Documents\GitHub\eaglep3\Utilities\RefineRTDCRunTimes.py" --tripid 811-09 --locoid 4040 --swversion DE.1.0.9.0 --startMP 204:470 --initTime 2018-01-09T07:56:58 --startdatetime 2018-01-09T08:10:09 --delay 54 --endMP 300:59007 --enddatetime 2018-01-09T08:24:07 --enforcementcount 0 &gt;&gt;%USERPROFILE%\Documents\GitHub\eaglep3-reporting\EC\2018-01-09-refined-times.txt</v>
      </c>
      <c r="AI169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{"issue":{"subject":"","project_id":79,"tracker_id":40,"status_id":1,"priority_id":2,"assigned_to_id":338,"start_date":"2018-01-09","description":"","custom_fields":[{"id":1,"name":"Subdivision","value":"NW"},{"id":4,"name":"Milepost","value":"5.9007"},{"id":17,"name":"Train ID","value":"811-09"},{"id":16,"name":"Locomotive ID","value":"4040"},{"id":130,"name":"Impact","value":""},{"id":150,"name":"Time of Event (Mountain Time)","value":"08:24:07"},{"id":151,"name":"Denver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62"/>
        <v>start /low /b %USERPROFILE%\Documents\GitHub\eaglep3\Utilities\DownloadLogsFromS3.py --loco 4040 --day 2018-01-09</v>
      </c>
      <c r="AN169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64"/>
        <v>https://d0f6bd738d7f1b3e5a7ca70fe4ff75f0.us-east-1.aws.found.io/app/kibana#/discover/Steve-Slow-Train-Analysis-(2080s-and-2083s)?_g=(refreshInterval:(display:Off,pause:!f,section:0,value:0),time:(from:'2018-01-09T06:56:58-0700',mode:absolute,to:'2018-01-09T09:24:07-0700'))&amp;_a=(columns:!('Message%20ID',Summary),filters:!(),index:'emp_*',interval:auto,query:(query_string:(analyze_wildcard:!t,query:'%22rtdc.l.rtdc.4040%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791</v>
      </c>
      <c r="B170" s="225">
        <v>4039</v>
      </c>
      <c r="C170" s="227" t="s">
        <v>191</v>
      </c>
      <c r="D170" s="227" t="s">
        <v>596</v>
      </c>
      <c r="E170" s="226">
        <v>43109.351724537039</v>
      </c>
      <c r="F170" s="226">
        <v>43109.363275462965</v>
      </c>
      <c r="G170" s="225">
        <v>59</v>
      </c>
      <c r="H170" s="227" t="s">
        <v>514</v>
      </c>
      <c r="I170" s="226">
        <v>43109.371655092589</v>
      </c>
      <c r="J170" s="225">
        <v>0</v>
      </c>
      <c r="K170" s="237" t="str">
        <f>IF(ISEVEN(B170),(B170-1)&amp;"/"&amp;B170,B170&amp;"/"&amp;(B170+1))</f>
        <v>4039/4040</v>
      </c>
      <c r="L170" s="245" t="str">
        <f>VLOOKUP(A170,'Trips&amp;Operators'!$C$1:$G$99911,5,FALSE)</f>
        <v>FORTUNATO FRANK</v>
      </c>
      <c r="M170" s="224">
        <f>I170-F170</f>
        <v>8.3796296239597723E-3</v>
      </c>
      <c r="N170" s="225">
        <f>24*60*SUM($M170:$M170)</f>
        <v>12.066666658502072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-09T07:26:29-0700',mode:absolute,to:'2018-01-09T09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5.8677000000000001</v>
      </c>
      <c r="Z170" s="247">
        <f>RIGHT(H170,LEN(H170)-4)/10000</f>
        <v>1.49E-2</v>
      </c>
      <c r="AA170" s="247">
        <f>ABS(Z170-Y170)</f>
        <v>5.8528000000000002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812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/stypes="app*4039*20180109*" /stext=" 15:.+((SYSTEM_STATE.+slice.+state.+changed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60"/>
        <v>"%USERPROFILE%\Documents\GitHub\eaglep3\Utilities\RefineRTDCRunTimes.py" --tripid 812-09 --locoid 4039 --swversion DE.1.0.9.0 --startMP 300:58677 --initTime 2018-01-09T08:26:29 --startdatetime 2018-01-09T08:43:07 --delay 59 --endMP 204:149 --enddatetime 2018-01-09T08:55:11 --enforcementcount 0 &gt;&gt;%USERPROFILE%\Documents\GitHub\eaglep3-reporting\EC\2018-01-09-refined-times.txt</v>
      </c>
      <c r="AI170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{"issue":{"subject":"","project_id":79,"tracker_id":40,"status_id":1,"priority_id":2,"assigned_to_id":338,"start_date":"2018-01-09","description":"","custom_fields":[{"id":1,"name":"Subdivision","value":"NW"},{"id":4,"name":"Milepost","value":"0.0149"},{"id":17,"name":"Train ID","value":"812-09"},{"id":16,"name":"Locomotive ID","value":"4039"},{"id":130,"name":"Impact","value":""},{"id":150,"name":"Time of Event (Mountain Time)","value":"08:55:11"},{"id":151,"name":"Denver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62"/>
        <v>start /low /b %USERPROFILE%\Documents\GitHub\eaglep3\Utilities\DownloadLogsFromS3.py --loco 4039 --day 2018-01-09</v>
      </c>
      <c r="AN170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64"/>
        <v>https://d0f6bd738d7f1b3e5a7ca70fe4ff75f0.us-east-1.aws.found.io/app/kibana#/discover/Steve-Slow-Train-Analysis-(2080s-and-2083s)?_g=(refreshInterval:(display:Off,pause:!f,section:0,value:0),time:(from:'2018-01-09T07:26:29-0700',mode:absolute,to:'2018-01-09T09:55:11-0700'))&amp;_a=(columns:!('Message%20ID',Summary),filters:!(),index:'emp_*',interval:auto,query:(query_string:(analyze_wildcard:!t,query:'%22rtdc.l.rtdc.4039%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797</v>
      </c>
      <c r="B171" s="225">
        <v>4040</v>
      </c>
      <c r="C171" s="227" t="s">
        <v>191</v>
      </c>
      <c r="D171" s="227" t="s">
        <v>519</v>
      </c>
      <c r="E171" s="226">
        <v>43109.373310185183</v>
      </c>
      <c r="F171" s="226">
        <v>43109.38140046296</v>
      </c>
      <c r="G171" s="225">
        <v>52</v>
      </c>
      <c r="H171" s="227" t="s">
        <v>1046</v>
      </c>
      <c r="I171" s="226">
        <v>43109.391006944446</v>
      </c>
      <c r="J171" s="225">
        <v>0</v>
      </c>
      <c r="K171" s="237" t="str">
        <f>IF(ISEVEN(B171),(B171-1)&amp;"/"&amp;B171,B171&amp;"/"&amp;(B171+1))</f>
        <v>4039/4040</v>
      </c>
      <c r="L171" s="245" t="str">
        <f>VLOOKUP(A171,'Trips&amp;Operators'!$C$1:$G$99911,5,FALSE)</f>
        <v>FORTUNATO FRANK</v>
      </c>
      <c r="M171" s="224">
        <f>I171-F171</f>
        <v>9.606481486116536E-3</v>
      </c>
      <c r="N171" s="225">
        <f>24*60*SUM($M171:$M171)</f>
        <v>13.833333340007812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-09T07:57:34-0700',mode:absolute,to:'2018-01-09T10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4.5499999999999999E-2</v>
      </c>
      <c r="Z171" s="247">
        <f>RIGHT(H171,LEN(H171)-4)/10000</f>
        <v>5.9006999999999996</v>
      </c>
      <c r="AA171" s="247">
        <f>ABS(Z171-Y171)</f>
        <v>5.8552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813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/stypes="app*4040*20180109*" /stext=" 16:.+((SYSTEM_STATE.+slice.+state.+changed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60"/>
        <v>"%USERPROFILE%\Documents\GitHub\eaglep3\Utilities\RefineRTDCRunTimes.py" --tripid 813-09 --locoid 4040 --swversion DE.1.0.9.0 --startMP 204:455 --initTime 2018-01-09T08:57:34 --startdatetime 2018-01-09T09:09:13 --delay 52 --endMP 300:59007 --enddatetime 2018-01-09T09:23:03 --enforcementcount 0 &gt;&gt;%USERPROFILE%\Documents\GitHub\eaglep3-reporting\EC\2018-01-09-refined-times.txt</v>
      </c>
      <c r="AI171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{"issue":{"subject":"","project_id":79,"tracker_id":40,"status_id":1,"priority_id":2,"assigned_to_id":338,"start_date":"2018-01-09","description":"","custom_fields":[{"id":1,"name":"Subdivision","value":"NW"},{"id":4,"name":"Milepost","value":"5.9007"},{"id":17,"name":"Train ID","value":"813-09"},{"id":16,"name":"Locomotive ID","value":"4040"},{"id":130,"name":"Impact","value":""},{"id":150,"name":"Time of Event (Mountain Time)","value":"09:23:03"},{"id":151,"name":"Denver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62"/>
        <v>start /low /b %USERPROFILE%\Documents\GitHub\eaglep3\Utilities\DownloadLogsFromS3.py --loco 4040 --day 2018-01-09</v>
      </c>
      <c r="AN171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64"/>
        <v>https://d0f6bd738d7f1b3e5a7ca70fe4ff75f0.us-east-1.aws.found.io/app/kibana#/discover/Steve-Slow-Train-Analysis-(2080s-and-2083s)?_g=(refreshInterval:(display:Off,pause:!f,section:0,value:0),time:(from:'2018-01-09T07:57:34-0700',mode:absolute,to:'2018-01-09T10:23:03-0700'))&amp;_a=(columns:!('Message%20ID',Summary),filters:!(),index:'emp_*',interval:auto,query:(query_string:(analyze_wildcard:!t,query:'%22rtdc.l.rtdc.4040%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707</v>
      </c>
      <c r="B172" s="225">
        <v>4039</v>
      </c>
      <c r="C172" s="227" t="s">
        <v>191</v>
      </c>
      <c r="D172" s="227" t="s">
        <v>1047</v>
      </c>
      <c r="E172" s="226">
        <v>43109.392395833333</v>
      </c>
      <c r="F172" s="226">
        <v>43109.404895833337</v>
      </c>
      <c r="G172" s="225">
        <v>57</v>
      </c>
      <c r="H172" s="227" t="s">
        <v>696</v>
      </c>
      <c r="I172" s="226">
        <v>43109.413148148145</v>
      </c>
      <c r="J172" s="225">
        <v>0</v>
      </c>
      <c r="K172" s="237" t="str">
        <f>IF(ISEVEN(B172),(B172-1)&amp;"/"&amp;B172,B172&amp;"/"&amp;(B172+1))</f>
        <v>4039/4040</v>
      </c>
      <c r="L172" s="245" t="str">
        <f>VLOOKUP(A172,'Trips&amp;Operators'!$C$1:$G$99911,5,FALSE)</f>
        <v>FORTUNATO FRANK</v>
      </c>
      <c r="M172" s="224">
        <f>I172-F172</f>
        <v>8.2523148084874265E-3</v>
      </c>
      <c r="N172" s="225">
        <f>24*60*SUM($M172:$M172)</f>
        <v>11.883333324221894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-09T08:25:03-0700',mode:absolute,to:'2018-01-09T10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5.8688000000000002</v>
      </c>
      <c r="Z172" s="247">
        <f>RIGHT(H172,LEN(H172)-4)/10000</f>
        <v>1.4200000000000001E-2</v>
      </c>
      <c r="AA172" s="247">
        <f>ABS(Z172-Y172)</f>
        <v>5.8546000000000005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814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/stypes="app*4039*20180109*" /stext=" 16:.+((SYSTEM_STATE.+slice.+state.+changed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60"/>
        <v>"%USERPROFILE%\Documents\GitHub\eaglep3\Utilities\RefineRTDCRunTimes.py" --tripid 814-09 --locoid 4039 --swversion DE.1.0.9.0 --startMP 300:58688 --initTime 2018-01-09T09:25:03 --startdatetime 2018-01-09T09:43:03 --delay 57 --endMP 204:142 --enddatetime 2018-01-09T09:54:56 --enforcementcount 0 &gt;&gt;%USERPROFILE%\Documents\GitHub\eaglep3-reporting\EC\2018-01-09-refined-times.txt</v>
      </c>
      <c r="AI172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{"issue":{"subject":"","project_id":79,"tracker_id":40,"status_id":1,"priority_id":2,"assigned_to_id":338,"start_date":"2018-01-09","description":"","custom_fields":[{"id":1,"name":"Subdivision","value":"NW"},{"id":4,"name":"Milepost","value":"0.0142"},{"id":17,"name":"Train ID","value":"814-09"},{"id":16,"name":"Locomotive ID","value":"4039"},{"id":130,"name":"Impact","value":""},{"id":150,"name":"Time of Event (Mountain Time)","value":"09:54:56"},{"id":151,"name":"Denver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62"/>
        <v>start /low /b %USERPROFILE%\Documents\GitHub\eaglep3\Utilities\DownloadLogsFromS3.py --loco 4039 --day 2018-01-09</v>
      </c>
      <c r="AN172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64"/>
        <v>https://d0f6bd738d7f1b3e5a7ca70fe4ff75f0.us-east-1.aws.found.io/app/kibana#/discover/Steve-Slow-Train-Analysis-(2080s-and-2083s)?_g=(refreshInterval:(display:Off,pause:!f,section:0,value:0),time:(from:'2018-01-09T08:25:03-0700',mode:absolute,to:'2018-01-09T10:54:56-0700'))&amp;_a=(columns:!('Message%20ID',Summary),filters:!(),index:'emp_*',interval:auto,query:(query_string:(analyze_wildcard:!t,query:'%22rtdc.l.rtdc.4039%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804</v>
      </c>
      <c r="B173" s="225">
        <v>4040</v>
      </c>
      <c r="C173" s="227" t="s">
        <v>191</v>
      </c>
      <c r="D173" s="227" t="s">
        <v>644</v>
      </c>
      <c r="E173" s="226">
        <v>43109.414699074077</v>
      </c>
      <c r="F173" s="226">
        <v>43109.423101851855</v>
      </c>
      <c r="G173" s="225">
        <v>55</v>
      </c>
      <c r="H173" s="227" t="s">
        <v>598</v>
      </c>
      <c r="I173" s="226">
        <v>43109.433321759258</v>
      </c>
      <c r="J173" s="225">
        <v>0</v>
      </c>
      <c r="K173" s="237" t="str">
        <f>IF(ISEVEN(B173),(B173-1)&amp;"/"&amp;B173,B173&amp;"/"&amp;(B173+1))</f>
        <v>4039/4040</v>
      </c>
      <c r="L173" s="245" t="str">
        <f>VLOOKUP(A173,'Trips&amp;Operators'!$C$1:$G$99911,5,FALSE)</f>
        <v>FORTUNATO FRANK</v>
      </c>
      <c r="M173" s="224">
        <f>I173-F173</f>
        <v>1.0219907402643003E-2</v>
      </c>
      <c r="N173" s="225">
        <f>24*60*SUM($M173:$M173)</f>
        <v>14.716666659805924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-09T08:57:10-0700',mode:absolute,to:'2018-01-09T11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4.5100000000000001E-2</v>
      </c>
      <c r="Z173" s="247">
        <f>RIGHT(H173,LEN(H173)-4)/10000</f>
        <v>5.8987999999999996</v>
      </c>
      <c r="AA173" s="247">
        <f>ABS(Z173-Y173)</f>
        <v>5.8536999999999999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815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/stypes="app*4040*20180109*" /stext=" 17:.+((SYSTEM_STATE.+slice.+state.+changed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60"/>
        <v>"%USERPROFILE%\Documents\GitHub\eaglep3\Utilities\RefineRTDCRunTimes.py" --tripid 815-09 --locoid 4040 --swversion DE.1.0.9.0 --startMP 204:451 --initTime 2018-01-09T09:57:10 --startdatetime 2018-01-09T10:09:16 --delay 55 --endMP 300:58988 --enddatetime 2018-01-09T10:23:59 --enforcementcount 0 &gt;&gt;%USERPROFILE%\Documents\GitHub\eaglep3-reporting\EC\2018-01-09-refined-times.txt</v>
      </c>
      <c r="AI173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{"issue":{"subject":"","project_id":79,"tracker_id":40,"status_id":1,"priority_id":2,"assigned_to_id":338,"start_date":"2018-01-09","description":"","custom_fields":[{"id":1,"name":"Subdivision","value":"NW"},{"id":4,"name":"Milepost","value":"5.8988"},{"id":17,"name":"Train ID","value":"815-09"},{"id":16,"name":"Locomotive ID","value":"4040"},{"id":130,"name":"Impact","value":""},{"id":150,"name":"Time of Event (Mountain Time)","value":"10:23:59"},{"id":151,"name":"Denver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62"/>
        <v>start /low /b %USERPROFILE%\Documents\GitHub\eaglep3\Utilities\DownloadLogsFromS3.py --loco 4040 --day 2018-01-09</v>
      </c>
      <c r="AN173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64"/>
        <v>https://d0f6bd738d7f1b3e5a7ca70fe4ff75f0.us-east-1.aws.found.io/app/kibana#/discover/Steve-Slow-Train-Analysis-(2080s-and-2083s)?_g=(refreshInterval:(display:Off,pause:!f,section:0,value:0),time:(from:'2018-01-09T08:57:10-0700',mode:absolute,to:'2018-01-09T11:23:59-0700'))&amp;_a=(columns:!('Message%20ID',Summary),filters:!(),index:'emp_*',interval:auto,query:(query_string:(analyze_wildcard:!t,query:'%22rtdc.l.rtdc.4040%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809</v>
      </c>
      <c r="B174" s="225">
        <v>4039</v>
      </c>
      <c r="C174" s="227" t="s">
        <v>191</v>
      </c>
      <c r="D174" s="227" t="s">
        <v>1048</v>
      </c>
      <c r="E174" s="226">
        <v>43109.434236111112</v>
      </c>
      <c r="F174" s="226">
        <v>43109.445555555554</v>
      </c>
      <c r="G174" s="225">
        <v>276</v>
      </c>
      <c r="H174" s="227" t="s">
        <v>1049</v>
      </c>
      <c r="I174" s="226">
        <v>43109.454618055555</v>
      </c>
      <c r="J174" s="225">
        <v>0</v>
      </c>
      <c r="K174" s="237" t="str">
        <f>IF(ISEVEN(B174),(B174-1)&amp;"/"&amp;B174,B174&amp;"/"&amp;(B174+1))</f>
        <v>4039/4040</v>
      </c>
      <c r="L174" s="245" t="str">
        <f>VLOOKUP(A174,'Trips&amp;Operators'!$C$1:$G$99911,5,FALSE)</f>
        <v>FORTUNATO FRANK</v>
      </c>
      <c r="M174" s="224">
        <f>I174-F174</f>
        <v>9.0625000011641532E-3</v>
      </c>
      <c r="N174" s="225">
        <f>24*60*SUM($M174:$M174)</f>
        <v>13.050000001676381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-09T09:25:18-0700',mode:absolute,to:'2018-01-09T11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5.8672000000000004</v>
      </c>
      <c r="Z174" s="247">
        <f>RIGHT(H174,LEN(H174)-4)/10000</f>
        <v>1.35E-2</v>
      </c>
      <c r="AA174" s="247">
        <f>ABS(Z174-Y174)</f>
        <v>5.8537000000000008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816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/stypes="app*4039*20180109*" /stext=" 17:.+((SYSTEM_STATE.+slice.+state.+changed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60"/>
        <v>"%USERPROFILE%\Documents\GitHub\eaglep3\Utilities\RefineRTDCRunTimes.py" --tripid 816-09 --locoid 4039 --swversion DE.1.0.9.0 --startMP 300:58672 --initTime 2018-01-09T10:25:18 --startdatetime 2018-01-09T10:41:36 --delay 276 --endMP 204:135 --enddatetime 2018-01-09T10:54:39 --enforcementcount 0 &gt;&gt;%USERPROFILE%\Documents\GitHub\eaglep3-reporting\EC\2018-01-09-refined-times.txt</v>
      </c>
      <c r="AI174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{"issue":{"subject":"","project_id":79,"tracker_id":40,"status_id":1,"priority_id":2,"assigned_to_id":338,"start_date":"2018-01-09","description":"","custom_fields":[{"id":1,"name":"Subdivision","value":"NW"},{"id":4,"name":"Milepost","value":"0.0135"},{"id":17,"name":"Train ID","value":"816-09"},{"id":16,"name":"Locomotive ID","value":"4039"},{"id":130,"name":"Impact","value":""},{"id":150,"name":"Time of Event (Mountain Time)","value":"10:54:39"},{"id":151,"name":"Denver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62"/>
        <v>start /low /b %USERPROFILE%\Documents\GitHub\eaglep3\Utilities\DownloadLogsFromS3.py --loco 4039 --day 2018-01-09</v>
      </c>
      <c r="AN174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17:54:39"},{"id":29,"name":"Sharepoint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64"/>
        <v>https://d0f6bd738d7f1b3e5a7ca70fe4ff75f0.us-east-1.aws.found.io/app/kibana#/discover/Steve-Slow-Train-Analysis-(2080s-and-2083s)?_g=(refreshInterval:(display:Off,pause:!f,section:0,value:0),time:(from:'2018-01-09T09:25:18-0700',mode:absolute,to:'2018-01-09T11:54:39-0700'))&amp;_a=(columns:!('Message%20ID',Summary),filters:!(),index:'emp_*',interval:auto,query:(query_string:(analyze_wildcard:!t,query:'%22rtdc.l.rtdc.4039%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817</v>
      </c>
      <c r="B175" s="225">
        <v>4040</v>
      </c>
      <c r="C175" s="227" t="s">
        <v>191</v>
      </c>
      <c r="D175" s="227" t="s">
        <v>1050</v>
      </c>
      <c r="E175" s="226">
        <v>43109.456030092595</v>
      </c>
      <c r="F175" s="226">
        <v>43109.464861111112</v>
      </c>
      <c r="G175" s="225">
        <v>49</v>
      </c>
      <c r="H175" s="227" t="s">
        <v>595</v>
      </c>
      <c r="I175" s="226">
        <v>43109.475162037037</v>
      </c>
      <c r="J175" s="225">
        <v>0</v>
      </c>
      <c r="K175" s="237" t="str">
        <f>IF(ISEVEN(B175),(B175-1)&amp;"/"&amp;B175,B175&amp;"/"&amp;(B175+1))</f>
        <v>4039/4040</v>
      </c>
      <c r="L175" s="245" t="str">
        <f>VLOOKUP(A175,'Trips&amp;Operators'!$C$1:$G$99911,5,FALSE)</f>
        <v>FORTUNATO FRANK</v>
      </c>
      <c r="M175" s="224">
        <f>I175-F175</f>
        <v>1.0300925925548654E-2</v>
      </c>
      <c r="N175" s="225">
        <f>24*60*SUM($M175:$M175)</f>
        <v>14.833333332790062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-09T09:56:41-0700',mode:absolute,to:'2018-01-09T12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4.5900000000000003E-2</v>
      </c>
      <c r="Z175" s="247">
        <f>RIGHT(H175,LEN(H175)-4)/10000</f>
        <v>5.8997000000000002</v>
      </c>
      <c r="AA175" s="247">
        <f>ABS(Z175-Y175)</f>
        <v>5.8538000000000006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817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/stypes="app*4040*20180109*" /stext=" 18:.+((SYSTEM_STATE.+slice.+state.+changed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60"/>
        <v>"%USERPROFILE%\Documents\GitHub\eaglep3\Utilities\RefineRTDCRunTimes.py" --tripid 817-09 --locoid 4040 --swversion DE.1.0.9.0 --startMP 204:459 --initTime 2018-01-09T10:56:41 --startdatetime 2018-01-09T11:09:24 --delay 49 --endMP 300:58997 --enddatetime 2018-01-09T11:24:14 --enforcementcount 0 &gt;&gt;%USERPROFILE%\Documents\GitHub\eaglep3-reporting\EC\2018-01-09-refined-times.txt</v>
      </c>
      <c r="AI175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{"issue":{"subject":"","project_id":79,"tracker_id":40,"status_id":1,"priority_id":2,"assigned_to_id":338,"start_date":"2018-01-09","description":"","custom_fields":[{"id":1,"name":"Subdivision","value":"NW"},{"id":4,"name":"Milepost","value":"5.8997"},{"id":17,"name":"Train ID","value":"817-09"},{"id":16,"name":"Locomotive ID","value":"4040"},{"id":130,"name":"Impact","value":""},{"id":150,"name":"Time of Event (Mountain Time)","value":"11:24:14"},{"id":151,"name":"Denver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62"/>
        <v>start /low /b %USERPROFILE%\Documents\GitHub\eaglep3\Utilities\DownloadLogsFromS3.py --loco 4040 --day 2018-01-09</v>
      </c>
      <c r="AN175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64"/>
        <v>https://d0f6bd738d7f1b3e5a7ca70fe4ff75f0.us-east-1.aws.found.io/app/kibana#/discover/Steve-Slow-Train-Analysis-(2080s-and-2083s)?_g=(refreshInterval:(display:Off,pause:!f,section:0,value:0),time:(from:'2018-01-09T09:56:41-0700',mode:absolute,to:'2018-01-09T12:24:14-0700'))&amp;_a=(columns:!('Message%20ID',Summary),filters:!(),index:'emp_*',interval:auto,query:(query_string:(analyze_wildcard:!t,query:'%22rtdc.l.rtdc.4040%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820</v>
      </c>
      <c r="B176" s="225">
        <v>4039</v>
      </c>
      <c r="C176" s="227" t="s">
        <v>191</v>
      </c>
      <c r="D176" s="227" t="s">
        <v>1051</v>
      </c>
      <c r="E176" s="226">
        <v>43109.476307870369</v>
      </c>
      <c r="F176" s="226">
        <v>43109.488217592596</v>
      </c>
      <c r="G176" s="225">
        <v>142</v>
      </c>
      <c r="H176" s="227" t="s">
        <v>700</v>
      </c>
      <c r="I176" s="226">
        <v>43109.496365740742</v>
      </c>
      <c r="J176" s="225">
        <v>0</v>
      </c>
      <c r="K176" s="237" t="str">
        <f>IF(ISEVEN(B176),(B176-1)&amp;"/"&amp;B176,B176&amp;"/"&amp;(B176+1))</f>
        <v>4039/4040</v>
      </c>
      <c r="L176" s="245" t="str">
        <f>VLOOKUP(A176,'Trips&amp;Operators'!$C$1:$G$99911,5,FALSE)</f>
        <v>FORTUNATO FRANK</v>
      </c>
      <c r="M176" s="224">
        <f>I176-F176</f>
        <v>8.1481481465743855E-3</v>
      </c>
      <c r="N176" s="225">
        <f>24*60*SUM($M176:$M176)</f>
        <v>11.733333331067115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-09T10:25:53-0700',mode:absolute,to:'2018-01-09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5.8678999999999997</v>
      </c>
      <c r="Z176" s="247">
        <f>RIGHT(H176,LEN(H176)-4)/10000</f>
        <v>1.5699999999999999E-2</v>
      </c>
      <c r="AA176" s="247">
        <f>ABS(Z176-Y176)</f>
        <v>5.8521999999999998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818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/stypes="app*4039*20180109*" /stext=" 18:.+((SYSTEM_STATE.+slice.+state.+changed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60"/>
        <v>"%USERPROFILE%\Documents\GitHub\eaglep3\Utilities\RefineRTDCRunTimes.py" --tripid 818-09 --locoid 4039 --swversion DE.1.0.9.0 --startMP 300:58679 --initTime 2018-01-09T11:25:53 --startdatetime 2018-01-09T11:43:02 --delay 142 --endMP 204:157 --enddatetime 2018-01-09T11:54:46 --enforcementcount 0 &gt;&gt;%USERPROFILE%\Documents\GitHub\eaglep3-reporting\EC\2018-01-09-refined-times.txt</v>
      </c>
      <c r="AI176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{"issue":{"subject":"","project_id":79,"tracker_id":40,"status_id":1,"priority_id":2,"assigned_to_id":338,"start_date":"2018-01-09","description":"","custom_fields":[{"id":1,"name":"Subdivision","value":"NW"},{"id":4,"name":"Milepost","value":"0.0157"},{"id":17,"name":"Train ID","value":"818-09"},{"id":16,"name":"Locomotive ID","value":"4039"},{"id":130,"name":"Impact","value":""},{"id":150,"name":"Time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62"/>
        <v>start /low /b %USERPROFILE%\Documents\GitHub\eaglep3\Utilities\DownloadLogsFromS3.py --loco 4039 --day 2018-01-09</v>
      </c>
      <c r="AN176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64"/>
        <v>https://d0f6bd738d7f1b3e5a7ca70fe4ff75f0.us-east-1.aws.found.io/app/kibana#/discover/Steve-Slow-Train-Analysis-(2080s-and-2083s)?_g=(refreshInterval:(display:Off,pause:!f,section:0,value:0),time:(from:'2018-01-09T10:25:53-0700',mode:absolute,to:'2018-01-09T12:54:46-0700'))&amp;_a=(columns:!('Message%20ID',Summary),filters:!(),index:'emp_*',interval:auto,query:(query_string:(analyze_wildcard:!t,query:'%22rtdc.l.rtdc.4039%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826</v>
      </c>
      <c r="B177" s="225">
        <v>4040</v>
      </c>
      <c r="C177" s="227" t="s">
        <v>191</v>
      </c>
      <c r="D177" s="227" t="s">
        <v>544</v>
      </c>
      <c r="E177" s="226">
        <v>43109.497870370367</v>
      </c>
      <c r="F177" s="226">
        <v>43109.50640046296</v>
      </c>
      <c r="G177" s="225">
        <v>377</v>
      </c>
      <c r="H177" s="227" t="s">
        <v>1041</v>
      </c>
      <c r="I177" s="226">
        <v>43109.516736111109</v>
      </c>
      <c r="J177" s="225">
        <v>0</v>
      </c>
      <c r="K177" s="237" t="str">
        <f>IF(ISEVEN(B177),(B177-1)&amp;"/"&amp;B177,B177&amp;"/"&amp;(B177+1))</f>
        <v>4039/4040</v>
      </c>
      <c r="L177" s="245" t="str">
        <f>VLOOKUP(A177,'Trips&amp;Operators'!$C$1:$G$99911,5,FALSE)</f>
        <v>FORTUNATO FRANK</v>
      </c>
      <c r="M177" s="224">
        <f>I177-F177</f>
        <v>1.0335648148611654E-2</v>
      </c>
      <c r="N177" s="225">
        <f>24*60*SUM($M177:$M177)</f>
        <v>14.883333334000781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-09T10:56:56-0700',mode:absolute,to:'2018-01-09T13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4.6399999999999997E-2</v>
      </c>
      <c r="Z177" s="247">
        <f>RIGHT(H177,LEN(H177)-4)/10000</f>
        <v>5.899</v>
      </c>
      <c r="AA177" s="247">
        <f>ABS(Z177-Y177)</f>
        <v>5.8525999999999998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819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/stypes="app*4040*20180109*" /stext=" 19:.+((SYSTEM_STATE.+slice.+state.+changed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60"/>
        <v>"%USERPROFILE%\Documents\GitHub\eaglep3\Utilities\RefineRTDCRunTimes.py" --tripid 819-09 --locoid 4040 --swversion DE.1.0.9.0 --startMP 204:464 --initTime 2018-01-09T11:56:56 --startdatetime 2018-01-09T12:09:13 --delay 377 --endMP 300:58990 --enddatetime 2018-01-09T12:24:06 --enforcementcount 0 &gt;&gt;%USERPROFILE%\Documents\GitHub\eaglep3-reporting\EC\2018-01-09-refined-times.txt</v>
      </c>
      <c r="AI177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{"issue":{"subject":"","project_id":79,"tracker_id":40,"status_id":1,"priority_id":2,"assigned_to_id":338,"start_date":"2018-01-09","description":"","custom_fields":[{"id":1,"name":"Subdivision","value":"NW"},{"id":4,"name":"Milepost","value":"5.899"},{"id":17,"name":"Train ID","value":"819-09"},{"id":16,"name":"Locomotive ID","value":"4040"},{"id":130,"name":"Impact","value":""},{"id":150,"name":"Time of Event (Mountain Time)","value":"12:24:06"},{"id":151,"name":"Denver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62"/>
        <v>start /low /b %USERPROFILE%\Documents\GitHub\eaglep3\Utilities\DownloadLogsFromS3.py --loco 4040 --day 2018-01-09</v>
      </c>
      <c r="AN177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64"/>
        <v>https://d0f6bd738d7f1b3e5a7ca70fe4ff75f0.us-east-1.aws.found.io/app/kibana#/discover/Steve-Slow-Train-Analysis-(2080s-and-2083s)?_g=(refreshInterval:(display:Off,pause:!f,section:0,value:0),time:(from:'2018-01-09T10:56:56-0700',mode:absolute,to:'2018-01-09T13:24:06-0700'))&amp;_a=(columns:!('Message%20ID',Summary),filters:!(),index:'emp_*',interval:auto,query:(query_string:(analyze_wildcard:!t,query:'%22rtdc.l.rtdc.4040%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832</v>
      </c>
      <c r="B178" s="225">
        <v>4039</v>
      </c>
      <c r="C178" s="227" t="s">
        <v>191</v>
      </c>
      <c r="D178" s="227" t="s">
        <v>596</v>
      </c>
      <c r="E178" s="226">
        <v>43109.529074074075</v>
      </c>
      <c r="F178" s="226">
        <v>43109.530057870368</v>
      </c>
      <c r="G178" s="225">
        <v>47</v>
      </c>
      <c r="H178" s="227" t="s">
        <v>594</v>
      </c>
      <c r="I178" s="226">
        <v>43109.538807870369</v>
      </c>
      <c r="J178" s="225">
        <v>0</v>
      </c>
      <c r="K178" s="237" t="str">
        <f>IF(ISEVEN(B178),(B178-1)&amp;"/"&amp;B178,B178&amp;"/"&amp;(B178+1))</f>
        <v>4039/4040</v>
      </c>
      <c r="L178" s="245" t="str">
        <f>VLOOKUP(A178,'Trips&amp;Operators'!$C$1:$G$99911,5,FALSE)</f>
        <v>FORTUNATO FRANK</v>
      </c>
      <c r="M178" s="224">
        <f>I178-F178</f>
        <v>8.7500000008731149E-3</v>
      </c>
      <c r="N178" s="225">
        <f>24*60*SUM($M178:$M178)</f>
        <v>12.600000001257285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-09T11:41:52-0700',mode:absolute,to:'2018-01-09T13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5.8677000000000001</v>
      </c>
      <c r="Z178" s="247">
        <f>RIGHT(H178,LEN(H178)-4)/10000</f>
        <v>1.4800000000000001E-2</v>
      </c>
      <c r="AA178" s="247">
        <f>ABS(Z178-Y178)</f>
        <v>5.8529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820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/stypes="app*4039*20180109*" /stext=" 19:.+((SYSTEM_STATE.+slice.+state.+changed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60"/>
        <v>"%USERPROFILE%\Documents\GitHub\eaglep3\Utilities\RefineRTDCRunTimes.py" --tripid 820-09 --locoid 4039 --swversion DE.1.0.9.0 --startMP 300:58677 --initTime 2018-01-09T12:41:52 --startdatetime 2018-01-09T12:43:17 --delay 47 --endMP 204:148 --enddatetime 2018-01-09T12:55:53 --enforcementcount 0 &gt;&gt;%USERPROFILE%\Documents\GitHub\eaglep3-reporting\EC\2018-01-09-refined-times.txt</v>
      </c>
      <c r="AI178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{"issue":{"subject":"","project_id":79,"tracker_id":40,"status_id":1,"priority_id":2,"assigned_to_id":338,"start_date":"2018-01-09","description":"","custom_fields":[{"id":1,"name":"Subdivision","value":"NW"},{"id":4,"name":"Milepost","value":"0.0148"},{"id":17,"name":"Train ID","value":"820-09"},{"id":16,"name":"Locomotive ID","value":"4039"},{"id":130,"name":"Impact","value":""},{"id":150,"name":"Time of Event (Mountain Time)","value":"12:55:53"},{"id":151,"name":"Denver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62"/>
        <v>start /low /b %USERPROFILE%\Documents\GitHub\eaglep3\Utilities\DownloadLogsFromS3.py --loco 4039 --day 2018-01-09</v>
      </c>
      <c r="AN178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64"/>
        <v>https://d0f6bd738d7f1b3e5a7ca70fe4ff75f0.us-east-1.aws.found.io/app/kibana#/discover/Steve-Slow-Train-Analysis-(2080s-and-2083s)?_g=(refreshInterval:(display:Off,pause:!f,section:0,value:0),time:(from:'2018-01-09T11:41:52-0700',mode:absolute,to:'2018-01-09T13:55:53-0700'))&amp;_a=(columns:!('Message%20ID',Summary),filters:!(),index:'emp_*',interval:auto,query:(query_string:(analyze_wildcard:!t,query:'%22rtdc.l.rtdc.4039%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837</v>
      </c>
      <c r="B179" s="225">
        <v>4040</v>
      </c>
      <c r="C179" s="227" t="s">
        <v>191</v>
      </c>
      <c r="D179" s="227" t="s">
        <v>519</v>
      </c>
      <c r="E179" s="226">
        <v>43109.542118055557</v>
      </c>
      <c r="F179" s="226">
        <v>43109.548090277778</v>
      </c>
      <c r="G179" s="225">
        <v>72</v>
      </c>
      <c r="H179" s="227" t="s">
        <v>1052</v>
      </c>
      <c r="I179" s="226">
        <v>43109.557523148149</v>
      </c>
      <c r="J179" s="225">
        <v>0</v>
      </c>
      <c r="K179" s="237" t="str">
        <f>IF(ISEVEN(B179),(B179-1)&amp;"/"&amp;B179,B179&amp;"/"&amp;(B179+1))</f>
        <v>4039/4040</v>
      </c>
      <c r="L179" s="245" t="str">
        <f>VLOOKUP(A179,'Trips&amp;Operators'!$C$1:$G$99911,5,FALSE)</f>
        <v>GUZMAN DANNY</v>
      </c>
      <c r="M179" s="224">
        <f>I179-F179</f>
        <v>9.4328703708015382E-3</v>
      </c>
      <c r="N179" s="225">
        <f>24*60*SUM($M179:$M179)</f>
        <v>13.583333333954215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-09T12:00:39-0700',mode:absolute,to:'2018-01-09T14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4.5499999999999999E-2</v>
      </c>
      <c r="Z179" s="247">
        <f>RIGHT(H179,LEN(H179)-4)/10000</f>
        <v>5.8939000000000004</v>
      </c>
      <c r="AA179" s="247">
        <f>ABS(Z179-Y179)</f>
        <v>5.8484000000000007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821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/stypes="app*4040*20180109*" /stext=" 20:.+((SYSTEM_STATE.+slice.+state.+changed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60"/>
        <v>"%USERPROFILE%\Documents\GitHub\eaglep3\Utilities\RefineRTDCRunTimes.py" --tripid 821-09 --locoid 4040 --swversion DE.1.0.9.0 --startMP 204:455 --initTime 2018-01-09T13:00:39 --startdatetime 2018-01-09T13:09:15 --delay 72 --endMP 300:58939 --enddatetime 2018-01-09T13:22:50 --enforcementcount 0 &gt;&gt;%USERPROFILE%\Documents\GitHub\eaglep3-reporting\EC\2018-01-09-refined-times.txt</v>
      </c>
      <c r="AI179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{"issue":{"subject":"","project_id":79,"tracker_id":40,"status_id":1,"priority_id":2,"assigned_to_id":338,"start_date":"2018-01-09","description":"","custom_fields":[{"id":1,"name":"Subdivision","value":"NW"},{"id":4,"name":"Milepost","value":"5.8939"},{"id":17,"name":"Train ID","value":"821-09"},{"id":16,"name":"Locomotive ID","value":"4040"},{"id":130,"name":"Impact","value":""},{"id":150,"name":"Time of Event (Mountain Time)","value":"13:22:50"},{"id":151,"name":"Denver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62"/>
        <v>start /low /b %USERPROFILE%\Documents\GitHub\eaglep3\Utilities\DownloadLogsFromS3.py --loco 4040 --day 2018-01-09</v>
      </c>
      <c r="AN179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64"/>
        <v>https://d0f6bd738d7f1b3e5a7ca70fe4ff75f0.us-east-1.aws.found.io/app/kibana#/discover/Steve-Slow-Train-Analysis-(2080s-and-2083s)?_g=(refreshInterval:(display:Off,pause:!f,section:0,value:0),time:(from:'2018-01-09T12:00:39-0700',mode:absolute,to:'2018-01-09T14:22:50-0700'))&amp;_a=(columns:!('Message%20ID',Summary),filters:!(),index:'emp_*',interval:auto,query:(query_string:(analyze_wildcard:!t,query:'%22rtdc.l.rtdc.4040%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841</v>
      </c>
      <c r="B180" s="225">
        <v>4039</v>
      </c>
      <c r="C180" s="227" t="s">
        <v>191</v>
      </c>
      <c r="D180" s="227" t="s">
        <v>697</v>
      </c>
      <c r="E180" s="226">
        <v>43109.560254629629</v>
      </c>
      <c r="F180" s="226">
        <v>43109.571585648147</v>
      </c>
      <c r="G180" s="225">
        <v>60</v>
      </c>
      <c r="H180" s="227" t="s">
        <v>687</v>
      </c>
      <c r="I180" s="226">
        <v>43109.579895833333</v>
      </c>
      <c r="J180" s="225">
        <v>0</v>
      </c>
      <c r="K180" s="237" t="str">
        <f>IF(ISEVEN(B180),(B180-1)&amp;"/"&amp;B180,B180&amp;"/"&amp;(B180+1))</f>
        <v>4039/4040</v>
      </c>
      <c r="L180" s="245" t="str">
        <f>VLOOKUP(A180,'Trips&amp;Operators'!$C$1:$G$99911,5,FALSE)</f>
        <v>GUZMAN DANNY</v>
      </c>
      <c r="M180" s="224">
        <f>I180-F180</f>
        <v>8.3101851851097308E-3</v>
      </c>
      <c r="N180" s="225">
        <f>24*60*SUM($M180:$M180)</f>
        <v>11.966666666558012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-09T12:26:46-0700',mode:absolute,to:'2018-01-09T14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5.8613</v>
      </c>
      <c r="Z180" s="247">
        <f>RIGHT(H180,LEN(H180)-4)/10000</f>
        <v>1.3100000000000001E-2</v>
      </c>
      <c r="AA180" s="247">
        <f>ABS(Z180-Y180)</f>
        <v>5.8482000000000003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822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/stypes="app*4039*20180109*" /stext=" 20:.+((SYSTEM_STATE.+slice.+state.+changed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60"/>
        <v>"%USERPROFILE%\Documents\GitHub\eaglep3\Utilities\RefineRTDCRunTimes.py" --tripid 822-09 --locoid 4039 --swversion DE.1.0.9.0 --startMP 300:58613 --initTime 2018-01-09T13:26:46 --startdatetime 2018-01-09T13:43:05 --delay 60 --endMP 204:131 --enddatetime 2018-01-09T13:55:03 --enforcementcount 0 &gt;&gt;%USERPROFILE%\Documents\GitHub\eaglep3-reporting\EC\2018-01-09-refined-times.txt</v>
      </c>
      <c r="AI180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{"issue":{"subject":"","project_id":79,"tracker_id":40,"status_id":1,"priority_id":2,"assigned_to_id":338,"start_date":"2018-01-09","description":"","custom_fields":[{"id":1,"name":"Subdivision","value":"NW"},{"id":4,"name":"Milepost","value":"0.0131"},{"id":17,"name":"Train ID","value":"822-09"},{"id":16,"name":"Locomotive ID","value":"4039"},{"id":130,"name":"Impact","value":""},{"id":150,"name":"Time of Event (Mountain Time)","value":"13:55:03"},{"id":151,"name":"Denver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62"/>
        <v>start /low /b %USERPROFILE%\Documents\GitHub\eaglep3\Utilities\DownloadLogsFromS3.py --loco 4039 --day 2018-01-09</v>
      </c>
      <c r="AN180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64"/>
        <v>https://d0f6bd738d7f1b3e5a7ca70fe4ff75f0.us-east-1.aws.found.io/app/kibana#/discover/Steve-Slow-Train-Analysis-(2080s-and-2083s)?_g=(refreshInterval:(display:Off,pause:!f,section:0,value:0),time:(from:'2018-01-09T12:26:46-0700',mode:absolute,to:'2018-01-09T14:55:03-0700'))&amp;_a=(columns:!('Message%20ID',Summary),filters:!(),index:'emp_*',interval:auto,query:(query_string:(analyze_wildcard:!t,query:'%22rtdc.l.rtdc.4039%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848</v>
      </c>
      <c r="B181" s="225">
        <v>4040</v>
      </c>
      <c r="C181" s="227" t="s">
        <v>191</v>
      </c>
      <c r="D181" s="227" t="s">
        <v>694</v>
      </c>
      <c r="E181" s="226">
        <v>43109.585243055553</v>
      </c>
      <c r="F181" s="226">
        <v>43109.589768518519</v>
      </c>
      <c r="G181" s="225">
        <v>50</v>
      </c>
      <c r="H181" s="227" t="s">
        <v>690</v>
      </c>
      <c r="I181" s="226">
        <v>43109.599745370368</v>
      </c>
      <c r="J181" s="225">
        <v>0</v>
      </c>
      <c r="K181" s="237" t="str">
        <f>IF(ISEVEN(B181),(B181-1)&amp;"/"&amp;B181,B181&amp;"/"&amp;(B181+1))</f>
        <v>4039/4040</v>
      </c>
      <c r="L181" s="245" t="str">
        <f>VLOOKUP(A181,'Trips&amp;Operators'!$C$1:$G$99911,5,FALSE)</f>
        <v>GUZMAN DANNY</v>
      </c>
      <c r="M181" s="224">
        <f>I181-F181</f>
        <v>9.9768518484779634E-3</v>
      </c>
      <c r="N181" s="225">
        <f>24*60*SUM($M181:$M181)</f>
        <v>14.366666661808267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-09T13:02:45-0700',mode:absolute,to:'2018-01-09T15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4.4200000000000003E-2</v>
      </c>
      <c r="Z181" s="247">
        <f>RIGHT(H181,LEN(H181)-4)/10000</f>
        <v>5.8940999999999999</v>
      </c>
      <c r="AA181" s="247">
        <f>ABS(Z181-Y181)</f>
        <v>5.8498999999999999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823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/stypes="app*4040*20180109*" /stext=" 21:.+((SYSTEM_STATE.+slice.+state.+changed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60"/>
        <v>"%USERPROFILE%\Documents\GitHub\eaglep3\Utilities\RefineRTDCRunTimes.py" --tripid 823-09 --locoid 4040 --swversion DE.1.0.9.0 --startMP 204:442 --initTime 2018-01-09T14:02:45 --startdatetime 2018-01-09T14:09:16 --delay 50 --endMP 300:58941 --enddatetime 2018-01-09T14:23:38 --enforcementcount 0 &gt;&gt;%USERPROFILE%\Documents\GitHub\eaglep3-reporting\EC\2018-01-09-refined-times.txt</v>
      </c>
      <c r="AI181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{"issue":{"subject":"","project_id":79,"tracker_id":40,"status_id":1,"priority_id":2,"assigned_to_id":338,"start_date":"2018-01-09","description":"","custom_fields":[{"id":1,"name":"Subdivision","value":"NW"},{"id":4,"name":"Milepost","value":"5.8941"},{"id":17,"name":"Train ID","value":"823-09"},{"id":16,"name":"Locomotive ID","value":"4040"},{"id":130,"name":"Impact","value":""},{"id":150,"name":"Time of Event (Mountain Time)","value":"14:23:38"},{"id":151,"name":"Denver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62"/>
        <v>start /low /b %USERPROFILE%\Documents\GitHub\eaglep3\Utilities\DownloadLogsFromS3.py --loco 4040 --day 2018-01-09</v>
      </c>
      <c r="AN181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64"/>
        <v>https://d0f6bd738d7f1b3e5a7ca70fe4ff75f0.us-east-1.aws.found.io/app/kibana#/discover/Steve-Slow-Train-Analysis-(2080s-and-2083s)?_g=(refreshInterval:(display:Off,pause:!f,section:0,value:0),time:(from:'2018-01-09T13:02:45-0700',mode:absolute,to:'2018-01-09T15:23:38-0700'))&amp;_a=(columns:!('Message%20ID',Summary),filters:!(),index:'emp_*',interval:auto,query:(query_string:(analyze_wildcard:!t,query:'%22rtdc.l.rtdc.4040%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851</v>
      </c>
      <c r="B182" s="225">
        <v>4039</v>
      </c>
      <c r="C182" s="227" t="s">
        <v>191</v>
      </c>
      <c r="D182" s="227" t="s">
        <v>686</v>
      </c>
      <c r="E182" s="226">
        <v>43109.600659722222</v>
      </c>
      <c r="F182" s="226">
        <v>43109.613275462965</v>
      </c>
      <c r="G182" s="225">
        <v>52</v>
      </c>
      <c r="H182" s="227" t="s">
        <v>696</v>
      </c>
      <c r="I182" s="226">
        <v>43109.621689814812</v>
      </c>
      <c r="J182" s="225">
        <v>0</v>
      </c>
      <c r="K182" s="237" t="str">
        <f>IF(ISEVEN(B182),(B182-1)&amp;"/"&amp;B182,B182&amp;"/"&amp;(B182+1))</f>
        <v>4039/4040</v>
      </c>
      <c r="L182" s="245" t="str">
        <f>VLOOKUP(A182,'Trips&amp;Operators'!$C$1:$G$99911,5,FALSE)</f>
        <v>GUZMAN DANNY</v>
      </c>
      <c r="M182" s="224">
        <f>I182-F182</f>
        <v>8.4143518470227718E-3</v>
      </c>
      <c r="N182" s="225">
        <f>24*60*SUM($M182:$M182)</f>
        <v>12.116666659712791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-09T13:24:57-0700',mode:absolute,to:'2018-01-09T15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5.8620999999999999</v>
      </c>
      <c r="Z182" s="247">
        <f>RIGHT(H182,LEN(H182)-4)/10000</f>
        <v>1.4200000000000001E-2</v>
      </c>
      <c r="AA182" s="247">
        <f>ABS(Z182-Y182)</f>
        <v>5.8479000000000001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824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/stypes="app*4039*20180109*" /stext=" 21:.+((SYSTEM_STATE.+slice.+state.+changed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60"/>
        <v>"%USERPROFILE%\Documents\GitHub\eaglep3\Utilities\RefineRTDCRunTimes.py" --tripid 824-09 --locoid 4039 --swversion DE.1.0.9.0 --startMP 300:58621 --initTime 2018-01-09T14:24:57 --startdatetime 2018-01-09T14:43:07 --delay 52 --endMP 204:142 --enddatetime 2018-01-09T14:55:14 --enforcementcount 0 &gt;&gt;%USERPROFILE%\Documents\GitHub\eaglep3-reporting\EC\2018-01-09-refined-times.txt</v>
      </c>
      <c r="AI182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{"issue":{"subject":"","project_id":79,"tracker_id":40,"status_id":1,"priority_id":2,"assigned_to_id":338,"start_date":"2018-01-09","description":"","custom_fields":[{"id":1,"name":"Subdivision","value":"NW"},{"id":4,"name":"Milepost","value":"0.0142"},{"id":17,"name":"Train ID","value":"824-09"},{"id":16,"name":"Locomotive ID","value":"4039"},{"id":130,"name":"Impact","value":""},{"id":150,"name":"Time of Event (Mountain Time)","value":"14:55:14"},{"id":151,"name":"Denver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62"/>
        <v>start /low /b %USERPROFILE%\Documents\GitHub\eaglep3\Utilities\DownloadLogsFromS3.py --loco 4039 --day 2018-01-09</v>
      </c>
      <c r="AN182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64"/>
        <v>https://d0f6bd738d7f1b3e5a7ca70fe4ff75f0.us-east-1.aws.found.io/app/kibana#/discover/Steve-Slow-Train-Analysis-(2080s-and-2083s)?_g=(refreshInterval:(display:Off,pause:!f,section:0,value:0),time:(from:'2018-01-09T13:24:57-0700',mode:absolute,to:'2018-01-09T15:55:14-0700'))&amp;_a=(columns:!('Message%20ID',Summary),filters:!(),index:'emp_*',interval:auto,query:(query_string:(analyze_wildcard:!t,query:'%22rtdc.l.rtdc.4039%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857</v>
      </c>
      <c r="B183" s="225">
        <v>4040</v>
      </c>
      <c r="C183" s="227" t="s">
        <v>191</v>
      </c>
      <c r="D183" s="227" t="s">
        <v>688</v>
      </c>
      <c r="E183" s="226">
        <v>43109.622662037036</v>
      </c>
      <c r="F183" s="226">
        <v>43109.631435185183</v>
      </c>
      <c r="G183" s="225">
        <v>52</v>
      </c>
      <c r="H183" s="227" t="s">
        <v>683</v>
      </c>
      <c r="I183" s="226">
        <v>43109.64099537037</v>
      </c>
      <c r="J183" s="225">
        <v>0</v>
      </c>
      <c r="K183" s="237" t="str">
        <f>IF(ISEVEN(B183),(B183-1)&amp;"/"&amp;B183,B183&amp;"/"&amp;(B183+1))</f>
        <v>4039/4040</v>
      </c>
      <c r="L183" s="245" t="str">
        <f>VLOOKUP(A183,'Trips&amp;Operators'!$C$1:$G$99911,5,FALSE)</f>
        <v>GUZMAN DANNY</v>
      </c>
      <c r="M183" s="224">
        <f>I183-F183</f>
        <v>9.560185186273884E-3</v>
      </c>
      <c r="N183" s="225">
        <f>24*60*SUM($M183:$M183)</f>
        <v>13.766666668234393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-09T13:56:38-0700',mode:absolute,to:'2018-01-09T16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4.3299999999999998E-2</v>
      </c>
      <c r="Z183" s="247">
        <f>RIGHT(H183,LEN(H183)-4)/10000</f>
        <v>5.8928000000000003</v>
      </c>
      <c r="AA183" s="247">
        <f>ABS(Z183-Y183)</f>
        <v>5.8494999999999999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825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/stypes="app*4040*20180109*" /stext=" 22:.+((SYSTEM_STATE.+slice.+state.+changed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60"/>
        <v>"%USERPROFILE%\Documents\GitHub\eaglep3\Utilities\RefineRTDCRunTimes.py" --tripid 825-09 --locoid 4040 --swversion DE.1.0.9.0 --startMP 204:433 --initTime 2018-01-09T14:56:38 --startdatetime 2018-01-09T15:09:16 --delay 52 --endMP 300:58928 --enddatetime 2018-01-09T15:23:02 --enforcementcount 0 &gt;&gt;%USERPROFILE%\Documents\GitHub\eaglep3-reporting\EC\2018-01-09-refined-times.txt</v>
      </c>
      <c r="AI183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{"issue":{"subject":"","project_id":79,"tracker_id":40,"status_id":1,"priority_id":2,"assigned_to_id":338,"start_date":"2018-01-09","description":"","custom_fields":[{"id":1,"name":"Subdivision","value":"NW"},{"id":4,"name":"Milepost","value":"5.8928"},{"id":17,"name":"Train ID","value":"825-09"},{"id":16,"name":"Locomotive ID","value":"4040"},{"id":130,"name":"Impact","value":""},{"id":150,"name":"Time of Event (Mountain Time)","value":"15:23:02"},{"id":151,"name":"Denver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62"/>
        <v>start /low /b %USERPROFILE%\Documents\GitHub\eaglep3\Utilities\DownloadLogsFromS3.py --loco 4040 --day 2018-01-09</v>
      </c>
      <c r="AN183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64"/>
        <v>https://d0f6bd738d7f1b3e5a7ca70fe4ff75f0.us-east-1.aws.found.io/app/kibana#/discover/Steve-Slow-Train-Analysis-(2080s-and-2083s)?_g=(refreshInterval:(display:Off,pause:!f,section:0,value:0),time:(from:'2018-01-09T13:56:38-0700',mode:absolute,to:'2018-01-09T16:23:02-0700'))&amp;_a=(columns:!('Message%20ID',Summary),filters:!(),index:'emp_*',interval:auto,query:(query_string:(analyze_wildcard:!t,query:'%22rtdc.l.rtdc.4040%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864</v>
      </c>
      <c r="B184" s="225">
        <v>4039</v>
      </c>
      <c r="C184" s="227" t="s">
        <v>191</v>
      </c>
      <c r="D184" s="227" t="s">
        <v>592</v>
      </c>
      <c r="E184" s="226">
        <v>43109.641828703701</v>
      </c>
      <c r="F184" s="226">
        <v>43109.654918981483</v>
      </c>
      <c r="G184" s="225">
        <v>62</v>
      </c>
      <c r="H184" s="227" t="s">
        <v>1053</v>
      </c>
      <c r="I184" s="226">
        <v>43109.66337962963</v>
      </c>
      <c r="J184" s="225">
        <v>0</v>
      </c>
      <c r="K184" s="237" t="str">
        <f>IF(ISEVEN(B184),(B184-1)&amp;"/"&amp;B184,B184&amp;"/"&amp;(B184+1))</f>
        <v>4039/4040</v>
      </c>
      <c r="L184" s="245" t="str">
        <f>VLOOKUP(A184,'Trips&amp;Operators'!$C$1:$G$99911,5,FALSE)</f>
        <v>GUZMAN DANNY</v>
      </c>
      <c r="M184" s="224">
        <f>I184-F184</f>
        <v>8.4606481468654238E-3</v>
      </c>
      <c r="N184" s="225">
        <f>24*60*SUM($M184:$M184)</f>
        <v>12.18333333148621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-09T14:24:14-0700',mode:absolute,to:'2018-01-09T16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5.8611000000000004</v>
      </c>
      <c r="Z184" s="247">
        <f>RIGHT(H184,LEN(H184)-4)/10000</f>
        <v>1.29E-2</v>
      </c>
      <c r="AA184" s="247">
        <f>ABS(Z184-Y184)</f>
        <v>5.8482000000000003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826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/stypes="app*4039*20180109*" /stext=" 22:.+((SYSTEM_STATE.+slice.+state.+changed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60"/>
        <v>"%USERPROFILE%\Documents\GitHub\eaglep3\Utilities\RefineRTDCRunTimes.py" --tripid 826-09 --locoid 4039 --swversion DE.1.0.9.0 --startMP 300:58611 --initTime 2018-01-09T15:24:14 --startdatetime 2018-01-09T15:43:05 --delay 62 --endMP 204:129 --enddatetime 2018-01-09T15:55:16 --enforcementcount 0 &gt;&gt;%USERPROFILE%\Documents\GitHub\eaglep3-reporting\EC\2018-01-09-refined-times.txt</v>
      </c>
      <c r="AI184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{"issue":{"subject":"","project_id":79,"tracker_id":40,"status_id":1,"priority_id":2,"assigned_to_id":338,"start_date":"2018-01-09","description":"","custom_fields":[{"id":1,"name":"Subdivision","value":"NW"},{"id":4,"name":"Milepost","value":"0.0129"},{"id":17,"name":"Train ID","value":"826-09"},{"id":16,"name":"Locomotive ID","value":"4039"},{"id":130,"name":"Impact","value":""},{"id":150,"name":"Time of Event (Mountain Time)","value":"15:55:16"},{"id":151,"name":"Denver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62"/>
        <v>start /low /b %USERPROFILE%\Documents\GitHub\eaglep3\Utilities\DownloadLogsFromS3.py --loco 4039 --day 2018-01-09</v>
      </c>
      <c r="AN184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64"/>
        <v>https://d0f6bd738d7f1b3e5a7ca70fe4ff75f0.us-east-1.aws.found.io/app/kibana#/discover/Steve-Slow-Train-Analysis-(2080s-and-2083s)?_g=(refreshInterval:(display:Off,pause:!f,section:0,value:0),time:(from:'2018-01-09T14:24:14-0700',mode:absolute,to:'2018-01-09T16:55:16-0700'))&amp;_a=(columns:!('Message%20ID',Summary),filters:!(),index:'emp_*',interval:auto,query:(query_string:(analyze_wildcard:!t,query:'%22rtdc.l.rtdc.4039%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718</v>
      </c>
      <c r="B185" s="225">
        <v>4022</v>
      </c>
      <c r="C185" s="227" t="s">
        <v>191</v>
      </c>
      <c r="D185" s="227" t="s">
        <v>500</v>
      </c>
      <c r="E185" s="226">
        <v>43109.654189814813</v>
      </c>
      <c r="F185" s="226">
        <v>43109.655451388891</v>
      </c>
      <c r="G185" s="225">
        <v>62</v>
      </c>
      <c r="H185" s="227" t="s">
        <v>1054</v>
      </c>
      <c r="I185" s="226">
        <v>43109.665520833332</v>
      </c>
      <c r="J185" s="225">
        <v>0</v>
      </c>
      <c r="K185" s="237" t="str">
        <f>IF(ISEVEN(B185),(B185-1)&amp;"/"&amp;B185,B185&amp;"/"&amp;(B185+1))</f>
        <v>4021/4022</v>
      </c>
      <c r="L185" s="245" t="str">
        <f>VLOOKUP(A185,'Trips&amp;Operators'!$C$1:$G$99911,5,FALSE)</f>
        <v>STAMBAUGH JAMES</v>
      </c>
      <c r="M185" s="224">
        <f>I185-F185</f>
        <v>1.006944444088731E-2</v>
      </c>
      <c r="N185" s="225">
        <f>24*60*SUM($M185:$M185)</f>
        <v>14.499999994877726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-09T14:42:02-0700',mode:absolute,to:'2018-01-09T16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4.3700000000000003E-2</v>
      </c>
      <c r="Z185" s="247">
        <f>RIGHT(H185,LEN(H185)-4)/10000</f>
        <v>5.8916000000000004</v>
      </c>
      <c r="AA185" s="247">
        <f>ABS(Z185-Y185)</f>
        <v>5.8479000000000001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827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 &amp; aws s3 cp s3://rtdc.mdm.uploadarchive.raw/RTDC4022/ "%USERPROFILE%\AppData\Local\Temp\OnboardLogs"\RTDC4022\2018-01-10 --exclude "*" --recursive --include "*20180110*" &amp; "%USERPROFILE%\Documents\GitHub\mrs-test-scripts\Headless Mode &amp; Sideloading\WalkAndUnGZ.bat" "%USERPROFILE%\AppData\Local\Temp\OnboardLogs"\RTDC4022\2018-01-10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/stypes="app*4022*20180109*" /stext=" 22:.+((SYSTEM_STATE.+slice.+state.+changed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60"/>
        <v>"%USERPROFILE%\Documents\GitHub\eaglep3\Utilities\RefineRTDCRunTimes.py" --tripid 827-09 --locoid 4022 --swversion DE.1.0.9.0 --startMP 204:437 --initTime 2018-01-09T15:42:02 --startdatetime 2018-01-09T15:43:51 --delay 62 --endMP 300:58916 --enddatetime 2018-01-09T15:58:21 --enforcementcount 0 &gt;&gt;%USERPROFILE%\Documents\GitHub\eaglep3-reporting\EC\2018-01-09-refined-times.txt</v>
      </c>
      <c r="AI185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{"issue":{"subject":"","project_id":79,"tracker_id":40,"status_id":1,"priority_id":2,"assigned_to_id":338,"start_date":"2018-01-09","description":"","custom_fields":[{"id":1,"name":"Subdivision","value":"NW"},{"id":4,"name":"Milepost","value":"5.8916"},{"id":17,"name":"Train ID","value":"827-09"},{"id":16,"name":"Locomotive ID","value":"4022"},{"id":130,"name":"Impact","value":""},{"id":150,"name":"Time of Event (Mountain Time)","value":"15:58:21"},{"id":151,"name":"Denver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62"/>
        <v>start /low /b %USERPROFILE%\Documents\GitHub\eaglep3\Utilities\DownloadLogsFromS3.py --loco 4022 --day 2018-01-09</v>
      </c>
      <c r="AN185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64"/>
        <v>https://d0f6bd738d7f1b3e5a7ca70fe4ff75f0.us-east-1.aws.found.io/app/kibana#/discover/Steve-Slow-Train-Analysis-(2080s-and-2083s)?_g=(refreshInterval:(display:Off,pause:!f,section:0,value:0),time:(from:'2018-01-09T14:42:02-0700',mode:absolute,to:'2018-01-09T16:58:21-0700'))&amp;_a=(columns:!('Message%20ID',Summary),filters:!(),index:'emp_*',interval:auto,query:(query_string:(analyze_wildcard:!t,query:'%22rtdc.l.rtdc.4022%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719</v>
      </c>
      <c r="B186" s="225">
        <v>4021</v>
      </c>
      <c r="C186" s="227" t="s">
        <v>191</v>
      </c>
      <c r="D186" s="227" t="s">
        <v>500</v>
      </c>
      <c r="E186" s="226">
        <v>43109.654189814813</v>
      </c>
      <c r="F186" s="226">
        <v>43109.675775462965</v>
      </c>
      <c r="G186" s="225">
        <v>62</v>
      </c>
      <c r="H186" s="227" t="s">
        <v>1054</v>
      </c>
      <c r="I186" s="226">
        <v>43109.682569444441</v>
      </c>
      <c r="J186" s="225">
        <v>0</v>
      </c>
      <c r="K186" s="237" t="str">
        <f>IF(ISEVEN(B186),(B186-1)&amp;"/"&amp;B186,B186&amp;"/"&amp;(B186+1))</f>
        <v>4021/4022</v>
      </c>
      <c r="L186" s="245" t="str">
        <f>VLOOKUP(A186,'Trips&amp;Operators'!$C$1:$G$99911,5,FALSE)</f>
        <v>STAMBAUGH JAMES</v>
      </c>
      <c r="M186" s="224">
        <f>I186-F186</f>
        <v>6.7939814762212336E-3</v>
      </c>
      <c r="N186" s="225">
        <f>24*60*SUM($M186:$M186)</f>
        <v>9.7833333257585764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-09T14:42:02-0700',mode:absolute,to:'2018-01-09T17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247" t="str">
        <f>IF(AA186&lt;VLOOKUP(AG186,Variables!$AC$3:$AD$8,2,FALSE),"Y","N")</f>
        <v>Y</v>
      </c>
      <c r="X186" s="247">
        <f>VALUE(LEFT(AD186,4))-VALUE(LEFT(AD185,4))</f>
        <v>1</v>
      </c>
      <c r="Y186" s="247">
        <v>5.8480999999999996</v>
      </c>
      <c r="Z186" s="247">
        <v>0.4526</v>
      </c>
      <c r="AA186" s="247">
        <f>ABS(Z186-Y186)</f>
        <v>5.3954999999999993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828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/stypes="app*4021*20180109*" /stext=" 23:.+((SYSTEM_STATE.+slice.+state.+changed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ref="AH186" si="76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828-09 --locoid 4021 --swversion DE.1.0.9.0 --startMP 204:437 --initTime 2018-01-09T15:42:02 --startdatetime 2018-01-09T16:13:07 --delay 62 --endMP 300:58916 --enddatetime 2018-01-09T16:22:54 --enforcementcount 0 &gt;&gt;%USERPROFILE%\Documents\GitHub\eaglep3-reporting\EC\2018-01-09-refined-times.txt</v>
      </c>
      <c r="AI186" s="238" t="str">
        <f t="shared" ref="AI186" si="77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{"issue":{"subject":"","project_id":79,"tracker_id":40,"status_id":1,"priority_id":2,"assigned_to_id":338,"start_date":"2018-01-09","description":"","custom_fields":[{"id":1,"name":"Subdivision","value":"NW"},{"id":4,"name":"Milepost","value":"0.4526"},{"id":17,"name":"Train ID","value":"828-09"},{"id":16,"name":"Locomotive ID","value":"4021"},{"id":130,"name":"Impact","value":""},{"id":150,"name":"Time of Event (Mountain Time)","value":"16:22:54"},{"id":151,"name":"Denver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ref="AM186" si="78">"start /low /b "&amp;dls3logs&amp;" --loco "&amp;B186&amp;" --day "&amp;TEXT(F186,"YYYY-MM-DD")</f>
        <v>start /low /b %USERPROFILE%\Documents\GitHub\eaglep3\Utilities\DownloadLogsFromS3.py --loco 4021 --day 2018-01-09</v>
      </c>
      <c r="AN186" s="241" t="str">
        <f t="shared" ref="AN186" si="79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ref="AO186" si="80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-09T14:42:02-0700',mode:absolute,to:'2018-01-09T17:22:54-0700'))&amp;_a=(columns:!('Message%20ID',Summary),filters:!(),index:'emp_*',interval:auto,query:(query_string:(analyze_wildcard:!t,query:'%22rtdc.l.rtdc.4021%22')),sort:!(Time.ISO8601,asc))</v>
      </c>
    </row>
    <row r="187" spans="1:91" s="223" customFormat="1" x14ac:dyDescent="0.3">
      <c r="A187" s="229" t="s">
        <v>870</v>
      </c>
      <c r="B187" s="225">
        <v>4040</v>
      </c>
      <c r="C187" s="227" t="s">
        <v>191</v>
      </c>
      <c r="D187" s="227" t="s">
        <v>688</v>
      </c>
      <c r="E187" s="226">
        <v>43109.669675925928</v>
      </c>
      <c r="F187" s="226">
        <v>43109.673090277778</v>
      </c>
      <c r="G187" s="225">
        <v>53</v>
      </c>
      <c r="H187" s="227" t="s">
        <v>681</v>
      </c>
      <c r="I187" s="226">
        <v>43109.683032407411</v>
      </c>
      <c r="J187" s="225">
        <v>0</v>
      </c>
      <c r="K187" s="237" t="str">
        <f>IF(ISEVEN(B187),(B187-1)&amp;"/"&amp;B187,B187&amp;"/"&amp;(B187+1))</f>
        <v>4039/4040</v>
      </c>
      <c r="L187" s="245" t="str">
        <f>VLOOKUP(A187,'Trips&amp;Operators'!$C$1:$G$99911,5,FALSE)</f>
        <v>GUZMAN DANNY</v>
      </c>
      <c r="M187" s="224">
        <f>I187-F187</f>
        <v>9.9421296326909214E-3</v>
      </c>
      <c r="N187" s="225">
        <f>24*60*SUM($M187:$M187)</f>
        <v>14.316666671074927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-09T15:04:20-0700',mode:absolute,to:'2018-01-09T17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4.3299999999999998E-2</v>
      </c>
      <c r="Z187" s="247">
        <f>RIGHT(H187,LEN(H187)-4)/10000</f>
        <v>5.8935000000000004</v>
      </c>
      <c r="AA187" s="247">
        <f>ABS(Z187-Y187)</f>
        <v>5.8502000000000001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829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/stypes="app*4040*20180109*" /stext=" 23:.+((SYSTEM_STATE.+slice.+state.+changed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60"/>
        <v>"%USERPROFILE%\Documents\GitHub\eaglep3\Utilities\RefineRTDCRunTimes.py" --tripid 829-09 --locoid 4040 --swversion DE.1.0.9.0 --startMP 204:433 --initTime 2018-01-09T16:04:20 --startdatetime 2018-01-09T16:09:15 --delay 53 --endMP 300:58935 --enddatetime 2018-01-09T16:23:34 --enforcementcount 0 &gt;&gt;%USERPROFILE%\Documents\GitHub\eaglep3-reporting\EC\2018-01-09-refined-times.txt</v>
      </c>
      <c r="AI187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{"issue":{"subject":"","project_id":79,"tracker_id":40,"status_id":1,"priority_id":2,"assigned_to_id":338,"start_date":"2018-01-09","description":"","custom_fields":[{"id":1,"name":"Subdivision","value":"NW"},{"id":4,"name":"Milepost","value":"5.8935"},{"id":17,"name":"Train ID","value":"829-09"},{"id":16,"name":"Locomotive ID","value":"4040"},{"id":130,"name":"Impact","value":""},{"id":150,"name":"Time of Event (Mountain Time)","value":"16:23:34"},{"id":151,"name":"Denver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62"/>
        <v>start /low /b %USERPROFILE%\Documents\GitHub\eaglep3\Utilities\DownloadLogsFromS3.py --loco 4040 --day 2018-01-09</v>
      </c>
      <c r="AN187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64"/>
        <v>https://d0f6bd738d7f1b3e5a7ca70fe4ff75f0.us-east-1.aws.found.io/app/kibana#/discover/Steve-Slow-Train-Analysis-(2080s-and-2083s)?_g=(refreshInterval:(display:Off,pause:!f,section:0,value:0),time:(from:'2018-01-09T15:04:20-0700',mode:absolute,to:'2018-01-09T17:23:34-0700'))&amp;_a=(columns:!('Message%20ID',Summary),filters:!(),index:'emp_*',interval:auto,query:(query_string:(analyze_wildcard:!t,query:'%22rtdc.l.rtdc.4040%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874</v>
      </c>
      <c r="B188" s="225">
        <v>4039</v>
      </c>
      <c r="C188" s="227" t="s">
        <v>191</v>
      </c>
      <c r="D188" s="227" t="s">
        <v>676</v>
      </c>
      <c r="E188" s="226">
        <v>43109.684201388889</v>
      </c>
      <c r="F188" s="226">
        <v>43109.696111111109</v>
      </c>
      <c r="G188" s="225">
        <v>60</v>
      </c>
      <c r="H188" s="227" t="s">
        <v>1045</v>
      </c>
      <c r="I188" s="226">
        <v>43109.705150462964</v>
      </c>
      <c r="J188" s="225">
        <v>0</v>
      </c>
      <c r="K188" s="237" t="str">
        <f>IF(ISEVEN(B188),(B188-1)&amp;"/"&amp;B188,B188&amp;"/"&amp;(B188+1))</f>
        <v>4039/4040</v>
      </c>
      <c r="L188" s="245" t="str">
        <f>VLOOKUP(A188,'Trips&amp;Operators'!$C$1:$G$99911,5,FALSE)</f>
        <v>GUZMAN DANNY</v>
      </c>
      <c r="M188" s="224">
        <f>I188-F188</f>
        <v>9.0393518548808061E-3</v>
      </c>
      <c r="N188" s="225">
        <f>24*60*SUM($M188:$M188)</f>
        <v>13.016666671028361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-09T15:25:15-0700',mode:absolute,to:'2018-01-09T17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5.8623000000000003</v>
      </c>
      <c r="Z188" s="247">
        <f>RIGHT(H188,LEN(H188)-4)/10000</f>
        <v>1.55E-2</v>
      </c>
      <c r="AA188" s="247">
        <f>ABS(Z188-Y188)</f>
        <v>5.8468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830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/stypes="app*4039*20180109*" /stext=" 23:.+((SYSTEM_STATE.+slice.+state.+changed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60"/>
        <v>"%USERPROFILE%\Documents\GitHub\eaglep3\Utilities\RefineRTDCRunTimes.py" --tripid 830-09 --locoid 4039 --swversion DE.1.0.9.0 --startMP 300:58623 --initTime 2018-01-09T16:25:15 --startdatetime 2018-01-09T16:42:24 --delay 60 --endMP 204:155 --enddatetime 2018-01-09T16:55:25 --enforcementcount 0 &gt;&gt;%USERPROFILE%\Documents\GitHub\eaglep3-reporting\EC\2018-01-09-refined-times.txt</v>
      </c>
      <c r="AI188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{"issue":{"subject":"","project_id":79,"tracker_id":40,"status_id":1,"priority_id":2,"assigned_to_id":338,"start_date":"2018-01-09","description":"","custom_fields":[{"id":1,"name":"Subdivision","value":"NW"},{"id":4,"name":"Milepost","value":"0.0155"},{"id":17,"name":"Train ID","value":"830-09"},{"id":16,"name":"Locomotive ID","value":"4039"},{"id":130,"name":"Impact","value":""},{"id":150,"name":"Time of Event (Mountain Time)","value":"16:55:25"},{"id":151,"name":"Denver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62"/>
        <v>start /low /b %USERPROFILE%\Documents\GitHub\eaglep3\Utilities\DownloadLogsFromS3.py --loco 4039 --day 2018-01-09</v>
      </c>
      <c r="AN188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64"/>
        <v>https://d0f6bd738d7f1b3e5a7ca70fe4ff75f0.us-east-1.aws.found.io/app/kibana#/discover/Steve-Slow-Train-Analysis-(2080s-and-2083s)?_g=(refreshInterval:(display:Off,pause:!f,section:0,value:0),time:(from:'2018-01-09T15:25:15-0700',mode:absolute,to:'2018-01-09T17:55:25-0700'))&amp;_a=(columns:!('Message%20ID',Summary),filters:!(),index:'emp_*',interval:auto,query:(query_string:(analyze_wildcard:!t,query:'%22rtdc.l.rtdc.4039%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876</v>
      </c>
      <c r="B189" s="225">
        <v>4022</v>
      </c>
      <c r="C189" s="227" t="s">
        <v>191</v>
      </c>
      <c r="D189" s="227" t="s">
        <v>676</v>
      </c>
      <c r="E189" s="226">
        <v>43109.684201388889</v>
      </c>
      <c r="F189" s="226">
        <v>43109.694039351853</v>
      </c>
      <c r="G189" s="225">
        <v>60</v>
      </c>
      <c r="H189" s="227" t="s">
        <v>1045</v>
      </c>
      <c r="I189" s="226">
        <v>43109.703668981485</v>
      </c>
      <c r="J189" s="225">
        <v>0</v>
      </c>
      <c r="K189" s="237" t="str">
        <f>IF(ISEVEN(B189),(B189-1)&amp;"/"&amp;B189,B189&amp;"/"&amp;(B189+1))</f>
        <v>4021/4022</v>
      </c>
      <c r="L189" s="245" t="str">
        <f>VLOOKUP(A189,'Trips&amp;Operators'!$C$1:$G$99911,5,FALSE)</f>
        <v>STAMBAUGH JAMES</v>
      </c>
      <c r="M189" s="224">
        <f>I189-F189</f>
        <v>9.6296296323998831E-3</v>
      </c>
      <c r="N189" s="225">
        <f>24*60*SUM($M189:$M189)</f>
        <v>13.866666670655832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-09T15:25:15-0700',mode:absolute,to:'2018-01-09T17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v>7.1599999999999997E-2</v>
      </c>
      <c r="Z189" s="247">
        <v>5.8939000000000004</v>
      </c>
      <c r="AA189" s="247">
        <f>ABS(Z189-Y189)</f>
        <v>5.8223000000000003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831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 &amp; aws s3 cp s3://rtdc.mdm.uploadarchive.raw/RTDC4022/ "%USERPROFILE%\AppData\Local\Temp\OnboardLogs"\RTDC4022\2018-01-10 --exclude "*" --recursive --include "*20180110*" &amp; "%USERPROFILE%\Documents\GitHub\mrs-test-scripts\Headless Mode &amp; Sideloading\WalkAndUnGZ.bat" "%USERPROFILE%\AppData\Local\Temp\OnboardLogs"\RTDC4022\2018-01-10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/stypes="app*4022*20180109*"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ref="AH189" si="81"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831-09 --locoid 4022 --swversion DE.1.0.9.0 --startMP 300:58623 --initTime 2018-01-09T16:25:15 --startdatetime 2018-01-09T16:39:25 --delay 60 --endMP 204:155 --enddatetime 2018-01-09T16:53:17 --enforcementcount 0 &gt;&gt;%USERPROFILE%\Documents\GitHub\eaglep3-reporting\EC\2018-01-09-refined-times.txt</v>
      </c>
      <c r="AI189" s="238" t="str">
        <f t="shared" ref="AI189" si="82"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{"issue":{"subject":"","project_id":79,"tracker_id":40,"status_id":1,"priority_id":2,"assigned_to_id":338,"start_date":"2018-01-09","description":"","custom_fields":[{"id":1,"name":"Subdivision","value":"NW"},{"id":4,"name":"Milepost","value":"5.8939"},{"id":17,"name":"Train ID","value":"831-09"},{"id":16,"name":"Locomotive ID","value":"4022"},{"id":130,"name":"Impact","value":""},{"id":150,"name":"Time of Event (Mountain Time)","value":"16:53:17"},{"id":151,"name":"Denver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ref="AM189" si="83">"start /low /b "&amp;dls3logs&amp;" --loco "&amp;B189&amp;" --day "&amp;TEXT(F189,"YYYY-MM-DD")</f>
        <v>start /low /b %USERPROFILE%\Documents\GitHub\eaglep3\Utilities\DownloadLogsFromS3.py --loco 4022 --day 2018-01-09</v>
      </c>
      <c r="AN189" s="241" t="str">
        <f t="shared" ref="AN189" si="84"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ref="AO189" si="85"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-09T15:25:15-0700',mode:absolute,to:'2018-01-09T17:53:17-0700'))&amp;_a=(columns:!('Message%20ID',Summary),filters:!(),index:'emp_*',interval:auto,query:(query_string:(analyze_wildcard:!t,query:'%22rtdc.l.rtdc.4022%22')),sort:!(Time.ISO8601,asc))</v>
      </c>
    </row>
    <row r="190" spans="1:91" s="223" customFormat="1" x14ac:dyDescent="0.3">
      <c r="A190" s="229" t="s">
        <v>720</v>
      </c>
      <c r="B190" s="225">
        <v>4021</v>
      </c>
      <c r="C190" s="227" t="s">
        <v>191</v>
      </c>
      <c r="D190" s="227" t="s">
        <v>695</v>
      </c>
      <c r="E190" s="226">
        <v>43109.705567129633</v>
      </c>
      <c r="F190" s="226">
        <v>43109.717476851853</v>
      </c>
      <c r="G190" s="225">
        <v>68</v>
      </c>
      <c r="H190" s="227" t="s">
        <v>692</v>
      </c>
      <c r="I190" s="226">
        <v>43109.726006944446</v>
      </c>
      <c r="J190" s="225">
        <v>0</v>
      </c>
      <c r="K190" s="237" t="str">
        <f>IF(ISEVEN(B190),(B190-1)&amp;"/"&amp;B190,B190&amp;"/"&amp;(B190+1))</f>
        <v>4021/4022</v>
      </c>
      <c r="L190" s="245" t="str">
        <f>VLOOKUP(A190,'Trips&amp;Operators'!$C$1:$G$99911,5,FALSE)</f>
        <v>STAMBAUGH JAMES</v>
      </c>
      <c r="M190" s="224">
        <f>I190-F190</f>
        <v>8.5300925929914229E-3</v>
      </c>
      <c r="N190" s="225">
        <f>24*60*SUM($M190:$M190)</f>
        <v>12.283333333907649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-09T15:56:01-0700',mode:absolute,to:'2018-01-09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247" t="str">
        <f>IF(AA190&lt;VLOOKUP(AG190,Variables!$AC$3:$AD$8,2,FALSE),"Y","N")</f>
        <v>N</v>
      </c>
      <c r="X190" s="247">
        <f t="shared" ref="X190:X191" si="86">VALUE(LEFT(AD190,4))-VALUE(LEFT(AD189,4))</f>
        <v>1</v>
      </c>
      <c r="Y190" s="247">
        <f>RIGHT(D190,LEN(D190)-4)/10000</f>
        <v>5.8616999999999999</v>
      </c>
      <c r="Z190" s="247">
        <f>RIGHT(H190,LEN(H190)-4)/10000</f>
        <v>1.3299999999999999E-2</v>
      </c>
      <c r="AA190" s="247">
        <f>ABS(Z190-Y190)</f>
        <v>5.8483999999999998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832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/stypes="app*4021*20180110*" /stext=" 00:.+((SYSTEM_STATE.+slice.+state.+changed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60"/>
        <v>"%USERPROFILE%\Documents\GitHub\eaglep3\Utilities\RefineRTDCRunTimes.py" --tripid 832-09 --locoid 4021 --swversion DE.1.0.9.0 --startMP 300:58617 --initTime 2018-01-09T16:56:01 --startdatetime 2018-01-09T17:13:10 --delay 68 --endMP 204:133 --enddatetime 2018-01-09T17:25:27 --enforcementcount 0 &gt;&gt;%USERPROFILE%\Documents\GitHub\eaglep3-reporting\EC\2018-01-09-refined-times.txt</v>
      </c>
      <c r="AI190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{"issue":{"subject":"","project_id":79,"tracker_id":40,"status_id":1,"priority_id":2,"assigned_to_id":338,"start_date":"2018-01-09","description":"","custom_fields":[{"id":1,"name":"Subdivision","value":"NW"},{"id":4,"name":"Milepost","value":"0.0133"},{"id":17,"name":"Train ID","value":"832-09"},{"id":16,"name":"Locomotive ID","value":"4021"},{"id":130,"name":"Impact","value":""},{"id":150,"name":"Time of Event (Mountain Time)","value":"17:25:27"},{"id":151,"name":"Denver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62"/>
        <v>start /low /b %USERPROFILE%\Documents\GitHub\eaglep3\Utilities\DownloadLogsFromS3.py --loco 4021 --day 2018-01-09</v>
      </c>
      <c r="AN190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64"/>
        <v>https://d0f6bd738d7f1b3e5a7ca70fe4ff75f0.us-east-1.aws.found.io/app/kibana#/discover/Steve-Slow-Train-Analysis-(2080s-and-2083s)?_g=(refreshInterval:(display:Off,pause:!f,section:0,value:0),time:(from:'2018-01-09T15:56:01-0700',mode:absolute,to:'2018-01-09T18:25:27-0700'))&amp;_a=(columns:!('Message%20ID',Summary),filters:!(),index:'emp_*',interval:auto,query:(query_string:(analyze_wildcard:!t,query:'%22rtdc.l.rtdc.4021%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881</v>
      </c>
      <c r="B191" s="225">
        <v>4040</v>
      </c>
      <c r="C191" s="227" t="s">
        <v>191</v>
      </c>
      <c r="D191" s="227" t="s">
        <v>597</v>
      </c>
      <c r="E191" s="226">
        <v>43109.706608796296</v>
      </c>
      <c r="F191" s="226">
        <v>43109.715775462966</v>
      </c>
      <c r="G191" s="225">
        <v>53</v>
      </c>
      <c r="H191" s="227" t="s">
        <v>1052</v>
      </c>
      <c r="I191" s="226">
        <v>43109.725937499999</v>
      </c>
      <c r="J191" s="225">
        <v>0</v>
      </c>
      <c r="K191" s="237" t="str">
        <f>IF(ISEVEN(B191),(B191-1)&amp;"/"&amp;B191,B191&amp;"/"&amp;(B191+1))</f>
        <v>4039/4040</v>
      </c>
      <c r="L191" s="245" t="str">
        <f>VLOOKUP(A191,'Trips&amp;Operators'!$C$1:$G$99911,5,FALSE)</f>
        <v>GUZMAN DANNY</v>
      </c>
      <c r="M191" s="224">
        <f>I191-F191</f>
        <v>1.0162037033296656E-2</v>
      </c>
      <c r="N191" s="225">
        <f>24*60*SUM($M191:$M191)</f>
        <v>14.633333327947184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-09T15:57:31-0700',mode:absolute,to:'2018-01-09T18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1" s="247" t="str">
        <f>IF(AA191&lt;VLOOKUP(AG191,Variables!$AC$3:$AD$8,2,FALSE),"Y","N")</f>
        <v>N</v>
      </c>
      <c r="X191" s="247">
        <f t="shared" si="86"/>
        <v>1</v>
      </c>
      <c r="Y191" s="247">
        <f>RIGHT(D191,LEN(D191)-4)/10000</f>
        <v>4.53E-2</v>
      </c>
      <c r="Z191" s="247">
        <f>RIGHT(H191,LEN(H191)-4)/10000</f>
        <v>5.8939000000000004</v>
      </c>
      <c r="AA191" s="247">
        <f>ABS(Z191-Y191)</f>
        <v>5.8486000000000002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833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/stypes="app*4040*20180110*" /stext=" 00:.+((SYSTEM_STATE.+slice.+state.+changed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60"/>
        <v>"%USERPROFILE%\Documents\GitHub\eaglep3\Utilities\RefineRTDCRunTimes.py" --tripid 833-09 --locoid 4040 --swversion DE.1.0.9.0 --startMP 204:453 --initTime 2018-01-09T16:57:31 --startdatetime 2018-01-09T17:10:43 --delay 53 --endMP 300:58939 --enddatetime 2018-01-09T17:25:21 --enforcementcount 0 &gt;&gt;%USERPROFILE%\Documents\GitHub\eaglep3-reporting\EC\2018-01-09-refined-times.txt</v>
      </c>
      <c r="AI191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{"issue":{"subject":"","project_id":79,"tracker_id":40,"status_id":1,"priority_id":2,"assigned_to_id":338,"start_date":"2018-01-09","description":"","custom_fields":[{"id":1,"name":"Subdivision","value":"NW"},{"id":4,"name":"Milepost","value":"5.8939"},{"id":17,"name":"Train ID","value":"833-09"},{"id":16,"name":"Locomotive ID","value":"4040"},{"id":130,"name":"Impact","value":""},{"id":150,"name":"Time of Event (Mountain Time)","value":"17:25:21"},{"id":151,"name":"Denver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62"/>
        <v>start /low /b %USERPROFILE%\Documents\GitHub\eaglep3\Utilities\DownloadLogsFromS3.py --loco 4040 --day 2018-01-09</v>
      </c>
      <c r="AN191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64"/>
        <v>https://d0f6bd738d7f1b3e5a7ca70fe4ff75f0.us-east-1.aws.found.io/app/kibana#/discover/Steve-Slow-Train-Analysis-(2080s-and-2083s)?_g=(refreshInterval:(display:Off,pause:!f,section:0,value:0),time:(from:'2018-01-09T15:57:31-0700',mode:absolute,to:'2018-01-09T18:25:21-0700'))&amp;_a=(columns:!('Message%20ID',Summary),filters:!(),index:'emp_*',interval:auto,query:(query_string:(analyze_wildcard:!t,query:'%22rtdc.l.rtdc.4040%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889</v>
      </c>
      <c r="B192" s="225">
        <v>4039</v>
      </c>
      <c r="C192" s="227" t="s">
        <v>191</v>
      </c>
      <c r="D192" s="227" t="s">
        <v>682</v>
      </c>
      <c r="E192" s="226">
        <v>43109.727071759262</v>
      </c>
      <c r="F192" s="226">
        <v>43109.738252314812</v>
      </c>
      <c r="G192" s="225">
        <v>51</v>
      </c>
      <c r="H192" s="227" t="s">
        <v>678</v>
      </c>
      <c r="I192" s="226">
        <v>43109.747164351851</v>
      </c>
      <c r="J192" s="225">
        <v>0</v>
      </c>
      <c r="K192" s="237" t="str">
        <f>IF(ISEVEN(B192),(B192-1)&amp;"/"&amp;B192,B192&amp;"/"&amp;(B192+1))</f>
        <v>4039/4040</v>
      </c>
      <c r="L192" s="245" t="str">
        <f>VLOOKUP(A192,'Trips&amp;Operators'!$C$1:$G$99911,5,FALSE)</f>
        <v>GUZMAN DANNY</v>
      </c>
      <c r="M192" s="224">
        <f>I192-F192</f>
        <v>8.9120370394084603E-3</v>
      </c>
      <c r="N192" s="225">
        <f>24*60*SUM($M192:$M192)</f>
        <v>12.833333336748183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-09T16:26:59-0700',mode:absolute,to:'2018-01-09T18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5.8619000000000003</v>
      </c>
      <c r="Z192" s="247">
        <f>RIGHT(H192,LEN(H192)-4)/10000</f>
        <v>1.5100000000000001E-2</v>
      </c>
      <c r="AA192" s="247">
        <f>ABS(Z192-Y192)</f>
        <v>5.8468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834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/stypes="app*4039*20180110*" /stext=" 00:.+((SYSTEM_STATE.+slice.+state.+changed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60"/>
        <v>"%USERPROFILE%\Documents\GitHub\eaglep3\Utilities\RefineRTDCRunTimes.py" --tripid 834-09 --locoid 4039 --swversion DE.1.0.9.0 --startMP 300:58619 --initTime 2018-01-09T17:26:59 --startdatetime 2018-01-09T17:43:05 --delay 51 --endMP 204:151 --enddatetime 2018-01-09T17:55:55 --enforcementcount 0 &gt;&gt;%USERPROFILE%\Documents\GitHub\eaglep3-reporting\EC\2018-01-09-refined-times.txt</v>
      </c>
      <c r="AI192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{"issue":{"subject":"","project_id":79,"tracker_id":40,"status_id":1,"priority_id":2,"assigned_to_id":338,"start_date":"2018-01-09","description":"","custom_fields":[{"id":1,"name":"Subdivision","value":"NW"},{"id":4,"name":"Milepost","value":"0.0151"},{"id":17,"name":"Train ID","value":"834-09"},{"id":16,"name":"Locomotive ID","value":"4039"},{"id":130,"name":"Impact","value":""},{"id":150,"name":"Time of Event (Mountain Time)","value":"17:55:55"},{"id":151,"name":"Denver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62"/>
        <v>start /low /b %USERPROFILE%\Documents\GitHub\eaglep3\Utilities\DownloadLogsFromS3.py --loco 4039 --day 2018-01-09</v>
      </c>
      <c r="AN192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64"/>
        <v>https://d0f6bd738d7f1b3e5a7ca70fe4ff75f0.us-east-1.aws.found.io/app/kibana#/discover/Steve-Slow-Train-Analysis-(2080s-and-2083s)?_g=(refreshInterval:(display:Off,pause:!f,section:0,value:0),time:(from:'2018-01-09T16:26:59-0700',mode:absolute,to:'2018-01-09T18:55:55-0700'))&amp;_a=(columns:!('Message%20ID',Summary),filters:!(),index:'emp_*',interval:auto,query:(query_string:(analyze_wildcard:!t,query:'%22rtdc.l.rtdc.4039%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890</v>
      </c>
      <c r="B193" s="225">
        <v>4022</v>
      </c>
      <c r="C193" s="227" t="s">
        <v>191</v>
      </c>
      <c r="D193" s="227" t="s">
        <v>597</v>
      </c>
      <c r="E193" s="226">
        <v>43109.727060185185</v>
      </c>
      <c r="F193" s="226">
        <v>43109.735775462963</v>
      </c>
      <c r="G193" s="225">
        <v>55</v>
      </c>
      <c r="H193" s="227" t="s">
        <v>683</v>
      </c>
      <c r="I193" s="226">
        <v>43109.745844907404</v>
      </c>
      <c r="J193" s="225">
        <v>0</v>
      </c>
      <c r="K193" s="237" t="str">
        <f>IF(ISEVEN(B193),(B193-1)&amp;"/"&amp;B193,B193&amp;"/"&amp;(B193+1))</f>
        <v>4021/4022</v>
      </c>
      <c r="L193" s="245" t="str">
        <f>VLOOKUP(A193,'Trips&amp;Operators'!$C$1:$G$99911,5,FALSE)</f>
        <v>STAMBAUGH JAMES</v>
      </c>
      <c r="M193" s="224">
        <f>I193-F193</f>
        <v>1.006944444088731E-2</v>
      </c>
      <c r="N193" s="225">
        <f>24*60*SUM($M193:$M193)</f>
        <v>14.499999994877726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-09T16:26:58-0700',mode:absolute,to:'2018-01-09T18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4.53E-2</v>
      </c>
      <c r="Z193" s="247">
        <f>RIGHT(H193,LEN(H193)-4)/10000</f>
        <v>5.8928000000000003</v>
      </c>
      <c r="AA193" s="247">
        <f>ABS(Z193-Y193)</f>
        <v>5.8475000000000001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835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 &amp; aws s3 cp s3://rtdc.mdm.uploadarchive.raw/RTDC4022/ "%USERPROFILE%\AppData\Local\Temp\OnboardLogs"\RTDC4022\2018-01-10 --exclude "*" --recursive --include "*20180110*" &amp; "%USERPROFILE%\Documents\GitHub\mrs-test-scripts\Headless Mode &amp; Sideloading\WalkAndUnGZ.bat" "%USERPROFILE%\AppData\Local\Temp\OnboardLogs"\RTDC4022\2018-01-10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/stypes="app*4022*20180110*"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60"/>
        <v>"%USERPROFILE%\Documents\GitHub\eaglep3\Utilities\RefineRTDCRunTimes.py" --tripid 835-09 --locoid 4022 --swversion DE.1.0.9.0 --startMP 204:453 --initTime 2018-01-09T17:26:58 --startdatetime 2018-01-09T17:39:31 --delay 55 --endMP 300:58928 --enddatetime 2018-01-09T17:54:01 --enforcementcount 0 &gt;&gt;%USERPROFILE%\Documents\GitHub\eaglep3-reporting\EC\2018-01-09-refined-times.txt</v>
      </c>
      <c r="AI193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{"issue":{"subject":"","project_id":79,"tracker_id":40,"status_id":1,"priority_id":2,"assigned_to_id":338,"start_date":"2018-01-09","description":"","custom_fields":[{"id":1,"name":"Subdivision","value":"NW"},{"id":4,"name":"Milepost","value":"5.8928"},{"id":17,"name":"Train ID","value":"835-09"},{"id":16,"name":"Locomotive ID","value":"4022"},{"id":130,"name":"Impact","value":""},{"id":150,"name":"Time of Event (Mountain Time)","value":"17:54:01"},{"id":151,"name":"Denver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62"/>
        <v>start /low /b %USERPROFILE%\Documents\GitHub\eaglep3\Utilities\DownloadLogsFromS3.py --loco 4022 --day 2018-01-09</v>
      </c>
      <c r="AN193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64"/>
        <v>https://d0f6bd738d7f1b3e5a7ca70fe4ff75f0.us-east-1.aws.found.io/app/kibana#/discover/Steve-Slow-Train-Analysis-(2080s-and-2083s)?_g=(refreshInterval:(display:Off,pause:!f,section:0,value:0),time:(from:'2018-01-09T16:26:58-0700',mode:absolute,to:'2018-01-09T18:54:01-0700'))&amp;_a=(columns:!('Message%20ID',Summary),filters:!(),index:'emp_*',interval:auto,query:(query_string:(analyze_wildcard:!t,query:'%22rtdc.l.rtdc.4022%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895</v>
      </c>
      <c r="B194" s="225">
        <v>4021</v>
      </c>
      <c r="C194" s="227" t="s">
        <v>191</v>
      </c>
      <c r="D194" s="227" t="s">
        <v>597</v>
      </c>
      <c r="E194" s="226">
        <v>43109.727060185185</v>
      </c>
      <c r="F194" s="226">
        <v>43109.758275462962</v>
      </c>
      <c r="G194" s="225">
        <v>55</v>
      </c>
      <c r="H194" s="227" t="s">
        <v>683</v>
      </c>
      <c r="I194" s="226">
        <v>43109.76666666667</v>
      </c>
      <c r="J194" s="225">
        <v>0</v>
      </c>
      <c r="K194" s="237" t="str">
        <f>IF(ISEVEN(B194),(B194-1)&amp;"/"&amp;B194,B194&amp;"/"&amp;(B194+1))</f>
        <v>4021/4022</v>
      </c>
      <c r="L194" s="245" t="str">
        <f>VLOOKUP(A194,'Trips&amp;Operators'!$C$1:$G$99911,5,FALSE)</f>
        <v>STAMBAUGH JAMES</v>
      </c>
      <c r="M194" s="224">
        <f>I194-F194</f>
        <v>8.3912037080153823E-3</v>
      </c>
      <c r="N194" s="225">
        <f>24*60*SUM($M194:$M194)</f>
        <v>12.08333333954215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-09T16:26:58-0700',mode:absolute,to:'2018-01-09T19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v>5.8480999999999996</v>
      </c>
      <c r="Z194" s="247">
        <v>1.55E-2</v>
      </c>
      <c r="AA194" s="247">
        <f>ABS(Z194-Y194)</f>
        <v>5.8325999999999993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836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/stypes="app*4021*20180110*" /stext=" 01:.+((SYSTEM_STATE.+slice.+state.+changed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ref="AH194" si="87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836-09 --locoid 4021 --swversion DE.1.0.9.0 --startMP 204:453 --initTime 2018-01-09T17:26:58 --startdatetime 2018-01-09T18:11:55 --delay 55 --endMP 300:58928 --enddatetime 2018-01-09T18:24:00 --enforcementcount 0 &gt;&gt;%USERPROFILE%\Documents\GitHub\eaglep3-reporting\EC\2018-01-09-refined-times.txt</v>
      </c>
      <c r="AI194" s="238" t="str">
        <f t="shared" ref="AI194" si="88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{"issue":{"subject":"","project_id":79,"tracker_id":40,"status_id":1,"priority_id":2,"assigned_to_id":338,"start_date":"2018-01-09","description":"","custom_fields":[{"id":1,"name":"Subdivision","value":"NW"},{"id":4,"name":"Milepost","value":"0.0155"},{"id":17,"name":"Train ID","value":"836-09"},{"id":16,"name":"Locomotive ID","value":"4021"},{"id":130,"name":"Impact","value":""},{"id":150,"name":"Time of Event (Mountain Time)","value":"18:24:00"},{"id":151,"name":"Denver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89">"start /low /b "&amp;dls3logs&amp;" --loco "&amp;B194&amp;" --day "&amp;TEXT(F194,"YYYY-MM-DD")</f>
        <v>start /low /b %USERPROFILE%\Documents\GitHub\eaglep3\Utilities\DownloadLogsFromS3.py --loco 4021 --day 2018-01-09</v>
      </c>
      <c r="AN194" s="241" t="str">
        <f t="shared" ref="AN194" si="90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91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-09T16:26:58-0700',mode:absolute,to:'2018-01-09T19:24:00-0700'))&amp;_a=(columns:!('Message%20ID',Summary),filters:!(),index:'emp_*',interval:auto,query:(query_string:(analyze_wildcard:!t,query:'%22rtdc.l.rtdc.4021%22')),sort:!(Time.ISO8601,asc))</v>
      </c>
    </row>
    <row r="195" spans="1:91" s="20" customFormat="1" x14ac:dyDescent="0.3">
      <c r="A195" s="229" t="s">
        <v>896</v>
      </c>
      <c r="B195" s="225">
        <v>4040</v>
      </c>
      <c r="C195" s="227" t="s">
        <v>191</v>
      </c>
      <c r="D195" s="227" t="s">
        <v>604</v>
      </c>
      <c r="E195" s="226">
        <v>43109.753055555557</v>
      </c>
      <c r="F195" s="226">
        <v>43109.756435185183</v>
      </c>
      <c r="G195" s="225">
        <v>50</v>
      </c>
      <c r="H195" s="227" t="s">
        <v>681</v>
      </c>
      <c r="I195" s="226">
        <v>43109.766770833332</v>
      </c>
      <c r="J195" s="225">
        <v>0</v>
      </c>
      <c r="K195" s="237" t="str">
        <f>IF(ISEVEN(B195),(B195-1)&amp;"/"&amp;B195,B195&amp;"/"&amp;(B195+1))</f>
        <v>4039/4040</v>
      </c>
      <c r="L195" s="245" t="str">
        <f>VLOOKUP(A195,'Trips&amp;Operators'!$C$1:$G$99911,5,FALSE)</f>
        <v>GUZMAN DANNY</v>
      </c>
      <c r="M195" s="224">
        <f>I195-F195</f>
        <v>1.0335648148611654E-2</v>
      </c>
      <c r="N195" s="225">
        <f>24*60*SUM($M195:$M195)</f>
        <v>14.883333334000781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-09T17:04:24-0700',mode:absolute,to:'2018-01-09T19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4.6600000000000003E-2</v>
      </c>
      <c r="Z195" s="247">
        <f>RIGHT(H195,LEN(H195)-4)/10000</f>
        <v>5.8935000000000004</v>
      </c>
      <c r="AA195" s="247">
        <f>ABS(Z195-Y195)</f>
        <v>5.8469000000000007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837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/stypes="app*4040*20180110*" /stext=" 01:.+((SYSTEM_STATE.+slice.+state.+changed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60"/>
        <v>"%USERPROFILE%\Documents\GitHub\eaglep3\Utilities\RefineRTDCRunTimes.py" --tripid 837-09 --locoid 4040 --swversion DE.1.0.9.0 --startMP 204:466 --initTime 2018-01-09T18:04:24 --startdatetime 2018-01-09T18:09:16 --delay 50 --endMP 300:58935 --enddatetime 2018-01-09T18:24:09 --enforcementcount 0 &gt;&gt;%USERPROFILE%\Documents\GitHub\eaglep3-reporting\EC\2018-01-09-refined-times.txt</v>
      </c>
      <c r="AI195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{"issue":{"subject":"","project_id":79,"tracker_id":40,"status_id":1,"priority_id":2,"assigned_to_id":338,"start_date":"2018-01-09","description":"","custom_fields":[{"id":1,"name":"Subdivision","value":"NW"},{"id":4,"name":"Milepost","value":"5.8935"},{"id":17,"name":"Train ID","value":"837-09"},{"id":16,"name":"Locomotive ID","value":"4040"},{"id":130,"name":"Impact","value":""},{"id":150,"name":"Time of Event (Mountain Time)","value":"18:24:09"},{"id":151,"name":"Denver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62"/>
        <v>start /low /b %USERPROFILE%\Documents\GitHub\eaglep3\Utilities\DownloadLogsFromS3.py --loco 4040 --day 2018-01-09</v>
      </c>
      <c r="AN195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64"/>
        <v>https://d0f6bd738d7f1b3e5a7ca70fe4ff75f0.us-east-1.aws.found.io/app/kibana#/discover/Steve-Slow-Train-Analysis-(2080s-and-2083s)?_g=(refreshInterval:(display:Off,pause:!f,section:0,value:0),time:(from:'2018-01-09T17:04:24-0700',mode:absolute,to:'2018-01-09T19:24:09-0700'))&amp;_a=(columns:!('Message%20ID',Summary),filters:!(),index:'emp_*',interval:auto,query:(query_string:(analyze_wildcard:!t,query:'%22rtdc.l.rtdc.4040%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899</v>
      </c>
      <c r="B196" s="225">
        <v>4039</v>
      </c>
      <c r="C196" s="227" t="s">
        <v>191</v>
      </c>
      <c r="D196" s="227" t="s">
        <v>682</v>
      </c>
      <c r="E196" s="226">
        <v>43109.767650462964</v>
      </c>
      <c r="F196" s="226">
        <v>43109.779953703706</v>
      </c>
      <c r="G196" s="225">
        <v>57</v>
      </c>
      <c r="H196" s="227" t="s">
        <v>1045</v>
      </c>
      <c r="I196" s="226">
        <v>43109.788946759261</v>
      </c>
      <c r="J196" s="225">
        <v>0</v>
      </c>
      <c r="K196" s="237" t="str">
        <f>IF(ISEVEN(B196),(B196-1)&amp;"/"&amp;B196,B196&amp;"/"&amp;(B196+1))</f>
        <v>4039/4040</v>
      </c>
      <c r="L196" s="245" t="str">
        <f>VLOOKUP(A196,'Trips&amp;Operators'!$C$1:$G$99911,5,FALSE)</f>
        <v>GUZMAN DANNY</v>
      </c>
      <c r="M196" s="224">
        <f>I196-F196</f>
        <v>8.9930555550381541E-3</v>
      </c>
      <c r="N196" s="225">
        <f>24*60*SUM($M196:$M196)</f>
        <v>12.949999999254942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-09T17:25:25-0700',mode:absolute,to:'2018-01-09T19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5.8619000000000003</v>
      </c>
      <c r="Z196" s="247">
        <f>RIGHT(H196,LEN(H196)-4)/10000</f>
        <v>1.55E-2</v>
      </c>
      <c r="AA196" s="247">
        <f>ABS(Z196-Y196)</f>
        <v>5.8464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838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/stypes="app*4039*20180110*"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60"/>
        <v>"%USERPROFILE%\Documents\GitHub\eaglep3\Utilities\RefineRTDCRunTimes.py" --tripid 838-09 --locoid 4039 --swversion DE.1.0.9.0 --startMP 300:58619 --initTime 2018-01-09T18:25:25 --startdatetime 2018-01-09T18:43:08 --delay 57 --endMP 204:155 --enddatetime 2018-01-09T18:56:05 --enforcementcount 0 &gt;&gt;%USERPROFILE%\Documents\GitHub\eaglep3-reporting\EC\2018-01-09-refined-times.txt</v>
      </c>
      <c r="AI196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{"issue":{"subject":"","project_id":79,"tracker_id":40,"status_id":1,"priority_id":2,"assigned_to_id":338,"start_date":"2018-01-09","description":"","custom_fields":[{"id":1,"name":"Subdivision","value":"NW"},{"id":4,"name":"Milepost","value":"0.0155"},{"id":17,"name":"Train ID","value":"838-09"},{"id":16,"name":"Locomotive ID","value":"4039"},{"id":130,"name":"Impact","value":""},{"id":150,"name":"Time of Event (Mountain Time)","value":"18:56:05"},{"id":151,"name":"Denver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62"/>
        <v>start /low /b %USERPROFILE%\Documents\GitHub\eaglep3\Utilities\DownloadLogsFromS3.py --loco 4039 --day 2018-01-09</v>
      </c>
      <c r="AN196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64"/>
        <v>https://d0f6bd738d7f1b3e5a7ca70fe4ff75f0.us-east-1.aws.found.io/app/kibana#/discover/Steve-Slow-Train-Analysis-(2080s-and-2083s)?_g=(refreshInterval:(display:Off,pause:!f,section:0,value:0),time:(from:'2018-01-09T17:25:25-0700',mode:absolute,to:'2018-01-09T19:56:05-0700'))&amp;_a=(columns:!('Message%20ID',Summary),filters:!(),index:'emp_*',interval:auto,query:(query_string:(analyze_wildcard:!t,query:'%22rtdc.l.rtdc.4039%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900</v>
      </c>
      <c r="B197" s="225">
        <v>4022</v>
      </c>
      <c r="C197" s="227" t="s">
        <v>191</v>
      </c>
      <c r="D197" s="227" t="s">
        <v>682</v>
      </c>
      <c r="E197" s="226">
        <v>43109.767650462964</v>
      </c>
      <c r="F197" s="226">
        <v>43109.777314814812</v>
      </c>
      <c r="G197" s="225">
        <v>57</v>
      </c>
      <c r="H197" s="227" t="s">
        <v>1045</v>
      </c>
      <c r="I197" s="226">
        <v>43109.787731481483</v>
      </c>
      <c r="J197" s="225">
        <v>0</v>
      </c>
      <c r="K197" s="237" t="str">
        <f>IF(ISEVEN(B197),(B197-1)&amp;"/"&amp;B197,B197&amp;"/"&amp;(B197+1))</f>
        <v>4021/4022</v>
      </c>
      <c r="L197" s="245" t="str">
        <f>VLOOKUP(A197,'Trips&amp;Operators'!$C$1:$G$99911,5,FALSE)</f>
        <v>STAMBAUGH JAMES</v>
      </c>
      <c r="M197" s="224">
        <f>I197-F197</f>
        <v>1.0416666671517305E-2</v>
      </c>
      <c r="N197" s="225">
        <f>24*60*SUM($M197:$M197)</f>
        <v>15.000000006984919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-09T17:25:25-0700',mode:absolute,to:'2018-01-09T19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v>7.3200000000000001E-2</v>
      </c>
      <c r="Z197" s="247">
        <v>5.8930999999999996</v>
      </c>
      <c r="AA197" s="247">
        <f>ABS(Z197-Y197)</f>
        <v>5.8198999999999996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839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 &amp; aws s3 cp s3://rtdc.mdm.uploadarchive.raw/RTDC4022/ "%USERPROFILE%\AppData\Local\Temp\OnboardLogs"\RTDC4022\2018-01-10 --exclude "*" --recursive --include "*20180110*" &amp; "%USERPROFILE%\Documents\GitHub\mrs-test-scripts\Headless Mode &amp; Sideloading\WalkAndUnGZ.bat" "%USERPROFILE%\AppData\Local\Temp\OnboardLogs"\RTDC4022\2018-01-10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/stypes="app*4022*20180110*"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ref="AH197" si="92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839-09 --locoid 4022 --swversion DE.1.0.9.0 --startMP 300:58619 --initTime 2018-01-09T18:25:25 --startdatetime 2018-01-09T18:39:20 --delay 57 --endMP 204:155 --enddatetime 2018-01-09T18:54:20 --enforcementcount 0 &gt;&gt;%USERPROFILE%\Documents\GitHub\eaglep3-reporting\EC\2018-01-09-refined-times.txt</v>
      </c>
      <c r="AI197" s="238" t="str">
        <f t="shared" ref="AI197" si="93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{"issue":{"subject":"","project_id":79,"tracker_id":40,"status_id":1,"priority_id":2,"assigned_to_id":338,"start_date":"2018-01-09","description":"","custom_fields":[{"id":1,"name":"Subdivision","value":"NW"},{"id":4,"name":"Milepost","value":"5.8931"},{"id":17,"name":"Train ID","value":"839-09"},{"id":16,"name":"Locomotive ID","value":"4022"},{"id":130,"name":"Impact","value":""},{"id":150,"name":"Time of Event (Mountain Time)","value":"18:54:20"},{"id":151,"name":"Denver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ref="AM197" si="94">"start /low /b "&amp;dls3logs&amp;" --loco "&amp;B197&amp;" --day "&amp;TEXT(F197,"YYYY-MM-DD")</f>
        <v>start /low /b %USERPROFILE%\Documents\GitHub\eaglep3\Utilities\DownloadLogsFromS3.py --loco 4022 --day 2018-01-09</v>
      </c>
      <c r="AN197" s="241" t="str">
        <f t="shared" ref="AN197" si="95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ref="AO197" si="96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-09T17:25:25-0700',mode:absolute,to:'2018-01-09T19:54:20-0700'))&amp;_a=(columns:!('Message%20ID',Summary),filters:!(),index:'emp_*',interval:auto,query:(query_string:(analyze_wildcard:!t,query:'%22rtdc.l.rtdc.4022%22')),sort:!(Time.ISO8601,asc))</v>
      </c>
    </row>
    <row r="198" spans="1:91" s="20" customFormat="1" x14ac:dyDescent="0.3">
      <c r="A198" s="229" t="s">
        <v>725</v>
      </c>
      <c r="B198" s="225">
        <v>4039</v>
      </c>
      <c r="C198" s="227" t="s">
        <v>191</v>
      </c>
      <c r="D198" s="227" t="s">
        <v>691</v>
      </c>
      <c r="E198" s="226">
        <v>43109.81009259259</v>
      </c>
      <c r="F198" s="226">
        <v>43109.821134259262</v>
      </c>
      <c r="G198" s="225">
        <v>55</v>
      </c>
      <c r="H198" s="227" t="s">
        <v>1055</v>
      </c>
      <c r="I198" s="226">
        <v>43109.828923611109</v>
      </c>
      <c r="J198" s="225">
        <v>0</v>
      </c>
      <c r="K198" s="237" t="str">
        <f>IF(ISEVEN(B198),(B198-1)&amp;"/"&amp;B198,B198&amp;"/"&amp;(B198+1))</f>
        <v>4039/4040</v>
      </c>
      <c r="L198" s="245" t="str">
        <f>VLOOKUP(A198,'Trips&amp;Operators'!$C$1:$G$99911,5,FALSE)</f>
        <v>GUZMAN DANNY</v>
      </c>
      <c r="M198" s="224">
        <f>I198-F198</f>
        <v>7.7893518464406952E-3</v>
      </c>
      <c r="N198" s="225">
        <f>24*60*SUM($M198:$M198)</f>
        <v>11.216666658874601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-09T18:26:32-0700',mode:absolute,to:'2018-01-09T20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247" t="str">
        <f>IF(AA198&lt;VLOOKUP(AG198,Variables!$AC$3:$AD$8,2,FALSE),"Y","N")</f>
        <v>Y</v>
      </c>
      <c r="X198" s="247">
        <f t="shared" ref="X198:X199" si="97">VALUE(LEFT(AD198,4))-VALUE(LEFT(AD197,4))</f>
        <v>1</v>
      </c>
      <c r="Y198" s="247">
        <f>RIGHT(D198,LEN(D198)-4)/10000</f>
        <v>5.8624000000000001</v>
      </c>
      <c r="Z198" s="247">
        <f>RIGHT(H198,LEN(H198)-4)/10000</f>
        <v>0.45519999999999999</v>
      </c>
      <c r="AA198" s="247">
        <f>ABS(Z198-Y198)</f>
        <v>5.4072000000000005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840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/stypes="app*4039*20180110*" /stext=" 02:.+((SYSTEM_STATE.+slice.+state.+changed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60"/>
        <v>"%USERPROFILE%\Documents\GitHub\eaglep3\Utilities\RefineRTDCRunTimes.py" --tripid 840-09 --locoid 4039 --swversion DE.1.0.9.0 --startMP 300:58624 --initTime 2018-01-09T19:26:32 --startdatetime 2018-01-09T19:42:26 --delay 55 --endMP 204:4552 --enddatetime 2018-01-09T19:53:39 --enforcementcount 0 &gt;&gt;%USERPROFILE%\Documents\GitHub\eaglep3-reporting\EC\2018-01-09-refined-times.txt</v>
      </c>
      <c r="AI198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{"issue":{"subject":"","project_id":79,"tracker_id":40,"status_id":1,"priority_id":2,"assigned_to_id":338,"start_date":"2018-01-09","description":"","custom_fields":[{"id":1,"name":"Subdivision","value":"NW"},{"id":4,"name":"Milepost","value":"0.4552"},{"id":17,"name":"Train ID","value":"840-09"},{"id":16,"name":"Locomotive ID","value":"4039"},{"id":130,"name":"Impact","value":""},{"id":150,"name":"Time of Event (Mountain Time)","value":"19:53:39"},{"id":151,"name":"Denver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62"/>
        <v>start /low /b %USERPROFILE%\Documents\GitHub\eaglep3\Utilities\DownloadLogsFromS3.py --loco 4039 --day 2018-01-09</v>
      </c>
      <c r="AN198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64"/>
        <v>https://d0f6bd738d7f1b3e5a7ca70fe4ff75f0.us-east-1.aws.found.io/app/kibana#/discover/Steve-Slow-Train-Analysis-(2080s-and-2083s)?_g=(refreshInterval:(display:Off,pause:!f,section:0,value:0),time:(from:'2018-01-09T18:26:32-0700',mode:absolute,to:'2018-01-09T20:53:39-0700'))&amp;_a=(columns:!('Message%20ID',Summary),filters:!(),index:'emp_*',interval:auto,query:(query_string:(analyze_wildcard:!t,query:'%22rtdc.l.rtdc.4039%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723</v>
      </c>
      <c r="B199" s="225">
        <v>4040</v>
      </c>
      <c r="C199" s="227" t="s">
        <v>191</v>
      </c>
      <c r="D199" s="227" t="s">
        <v>597</v>
      </c>
      <c r="E199" s="226">
        <v>43109.79519675926</v>
      </c>
      <c r="F199" s="226">
        <v>43109.798090277778</v>
      </c>
      <c r="G199" s="225">
        <v>76</v>
      </c>
      <c r="H199" s="227" t="s">
        <v>689</v>
      </c>
      <c r="I199" s="226">
        <v>43109.80878472222</v>
      </c>
      <c r="J199" s="225">
        <v>0</v>
      </c>
      <c r="K199" s="237" t="str">
        <f>IF(ISEVEN(B199),(B199-1)&amp;"/"&amp;B199,B199&amp;"/"&amp;(B199+1))</f>
        <v>4039/4040</v>
      </c>
      <c r="L199" s="245" t="str">
        <f>VLOOKUP(A199,'Trips&amp;Operators'!$C$1:$G$99911,5,FALSE)</f>
        <v>GUZMAN DANNY</v>
      </c>
      <c r="M199" s="224">
        <f>I199-F199</f>
        <v>1.0694444441469386E-2</v>
      </c>
      <c r="N199" s="225">
        <f>24*60*SUM($M199:$M199)</f>
        <v>15.399999995715916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-09T18:05:05-0700',mode:absolute,to:'2018-01-09T20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9" s="247" t="str">
        <f>IF(AA199&lt;VLOOKUP(AG199,Variables!$AC$3:$AD$8,2,FALSE),"Y","N")</f>
        <v>N</v>
      </c>
      <c r="X199" s="247">
        <f t="shared" si="97"/>
        <v>1</v>
      </c>
      <c r="Y199" s="247">
        <f>RIGHT(D199,LEN(D199)-4)/10000</f>
        <v>4.53E-2</v>
      </c>
      <c r="Z199" s="247">
        <f>RIGHT(H199,LEN(H199)-4)/10000</f>
        <v>5.8936999999999999</v>
      </c>
      <c r="AA199" s="247">
        <f>ABS(Z199-Y199)</f>
        <v>5.8483999999999998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841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/stypes="app*4040*20180110*"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60"/>
        <v>"%USERPROFILE%\Documents\GitHub\eaglep3\Utilities\RefineRTDCRunTimes.py" --tripid 841-09 --locoid 4040 --swversion DE.1.0.9.0 --startMP 204:453 --initTime 2018-01-09T19:05:05 --startdatetime 2018-01-09T19:09:15 --delay 76 --endMP 300:58937 --enddatetime 2018-01-09T19:24:39 --enforcementcount 0 &gt;&gt;%USERPROFILE%\Documents\GitHub\eaglep3-reporting\EC\2018-01-09-refined-times.txt</v>
      </c>
      <c r="AI199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{"issue":{"subject":"","project_id":79,"tracker_id":40,"status_id":1,"priority_id":2,"assigned_to_id":338,"start_date":"2018-01-09","description":"","custom_fields":[{"id":1,"name":"Subdivision","value":"NW"},{"id":4,"name":"Milepost","value":"5.8937"},{"id":17,"name":"Train ID","value":"841-09"},{"id":16,"name":"Locomotive ID","value":"4040"},{"id":130,"name":"Impact","value":""},{"id":150,"name":"Time of Event (Mountain Time)","value":"19:24:39"},{"id":151,"name":"Denver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62"/>
        <v>start /low /b %USERPROFILE%\Documents\GitHub\eaglep3\Utilities\DownloadLogsFromS3.py --loco 4040 --day 2018-01-09</v>
      </c>
      <c r="AN199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64"/>
        <v>https://d0f6bd738d7f1b3e5a7ca70fe4ff75f0.us-east-1.aws.found.io/app/kibana#/discover/Steve-Slow-Train-Analysis-(2080s-and-2083s)?_g=(refreshInterval:(display:Off,pause:!f,section:0,value:0),time:(from:'2018-01-09T18:05:05-0700',mode:absolute,to:'2018-01-09T20:24:39-0700'))&amp;_a=(columns:!('Message%20ID',Summary),filters:!(),index:'emp_*',interval:auto,query:(query_string:(analyze_wildcard:!t,query:'%22rtdc.l.rtdc.4040%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915</v>
      </c>
      <c r="B200" s="225">
        <v>4039</v>
      </c>
      <c r="C200" s="227" t="s">
        <v>191</v>
      </c>
      <c r="D200" s="227" t="s">
        <v>686</v>
      </c>
      <c r="E200" s="226">
        <v>43109.850486111114</v>
      </c>
      <c r="F200" s="226">
        <v>43109.86204861111</v>
      </c>
      <c r="G200" s="225">
        <v>52</v>
      </c>
      <c r="H200" s="227" t="s">
        <v>699</v>
      </c>
      <c r="I200" s="226">
        <v>43109.871400462966</v>
      </c>
      <c r="J200" s="225">
        <v>0</v>
      </c>
      <c r="K200" s="237" t="str">
        <f>IF(ISEVEN(B200),(B200-1)&amp;"/"&amp;B200,B200&amp;"/"&amp;(B200+1))</f>
        <v>4039/4040</v>
      </c>
      <c r="L200" s="245" t="str">
        <f>VLOOKUP(A200,'Trips&amp;Operators'!$C$1:$G$99911,5,FALSE)</f>
        <v>GUZMAN DANNY</v>
      </c>
      <c r="M200" s="224">
        <f>I200-F200</f>
        <v>9.3518518551718444E-3</v>
      </c>
      <c r="N200" s="225">
        <f>24*60*SUM($M200:$M200)</f>
        <v>13.466666671447456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-09T19:24:42-0700',mode:absolute,to:'2018-01-09T21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5.8620999999999999</v>
      </c>
      <c r="Z200" s="247">
        <f>RIGHT(H200,LEN(H200)-4)/10000</f>
        <v>1.4E-2</v>
      </c>
      <c r="AA200" s="247">
        <f>ABS(Z200-Y200)</f>
        <v>5.8480999999999996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842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/stypes="app*4039*20180110*" /stext=" 03:.+((SYSTEM_STATE.+slice.+state.+changed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60"/>
        <v>"%USERPROFILE%\Documents\GitHub\eaglep3\Utilities\RefineRTDCRunTimes.py" --tripid 842-09 --locoid 4039 --swversion DE.1.0.9.0 --startMP 300:58621 --initTime 2018-01-09T20:24:42 --startdatetime 2018-01-09T20:41:21 --delay 52 --endMP 204:140 --enddatetime 2018-01-09T20:54:49 --enforcementcount 0 &gt;&gt;%USERPROFILE%\Documents\GitHub\eaglep3-reporting\EC\2018-01-09-refined-times.txt</v>
      </c>
      <c r="AI200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{"issue":{"subject":"","project_id":79,"tracker_id":40,"status_id":1,"priority_id":2,"assigned_to_id":338,"start_date":"2018-01-09","description":"","custom_fields":[{"id":1,"name":"Subdivision","value":"NW"},{"id":4,"name":"Milepost","value":"0.014"},{"id":17,"name":"Train ID","value":"842-09"},{"id":16,"name":"Locomotive ID","value":"4039"},{"id":130,"name":"Impact","value":""},{"id":150,"name":"Time of Event (Mountain Time)","value":"20:54:49"},{"id":151,"name":"Denver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62"/>
        <v>start /low /b %USERPROFILE%\Documents\GitHub\eaglep3\Utilities\DownloadLogsFromS3.py --loco 4039 --day 2018-01-09</v>
      </c>
      <c r="AN200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03:54:49"},{"id":29,"name":"Sharepoint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64"/>
        <v>https://d0f6bd738d7f1b3e5a7ca70fe4ff75f0.us-east-1.aws.found.io/app/kibana#/discover/Steve-Slow-Train-Analysis-(2080s-and-2083s)?_g=(refreshInterval:(display:Off,pause:!f,section:0,value:0),time:(from:'2018-01-09T19:24:42-0700',mode:absolute,to:'2018-01-09T21:54:49-0700'))&amp;_a=(columns:!('Message%20ID',Summary),filters:!(),index:'emp_*',interval:auto,query:(query_string:(analyze_wildcard:!t,query:'%22rtdc.l.rtdc.4039%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912</v>
      </c>
      <c r="B201" s="225">
        <v>4040</v>
      </c>
      <c r="C201" s="227" t="s">
        <v>191</v>
      </c>
      <c r="D201" s="227" t="s">
        <v>1056</v>
      </c>
      <c r="E201" s="226">
        <v>43109.83625</v>
      </c>
      <c r="F201" s="226">
        <v>43109.839745370373</v>
      </c>
      <c r="G201" s="225">
        <v>55</v>
      </c>
      <c r="H201" s="227" t="s">
        <v>1052</v>
      </c>
      <c r="I201" s="226">
        <v>43109.849328703705</v>
      </c>
      <c r="J201" s="225">
        <v>0</v>
      </c>
      <c r="K201" s="237" t="str">
        <f>IF(ISEVEN(B201),(B201-1)&amp;"/"&amp;B201,B201&amp;"/"&amp;(B201+1))</f>
        <v>4039/4040</v>
      </c>
      <c r="L201" s="245" t="str">
        <f>VLOOKUP(A201,'Trips&amp;Operators'!$C$1:$G$99911,5,FALSE)</f>
        <v>GUZMAN DANNY</v>
      </c>
      <c r="M201" s="224">
        <f>I201-F201</f>
        <v>9.5833333325572312E-3</v>
      </c>
      <c r="N201" s="225">
        <f>24*60*SUM($M201:$M201)</f>
        <v>13.799999998882413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-09T19:04:12-0700',mode:absolute,to:'2018-01-09T21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4.0599999999999997E-2</v>
      </c>
      <c r="Z201" s="247">
        <f>RIGHT(H201,LEN(H201)-4)/10000</f>
        <v>5.8939000000000004</v>
      </c>
      <c r="AA201" s="247">
        <f>ABS(Z201-Y201)</f>
        <v>5.8532999999999999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843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/stypes="app*4040*20180110*" /stext=" 03:.+((SYSTEM_STATE.+slice.+state.+changed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60"/>
        <v>"%USERPROFILE%\Documents\GitHub\eaglep3\Utilities\RefineRTDCRunTimes.py" --tripid 843-09 --locoid 4040 --swversion DE.1.0.9.0 --startMP 204:406 --initTime 2018-01-09T20:04:12 --startdatetime 2018-01-09T20:09:14 --delay 55 --endMP 300:58939 --enddatetime 2018-01-09T20:23:02 --enforcementcount 0 &gt;&gt;%USERPROFILE%\Documents\GitHub\eaglep3-reporting\EC\2018-01-09-refined-times.txt</v>
      </c>
      <c r="AI201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{"issue":{"subject":"","project_id":79,"tracker_id":40,"status_id":1,"priority_id":2,"assigned_to_id":338,"start_date":"2018-01-09","description":"","custom_fields":[{"id":1,"name":"Subdivision","value":"NW"},{"id":4,"name":"Milepost","value":"5.8939"},{"id":17,"name":"Train ID","value":"843-09"},{"id":16,"name":"Locomotive ID","value":"4040"},{"id":130,"name":"Impact","value":""},{"id":150,"name":"Time of Event (Mountain Time)","value":"20:23:02"},{"id":151,"name":"Denver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62"/>
        <v>start /low /b %USERPROFILE%\Documents\GitHub\eaglep3\Utilities\DownloadLogsFromS3.py --loco 4040 --day 2018-01-09</v>
      </c>
      <c r="AN201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03:23:02"},{"id":29,"name":"Sharepoint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64"/>
        <v>https://d0f6bd738d7f1b3e5a7ca70fe4ff75f0.us-east-1.aws.found.io/app/kibana#/discover/Steve-Slow-Train-Analysis-(2080s-and-2083s)?_g=(refreshInterval:(display:Off,pause:!f,section:0,value:0),time:(from:'2018-01-09T19:04:12-0700',mode:absolute,to:'2018-01-09T21:23:02-0700'))&amp;_a=(columns:!('Message%20ID',Summary),filters:!(),index:'emp_*',interval:auto,query:(query_string:(analyze_wildcard:!t,query:'%22rtdc.l.rtdc.4040%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920</v>
      </c>
      <c r="B202" s="225">
        <v>4039</v>
      </c>
      <c r="C202" s="227" t="s">
        <v>191</v>
      </c>
      <c r="D202" s="227" t="s">
        <v>1057</v>
      </c>
      <c r="E202" s="226">
        <v>43109.891747685186</v>
      </c>
      <c r="F202" s="226">
        <v>43109.904942129629</v>
      </c>
      <c r="G202" s="225">
        <v>58</v>
      </c>
      <c r="H202" s="227" t="s">
        <v>678</v>
      </c>
      <c r="I202" s="226">
        <v>43109.912557870368</v>
      </c>
      <c r="J202" s="225">
        <v>0</v>
      </c>
      <c r="K202" s="237" t="str">
        <f>IF(ISEVEN(B202),(B202-1)&amp;"/"&amp;B202,B202&amp;"/"&amp;(B202+1))</f>
        <v>4039/4040</v>
      </c>
      <c r="L202" s="245" t="str">
        <f>VLOOKUP(A202,'Trips&amp;Operators'!$C$1:$G$99911,5,FALSE)</f>
        <v>STAMBAUGH JAMES</v>
      </c>
      <c r="M202" s="224">
        <f>I202-F202</f>
        <v>7.6157407384016551E-3</v>
      </c>
      <c r="N202" s="225">
        <f>24*60*SUM($M202:$M202)</f>
        <v>10.966666663298383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-09T20:24:07-0700',mode:absolute,to:'2018-01-09T22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5.8634000000000004</v>
      </c>
      <c r="Z202" s="247">
        <f>RIGHT(H202,LEN(H202)-4)/10000</f>
        <v>1.5100000000000001E-2</v>
      </c>
      <c r="AA202" s="247">
        <f>ABS(Z202-Y202)</f>
        <v>5.8483000000000001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844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/stypes="app*4039*20180110*" /stext=" 04:.+((SYSTEM_STATE.+slice.+state.+changed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60"/>
        <v>"%USERPROFILE%\Documents\GitHub\eaglep3\Utilities\RefineRTDCRunTimes.py" --tripid 844-09 --locoid 4039 --swversion DE.1.0.9.0 --startMP 300:58634 --initTime 2018-01-09T21:24:07 --startdatetime 2018-01-09T21:43:07 --delay 58 --endMP 204:151 --enddatetime 2018-01-09T21:54:05 --enforcementcount 0 &gt;&gt;%USERPROFILE%\Documents\GitHub\eaglep3-reporting\EC\2018-01-09-refined-times.txt</v>
      </c>
      <c r="AI202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{"issue":{"subject":"","project_id":79,"tracker_id":40,"status_id":1,"priority_id":2,"assigned_to_id":338,"start_date":"2018-01-09","description":"","custom_fields":[{"id":1,"name":"Subdivision","value":"NW"},{"id":4,"name":"Milepost","value":"0.0151"},{"id":17,"name":"Train ID","value":"844-09"},{"id":16,"name":"Locomotive ID","value":"4039"},{"id":130,"name":"Impact","value":""},{"id":150,"name":"Time of Event (Mountain Time)","value":"21:54:05"},{"id":151,"name":"Denver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62"/>
        <v>start /low /b %USERPROFILE%\Documents\GitHub\eaglep3\Utilities\DownloadLogsFromS3.py --loco 4039 --day 2018-01-09</v>
      </c>
      <c r="AN202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04:54:05"},{"id":29,"name":"Sharepoint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64"/>
        <v>https://d0f6bd738d7f1b3e5a7ca70fe4ff75f0.us-east-1.aws.found.io/app/kibana#/discover/Steve-Slow-Train-Analysis-(2080s-and-2083s)?_g=(refreshInterval:(display:Off,pause:!f,section:0,value:0),time:(from:'2018-01-09T20:24:07-0700',mode:absolute,to:'2018-01-09T22:54:05-0700'))&amp;_a=(columns:!('Message%20ID',Summary),filters:!(),index:'emp_*',interval:auto,query:(query_string:(analyze_wildcard:!t,query:'%22rtdc.l.rtdc.4039%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918</v>
      </c>
      <c r="B203" s="225">
        <v>4040</v>
      </c>
      <c r="C203" s="227" t="s">
        <v>191</v>
      </c>
      <c r="D203" s="227" t="s">
        <v>970</v>
      </c>
      <c r="E203" s="226">
        <v>43109.873888888891</v>
      </c>
      <c r="F203" s="226">
        <v>43109.881458333337</v>
      </c>
      <c r="G203" s="225">
        <v>64</v>
      </c>
      <c r="H203" s="227" t="s">
        <v>1058</v>
      </c>
      <c r="I203" s="226">
        <v>43109.890717592592</v>
      </c>
      <c r="J203" s="225">
        <v>0</v>
      </c>
      <c r="K203" s="237" t="str">
        <f>IF(ISEVEN(B203),(B203-1)&amp;"/"&amp;B203,B203&amp;"/"&amp;(B203+1))</f>
        <v>4039/4040</v>
      </c>
      <c r="L203" s="245" t="str">
        <f>VLOOKUP(A203,'Trips&amp;Operators'!$C$1:$G$99911,5,FALSE)</f>
        <v>STAMBAUGH JAMES</v>
      </c>
      <c r="M203" s="224">
        <f>I203-F203</f>
        <v>9.2592592554865405E-3</v>
      </c>
      <c r="N203" s="225">
        <f>24*60*SUM($M203:$M203)</f>
        <v>13.333333327900618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-09T19:58:24-0700',mode:absolute,to:'2018-01-09T22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4.3499999999999997E-2</v>
      </c>
      <c r="Z203" s="247">
        <f>RIGHT(H203,LEN(H203)-4)/10000</f>
        <v>5.8945999999999996</v>
      </c>
      <c r="AA203" s="247">
        <f>ABS(Z203-Y203)</f>
        <v>5.8510999999999997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845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/stypes="app*4040*20180110*" /stext=" 04:.+((SYSTEM_STATE.+slice.+state.+changed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60"/>
        <v>"%USERPROFILE%\Documents\GitHub\eaglep3\Utilities\RefineRTDCRunTimes.py" --tripid 845-09 --locoid 4040 --swversion DE.1.0.9.0 --startMP 204:435 --initTime 2018-01-09T20:58:24 --startdatetime 2018-01-09T21:09:18 --delay 64 --endMP 300:58946 --enddatetime 2018-01-09T21:22:38 --enforcementcount 0 &gt;&gt;%USERPROFILE%\Documents\GitHub\eaglep3-reporting\EC\2018-01-09-refined-times.txt</v>
      </c>
      <c r="AI203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{"issue":{"subject":"","project_id":79,"tracker_id":40,"status_id":1,"priority_id":2,"assigned_to_id":338,"start_date":"2018-01-09","description":"","custom_fields":[{"id":1,"name":"Subdivision","value":"NW"},{"id":4,"name":"Milepost","value":"5.8946"},{"id":17,"name":"Train ID","value":"845-09"},{"id":16,"name":"Locomotive ID","value":"4040"},{"id":130,"name":"Impact","value":""},{"id":150,"name":"Time of Event (Mountain Time)","value":"21:22:38"},{"id":151,"name":"Denver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62"/>
        <v>start /low /b %USERPROFILE%\Documents\GitHub\eaglep3\Utilities\DownloadLogsFromS3.py --loco 4040 --day 2018-01-09</v>
      </c>
      <c r="AN203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04:22:38"},{"id":29,"name":"Sharepoint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64"/>
        <v>https://d0f6bd738d7f1b3e5a7ca70fe4ff75f0.us-east-1.aws.found.io/app/kibana#/discover/Steve-Slow-Train-Analysis-(2080s-and-2083s)?_g=(refreshInterval:(display:Off,pause:!f,section:0,value:0),time:(from:'2018-01-09T19:58:24-0700',mode:absolute,to:'2018-01-09T22:22:38-0700'))&amp;_a=(columns:!('Message%20ID',Summary),filters:!(),index:'emp_*',interval:auto,query:(query_string:(analyze_wildcard:!t,query:'%22rtdc.l.rtdc.4040%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926</v>
      </c>
      <c r="B204" s="225">
        <v>4039</v>
      </c>
      <c r="C204" s="227" t="s">
        <v>191</v>
      </c>
      <c r="D204" s="227" t="s">
        <v>693</v>
      </c>
      <c r="E204" s="226">
        <v>43109.933923611112</v>
      </c>
      <c r="F204" s="226">
        <v>43109.946712962963</v>
      </c>
      <c r="G204" s="225">
        <v>68</v>
      </c>
      <c r="H204" s="227" t="s">
        <v>677</v>
      </c>
      <c r="I204" s="226">
        <v>43109.954212962963</v>
      </c>
      <c r="J204" s="225">
        <v>0</v>
      </c>
      <c r="K204" s="237" t="str">
        <f>IF(ISEVEN(B204),(B204-1)&amp;"/"&amp;B204,B204&amp;"/"&amp;(B204+1))</f>
        <v>4039/4040</v>
      </c>
      <c r="L204" s="245" t="str">
        <f>VLOOKUP(A204,'Trips&amp;Operators'!$C$1:$G$99911,5,FALSE)</f>
        <v>STAMBAUGH JAMES</v>
      </c>
      <c r="M204" s="224">
        <f>I204-F204</f>
        <v>7.4999999997089617E-3</v>
      </c>
      <c r="N204" s="225">
        <f>24*60*SUM($M204:$M204)</f>
        <v>10.799999999580905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-09T21:24:51-0700',mode:absolute,to:'2018-01-09T23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5.8630000000000004</v>
      </c>
      <c r="Z204" s="247">
        <f>RIGHT(H204,LEN(H204)-4)/10000</f>
        <v>1.46E-2</v>
      </c>
      <c r="AA204" s="247">
        <f>ABS(Z204-Y204)</f>
        <v>5.8484000000000007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846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/stypes="app*4039*20180110*" /stext=" 05:.+((SYSTEM_STATE.+slice.+state.+changed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60"/>
        <v>"%USERPROFILE%\Documents\GitHub\eaglep3\Utilities\RefineRTDCRunTimes.py" --tripid 846-09 --locoid 4039 --swversion DE.1.0.9.0 --startMP 300:58630 --initTime 2018-01-09T22:24:51 --startdatetime 2018-01-09T22:43:16 --delay 68 --endMP 204:146 --enddatetime 2018-01-09T22:54:04 --enforcementcount 0 &gt;&gt;%USERPROFILE%\Documents\GitHub\eaglep3-reporting\EC\2018-01-09-refined-times.txt</v>
      </c>
      <c r="AI204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{"issue":{"subject":"","project_id":79,"tracker_id":40,"status_id":1,"priority_id":2,"assigned_to_id":338,"start_date":"2018-01-09","description":"","custom_fields":[{"id":1,"name":"Subdivision","value":"NW"},{"id":4,"name":"Milepost","value":"0.0146"},{"id":17,"name":"Train ID","value":"846-09"},{"id":16,"name":"Locomotive ID","value":"4039"},{"id":130,"name":"Impact","value":""},{"id":150,"name":"Time of Event (Mountain Time)","value":"22:54:04"},{"id":151,"name":"Denver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62"/>
        <v>start /low /b %USERPROFILE%\Documents\GitHub\eaglep3\Utilities\DownloadLogsFromS3.py --loco 4039 --day 2018-01-09</v>
      </c>
      <c r="AN204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64"/>
        <v>https://d0f6bd738d7f1b3e5a7ca70fe4ff75f0.us-east-1.aws.found.io/app/kibana#/discover/Steve-Slow-Train-Analysis-(2080s-and-2083s)?_g=(refreshInterval:(display:Off,pause:!f,section:0,value:0),time:(from:'2018-01-09T21:24:51-0700',mode:absolute,to:'2018-01-09T23:54:04-0700'))&amp;_a=(columns:!('Message%20ID',Summary),filters:!(),index:'emp_*',interval:auto,query:(query_string:(analyze_wildcard:!t,query:'%22rtdc.l.rtdc.4039%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924</v>
      </c>
      <c r="B205" s="225">
        <v>4040</v>
      </c>
      <c r="C205" s="227" t="s">
        <v>191</v>
      </c>
      <c r="D205" s="227" t="s">
        <v>685</v>
      </c>
      <c r="E205" s="226">
        <v>43109.917361111111</v>
      </c>
      <c r="F205" s="226">
        <v>43109.923414351855</v>
      </c>
      <c r="G205" s="225">
        <v>57</v>
      </c>
      <c r="H205" s="227" t="s">
        <v>1052</v>
      </c>
      <c r="I205" s="226">
        <v>43109.932754629626</v>
      </c>
      <c r="J205" s="225">
        <v>0</v>
      </c>
      <c r="K205" s="237" t="str">
        <f>IF(ISEVEN(B205),(B205-1)&amp;"/"&amp;B205,B205&amp;"/"&amp;(B205+1))</f>
        <v>4039/4040</v>
      </c>
      <c r="L205" s="245" t="str">
        <f>VLOOKUP(A205,'Trips&amp;Operators'!$C$1:$G$99911,5,FALSE)</f>
        <v>STAMBAUGH JAMES</v>
      </c>
      <c r="M205" s="224">
        <f>I205-F205</f>
        <v>9.3402777711162344E-3</v>
      </c>
      <c r="N205" s="225">
        <f>24*60*SUM($M205:$M205)</f>
        <v>13.449999990407377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-09T21:01:00-0700',mode:absolute,to:'2018-01-09T23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47" t="str">
        <f>IF(AA205&lt;VLOOKUP(AG205,Variables!$AC$3:$AD$8,2,FALSE),"Y","N")</f>
        <v>N</v>
      </c>
      <c r="X205" s="247">
        <f>VALUE(LEFT(AD205,4))-VALUE(LEFT(AD204,4))</f>
        <v>1</v>
      </c>
      <c r="Y205" s="247">
        <f>RIGHT(D205,LEN(D205)-4)/10000</f>
        <v>4.48E-2</v>
      </c>
      <c r="Z205" s="247">
        <f>RIGHT(H205,LEN(H205)-4)/10000</f>
        <v>5.8939000000000004</v>
      </c>
      <c r="AA205" s="247">
        <f>ABS(Z205-Y205)</f>
        <v>5.8491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847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/stypes="app*4040*20180110*" /stext=" 05:.+((SYSTEM_STATE.+slice.+state.+changed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60"/>
        <v>"%USERPROFILE%\Documents\GitHub\eaglep3\Utilities\RefineRTDCRunTimes.py" --tripid 847-09 --locoid 4040 --swversion DE.1.0.9.0 --startMP 204:448 --initTime 2018-01-09T22:01:00 --startdatetime 2018-01-09T22:09:43 --delay 57 --endMP 300:58939 --enddatetime 2018-01-09T22:23:10 --enforcementcount 0 &gt;&gt;%USERPROFILE%\Documents\GitHub\eaglep3-reporting\EC\2018-01-09-refined-times.txt</v>
      </c>
      <c r="AI205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{"issue":{"subject":"","project_id":79,"tracker_id":40,"status_id":1,"priority_id":2,"assigned_to_id":338,"start_date":"2018-01-09","description":"","custom_fields":[{"id":1,"name":"Subdivision","value":"NW"},{"id":4,"name":"Milepost","value":"5.8939"},{"id":17,"name":"Train ID","value":"847-09"},{"id":16,"name":"Locomotive ID","value":"4040"},{"id":130,"name":"Impact","value":""},{"id":150,"name":"Time of Event (Mountain Time)","value":"22:23:10"},{"id":151,"name":"Denver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62"/>
        <v>start /low /b %USERPROFILE%\Documents\GitHub\eaglep3\Utilities\DownloadLogsFromS3.py --loco 4040 --day 2018-01-09</v>
      </c>
      <c r="AN205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05:23:10"},{"id":29,"name":"Sharepoint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64"/>
        <v>https://d0f6bd738d7f1b3e5a7ca70fe4ff75f0.us-east-1.aws.found.io/app/kibana#/discover/Steve-Slow-Train-Analysis-(2080s-and-2083s)?_g=(refreshInterval:(display:Off,pause:!f,section:0,value:0),time:(from:'2018-01-09T21:01:00-0700',mode:absolute,to:'2018-01-09T23:23:10-0700'))&amp;_a=(columns:!('Message%20ID',Summary),filters:!(),index:'emp_*',interval:auto,query:(query_string:(analyze_wildcard:!t,query:'%22rtdc.l.rtdc.4040%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928</v>
      </c>
      <c r="B206" s="225">
        <v>4040</v>
      </c>
      <c r="C206" s="227" t="s">
        <v>191</v>
      </c>
      <c r="D206" s="227" t="s">
        <v>675</v>
      </c>
      <c r="E206" s="226">
        <v>43109.955208333333</v>
      </c>
      <c r="F206" s="226">
        <v>43109.964907407404</v>
      </c>
      <c r="G206" s="225">
        <v>48</v>
      </c>
      <c r="H206" s="227" t="s">
        <v>690</v>
      </c>
      <c r="I206" s="226">
        <v>43109.973761574074</v>
      </c>
      <c r="J206" s="225">
        <v>0</v>
      </c>
      <c r="K206" s="237" t="str">
        <f>IF(ISEVEN(B206),(B206-1)&amp;"/"&amp;B206,B206&amp;"/"&amp;(B206+1))</f>
        <v>4039/4040</v>
      </c>
      <c r="L206" s="245" t="str">
        <f>VLOOKUP(A206,'Trips&amp;Operators'!$C$1:$G$99911,5,FALSE)</f>
        <v>STAMBAUGH JAMES</v>
      </c>
      <c r="M206" s="224">
        <f>I206-F206</f>
        <v>8.8541666700621136E-3</v>
      </c>
      <c r="N206" s="225">
        <f>24*60*SUM($M206:$M206)</f>
        <v>12.750000004889444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-09T21:55:30-0700',mode:absolute,to:'2018-01-10T00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2</v>
      </c>
      <c r="Y206" s="247">
        <f>RIGHT(D206,LEN(D206)-4)/10000</f>
        <v>4.4600000000000001E-2</v>
      </c>
      <c r="Z206" s="247">
        <f>RIGHT(H206,LEN(H206)-4)/10000</f>
        <v>5.8940999999999999</v>
      </c>
      <c r="AA206" s="247">
        <f>ABS(Z206-Y206)</f>
        <v>5.8494999999999999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849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/stypes="app*4040*20180110*" /stext=" 06:.+((SYSTEM_STATE.+slice.+state.+changed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60"/>
        <v>"%USERPROFILE%\Documents\GitHub\eaglep3\Utilities\RefineRTDCRunTimes.py" --tripid 849-09 --locoid 4040 --swversion DE.1.0.9.0 --startMP 204:446 --initTime 2018-01-09T22:55:30 --startdatetime 2018-01-09T23:09:28 --delay 48 --endMP 300:58941 --enddatetime 2018-01-09T23:22:13 --enforcementcount 0 &gt;&gt;%USERPROFILE%\Documents\GitHub\eaglep3-reporting\EC\2018-01-09-refined-times.txt</v>
      </c>
      <c r="AI206" s="238" t="str">
        <f t="shared" si="61"/>
        <v>echo {"issue":{"subject":"","project_id":79,"tracker_id":40,"status_id":1,"priority_id":2,"assigned_to_id":338,"start_date":"2018-01-09","description":"","custom_fields":[{"id":1,"name":"Subdivision","value":"NW"},{"id":4,"name":"Milepost","value":"5.8941"},{"id":17,"name":"Train ID","value":"849-09"},{"id":16,"name":"Locomotive ID","value":"4040"},{"id":130,"name":"Impact","value":""},{"id":150,"name":"Time of Event (Mountain Time)","value":"23:22:13"},{"id":151,"name":"Denver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62"/>
        <v>start /low /b %USERPROFILE%\Documents\GitHub\eaglep3\Utilities\DownloadLogsFromS3.py --loco 4040 --day 2018-01-09</v>
      </c>
      <c r="AN206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06:22:13"},{"id":29,"name":"Sharepoint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64"/>
        <v>https://d0f6bd738d7f1b3e5a7ca70fe4ff75f0.us-east-1.aws.found.io/app/kibana#/discover/Steve-Slow-Train-Analysis-(2080s-and-2083s)?_g=(refreshInterval:(display:Off,pause:!f,section:0,value:0),time:(from:'2018-01-09T21:55:30-0700',mode:absolute,to:'2018-01-10T00:22:13-0700'))&amp;_a=(columns:!('Message%20ID',Summary),filters:!(),index:'emp_*',interval:auto,query:(query_string:(analyze_wildcard:!t,query:'%22rtdc.l.rtdc.4040%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903</v>
      </c>
      <c r="B207" s="225">
        <v>4020</v>
      </c>
      <c r="C207" s="227" t="s">
        <v>191</v>
      </c>
      <c r="D207" s="227" t="s">
        <v>604</v>
      </c>
      <c r="E207" s="226">
        <v>43109.779907407406</v>
      </c>
      <c r="F207" s="226">
        <v>43109.781122685185</v>
      </c>
      <c r="G207" s="225">
        <v>60</v>
      </c>
      <c r="H207" s="227" t="s">
        <v>614</v>
      </c>
      <c r="I207" s="226">
        <v>43109.787152777775</v>
      </c>
      <c r="J207" s="225">
        <v>0</v>
      </c>
      <c r="K207" s="237" t="str">
        <f>IF(ISEVEN(B207),(B207-1)&amp;"/"&amp;B207,B207&amp;"/"&amp;(B207+1))</f>
        <v>4019/4020</v>
      </c>
      <c r="L207" s="245" t="str">
        <f>VLOOKUP(A207,'Trips&amp;Operators'!$C$1:$G$99911,5,FALSE)</f>
        <v>LEVIN SCOTT</v>
      </c>
      <c r="M207" s="224">
        <f>I207-F207</f>
        <v>6.0300925906631164E-3</v>
      </c>
      <c r="N207" s="225">
        <f>24*60*SUM($M207:$M207)</f>
        <v>8.6833333305548877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-09T17:43:04-0700',mode:absolute,to:'2018-01-09T19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-548</v>
      </c>
      <c r="Y207" s="247">
        <f>RIGHT(D207,LEN(D207)-4)/10000</f>
        <v>4.6600000000000003E-2</v>
      </c>
      <c r="Z207" s="247">
        <f>RIGHT(H207,LEN(H207)-4)/10000</f>
        <v>2.3306</v>
      </c>
      <c r="AA207" s="247">
        <f>ABS(Z207-Y207)</f>
        <v>2.2839999999999998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301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 &amp; 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/stypes="app*4020*20180110*" /stext=" 01:.+((SYSTEM_STATE.+slice.+state.+changed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60"/>
        <v>"%USERPROFILE%\Documents\GitHub\eaglep3\Utilities\RefineRTDCRunTimes.py" --tripid 301-09 --locoid 4020 --swversion DE.1.0.9.0 --startMP 204:466 --initTime 2018-01-09T18:43:04 --startdatetime 2018-01-09T18:44:49 --delay 60 --endMP 300:23306 --enddatetime 2018-01-09T18:53:30 --enforcementcount 0 &gt;&gt;%USERPROFILE%\Documents\GitHub\eaglep3-reporting\EC\2018-01-09-refined-times.txt</v>
      </c>
      <c r="AI207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{"issue":{"subject":"","project_id":79,"tracker_id":40,"status_id":1,"priority_id":2,"assigned_to_id":338,"start_date":"2018-01-09","description":"","custom_fields":[{"id":1,"name":"Subdivision","value":"Other"},{"id":4,"name":"Milepost","value":"2.3306"},{"id":17,"name":"Train ID","value":"301-09"},{"id":16,"name":"Locomotive ID","value":"4020"},{"id":130,"name":"Impact","value":""},{"id":150,"name":"Time of Event (Mountain Time)","value":"18:53:30"},{"id":151,"name":"Denver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62"/>
        <v>start /low /b %USERPROFILE%\Documents\GitHub\eaglep3\Utilities\DownloadLogsFromS3.py --loco 4020 --day 2018-01-09</v>
      </c>
      <c r="AN207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01:53:30"},{"id":29,"name":"Sharepoint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64"/>
        <v>https://d0f6bd738d7f1b3e5a7ca70fe4ff75f0.us-east-1.aws.found.io/app/kibana#/discover/Steve-Slow-Train-Analysis-(2080s-and-2083s)?_g=(refreshInterval:(display:Off,pause:!f,section:0,value:0),time:(from:'2018-01-09T17:43:04-0700',mode:absolute,to:'2018-01-09T19:53:30-0700'))&amp;_a=(columns:!('Message%20ID',Summary),filters:!(),index:'emp_*',interval:auto,query:(query_string:(analyze_wildcard:!t,query:'%22rtdc.l.rtdc.4020%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908</v>
      </c>
      <c r="B208" s="225">
        <v>4034</v>
      </c>
      <c r="C208" s="227" t="s">
        <v>191</v>
      </c>
      <c r="D208" s="227" t="s">
        <v>949</v>
      </c>
      <c r="E208" s="226">
        <v>43109.800370370373</v>
      </c>
      <c r="F208" s="226">
        <v>43109.801574074074</v>
      </c>
      <c r="G208" s="225">
        <v>57</v>
      </c>
      <c r="H208" s="227" t="s">
        <v>669</v>
      </c>
      <c r="I208" s="226">
        <v>43109.807858796295</v>
      </c>
      <c r="J208" s="225">
        <v>0</v>
      </c>
      <c r="K208" s="237" t="str">
        <f>IF(ISEVEN(B208),(B208-1)&amp;"/"&amp;B208,B208&amp;"/"&amp;(B208+1))</f>
        <v>4033/4034</v>
      </c>
      <c r="L208" s="245" t="str">
        <f>VLOOKUP(A208,'Trips&amp;Operators'!$C$1:$G$99911,5,FALSE)</f>
        <v>MOSES BRADLEY</v>
      </c>
      <c r="M208" s="224">
        <f>I208-F208</f>
        <v>6.284722221607808E-3</v>
      </c>
      <c r="N208" s="225">
        <f>24*60*SUM($M208:$M208)</f>
        <v>9.0499999991152436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-09T18:12:32-0700',mode:absolute,to:'2018-01-09T20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2</v>
      </c>
      <c r="Y208" s="247">
        <f>RIGHT(D208,LEN(D208)-4)/10000</f>
        <v>5.3900000000000003E-2</v>
      </c>
      <c r="Z208" s="247">
        <f>RIGHT(H208,LEN(H208)-4)/10000</f>
        <v>2.3302</v>
      </c>
      <c r="AA208" s="247">
        <f>ABS(Z208-Y208)</f>
        <v>2.2763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303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 &amp; aws s3 cp s3://rtdc.mdm.uploadarchive.raw/RTDC4034/ "%USERPROFILE%\AppData\Local\Temp\OnboardLogs"\RTDC4034\2018-01-10 --exclude "*" --recursive --include "*20180110*" &amp; "%USERPROFILE%\Documents\GitHub\mrs-test-scripts\Headless Mode &amp; Sideloading\WalkAndUnGZ.bat" "%USERPROFILE%\AppData\Local\Temp\OnboardLogs"\RTDC4034\2018-01-10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/stypes="app*4034*20180110*" /stext=" 02:.+((SYSTEM_STATE.+slice.+state.+changed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60"/>
        <v>"%USERPROFILE%\Documents\GitHub\eaglep3\Utilities\RefineRTDCRunTimes.py" --tripid 303-09 --locoid 4034 --swversion DE.1.0.9.0 --startMP 204:539 --initTime 2018-01-09T19:12:32 --startdatetime 2018-01-09T19:14:16 --delay 57 --endMP 300:23302 --enddatetime 2018-01-09T19:23:19 --enforcementcount 0 &gt;&gt;%USERPROFILE%\Documents\GitHub\eaglep3-reporting\EC\2018-01-09-refined-times.txt</v>
      </c>
      <c r="AI208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{"issue":{"subject":"","project_id":79,"tracker_id":40,"status_id":1,"priority_id":2,"assigned_to_id":338,"start_date":"2018-01-09","description":"","custom_fields":[{"id":1,"name":"Subdivision","value":"Other"},{"id":4,"name":"Milepost","value":"2.3302"},{"id":17,"name":"Train ID","value":"303-09"},{"id":16,"name":"Locomotive ID","value":"4034"},{"id":130,"name":"Impact","value":""},{"id":150,"name":"Time of Event (Mountain Time)","value":"19:23:19"},{"id":151,"name":"Denver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62"/>
        <v>start /low /b %USERPROFILE%\Documents\GitHub\eaglep3\Utilities\DownloadLogsFromS3.py --loco 4034 --day 2018-01-09</v>
      </c>
      <c r="AN208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64"/>
        <v>https://d0f6bd738d7f1b3e5a7ca70fe4ff75f0.us-east-1.aws.found.io/app/kibana#/discover/Steve-Slow-Train-Analysis-(2080s-and-2083s)?_g=(refreshInterval:(display:Off,pause:!f,section:0,value:0),time:(from:'2018-01-09T18:12:32-0700',mode:absolute,to:'2018-01-09T20:23:19-0700'))&amp;_a=(columns:!('Message%20ID',Summary),filters:!(),index:'emp_*',interval:auto,query:(query_string:(analyze_wildcard:!t,query:'%22rtdc.l.rtdc.4034%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702</v>
      </c>
      <c r="B209" s="225">
        <v>4055</v>
      </c>
      <c r="C209" s="227" t="s">
        <v>191</v>
      </c>
      <c r="D209" s="227" t="s">
        <v>1001</v>
      </c>
      <c r="E209" s="226">
        <v>43109.163587962961</v>
      </c>
      <c r="F209" s="226">
        <v>43109.166412037041</v>
      </c>
      <c r="G209" s="225">
        <v>90</v>
      </c>
      <c r="H209" s="227" t="s">
        <v>522</v>
      </c>
      <c r="I209" s="226">
        <v>43109.172800925924</v>
      </c>
      <c r="J209" s="225">
        <v>0</v>
      </c>
      <c r="K209" s="237" t="str">
        <f>IF(ISEVEN(B209),(B209-1)&amp;"/"&amp;B209,B209&amp;"/"&amp;(B209+1))</f>
        <v>4055/4056</v>
      </c>
      <c r="L209" s="245" t="str">
        <f>VLOOKUP(A209,'Trips&amp;Operators'!$C$1:$G$99911,5,FALSE)</f>
        <v>THOMPSON LESTER</v>
      </c>
      <c r="M209" s="224">
        <f>I209-F209</f>
        <v>6.388888883520849E-3</v>
      </c>
      <c r="N209" s="225">
        <f>24*60*SUM($M209:$M209)</f>
        <v>9.1999999922700226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-09T02:55:34-0700',mode:absolute,to:'2018-01-09T05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2.3532999999999999</v>
      </c>
      <c r="Z209" s="247">
        <f>RIGHT(H209,LEN(H209)-4)/10000</f>
        <v>1.8100000000000002E-2</v>
      </c>
      <c r="AA209" s="247">
        <f>ABS(Z209-Y209)</f>
        <v>2.3351999999999999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304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/stypes="app*4055*20180109*" /stext=" 11:.+((SYSTEM_STATE.+slice.+state.+changed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60"/>
        <v>"%USERPROFILE%\Documents\GitHub\eaglep3\Utilities\RefineRTDCRunTimes.py" --tripid 304-09 --locoid 4055 --swversion DE.1.0.9.0 --startMP 300:23533 --initTime 2018-01-09T03:55:34 --startdatetime 2018-01-09T03:59:38 --delay 90 --endMP 204:181 --enddatetime 2018-01-09T04:08:50 --enforcementcount 0 &gt;&gt;%USERPROFILE%\Documents\GitHub\eaglep3-reporting\EC\2018-01-09-refined-times.txt</v>
      </c>
      <c r="AI209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{"issue":{"subject":"","project_id":79,"tracker_id":40,"status_id":1,"priority_id":2,"assigned_to_id":338,"start_date":"2018-01-09","description":"","custom_fields":[{"id":1,"name":"Subdivision","value":"Other"},{"id":4,"name":"Milepost","value":"0.0181"},{"id":17,"name":"Train ID","value":"304-09"},{"id":16,"name":"Locomotive ID","value":"4055"},{"id":130,"name":"Impact","value":""},{"id":150,"name":"Time of Event (Mountain Time)","value":"04:08:50"},{"id":151,"name":"Denver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62"/>
        <v>start /low /b %USERPROFILE%\Documents\GitHub\eaglep3\Utilities\DownloadLogsFromS3.py --loco 4055 --day 2018-01-09</v>
      </c>
      <c r="AN209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64"/>
        <v>https://d0f6bd738d7f1b3e5a7ca70fe4ff75f0.us-east-1.aws.found.io/app/kibana#/discover/Steve-Slow-Train-Analysis-(2080s-and-2083s)?_g=(refreshInterval:(display:Off,pause:!f,section:0,value:0),time:(from:'2018-01-09T02:55:34-0700',mode:absolute,to:'2018-01-09T05:08:50-0700'))&amp;_a=(columns:!('Message%20ID',Summary),filters:!(),index:'emp_*',interval:auto,query:(query_string:(analyze_wildcard:!t,query:'%22rtdc.l.rtdc.4055%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910</v>
      </c>
      <c r="B210" s="225">
        <v>4016</v>
      </c>
      <c r="C210" s="227" t="s">
        <v>191</v>
      </c>
      <c r="D210" s="227" t="s">
        <v>544</v>
      </c>
      <c r="E210" s="226">
        <v>43109.821018518516</v>
      </c>
      <c r="F210" s="226">
        <v>43109.822638888887</v>
      </c>
      <c r="G210" s="225">
        <v>58</v>
      </c>
      <c r="H210" s="227" t="s">
        <v>552</v>
      </c>
      <c r="I210" s="226">
        <v>43109.830196759256</v>
      </c>
      <c r="J210" s="225">
        <v>0</v>
      </c>
      <c r="K210" s="237" t="str">
        <f>IF(ISEVEN(B210),(B210-1)&amp;"/"&amp;B210,B210&amp;"/"&amp;(B210+1))</f>
        <v>4015/4016</v>
      </c>
      <c r="L210" s="245" t="str">
        <f>VLOOKUP(A210,'Trips&amp;Operators'!$C$1:$G$99911,5,FALSE)</f>
        <v>SMITH MICHAEL</v>
      </c>
      <c r="M210" s="224">
        <f>I210-F210</f>
        <v>7.5578703690553084E-3</v>
      </c>
      <c r="N210" s="225">
        <f>24*60*SUM($M210:$M210)</f>
        <v>10.883333331439644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-09T18:42:16-0700',mode:absolute,to:'2018-01-09T20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4.6399999999999997E-2</v>
      </c>
      <c r="Z210" s="247">
        <f>RIGHT(H210,LEN(H210)-4)/10000</f>
        <v>2.3308</v>
      </c>
      <c r="AA210" s="247">
        <f>ABS(Z210-Y210)</f>
        <v>2.2843999999999998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305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s3://rtdc.mdm.uploadarchive.raw/RTDC4016/ "%USERPROFILE%\AppData\Local\Temp\OnboardLogs"\RTDC4016\2018-01-09 --exclude "*" --recursive --include "*20180109*" &amp; "%USERPROFILE%\Documents\GitHub\mrs-test-scripts\Headless Mode &amp; Sideloading\WalkAndUnGZ.bat" "%USERPROFILE%\AppData\Local\Temp\OnboardLogs"\RTDC4016\2018-01-09 &amp; aws s3 cp s3://rtdc.mdm.uploadarchive.raw/RTDC4016/ "%USERPROFILE%\AppData\Local\Temp\OnboardLogs"\RTDC4016\2018-01-10 --exclude "*" --recursive --include "*20180110*" &amp; "%USERPROFILE%\Documents\GitHub\mrs-test-scripts\Headless Mode &amp; Sideloading\WalkAndUnGZ.bat" "%USERPROFILE%\AppData\Local\Temp\OnboardLogs"\RTDC4016\2018-01-10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/stypes="app*4016*20180110*" /stext=" 02:.+((SYSTEM_STATE.+slice.+state.+changed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60"/>
        <v>"%USERPROFILE%\Documents\GitHub\eaglep3\Utilities\RefineRTDCRunTimes.py" --tripid 305-09 --locoid 4016 --swversion DE.1.0.9.0 --startMP 204:464 --initTime 2018-01-09T19:42:16 --startdatetime 2018-01-09T19:44:36 --delay 58 --endMP 300:23308 --enddatetime 2018-01-09T19:55:29 --enforcementcount 0 &gt;&gt;%USERPROFILE%\Documents\GitHub\eaglep3-reporting\EC\2018-01-09-refined-times.txt</v>
      </c>
      <c r="AI210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{"issue":{"subject":"","project_id":79,"tracker_id":40,"status_id":1,"priority_id":2,"assigned_to_id":338,"start_date":"2018-01-09","description":"","custom_fields":[{"id":1,"name":"Subdivision","value":"Other"},{"id":4,"name":"Milepost","value":"2.3308"},{"id":17,"name":"Train ID","value":"305-09"},{"id":16,"name":"Locomotive ID","value":"4016"},{"id":130,"name":"Impact","value":""},{"id":150,"name":"Time of Event (Mountain Time)","value":"19:55:29"},{"id":151,"name":"Denver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62"/>
        <v>start /low /b %USERPROFILE%\Documents\GitHub\eaglep3\Utilities\DownloadLogsFromS3.py --loco 4016 --day 2018-01-09</v>
      </c>
      <c r="AN210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64"/>
        <v>https://d0f6bd738d7f1b3e5a7ca70fe4ff75f0.us-east-1.aws.found.io/app/kibana#/discover/Steve-Slow-Train-Analysis-(2080s-and-2083s)?_g=(refreshInterval:(display:Off,pause:!f,section:0,value:0),time:(from:'2018-01-09T18:42:16-0700',mode:absolute,to:'2018-01-09T20:55:29-0700'))&amp;_a=(columns:!('Message%20ID',Summary),filters:!(),index:'emp_*',interval:auto,query:(query_string:(analyze_wildcard:!t,query:'%22rtdc.l.rtdc.4016%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737</v>
      </c>
      <c r="B211" s="225">
        <v>4063</v>
      </c>
      <c r="C211" s="227" t="s">
        <v>191</v>
      </c>
      <c r="D211" s="227" t="s">
        <v>1002</v>
      </c>
      <c r="E211" s="226">
        <v>43109.168437499997</v>
      </c>
      <c r="F211" s="226">
        <v>43109.172824074078</v>
      </c>
      <c r="G211" s="225">
        <v>78</v>
      </c>
      <c r="H211" s="227" t="s">
        <v>639</v>
      </c>
      <c r="I211" s="226">
        <v>43109.180196759262</v>
      </c>
      <c r="J211" s="225">
        <v>0</v>
      </c>
      <c r="K211" s="237" t="str">
        <f>IF(ISEVEN(B211),(B211-1)&amp;"/"&amp;B211,B211&amp;"/"&amp;(B211+1))</f>
        <v>4063/4064</v>
      </c>
      <c r="L211" s="245" t="str">
        <f>VLOOKUP(A211,'Trips&amp;Operators'!$C$1:$G$99911,5,FALSE)</f>
        <v>LANGERAK WILLIAM</v>
      </c>
      <c r="M211" s="224">
        <f>I211-F211</f>
        <v>7.3726851842366159E-3</v>
      </c>
      <c r="N211" s="225">
        <f>24*60*SUM($M211:$M211)</f>
        <v>10.616666665300727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-09T03:02:33-0700',mode:absolute,to:'2018-01-09T05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2.2692000000000001</v>
      </c>
      <c r="Z211" s="247">
        <f>RIGHT(H211,LEN(H211)-4)/10000</f>
        <v>1.7600000000000001E-2</v>
      </c>
      <c r="AA211" s="247">
        <f>ABS(Z211-Y211)</f>
        <v>2.2516000000000003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306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 &amp; aws s3 cp s3://rtdc.mdm.uploadarchive.raw/RTDC4063/ "%USERPROFILE%\AppData\Local\Temp\OnboardLogs"\RTDC4063\2018-01-10 --exclude "*" --recursive --include "*20180110*" &amp; "%USERPROFILE%\Documents\GitHub\mrs-test-scripts\Headless Mode &amp; Sideloading\WalkAndUnGZ.bat" "%USERPROFILE%\AppData\Local\Temp\OnboardLogs"\RTDC4063\2018-01-10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/stypes="app*4063*20180109*" /stext=" 11:.+((SYSTEM_STATE.+slice.+state.+changed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60"/>
        <v>"%USERPROFILE%\Documents\GitHub\eaglep3\Utilities\RefineRTDCRunTimes.py" --tripid 306-09 --locoid 4063 --swversion DE.1.0.9.0 --startMP 300:22692 --initTime 2018-01-09T04:02:33 --startdatetime 2018-01-09T04:08:52 --delay 78 --endMP 204:176 --enddatetime 2018-01-09T04:19:29 --enforcementcount 0 &gt;&gt;%USERPROFILE%\Documents\GitHub\eaglep3-reporting\EC\2018-01-09-refined-times.txt</v>
      </c>
      <c r="AI211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{"issue":{"subject":"","project_id":79,"tracker_id":40,"status_id":1,"priority_id":2,"assigned_to_id":338,"start_date":"2018-01-09","description":"","custom_fields":[{"id":1,"name":"Subdivision","value":"Other"},{"id":4,"name":"Milepost","value":"0.0176"},{"id":17,"name":"Train ID","value":"306-09"},{"id":16,"name":"Locomotive ID","value":"4063"},{"id":130,"name":"Impact","value":""},{"id":150,"name":"Time of Event (Mountain Time)","value":"04:19:29"},{"id":151,"name":"Denver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62"/>
        <v>start /low /b %USERPROFILE%\Documents\GitHub\eaglep3\Utilities\DownloadLogsFromS3.py --loco 4063 --day 2018-01-09</v>
      </c>
      <c r="AN211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64"/>
        <v>https://d0f6bd738d7f1b3e5a7ca70fe4ff75f0.us-east-1.aws.found.io/app/kibana#/discover/Steve-Slow-Train-Analysis-(2080s-and-2083s)?_g=(refreshInterval:(display:Off,pause:!f,section:0,value:0),time:(from:'2018-01-09T03:02:33-0700',mode:absolute,to:'2018-01-09T05:19:29-0700'))&amp;_a=(columns:!('Message%20ID',Summary),filters:!(),index:'emp_*',interval:auto,query:(query_string:(analyze_wildcard:!t,query:'%22rtdc.l.rtdc.4063%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938</v>
      </c>
      <c r="B212" s="225">
        <v>4050</v>
      </c>
      <c r="C212" s="227" t="s">
        <v>191</v>
      </c>
      <c r="D212" s="227" t="s">
        <v>478</v>
      </c>
      <c r="E212" s="226">
        <v>43110.047453703701</v>
      </c>
      <c r="F212" s="226">
        <v>43110.049432870372</v>
      </c>
      <c r="G212" s="225">
        <v>91</v>
      </c>
      <c r="H212" s="227" t="s">
        <v>613</v>
      </c>
      <c r="I212" s="226">
        <v>43110.059398148151</v>
      </c>
      <c r="J212" s="225">
        <v>0</v>
      </c>
      <c r="K212" s="237" t="str">
        <f>IF(ISEVEN(B212),(B212-1)&amp;"/"&amp;B212,B212&amp;"/"&amp;(B212+1))</f>
        <v>4049/4050</v>
      </c>
      <c r="L212" s="245" t="str">
        <f>VLOOKUP(A212,'Trips&amp;Operators'!$C$1:$G$99911,5,FALSE)</f>
        <v>LOZA FIDEL</v>
      </c>
      <c r="M212" s="224">
        <f>I212-F212</f>
        <v>9.9652777789742686E-3</v>
      </c>
      <c r="N212" s="225">
        <f>24*60*SUM($M212:$M212)</f>
        <v>14.350000001722947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-10T00:08:20-0700',mode:absolute,to:'2018-01-10T02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5.1499999999999997E-2</v>
      </c>
      <c r="Z212" s="247">
        <f>RIGHT(H212,LEN(H212)-4)/10000</f>
        <v>2.331</v>
      </c>
      <c r="AA212" s="247">
        <f>ABS(Z212-Y212)</f>
        <v>2.2795000000000001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307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 &amp; 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/stypes="app*4050*20180110*" /stext=" 08:.+((SYSTEM_STATE.+slice.+state.+changed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60"/>
        <v>"%USERPROFILE%\Documents\GitHub\eaglep3\Utilities\RefineRTDCRunTimes.py" --tripid 307-09 --locoid 4050 --swversion DE.1.0.9.0 --startMP 204:515 --initTime 2018-01-10T01:08:20 --startdatetime 2018-01-10T01:11:11 --delay 91 --endMP 300:23310 --enddatetime 2018-01-10T01:25:32 --enforcementcount 0 &gt;&gt;%USERPROFILE%\Documents\GitHub\eaglep3-reporting\EC\2018-01-09-refined-times.txt</v>
      </c>
      <c r="AI212" s="238" t="str">
        <f t="shared" si="61"/>
        <v>echo {"issue":{"subject":"","project_id":79,"tracker_id":40,"status_id":1,"priority_id":2,"assigned_to_id":338,"start_date":"2018-01-10","description":"","custom_fields":[{"id":1,"name":"Subdivision","value":"Other"},{"id":4,"name":"Milepost","value":"2.331"},{"id":17,"name":"Train ID","value":"307-09"},{"id":16,"name":"Locomotive ID","value":"4050"},{"id":130,"name":"Impact","value":""},{"id":150,"name":"Time of Event (Mountain Time)","value":"01:25:32"},{"id":151,"name":"Denver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62"/>
        <v>start /low /b %USERPROFILE%\Documents\GitHub\eaglep3\Utilities\DownloadLogsFromS3.py --loco 4050 --day 2018-01-10</v>
      </c>
      <c r="AN212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08:25:32"},{"id":29,"name":"Sharepoint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64"/>
        <v>https://d0f6bd738d7f1b3e5a7ca70fe4ff75f0.us-east-1.aws.found.io/app/kibana#/discover/Steve-Slow-Train-Analysis-(2080s-and-2083s)?_g=(refreshInterval:(display:Off,pause:!f,section:0,value:0),time:(from:'2018-01-10T00:08:20-0700',mode:absolute,to:'2018-01-10T02:25:32-0700'))&amp;_a=(columns:!('Message%20ID',Summary),filters:!(),index:'emp_*',interval:auto,query:(query_string:(analyze_wildcard:!t,query:'%22rtdc.l.rtdc.4050%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741</v>
      </c>
      <c r="B213" s="225">
        <v>4045</v>
      </c>
      <c r="C213" s="227" t="s">
        <v>191</v>
      </c>
      <c r="D213" s="227" t="s">
        <v>1003</v>
      </c>
      <c r="E213" s="226">
        <v>43109.183634259258</v>
      </c>
      <c r="F213" s="226">
        <v>43109.187106481484</v>
      </c>
      <c r="G213" s="225">
        <v>91</v>
      </c>
      <c r="H213" s="227" t="s">
        <v>639</v>
      </c>
      <c r="I213" s="226">
        <v>43109.192037037035</v>
      </c>
      <c r="J213" s="225">
        <v>0</v>
      </c>
      <c r="K213" s="237" t="str">
        <f>IF(ISEVEN(B213),(B213-1)&amp;"/"&amp;B213,B213&amp;"/"&amp;(B213+1))</f>
        <v>4045/4046</v>
      </c>
      <c r="L213" s="245" t="str">
        <f>VLOOKUP(A213,'Trips&amp;Operators'!$C$1:$G$99911,5,FALSE)</f>
        <v>LAMAR NEKESHA</v>
      </c>
      <c r="M213" s="224">
        <f>I213-F213</f>
        <v>4.9305555512546562E-3</v>
      </c>
      <c r="N213" s="225">
        <f>24*60*SUM($M213:$M213)</f>
        <v>7.0999999938067049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-09T03:24:26-0700',mode:absolute,to:'2018-01-09T05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2.214</v>
      </c>
      <c r="Z213" s="247">
        <f>RIGHT(H213,LEN(H213)-4)/10000</f>
        <v>1.7600000000000001E-2</v>
      </c>
      <c r="AA213" s="247">
        <f>ABS(Z213-Y213)</f>
        <v>2.1964000000000001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308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/stypes="app*4045*20180109*" /stext=" 11:.+((SYSTEM_STATE.+slice.+state.+changed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60"/>
        <v>"%USERPROFILE%\Documents\GitHub\eaglep3\Utilities\RefineRTDCRunTimes.py" --tripid 308-09 --locoid 4045 --swversion DE.1.0.9.0 --startMP 300:22140 --initTime 2018-01-09T04:24:26 --startdatetime 2018-01-09T04:29:26 --delay 91 --endMP 204:176 --enddatetime 2018-01-09T04:36:32 --enforcementcount 0 &gt;&gt;%USERPROFILE%\Documents\GitHub\eaglep3-reporting\EC\2018-01-09-refined-times.txt</v>
      </c>
      <c r="AI213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{"issue":{"subject":"","project_id":79,"tracker_id":40,"status_id":1,"priority_id":2,"assigned_to_id":338,"start_date":"2018-01-09","description":"","custom_fields":[{"id":1,"name":"Subdivision","value":"Other"},{"id":4,"name":"Milepost","value":"0.0176"},{"id":17,"name":"Train ID","value":"308-09"},{"id":16,"name":"Locomotive ID","value":"4045"},{"id":130,"name":"Impact","value":""},{"id":150,"name":"Time of Event (Mountain Time)","value":"04:36:32"},{"id":151,"name":"Denver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62"/>
        <v>start /low /b %USERPROFILE%\Documents\GitHub\eaglep3\Utilities\DownloadLogsFromS3.py --loco 4045 --day 2018-01-09</v>
      </c>
      <c r="AN213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64"/>
        <v>https://d0f6bd738d7f1b3e5a7ca70fe4ff75f0.us-east-1.aws.found.io/app/kibana#/discover/Steve-Slow-Train-Analysis-(2080s-and-2083s)?_g=(refreshInterval:(display:Off,pause:!f,section:0,value:0),time:(from:'2018-01-09T03:24:26-0700',mode:absolute,to:'2018-01-09T05:36:32-0700'))&amp;_a=(columns:!('Message%20ID',Summary),filters:!(),index:'emp_*',interval:auto,query:(query_string:(analyze_wildcard:!t,query:'%22rtdc.l.rtdc.4045%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747</v>
      </c>
      <c r="B214" s="225">
        <v>4033</v>
      </c>
      <c r="C214" s="227" t="s">
        <v>191</v>
      </c>
      <c r="D214" s="227" t="s">
        <v>1004</v>
      </c>
      <c r="E214" s="226">
        <v>43109.195347222223</v>
      </c>
      <c r="F214" s="226">
        <v>43109.198483796295</v>
      </c>
      <c r="G214" s="225">
        <v>70</v>
      </c>
      <c r="H214" s="227" t="s">
        <v>495</v>
      </c>
      <c r="I214" s="226">
        <v>43109.203645833331</v>
      </c>
      <c r="J214" s="225">
        <v>0</v>
      </c>
      <c r="K214" s="237" t="str">
        <f>IF(ISEVEN(B214),(B214-1)&amp;"/"&amp;B214,B214&amp;"/"&amp;(B214+1))</f>
        <v>4033/4034</v>
      </c>
      <c r="L214" s="245" t="str">
        <f>VLOOKUP(A214,'Trips&amp;Operators'!$C$1:$G$99911,5,FALSE)</f>
        <v>YANAI IAN</v>
      </c>
      <c r="M214" s="224">
        <f>I214-F214</f>
        <v>5.1620370359160006E-3</v>
      </c>
      <c r="N214" s="225">
        <f>24*60*SUM($M214:$M214)</f>
        <v>7.4333333317190409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-09T03:41:18-0700',mode:absolute,to:'2018-01-09T05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2</v>
      </c>
      <c r="Y214" s="247">
        <f>RIGHT(D214,LEN(D214)-4)/10000</f>
        <v>2.3778999999999999</v>
      </c>
      <c r="Z214" s="247">
        <f>RIGHT(H214,LEN(H214)-4)/10000</f>
        <v>1.52E-2</v>
      </c>
      <c r="AA214" s="247">
        <f>ABS(Z214-Y214)</f>
        <v>2.3626999999999998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310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 &amp; aws s3 cp s3://rtdc.mdm.uploadarchive.raw/RTDC4033/ "%USERPROFILE%\AppData\Local\Temp\OnboardLogs"\RTDC4033\2018-01-10 --exclude "*" --recursive --include "*20180110*" &amp; "%USERPROFILE%\Documents\GitHub\mrs-test-scripts\Headless Mode &amp; Sideloading\WalkAndUnGZ.bat" "%USERPROFILE%\AppData\Local\Temp\OnboardLogs"\RTDC4033\2018-01-10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/stypes="app*4033*20180109*" /stext=" 11:.+((SYSTEM_STATE.+slice.+state.+changed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60"/>
        <v>"%USERPROFILE%\Documents\GitHub\eaglep3\Utilities\RefineRTDCRunTimes.py" --tripid 310-09 --locoid 4033 --swversion DE.1.0.9.0 --startMP 300:23779 --initTime 2018-01-09T04:41:18 --startdatetime 2018-01-09T04:45:49 --delay 70 --endMP 204:152 --enddatetime 2018-01-09T04:53:15 --enforcementcount 0 &gt;&gt;%USERPROFILE%\Documents\GitHub\eaglep3-reporting\EC\2018-01-09-refined-times.txt</v>
      </c>
      <c r="AI214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{"issue":{"subject":"","project_id":79,"tracker_id":40,"status_id":1,"priority_id":2,"assigned_to_id":338,"start_date":"2018-01-09","description":"","custom_fields":[{"id":1,"name":"Subdivision","value":"Other"},{"id":4,"name":"Milepost","value":"0.0152"},{"id":17,"name":"Train ID","value":"310-09"},{"id":16,"name":"Locomotive ID","value":"4033"},{"id":130,"name":"Impact","value":""},{"id":150,"name":"Time of Event (Mountain Time)","value":"04:53:15"},{"id":151,"name":"Denver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62"/>
        <v>start /low /b %USERPROFILE%\Documents\GitHub\eaglep3\Utilities\DownloadLogsFromS3.py --loco 4033 --day 2018-01-09</v>
      </c>
      <c r="AN214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64"/>
        <v>https://d0f6bd738d7f1b3e5a7ca70fe4ff75f0.us-east-1.aws.found.io/app/kibana#/discover/Steve-Slow-Train-Analysis-(2080s-and-2083s)?_g=(refreshInterval:(display:Off,pause:!f,section:0,value:0),time:(from:'2018-01-09T03:41:18-0700',mode:absolute,to:'2018-01-09T05:53:15-0700'))&amp;_a=(columns:!('Message%20ID',Summary),filters:!(),index:'emp_*',interval:auto,query:(query_string:(analyze_wildcard:!t,query:'%22rtdc.l.rtdc.4033%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940</v>
      </c>
      <c r="B215" s="225">
        <v>4056</v>
      </c>
      <c r="C215" s="227" t="s">
        <v>191</v>
      </c>
      <c r="D215" s="227" t="s">
        <v>490</v>
      </c>
      <c r="E215" s="226">
        <v>43110.09034722222</v>
      </c>
      <c r="F215" s="226">
        <v>43110.092187499999</v>
      </c>
      <c r="G215" s="225">
        <v>51</v>
      </c>
      <c r="H215" s="227" t="s">
        <v>552</v>
      </c>
      <c r="I215" s="226">
        <v>43110.102071759262</v>
      </c>
      <c r="J215" s="225">
        <v>0</v>
      </c>
      <c r="K215" s="237" t="str">
        <f>IF(ISEVEN(B215),(B215-1)&amp;"/"&amp;B215,B215&amp;"/"&amp;(B215+1))</f>
        <v>4055/4056</v>
      </c>
      <c r="L215" s="245" t="str">
        <f>VLOOKUP(A215,'Trips&amp;Operators'!$C$1:$G$99911,5,FALSE)</f>
        <v>ANDERS STEVEN</v>
      </c>
      <c r="M215" s="224">
        <f>I215-F215</f>
        <v>9.8842592633445747E-3</v>
      </c>
      <c r="N215" s="225">
        <f>24*60*SUM($M215:$M215)</f>
        <v>14.233333339216188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-10T01:10:06-0700',mode:absolute,to:'2018-01-10T03:26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5.5100000000000003E-2</v>
      </c>
      <c r="Z215" s="247">
        <f>RIGHT(H215,LEN(H215)-4)/10000</f>
        <v>2.3308</v>
      </c>
      <c r="AA215" s="247">
        <f>ABS(Z215-Y215)</f>
        <v>2.2757000000000001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311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 &amp; 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/stypes="app*4056*20180110*" /stext=" 09:.+((SYSTEM_STATE.+slice.+state.+changed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60"/>
        <v>"%USERPROFILE%\Documents\GitHub\eaglep3\Utilities\RefineRTDCRunTimes.py" --tripid 311-09 --locoid 4056 --swversion DE.1.0.9.0 --startMP 204:551 --initTime 2018-01-10T02:10:06 --startdatetime 2018-01-10T02:12:45 --delay 51 --endMP 300:23308 --enddatetime 2018-01-10T02:26:59 --enforcementcount 0 &gt;&gt;%USERPROFILE%\Documents\GitHub\eaglep3-reporting\EC\2018-01-09-refined-times.txt</v>
      </c>
      <c r="AI215" s="238" t="str">
        <f t="shared" si="61"/>
        <v>echo {"issue":{"subject":"","project_id":79,"tracker_id":40,"status_id":1,"priority_id":2,"assigned_to_id":338,"start_date":"2018-01-10","description":"","custom_fields":[{"id":1,"name":"Subdivision","value":"Other"},{"id":4,"name":"Milepost","value":"2.3308"},{"id":17,"name":"Train ID","value":"311-09"},{"id":16,"name":"Locomotive ID","value":"4056"},{"id":130,"name":"Impact","value":""},{"id":150,"name":"Time of Event (Mountain Time)","value":"02:26:59"},{"id":151,"name":"Denver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62"/>
        <v>start /low /b %USERPROFILE%\Documents\GitHub\eaglep3\Utilities\DownloadLogsFromS3.py --loco 4056 --day 2018-01-10</v>
      </c>
      <c r="AN215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09:26:59"},{"id":29,"name":"Sharepoint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64"/>
        <v>https://d0f6bd738d7f1b3e5a7ca70fe4ff75f0.us-east-1.aws.found.io/app/kibana#/discover/Steve-Slow-Train-Analysis-(2080s-and-2083s)?_g=(refreshInterval:(display:Off,pause:!f,section:0,value:0),time:(from:'2018-01-10T01:10:06-0700',mode:absolute,to:'2018-01-10T03:26:59-0700'))&amp;_a=(columns:!('Message%20ID',Summary),filters:!(),index:'emp_*',interval:auto,query:(query_string:(analyze_wildcard:!t,query:'%22rtdc.l.rtdc.4056%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755</v>
      </c>
      <c r="B216" s="225">
        <v>4015</v>
      </c>
      <c r="C216" s="227" t="s">
        <v>191</v>
      </c>
      <c r="D216" s="227" t="s">
        <v>1005</v>
      </c>
      <c r="E216" s="226">
        <v>43109.221770833334</v>
      </c>
      <c r="F216" s="226">
        <v>43109.226747685185</v>
      </c>
      <c r="G216" s="225">
        <v>268</v>
      </c>
      <c r="H216" s="227" t="s">
        <v>585</v>
      </c>
      <c r="I216" s="226">
        <v>43109.232777777775</v>
      </c>
      <c r="J216" s="225">
        <v>0</v>
      </c>
      <c r="K216" s="237" t="str">
        <f>IF(ISEVEN(B216),(B216-1)&amp;"/"&amp;B216,B216&amp;"/"&amp;(B216+1))</f>
        <v>4015/4016</v>
      </c>
      <c r="L216" s="245" t="str">
        <f>VLOOKUP(A216,'Trips&amp;Operators'!$C$1:$G$99911,5,FALSE)</f>
        <v>MACDONALD THOMAS</v>
      </c>
      <c r="M216" s="224">
        <f>I216-F216</f>
        <v>6.0300925906631164E-3</v>
      </c>
      <c r="N216" s="225">
        <f>24*60*SUM($M216:$M216)</f>
        <v>8.6833333305548877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-09T04:19:21-0700',mode:absolute,to:'2018-01-09T06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2.3715999999999999</v>
      </c>
      <c r="Z216" s="247">
        <f>RIGHT(H216,LEN(H216)-4)/10000</f>
        <v>2.23E-2</v>
      </c>
      <c r="AA216" s="247">
        <f>ABS(Z216-Y216)</f>
        <v>2.3492999999999999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312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s3://rtdc.mdm.uploadarchive.raw/RTDC4015/ "%USERPROFILE%\AppData\Local\Temp\OnboardLogs"\RTDC4015\2018-01-09 --exclude "*" --recursive --include "*20180109*" &amp; "%USERPROFILE%\Documents\GitHub\mrs-test-scripts\Headless Mode &amp; Sideloading\WalkAndUnGZ.bat" "%USERPROFILE%\AppData\Local\Temp\OnboardLogs"\RTDC4015\2018-01-09 &amp; aws s3 cp s3://rtdc.mdm.uploadarchive.raw/RTDC4015/ "%USERPROFILE%\AppData\Local\Temp\OnboardLogs"\RTDC4015\2018-01-10 --exclude "*" --recursive --include "*20180110*" &amp; "%USERPROFILE%\Documents\GitHub\mrs-test-scripts\Headless Mode &amp; Sideloading\WalkAndUnGZ.bat" "%USERPROFILE%\AppData\Local\Temp\OnboardLogs"\RTDC4015\2018-01-10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/stypes="app*4015*20180109*" /stext=" 12:.+((SYSTEM_STATE.+slice.+state.+changed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60"/>
        <v>"%USERPROFILE%\Documents\GitHub\eaglep3\Utilities\RefineRTDCRunTimes.py" --tripid 312-09 --locoid 4015 --swversion DE.1.0.9.0 --startMP 300:23716 --initTime 2018-01-09T05:19:21 --startdatetime 2018-01-09T05:26:31 --delay 268 --endMP 204:223 --enddatetime 2018-01-09T05:35:12 --enforcementcount 0 &gt;&gt;%USERPROFILE%\Documents\GitHub\eaglep3-reporting\EC\2018-01-09-refined-times.txt</v>
      </c>
      <c r="AI216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{"issue":{"subject":"","project_id":79,"tracker_id":40,"status_id":1,"priority_id":2,"assigned_to_id":338,"start_date":"2018-01-09","description":"","custom_fields":[{"id":1,"name":"Subdivision","value":"Other"},{"id":4,"name":"Milepost","value":"0.0223"},{"id":17,"name":"Train ID","value":"312-09"},{"id":16,"name":"Locomotive ID","value":"4015"},{"id":130,"name":"Impact","value":""},{"id":150,"name":"Time of Event (Mountain Time)","value":"05:35:12"},{"id":151,"name":"Denver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62"/>
        <v>start /low /b %USERPROFILE%\Documents\GitHub\eaglep3\Utilities\DownloadLogsFromS3.py --loco 4015 --day 2018-01-09</v>
      </c>
      <c r="AN216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64"/>
        <v>https://d0f6bd738d7f1b3e5a7ca70fe4ff75f0.us-east-1.aws.found.io/app/kibana#/discover/Steve-Slow-Train-Analysis-(2080s-and-2083s)?_g=(refreshInterval:(display:Off,pause:!f,section:0,value:0),time:(from:'2018-01-09T04:19:21-0700',mode:absolute,to:'2018-01-09T06:35:12-0700'))&amp;_a=(columns:!('Message%20ID',Summary),filters:!(),index:'emp_*',interval:auto,query:(query_string:(analyze_wildcard:!t,query:'%22rtdc.l.rtdc.4015%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936</v>
      </c>
      <c r="B217" s="225">
        <v>4014</v>
      </c>
      <c r="C217" s="227" t="s">
        <v>191</v>
      </c>
      <c r="D217" s="227" t="s">
        <v>694</v>
      </c>
      <c r="E217" s="226">
        <v>43110.025717592594</v>
      </c>
      <c r="F217" s="226">
        <v>43110.027754629627</v>
      </c>
      <c r="G217" s="225">
        <v>70</v>
      </c>
      <c r="H217" s="227" t="s">
        <v>1006</v>
      </c>
      <c r="I217" s="226">
        <v>43110.035925925928</v>
      </c>
      <c r="J217" s="225">
        <v>0</v>
      </c>
      <c r="K217" s="237" t="str">
        <f>IF(ISEVEN(B217),(B217-1)&amp;"/"&amp;B217,B217&amp;"/"&amp;(B217+1))</f>
        <v>4013/4014</v>
      </c>
      <c r="L217" s="245" t="str">
        <f>VLOOKUP(A217,'Trips&amp;Operators'!$C$1:$G$99911,5,FALSE)</f>
        <v>RESPASS AARON</v>
      </c>
      <c r="M217" s="224">
        <f>I217-F217</f>
        <v>8.1712963001336902E-3</v>
      </c>
      <c r="N217" s="225">
        <f>24*60*SUM($M217:$M217)</f>
        <v>11.766666672192514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-09T23:37:02-0700',mode:absolute,to:'2018-01-10T01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4.4200000000000003E-2</v>
      </c>
      <c r="Z217" s="247">
        <f>RIGHT(H217,LEN(H217)-4)/10000</f>
        <v>2.3300999999999998</v>
      </c>
      <c r="AA217" s="247">
        <f>ABS(Z217-Y217)</f>
        <v>2.2858999999999998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313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 &amp; 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/stypes="app*4014*20180110*" /stext=" 07:.+((SYSTEM_STATE.+slice.+state.+changed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60"/>
        <v>"%USERPROFILE%\Documents\GitHub\eaglep3\Utilities\RefineRTDCRunTimes.py" --tripid 313-09 --locoid 4014 --swversion DE.1.0.9.0 --startMP 204:442 --initTime 2018-01-10T00:37:02 --startdatetime 2018-01-10T00:39:58 --delay 70 --endMP 300:23301 --enddatetime 2018-01-10T00:51:44 --enforcementcount 0 &gt;&gt;%USERPROFILE%\Documents\GitHub\eaglep3-reporting\EC\2018-01-09-refined-times.txt</v>
      </c>
      <c r="AI217" s="238" t="str">
        <f t="shared" si="61"/>
        <v>echo {"issue":{"subject":"","project_id":79,"tracker_id":40,"status_id":1,"priority_id":2,"assigned_to_id":338,"start_date":"2018-01-10","description":"","custom_fields":[{"id":1,"name":"Subdivision","value":"Other"},{"id":4,"name":"Milepost","value":"2.3301"},{"id":17,"name":"Train ID","value":"313-09"},{"id":16,"name":"Locomotive ID","value":"4014"},{"id":130,"name":"Impact","value":""},{"id":150,"name":"Time of Event (Mountain Time)","value":"00:51:44"},{"id":151,"name":"Denver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62"/>
        <v>start /low /b %USERPROFILE%\Documents\GitHub\eaglep3\Utilities\DownloadLogsFromS3.py --loco 4014 --day 2018-01-10</v>
      </c>
      <c r="AN217" s="241" t="str">
        <f t="shared" si="63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07:51:44"},{"id":29,"name":"Sharepoint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64"/>
        <v>https://d0f6bd738d7f1b3e5a7ca70fe4ff75f0.us-east-1.aws.found.io/app/kibana#/discover/Steve-Slow-Train-Analysis-(2080s-and-2083s)?_g=(refreshInterval:(display:Off,pause:!f,section:0,value:0),time:(from:'2018-01-09T23:37:02-0700',mode:absolute,to:'2018-01-10T01:51:44-0700'))&amp;_a=(columns:!('Message%20ID',Summary),filters:!(),index:'emp_*',interval:auto,query:(query_string:(analyze_wildcard:!t,query:'%22rtdc.l.rtdc.4014%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704</v>
      </c>
      <c r="B218" s="225">
        <v>4039</v>
      </c>
      <c r="C218" s="227" t="s">
        <v>191</v>
      </c>
      <c r="D218" s="227" t="s">
        <v>1059</v>
      </c>
      <c r="E218" s="226">
        <v>43109.235138888886</v>
      </c>
      <c r="F218" s="226">
        <v>43109.241087962961</v>
      </c>
      <c r="G218" s="225">
        <v>99</v>
      </c>
      <c r="H218" s="227" t="s">
        <v>1060</v>
      </c>
      <c r="I218" s="226">
        <v>43109.241261574076</v>
      </c>
      <c r="J218" s="225">
        <v>0</v>
      </c>
      <c r="K218" s="237" t="str">
        <f>IF(ISEVEN(B218),(B218-1)&amp;"/"&amp;B218,B218&amp;"/"&amp;(B218+1))</f>
        <v>4039/4040</v>
      </c>
      <c r="L218" s="245" t="str">
        <f>VLOOKUP(A218,'Trips&amp;Operators'!$C$1:$G$99911,5,FALSE)</f>
        <v>FORTUNATO FRANK</v>
      </c>
      <c r="M218" s="224">
        <f>I218-F218</f>
        <v>1.7361111531499773E-4</v>
      </c>
      <c r="N218" s="225">
        <f>24*60*SUM($M218:$M218)</f>
        <v>0.25000000605359674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-09T04:38:36-0700',mode:absolute,to:'2018-01-09T06:47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589</v>
      </c>
      <c r="Y218" s="247">
        <f>RIGHT(D218,LEN(D218)-4)/10000</f>
        <v>2.3736999999999999</v>
      </c>
      <c r="Z218" s="247">
        <f>RIGHT(H218,LEN(H218)-4)/10000</f>
        <v>2.3347000000000002</v>
      </c>
      <c r="AA218" s="247">
        <f>ABS(Z218-Y218)</f>
        <v>3.8999999999999702E-2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902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/stypes="app*4039*20180109*" /stext=" 12:.+((SYSTEM_STATE.+slice.+state.+changed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60"/>
        <v>"%USERPROFILE%\Documents\GitHub\eaglep3\Utilities\RefineRTDCRunTimes.py" --tripid 902-09 --locoid 4039 --swversion DE.1.0.9.0 --startMP 300:23737 --initTime 2018-01-09T05:38:36 --startdatetime 2018-01-09T05:47:10 --delay 99 --endMP 300:23347 --enddatetime 2018-01-09T05:47:25 --enforcementcount 0 &gt;&gt;%USERPROFILE%\Documents\GitHub\eaglep3-reporting\EC\2018-01-09-refined-times.txt</v>
      </c>
      <c r="AI218" s="238" t="str">
        <f t="shared" si="61"/>
        <v>echo {"issue":{"subject":"","project_id":79,"tracker_id":40,"status_id":1,"priority_id":2,"assigned_to_id":338,"start_date":"2018-01-09","description":"","custom_fields":[{"id":1,"name":"Subdivision","value":"Other"},{"id":4,"name":"Milepost","value":"2.3347"},{"id":17,"name":"Train ID","value":"902-09"},{"id":16,"name":"Locomotive ID","value":"4039"},{"id":130,"name":"Impact","value":""},{"id":150,"name":"Time of Event (Mountain Time)","value":"05:47:25"},{"id":151,"name":"Denver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62"/>
        <v>start /low /b %USERPROFILE%\Documents\GitHub\eaglep3\Utilities\DownloadLogsFromS3.py --loco 4039 --day 2018-01-09</v>
      </c>
      <c r="AN218" s="241" t="str">
        <f t="shared" si="6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12:47:25"},{"id":29,"name":"Sharepoint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64"/>
        <v>https://d0f6bd738d7f1b3e5a7ca70fe4ff75f0.us-east-1.aws.found.io/app/kibana#/discover/Steve-Slow-Train-Analysis-(2080s-and-2083s)?_g=(refreshInterval:(display:Off,pause:!f,section:0,value:0),time:(from:'2018-01-09T04:38:36-0700',mode:absolute,to:'2018-01-09T06:47:25-0700'))&amp;_a=(columns:!('Message%20ID',Summary),filters:!(),index:'emp_*',interval:auto,query:(query_string:(analyze_wildcard:!t,query:'%22rtdc.l.rtdc.4039%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792</v>
      </c>
      <c r="B219" s="225">
        <v>4052</v>
      </c>
      <c r="C219" s="227" t="s">
        <v>191</v>
      </c>
      <c r="D219" s="227" t="s">
        <v>1061</v>
      </c>
      <c r="E219" s="226">
        <v>43109.352511574078</v>
      </c>
      <c r="F219" s="226">
        <v>43109.354351851849</v>
      </c>
      <c r="G219" s="225">
        <v>52</v>
      </c>
      <c r="H219" s="227" t="s">
        <v>1062</v>
      </c>
      <c r="I219" s="226">
        <v>43109.361747685187</v>
      </c>
      <c r="J219" s="225">
        <v>0</v>
      </c>
      <c r="K219" s="237" t="str">
        <f>IF(ISEVEN(B219),(B219-1)&amp;"/"&amp;B219,B219&amp;"/"&amp;(B219+1))</f>
        <v>4051/4052</v>
      </c>
      <c r="L219" s="245" t="str">
        <f>VLOOKUP(A219,'Trips&amp;Operators'!$C$1:$G$99911,5,FALSE)</f>
        <v>DAVIDSON DAVID</v>
      </c>
      <c r="M219" s="224">
        <f>I219-F219</f>
        <v>7.3958333377959207E-3</v>
      </c>
      <c r="N219" s="225">
        <f>24*60*SUM($M219:$M219)</f>
        <v>10.650000006426126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-09T07:27:37-0700',mode:absolute,to:'2018-01-09T09:40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4.41E-2</v>
      </c>
      <c r="Z219" s="247">
        <f>RIGHT(H219,LEN(H219)-4)/10000</f>
        <v>2.4205000000000001</v>
      </c>
      <c r="AA219" s="247">
        <f>ABS(Z219-Y219)</f>
        <v>2.3764000000000003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903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 &amp; aws s3 cp s3://rtdc.mdm.uploadarchive.raw/RTDC4052/ "%USERPROFILE%\AppData\Local\Temp\OnboardLogs"\RTDC4052\2018-01-10 --exclude "*" --recursive --include "*20180110*" &amp; "%USERPROFILE%\Documents\GitHub\mrs-test-scripts\Headless Mode &amp; Sideloading\WalkAndUnGZ.bat" "%USERPROFILE%\AppData\Local\Temp\OnboardLogs"\RTDC4052\2018-01-10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/stypes="app*4052*20180109*" /stext=" 15:.+((SYSTEM_STATE.+slice.+state.+changed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ref="AH219:AH243" si="98"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903-09 --locoid 4052 --swversion DE.1.0.9.0 --startMP 204:441 --initTime 2018-01-09T08:27:37 --startdatetime 2018-01-09T08:30:16 --delay 52 --endMP 300:24205 --enddatetime 2018-01-09T08:40:55 --enforcementcount 0 &gt;&gt;%USERPROFILE%\Documents\GitHub\eaglep3-reporting\EC\2018-01-09-refined-times.txt</v>
      </c>
      <c r="AI219" s="238" t="str">
        <f t="shared" ref="AI219:AI243" si="99"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{"issue":{"subject":"","project_id":79,"tracker_id":40,"status_id":1,"priority_id":2,"assigned_to_id":338,"start_date":"2018-01-09","description":"","custom_fields":[{"id":1,"name":"Subdivision","value":"Other"},{"id":4,"name":"Milepost","value":"2.4205"},{"id":17,"name":"Train ID","value":"903-09"},{"id":16,"name":"Locomotive ID","value":"4052"},{"id":130,"name":"Impact","value":""},{"id":150,"name":"Time of Event (Mountain Time)","value":"08:40:55"},{"id":151,"name":"Denver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ref="AM219:AM243" si="100">"start /low /b "&amp;dls3logs&amp;" --loco "&amp;B219&amp;" --day "&amp;TEXT(F219,"YYYY-MM-DD")</f>
        <v>start /low /b %USERPROFILE%\Documents\GitHub\eaglep3\Utilities\DownloadLogsFromS3.py --loco 4052 --day 2018-01-09</v>
      </c>
      <c r="AN219" s="241" t="str">
        <f t="shared" ref="AN219:AN243" si="101"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ref="AO219:AO243" si="102"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Message%20ID',Summary),filters:!(),index:'emp_*',interval:auto,query:"&amp;"(query_string:(analyze_wildcard:!t,query:'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-09T07:27:37-0700',mode:absolute,to:'2018-01-09T09:40:55-0700'))&amp;_a=(columns:!('Message%20ID',Summary),filters:!(),index:'emp_*',interval:auto,query:(query_string:(analyze_wildcard:!t,query:'%22rtdc.l.rtdc.4052%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860</v>
      </c>
      <c r="B220" s="225">
        <v>4021</v>
      </c>
      <c r="C220" s="227" t="s">
        <v>191</v>
      </c>
      <c r="D220" s="227" t="s">
        <v>1063</v>
      </c>
      <c r="E220" s="226">
        <v>43109.646365740744</v>
      </c>
      <c r="F220" s="226">
        <v>43109.648449074077</v>
      </c>
      <c r="G220" s="225">
        <v>63</v>
      </c>
      <c r="H220" s="227" t="s">
        <v>514</v>
      </c>
      <c r="I220" s="226">
        <v>43109.653333333335</v>
      </c>
      <c r="J220" s="225">
        <v>0</v>
      </c>
      <c r="K220" s="237" t="str">
        <f>IF(ISEVEN(B220),(B220-1)&amp;"/"&amp;B220,B220&amp;"/"&amp;(B220+1))</f>
        <v>4021/4022</v>
      </c>
      <c r="L220" s="245" t="str">
        <f>VLOOKUP(A220,'Trips&amp;Operators'!$C$1:$G$99911,5,FALSE)</f>
        <v>STAMBAUGH JAMES</v>
      </c>
      <c r="M220" s="224">
        <f>I220-F220</f>
        <v>4.8842592586879618E-3</v>
      </c>
      <c r="N220" s="225">
        <f>24*60*SUM($M220:$M220)</f>
        <v>7.0333333325106651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-09T14:30:46-0700',mode:absolute,to:'2018-01-09T16:40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1</v>
      </c>
      <c r="Y220" s="247">
        <f>RIGHT(D220,LEN(D220)-4)/10000</f>
        <v>2.3508</v>
      </c>
      <c r="Z220" s="247">
        <f>RIGHT(H220,LEN(H220)-4)/10000</f>
        <v>1.49E-2</v>
      </c>
      <c r="AA220" s="247">
        <f>ABS(Z220-Y220)</f>
        <v>2.3359000000000001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904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/stypes="app*4021*20180109*" /stext=" 22:.+((SYSTEM_STATE.+slice.+state.+changed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98"/>
        <v>"%USERPROFILE%\Documents\GitHub\eaglep3\Utilities\RefineRTDCRunTimes.py" --tripid 904-09 --locoid 4021 --swversion DE.1.0.9.0 --startMP 300:23508 --initTime 2018-01-09T15:30:46 --startdatetime 2018-01-09T15:33:46 --delay 63 --endMP 204:149 --enddatetime 2018-01-09T15:40:48 --enforcementcount 0 &gt;&gt;%USERPROFILE%\Documents\GitHub\eaglep3-reporting\EC\2018-01-09-refined-times.txt</v>
      </c>
      <c r="AI220" s="238" t="str">
        <f t="shared" si="99"/>
        <v>echo {"issue":{"subject":"","project_id":79,"tracker_id":40,"status_id":1,"priority_id":2,"assigned_to_id":338,"start_date":"2018-01-09","description":"","custom_fields":[{"id":1,"name":"Subdivision","value":"Other"},{"id":4,"name":"Milepost","value":"0.0149"},{"id":17,"name":"Train ID","value":"904-09"},{"id":16,"name":"Locomotive ID","value":"4021"},{"id":130,"name":"Impact","value":""},{"id":150,"name":"Time of Event (Mountain Time)","value":"15:40:48"},{"id":151,"name":"Denver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00"/>
        <v>start /low /b %USERPROFILE%\Documents\GitHub\eaglep3\Utilities\DownloadLogsFromS3.py --loco 4021 --day 2018-01-09</v>
      </c>
      <c r="AN220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22:40:48"},{"id":29,"name":"Sharepoint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02"/>
        <v>https://d0f6bd738d7f1b3e5a7ca70fe4ff75f0.us-east-1.aws.found.io/app/kibana#/discover/Steve-Slow-Train-Analysis-(2080s-and-2083s)?_g=(refreshInterval:(display:Off,pause:!f,section:0,value:0),time:(from:'2018-01-09T14:30:46-0700',mode:absolute,to:'2018-01-09T16:40:48-0700'))&amp;_a=(columns:!('Message%20ID',Summary),filters:!(),index:'emp_*',interval:auto,query:(query_string:(analyze_wildcard:!t,query:'%22rtdc.l.rtdc.4021%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905</v>
      </c>
      <c r="B221" s="225">
        <v>4021</v>
      </c>
      <c r="C221" s="227" t="s">
        <v>191</v>
      </c>
      <c r="D221" s="227" t="s">
        <v>691</v>
      </c>
      <c r="E221" s="226">
        <v>43109.788495370369</v>
      </c>
      <c r="F221" s="226">
        <v>43109.789641203701</v>
      </c>
      <c r="G221" s="225">
        <v>59</v>
      </c>
      <c r="H221" s="227" t="s">
        <v>1064</v>
      </c>
      <c r="I221" s="226">
        <v>43109.795636574076</v>
      </c>
      <c r="J221" s="225">
        <v>0</v>
      </c>
      <c r="K221" s="237" t="str">
        <f>IF(ISEVEN(B221),(B221-1)&amp;"/"&amp;B221,B221&amp;"/"&amp;(B221+1))</f>
        <v>4021/4022</v>
      </c>
      <c r="L221" s="245" t="str">
        <f>VLOOKUP(A221,'Trips&amp;Operators'!$C$1:$G$99911,5,FALSE)</f>
        <v>STAMBAUGH JAMES</v>
      </c>
      <c r="M221" s="224">
        <f>I221-F221</f>
        <v>5.9953703748760745E-3</v>
      </c>
      <c r="N221" s="225">
        <f>24*60*SUM($M221:$M221)</f>
        <v>8.6333333398215473</v>
      </c>
      <c r="O221" s="225"/>
      <c r="P221" s="225"/>
      <c r="Q221" s="228"/>
      <c r="R221" s="242"/>
      <c r="S221" s="249">
        <f>1/IF(AG221="EC",12,1)*SUM(U221:U221)</f>
        <v>0</v>
      </c>
      <c r="T221" s="242" t="str">
        <f>IF(ISEVEN(LEFT(AD221,4)),"Southbound","NorthBound")</f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-09T17:55:26-0700',mode:absolute,to:'2018-01-09T20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2</v>
      </c>
      <c r="Y221" s="247">
        <f>RIGHT(D221,LEN(D221)-4)/10000</f>
        <v>5.8624000000000001</v>
      </c>
      <c r="Z221" s="247">
        <f>RIGHT(H221,LEN(H221)-4)/10000</f>
        <v>2.8769</v>
      </c>
      <c r="AA221" s="247">
        <f>ABS(Z221-Y221)</f>
        <v>2.9855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906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/stypes="app*4021*20180110*" /stext=" 02:.+((SYSTEM_STATE.+slice.+state.+changed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98"/>
        <v>"%USERPROFILE%\Documents\GitHub\eaglep3\Utilities\RefineRTDCRunTimes.py" --tripid 906-09 --locoid 4021 --swversion DE.1.0.9.0 --startMP 300:58624 --initTime 2018-01-09T18:55:26 --startdatetime 2018-01-09T18:57:05 --delay 59 --endMP 300:28769 --enddatetime 2018-01-09T19:05:43 --enforcementcount 0 &gt;&gt;%USERPROFILE%\Documents\GitHub\eaglep3-reporting\EC\2018-01-09-refined-times.txt</v>
      </c>
      <c r="AI221" s="238" t="str">
        <f t="shared" si="99"/>
        <v>echo {"issue":{"subject":"","project_id":79,"tracker_id":40,"status_id":1,"priority_id":2,"assigned_to_id":338,"start_date":"2018-01-09","description":"","custom_fields":[{"id":1,"name":"Subdivision","value":"Other"},{"id":4,"name":"Milepost","value":"2.8769"},{"id":17,"name":"Train ID","value":"906-09"},{"id":16,"name":"Locomotive ID","value":"4021"},{"id":130,"name":"Impact","value":""},{"id":150,"name":"Time of Event (Mountain Time)","value":"19:05:43"},{"id":151,"name":"Denver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00"/>
        <v>start /low /b %USERPROFILE%\Documents\GitHub\eaglep3\Utilities\DownloadLogsFromS3.py --loco 4021 --day 2018-01-09</v>
      </c>
      <c r="AN221" s="241" t="str">
        <f t="shared" si="101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02:05:43"},{"id":29,"name":"Sharepoint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02"/>
        <v>https://d0f6bd738d7f1b3e5a7ca70fe4ff75f0.us-east-1.aws.found.io/app/kibana#/discover/Steve-Slow-Train-Analysis-(2080s-and-2083s)?_g=(refreshInterval:(display:Off,pause:!f,section:0,value:0),time:(from:'2018-01-09T17:55:26-0700',mode:absolute,to:'2018-01-09T20:05:43-0700'))&amp;_a=(columns:!('Message%20ID',Summary),filters:!(),index:'emp_*',interval:auto,query:(query_string:(analyze_wildcard:!t,query:'%22rtdc.l.rtdc.4021%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930</v>
      </c>
      <c r="B222" s="225">
        <v>4039</v>
      </c>
      <c r="C222" s="227" t="s">
        <v>191</v>
      </c>
      <c r="D222" s="227" t="s">
        <v>1040</v>
      </c>
      <c r="E222" s="226">
        <v>43109.974479166667</v>
      </c>
      <c r="F222" s="226">
        <v>43109.97583333333</v>
      </c>
      <c r="G222" s="225">
        <v>76</v>
      </c>
      <c r="H222" s="227" t="s">
        <v>1065</v>
      </c>
      <c r="I222" s="226">
        <v>43109.982268518521</v>
      </c>
      <c r="J222" s="225">
        <v>0</v>
      </c>
      <c r="K222" s="237" t="str">
        <f>IF(ISEVEN(B222),(B222-1)&amp;"/"&amp;B222,B222&amp;"/"&amp;(B222+1))</f>
        <v>4039/4040</v>
      </c>
      <c r="L222" s="245" t="str">
        <f>VLOOKUP(A222,'Trips&amp;Operators'!$C$1:$G$99911,5,FALSE)</f>
        <v>STAMBAUGH JAMES</v>
      </c>
      <c r="M222" s="224">
        <f>I222-F222</f>
        <v>6.4351851906394586E-3</v>
      </c>
      <c r="N222" s="225">
        <f>24*60*SUM($M222:$M222)</f>
        <v>9.2666666745208204</v>
      </c>
      <c r="O222" s="225"/>
      <c r="P222" s="225"/>
      <c r="Q222" s="228"/>
      <c r="R222" s="242"/>
      <c r="S222" s="249">
        <f>1/IF(AG222="EC",12,1)*SUM(U222:U222)</f>
        <v>0</v>
      </c>
      <c r="T222" s="242" t="str">
        <f>IF(ISEVEN(LEFT(AD222,4)),"Southbound","NorthBound")</f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-09T22:23:15-0700',mode:absolute,to:'2018-01-10T00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2</v>
      </c>
      <c r="Y222" s="247">
        <f>RIGHT(D222,LEN(D222)-4)/10000</f>
        <v>5.8615000000000004</v>
      </c>
      <c r="Z222" s="247">
        <f>RIGHT(H222,LEN(H222)-4)/10000</f>
        <v>2.8780000000000001</v>
      </c>
      <c r="AA222" s="247">
        <f>ABS(Z222-Y222)</f>
        <v>2.9835000000000003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908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/stypes="app*4039*20180110*" /stext=" 06:.+((SYSTEM_STATE.+slice.+state.+changed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98"/>
        <v>"%USERPROFILE%\Documents\GitHub\eaglep3\Utilities\RefineRTDCRunTimes.py" --tripid 908-09 --locoid 4039 --swversion DE.1.0.9.0 --startMP 300:58615 --initTime 2018-01-09T23:23:15 --startdatetime 2018-01-09T23:25:12 --delay 76 --endMP 300:28780 --enddatetime 2018-01-09T23:34:28 --enforcementcount 0 &gt;&gt;%USERPROFILE%\Documents\GitHub\eaglep3-reporting\EC\2018-01-09-refined-times.txt</v>
      </c>
      <c r="AI222" s="238" t="str">
        <f t="shared" si="99"/>
        <v>echo {"issue":{"subject":"","project_id":79,"tracker_id":40,"status_id":1,"priority_id":2,"assigned_to_id":338,"start_date":"2018-01-09","description":"","custom_fields":[{"id":1,"name":"Subdivision","value":"Other"},{"id":4,"name":"Milepost","value":"2.878"},{"id":17,"name":"Train ID","value":"908-09"},{"id":16,"name":"Locomotive ID","value":"4039"},{"id":130,"name":"Impact","value":""},{"id":150,"name":"Time of Event (Mountain Time)","value":"23:34:28"},{"id":151,"name":"Denver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100"/>
        <v>start /low /b %USERPROFILE%\Documents\GitHub\eaglep3\Utilities\DownloadLogsFromS3.py --loco 4039 --day 2018-01-09</v>
      </c>
      <c r="AN222" s="241" t="str">
        <f t="shared" si="101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06:34:28"},{"id":29,"name":"Sharepoint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02"/>
        <v>https://d0f6bd738d7f1b3e5a7ca70fe4ff75f0.us-east-1.aws.found.io/app/kibana#/discover/Steve-Slow-Train-Analysis-(2080s-and-2083s)?_g=(refreshInterval:(display:Off,pause:!f,section:0,value:0),time:(from:'2018-01-09T22:23:15-0700',mode:absolute,to:'2018-01-10T00:34:28-0700'))&amp;_a=(columns:!('Message%20ID',Summary),filters:!(),index:'emp_*',interval:auto,query:(query_string:(analyze_wildcard:!t,query:'%22rtdc.l.rtdc.4039%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886</v>
      </c>
      <c r="B223" s="225">
        <v>4042</v>
      </c>
      <c r="C223" s="227" t="s">
        <v>191</v>
      </c>
      <c r="D223" s="227" t="s">
        <v>1007</v>
      </c>
      <c r="E223" s="226">
        <v>43109.711967592593</v>
      </c>
      <c r="F223" s="226">
        <v>43109.720706018517</v>
      </c>
      <c r="G223" s="225">
        <v>686</v>
      </c>
      <c r="H223" s="227" t="s">
        <v>1006</v>
      </c>
      <c r="I223" s="226">
        <v>43109.729768518519</v>
      </c>
      <c r="J223" s="225">
        <v>0</v>
      </c>
      <c r="K223" s="237" t="str">
        <f>IF(ISEVEN(B223),(B223-1)&amp;"/"&amp;B223,B223&amp;"/"&amp;(B223+1))</f>
        <v>4041/4042</v>
      </c>
      <c r="L223" s="245" t="str">
        <f>VLOOKUP(A223,'Trips&amp;Operators'!$C$1:$G$99911,5,FALSE)</f>
        <v>ROBINSON KADDIBA</v>
      </c>
      <c r="M223" s="224">
        <f>I223-F223</f>
        <v>9.0625000011641532E-3</v>
      </c>
      <c r="N223" s="225">
        <f>24*60*SUM($M223:$M223)</f>
        <v>13.050000001676381</v>
      </c>
      <c r="O223" s="225"/>
      <c r="P223" s="225"/>
      <c r="Q223" s="228"/>
      <c r="R223" s="242"/>
      <c r="S223" s="249">
        <f>1/IF(AG223="EC",12,1)*SUM(U223:U223)</f>
        <v>0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-09T16:05:14-0700',mode:absolute,to:'2018-01-09T18:30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-858</v>
      </c>
      <c r="Y223" s="247">
        <f>RIGHT(D223,LEN(D223)-4)/10000</f>
        <v>0.12330000000000001</v>
      </c>
      <c r="Z223" s="247">
        <f>RIGHT(H223,LEN(H223)-4)/10000</f>
        <v>2.3300999999999998</v>
      </c>
      <c r="AA223" s="247">
        <f>ABS(Z223-Y223)</f>
        <v>2.2067999999999999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50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s3://rtdc.mdm.uploadarchive.raw/RTDC4042/ "%USERPROFILE%\AppData\Local\Temp\OnboardLogs"\RTDC4042\2018-01-09 --exclude "*" --recursive --include "*20180109*" &amp; "%USERPROFILE%\Documents\GitHub\mrs-test-scripts\Headless Mode &amp; Sideloading\WalkAndUnGZ.bat" "%USERPROFILE%\AppData\Local\Temp\OnboardLogs"\RTDC4042\2018-01-09 &amp; aws s3 cp s3://rtdc.mdm.uploadarchive.raw/RTDC4042/ "%USERPROFILE%\AppData\Local\Temp\OnboardLogs"\RTDC4042\2018-01-10 --exclude "*" --recursive --include "*20180110*" &amp; "%USERPROFILE%\Documents\GitHub\mrs-test-scripts\Headless Mode &amp; Sideloading\WalkAndUnGZ.bat" "%USERPROFILE%\AppData\Local\Temp\OnboardLogs"\RTDC4042\2018-01-10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/stypes="app*4042*20180110*" /stext=" 00:.+((SYSTEM_STATE.+slice.+state.+changed )|(ment ac)|(multiple cpu faults)|(system.+state.+changed )|(\[timeout)|(PRM\|1\|D)|(kpr)|(kdp)|(train st.+moving)|(\|lc)|(penalty))"</v>
      </c>
      <c r="AG223" s="244" t="str">
        <f>DetSubdiv(A223)</f>
        <v>Shuttle/Test</v>
      </c>
      <c r="AH223" s="236" t="str">
        <f t="shared" si="98"/>
        <v>"%USERPROFILE%\Documents\GitHub\eaglep3\Utilities\RefineRTDCRunTimes.py" --tripid 50-09 --locoid 4042 --swversion DE.1.0.9.0 --startMP 204:1233 --initTime 2018-01-09T17:05:14 --startdatetime 2018-01-09T17:17:49 --delay 686 --endMP 300:23301 --enddatetime 2018-01-09T17:30:52 --enforcementcount 0 &gt;&gt;%USERPROFILE%\Documents\GitHub\eaglep3-reporting\EC\2018-01-09-refined-times.txt</v>
      </c>
      <c r="AI223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2.3301"},{"id":17,"name":"Train ID","value":"50-09"},{"id":16,"name":"Locomotive ID","value":"4042"},{"id":130,"name":"Impact","value":""},{"id":150,"name":"Time of Event (Mountain Time)","value":"17:30:52"},{"id":151,"name":"Denver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00"/>
        <v>start /low /b %USERPROFILE%\Documents\GitHub\eaglep3\Utilities\DownloadLogsFromS3.py --loco 4042 --day 2018-01-09</v>
      </c>
      <c r="AN223" s="241" t="str">
        <f t="shared" si="101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00:30:52"},{"id":29,"name":"Sharepoint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02"/>
        <v>https://d0f6bd738d7f1b3e5a7ca70fe4ff75f0.us-east-1.aws.found.io/app/kibana#/discover/Steve-Slow-Train-Analysis-(2080s-and-2083s)?_g=(refreshInterval:(display:Off,pause:!f,section:0,value:0),time:(from:'2018-01-09T16:05:14-0700',mode:absolute,to:'2018-01-09T18:30:52-0700'))&amp;_a=(columns:!('Message%20ID',Summary),filters:!(),index:'emp_*',interval:auto,query:(query_string:(analyze_wildcard:!t,query:'%22rtdc.l.rtdc.4042%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730</v>
      </c>
      <c r="B224" s="225">
        <v>4014</v>
      </c>
      <c r="C224" s="227" t="s">
        <v>191</v>
      </c>
      <c r="D224" s="227" t="s">
        <v>1008</v>
      </c>
      <c r="E224" s="226">
        <v>43109.13486111111</v>
      </c>
      <c r="F224" s="226">
        <v>43109.136944444443</v>
      </c>
      <c r="G224" s="225">
        <v>67</v>
      </c>
      <c r="H224" s="227" t="s">
        <v>1009</v>
      </c>
      <c r="I224" s="226">
        <v>43109.138287037036</v>
      </c>
      <c r="J224" s="225">
        <v>0</v>
      </c>
      <c r="K224" s="237" t="str">
        <f>IF(ISEVEN(B224),(B224-1)&amp;"/"&amp;B224,B224&amp;"/"&amp;(B224+1))</f>
        <v>4013/4014</v>
      </c>
      <c r="L224" s="245" t="str">
        <f>VLOOKUP(A224,'Trips&amp;Operators'!$C$1:$G$99911,5,FALSE)</f>
        <v>SPECTOR MICHAEL</v>
      </c>
      <c r="M224" s="224">
        <f>I224-F224</f>
        <v>1.3425925935734995E-3</v>
      </c>
      <c r="N224" s="225">
        <f>24*60*SUM($M224:$M224)</f>
        <v>1.9333333347458392</v>
      </c>
      <c r="O224" s="225"/>
      <c r="P224" s="225"/>
      <c r="Q224" s="228"/>
      <c r="R224" s="242"/>
      <c r="S224" s="249">
        <f>1/IF(AG224="EC",12,1)*SUM(U224:U224)</f>
        <v>0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-09T02:14:12-0700',mode:absolute,to:'2018-01-09T04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4.24E-2</v>
      </c>
      <c r="Z224" s="247">
        <f>RIGHT(H224,LEN(H224)-4)/10000</f>
        <v>0.35539999999999999</v>
      </c>
      <c r="AA224" s="247">
        <f>ABS(Z224-Y224)</f>
        <v>0.313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51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/stypes="app*4014*20180109*" /stext=" 10:.+((SYSTEM_STATE.+slice.+state.+changed )|(ment ac)|(multiple cpu faults)|(system.+state.+changed )|(\[timeout)|(PRM\|1\|D)|(kpr)|(kdp)|(train st.+moving)|(\|lc)|(penalty))"</v>
      </c>
      <c r="AG224" s="244" t="str">
        <f>DetSubdiv(A224)</f>
        <v>Shuttle/Test</v>
      </c>
      <c r="AH224" s="236" t="str">
        <f t="shared" si="98"/>
        <v>"%USERPROFILE%\Documents\GitHub\eaglep3\Utilities\RefineRTDCRunTimes.py" --tripid 51-09 --locoid 4014 --swversion DE.1.0.9.0 --startMP 204:424 --initTime 2018-01-09T03:14:12 --startdatetime 2018-01-09T03:17:12 --delay 67 --endMP 204:3554 --enddatetime 2018-01-09T03:19:08 --enforcementcount 0 &gt;&gt;%USERPROFILE%\Documents\GitHub\eaglep3-reporting\EC\2018-01-09-refined-times.txt</v>
      </c>
      <c r="AI224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0.3554"},{"id":17,"name":"Train ID","value":"51-09"},{"id":16,"name":"Locomotive ID","value":"4014"},{"id":130,"name":"Impact","value":""},{"id":150,"name":"Time of Event (Mountain Time)","value":"03:19:08"},{"id":151,"name":"Denver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00"/>
        <v>start /low /b %USERPROFILE%\Documents\GitHub\eaglep3\Utilities\DownloadLogsFromS3.py --loco 4014 --day 2018-01-09</v>
      </c>
      <c r="AN224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10:19:08"},{"id":29,"name":"Sharepoint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02"/>
        <v>https://d0f6bd738d7f1b3e5a7ca70fe4ff75f0.us-east-1.aws.found.io/app/kibana#/discover/Steve-Slow-Train-Analysis-(2080s-and-2083s)?_g=(refreshInterval:(display:Off,pause:!f,section:0,value:0),time:(from:'2018-01-09T02:14:12-0700',mode:absolute,to:'2018-01-09T04:19:08-0700'))&amp;_a=(columns:!('Message%20ID',Summary),filters:!(),index:'emp_*',interval:auto,query:(query_string:(analyze_wildcard:!t,query:'%22rtdc.l.rtdc.4014%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 s="229" t="s">
        <v>731</v>
      </c>
      <c r="B225" s="225">
        <v>4013</v>
      </c>
      <c r="C225" s="227" t="s">
        <v>191</v>
      </c>
      <c r="D225" s="227" t="s">
        <v>1010</v>
      </c>
      <c r="E225" s="226">
        <v>43109.139432870368</v>
      </c>
      <c r="F225" s="226">
        <v>43109.1409375</v>
      </c>
      <c r="G225" s="225">
        <v>66</v>
      </c>
      <c r="H225" s="227" t="s">
        <v>1011</v>
      </c>
      <c r="I225" s="226">
        <v>43109.142326388886</v>
      </c>
      <c r="J225" s="225">
        <v>0</v>
      </c>
      <c r="K225" s="237" t="str">
        <f>IF(ISEVEN(B225),(B225-1)&amp;"/"&amp;B225,B225&amp;"/"&amp;(B225+1))</f>
        <v>4013/4014</v>
      </c>
      <c r="L225" s="245" t="str">
        <f>VLOOKUP(A225,'Trips&amp;Operators'!$C$1:$G$99911,5,FALSE)</f>
        <v>SPECTOR MICHAEL</v>
      </c>
      <c r="M225" s="224">
        <f>I225-F225</f>
        <v>1.3888888861401938E-3</v>
      </c>
      <c r="N225" s="225">
        <f>24*60*SUM($M225:$M225)</f>
        <v>1.9999999960418791</v>
      </c>
      <c r="O225" s="225"/>
      <c r="P225" s="225"/>
      <c r="Q225" s="228"/>
      <c r="R225" s="242"/>
      <c r="S225" s="249">
        <f>1/IF(AG225="EC",12,1)*SUM(U225:U225)</f>
        <v>0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-09T02:20:47-0700',mode:absolute,to:'2018-01-09T04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0.32050000000000001</v>
      </c>
      <c r="Z225" s="247">
        <f>RIGHT(H225,LEN(H225)-4)/10000</f>
        <v>0.11840000000000001</v>
      </c>
      <c r="AA225" s="247">
        <f>ABS(Z225-Y225)</f>
        <v>0.2021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52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/stypes="app*4013*20180109*" /stext=" 10:.+((SYSTEM_STATE.+slice.+state.+changed )|(ment ac)|(multiple cpu faults)|(system.+state.+changed )|(\[timeout)|(PRM\|1\|D)|(kpr)|(kdp)|(train st.+moving)|(\|lc)|(penalty))"</v>
      </c>
      <c r="AG225" s="244" t="str">
        <f>DetSubdiv(A225)</f>
        <v>Shuttle/Test</v>
      </c>
      <c r="AH225" s="236" t="str">
        <f t="shared" si="98"/>
        <v>"%USERPROFILE%\Documents\GitHub\eaglep3\Utilities\RefineRTDCRunTimes.py" --tripid 52-09 --locoid 4013 --swversion DE.1.0.9.0 --startMP 204:3205 --initTime 2018-01-09T03:20:47 --startdatetime 2018-01-09T03:22:57 --delay 66 --endMP 204:1184 --enddatetime 2018-01-09T03:24:57 --enforcementcount 0 &gt;&gt;%USERPROFILE%\Documents\GitHub\eaglep3-reporting\EC\2018-01-09-refined-times.txt</v>
      </c>
      <c r="AI225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0.1184"},{"id":17,"name":"Train ID","value":"52-09"},{"id":16,"name":"Locomotive ID","value":"4013"},{"id":130,"name":"Impact","value":""},{"id":150,"name":"Time of Event (Mountain Time)","value":"03:24:57"},{"id":151,"name":"Denver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si="100"/>
        <v>start /low /b %USERPROFILE%\Documents\GitHub\eaglep3\Utilities\DownloadLogsFromS3.py --loco 4013 --day 2018-01-09</v>
      </c>
      <c r="AN225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10:24:57"},{"id":29,"name":"Sharepoint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02"/>
        <v>https://d0f6bd738d7f1b3e5a7ca70fe4ff75f0.us-east-1.aws.found.io/app/kibana#/discover/Steve-Slow-Train-Analysis-(2080s-and-2083s)?_g=(refreshInterval:(display:Off,pause:!f,section:0,value:0),time:(from:'2018-01-09T02:20:47-0700',mode:absolute,to:'2018-01-09T04:24:57-0700'))&amp;_a=(columns:!('Message%20ID',Summary),filters:!(),index:'emp_*',interval:auto,query:(query_string:(analyze_wildcard:!t,query:'%22rtdc.l.rtdc.4013%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736</v>
      </c>
      <c r="B226" s="225">
        <v>4014</v>
      </c>
      <c r="C226" s="227" t="s">
        <v>191</v>
      </c>
      <c r="D226" s="227" t="s">
        <v>1012</v>
      </c>
      <c r="E226" s="226">
        <v>43109.167013888888</v>
      </c>
      <c r="F226" s="226">
        <v>43109.172962962963</v>
      </c>
      <c r="G226" s="225">
        <v>93</v>
      </c>
      <c r="H226" s="227" t="s">
        <v>1013</v>
      </c>
      <c r="I226" s="226">
        <v>43109.173692129632</v>
      </c>
      <c r="J226" s="225">
        <v>0</v>
      </c>
      <c r="K226" s="237" t="str">
        <f>IF(ISEVEN(B226),(B226-1)&amp;"/"&amp;B226,B226&amp;"/"&amp;(B226+1))</f>
        <v>4013/4014</v>
      </c>
      <c r="L226" s="245" t="str">
        <f>VLOOKUP(A226,'Trips&amp;Operators'!$C$1:$G$99911,5,FALSE)</f>
        <v>SPECTOR MICHAEL</v>
      </c>
      <c r="M226" s="224">
        <f>I226-F226</f>
        <v>7.2916666977107525E-4</v>
      </c>
      <c r="N226" s="225">
        <f>24*60*SUM($M226:$M226)</f>
        <v>1.0500000044703484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NorthBound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-09T03:00:30-0700',mode:absolute,to:'2018-01-09T05:10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9</v>
      </c>
      <c r="Y226" s="247">
        <f>RIGHT(D226,LEN(D226)-4)/10000</f>
        <v>0.15029999999999999</v>
      </c>
      <c r="Z226" s="247">
        <f>RIGHT(H226,LEN(H226)-4)/10000</f>
        <v>0.35420000000000001</v>
      </c>
      <c r="AA226" s="247">
        <f>ABS(Z226-Y226)</f>
        <v>0.20390000000000003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61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s3://rtdc.mdm.uploadarchive.raw/RTDC4014/ "%USERPROFILE%\AppData\Local\Temp\OnboardLogs"\RTDC4014\2018-01-09 --exclude "*" --recursive --include "*20180109*" &amp; "%USERPROFILE%\Documents\GitHub\mrs-test-scripts\Headless Mode &amp; Sideloading\WalkAndUnGZ.bat" "%USERPROFILE%\AppData\Local\Temp\OnboardLogs"\RTDC4014\2018-01-09 &amp; aws s3 cp s3://rtdc.mdm.uploadarchive.raw/RTDC4014/ "%USERPROFILE%\AppData\Local\Temp\OnboardLogs"\RTDC4014\2018-01-10 --exclude "*" --recursive --include "*20180110*" &amp; "%USERPROFILE%\Documents\GitHub\mrs-test-scripts\Headless Mode &amp; Sideloading\WalkAndUnGZ.bat" "%USERPROFILE%\AppData\Local\Temp\OnboardLogs"\RTDC4014\2018-01-10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/stypes="app*4014*20180109*" /stext=" 11:.+((SYSTEM_STATE.+slice.+state.+changed )|(ment ac)|(multiple cpu faults)|(system.+state.+changed )|(\[timeout)|(PRM\|1\|D)|(kpr)|(kdp)|(train st.+moving)|(\|lc)|(penalty))"</v>
      </c>
      <c r="AG226" s="244" t="str">
        <f>DetSubdiv(A226)</f>
        <v>Shuttle/Test</v>
      </c>
      <c r="AH226" s="236" t="str">
        <f t="shared" si="98"/>
        <v>"%USERPROFILE%\Documents\GitHub\eaglep3\Utilities\RefineRTDCRunTimes.py" --tripid 61-09 --locoid 4014 --swversion DE.1.0.9.0 --startMP 204:1503 --initTime 2018-01-09T04:00:30 --startdatetime 2018-01-09T04:09:04 --delay 93 --endMP 204:3542 --enddatetime 2018-01-09T04:10:07 --enforcementcount 0 &gt;&gt;%USERPROFILE%\Documents\GitHub\eaglep3-reporting\EC\2018-01-09-refined-times.txt</v>
      </c>
      <c r="AI226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0.3542"},{"id":17,"name":"Train ID","value":"61-09"},{"id":16,"name":"Locomotive ID","value":"4014"},{"id":130,"name":"Impact","value":""},{"id":150,"name":"Time of Event (Mountain Time)","value":"04:10:07"},{"id":151,"name":"Denver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00"/>
        <v>start /low /b %USERPROFILE%\Documents\GitHub\eaglep3\Utilities\DownloadLogsFromS3.py --loco 4014 --day 2018-01-09</v>
      </c>
      <c r="AN226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02"/>
        <v>https://d0f6bd738d7f1b3e5a7ca70fe4ff75f0.us-east-1.aws.found.io/app/kibana#/discover/Steve-Slow-Train-Analysis-(2080s-and-2083s)?_g=(refreshInterval:(display:Off,pause:!f,section:0,value:0),time:(from:'2018-01-09T03:00:30-0700',mode:absolute,to:'2018-01-09T05:10:07-0700'))&amp;_a=(columns:!('Message%20ID',Summary),filters:!(),index:'emp_*',interval:auto,query:(query_string:(analyze_wildcard:!t,query:'%22rtdc.l.rtdc.4014%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739</v>
      </c>
      <c r="B227" s="225">
        <v>4013</v>
      </c>
      <c r="C227" s="227" t="s">
        <v>191</v>
      </c>
      <c r="D227" s="227" t="s">
        <v>1014</v>
      </c>
      <c r="E227" s="226">
        <v>43109.174675925926</v>
      </c>
      <c r="F227" s="226">
        <v>43109.176481481481</v>
      </c>
      <c r="G227" s="225">
        <v>75</v>
      </c>
      <c r="H227" s="227" t="s">
        <v>668</v>
      </c>
      <c r="I227" s="226">
        <v>43109.177916666667</v>
      </c>
      <c r="J227" s="225">
        <v>0</v>
      </c>
      <c r="K227" s="237" t="str">
        <f>IF(ISEVEN(B227),(B227-1)&amp;"/"&amp;B227,B227&amp;"/"&amp;(B227+1))</f>
        <v>4013/4014</v>
      </c>
      <c r="L227" s="245" t="str">
        <f>VLOOKUP(A227,'Trips&amp;Operators'!$C$1:$G$99911,5,FALSE)</f>
        <v>SPECTOR MICHAEL</v>
      </c>
      <c r="M227" s="224">
        <f>I227-F227</f>
        <v>1.4351851859828457E-3</v>
      </c>
      <c r="N227" s="225">
        <f>24*60*SUM($M227:$M227)</f>
        <v>2.0666666678152978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-09T03:11:32-0700',mode:absolute,to:'2018-01-09T05:16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1</v>
      </c>
      <c r="Y227" s="247">
        <f>RIGHT(D227,LEN(D227)-4)/10000</f>
        <v>0.3236</v>
      </c>
      <c r="Z227" s="247">
        <f>RIGHT(H227,LEN(H227)-4)/10000</f>
        <v>1.4999999999999999E-2</v>
      </c>
      <c r="AA227" s="247">
        <f>ABS(Z227-Y227)</f>
        <v>0.30859999999999999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62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/stypes="app*4013*20180109*" /stext=" 11:.+((SYSTEM_STATE.+slice.+state.+changed )|(ment ac)|(multiple cpu faults)|(system.+state.+changed )|(\[timeout)|(PRM\|1\|D)|(kpr)|(kdp)|(train st.+moving)|(\|lc)|(penalty))"</v>
      </c>
      <c r="AG227" s="244" t="str">
        <f>DetSubdiv(A227)</f>
        <v>Shuttle/Test</v>
      </c>
      <c r="AH227" s="236" t="str">
        <f t="shared" si="98"/>
        <v>"%USERPROFILE%\Documents\GitHub\eaglep3\Utilities\RefineRTDCRunTimes.py" --tripid 62-09 --locoid 4013 --swversion DE.1.0.9.0 --startMP 204:3236 --initTime 2018-01-09T04:11:32 --startdatetime 2018-01-09T04:14:08 --delay 75 --endMP 204:150 --enddatetime 2018-01-09T04:16:12 --enforcementcount 0 &gt;&gt;%USERPROFILE%\Documents\GitHub\eaglep3-reporting\EC\2018-01-09-refined-times.txt</v>
      </c>
      <c r="AI227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0.015"},{"id":17,"name":"Train ID","value":"62-09"},{"id":16,"name":"Locomotive ID","value":"4013"},{"id":130,"name":"Impact","value":""},{"id":150,"name":"Time of Event (Mountain Time)","value":"04:16:12"},{"id":151,"name":"Denver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100"/>
        <v>start /low /b %USERPROFILE%\Documents\GitHub\eaglep3\Utilities\DownloadLogsFromS3.py --loco 4013 --day 2018-01-09</v>
      </c>
      <c r="AN227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11:16:12"},{"id":29,"name":"Sharepoint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02"/>
        <v>https://d0f6bd738d7f1b3e5a7ca70fe4ff75f0.us-east-1.aws.found.io/app/kibana#/discover/Steve-Slow-Train-Analysis-(2080s-and-2083s)?_g=(refreshInterval:(display:Off,pause:!f,section:0,value:0),time:(from:'2018-01-09T03:11:32-0700',mode:absolute,to:'2018-01-09T05:16:12-0700'))&amp;_a=(columns:!('Message%20ID',Summary),filters:!(),index:'emp_*',interval:auto,query:(query_string:(analyze_wildcard:!t,query:'%22rtdc.l.rtdc.4013%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 s="229" t="s">
        <v>713</v>
      </c>
      <c r="B228" s="225">
        <v>4054</v>
      </c>
      <c r="C228" s="227" t="s">
        <v>191</v>
      </c>
      <c r="D228" s="227" t="s">
        <v>1015</v>
      </c>
      <c r="E228" s="226">
        <v>43109.429259259261</v>
      </c>
      <c r="F228" s="226">
        <v>43109.495879629627</v>
      </c>
      <c r="G228" s="225">
        <v>110</v>
      </c>
      <c r="H228" s="227" t="s">
        <v>1015</v>
      </c>
      <c r="I228" s="226">
        <v>43109.511805555558</v>
      </c>
      <c r="J228" s="225">
        <v>0</v>
      </c>
      <c r="K228" s="237" t="str">
        <f>IF(ISEVEN(B228),(B228-1)&amp;"/"&amp;B228,B228&amp;"/"&amp;(B228+1))</f>
        <v>4053/4054</v>
      </c>
      <c r="L228" s="245" t="str">
        <f>VLOOKUP(A228,'Trips&amp;Operators'!$C$1:$G$99911,5,FALSE)</f>
        <v>DELGADO DIANAH</v>
      </c>
      <c r="M228" s="224">
        <f>I228-F228</f>
        <v>1.5925925930787344E-2</v>
      </c>
      <c r="N228" s="225">
        <f>24*60*SUM($M228:$M228)</f>
        <v>22.933333340333775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-09T09:18:08-0700',mode:absolute,to:'2018-01-09T13:17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1</v>
      </c>
      <c r="Y228" s="247">
        <f>RIGHT(D228,LEN(D228)-4)/10000</f>
        <v>3.8969999999999998</v>
      </c>
      <c r="Z228" s="247">
        <f>RIGHT(H228,LEN(H228)-4)/10000</f>
        <v>3.8969999999999998</v>
      </c>
      <c r="AA228" s="247">
        <f>ABS(Z228-Y228)</f>
        <v>0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63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/stypes="app*4054*20180109*" /stext=" 19:.+((SYSTEM_STATE.+slice.+state.+changed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98"/>
        <v>"%USERPROFILE%\Documents\GitHub\eaglep3\Utilities\RefineRTDCRunTimes.py" --tripid 63-09 --locoid 4054 --swversion DE.1.0.9.0 --startMP 300:38970 --initTime 2018-01-09T10:18:08 --startdatetime 2018-01-09T11:54:04 --delay 110 --endMP 300:38970 --enddatetime 2018-01-09T12:17:00 --enforcementcount 0 &gt;&gt;%USERPROFILE%\Documents\GitHub\eaglep3-reporting\EC\2018-01-09-refined-times.txt</v>
      </c>
      <c r="AI228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3.897"},{"id":17,"name":"Train ID","value":"63-09"},{"id":16,"name":"Locomotive ID","value":"4054"},{"id":130,"name":"Impact","value":""},{"id":150,"name":"Time of Event (Mountain Time)","value":"12:17:00"},{"id":151,"name":"Denver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1"/>
      <c r="AL228" s="231"/>
      <c r="AM228" s="240" t="str">
        <f t="shared" si="100"/>
        <v>start /low /b %USERPROFILE%\Documents\GitHub\eaglep3\Utilities\DownloadLogsFromS3.py --loco 4054 --day 2018-01-09</v>
      </c>
      <c r="AN228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19:17:00"},{"id":29,"name":"Sharepoint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02"/>
        <v>https://d0f6bd738d7f1b3e5a7ca70fe4ff75f0.us-east-1.aws.found.io/app/kibana#/discover/Steve-Slow-Train-Analysis-(2080s-and-2083s)?_g=(refreshInterval:(display:Off,pause:!f,section:0,value:0),time:(from:'2018-01-09T09:18:08-0700',mode:absolute,to:'2018-01-09T13:17:00-0700'))&amp;_a=(columns:!('Message%20ID',Summary),filters:!(),index:'emp_*',interval:auto,query:(query_string:(analyze_wildcard:!t,query:'%22rtdc.l.rtdc.4054%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 s="229" t="s">
        <v>713</v>
      </c>
      <c r="B229" s="225">
        <v>4054</v>
      </c>
      <c r="C229" s="227" t="s">
        <v>191</v>
      </c>
      <c r="D229" s="227" t="s">
        <v>1016</v>
      </c>
      <c r="E229" s="226">
        <v>43109.491851851853</v>
      </c>
      <c r="F229" s="226">
        <v>43109.495879629627</v>
      </c>
      <c r="G229" s="225">
        <v>120</v>
      </c>
      <c r="H229" s="227" t="s">
        <v>1017</v>
      </c>
      <c r="I229" s="226">
        <v>43109.511805555558</v>
      </c>
      <c r="J229" s="225">
        <v>0</v>
      </c>
      <c r="K229" s="237" t="str">
        <f>IF(ISEVEN(B229),(B229-1)&amp;"/"&amp;B229,B229&amp;"/"&amp;(B229+1))</f>
        <v>4053/4054</v>
      </c>
      <c r="L229" s="245" t="str">
        <f>VLOOKUP(A229,'Trips&amp;Operators'!$C$1:$G$99911,5,FALSE)</f>
        <v>DELGADO DIANAH</v>
      </c>
      <c r="M229" s="224">
        <f>I229-F229</f>
        <v>1.5925925930787344E-2</v>
      </c>
      <c r="N229" s="225">
        <f>24*60*SUM($M229:$M229)</f>
        <v>22.933333340333775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-09T10:48:16-0700',mode:absolute,to:'2018-01-09T13:17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0</v>
      </c>
      <c r="Y229" s="247">
        <f>RIGHT(D229,LEN(D229)-4)/10000</f>
        <v>3.8828</v>
      </c>
      <c r="Z229" s="247">
        <f>RIGHT(H229,LEN(H229)-4)/10000</f>
        <v>11.257999999999999</v>
      </c>
      <c r="AA229" s="247">
        <f>ABS(Z229-Y229)</f>
        <v>7.3751999999999995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63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/stypes="app*4054*20180109*" /stext=" 19:.+((SYSTEM_STATE.+slice.+state.+changed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si="98"/>
        <v>"%USERPROFILE%\Documents\GitHub\eaglep3\Utilities\RefineRTDCRunTimes.py" --tripid 63-09 --locoid 4054 --swversion DE.1.0.9.0 --startMP 300:38828 --initTime 2018-01-09T11:48:16 --startdatetime 2018-01-09T11:54:04 --delay 120 --endMP 300:112580 --enddatetime 2018-01-09T12:17:00 --enforcementcount 0 &gt;&gt;%USERPROFILE%\Documents\GitHub\eaglep3-reporting\EC\2018-01-09-refined-times.txt</v>
      </c>
      <c r="AI229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11.258"},{"id":17,"name":"Train ID","value":"63-09"},{"id":16,"name":"Locomotive ID","value":"4054"},{"id":130,"name":"Impact","value":""},{"id":150,"name":"Time of Event (Mountain Time)","value":"12:17:00"},{"id":151,"name":"Denver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1"/>
      <c r="AL229" s="231"/>
      <c r="AM229" s="240" t="str">
        <f t="shared" si="100"/>
        <v>start /low /b %USERPROFILE%\Documents\GitHub\eaglep3\Utilities\DownloadLogsFromS3.py --loco 4054 --day 2018-01-09</v>
      </c>
      <c r="AN229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19:17:00"},{"id":29,"name":"Sharepoint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02"/>
        <v>https://d0f6bd738d7f1b3e5a7ca70fe4ff75f0.us-east-1.aws.found.io/app/kibana#/discover/Steve-Slow-Train-Analysis-(2080s-and-2083s)?_g=(refreshInterval:(display:Off,pause:!f,section:0,value:0),time:(from:'2018-01-09T10:48:16-0700',mode:absolute,to:'2018-01-09T13:17:00-0700'))&amp;_a=(columns:!('Message%20ID',Summary),filters:!(),index:'emp_*',interval:auto,query:(query_string:(analyze_wildcard:!t,query:'%22rtdc.l.rtdc.4054%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 s="229" t="s">
        <v>710</v>
      </c>
      <c r="B230" s="225">
        <v>4053</v>
      </c>
      <c r="C230" s="227" t="s">
        <v>191</v>
      </c>
      <c r="D230" s="227" t="s">
        <v>1018</v>
      </c>
      <c r="E230" s="226">
        <v>43109.409560185188</v>
      </c>
      <c r="F230" s="226">
        <v>43109.449583333335</v>
      </c>
      <c r="G230" s="225">
        <v>111</v>
      </c>
      <c r="H230" s="227" t="s">
        <v>1019</v>
      </c>
      <c r="I230" s="226">
        <v>43109.460428240738</v>
      </c>
      <c r="J230" s="225">
        <v>0</v>
      </c>
      <c r="K230" s="237" t="str">
        <f>IF(ISEVEN(B230),(B230-1)&amp;"/"&amp;B230,B230&amp;"/"&amp;(B230+1))</f>
        <v>4053/4054</v>
      </c>
      <c r="L230" s="245" t="str">
        <f>VLOOKUP(A230,'Trips&amp;Operators'!$C$1:$G$99911,5,FALSE)</f>
        <v>DELGADO DIANAH</v>
      </c>
      <c r="M230" s="224">
        <f>I230-F230</f>
        <v>1.0844907403225079E-2</v>
      </c>
      <c r="N230" s="225">
        <f>24*60*SUM($M230:$M230)</f>
        <v>15.616666660644114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-09T08:49:46-0700',mode:absolute,to:'2018-01-09T12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1</v>
      </c>
      <c r="Y230" s="247">
        <f>RIGHT(D230,LEN(D230)-4)/10000</f>
        <v>11.219900000000001</v>
      </c>
      <c r="Z230" s="247">
        <f>RIGHT(H230,LEN(H230)-4)/10000</f>
        <v>3.8645</v>
      </c>
      <c r="AA230" s="247">
        <f>ABS(Z230-Y230)</f>
        <v>7.3554000000000013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64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/stypes="app*4053*20180109*" /stext=" 18:.+((SYSTEM_STATE.+slice.+state.+changed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98"/>
        <v>"%USERPROFILE%\Documents\GitHub\eaglep3\Utilities\RefineRTDCRunTimes.py" --tripid 64-09 --locoid 4053 --swversion DE.1.0.9.0 --startMP 300:112199 --initTime 2018-01-09T09:49:46 --startdatetime 2018-01-09T10:47:24 --delay 111 --endMP 300:38645 --enddatetime 2018-01-09T11:03:01 --enforcementcount 0 &gt;&gt;%USERPROFILE%\Documents\GitHub\eaglep3-reporting\EC\2018-01-09-refined-times.txt</v>
      </c>
      <c r="AI230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3.8645"},{"id":17,"name":"Train ID","value":"64-09"},{"id":16,"name":"Locomotive ID","value":"4053"},{"id":130,"name":"Impact","value":""},{"id":150,"name":"Time of Event (Mountain Time)","value":"11:03:01"},{"id":151,"name":"Denver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100"/>
        <v>start /low /b %USERPROFILE%\Documents\GitHub\eaglep3\Utilities\DownloadLogsFromS3.py --loco 4053 --day 2018-01-09</v>
      </c>
      <c r="AN230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02"/>
        <v>https://d0f6bd738d7f1b3e5a7ca70fe4ff75f0.us-east-1.aws.found.io/app/kibana#/discover/Steve-Slow-Train-Analysis-(2080s-and-2083s)?_g=(refreshInterval:(display:Off,pause:!f,section:0,value:0),time:(from:'2018-01-09T08:49:46-0700',mode:absolute,to:'2018-01-09T12:03:01-0700'))&amp;_a=(columns:!('Message%20ID',Summary),filters:!(),index:'emp_*',interval:auto,query:(query_string:(analyze_wildcard:!t,query:'%22rtdc.l.rtdc.4053%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710</v>
      </c>
      <c r="B231" s="225">
        <v>4053</v>
      </c>
      <c r="C231" s="227" t="s">
        <v>191</v>
      </c>
      <c r="D231" s="227" t="s">
        <v>1020</v>
      </c>
      <c r="E231" s="226">
        <v>43109.444988425923</v>
      </c>
      <c r="F231" s="226">
        <v>43109.449583333335</v>
      </c>
      <c r="G231" s="225">
        <v>150</v>
      </c>
      <c r="H231" s="227" t="s">
        <v>1021</v>
      </c>
      <c r="I231" s="226">
        <v>43109.460428240738</v>
      </c>
      <c r="J231" s="225">
        <v>0</v>
      </c>
      <c r="K231" s="237" t="str">
        <f>IF(ISEVEN(B231),(B231-1)&amp;"/"&amp;B231,B231&amp;"/"&amp;(B231+1))</f>
        <v>4053/4054</v>
      </c>
      <c r="L231" s="245" t="str">
        <f>VLOOKUP(A231,'Trips&amp;Operators'!$C$1:$G$99911,5,FALSE)</f>
        <v>DELGADO DIANAH</v>
      </c>
      <c r="M231" s="224">
        <f>I231-F231</f>
        <v>1.0844907403225079E-2</v>
      </c>
      <c r="N231" s="225">
        <f>24*60*SUM($M231:$M231)</f>
        <v>15.616666660644114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-09T09:40:47-0700',mode:absolute,to:'2018-01-09T12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0</v>
      </c>
      <c r="Y231" s="247">
        <f>RIGHT(D231,LEN(D231)-4)/10000</f>
        <v>11.222099999999999</v>
      </c>
      <c r="Z231" s="247">
        <f>RIGHT(H231,LEN(H231)-4)/10000</f>
        <v>3.9222000000000001</v>
      </c>
      <c r="AA231" s="247">
        <f>ABS(Z231-Y231)</f>
        <v>7.2998999999999992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64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/stypes="app*4053*20180109*" /stext=" 18:.+((SYSTEM_STATE.+slice.+state.+changed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98"/>
        <v>"%USERPROFILE%\Documents\GitHub\eaglep3\Utilities\RefineRTDCRunTimes.py" --tripid 64-09 --locoid 4053 --swversion DE.1.0.9.0 --startMP 300:112221 --initTime 2018-01-09T10:40:47 --startdatetime 2018-01-09T10:47:24 --delay 150 --endMP 300:39222 --enddatetime 2018-01-09T11:03:01 --enforcementcount 0 &gt;&gt;%USERPROFILE%\Documents\GitHub\eaglep3-reporting\EC\2018-01-09-refined-times.txt</v>
      </c>
      <c r="AI231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3.9222"},{"id":17,"name":"Train ID","value":"64-09"},{"id":16,"name":"Locomotive ID","value":"4053"},{"id":130,"name":"Impact","value":""},{"id":150,"name":"Time of Event (Mountain Time)","value":"11:03:01"},{"id":151,"name":"Denver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100"/>
        <v>start /low /b %USERPROFILE%\Documents\GitHub\eaglep3\Utilities\DownloadLogsFromS3.py --loco 4053 --day 2018-01-09</v>
      </c>
      <c r="AN231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02"/>
        <v>https://d0f6bd738d7f1b3e5a7ca70fe4ff75f0.us-east-1.aws.found.io/app/kibana#/discover/Steve-Slow-Train-Analysis-(2080s-and-2083s)?_g=(refreshInterval:(display:Off,pause:!f,section:0,value:0),time:(from:'2018-01-09T09:40:47-0700',mode:absolute,to:'2018-01-09T12:03:01-0700'))&amp;_a=(columns:!('Message%20ID',Summary),filters:!(),index:'emp_*',interval:auto,query:(query_string:(analyze_wildcard:!t,query:'%22rtdc.l.rtdc.4053%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 s="229" t="s">
        <v>710</v>
      </c>
      <c r="B232" s="225">
        <v>4053</v>
      </c>
      <c r="C232" s="227" t="s">
        <v>191</v>
      </c>
      <c r="D232" s="227" t="s">
        <v>672</v>
      </c>
      <c r="E232" s="226">
        <v>43109.512939814813</v>
      </c>
      <c r="F232" s="226">
        <v>43109.518518518518</v>
      </c>
      <c r="G232" s="225">
        <v>215</v>
      </c>
      <c r="H232" s="227" t="s">
        <v>1022</v>
      </c>
      <c r="I232" s="226">
        <v>43109.537928240738</v>
      </c>
      <c r="J232" s="225">
        <v>0</v>
      </c>
      <c r="K232" s="237" t="str">
        <f>IF(ISEVEN(B232),(B232-1)&amp;"/"&amp;B232,B232&amp;"/"&amp;(B232+1))</f>
        <v>4053/4054</v>
      </c>
      <c r="L232" s="245" t="str">
        <f>VLOOKUP(A232,'Trips&amp;Operators'!$C$1:$G$99911,5,FALSE)</f>
        <v>DELGADO DIANAH</v>
      </c>
      <c r="M232" s="224">
        <f>I232-F232</f>
        <v>1.9409722219279502E-2</v>
      </c>
      <c r="N232" s="225">
        <f>24*60*SUM($M232:$M232)</f>
        <v>27.949999995762482</v>
      </c>
      <c r="O232" s="225"/>
      <c r="P232" s="225"/>
      <c r="Q232" s="228"/>
      <c r="R232" s="242"/>
      <c r="S232" s="249">
        <f>1/IF(AG232="EC",12,1)*SUM(U232:U232)</f>
        <v>1</v>
      </c>
      <c r="T232" s="242" t="str">
        <f>IF(ISEVEN(LEFT(AD232,4)),"Southbound","NorthBound")</f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-09T11:18:38-0700',mode:absolute,to:'2018-01-09T13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0</v>
      </c>
      <c r="Y232" s="247">
        <f>RIGHT(D232,LEN(D232)-4)/10000</f>
        <v>11.2258</v>
      </c>
      <c r="Z232" s="247">
        <f>RIGHT(H232,LEN(H232)-4)/10000</f>
        <v>0.1116</v>
      </c>
      <c r="AA232" s="247">
        <f>ABS(Z232-Y232)</f>
        <v>11.1142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64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/stypes="app*4053*20180109*" /stext=" 19:.+((SYSTEM_STATE.+slice.+state.+changed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98"/>
        <v>"%USERPROFILE%\Documents\GitHub\eaglep3\Utilities\RefineRTDCRunTimes.py" --tripid 64-09 --locoid 4053 --swversion DE.1.0.9.0 --startMP 300:112258 --initTime 2018-01-09T12:18:38 --startdatetime 2018-01-09T12:26:40 --delay 215 --endMP 204:1116 --enddatetime 2018-01-09T12:54:37 --enforcementcount 0 &gt;&gt;%USERPROFILE%\Documents\GitHub\eaglep3-reporting\EC\2018-01-09-refined-times.txt</v>
      </c>
      <c r="AI232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0.1116"},{"id":17,"name":"Train ID","value":"64-09"},{"id":16,"name":"Locomotive ID","value":"4053"},{"id":130,"name":"Impact","value":""},{"id":150,"name":"Time of Event (Mountain Time)","value":"12:54:37"},{"id":151,"name":"Denver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1"/>
      <c r="AL232" s="231"/>
      <c r="AM232" s="240" t="str">
        <f t="shared" si="100"/>
        <v>start /low /b %USERPROFILE%\Documents\GitHub\eaglep3\Utilities\DownloadLogsFromS3.py --loco 4053 --day 2018-01-09</v>
      </c>
      <c r="AN232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19:54:37"},{"id":29,"name":"Sharepoint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02"/>
        <v>https://d0f6bd738d7f1b3e5a7ca70fe4ff75f0.us-east-1.aws.found.io/app/kibana#/discover/Steve-Slow-Train-Analysis-(2080s-and-2083s)?_g=(refreshInterval:(display:Off,pause:!f,section:0,value:0),time:(from:'2018-01-09T11:18:38-0700',mode:absolute,to:'2018-01-09T13:54:37-0700'))&amp;_a=(columns:!('Message%20ID',Summary),filters:!(),index:'emp_*',interval:auto,query:(query_string:(analyze_wildcard:!t,query:'%22rtdc.l.rtdc.4053%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 s="229" t="s">
        <v>706</v>
      </c>
      <c r="B233" s="225">
        <v>4054</v>
      </c>
      <c r="C233" s="227" t="s">
        <v>191</v>
      </c>
      <c r="D233" s="227" t="s">
        <v>1023</v>
      </c>
      <c r="E233" s="226">
        <v>43109.338055555556</v>
      </c>
      <c r="F233" s="226">
        <v>43109.347928240742</v>
      </c>
      <c r="G233" s="225">
        <v>188</v>
      </c>
      <c r="H233" s="227" t="s">
        <v>1017</v>
      </c>
      <c r="I233" s="226">
        <v>43109.36440972222</v>
      </c>
      <c r="J233" s="225">
        <v>0</v>
      </c>
      <c r="K233" s="237" t="str">
        <f>IF(ISEVEN(B233),(B233-1)&amp;"/"&amp;B233,B233&amp;"/"&amp;(B233+1))</f>
        <v>4053/4054</v>
      </c>
      <c r="L233" s="245" t="str">
        <f>VLOOKUP(A233,'Trips&amp;Operators'!$C$1:$G$99911,5,FALSE)</f>
        <v>ROMERO CHAD</v>
      </c>
      <c r="M233" s="224">
        <f>I233-F233</f>
        <v>1.6481481477967463E-2</v>
      </c>
      <c r="N233" s="225">
        <f>24*60*SUM($M233:$M233)</f>
        <v>23.733333328273147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-09T07:06:48-0700',mode:absolute,to:'2018-01-09T09:44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1</v>
      </c>
      <c r="Y233" s="247">
        <f>RIGHT(D233,LEN(D233)-4)/10000</f>
        <v>3.0489000000000002</v>
      </c>
      <c r="Z233" s="247">
        <f>RIGHT(H233,LEN(H233)-4)/10000</f>
        <v>11.257999999999999</v>
      </c>
      <c r="AA233" s="247">
        <f>ABS(Z233-Y233)</f>
        <v>8.2090999999999994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65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/stypes="app*4054*20180109*" /stext=" 15:.+((SYSTEM_STATE.+slice.+state.+changed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98"/>
        <v>"%USERPROFILE%\Documents\GitHub\eaglep3\Utilities\RefineRTDCRunTimes.py" --tripid 65-09 --locoid 4054 --swversion DE.1.0.9.0 --startMP 300:30489 --initTime 2018-01-09T08:06:48 --startdatetime 2018-01-09T08:21:01 --delay 188 --endMP 300:112580 --enddatetime 2018-01-09T08:44:45 --enforcementcount 0 &gt;&gt;%USERPROFILE%\Documents\GitHub\eaglep3-reporting\EC\2018-01-09-refined-times.txt</v>
      </c>
      <c r="AI233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11.258"},{"id":17,"name":"Train ID","value":"65-09"},{"id":16,"name":"Locomotive ID","value":"4054"},{"id":130,"name":"Impact","value":""},{"id":150,"name":"Time of Event (Mountain Time)","value":"08:44:45"},{"id":151,"name":"Denver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1"/>
      <c r="AL233" s="231"/>
      <c r="AM233" s="240" t="str">
        <f t="shared" si="100"/>
        <v>start /low /b %USERPROFILE%\Documents\GitHub\eaglep3\Utilities\DownloadLogsFromS3.py --loco 4054 --day 2018-01-09</v>
      </c>
      <c r="AN233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15:44:45"},{"id":29,"name":"Sharepoint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02"/>
        <v>https://d0f6bd738d7f1b3e5a7ca70fe4ff75f0.us-east-1.aws.found.io/app/kibana#/discover/Steve-Slow-Train-Analysis-(2080s-and-2083s)?_g=(refreshInterval:(display:Off,pause:!f,section:0,value:0),time:(from:'2018-01-09T07:06:48-0700',mode:absolute,to:'2018-01-09T09:44:45-0700'))&amp;_a=(columns:!('Message%20ID',Summary),filters:!(),index:'emp_*',interval:auto,query:(query_string:(analyze_wildcard:!t,query:'%22rtdc.l.rtdc.4054%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 s="229" t="s">
        <v>706</v>
      </c>
      <c r="B234" s="225">
        <v>4054</v>
      </c>
      <c r="C234" s="227" t="s">
        <v>191</v>
      </c>
      <c r="D234" s="227" t="s">
        <v>1024</v>
      </c>
      <c r="E234" s="226">
        <v>43109.387789351851</v>
      </c>
      <c r="F234" s="226">
        <v>43109.390451388892</v>
      </c>
      <c r="G234" s="225">
        <v>60</v>
      </c>
      <c r="H234" s="227" t="s">
        <v>1025</v>
      </c>
      <c r="I234" s="226">
        <v>43109.40828703704</v>
      </c>
      <c r="J234" s="225">
        <v>0</v>
      </c>
      <c r="K234" s="237" t="str">
        <f>IF(ISEVEN(B234),(B234-1)&amp;"/"&amp;B234,B234&amp;"/"&amp;(B234+1))</f>
        <v>4053/4054</v>
      </c>
      <c r="L234" s="245" t="str">
        <f>VLOOKUP(A234,'Trips&amp;Operators'!$C$1:$G$99911,5,FALSE)</f>
        <v>ROMERO CHAD</v>
      </c>
      <c r="M234" s="224">
        <f>I234-F234</f>
        <v>1.7835648148320615E-2</v>
      </c>
      <c r="N234" s="225">
        <f>24*60*SUM($M234:$M234)</f>
        <v>25.683333333581686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2018-01-09T08:18:25-0700',mode:absolute,to:'2018-01-09T10:47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0</v>
      </c>
      <c r="Y234" s="247">
        <f>RIGHT(D234,LEN(D234)-4)/10000</f>
        <v>3.8696999999999999</v>
      </c>
      <c r="Z234" s="247">
        <f>RIGHT(H234,LEN(H234)-4)/10000</f>
        <v>11.2517</v>
      </c>
      <c r="AA234" s="247">
        <f>ABS(Z234-Y234)</f>
        <v>7.3819999999999997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65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/stypes="app*4054*20180109*" /stext=" 16:.+((SYSTEM_STATE.+slice.+state.+changed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98"/>
        <v>"%USERPROFILE%\Documents\GitHub\eaglep3\Utilities\RefineRTDCRunTimes.py" --tripid 65-09 --locoid 4054 --swversion DE.1.0.9.0 --startMP 300:38697 --initTime 2018-01-09T09:18:25 --startdatetime 2018-01-09T09:22:15 --delay 60 --endMP 300:112517 --enddatetime 2018-01-09T09:47:56 --enforcementcount 0 &gt;&gt;%USERPROFILE%\Documents\GitHub\eaglep3-reporting\EC\2018-01-09-refined-times.txt</v>
      </c>
      <c r="AI234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11.2517"},{"id":17,"name":"Train ID","value":"65-09"},{"id":16,"name":"Locomotive ID","value":"4054"},{"id":130,"name":"Impact","value":""},{"id":150,"name":"Time of Event (Mountain Time)","value":"09:47:56"},{"id":151,"name":"Denver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1"/>
      <c r="AL234" s="231"/>
      <c r="AM234" s="240" t="str">
        <f t="shared" si="100"/>
        <v>start /low /b %USERPROFILE%\Documents\GitHub\eaglep3\Utilities\DownloadLogsFromS3.py --loco 4054 --day 2018-01-09</v>
      </c>
      <c r="AN234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16:47:56"},{"id":29,"name":"Sharepoint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02"/>
        <v>https://d0f6bd738d7f1b3e5a7ca70fe4ff75f0.us-east-1.aws.found.io/app/kibana#/discover/Steve-Slow-Train-Analysis-(2080s-and-2083s)?_g=(refreshInterval:(display:Off,pause:!f,section:0,value:0),time:(from:'2018-01-09T08:18:25-0700',mode:absolute,to:'2018-01-09T10:47:56-0700'))&amp;_a=(columns:!('Message%20ID',Summary),filters:!(),index:'emp_*',interval:auto,query:(query_string:(analyze_wildcard:!t,query:'%22rtdc.l.rtdc.4054%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29" t="s">
        <v>711</v>
      </c>
      <c r="B235" s="225">
        <v>4053</v>
      </c>
      <c r="C235" s="227" t="s">
        <v>191</v>
      </c>
      <c r="D235" s="227" t="s">
        <v>1026</v>
      </c>
      <c r="E235" s="226">
        <v>43109.366655092592</v>
      </c>
      <c r="F235" s="226">
        <v>43109.37159722222</v>
      </c>
      <c r="G235" s="225">
        <v>94</v>
      </c>
      <c r="H235" s="227" t="s">
        <v>1027</v>
      </c>
      <c r="I235" s="226">
        <v>43109.384733796294</v>
      </c>
      <c r="J235" s="225">
        <v>0</v>
      </c>
      <c r="K235" s="237" t="str">
        <f>IF(ISEVEN(B235),(B235-1)&amp;"/"&amp;B235,B235&amp;"/"&amp;(B235+1))</f>
        <v>4053/4054</v>
      </c>
      <c r="L235" s="245" t="str">
        <f>VLOOKUP(A235,'Trips&amp;Operators'!$C$1:$G$99911,5,FALSE)</f>
        <v>ROMERO CHAD</v>
      </c>
      <c r="M235" s="224">
        <f>I235-F235</f>
        <v>1.3136574074451346E-2</v>
      </c>
      <c r="N235" s="225">
        <f>24*60*SUM($M235:$M235)</f>
        <v>18.916666667209938</v>
      </c>
      <c r="O235" s="225"/>
      <c r="P235" s="225"/>
      <c r="Q235" s="228"/>
      <c r="R235" s="242"/>
      <c r="S235" s="249">
        <f>1/IF(AG235="EC",12,1)*SUM(U235:U235)</f>
        <v>0</v>
      </c>
      <c r="T235" s="242" t="str">
        <f>IF(ISEVEN(LEFT(AD235,4)),"Southbound","NorthBound")</f>
        <v>Southbound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2018-01-09T07:47:59-0700',mode:absolute,to:'2018-01-09T10:14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1</v>
      </c>
      <c r="Y235" s="247">
        <f>RIGHT(D235,LEN(D235)-4)/10000</f>
        <v>11.226599999999999</v>
      </c>
      <c r="Z235" s="247">
        <f>RIGHT(H235,LEN(H235)-4)/10000</f>
        <v>3.8376000000000001</v>
      </c>
      <c r="AA235" s="247">
        <f>ABS(Z235-Y235)</f>
        <v>7.3889999999999993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66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/stypes="app*4053*20180109*" /stext=" 16:.+((SYSTEM_STATE.+slice.+state.+changed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98"/>
        <v>"%USERPROFILE%\Documents\GitHub\eaglep3\Utilities\RefineRTDCRunTimes.py" --tripid 66-09 --locoid 4053 --swversion DE.1.0.9.0 --startMP 300:112266 --initTime 2018-01-09T08:47:59 --startdatetime 2018-01-09T08:55:06 --delay 94 --endMP 300:38376 --enddatetime 2018-01-09T09:14:01 --enforcementcount 0 &gt;&gt;%USERPROFILE%\Documents\GitHub\eaglep3-reporting\EC\2018-01-09-refined-times.txt</v>
      </c>
      <c r="AI235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3.8376"},{"id":17,"name":"Train ID","value":"66-09"},{"id":16,"name":"Locomotive ID","value":"4053"},{"id":130,"name":"Impact","value":""},{"id":150,"name":"Time of Event (Mountain Time)","value":"09:14:01"},{"id":151,"name":"Denver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100"/>
        <v>start /low /b %USERPROFILE%\Documents\GitHub\eaglep3\Utilities\DownloadLogsFromS3.py --loco 4053 --day 2018-01-09</v>
      </c>
      <c r="AN235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16:14:01"},{"id":29,"name":"Sharepoint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02"/>
        <v>https://d0f6bd738d7f1b3e5a7ca70fe4ff75f0.us-east-1.aws.found.io/app/kibana#/discover/Steve-Slow-Train-Analysis-(2080s-and-2083s)?_g=(refreshInterval:(display:Off,pause:!f,section:0,value:0),time:(from:'2018-01-09T07:47:59-0700',mode:absolute,to:'2018-01-09T10:14:01-0700'))&amp;_a=(columns:!('Message%20ID',Summary),filters:!(),index:'emp_*',interval:auto,query:(query_string:(analyze_wildcard:!t,query:'%22rtdc.l.rtdc.4053%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 s="229" t="s">
        <v>711</v>
      </c>
      <c r="B236" s="225">
        <v>4053</v>
      </c>
      <c r="C236" s="227" t="s">
        <v>191</v>
      </c>
      <c r="D236" s="227" t="s">
        <v>1028</v>
      </c>
      <c r="E236" s="226">
        <v>43109.475231481483</v>
      </c>
      <c r="F236" s="226">
        <v>43109.47892361111</v>
      </c>
      <c r="G236" s="225">
        <v>78</v>
      </c>
      <c r="H236" s="227" t="s">
        <v>1029</v>
      </c>
      <c r="I236" s="226">
        <v>43109.490393518521</v>
      </c>
      <c r="J236" s="225">
        <v>0</v>
      </c>
      <c r="K236" s="237" t="str">
        <f>IF(ISEVEN(B236),(B236-1)&amp;"/"&amp;B236,B236&amp;"/"&amp;(B236+1))</f>
        <v>4053/4054</v>
      </c>
      <c r="L236" s="245" t="str">
        <f>VLOOKUP(A236,'Trips&amp;Operators'!$C$1:$G$99911,5,FALSE)</f>
        <v>ROMERO CHAD</v>
      </c>
      <c r="M236" s="224">
        <f>I236-F236</f>
        <v>1.1469907411083113E-2</v>
      </c>
      <c r="N236" s="225">
        <f>24*60*SUM($M236:$M236)</f>
        <v>16.516666671959683</v>
      </c>
      <c r="O236" s="225"/>
      <c r="P236" s="225"/>
      <c r="Q236" s="228"/>
      <c r="R236" s="242"/>
      <c r="S236" s="249">
        <f>1/IF(AG236="EC",12,1)*SUM(U236:U236)</f>
        <v>0</v>
      </c>
      <c r="T236" s="242" t="str">
        <f>IF(ISEVEN(LEFT(AD236,4)),"Southbound","NorthBound")</f>
        <v>Southbound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2018-01-09T10:24:20-0700',mode:absolute,to:'2018-01-09T12:46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0</v>
      </c>
      <c r="Y236" s="247">
        <f>RIGHT(D236,LEN(D236)-4)/10000</f>
        <v>11.2277</v>
      </c>
      <c r="Z236" s="247">
        <f>RIGHT(H236,LEN(H236)-4)/10000</f>
        <v>3.8506999999999998</v>
      </c>
      <c r="AA236" s="247">
        <f>ABS(Z236-Y236)</f>
        <v>7.3770000000000007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66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/stypes="app*4053*20180109*" /stext=" 18:.+((SYSTEM_STATE.+slice.+state.+changed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98"/>
        <v>"%USERPROFILE%\Documents\GitHub\eaglep3\Utilities\RefineRTDCRunTimes.py" --tripid 66-09 --locoid 4053 --swversion DE.1.0.9.0 --startMP 300:112277 --initTime 2018-01-09T11:24:20 --startdatetime 2018-01-09T11:29:39 --delay 78 --endMP 300:38507 --enddatetime 2018-01-09T11:46:10 --enforcementcount 0 &gt;&gt;%USERPROFILE%\Documents\GitHub\eaglep3-reporting\EC\2018-01-09-refined-times.txt</v>
      </c>
      <c r="AI236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3.8507"},{"id":17,"name":"Train ID","value":"66-09"},{"id":16,"name":"Locomotive ID","value":"4053"},{"id":130,"name":"Impact","value":""},{"id":150,"name":"Time of Event (Mountain Time)","value":"11:46:10"},{"id":151,"name":"Denver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1"/>
      <c r="AL236" s="231"/>
      <c r="AM236" s="240" t="str">
        <f t="shared" si="100"/>
        <v>start /low /b %USERPROFILE%\Documents\GitHub\eaglep3\Utilities\DownloadLogsFromS3.py --loco 4053 --day 2018-01-09</v>
      </c>
      <c r="AN236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18:46:10"},{"id":29,"name":"Sharepoint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102"/>
        <v>https://d0f6bd738d7f1b3e5a7ca70fe4ff75f0.us-east-1.aws.found.io/app/kibana#/discover/Steve-Slow-Train-Analysis-(2080s-and-2083s)?_g=(refreshInterval:(display:Off,pause:!f,section:0,value:0),time:(from:'2018-01-09T10:24:20-0700',mode:absolute,to:'2018-01-09T12:46:10-0700'))&amp;_a=(columns:!('Message%20ID',Summary),filters:!(),index:'emp_*',interval:auto,query:(query_string:(analyze_wildcard:!t,query:'%22rtdc.l.rtdc.4053%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3" customFormat="1" x14ac:dyDescent="0.3">
      <c r="A237" s="229" t="s">
        <v>711</v>
      </c>
      <c r="B237" s="225">
        <v>4009</v>
      </c>
      <c r="C237" s="227" t="s">
        <v>191</v>
      </c>
      <c r="D237" s="227" t="s">
        <v>1030</v>
      </c>
      <c r="E237" s="226">
        <v>43109.734270833331</v>
      </c>
      <c r="F237" s="226">
        <v>43109.740624999999</v>
      </c>
      <c r="G237" s="225">
        <v>116</v>
      </c>
      <c r="H237" s="227" t="s">
        <v>1031</v>
      </c>
      <c r="I237" s="226">
        <v>43109.740787037037</v>
      </c>
      <c r="J237" s="225">
        <v>0</v>
      </c>
      <c r="K237" s="237" t="str">
        <f>IF(ISEVEN(B237),(B237-1)&amp;"/"&amp;B237,B237&amp;"/"&amp;(B237+1))</f>
        <v>4009/4010</v>
      </c>
      <c r="L237" s="245" t="str">
        <f>VLOOKUP(A237,'Trips&amp;Operators'!$C$1:$G$99911,5,FALSE)</f>
        <v>ROMERO CHAD</v>
      </c>
      <c r="M237" s="224">
        <f>I237-F237</f>
        <v>1.6203703853534535E-4</v>
      </c>
      <c r="N237" s="225">
        <f>24*60*SUM($M237:$M237)</f>
        <v>0.2333333354908973</v>
      </c>
      <c r="O237" s="225"/>
      <c r="P237" s="225"/>
      <c r="Q237" s="228"/>
      <c r="R237" s="242"/>
      <c r="S237" s="249">
        <f>1/IF(AG237="EC",12,1)*SUM(U237:U237)</f>
        <v>0</v>
      </c>
      <c r="T237" s="242" t="str">
        <f>IF(ISEVEN(LEFT(AD237,4)),"Southbound","NorthBound")</f>
        <v>Southbound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2018-01-09T16:37:21-0700',mode:absolute,to:'2018-01-09T18:46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0</v>
      </c>
      <c r="Y237" s="247">
        <f>RIGHT(D237,LEN(D237)-4)/10000</f>
        <v>2.5118</v>
      </c>
      <c r="Z237" s="247">
        <f>RIGHT(H237,LEN(H237)-4)/10000</f>
        <v>2.4645999999999999</v>
      </c>
      <c r="AA237" s="247">
        <f>ABS(Z237-Y237)</f>
        <v>4.7200000000000131E-2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66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 &amp; aws s3 cp s3://rtdc.mdm.uploadarchive.raw/RTDC4009/ "%USERPROFILE%\AppData\Local\Temp\OnboardLogs"\RTDC4009\2018-01-10 --exclude "*" --recursive --include "*20180110*" &amp; "%USERPROFILE%\Documents\GitHub\mrs-test-scripts\Headless Mode &amp; Sideloading\WalkAndUnGZ.bat" "%USERPROFILE%\AppData\Local\Temp\OnboardLogs"\RTDC4009\2018-01-10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/stypes="app*4009*20180110*" /stext=" 00:.+((SYSTEM_STATE.+slice.+state.+changed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98"/>
        <v>"%USERPROFILE%\Documents\GitHub\eaglep3\Utilities\RefineRTDCRunTimes.py" --tripid 66-09 --locoid 4009 --swversion DE.1.0.9.0 --startMP 300:25118 --initTime 2018-01-09T17:37:21 --startdatetime 2018-01-09T17:46:30 --delay 116 --endMP 300:24646 --enddatetime 2018-01-09T17:46:44 --enforcementcount 0 &gt;&gt;%USERPROFILE%\Documents\GitHub\eaglep3-reporting\EC\2018-01-09-refined-times.txt</v>
      </c>
      <c r="AI237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2.4646"},{"id":17,"name":"Train ID","value":"66-09"},{"id":16,"name":"Locomotive ID","value":"4009"},{"id":130,"name":"Impact","value":""},{"id":150,"name":"Time of Event (Mountain Time)","value":"17:46:44"},{"id":151,"name":"Denver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231"/>
      <c r="AL237" s="231"/>
      <c r="AM237" s="240" t="str">
        <f t="shared" si="100"/>
        <v>start /low /b %USERPROFILE%\Documents\GitHub\eaglep3\Utilities\DownloadLogsFromS3.py --loco 4009 --day 2018-01-09</v>
      </c>
      <c r="AN237" s="241" t="str">
        <f t="shared" si="101"/>
        <v>echo {"issue":{"subject":"","project_id":30,"tracker_id":4,"status_id":1,"priority_id":1,"assigned_to_id":10,"start_date":"2018-01-10","description":"","custom_fields":[{"id":30,"name":"Category","value":"Issue"},{"id":3,"name":"Functional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UTC","value":"2018-01-10 00:46:44"},{"id":29,"name":"Sharepoint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102"/>
        <v>https://d0f6bd738d7f1b3e5a7ca70fe4ff75f0.us-east-1.aws.found.io/app/kibana#/discover/Steve-Slow-Train-Analysis-(2080s-and-2083s)?_g=(refreshInterval:(display:Off,pause:!f,section:0,value:0),time:(from:'2018-01-09T16:37:21-0700',mode:absolute,to:'2018-01-09T18:46:44-0700'))&amp;_a=(columns:!('Message%20ID',Summary),filters:!(),index:'emp_*',interval:auto,query:(query_string:(analyze_wildcard:!t,query:'%22rtdc.l.rtdc.4009%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715</v>
      </c>
      <c r="B238" s="225">
        <v>4054</v>
      </c>
      <c r="C238" s="227" t="s">
        <v>191</v>
      </c>
      <c r="D238" s="227" t="s">
        <v>1032</v>
      </c>
      <c r="E238" s="226">
        <v>43109.645902777775</v>
      </c>
      <c r="F238" s="226">
        <v>43109.647546296299</v>
      </c>
      <c r="G238" s="225">
        <v>71</v>
      </c>
      <c r="H238" s="227" t="s">
        <v>1033</v>
      </c>
      <c r="I238" s="226">
        <v>43109.648900462962</v>
      </c>
      <c r="J238" s="225">
        <v>0</v>
      </c>
      <c r="K238" s="237" t="str">
        <f>IF(ISEVEN(B238),(B238-1)&amp;"/"&amp;B238,B238&amp;"/"&amp;(B238+1))</f>
        <v>4053/4054</v>
      </c>
      <c r="L238" s="245" t="str">
        <f>VLOOKUP(A238,'Trips&amp;Operators'!$C$1:$G$99911,5,FALSE)</f>
        <v>ZEWDU DEREJE</v>
      </c>
      <c r="M238" s="224">
        <f>I238-F238</f>
        <v>1.3541666630771942E-3</v>
      </c>
      <c r="N238" s="225">
        <f>24*60*SUM($M238:$M238)</f>
        <v>1.9499999948311597</v>
      </c>
      <c r="O238" s="225"/>
      <c r="P238" s="225"/>
      <c r="Q238" s="228"/>
      <c r="R238" s="242"/>
      <c r="S238" s="249">
        <f>1/IF(AG238="EC",12,1)*SUM(U238:U238)</f>
        <v>0</v>
      </c>
      <c r="T238" s="242" t="str">
        <f>IF(ISEVEN(LEFT(AD238,4)),"Southbound","NorthBound")</f>
        <v>NorthBound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2018-01-09T14:30:06-0700',mode:absolute,to:'2018-01-09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8" s="247" t="str">
        <f>IF(AA238&lt;VLOOKUP(AG238,Variables!$AC$3:$AD$8,2,FALSE),"Y","N")</f>
        <v>Y</v>
      </c>
      <c r="X238" s="247">
        <f>VALUE(LEFT(AD238,4))-VALUE(LEFT(AD237,4))</f>
        <v>1</v>
      </c>
      <c r="Y238" s="247">
        <f>RIGHT(D238,LEN(D238)-4)/10000</f>
        <v>11.0265</v>
      </c>
      <c r="Z238" s="247">
        <f>RIGHT(H238,LEN(H238)-4)/10000</f>
        <v>11.257</v>
      </c>
      <c r="AA238" s="247">
        <f>ABS(Z238-Y238)</f>
        <v>0.23049999999999926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>VALUE(LEFT(A238,LEN(A238)-3))</f>
        <v>67</v>
      </c>
      <c r="AE238" s="23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/stypes="app*4054*20180109*" /stext=" 22:.+((SYSTEM_STATE.+slice.+state.+changed )|(ment ac)|(multiple cpu faults)|(system.+state.+changed )|(\[timeout)|(PRM\|1\|D)|(kpr)|(kdp)|(train st.+moving)|(\|lc)|(penalty))"</v>
      </c>
      <c r="AG238" s="244" t="str">
        <f>DetSubdiv(A238)</f>
        <v>Shuttle/Test</v>
      </c>
      <c r="AH238" s="236" t="str">
        <f t="shared" si="98"/>
        <v>"%USERPROFILE%\Documents\GitHub\eaglep3\Utilities\RefineRTDCRunTimes.py" --tripid 67-09 --locoid 4054 --swversion DE.1.0.9.0 --startMP 300:110265 --initTime 2018-01-09T15:30:06 --startdatetime 2018-01-09T15:32:28 --delay 71 --endMP 300:112570 --enddatetime 2018-01-09T15:34:25 --enforcementcount 0 &gt;&gt;%USERPROFILE%\Documents\GitHub\eaglep3-reporting\EC\2018-01-09-refined-times.txt</v>
      </c>
      <c r="AI238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11.257"},{"id":17,"name":"Train ID","value":"67-09"},{"id":16,"name":"Locomotive ID","value":"4054"},{"id":130,"name":"Impact","value":""},{"id":150,"name":"Time of Event (Mountain Time)","value":"15:34:25"},{"id":151,"name":"Denver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100"/>
        <v>start /low /b %USERPROFILE%\Documents\GitHub\eaglep3\Utilities\DownloadLogsFromS3.py --loco 4054 --day 2018-01-09</v>
      </c>
      <c r="AN238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102"/>
        <v>https://d0f6bd738d7f1b3e5a7ca70fe4ff75f0.us-east-1.aws.found.io/app/kibana#/discover/Steve-Slow-Train-Analysis-(2080s-and-2083s)?_g=(refreshInterval:(display:Off,pause:!f,section:0,value:0),time:(from:'2018-01-09T14:30:06-0700',mode:absolute,to:'2018-01-09T16:34:25-0700'))&amp;_a=(columns:!('Message%20ID',Summary),filters:!(),index:'emp_*',interval:auto,query:(query_string:(analyze_wildcard:!t,query:'%22rtdc.l.rtdc.4054%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 s="229" t="s">
        <v>715</v>
      </c>
      <c r="B239" s="225">
        <v>4054</v>
      </c>
      <c r="C239" s="227" t="s">
        <v>191</v>
      </c>
      <c r="D239" s="227" t="s">
        <v>1034</v>
      </c>
      <c r="E239" s="226">
        <v>43109.620104166665</v>
      </c>
      <c r="F239" s="226">
        <v>43109.647546296299</v>
      </c>
      <c r="G239" s="225">
        <v>54</v>
      </c>
      <c r="H239" s="227" t="s">
        <v>670</v>
      </c>
      <c r="I239" s="226">
        <v>43109.648900462962</v>
      </c>
      <c r="J239" s="225">
        <v>0</v>
      </c>
      <c r="K239" s="237" t="str">
        <f>IF(ISEVEN(B239),(B239-1)&amp;"/"&amp;B239,B239&amp;"/"&amp;(B239+1))</f>
        <v>4053/4054</v>
      </c>
      <c r="L239" s="245" t="str">
        <f>VLOOKUP(A239,'Trips&amp;Operators'!$C$1:$G$99911,5,FALSE)</f>
        <v>ZEWDU DEREJE</v>
      </c>
      <c r="M239" s="224">
        <f>I239-F239</f>
        <v>1.3541666630771942E-3</v>
      </c>
      <c r="N239" s="225">
        <f>24*60*SUM($M239:$M239)</f>
        <v>1.9499999948311597</v>
      </c>
      <c r="O239" s="225"/>
      <c r="P239" s="225"/>
      <c r="Q239" s="228"/>
      <c r="R239" s="242"/>
      <c r="S239" s="249">
        <f>1/IF(AG239="EC",12,1)*SUM(U239:U239)</f>
        <v>0</v>
      </c>
      <c r="T239" s="242" t="str">
        <f>IF(ISEVEN(LEFT(AD239,4)),"Southbound","NorthBound")</f>
        <v>NorthBound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2018-01-09T13:52:57-0700',mode:absolute,to:'2018-01-09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9" s="247" t="str">
        <f>IF(AA239&lt;VLOOKUP(AG239,Variables!$AC$3:$AD$8,2,FALSE),"Y","N")</f>
        <v>Y</v>
      </c>
      <c r="X239" s="247">
        <f>VALUE(LEFT(AD239,4))-VALUE(LEFT(AD238,4))</f>
        <v>0</v>
      </c>
      <c r="Y239" s="247">
        <f>RIGHT(D239,LEN(D239)-4)/10000</f>
        <v>3.9529999999999998</v>
      </c>
      <c r="Z239" s="247">
        <f>RIGHT(H239,LEN(H239)-4)/10000</f>
        <v>11.2578</v>
      </c>
      <c r="AA239" s="247">
        <f>ABS(Z239-Y239)</f>
        <v>7.3048000000000002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>VALUE(LEFT(A239,LEN(A239)-3))</f>
        <v>67</v>
      </c>
      <c r="AE239" s="23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/stypes="app*4054*20180109*" /stext=" 22:.+((SYSTEM_STATE.+slice.+state.+changed )|(ment ac)|(multiple cpu faults)|(system.+state.+changed )|(\[timeout)|(PRM\|1\|D)|(kpr)|(kdp)|(train st.+moving)|(\|lc)|(penalty))"</v>
      </c>
      <c r="AG239" s="244" t="str">
        <f>DetSubdiv(A239)</f>
        <v>Shuttle/Test</v>
      </c>
      <c r="AH239" s="236" t="str">
        <f t="shared" si="98"/>
        <v>"%USERPROFILE%\Documents\GitHub\eaglep3\Utilities\RefineRTDCRunTimes.py" --tripid 67-09 --locoid 4054 --swversion DE.1.0.9.0 --startMP 300:39530 --initTime 2018-01-09T14:52:57 --startdatetime 2018-01-09T15:32:28 --delay 54 --endMP 300:112578 --enddatetime 2018-01-09T15:34:25 --enforcementcount 0 &gt;&gt;%USERPROFILE%\Documents\GitHub\eaglep3-reporting\EC\2018-01-09-refined-times.txt</v>
      </c>
      <c r="AI239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11.2578"},{"id":17,"name":"Train ID","value":"67-09"},{"id":16,"name":"Locomotive ID","value":"4054"},{"id":130,"name":"Impact","value":""},{"id":150,"name":"Time of Event (Mountain Time)","value":"15:34:25"},{"id":151,"name":"Denver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1"/>
      <c r="AL239" s="231"/>
      <c r="AM239" s="240" t="str">
        <f t="shared" si="100"/>
        <v>start /low /b %USERPROFILE%\Documents\GitHub\eaglep3\Utilities\DownloadLogsFromS3.py --loco 4054 --day 2018-01-09</v>
      </c>
      <c r="AN239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102"/>
        <v>https://d0f6bd738d7f1b3e5a7ca70fe4ff75f0.us-east-1.aws.found.io/app/kibana#/discover/Steve-Slow-Train-Analysis-(2080s-and-2083s)?_g=(refreshInterval:(display:Off,pause:!f,section:0,value:0),time:(from:'2018-01-09T13:52:57-0700',mode:absolute,to:'2018-01-09T16:34:25-0700'))&amp;_a=(columns:!('Message%20ID',Summary),filters:!(),index:'emp_*',interval:auto,query:(query_string:(analyze_wildcard:!t,query:'%22rtdc.l.rtdc.4054%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 s="229" t="s">
        <v>717</v>
      </c>
      <c r="B240" s="225">
        <v>4053</v>
      </c>
      <c r="C240" s="227" t="s">
        <v>191</v>
      </c>
      <c r="D240" s="227" t="s">
        <v>1035</v>
      </c>
      <c r="E240" s="226">
        <v>43109.634837962964</v>
      </c>
      <c r="F240" s="226">
        <v>43109.652962962966</v>
      </c>
      <c r="G240" s="225">
        <v>95</v>
      </c>
      <c r="H240" s="227" t="s">
        <v>1036</v>
      </c>
      <c r="I240" s="226">
        <v>43109.67114583333</v>
      </c>
      <c r="J240" s="225">
        <v>0</v>
      </c>
      <c r="K240" s="237" t="str">
        <f>IF(ISEVEN(B240),(B240-1)&amp;"/"&amp;B240,B240&amp;"/"&amp;(B240+1))</f>
        <v>4053/4054</v>
      </c>
      <c r="L240" s="245" t="str">
        <f>VLOOKUP(A240,'Trips&amp;Operators'!$C$1:$G$99911,5,FALSE)</f>
        <v>ZEWDU DEREJE</v>
      </c>
      <c r="M240" s="224">
        <f>I240-F240</f>
        <v>1.8182870364398696E-2</v>
      </c>
      <c r="N240" s="225">
        <f>24*60*SUM($M240:$M240)</f>
        <v>26.183333324734122</v>
      </c>
      <c r="O240" s="225"/>
      <c r="P240" s="225"/>
      <c r="Q240" s="228"/>
      <c r="R240" s="242" t="s">
        <v>1086</v>
      </c>
      <c r="S240" s="249">
        <f>1/IF(AG240="EC",12,1)*SUM(U240:U240)</f>
        <v>0</v>
      </c>
      <c r="T240" s="242" t="str">
        <f>IF(ISEVEN(LEFT(AD240,4)),"Southbound","NorthBound")</f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2018-01-09T14:14:10-0700',mode:absolute,to:'2018-01-09T17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0" s="247" t="str">
        <f>IF(AA240&lt;VLOOKUP(AG240,Variables!$AC$3:$AD$8,2,FALSE),"Y","N")</f>
        <v>Y</v>
      </c>
      <c r="X240" s="247">
        <f>VALUE(LEFT(AD240,4))-VALUE(LEFT(AD239,4))</f>
        <v>1</v>
      </c>
      <c r="Y240" s="247">
        <f>RIGHT(D240,LEN(D240)-4)/10000</f>
        <v>11.226000000000001</v>
      </c>
      <c r="Z240" s="247">
        <f>RIGHT(H240,LEN(H240)-4)/10000</f>
        <v>11.2264</v>
      </c>
      <c r="AA240" s="247">
        <f>ABS(Z240-Y240)</f>
        <v>3.9999999999906777E-4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>VALUE(LEFT(A240,LEN(A240)-3))</f>
        <v>68</v>
      </c>
      <c r="AE240" s="23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/stypes="app*4053*20180109*" /stext=" 23:.+((SYSTEM_STATE.+slice.+state.+changed )|(ment ac)|(multiple cpu faults)|(system.+state.+changed )|(\[timeout)|(PRM\|1\|D)|(kpr)|(kdp)|(train st.+moving)|(\|lc)|(penalty))"</v>
      </c>
      <c r="AG240" s="244" t="str">
        <f>DetSubdiv(A240)</f>
        <v>Shuttle/Test</v>
      </c>
      <c r="AH240" s="236" t="str">
        <f t="shared" si="98"/>
        <v>"%USERPROFILE%\Documents\GitHub\eaglep3\Utilities\RefineRTDCRunTimes.py" --tripid 68-09 --locoid 4053 --swversion DE.1.0.9.0 --startMP 300:112260 --initTime 2018-01-09T15:14:10 --startdatetime 2018-01-09T15:40:16 --delay 95 --endMP 300:112264 --enddatetime 2018-01-09T16:06:27 --enforcementcount 0 &gt;&gt;%USERPROFILE%\Documents\GitHub\eaglep3-reporting\EC\2018-01-09-refined-times.txt</v>
      </c>
      <c r="AI240" s="238" t="e">
        <f>"echo {""issue"":{""subject"":"""&amp;#REF!&amp;""",""project_id"":79,""tracker_id"":40,""status_id"":"&amp;redmine_status&amp;",""priority_id"":"&amp;redmine_priority&amp;",""assigned_to_id"":"&amp;redmine_assignee&amp;",""start_date"":"""&amp;TEXT(I240,"YYYY-mm-dd")&amp;""",""description"":"""&amp;AJ240&amp;""",""custom_fields"":[{""id"":1,""name"":""Subdivision"",""value"":"""&amp;AG240&amp;"""},{""id"":4,""name"":""Milepost"",""value"":"""&amp;Z240&amp;"""},{""id"":17,""name"":""Train ID"",""value"":"""&amp;A240&amp;"""},{""id"":16,""name"":""Locomotive ID"",""value"":"""&amp;B240&amp;"""},{""id"":130,""name"":""Impact"",""value"":"""&amp;AK240&amp;"""},{""id"":150,""name"":""Time of Event (Mountain Time)"",""value"":"""&amp;TEXT(I240,"hh:mm:ss")&amp;"""},{""id"":151,""name"":""Denver Issue ID"",""value"":"""&amp;"""},{""id"":178,""name"":""Operational Impact"",""value"":"""&amp;redmine_op_impact&amp;"""},{""id"":179,""name"":""Denver Segment Assigned"",""value"":"""&amp;AL240&amp;"""}]}}"&amp;" | curl --insecure -X POST -H ""Content-Type: application/json"" -H ""X-Redmine-API-Key: "&amp;redm_api_key&amp;""" "&amp;redm_url&amp;" --data @-"</f>
        <v>#REF!</v>
      </c>
      <c r="AK240" s="231"/>
      <c r="AL240" s="231"/>
      <c r="AM240" s="240" t="str">
        <f t="shared" si="100"/>
        <v>start /low /b %USERPROFILE%\Documents\GitHub\eaglep3\Utilities\DownloadLogsFromS3.py --loco 4053 --day 2018-01-09</v>
      </c>
      <c r="AN240" s="241" t="e">
        <f>"echo {""issue"":{""subject"":"""&amp;#REF!&amp;""",""project_id"":30,""tracker_id"":4,""status_id"":"&amp;redmine_status_wcr&amp;",""priority_id"":"&amp;redmine_priority_wcr&amp;",""assigned_to_id"":"&amp;redmine_assignee_wcr&amp;",""start_date"":"""&amp;TEXT(I240-utc_offset/24,"YYYY-mm-dd")&amp;""",""description"":"""&amp;AJ240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#REF!</v>
      </c>
      <c r="AO240" s="230" t="str">
        <f t="shared" si="102"/>
        <v>https://d0f6bd738d7f1b3e5a7ca70fe4ff75f0.us-east-1.aws.found.io/app/kibana#/discover/Steve-Slow-Train-Analysis-(2080s-and-2083s)?_g=(refreshInterval:(display:Off,pause:!f,section:0,value:0),time:(from:'2018-01-09T14:14:10-0700',mode:absolute,to:'2018-01-09T17:06:27-0700'))&amp;_a=(columns:!('Message%20ID',Summary),filters:!(),index:'emp_*',interval:auto,query:(query_string:(analyze_wildcard:!t,query:'%22rtdc.l.rtdc.4053%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29" t="s">
        <v>717</v>
      </c>
      <c r="B241" s="225">
        <v>4053</v>
      </c>
      <c r="C241" s="227" t="s">
        <v>191</v>
      </c>
      <c r="D241" s="227" t="s">
        <v>1036</v>
      </c>
      <c r="E241" s="226">
        <v>43109.599131944444</v>
      </c>
      <c r="F241" s="226">
        <v>43109.652962962966</v>
      </c>
      <c r="G241" s="225">
        <v>78</v>
      </c>
      <c r="H241" s="227" t="s">
        <v>1037</v>
      </c>
      <c r="I241" s="226">
        <v>43109.67114583333</v>
      </c>
      <c r="J241" s="225">
        <v>0</v>
      </c>
      <c r="K241" s="237" t="str">
        <f>IF(ISEVEN(B241),(B241-1)&amp;"/"&amp;B241,B241&amp;"/"&amp;(B241+1))</f>
        <v>4053/4054</v>
      </c>
      <c r="L241" s="245" t="str">
        <f>VLOOKUP(A241,'Trips&amp;Operators'!$C$1:$G$99911,5,FALSE)</f>
        <v>ZEWDU DEREJE</v>
      </c>
      <c r="M241" s="224">
        <f>I241-F241</f>
        <v>1.8182870364398696E-2</v>
      </c>
      <c r="N241" s="225">
        <f>24*60*SUM($M241:$M241)</f>
        <v>26.183333324734122</v>
      </c>
      <c r="O241" s="225"/>
      <c r="P241" s="225"/>
      <c r="Q241" s="228"/>
      <c r="R241" s="242"/>
      <c r="S241" s="249">
        <f>1/IF(AG241="EC",12,1)*SUM(U241:U241)</f>
        <v>0</v>
      </c>
      <c r="T241" s="242" t="str">
        <f>IF(ISEVEN(LEFT(AD241,4)),"Southbound","NorthBound")</f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2018-01-09T13:22:45-0700',mode:absolute,to:'2018-01-09T17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1" s="247" t="str">
        <f>IF(AA241&lt;VLOOKUP(AG241,Variables!$AC$3:$AD$8,2,FALSE),"Y","N")</f>
        <v>Y</v>
      </c>
      <c r="X241" s="247">
        <f>VALUE(LEFT(AD241,4))-VALUE(LEFT(AD240,4))</f>
        <v>0</v>
      </c>
      <c r="Y241" s="247">
        <f>RIGHT(D241,LEN(D241)-4)/10000</f>
        <v>11.2264</v>
      </c>
      <c r="Z241" s="247">
        <f>RIGHT(H241,LEN(H241)-4)/10000</f>
        <v>3.9211999999999998</v>
      </c>
      <c r="AA241" s="247">
        <f>ABS(Z241-Y241)</f>
        <v>7.3052000000000001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>VALUE(LEFT(A241,LEN(A241)-3))</f>
        <v>68</v>
      </c>
      <c r="AE241" s="23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/stypes="app*4053*20180109*" /stext=" 23:.+((SYSTEM_STATE.+slice.+state.+changed )|(ment ac)|(multiple cpu faults)|(system.+state.+changed )|(\[timeout)|(PRM\|1\|D)|(kpr)|(kdp)|(train st.+moving)|(\|lc)|(penalty))"</v>
      </c>
      <c r="AG241" s="244" t="str">
        <f>DetSubdiv(A241)</f>
        <v>Shuttle/Test</v>
      </c>
      <c r="AH241" s="236" t="str">
        <f t="shared" si="98"/>
        <v>"%USERPROFILE%\Documents\GitHub\eaglep3\Utilities\RefineRTDCRunTimes.py" --tripid 68-09 --locoid 4053 --swversion DE.1.0.9.0 --startMP 300:112264 --initTime 2018-01-09T14:22:45 --startdatetime 2018-01-09T15:40:16 --delay 78 --endMP 300:39212 --enddatetime 2018-01-09T16:06:27 --enforcementcount 0 &gt;&gt;%USERPROFILE%\Documents\GitHub\eaglep3-reporting\EC\2018-01-09-refined-times.txt</v>
      </c>
      <c r="AI241" s="238" t="str">
        <f>"echo {""issue"":{""subject"":"""&amp;R240&amp;""",""project_id"":79,""tracker_id"":40,""status_id"":"&amp;redmine_status&amp;",""priority_id"":"&amp;redmine_priority&amp;",""assigned_to_id"":"&amp;redmine_assignee&amp;",""start_date"":"""&amp;TEXT(I241,"YYYY-mm-dd")&amp;""",""description"":"""&amp;AJ241&amp;""",""custom_fields"":[{""id"":1,""name"":""Subdivision"",""value"":"""&amp;AG241&amp;"""},{""id"":4,""name"":""Milepost"",""value"":"""&amp;Z241&amp;"""},{""id"":17,""name"":""Train ID"",""value"":"""&amp;A241&amp;"""},{""id"":16,""name"":""Locomotive ID"",""value"":"""&amp;B241&amp;"""},{""id"":130,""name"":""Impact"",""value"":"""&amp;AK241&amp;"""},{""id"":150,""name"":""Time of Event (Mountain Time)"",""value"":"""&amp;TEXT(I241,"hh:mm:ss")&amp;"""},{""id"":151,""name"":""Denver Issue ID"",""value"":"""&amp;"""},{""id"":178,""name"":""Operational Impact"",""value"":"""&amp;redmine_op_impact&amp;"""},{""id"":179,""name"":""Denver Segment Assigned"",""value"":"""&amp;AL241&amp;"""}]}}"&amp;" | curl --insecure -X POST -H ""Content-Type: application/json"" -H ""X-Redmine-API-Key: "&amp;redm_api_key&amp;""" "&amp;redm_url&amp;" --data @-"</f>
        <v>echo {"issue":{"subject":"Unable to select track due to reverser handle not in forward","project_id":79,"tracker_id":40,"status_id":1,"priority_id":2,"assigned_to_id":338,"start_date":"2018-01-09","description":"","custom_fields":[{"id":1,"name":"Subdivision","value":"Shuttle/Test"},{"id":4,"name":"Milepost","value":"3.9212"},{"id":17,"name":"Train ID","value":"68-09"},{"id":16,"name":"Locomotive ID","value":"4053"},{"id":130,"name":"Impact","value":""},{"id":150,"name":"Time of Event (Mountain Time)","value":"16:06:27"},{"id":151,"name":"Denver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100"/>
        <v>start /low /b %USERPROFILE%\Documents\GitHub\eaglep3\Utilities\DownloadLogsFromS3.py --loco 4053 --day 2018-01-09</v>
      </c>
      <c r="AN241" s="241" t="str">
        <f>"echo {""issue"":{""subject"":"""&amp;R240&amp;""",""project_id"":30,""tracker_id"":4,""status_id"":"&amp;redmine_status_wcr&amp;",""priority_id"":"&amp;redmine_priority_wcr&amp;",""assigned_to_id"":"&amp;redmine_assignee_wcr&amp;",""start_date"":"""&amp;TEXT(I241-utc_offset/24,"YYYY-mm-dd")&amp;""",""description"":"""&amp;AJ241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{"issue":{"subject":"Unable to select track due to reverser handle not in forward","project_id":30,"tracker_id":4,"status_id":1,"priority_id":1,"assigned_to_id":10,"start_date":"2018-01-09","description":"","custom_fields":[{"id":30,"name":"Category","value":"Issue"},{"id":3,"name":"Functional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102"/>
        <v>https://d0f6bd738d7f1b3e5a7ca70fe4ff75f0.us-east-1.aws.found.io/app/kibana#/discover/Steve-Slow-Train-Analysis-(2080s-and-2083s)?_g=(refreshInterval:(display:Off,pause:!f,section:0,value:0),time:(from:'2018-01-09T13:22:45-0700',mode:absolute,to:'2018-01-09T17:06:27-0700'))&amp;_a=(columns:!('Message%20ID',Summary),filters:!(),index:'emp_*',interval:auto,query:(query_string:(analyze_wildcard:!t,query:'%22rtdc.l.rtdc.4053%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9" t="s">
        <v>717</v>
      </c>
      <c r="B242" s="225">
        <v>4053</v>
      </c>
      <c r="C242" s="227" t="s">
        <v>191</v>
      </c>
      <c r="D242" s="227" t="s">
        <v>1036</v>
      </c>
      <c r="E242" s="226">
        <v>43109.649918981479</v>
      </c>
      <c r="F242" s="226">
        <v>43109.652962962966</v>
      </c>
      <c r="G242" s="225">
        <v>50</v>
      </c>
      <c r="H242" s="227" t="s">
        <v>1038</v>
      </c>
      <c r="I242" s="226">
        <v>43109.67114583333</v>
      </c>
      <c r="J242" s="225">
        <v>0</v>
      </c>
      <c r="K242" s="237" t="str">
        <f>IF(ISEVEN(B242),(B242-1)&amp;"/"&amp;B242,B242&amp;"/"&amp;(B242+1))</f>
        <v>4053/4054</v>
      </c>
      <c r="L242" s="245" t="str">
        <f>VLOOKUP(A242,'Trips&amp;Operators'!$C$1:$G$99911,5,FALSE)</f>
        <v>ZEWDU DEREJE</v>
      </c>
      <c r="M242" s="224">
        <f>I242-F242</f>
        <v>1.8182870364398696E-2</v>
      </c>
      <c r="N242" s="225">
        <f>24*60*SUM($M242:$M242)</f>
        <v>26.183333324734122</v>
      </c>
      <c r="O242" s="225"/>
      <c r="P242" s="225"/>
      <c r="Q242" s="228"/>
      <c r="R242" s="242"/>
      <c r="S242" s="249">
        <f>1/IF(AG242="EC",12,1)*SUM(U242:U242)</f>
        <v>0</v>
      </c>
      <c r="T242" s="242" t="str">
        <f>IF(ISEVEN(LEFT(AD242,4)),"Southbound","NorthBound")</f>
        <v>Southbound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2018-01-09T14:35:53-0700',mode:absolute,to:'2018-01-09T17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2" s="247" t="str">
        <f>IF(AA242&lt;VLOOKUP(AG242,Variables!$AC$3:$AD$8,2,FALSE),"Y","N")</f>
        <v>Y</v>
      </c>
      <c r="X242" s="247">
        <f>VALUE(LEFT(AD242,4))-VALUE(LEFT(AD241,4))</f>
        <v>0</v>
      </c>
      <c r="Y242" s="247">
        <f>RIGHT(D242,LEN(D242)-4)/10000</f>
        <v>11.2264</v>
      </c>
      <c r="Z242" s="247">
        <f>RIGHT(H242,LEN(H242)-4)/10000</f>
        <v>2.8786</v>
      </c>
      <c r="AA242" s="247">
        <f>ABS(Z242-Y242)</f>
        <v>8.3477999999999994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>VALUE(LEFT(A242,LEN(A242)-3))</f>
        <v>68</v>
      </c>
      <c r="AE242" s="23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/stypes="app*4053*20180109*" /stext=" 23:.+((SYSTEM_STATE.+slice.+state.+changed )|(ment ac)|(multiple cpu faults)|(system.+state.+changed )|(\[timeout)|(PRM\|1\|D)|(kpr)|(kdp)|(train st.+moving)|(\|lc)|(penalty))"</v>
      </c>
      <c r="AG242" s="244" t="str">
        <f>DetSubdiv(A242)</f>
        <v>Shuttle/Test</v>
      </c>
      <c r="AH242" s="236" t="str">
        <f t="shared" si="98"/>
        <v>"%USERPROFILE%\Documents\GitHub\eaglep3\Utilities\RefineRTDCRunTimes.py" --tripid 68-09 --locoid 4053 --swversion DE.1.0.9.0 --startMP 300:112264 --initTime 2018-01-09T15:35:53 --startdatetime 2018-01-09T15:40:16 --delay 50 --endMP 300:28786 --enddatetime 2018-01-09T16:06:27 --enforcementcount 0 &gt;&gt;%USERPROFILE%\Documents\GitHub\eaglep3-reporting\EC\2018-01-09-refined-times.txt</v>
      </c>
      <c r="AI242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2.8786"},{"id":17,"name":"Train ID","value":"68-09"},{"id":16,"name":"Locomotive ID","value":"4053"},{"id":130,"name":"Impact","value":""},{"id":150,"name":"Time of Event (Mountain Time)","value":"16:06:27"},{"id":151,"name":"Denver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100"/>
        <v>start /low /b %USERPROFILE%\Documents\GitHub\eaglep3\Utilities\DownloadLogsFromS3.py --loco 4053 --day 2018-01-09</v>
      </c>
      <c r="AN242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102"/>
        <v>https://d0f6bd738d7f1b3e5a7ca70fe4ff75f0.us-east-1.aws.found.io/app/kibana#/discover/Steve-Slow-Train-Analysis-(2080s-and-2083s)?_g=(refreshInterval:(display:Off,pause:!f,section:0,value:0),time:(from:'2018-01-09T14:35:53-0700',mode:absolute,to:'2018-01-09T17:06:27-0700'))&amp;_a=(columns:!('Message%20ID',Summary),filters:!(),index:'emp_*',interval:auto,query:(query_string:(analyze_wildcard:!t,query:'%22rtdc.l.rtdc.4053%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862</v>
      </c>
      <c r="B243" s="225">
        <v>4046</v>
      </c>
      <c r="C243" s="227" t="s">
        <v>191</v>
      </c>
      <c r="D243" s="227" t="s">
        <v>1039</v>
      </c>
      <c r="E243" s="226">
        <v>43109.64162037037</v>
      </c>
      <c r="F243" s="226">
        <v>43109.643159722225</v>
      </c>
      <c r="G243" s="225">
        <v>68</v>
      </c>
      <c r="H243" s="227" t="s">
        <v>613</v>
      </c>
      <c r="I243" s="226">
        <v>43109.648969907408</v>
      </c>
      <c r="J243" s="225">
        <v>0</v>
      </c>
      <c r="K243" s="237" t="str">
        <f>IF(ISEVEN(B243),(B243-1)&amp;"/"&amp;B243,B243&amp;"/"&amp;(B243+1))</f>
        <v>4045/4046</v>
      </c>
      <c r="L243" s="245" t="str">
        <f>VLOOKUP(A243,'Trips&amp;Operators'!$C$1:$G$99911,5,FALSE)</f>
        <v>NEWELL JAMES</v>
      </c>
      <c r="M243" s="224">
        <f>I243-F243</f>
        <v>5.8101851827814244E-3</v>
      </c>
      <c r="N243" s="225">
        <f>24*60*SUM($M243:$M243)</f>
        <v>8.3666666632052511</v>
      </c>
      <c r="O243" s="225"/>
      <c r="P243" s="225"/>
      <c r="Q243" s="228"/>
      <c r="R243" s="242"/>
      <c r="S243" s="249">
        <f>1/IF(AG243="EC",12,1)*SUM(U243:U243)</f>
        <v>1</v>
      </c>
      <c r="T243" s="242" t="str">
        <f>IF(ISEVEN(LEFT(AD243,4)),"Southbound","NorthBound")</f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2018-01-09T14:23:56-0700',mode:absolute,to:'2018-01-09T16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3" s="247" t="str">
        <f>IF(AA243&lt;VLOOKUP(AG243,Variables!$AC$3:$AD$8,2,FALSE),"Y","N")</f>
        <v>Y</v>
      </c>
      <c r="X243" s="247">
        <f>VALUE(LEFT(AD243,4))-VALUE(LEFT(AD242,4))</f>
        <v>7</v>
      </c>
      <c r="Y243" s="247">
        <f>RIGHT(D243,LEN(D243)-4)/10000</f>
        <v>6.0600000000000001E-2</v>
      </c>
      <c r="Z243" s="247">
        <f>RIGHT(H243,LEN(H243)-4)/10000</f>
        <v>2.331</v>
      </c>
      <c r="AA243" s="247">
        <f>ABS(Z243-Y243)</f>
        <v>2.2704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>VALUE(LEFT(A243,LEN(A243)-3))</f>
        <v>75</v>
      </c>
      <c r="AE243" s="23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s3://rtdc.mdm.uploadarchive.raw/RTDC4046/ "%USERPROFILE%\AppData\Local\Temp\OnboardLogs"\RTDC4046\2018-01-09 --exclude "*" --recursive --include "*20180109*" &amp; "%USERPROFILE%\Documents\GitHub\mrs-test-scripts\Headless Mode &amp; Sideloading\WalkAndUnGZ.bat" "%USERPROFILE%\AppData\Local\Temp\OnboardLogs"\RTDC4046\2018-01-09 &amp; aws s3 cp s3://rtdc.mdm.uploadarchive.raw/RTDC4046/ "%USERPROFILE%\AppData\Local\Temp\OnboardLogs"\RTDC4046\2018-01-10 --exclude "*" --recursive --include "*20180110*" &amp; "%USERPROFILE%\Documents\GitHub\mrs-test-scripts\Headless Mode &amp; Sideloading\WalkAndUnGZ.bat" "%USERPROFILE%\AppData\Local\Temp\OnboardLogs"\RTDC4046\2018-01-10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/stypes="app*4046*20180109*" /stext=" 22:.+((SYSTEM_STATE.+slice.+state.+changed )|(ment ac)|(multiple cpu faults)|(system.+state.+changed )|(\[timeout)|(PRM\|1\|D)|(kpr)|(kdp)|(train st.+moving)|(\|lc)|(penalty))"</v>
      </c>
      <c r="AG243" s="244" t="str">
        <f>DetSubdiv(A243)</f>
        <v>Shuttle/Test</v>
      </c>
      <c r="AH243" s="236" t="str">
        <f t="shared" si="98"/>
        <v>"%USERPROFILE%\Documents\GitHub\eaglep3\Utilities\RefineRTDCRunTimes.py" --tripid 75-09 --locoid 4046 --swversion DE.1.0.9.0 --startMP 204:606 --initTime 2018-01-09T15:23:56 --startdatetime 2018-01-09T15:26:09 --delay 68 --endMP 300:23310 --enddatetime 2018-01-09T15:34:31 --enforcementcount 0 &gt;&gt;%USERPROFILE%\Documents\GitHub\eaglep3-reporting\EC\2018-01-09-refined-times.txt</v>
      </c>
      <c r="AI243" s="238" t="str">
        <f t="shared" si="99"/>
        <v>echo {"issue":{"subject":"","project_id":79,"tracker_id":40,"status_id":1,"priority_id":2,"assigned_to_id":338,"start_date":"2018-01-09","description":"","custom_fields":[{"id":1,"name":"Subdivision","value":"Shuttle/Test"},{"id":4,"name":"Milepost","value":"2.331"},{"id":17,"name":"Train ID","value":"75-09"},{"id":16,"name":"Locomotive ID","value":"4046"},{"id":130,"name":"Impact","value":""},{"id":150,"name":"Time of Event (Mountain Time)","value":"15:34:31"},{"id":151,"name":"Denver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100"/>
        <v>start /low /b %USERPROFILE%\Documents\GitHub\eaglep3\Utilities\DownloadLogsFromS3.py --loco 4046 --day 2018-01-09</v>
      </c>
      <c r="AN243" s="241" t="str">
        <f t="shared" si="101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22:34:31"},{"id":29,"name":"Sharepoint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102"/>
        <v>https://d0f6bd738d7f1b3e5a7ca70fe4ff75f0.us-east-1.aws.found.io/app/kibana#/discover/Steve-Slow-Train-Analysis-(2080s-and-2083s)?_g=(refreshInterval:(display:Off,pause:!f,section:0,value:0),time:(from:'2018-01-09T14:23:56-0700',mode:absolute,to:'2018-01-09T16:34:31-0700'))&amp;_a=(columns:!('Message%20ID',Summary),filters:!(),index:'emp_*',interval:auto,query:(query_string:(analyze_wildcard:!t,query:'%22rtdc.l.rtdc.4046%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23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23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23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23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23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23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3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23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23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s="20" customFormat="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s="20" customForma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s="20" customFormat="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s="20" customFormat="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s="20" customFormat="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s="20" customFormat="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s="20" customFormat="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s="20" customFormat="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s="20" customFormat="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s="20" customFormat="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9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9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9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9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9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9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9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91" s="20" customFormat="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:9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9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9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91" s="20" customFormat="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:9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9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9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9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4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4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4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4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  <row r="581" spans="1:4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M581"/>
      <c r="AO581"/>
    </row>
    <row r="582" spans="1:4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M582"/>
      <c r="AO582"/>
    </row>
    <row r="583" spans="1:4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M583"/>
      <c r="AO583"/>
    </row>
    <row r="584" spans="1:4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M584"/>
      <c r="AO584"/>
    </row>
    <row r="585" spans="1:4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M585"/>
      <c r="AO585"/>
    </row>
    <row r="586" spans="1:4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M586"/>
      <c r="AO586"/>
    </row>
    <row r="587" spans="1:4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M587"/>
      <c r="AO587"/>
    </row>
    <row r="588" spans="1:4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M588"/>
      <c r="AO588"/>
    </row>
    <row r="589" spans="1:4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M589"/>
      <c r="AO589"/>
    </row>
    <row r="590" spans="1:4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M590"/>
      <c r="AO590"/>
    </row>
    <row r="591" spans="1:4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M591"/>
      <c r="AO591"/>
    </row>
    <row r="592" spans="1:4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M592"/>
      <c r="AO592"/>
    </row>
    <row r="593" spans="1:4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M593"/>
      <c r="AO593"/>
    </row>
  </sheetData>
  <autoFilter ref="A12:AG588">
    <sortState ref="A13:AG588">
      <sortCondition ref="AG13:AG243"/>
      <sortCondition ref="AD13:AD243"/>
    </sortState>
  </autoFilter>
  <sortState ref="A13:AN493">
    <sortCondition ref="AG13:AG493"/>
    <sortCondition ref="AD13:AD493"/>
  </sortState>
  <mergeCells count="1">
    <mergeCell ref="A11:P11"/>
  </mergeCells>
  <conditionalFormatting sqref="W11:W12 W594:X1048576 W13:X243">
    <cfRule type="cellIs" dxfId="14" priority="479" operator="equal">
      <formula>"Y"</formula>
    </cfRule>
  </conditionalFormatting>
  <conditionalFormatting sqref="X594:X1048576 X13:X243">
    <cfRule type="cellIs" dxfId="13" priority="462" operator="greaterThan">
      <formula>1</formula>
    </cfRule>
  </conditionalFormatting>
  <conditionalFormatting sqref="X594:X1048576 X12:X243">
    <cfRule type="cellIs" dxfId="12" priority="459" operator="equal">
      <formula>0</formula>
    </cfRule>
  </conditionalFormatting>
  <conditionalFormatting sqref="A13:S239 A242:S243 A240:Q241 S240:S241 R241">
    <cfRule type="expression" dxfId="11" priority="453" stopIfTrue="1">
      <formula>$P13&gt;0</formula>
    </cfRule>
    <cfRule type="expression" dxfId="10" priority="454" stopIfTrue="1">
      <formula>$O13&gt;0</formula>
    </cfRule>
  </conditionalFormatting>
  <conditionalFormatting sqref="R240">
    <cfRule type="expression" dxfId="3" priority="482" stopIfTrue="1">
      <formula>$P241&gt;0</formula>
    </cfRule>
    <cfRule type="expression" dxfId="2" priority="483" stopIfTrue="1">
      <formula>$O241&gt;0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 A242:S243 A240:Q241 S240:S241 R241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 A242:S243 A240:Q241 S240:S241 R241</xm:sqref>
        </x14:conditionalFormatting>
        <x14:conditionalFormatting xmlns:xm="http://schemas.microsoft.com/office/excel/2006/main">
          <x14:cfRule type="expression" priority="485" stopIfTrue="1" id="{07B64F47-9FD1-48B1-84DC-90BBCF0B8697}">
            <xm:f>IF($AG241="EC",OR($N241&gt;Variables!$C$2,$N241&lt;Variables!$C$5),OR($N241&gt;Variables!$D$2,$N241&lt;Variables!$D$5))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R240</xm:sqref>
        </x14:conditionalFormatting>
        <x14:conditionalFormatting xmlns:xm="http://schemas.microsoft.com/office/excel/2006/main">
          <x14:cfRule type="expression" priority="489" stopIfTrue="1" id="{44578D0A-3CE8-4388-A6D0-8700858490EC}">
            <xm:f>IF($AG241="EC",OR($N241&gt;Variables!#REF!,$N241&lt;Variables!#REF!),OR($N241&gt;Variables!#REF!,$N241&lt;Variables!#REF!))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7"/>
  <sheetViews>
    <sheetView topLeftCell="A2" zoomScaleNormal="100" workbookViewId="0">
      <selection activeCell="P28" sqref="P2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COUNTIF($O$7:$O$92,"=Y")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COUNTA($O$7:$O$92)-O2</f>
        <v>27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- 2018-01-09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43109.339282407411</v>
      </c>
      <c r="B7" s="30" t="s">
        <v>559</v>
      </c>
      <c r="C7" s="30" t="s">
        <v>705</v>
      </c>
      <c r="D7" s="30" t="s">
        <v>49</v>
      </c>
      <c r="E7" s="30" t="s">
        <v>615</v>
      </c>
      <c r="F7" s="42">
        <v>440</v>
      </c>
      <c r="G7" s="42">
        <v>750</v>
      </c>
      <c r="H7" s="42">
        <v>47896</v>
      </c>
      <c r="I7" s="42">
        <v>44516</v>
      </c>
      <c r="J7" s="30" t="s">
        <v>183</v>
      </c>
      <c r="K7" s="42">
        <v>42961</v>
      </c>
      <c r="L7" s="131" t="s">
        <v>51</v>
      </c>
      <c r="M7" s="132">
        <f>CONVERT((I7-K7)/10000,"mi","ft")*IF(L7="Increasing Mileposts (1)",-1,1)</f>
        <v>821.04</v>
      </c>
      <c r="N7" s="133" t="str">
        <f>VLOOKUP(C7,'Trips&amp;Operators'!$C$1:$G$99911,5,FALSE)</f>
        <v>YORK EDGAR</v>
      </c>
      <c r="O7" s="175" t="s">
        <v>178</v>
      </c>
      <c r="P7" s="239" t="s">
        <v>618</v>
      </c>
      <c r="Q7" s="30"/>
      <c r="R7" s="81" t="str">
        <f>VLOOKUP(C7,'Train Runs'!$A$13:$AE$10247,31,0)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S7" s="84" t="str">
        <f>VLOOKUP(C7,'Train Runs'!$A$13:$AE$10247,22,0)</f>
        <v>https://d0f6bd738d7f1b3e5a7ca70fe4ff75f0.us-east-1.aws.found.io/app/kibana#/discover/Steve-Slow-Train-Analysis-(2080s-and-2083s)?_g=(refreshInterval:(display:Off,pause:!f,section:0,value:0),time:(from:'2018-01-09T06:40:22-0700',mode:absolute,to:'2018-01-09T09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/stypes="*4013*201801091*" /stext=" 15:.+((SYSTEM_STATE.+slice.+state.+changed )|(ment ac)|(multiple cpu faults)|(system.+state.+changed )|(\[timeout)|(PRM\|1\|D)|(kpr)|(kdp)|(train st.+moving)|(\|lc)|(penalty))"</v>
      </c>
      <c r="U7" s="9" t="str">
        <f>MID(B7,13,4)</f>
        <v>4013</v>
      </c>
      <c r="V7" s="31">
        <f>A7-utc_offset/24</f>
        <v>43109.630949074075</v>
      </c>
      <c r="W7" s="45" t="str">
        <f>DetSubdiv(C7)</f>
        <v>EC</v>
      </c>
      <c r="X7" s="22">
        <f>VALUE(LEFT(C7,LEN(C7)-3))</f>
        <v>126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Arrival","project_id":79,"tracker_id":40,"status_id":1,"priority_id":2,"assigned_to_id":338,"start_date":"2018-01-09","description":"","custom_fields":[{"id":1,"name":"Subdivision","value":"EC"},{"id":4,"name":"Milepost","value":"4.2961"},{"id":17,"name":"Train ID","value":"126-09"},{"id":16,"name":"Locomotive ID","value":"4013"},{"id":130,"name":"Impact","value":""},{"id":150,"name":"Time of Event (Mountain Time)","value":"08:08:34"},{"id":151,"name":"Denver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/c/Users/stu/AppData/Local/Temp/OnboardLogs/RTDC4013 --include="*4013*201801091*"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"%USERPROFILE%\AppData\Local\Temp\OnboardLogs"\RTDC4013\*4013*201801091* &gt;&gt; 2018-01-09-SliceDisagreementCheck.txt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4013 --day 2018-01-09</v>
      </c>
    </row>
    <row r="8" spans="1:32" x14ac:dyDescent="0.3">
      <c r="A8" s="31">
        <v>43109.624409722222</v>
      </c>
      <c r="B8" s="30" t="s">
        <v>505</v>
      </c>
      <c r="C8" s="30" t="s">
        <v>716</v>
      </c>
      <c r="D8" s="30" t="s">
        <v>49</v>
      </c>
      <c r="E8" s="30" t="s">
        <v>615</v>
      </c>
      <c r="F8" s="42">
        <v>150</v>
      </c>
      <c r="G8" s="42">
        <v>323</v>
      </c>
      <c r="H8" s="42">
        <v>54677</v>
      </c>
      <c r="I8" s="42">
        <v>53906</v>
      </c>
      <c r="J8" s="30" t="s">
        <v>183</v>
      </c>
      <c r="K8" s="42">
        <v>53277</v>
      </c>
      <c r="L8" s="131" t="s">
        <v>51</v>
      </c>
      <c r="M8" s="132">
        <f>CONVERT((I8-K8)/10000,"mi","ft")*IF(L8="Increasing Mileposts (1)",-1,1)</f>
        <v>332.11200000000002</v>
      </c>
      <c r="N8" s="133" t="str">
        <f>VLOOKUP(C8,'Trips&amp;Operators'!$C$1:$G$99911,5,FALSE)</f>
        <v>LEVIN SCOTT</v>
      </c>
      <c r="O8" s="175" t="s">
        <v>178</v>
      </c>
      <c r="P8" s="239" t="s">
        <v>618</v>
      </c>
      <c r="Q8" s="30"/>
      <c r="R8" s="81" t="str">
        <f>VLOOKUP(C8,'Train Runs'!$A$13:$AE$10247,31,0)</f>
        <v>aws s3 cp s3://rtdc.mdm.uploadarchive.raw/RTDC4045/ "%USERPROFILE%\AppData\Local\Temp\OnboardLogs"\RTDC4045\2018-01-09 --exclude "*" --recursive --include "*20180109*" &amp; "%USERPROFILE%\Documents\GitHub\mrs-test-scripts\Headless Mode &amp; Sideloading\WalkAndUnGZ.bat" "%USERPROFILE%\AppData\Local\Temp\OnboardLogs"\RTDC4045\2018-01-09 &amp; aws s3 cp s3://rtdc.mdm.uploadarchive.raw/RTDC4045/ "%USERPROFILE%\AppData\Local\Temp\OnboardLogs"\RTDC4045\2018-01-10 --exclude "*" --recursive --include "*20180110*" &amp; "%USERPROFILE%\Documents\GitHub\mrs-test-scripts\Headless Mode &amp; Sideloading\WalkAndUnGZ.bat" "%USERPROFILE%\AppData\Local\Temp\OnboardLogs"\RTDC4045\2018-01-10</v>
      </c>
      <c r="S8" s="84" t="str">
        <f>VLOOKUP(C8,'Train Runs'!$A$13:$AE$10247,22,0)</f>
        <v>https://d0f6bd738d7f1b3e5a7ca70fe4ff75f0.us-east-1.aws.found.io/app/kibana#/discover/Steve-Slow-Train-Analysis-(2080s-and-2083s)?_g=(refreshInterval:(display:Off,pause:!f,section:0,value:0),time:(from:'2018-01-09T13:21:29-0700',mode:absolute,to:'2018-01-09T16:12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/stypes="*4045*201801092*" /stext=" 21:.+((SYSTEM_STATE.+slice.+state.+changed )|(ment ac)|(multiple cpu faults)|(system.+state.+changed )|(\[timeout)|(PRM\|1\|D)|(kpr)|(kdp)|(train st.+moving)|(\|lc)|(penalty))"</v>
      </c>
      <c r="U8" s="9" t="str">
        <f>MID(B8,13,4)</f>
        <v>4045</v>
      </c>
      <c r="V8" s="31">
        <f>A8-utc_offset/24</f>
        <v>43109.916076388887</v>
      </c>
      <c r="W8" s="45" t="str">
        <f>DetSubdiv(C8)</f>
        <v>EC</v>
      </c>
      <c r="X8" s="228">
        <f>VALUE(LEFT(C8,LEN(C8)-3))</f>
        <v>180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Arrival","project_id":79,"tracker_id":40,"status_id":1,"priority_id":2,"assigned_to_id":338,"start_date":"2018-01-09","description":"","custom_fields":[{"id":1,"name":"Subdivision","value":"EC"},{"id":4,"name":"Milepost","value":"5.3277"},{"id":17,"name":"Train ID","value":"180-09"},{"id":16,"name":"Locomotive ID","value":"4045"},{"id":130,"name":"Impact","value":""},{"id":150,"name":"Time of Event (Mountain Time)","value":"14:59:09"},{"id":151,"name":"Denver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/c/Users/stu/AppData/Local/Temp/OnboardLogs/RTDC4045 --include="*4045*201801092*"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"%USERPROFILE%\AppData\Local\Temp\OnboardLogs"\RTDC4045\*4045*201801092* &gt;&gt; 2018-01-09-SliceDisagreementCheck.txt</v>
      </c>
      <c r="AE8" s="144" t="str">
        <f t="shared" ref="AE8:AE37" si="1">"start /low /b "&amp;dls3logs&amp;" --loco "&amp;U8&amp;" --day "&amp;TEXT(V8,"YYYY-MM-DD")</f>
        <v>start /low /b %USERPROFILE%\Documents\GitHub\eaglep3\Utilities\DownloadLogsFromS3.py --loco 4045 --day 2018-01-09</v>
      </c>
      <c r="AF8" s="1"/>
    </row>
    <row r="9" spans="1:32" x14ac:dyDescent="0.3">
      <c r="A9" s="31">
        <v>43109.578935185185</v>
      </c>
      <c r="B9" s="30" t="s">
        <v>442</v>
      </c>
      <c r="C9" s="30" t="s">
        <v>714</v>
      </c>
      <c r="D9" s="30" t="s">
        <v>49</v>
      </c>
      <c r="E9" s="30" t="s">
        <v>615</v>
      </c>
      <c r="F9" s="42">
        <v>0</v>
      </c>
      <c r="G9" s="42">
        <v>309</v>
      </c>
      <c r="H9" s="42">
        <v>58429</v>
      </c>
      <c r="I9" s="42">
        <v>57883</v>
      </c>
      <c r="J9" s="30" t="s">
        <v>183</v>
      </c>
      <c r="K9" s="42">
        <v>58301</v>
      </c>
      <c r="L9" s="131" t="s">
        <v>51</v>
      </c>
      <c r="M9" s="132">
        <f>CONVERT((I9-K9)/10000,"mi","ft")*IF(L9="Increasing Mileposts (1)",-1,1)</f>
        <v>-220.70400000000001</v>
      </c>
      <c r="N9" s="133" t="str">
        <f>VLOOKUP(C9,'Trips&amp;Operators'!$C$1:$G$99911,5,FALSE)</f>
        <v>DE LA ROSA ALEX</v>
      </c>
      <c r="O9" s="175" t="s">
        <v>178</v>
      </c>
      <c r="P9" s="239" t="s">
        <v>618</v>
      </c>
      <c r="Q9" s="30"/>
      <c r="R9" s="81" t="str">
        <f>VLOOKUP(C9,'Train Runs'!$A$13:$AE$10247,31,0)</f>
        <v>aws s3 cp s3://rtdc.mdm.uploadarchive.raw/RTDC4049/ "%USERPROFILE%\AppData\Local\Temp\OnboardLogs"\RTDC4049\2018-01-09 --exclude "*" --recursive --include "*20180109*" &amp; "%USERPROFILE%\Documents\GitHub\mrs-test-scripts\Headless Mode &amp; Sideloading\WalkAndUnGZ.bat" "%USERPROFILE%\AppData\Local\Temp\OnboardLogs"\RTDC4049\2018-01-09 &amp; aws s3 cp s3://rtdc.mdm.uploadarchive.raw/RTDC4049/ "%USERPROFILE%\AppData\Local\Temp\OnboardLogs"\RTDC4049\2018-01-10 --exclude "*" --recursive --include "*20180110*" &amp; "%USERPROFILE%\Documents\GitHub\mrs-test-scripts\Headless Mode &amp; Sideloading\WalkAndUnGZ.bat" "%USERPROFILE%\AppData\Local\Temp\OnboardLogs"\RTDC4049\2018-01-10</v>
      </c>
      <c r="S9" s="84" t="str">
        <f>VLOOKUP(C9,'Train Runs'!$A$13:$AE$10247,22,0)</f>
        <v>https://d0f6bd738d7f1b3e5a7ca70fe4ff75f0.us-east-1.aws.found.io/app/kibana#/discover/Steve-Slow-Train-Analysis-(2080s-and-2083s)?_g=(refreshInterval:(display:Off,pause:!f,section:0,value:0),time:(from:'2018-01-09T12:21:47-0700',mode:absolute,to:'2018-01-09T15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/stypes="*4049*201801092*" /stext=" 20:.+((SYSTEM_STATE.+slice.+state.+changed )|(ment ac)|(multiple cpu faults)|(system.+state.+changed )|(\[timeout)|(PRM\|1\|D)|(kpr)|(kdp)|(train st.+moving)|(\|lc)|(penalty))"</v>
      </c>
      <c r="U9" s="9" t="str">
        <f>MID(B9,13,4)</f>
        <v>4049</v>
      </c>
      <c r="V9" s="31">
        <f>A9-utc_offset/24</f>
        <v>43109.87060185185</v>
      </c>
      <c r="W9" s="45" t="str">
        <f>DetSubdiv(C9)</f>
        <v>EC</v>
      </c>
      <c r="X9" s="228">
        <f>VALUE(LEFT(C9,LEN(C9)-3))</f>
        <v>172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Arrival","project_id":79,"tracker_id":40,"status_id":1,"priority_id":2,"assigned_to_id":338,"start_date":"2018-01-09","description":"","custom_fields":[{"id":1,"name":"Subdivision","value":"EC"},{"id":4,"name":"Milepost","value":"5.8301"},{"id":17,"name":"Train ID","value":"172-09"},{"id":16,"name":"Locomotive ID","value":"4049"},{"id":130,"name":"Impact","value":""},{"id":150,"name":"Time of Event (Mountain Time)","value":"13:53:40"},{"id":151,"name":"Denver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/c/Users/stu/AppData/Local/Temp/OnboardLogs/RTDC4049 --include="*4049*201801092*"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"%USERPROFILE%\AppData\Local\Temp\OnboardLogs"\RTDC4049\*4049*201801092* &gt;&gt; 2018-01-09-SliceDisagreementCheck.txt</v>
      </c>
      <c r="AE9" s="144" t="str">
        <f t="shared" si="1"/>
        <v>start /low /b %USERPROFILE%\Documents\GitHub\eaglep3\Utilities\DownloadLogsFromS3.py --loco 4049 --day 2018-01-09</v>
      </c>
      <c r="AF9" s="1"/>
    </row>
    <row r="10" spans="1:32" x14ac:dyDescent="0.3">
      <c r="A10" s="31">
        <v>43109.851111111115</v>
      </c>
      <c r="B10" s="30" t="s">
        <v>559</v>
      </c>
      <c r="C10" s="30" t="s">
        <v>726</v>
      </c>
      <c r="D10" s="30" t="s">
        <v>49</v>
      </c>
      <c r="E10" s="30" t="s">
        <v>615</v>
      </c>
      <c r="F10" s="42">
        <v>330</v>
      </c>
      <c r="G10" s="42">
        <v>398</v>
      </c>
      <c r="H10" s="42">
        <v>59181</v>
      </c>
      <c r="I10" s="42">
        <v>58284</v>
      </c>
      <c r="J10" s="30" t="s">
        <v>183</v>
      </c>
      <c r="K10" s="42">
        <v>58301</v>
      </c>
      <c r="L10" s="131" t="s">
        <v>51</v>
      </c>
      <c r="M10" s="132">
        <f>CONVERT((I10-K10)/10000,"mi","ft")*IF(L10="Increasing Mileposts (1)",-1,1)</f>
        <v>-8.9760000000000009</v>
      </c>
      <c r="N10" s="133" t="str">
        <f>VLOOKUP(C10,'Trips&amp;Operators'!$C$1:$G$99911,5,FALSE)</f>
        <v>RESPASS AARON</v>
      </c>
      <c r="O10" s="175" t="s">
        <v>178</v>
      </c>
      <c r="P10" s="239" t="s">
        <v>618</v>
      </c>
      <c r="Q10" s="30"/>
      <c r="R10" s="81" t="str">
        <f>VLOOKUP(C10,'Train Runs'!$A$13:$AE$10247,31,0)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S10" s="84" t="str">
        <f>VLOOKUP(C10,'Train Runs'!$A$13:$AE$10247,22,0)</f>
        <v>https://d0f6bd738d7f1b3e5a7ca70fe4ff75f0.us-east-1.aws.found.io/app/kibana#/discover/Steve-Slow-Train-Analysis-(2080s-and-2083s)?_g=(refreshInterval:(display:Off,pause:!f,section:0,value:0),time:(from:'2018-01-09T18:50:22-0700',mode:absolute,to:'2018-01-09T21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/stypes="*4013*201801100*" /stext=" 03:.+((SYSTEM_STATE.+slice.+state.+changed )|(ment ac)|(multiple cpu faults)|(system.+state.+changed )|(\[timeout)|(PRM\|1\|D)|(kpr)|(kdp)|(train st.+moving)|(\|lc)|(penalty))"</v>
      </c>
      <c r="U10" s="9" t="str">
        <f>MID(B10,13,4)</f>
        <v>4013</v>
      </c>
      <c r="V10" s="31">
        <f>A10-utc_offset/24</f>
        <v>43110.142777777779</v>
      </c>
      <c r="W10" s="45" t="str">
        <f>DetSubdiv(C10)</f>
        <v>EC</v>
      </c>
      <c r="X10" s="228">
        <f>VALUE(LEFT(C10,LEN(C10)-3))</f>
        <v>222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Arrival","project_id":79,"tracker_id":40,"status_id":1,"priority_id":2,"assigned_to_id":338,"start_date":"2018-01-09","description":"","custom_fields":[{"id":1,"name":"Subdivision","value":"EC"},{"id":4,"name":"Milepost","value":"5.8301"},{"id":17,"name":"Train ID","value":"222-09"},{"id":16,"name":"Locomotive ID","value":"4013"},{"id":130,"name":"Impact","value":""},{"id":150,"name":"Time of Event (Mountain Time)","value":"20:25:36"},{"id":151,"name":"Denver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/c/Users/stu/AppData/Local/Temp/OnboardLogs/RTDC4013 --include="*4013*201801100*"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"%USERPROFILE%\AppData\Local\Temp\OnboardLogs"\RTDC4013\*4013*201801100* &gt;&gt; 2018-01-09-SliceDisagreementCheck.txt</v>
      </c>
      <c r="AE10" s="144" t="str">
        <f t="shared" si="1"/>
        <v>start /low /b %USERPROFILE%\Documents\GitHub\eaglep3\Utilities\DownloadLogsFromS3.py --loco 4013 --day 2018-01-10</v>
      </c>
      <c r="AF10" s="1"/>
    </row>
    <row r="11" spans="1:32" x14ac:dyDescent="0.3">
      <c r="A11" s="31">
        <v>43109.974039351851</v>
      </c>
      <c r="B11" s="30" t="s">
        <v>462</v>
      </c>
      <c r="C11" s="30" t="s">
        <v>728</v>
      </c>
      <c r="D11" s="30" t="s">
        <v>49</v>
      </c>
      <c r="E11" s="30" t="s">
        <v>615</v>
      </c>
      <c r="F11" s="42">
        <v>150</v>
      </c>
      <c r="G11" s="42">
        <v>207</v>
      </c>
      <c r="H11" s="42">
        <v>63667</v>
      </c>
      <c r="I11" s="42">
        <v>63385</v>
      </c>
      <c r="J11" s="30" t="s">
        <v>183</v>
      </c>
      <c r="K11" s="42">
        <v>63309</v>
      </c>
      <c r="L11" s="131" t="s">
        <v>51</v>
      </c>
      <c r="M11" s="132">
        <f>CONVERT((I11-K11)/10000,"mi","ft")*IF(L11="Increasing Mileposts (1)",-1,1)</f>
        <v>40.128</v>
      </c>
      <c r="N11" s="133" t="str">
        <f>VLOOKUP(C11,'Trips&amp;Operators'!$C$1:$G$99911,5,FALSE)</f>
        <v>WEST BRYAN</v>
      </c>
      <c r="O11" s="175" t="s">
        <v>178</v>
      </c>
      <c r="P11" s="239" t="s">
        <v>618</v>
      </c>
      <c r="Q11" s="30"/>
      <c r="R11" s="81" t="str">
        <f>VLOOKUP(C11,'Train Runs'!$A$13:$AE$10247,31,0)</f>
        <v>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 &amp; aws s3 cp s3://rtdc.mdm.uploadarchive.raw/RTDC4009/ "%USERPROFILE%\AppData\Local\Temp\OnboardLogs"\RTDC4009\2018-01-10 --exclude "*" --recursive --include "*20180110*" &amp; "%USERPROFILE%\Documents\GitHub\mrs-test-scripts\Headless Mode &amp; Sideloading\WalkAndUnGZ.bat" "%USERPROFILE%\AppData\Local\Temp\OnboardLogs"\RTDC4009\2018-01-10</v>
      </c>
      <c r="S11" s="84" t="str">
        <f>VLOOKUP(C11,'Train Runs'!$A$13:$AE$10247,22,0)</f>
        <v>https://d0f6bd738d7f1b3e5a7ca70fe4ff75f0.us-east-1.aws.found.io/app/kibana#/discover/Steve-Slow-Train-Analysis-(2080s-and-2083s)?_g=(refreshInterval:(display:Off,pause:!f,section:0,value:0),time:(from:'2018-01-09T20:41:02-0700',mode:absolute,to:'2018-01-10T00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/stypes="*4009*201801100*" /stext=" 06:.+((SYSTEM_STATE.+slice.+state.+changed )|(ment ac)|(multiple cpu faults)|(system.+state.+changed )|(\[timeout)|(PRM\|1\|D)|(kpr)|(kdp)|(train st.+moving)|(\|lc)|(penalty))"</v>
      </c>
      <c r="U11" s="9" t="str">
        <f>MID(B11,13,4)</f>
        <v>4009</v>
      </c>
      <c r="V11" s="31">
        <f>A11-utc_offset/24</f>
        <v>43110.265706018516</v>
      </c>
      <c r="W11" s="45" t="str">
        <f>DetSubdiv(C11)</f>
        <v>EC</v>
      </c>
      <c r="X11" s="228">
        <f>VALUE(LEFT(C11,LEN(C11)-3))</f>
        <v>234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Arrival","project_id":79,"tracker_id":40,"status_id":1,"priority_id":2,"assigned_to_id":338,"start_date":"2018-01-09","description":"","custom_fields":[{"id":1,"name":"Subdivision","value":"EC"},{"id":4,"name":"Milepost","value":"6.3309"},{"id":17,"name":"Train ID","value":"234-09"},{"id":16,"name":"Locomotive ID","value":"4009"},{"id":130,"name":"Impact","value":""},{"id":150,"name":"Time of Event (Mountain Time)","value":"23:22:37"},{"id":151,"name":"Denver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/c/Users/stu/AppData/Local/Temp/OnboardLogs/RTDC4009 --include="*4009*201801100*"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"%USERPROFILE%\AppData\Local\Temp\OnboardLogs"\RTDC4009\*4009*201801100* &gt;&gt; 2018-01-09-SliceDisagreementCheck.txt</v>
      </c>
      <c r="AE11" s="144" t="str">
        <f t="shared" si="1"/>
        <v>start /low /b %USERPROFILE%\Documents\GitHub\eaglep3\Utilities\DownloadLogsFromS3.py --loco 4009 --day 2018-01-10</v>
      </c>
      <c r="AF11" s="1"/>
    </row>
    <row r="12" spans="1:32" x14ac:dyDescent="0.3">
      <c r="A12" s="31">
        <v>43109.773275462961</v>
      </c>
      <c r="B12" s="30" t="s">
        <v>441</v>
      </c>
      <c r="C12" s="30" t="s">
        <v>721</v>
      </c>
      <c r="D12" s="30" t="s">
        <v>49</v>
      </c>
      <c r="E12" s="30" t="s">
        <v>615</v>
      </c>
      <c r="F12" s="42">
        <v>0</v>
      </c>
      <c r="G12" s="42">
        <v>214</v>
      </c>
      <c r="H12" s="42">
        <v>77550</v>
      </c>
      <c r="I12" s="42">
        <v>77855</v>
      </c>
      <c r="J12" s="30" t="s">
        <v>183</v>
      </c>
      <c r="K12" s="42">
        <v>78349</v>
      </c>
      <c r="L12" s="131" t="s">
        <v>50</v>
      </c>
      <c r="M12" s="132">
        <f>CONVERT((I12-K12)/10000,"mi","ft")*IF(L12="Increasing Mileposts (1)",-1,1)</f>
        <v>260.83199999999999</v>
      </c>
      <c r="N12" s="133" t="str">
        <f>VLOOKUP(C12,'Trips&amp;Operators'!$C$1:$G$99911,5,FALSE)</f>
        <v>WEST BRYAN</v>
      </c>
      <c r="O12" s="175" t="s">
        <v>178</v>
      </c>
      <c r="P12" s="239" t="s">
        <v>1084</v>
      </c>
      <c r="Q12" s="30"/>
      <c r="R12" s="81" t="str">
        <f>VLOOKUP(C12,'Train Runs'!$A$13:$AE$10247,31,0)</f>
        <v>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 &amp; 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</v>
      </c>
      <c r="S12" s="84" t="str">
        <f>VLOOKUP(C12,'Train Runs'!$A$13:$AE$10247,22,0)</f>
        <v>https://d0f6bd738d7f1b3e5a7ca70fe4ff75f0.us-east-1.aws.found.io/app/kibana#/discover/Steve-Slow-Train-Analysis-(2080s-and-2083s)?_g=(refreshInterval:(display:Off,pause:!f,section:0,value:0),time:(from:'2018-01-09T17:13:17-0700',mode:absolute,to:'2018-01-09T19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/stypes="*4010*201801100*" /stext=" 01:.+((SYSTEM_STATE.+slice.+state.+changed )|(ment ac)|(multiple cpu faults)|(system.+state.+changed )|(\[timeout)|(PRM\|1\|D)|(kpr)|(kdp)|(train st.+moving)|(\|lc)|(penalty))"</v>
      </c>
      <c r="U12" s="9" t="str">
        <f>MID(B12,13,4)</f>
        <v>4010</v>
      </c>
      <c r="V12" s="31">
        <f>A12-utc_offset/24</f>
        <v>43110.064942129626</v>
      </c>
      <c r="W12" s="45" t="str">
        <f>DetSubdiv(C12)</f>
        <v>EC</v>
      </c>
      <c r="X12" s="228">
        <f>VALUE(LEFT(C12,LEN(C12)-3))</f>
        <v>217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C","project_id":79,"tracker_id":40,"status_id":1,"priority_id":2,"assigned_to_id":338,"start_date":"2018-01-09","description":"","custom_fields":[{"id":1,"name":"Subdivision","value":"EC"},{"id":4,"name":"Milepost","value":"7.8349"},{"id":17,"name":"Train ID","value":"217-09"},{"id":16,"name":"Locomotive ID","value":"4010"},{"id":130,"name":"Impact","value":""},{"id":150,"name":"Time of Event (Mountain Time)","value":"18:33:31"},{"id":151,"name":"Denver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/c/Users/stu/AppData/Local/Temp/OnboardLogs/RTDC4010 --include="*4010*201801100*"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"%USERPROFILE%\AppData\Local\Temp\OnboardLogs"\RTDC4010\*4010*201801100* &gt;&gt; 2018-01-09-SliceDisagreementCheck.txt</v>
      </c>
      <c r="AE12" s="144" t="str">
        <f t="shared" si="1"/>
        <v>start /low /b %USERPROFILE%\Documents\GitHub\eaglep3\Utilities\DownloadLogsFromS3.py --loco 4010 --day 2018-01-10</v>
      </c>
      <c r="AF12" s="1"/>
    </row>
    <row r="13" spans="1:32" x14ac:dyDescent="0.3">
      <c r="A13" s="31">
        <v>43109.824918981481</v>
      </c>
      <c r="B13" s="30" t="s">
        <v>443</v>
      </c>
      <c r="C13" s="30" t="s">
        <v>724</v>
      </c>
      <c r="D13" s="30" t="s">
        <v>49</v>
      </c>
      <c r="E13" s="30" t="s">
        <v>615</v>
      </c>
      <c r="F13" s="42">
        <v>0</v>
      </c>
      <c r="G13" s="42">
        <v>275</v>
      </c>
      <c r="H13" s="42">
        <v>77380</v>
      </c>
      <c r="I13" s="42">
        <v>77975</v>
      </c>
      <c r="J13" s="30" t="s">
        <v>183</v>
      </c>
      <c r="K13" s="42">
        <v>78349</v>
      </c>
      <c r="L13" s="131" t="s">
        <v>50</v>
      </c>
      <c r="M13" s="132">
        <f>CONVERT((I13-K13)/10000,"mi","ft")*IF(L13="Increasing Mileposts (1)",-1,1)</f>
        <v>197.47200000000001</v>
      </c>
      <c r="N13" s="133" t="str">
        <f>VLOOKUP(C13,'Trips&amp;Operators'!$C$1:$G$99911,5,FALSE)</f>
        <v>LORI SANTOS</v>
      </c>
      <c r="O13" s="175" t="s">
        <v>178</v>
      </c>
      <c r="P13" s="239" t="s">
        <v>1084</v>
      </c>
      <c r="Q13" s="30"/>
      <c r="R13" s="81" t="str">
        <f>VLOOKUP(C13,'Train Runs'!$A$13:$AE$10247,31,0)</f>
        <v>aws s3 cp s3://rtdc.mdm.uploadarchive.raw/RTDC4050/ "%USERPROFILE%\AppData\Local\Temp\OnboardLogs"\RTDC4050\2018-01-09 --exclude "*" --recursive --include "*20180109*" &amp; "%USERPROFILE%\Documents\GitHub\mrs-test-scripts\Headless Mode &amp; Sideloading\WalkAndUnGZ.bat" "%USERPROFILE%\AppData\Local\Temp\OnboardLogs"\RTDC4050\2018-01-09 &amp; aws s3 cp s3://rtdc.mdm.uploadarchive.raw/RTDC4050/ "%USERPROFILE%\AppData\Local\Temp\OnboardLogs"\RTDC4050\2018-01-10 --exclude "*" --recursive --include "*20180110*" &amp; "%USERPROFILE%\Documents\GitHub\mrs-test-scripts\Headless Mode &amp; Sideloading\WalkAndUnGZ.bat" "%USERPROFILE%\AppData\Local\Temp\OnboardLogs"\RTDC4050\2018-01-10</v>
      </c>
      <c r="S13" s="84" t="str">
        <f>VLOOKUP(C13,'Train Runs'!$A$13:$AE$10247,22,0)</f>
        <v>https://d0f6bd738d7f1b3e5a7ca70fe4ff75f0.us-east-1.aws.found.io/app/kibana#/discover/Steve-Slow-Train-Analysis-(2080s-and-2083s)?_g=(refreshInterval:(display:Off,pause:!f,section:0,value:0),time:(from:'2018-01-09T18:28:03-0700',mode:absolute,to:'2018-01-09T21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/stypes="*4050*201801100*" /stext=" 02:.+((SYSTEM_STATE.+slice.+state.+changed )|(ment ac)|(multiple cpu faults)|(system.+state.+changed )|(\[timeout)|(PRM\|1\|D)|(kpr)|(kdp)|(train st.+moving)|(\|lc)|(penalty))"</v>
      </c>
      <c r="U13" s="9" t="str">
        <f>MID(B13,13,4)</f>
        <v>4050</v>
      </c>
      <c r="V13" s="31">
        <f>A13-utc_offset/24</f>
        <v>43110.116585648146</v>
      </c>
      <c r="W13" s="45" t="str">
        <f>DetSubdiv(C13)</f>
        <v>EC</v>
      </c>
      <c r="X13" s="228">
        <f>VALUE(LEFT(C13,LEN(C13)-3))</f>
        <v>223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C","project_id":79,"tracker_id":40,"status_id":1,"priority_id":2,"assigned_to_id":338,"start_date":"2018-01-09","description":"","custom_fields":[{"id":1,"name":"Subdivision","value":"EC"},{"id":4,"name":"Milepost","value":"7.8349"},{"id":17,"name":"Train ID","value":"223-09"},{"id":16,"name":"Locomotive ID","value":"4050"},{"id":130,"name":"Impact","value":""},{"id":150,"name":"Time of Event (Mountain Time)","value":"19:47:53"},{"id":151,"name":"Denver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/c/Users/stu/AppData/Local/Temp/OnboardLogs/RTDC4050 --include="*4050*201801100*"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"%USERPROFILE%\AppData\Local\Temp\OnboardLogs"\RTDC4050\*4050*201801100* &gt;&gt; 2018-01-09-SliceDisagreementCheck.txt</v>
      </c>
      <c r="AE13" s="144" t="str">
        <f t="shared" si="1"/>
        <v>start /low /b %USERPROFILE%\Documents\GitHub\eaglep3\Utilities\DownloadLogsFromS3.py --loco 4050 --day 2018-01-10</v>
      </c>
      <c r="AF13" s="1"/>
    </row>
    <row r="14" spans="1:32" x14ac:dyDescent="0.3">
      <c r="A14" s="31">
        <v>43109.953032407408</v>
      </c>
      <c r="B14" s="30" t="s">
        <v>509</v>
      </c>
      <c r="C14" s="30" t="s">
        <v>727</v>
      </c>
      <c r="D14" s="30" t="s">
        <v>49</v>
      </c>
      <c r="E14" s="30" t="s">
        <v>615</v>
      </c>
      <c r="F14" s="42">
        <v>670</v>
      </c>
      <c r="G14" s="42">
        <v>794</v>
      </c>
      <c r="H14" s="42">
        <v>107005</v>
      </c>
      <c r="I14" s="42">
        <v>111093</v>
      </c>
      <c r="J14" s="30" t="s">
        <v>183</v>
      </c>
      <c r="K14" s="42">
        <v>108954</v>
      </c>
      <c r="L14" s="131" t="s">
        <v>50</v>
      </c>
      <c r="M14" s="132">
        <f>CONVERT((I14-K14)/10000,"mi","ft")*IF(L14="Increasing Mileposts (1)",-1,1)</f>
        <v>-1129.3920000000001</v>
      </c>
      <c r="N14" s="133" t="str">
        <f>VLOOKUP(C14,'Trips&amp;Operators'!$C$1:$G$99911,5,FALSE)</f>
        <v>ANDERS STEVEN</v>
      </c>
      <c r="O14" s="175" t="s">
        <v>178</v>
      </c>
      <c r="P14" s="239" t="s">
        <v>618</v>
      </c>
      <c r="Q14" s="30"/>
      <c r="R14" s="81" t="str">
        <f>VLOOKUP(C14,'Train Runs'!$A$13:$AE$10247,31,0)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S14" s="84" t="str">
        <f>VLOOKUP(C14,'Train Runs'!$A$13:$AE$10247,22,0)</f>
        <v>https://d0f6bd738d7f1b3e5a7ca70fe4ff75f0.us-east-1.aws.found.io/app/kibana#/discover/Steve-Slow-Train-Analysis-(2080s-and-2083s)?_g=(refreshInterval:(display:Off,pause:!f,section:0,value:0),time:(from:'2018-01-09T21:28:20-0700',mode:absolute,to:'2018-01-10T00:09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/stypes="*4056*201801100*" /stext=" 05:.+((SYSTEM_STATE.+slice.+state.+changed )|(ment ac)|(multiple cpu faults)|(system.+state.+changed )|(\[timeout)|(PRM\|1\|D)|(kpr)|(kdp)|(train st.+moving)|(\|lc)|(penalty))"</v>
      </c>
      <c r="U14" s="9" t="str">
        <f>MID(B14,13,4)</f>
        <v>4056</v>
      </c>
      <c r="V14" s="31">
        <f>A14-utc_offset/24</f>
        <v>43110.244699074072</v>
      </c>
      <c r="W14" s="45" t="str">
        <f>DetSubdiv(C14)</f>
        <v>EC</v>
      </c>
      <c r="X14" s="228">
        <f>VALUE(LEFT(C14,LEN(C14)-3))</f>
        <v>235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Arrival","project_id":79,"tracker_id":40,"status_id":1,"priority_id":2,"assigned_to_id":338,"start_date":"2018-01-09","description":"","custom_fields":[{"id":1,"name":"Subdivision","value":"EC"},{"id":4,"name":"Milepost","value":"10.8954"},{"id":17,"name":"Train ID","value":"235-09"},{"id":16,"name":"Locomotive ID","value":"4056"},{"id":130,"name":"Impact","value":""},{"id":150,"name":"Time of Event (Mountain Time)","value":"22:52:22"},{"id":151,"name":"Denver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/c/Users/stu/AppData/Local/Temp/OnboardLogs/RTDC4056 --include="*4056*201801100*"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"%USERPROFILE%\AppData\Local\Temp\OnboardLogs"\RTDC4056\*4056*201801100* &gt;&gt; 2018-01-09-SliceDisagreementCheck.txt</v>
      </c>
      <c r="AE14" s="144" t="str">
        <f t="shared" si="1"/>
        <v>start /low /b %USERPROFILE%\Documents\GitHub\eaglep3\Utilities\DownloadLogsFromS3.py --loco 4056 --day 2018-01-10</v>
      </c>
      <c r="AF14" s="1"/>
    </row>
    <row r="15" spans="1:32" x14ac:dyDescent="0.3">
      <c r="A15" s="31">
        <v>43109.844490740739</v>
      </c>
      <c r="B15" s="30" t="s">
        <v>559</v>
      </c>
      <c r="C15" s="30" t="s">
        <v>726</v>
      </c>
      <c r="D15" s="30" t="s">
        <v>95</v>
      </c>
      <c r="E15" s="30" t="s">
        <v>615</v>
      </c>
      <c r="F15" s="42">
        <v>400</v>
      </c>
      <c r="G15" s="42">
        <v>461</v>
      </c>
      <c r="H15" s="42">
        <v>108889</v>
      </c>
      <c r="I15" s="42">
        <v>107224</v>
      </c>
      <c r="J15" s="30" t="s">
        <v>183</v>
      </c>
      <c r="K15" s="42">
        <v>109135</v>
      </c>
      <c r="L15" s="131" t="s">
        <v>51</v>
      </c>
      <c r="M15" s="132">
        <f>CONVERT((I15-K15)/10000,"mi","ft")*IF(L15="Increasing Mileposts (1)",-1,1)</f>
        <v>-1009.008</v>
      </c>
      <c r="N15" s="133" t="str">
        <f>VLOOKUP(C15,'Trips&amp;Operators'!$C$1:$G$99911,5,FALSE)</f>
        <v>RESPASS AARON</v>
      </c>
      <c r="O15" s="175" t="s">
        <v>178</v>
      </c>
      <c r="P15" s="239" t="s">
        <v>618</v>
      </c>
      <c r="Q15" s="30"/>
      <c r="R15" s="81" t="str">
        <f>VLOOKUP(C15,'Train Runs'!$A$13:$AE$10247,31,0)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S15" s="84" t="str">
        <f>VLOOKUP(C15,'Train Runs'!$A$13:$AE$10247,22,0)</f>
        <v>https://d0f6bd738d7f1b3e5a7ca70fe4ff75f0.us-east-1.aws.found.io/app/kibana#/discover/Steve-Slow-Train-Analysis-(2080s-and-2083s)?_g=(refreshInterval:(display:Off,pause:!f,section:0,value:0),time:(from:'2018-01-09T18:50:22-0700',mode:absolute,to:'2018-01-09T21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/stypes="*4013*201801100*" /stext=" 03:.+((SYSTEM_STATE.+slice.+state.+changed )|(ment ac)|(multiple cpu faults)|(system.+state.+changed )|(\[timeout)|(PRM\|1\|D)|(kpr)|(kdp)|(train st.+moving)|(\|lc)|(penalty))"</v>
      </c>
      <c r="U15" s="9" t="str">
        <f>MID(B15,13,4)</f>
        <v>4013</v>
      </c>
      <c r="V15" s="31">
        <f>A15-utc_offset/24</f>
        <v>43110.136157407404</v>
      </c>
      <c r="W15" s="45" t="str">
        <f>DetSubdiv(C15)</f>
        <v>EC</v>
      </c>
      <c r="X15" s="228">
        <f>VALUE(LEFT(C15,LEN(C15)-3))</f>
        <v>222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Arrival","project_id":79,"tracker_id":40,"status_id":1,"priority_id":2,"assigned_to_id":338,"start_date":"2018-01-09","description":"","custom_fields":[{"id":1,"name":"Subdivision","value":"EC"},{"id":4,"name":"Milepost","value":"10.9135"},{"id":17,"name":"Train ID","value":"222-09"},{"id":16,"name":"Locomotive ID","value":"4013"},{"id":130,"name":"Impact","value":""},{"id":150,"name":"Time of Event (Mountain Time)","value":"20:16:04"},{"id":151,"name":"Denver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/c/Users/stu/AppData/Local/Temp/OnboardLogs/RTDC4013 --include="*4013*201801100*"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"%USERPROFILE%\AppData\Local\Temp\OnboardLogs"\RTDC4013\*4013*201801100* &gt;&gt; 2018-01-09-SliceDisagreementCheck.txt</v>
      </c>
      <c r="AE15" s="144" t="str">
        <f t="shared" si="1"/>
        <v>start /low /b %USERPROFILE%\Documents\GitHub\eaglep3\Utilities\DownloadLogsFromS3.py --loco 4013 --day 2018-01-10</v>
      </c>
      <c r="AF15" s="1"/>
    </row>
    <row r="16" spans="1:32" x14ac:dyDescent="0.3">
      <c r="A16" s="31">
        <v>43109.49114583333</v>
      </c>
      <c r="B16" s="30" t="s">
        <v>509</v>
      </c>
      <c r="C16" s="30" t="s">
        <v>712</v>
      </c>
      <c r="D16" s="30" t="s">
        <v>49</v>
      </c>
      <c r="E16" s="30" t="s">
        <v>189</v>
      </c>
      <c r="F16" s="42">
        <v>550</v>
      </c>
      <c r="G16" s="42">
        <v>601</v>
      </c>
      <c r="H16" s="42">
        <v>221204</v>
      </c>
      <c r="I16" s="42">
        <v>223512</v>
      </c>
      <c r="J16" s="30" t="s">
        <v>190</v>
      </c>
      <c r="K16" s="42">
        <v>222090</v>
      </c>
      <c r="L16" s="131" t="s">
        <v>50</v>
      </c>
      <c r="M16" s="132">
        <f>CONVERT((I16-K16)/10000,"mi","ft")*IF(L16="Increasing Mileposts (1)",-1,1)</f>
        <v>-750.81600000000003</v>
      </c>
      <c r="N16" s="133" t="str">
        <f>VLOOKUP(C16,'Trips&amp;Operators'!$C$1:$G$99911,5,FALSE)</f>
        <v>KILLION DAVID</v>
      </c>
      <c r="O16" s="175" t="s">
        <v>178</v>
      </c>
      <c r="P16" s="239"/>
      <c r="Q16" s="30"/>
      <c r="R16" s="81" t="str">
        <f>VLOOKUP(C16,'Train Runs'!$A$13:$AE$10247,31,0)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S16" s="84" t="str">
        <f>VLOOKUP(C16,'Train Runs'!$A$13:$AE$10247,22,0)</f>
        <v>https://d0f6bd738d7f1b3e5a7ca70fe4ff75f0.us-east-1.aws.found.io/app/kibana#/discover/Steve-Slow-Train-Analysis-(2080s-and-2083s)?_g=(refreshInterval:(display:Off,pause:!f,section:0,value:0),time:(from:'2018-01-09T10:10:02-0700',mode:absolute,to:'2018-01-09T12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/stypes="*4056*201801091*" /stext=" 18:.+((SYSTEM_STATE.+slice.+state.+changed )|(ment ac)|(multiple cpu faults)|(system.+state.+changed )|(\[timeout)|(PRM\|1\|D)|(kpr)|(kdp)|(train st.+moving)|(\|lc)|(penalty))"</v>
      </c>
      <c r="U16" s="9" t="str">
        <f>MID(B16,13,4)</f>
        <v>4056</v>
      </c>
      <c r="V16" s="31">
        <f>A16-utc_offset/24</f>
        <v>43109.782812499994</v>
      </c>
      <c r="W16" s="45" t="str">
        <f>DetSubdiv(C16)</f>
        <v>EC</v>
      </c>
      <c r="X16" s="228">
        <f>VALUE(LEFT(C16,LEN(C16)-3))</f>
        <v>161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{"issue":{"subject":"","project_id":79,"tracker_id":40,"status_id":1,"priority_id":2,"assigned_to_id":338,"start_date":"2018-01-09","description":"","custom_fields":[{"id":1,"name":"Subdivision","value":"EC"},{"id":4,"name":"Milepost","value":"22.209"},{"id":17,"name":"Train ID","value":"161-09"},{"id":16,"name":"Locomotive ID","value":"4056"},{"id":130,"name":"Impact","value":""},{"id":150,"name":"Time of Event (Mountain Time)","value":"11:47:15"},{"id":151,"name":"Denver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/c/Users/stu/AppData/Local/Temp/OnboardLogs/RTDC4056 --include="*4056*201801091*"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"%USERPROFILE%\AppData\Local\Temp\OnboardLogs"\RTDC4056\*4056*201801091* &gt;&gt; 2018-01-09-SliceDisagreementCheck.txt</v>
      </c>
      <c r="AE16" s="144" t="str">
        <f t="shared" si="1"/>
        <v>start /low /b %USERPROFILE%\Documents\GitHub\eaglep3\Utilities\DownloadLogsFromS3.py --loco 4056 --day 2018-01-09</v>
      </c>
      <c r="AF16" s="1"/>
    </row>
    <row r="17" spans="1:32" x14ac:dyDescent="0.3">
      <c r="A17" s="31">
        <v>43109.832372685189</v>
      </c>
      <c r="B17" s="30" t="s">
        <v>559</v>
      </c>
      <c r="C17" s="30" t="s">
        <v>726</v>
      </c>
      <c r="D17" s="30" t="s">
        <v>95</v>
      </c>
      <c r="E17" s="30" t="s">
        <v>189</v>
      </c>
      <c r="F17" s="42">
        <v>350</v>
      </c>
      <c r="G17" s="42">
        <v>401</v>
      </c>
      <c r="H17" s="42">
        <v>229494</v>
      </c>
      <c r="I17" s="42">
        <v>228503</v>
      </c>
      <c r="J17" s="30" t="s">
        <v>190</v>
      </c>
      <c r="K17" s="42">
        <v>232080</v>
      </c>
      <c r="L17" s="131" t="s">
        <v>51</v>
      </c>
      <c r="M17" s="132">
        <f>CONVERT((I17-K17)/10000,"mi","ft")*IF(L17="Increasing Mileposts (1)",-1,1)</f>
        <v>-1888.6559999999999</v>
      </c>
      <c r="N17" s="133" t="str">
        <f>VLOOKUP(C17,'Trips&amp;Operators'!$C$1:$G$99911,5,FALSE)</f>
        <v>RESPASS AARON</v>
      </c>
      <c r="O17" s="175" t="s">
        <v>178</v>
      </c>
      <c r="P17" s="239"/>
      <c r="Q17" s="30"/>
      <c r="R17" s="81" t="str">
        <f>VLOOKUP(C17,'Train Runs'!$A$13:$AE$10247,31,0)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S17" s="84" t="str">
        <f>VLOOKUP(C17,'Train Runs'!$A$13:$AE$10247,22,0)</f>
        <v>https://d0f6bd738d7f1b3e5a7ca70fe4ff75f0.us-east-1.aws.found.io/app/kibana#/discover/Steve-Slow-Train-Analysis-(2080s-and-2083s)?_g=(refreshInterval:(display:Off,pause:!f,section:0,value:0),time:(from:'2018-01-09T18:50:22-0700',mode:absolute,to:'2018-01-09T21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/stypes="*4013*201801100*" /stext=" 02:.+((SYSTEM_STATE.+slice.+state.+changed )|(ment ac)|(multiple cpu faults)|(system.+state.+changed )|(\[timeout)|(PRM\|1\|D)|(kpr)|(kdp)|(train st.+moving)|(\|lc)|(penalty))"</v>
      </c>
      <c r="U17" s="9" t="str">
        <f>MID(B17,13,4)</f>
        <v>4013</v>
      </c>
      <c r="V17" s="31">
        <f>A17-utc_offset/24</f>
        <v>43110.124039351853</v>
      </c>
      <c r="W17" s="45" t="str">
        <f>DetSubdiv(C17)</f>
        <v>EC</v>
      </c>
      <c r="X17" s="228">
        <f>VALUE(LEFT(C17,LEN(C17)-3))</f>
        <v>222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{"issue":{"subject":"","project_id":79,"tracker_id":40,"status_id":1,"priority_id":2,"assigned_to_id":338,"start_date":"2018-01-09","description":"","custom_fields":[{"id":1,"name":"Subdivision","value":"EC"},{"id":4,"name":"Milepost","value":"23.208"},{"id":17,"name":"Train ID","value":"222-09"},{"id":16,"name":"Locomotive ID","value":"4013"},{"id":130,"name":"Impact","value":""},{"id":150,"name":"Time of Event (Mountain Time)","value":"19:58:37"},{"id":151,"name":"Denver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/c/Users/stu/AppData/Local/Temp/OnboardLogs/RTDC4013 --include="*4013*201801100*"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"%USERPROFILE%\AppData\Local\Temp\OnboardLogs"\RTDC4013\*4013*201801100* &gt;&gt; 2018-01-09-SliceDisagreementCheck.txt</v>
      </c>
      <c r="AE17" s="144" t="str">
        <f t="shared" si="1"/>
        <v>start /low /b %USERPROFILE%\Documents\GitHub\eaglep3\Utilities\DownloadLogsFromS3.py --loco 4013 --day 2018-01-10</v>
      </c>
      <c r="AF17" s="1"/>
    </row>
    <row r="18" spans="1:32" x14ac:dyDescent="0.3">
      <c r="A18" s="31">
        <v>43109.77716435185</v>
      </c>
      <c r="B18" s="30" t="s">
        <v>441</v>
      </c>
      <c r="C18" s="30" t="s">
        <v>721</v>
      </c>
      <c r="D18" s="30" t="s">
        <v>49</v>
      </c>
      <c r="E18" s="30" t="s">
        <v>473</v>
      </c>
      <c r="F18" s="42">
        <v>0</v>
      </c>
      <c r="G18" s="42">
        <v>690</v>
      </c>
      <c r="H18" s="42">
        <v>98304</v>
      </c>
      <c r="I18" s="42">
        <v>101199</v>
      </c>
      <c r="J18" s="30" t="s">
        <v>474</v>
      </c>
      <c r="K18" s="42">
        <v>103445</v>
      </c>
      <c r="L18" s="131" t="s">
        <v>50</v>
      </c>
      <c r="M18" s="132">
        <f>CONVERT((I18-K18)/10000,"mi","ft")*IF(L18="Increasing Mileposts (1)",-1,1)</f>
        <v>1185.8879999999999</v>
      </c>
      <c r="N18" s="133" t="str">
        <f>VLOOKUP(C18,'Trips&amp;Operators'!$C$1:$G$99911,5,FALSE)</f>
        <v>WEST BRYAN</v>
      </c>
      <c r="O18" s="175" t="s">
        <v>347</v>
      </c>
      <c r="P18" s="239" t="s">
        <v>458</v>
      </c>
      <c r="Q18" s="30"/>
      <c r="R18" s="81" t="str">
        <f>VLOOKUP(C18,'Train Runs'!$A$13:$AE$10247,31,0)</f>
        <v>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 &amp; aws s3 cp s3://rtdc.mdm.uploadarchive.raw/RTDC4010/ "%USERPROFILE%\AppData\Local\Temp\OnboardLogs"\RTDC4010\2018-01-10 --exclude "*" --recursive --include "*20180110*" &amp; "%USERPROFILE%\Documents\GitHub\mrs-test-scripts\Headless Mode &amp; Sideloading\WalkAndUnGZ.bat" "%USERPROFILE%\AppData\Local\Temp\OnboardLogs"\RTDC4010\2018-01-10</v>
      </c>
      <c r="S18" s="84" t="str">
        <f>VLOOKUP(C18,'Train Runs'!$A$13:$AE$10247,22,0)</f>
        <v>https://d0f6bd738d7f1b3e5a7ca70fe4ff75f0.us-east-1.aws.found.io/app/kibana#/discover/Steve-Slow-Train-Analysis-(2080s-and-2083s)?_g=(refreshInterval:(display:Off,pause:!f,section:0,value:0),time:(from:'2018-01-09T17:13:17-0700',mode:absolute,to:'2018-01-09T19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/stypes="*4010*201801100*" /stext=" 01:.+((SYSTEM_STATE.+slice.+state.+changed )|(ment ac)|(multiple cpu faults)|(system.+state.+changed )|(\[timeout)|(PRM\|1\|D)|(kpr)|(kdp)|(train st.+moving)|(\|lc)|(penalty))"</v>
      </c>
      <c r="U18" s="9" t="str">
        <f>MID(B18,13,4)</f>
        <v>4010</v>
      </c>
      <c r="V18" s="31">
        <f>A18-utc_offset/24</f>
        <v>43110.068831018514</v>
      </c>
      <c r="W18" s="45" t="str">
        <f>DetSubdiv(C18)</f>
        <v>EC</v>
      </c>
      <c r="X18" s="228">
        <f>VALUE(LEFT(C18,LEN(C18)-3))</f>
        <v>217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drop","project_id":79,"tracker_id":40,"status_id":1,"priority_id":2,"assigned_to_id":338,"start_date":"2018-01-09","description":"","custom_fields":[{"id":1,"name":"Subdivision","value":"EC"},{"id":4,"name":"Milepost","value":"10.3445"},{"id":17,"name":"Train ID","value":"217-09"},{"id":16,"name":"Locomotive ID","value":"4010"},{"id":130,"name":"Impact","value":""},{"id":150,"name":"Time of Event (Mountain Time)","value":"18:39:07"},{"id":151,"name":"Denver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/c/Users/stu/AppData/Local/Temp/OnboardLogs/RTDC4010 --include="*4010*201801100*"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"%USERPROFILE%\AppData\Local\Temp\OnboardLogs"\RTDC4010\*4010*201801100* &gt;&gt; 2018-01-09-SliceDisagreementCheck.txt</v>
      </c>
      <c r="AE18" s="144" t="str">
        <f t="shared" si="1"/>
        <v>start /low /b %USERPROFILE%\Documents\GitHub\eaglep3\Utilities\DownloadLogsFromS3.py --loco 4010 --day 2018-01-10</v>
      </c>
      <c r="AF18" s="1"/>
    </row>
    <row r="19" spans="1:32" x14ac:dyDescent="0.3">
      <c r="A19" s="31">
        <v>43109.418657407405</v>
      </c>
      <c r="B19" s="30" t="s">
        <v>559</v>
      </c>
      <c r="C19" s="30" t="s">
        <v>708</v>
      </c>
      <c r="D19" s="30" t="s">
        <v>49</v>
      </c>
      <c r="E19" s="30" t="s">
        <v>556</v>
      </c>
      <c r="F19" s="42">
        <v>0</v>
      </c>
      <c r="G19" s="42">
        <v>156</v>
      </c>
      <c r="H19" s="42">
        <v>677</v>
      </c>
      <c r="I19" s="42">
        <v>497</v>
      </c>
      <c r="J19" s="30" t="s">
        <v>557</v>
      </c>
      <c r="K19" s="42">
        <v>1</v>
      </c>
      <c r="L19" s="131" t="s">
        <v>51</v>
      </c>
      <c r="M19" s="132">
        <f>CONVERT((I19-K19)/10000,"mi","ft")*IF(L19="Increasing Mileposts (1)",-1,1)</f>
        <v>261.88799999999998</v>
      </c>
      <c r="N19" s="133" t="str">
        <f>VLOOKUP(C19,'Trips&amp;Operators'!$C$1:$G$99911,5,FALSE)</f>
        <v>YORK EDGAR</v>
      </c>
      <c r="O19" s="175" t="s">
        <v>178</v>
      </c>
      <c r="P19" s="239"/>
      <c r="Q19" s="30"/>
      <c r="R19" s="81" t="str">
        <f>VLOOKUP(C19,'Train Runs'!$A$13:$AE$10247,31,0)</f>
        <v>aws s3 cp s3://rtdc.mdm.uploadarchive.raw/RTDC4013/ "%USERPROFILE%\AppData\Local\Temp\OnboardLogs"\RTDC4013\2018-01-09 --exclude "*" --recursive --include "*20180109*" &amp; "%USERPROFILE%\Documents\GitHub\mrs-test-scripts\Headless Mode &amp; Sideloading\WalkAndUnGZ.bat" "%USERPROFILE%\AppData\Local\Temp\OnboardLogs"\RTDC4013\2018-01-09 &amp; aws s3 cp s3://rtdc.mdm.uploadarchive.raw/RTDC4013/ "%USERPROFILE%\AppData\Local\Temp\OnboardLogs"\RTDC4013\2018-01-10 --exclude "*" --recursive --include "*20180110*" &amp; "%USERPROFILE%\Documents\GitHub\mrs-test-scripts\Headless Mode &amp; Sideloading\WalkAndUnGZ.bat" "%USERPROFILE%\AppData\Local\Temp\OnboardLogs"\RTDC4013\2018-01-10</v>
      </c>
      <c r="S19" s="84" t="str">
        <f>VLOOKUP(C19,'Train Runs'!$A$13:$AE$10247,22,0)</f>
        <v>https://d0f6bd738d7f1b3e5a7ca70fe4ff75f0.us-east-1.aws.found.io/app/kibana#/discover/Steve-Slow-Train-Analysis-(2080s-and-2083s)?_g=(refreshInterval:(display:Off,pause:!f,section:0,value:0),time:(from:'2018-01-09T08:07:49-0700',mode:absolute,to:'2018-01-09T11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/stypes="*4013*201801091*" /stext=" 17:.+((SYSTEM_STATE.+slice.+state.+changed )|(ment ac)|(multiple cpu faults)|(system.+state.+changed )|(\[timeout)|(PRM\|1\|D)|(kpr)|(kdp)|(train st.+moving)|(\|lc)|(penalty))"</v>
      </c>
      <c r="U19" s="9" t="str">
        <f>MID(B19,13,4)</f>
        <v>4013</v>
      </c>
      <c r="V19" s="31">
        <f>A19-utc_offset/24</f>
        <v>43109.710324074069</v>
      </c>
      <c r="W19" s="45" t="str">
        <f>DetSubdiv(C19)</f>
        <v>EC</v>
      </c>
      <c r="X19" s="228">
        <f>VALUE(LEFT(C19,LEN(C19)-3))</f>
        <v>140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{"issue":{"subject":"","project_id":79,"tracker_id":40,"status_id":1,"priority_id":2,"assigned_to_id":338,"start_date":"2018-01-09","description":"","custom_fields":[{"id":1,"name":"Subdivision","value":"EC"},{"id":4,"name":"Milepost","value":"0.0001"},{"id":17,"name":"Train ID","value":"140-09"},{"id":16,"name":"Locomotive ID","value":"4013"},{"id":130,"name":"Impact","value":""},{"id":150,"name":"Time of Event (Mountain Time)","value":"10:02:52"},{"id":151,"name":"Denver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/c/Users/stu/AppData/Local/Temp/OnboardLogs/RTDC4013 --include="*4013*201801091*"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"%USERPROFILE%\AppData\Local\Temp\OnboardLogs"\RTDC4013\*4013*201801091* &gt;&gt; 2018-01-09-SliceDisagreementCheck.txt</v>
      </c>
      <c r="AE19" s="144" t="str">
        <f t="shared" si="1"/>
        <v>start /low /b %USERPROFILE%\Documents\GitHub\eaglep3\Utilities\DownloadLogsFromS3.py --loco 4013 --day 2018-01-09</v>
      </c>
      <c r="AF19" s="1"/>
    </row>
    <row r="20" spans="1:32" x14ac:dyDescent="0.3">
      <c r="A20" s="31">
        <v>43109.42150462963</v>
      </c>
      <c r="B20" s="30" t="s">
        <v>509</v>
      </c>
      <c r="C20" s="30" t="s">
        <v>709</v>
      </c>
      <c r="D20" s="30" t="s">
        <v>49</v>
      </c>
      <c r="E20" s="30" t="s">
        <v>556</v>
      </c>
      <c r="F20" s="42">
        <v>0</v>
      </c>
      <c r="G20" s="42">
        <v>112</v>
      </c>
      <c r="H20" s="42">
        <v>232940</v>
      </c>
      <c r="I20" s="42">
        <v>233062</v>
      </c>
      <c r="J20" s="30" t="s">
        <v>557</v>
      </c>
      <c r="K20" s="42">
        <v>233491</v>
      </c>
      <c r="L20" s="131" t="s">
        <v>50</v>
      </c>
      <c r="M20" s="132">
        <f>CONVERT((I20-K20)/10000,"mi","ft")*IF(L20="Increasing Mileposts (1)",-1,1)</f>
        <v>226.512</v>
      </c>
      <c r="N20" s="133" t="str">
        <f>VLOOKUP(C20,'Trips&amp;Operators'!$C$1:$G$99911,5,FALSE)</f>
        <v>THOMPSON LESTER</v>
      </c>
      <c r="O20" s="175" t="s">
        <v>178</v>
      </c>
      <c r="P20" s="239"/>
      <c r="Q20" s="30"/>
      <c r="R20" s="81" t="str">
        <f>VLOOKUP(C20,'Train Runs'!$A$13:$AE$10247,31,0)</f>
        <v>aws s3 cp s3://rtdc.mdm.uploadarchive.raw/RTDC4056/ "%USERPROFILE%\AppData\Local\Temp\OnboardLogs"\RTDC4056\2018-01-09 --exclude "*" --recursive --include "*20180109*" &amp; "%USERPROFILE%\Documents\GitHub\mrs-test-scripts\Headless Mode &amp; Sideloading\WalkAndUnGZ.bat" "%USERPROFILE%\AppData\Local\Temp\OnboardLogs"\RTDC4056\2018-01-09 &amp; aws s3 cp s3://rtdc.mdm.uploadarchive.raw/RTDC4056/ "%USERPROFILE%\AppData\Local\Temp\OnboardLogs"\RTDC4056\2018-01-10 --exclude "*" --recursive --include "*20180110*" &amp; "%USERPROFILE%\Documents\GitHub\mrs-test-scripts\Headless Mode &amp; Sideloading\WalkAndUnGZ.bat" "%USERPROFILE%\AppData\Local\Temp\OnboardLogs"\RTDC4056\2018-01-10</v>
      </c>
      <c r="S20" s="84" t="str">
        <f>VLOOKUP(C20,'Train Runs'!$A$13:$AE$10247,22,0)</f>
        <v>https://d0f6bd738d7f1b3e5a7ca70fe4ff75f0.us-east-1.aws.found.io/app/kibana#/discover/Steve-Slow-Train-Analysis-(2080s-and-2083s)?_g=(refreshInterval:(display:Off,pause:!f,section:0,value:0),time:(from:'2018-01-09T08:27:41-0700',mode:absolute,to:'2018-01-09T11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/stypes="*4056*201801091*" /stext=" 17:.+((SYSTEM_STATE.+slice.+state.+changed )|(ment ac)|(multiple cpu faults)|(system.+state.+changed )|(\[timeout)|(PRM\|1\|D)|(kpr)|(kdp)|(train st.+moving)|(\|lc)|(penalty))"</v>
      </c>
      <c r="U20" s="9" t="str">
        <f>MID(B20,13,4)</f>
        <v>4056</v>
      </c>
      <c r="V20" s="31">
        <f>A20-utc_offset/24</f>
        <v>43109.713171296295</v>
      </c>
      <c r="W20" s="45" t="str">
        <f>DetSubdiv(C20)</f>
        <v>EC</v>
      </c>
      <c r="X20" s="228">
        <f>VALUE(LEFT(C20,LEN(C20)-3))</f>
        <v>147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{"issue":{"subject":"","project_id":79,"tracker_id":40,"status_id":1,"priority_id":2,"assigned_to_id":338,"start_date":"2018-01-09","description":"","custom_fields":[{"id":1,"name":"Subdivision","value":"EC"},{"id":4,"name":"Milepost","value":"23.3491"},{"id":17,"name":"Train ID","value":"147-09"},{"id":16,"name":"Locomotive ID","value":"4056"},{"id":130,"name":"Impact","value":""},{"id":150,"name":"Time of Event (Mountain Time)","value":"10:06:58"},{"id":151,"name":"Denver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/c/Users/stu/AppData/Local/Temp/OnboardLogs/RTDC4056 --include="*4056*201801091*"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"%USERPROFILE%\AppData\Local\Temp\OnboardLogs"\RTDC4056\*4056*201801091* &gt;&gt; 2018-01-09-SliceDisagreementCheck.txt</v>
      </c>
      <c r="AE20" s="144" t="str">
        <f t="shared" si="1"/>
        <v>start /low /b %USERPROFILE%\Documents\GitHub\eaglep3\Utilities\DownloadLogsFromS3.py --loco 4056 --day 2018-01-09</v>
      </c>
      <c r="AF20" s="1"/>
    </row>
    <row r="21" spans="1:32" x14ac:dyDescent="0.3">
      <c r="A21" s="31">
        <v>43109.800995370373</v>
      </c>
      <c r="B21" s="30" t="s">
        <v>722</v>
      </c>
      <c r="C21" s="30" t="s">
        <v>723</v>
      </c>
      <c r="D21" s="30" t="s">
        <v>49</v>
      </c>
      <c r="E21" s="30" t="s">
        <v>615</v>
      </c>
      <c r="F21" s="42">
        <v>360</v>
      </c>
      <c r="G21" s="42">
        <v>421</v>
      </c>
      <c r="H21" s="42">
        <v>10579</v>
      </c>
      <c r="I21" s="42">
        <v>11655</v>
      </c>
      <c r="J21" s="30" t="s">
        <v>183</v>
      </c>
      <c r="K21" s="42">
        <v>10714</v>
      </c>
      <c r="L21" s="131" t="s">
        <v>50</v>
      </c>
      <c r="M21" s="132">
        <f>CONVERT((I21-K21)/10000,"mi","ft")*IF(L21="Increasing Mileposts (1)",-1,1)</f>
        <v>-496.84800000000001</v>
      </c>
      <c r="N21" s="133" t="str">
        <f>VLOOKUP(C21,'Trips&amp;Operators'!$C$1:$G$99911,5,FALSE)</f>
        <v>GUZMAN DANNY</v>
      </c>
      <c r="O21" s="175" t="s">
        <v>178</v>
      </c>
      <c r="P21" s="239" t="s">
        <v>618</v>
      </c>
      <c r="Q21" s="30"/>
      <c r="R21" s="81" t="str">
        <f>VLOOKUP(C21,'Train Runs'!$A$13:$AE$10247,31,0)</f>
        <v>aws s3 cp s3://rtdc.mdm.uploadarchive.raw/RTDC4040/ "%USERPROFILE%\AppData\Local\Temp\OnboardLogs"\RTDC4040\2018-01-09 --exclude "*" --recursive --include "*20180109*" &amp; "%USERPROFILE%\Documents\GitHub\mrs-test-scripts\Headless Mode &amp; Sideloading\WalkAndUnGZ.bat" "%USERPROFILE%\AppData\Local\Temp\OnboardLogs"\RTDC4040\2018-01-09 &amp; aws s3 cp s3://rtdc.mdm.uploadarchive.raw/RTDC4040/ "%USERPROFILE%\AppData\Local\Temp\OnboardLogs"\RTDC4040\2018-01-10 --exclude "*" --recursive --include "*20180110*" &amp; "%USERPROFILE%\Documents\GitHub\mrs-test-scripts\Headless Mode &amp; Sideloading\WalkAndUnGZ.bat" "%USERPROFILE%\AppData\Local\Temp\OnboardLogs"\RTDC4040\2018-01-10</v>
      </c>
      <c r="S21" s="84" t="str">
        <f>VLOOKUP(C21,'Train Runs'!$A$13:$AE$10247,22,0)</f>
        <v>https://d0f6bd738d7f1b3e5a7ca70fe4ff75f0.us-east-1.aws.found.io/app/kibana#/discover/Steve-Slow-Train-Analysis-(2080s-and-2083s)?_g=(refreshInterval:(display:Off,pause:!f,section:0,value:0),time:(from:'2018-01-09T18:05:05-0700',mode:absolute,to:'2018-01-09T20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/stypes="*4040*201801100*" /stext=" 02:.+((SYSTEM_STATE.+slice.+state.+changed )|(ment ac)|(multiple cpu faults)|(system.+state.+changed )|(\[timeout)|(PRM\|1\|D)|(kpr)|(kdp)|(train st.+moving)|(\|lc)|(penalty))"</v>
      </c>
      <c r="U21" s="9" t="str">
        <f>MID(B21,13,4)</f>
        <v>4040</v>
      </c>
      <c r="V21" s="31">
        <f>A21-utc_offset/24</f>
        <v>43110.092662037037</v>
      </c>
      <c r="W21" s="45" t="str">
        <f>DetSubdiv(C21)</f>
        <v>NW</v>
      </c>
      <c r="X21" s="228">
        <f>VALUE(LEFT(C21,LEN(C21)-3))</f>
        <v>841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Arrival","project_id":79,"tracker_id":40,"status_id":1,"priority_id":2,"assigned_to_id":338,"start_date":"2018-01-09","description":"","custom_fields":[{"id":1,"name":"Subdivision","value":"NW"},{"id":4,"name":"Milepost","value":"1.0714"},{"id":17,"name":"Train ID","value":"841-09"},{"id":16,"name":"Locomotive ID","value":"4040"},{"id":130,"name":"Impact","value":""},{"id":150,"name":"Time of Event (Mountain Time)","value":"19:13:26"},{"id":151,"name":"Denver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/c/Users/stu/AppData/Local/Temp/OnboardLogs/RTDC4040 --include="*4040*201801100*"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"%USERPROFILE%\AppData\Local\Temp\OnboardLogs"\RTDC4040\*4040*201801100* &gt;&gt; 2018-01-09-SliceDisagreementCheck.txt</v>
      </c>
      <c r="AE21" s="144" t="str">
        <f t="shared" si="1"/>
        <v>start /low /b %USERPROFILE%\Documents\GitHub\eaglep3\Utilities\DownloadLogsFromS3.py --loco 4040 --day 2018-01-10</v>
      </c>
      <c r="AF21" s="1"/>
    </row>
    <row r="22" spans="1:32" x14ac:dyDescent="0.3">
      <c r="A22" s="31">
        <v>43109.657592592594</v>
      </c>
      <c r="B22" s="30" t="s">
        <v>383</v>
      </c>
      <c r="C22" s="30" t="s">
        <v>718</v>
      </c>
      <c r="D22" s="30" t="s">
        <v>49</v>
      </c>
      <c r="E22" s="30" t="s">
        <v>615</v>
      </c>
      <c r="F22" s="42">
        <v>40</v>
      </c>
      <c r="G22" s="42">
        <v>196</v>
      </c>
      <c r="H22" s="42">
        <v>10181</v>
      </c>
      <c r="I22" s="42">
        <v>10445</v>
      </c>
      <c r="J22" s="30" t="s">
        <v>183</v>
      </c>
      <c r="K22" s="42">
        <v>10716</v>
      </c>
      <c r="L22" s="131" t="s">
        <v>50</v>
      </c>
      <c r="M22" s="132">
        <f>CONVERT((I22-K22)/10000,"mi","ft")*IF(L22="Increasing Mileposts (1)",-1,1)</f>
        <v>143.08799999999999</v>
      </c>
      <c r="N22" s="133" t="str">
        <f>VLOOKUP(C22,'Trips&amp;Operators'!$C$1:$G$99911,5,FALSE)</f>
        <v>STAMBAUGH JAMES</v>
      </c>
      <c r="O22" s="175" t="s">
        <v>178</v>
      </c>
      <c r="P22" s="239" t="s">
        <v>618</v>
      </c>
      <c r="Q22" s="30"/>
      <c r="R22" s="81" t="str">
        <f>VLOOKUP(C22,'Train Runs'!$A$13:$AE$10247,31,0)</f>
        <v>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 &amp; aws s3 cp s3://rtdc.mdm.uploadarchive.raw/RTDC4022/ "%USERPROFILE%\AppData\Local\Temp\OnboardLogs"\RTDC4022\2018-01-10 --exclude "*" --recursive --include "*20180110*" &amp; "%USERPROFILE%\Documents\GitHub\mrs-test-scripts\Headless Mode &amp; Sideloading\WalkAndUnGZ.bat" "%USERPROFILE%\AppData\Local\Temp\OnboardLogs"\RTDC4022\2018-01-10</v>
      </c>
      <c r="S22" s="84" t="str">
        <f>VLOOKUP(C22,'Train Runs'!$A$13:$AE$10247,22,0)</f>
        <v>https://d0f6bd738d7f1b3e5a7ca70fe4ff75f0.us-east-1.aws.found.io/app/kibana#/discover/Steve-Slow-Train-Analysis-(2080s-and-2083s)?_g=(refreshInterval:(display:Off,pause:!f,section:0,value:0),time:(from:'2018-01-09T14:42:02-0700',mode:absolute,to:'2018-01-09T16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/stypes="*4022*201801092*" /stext=" 22:.+((SYSTEM_STATE.+slice.+state.+changed )|(ment ac)|(multiple cpu faults)|(system.+state.+changed )|(\[timeout)|(PRM\|1\|D)|(kpr)|(kdp)|(train st.+moving)|(\|lc)|(penalty))"</v>
      </c>
      <c r="U22" s="9" t="str">
        <f>MID(B22,13,4)</f>
        <v>4022</v>
      </c>
      <c r="V22" s="31">
        <f>A22-utc_offset/24</f>
        <v>43109.949259259258</v>
      </c>
      <c r="W22" s="45" t="str">
        <f>DetSubdiv(C22)</f>
        <v>NW</v>
      </c>
      <c r="X22" s="228">
        <f>VALUE(LEFT(C22,LEN(C22)-3))</f>
        <v>827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Arrival","project_id":79,"tracker_id":40,"status_id":1,"priority_id":2,"assigned_to_id":338,"start_date":"2018-01-09","description":"","custom_fields":[{"id":1,"name":"Subdivision","value":"NW"},{"id":4,"name":"Milepost","value":"1.0716"},{"id":17,"name":"Train ID","value":"827-09"},{"id":16,"name":"Locomotive ID","value":"4022"},{"id":130,"name":"Impact","value":""},{"id":150,"name":"Time of Event (Mountain Time)","value":"15:46:56"},{"id":151,"name":"Denver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/c/Users/stu/AppData/Local/Temp/OnboardLogs/RTDC4022 --include="*4022*201801092*"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"%USERPROFILE%\AppData\Local\Temp\OnboardLogs"\RTDC4022\*4022*201801092* &gt;&gt; 2018-01-09-SliceDisagreementCheck.txt</v>
      </c>
      <c r="AE22" s="144" t="str">
        <f t="shared" si="1"/>
        <v>start /low /b %USERPROFILE%\Documents\GitHub\eaglep3\Utilities\DownloadLogsFromS3.py --loco 4022 --day 2018-01-09</v>
      </c>
      <c r="AF22" s="1"/>
    </row>
    <row r="23" spans="1:32" x14ac:dyDescent="0.3">
      <c r="A23" s="31">
        <v>43109.719965277778</v>
      </c>
      <c r="B23" s="30" t="s">
        <v>562</v>
      </c>
      <c r="C23" s="30" t="s">
        <v>720</v>
      </c>
      <c r="D23" s="30" t="s">
        <v>95</v>
      </c>
      <c r="E23" s="30" t="s">
        <v>189</v>
      </c>
      <c r="F23" s="42">
        <v>300</v>
      </c>
      <c r="G23" s="42">
        <v>358</v>
      </c>
      <c r="H23" s="42">
        <v>39360</v>
      </c>
      <c r="I23" s="42">
        <v>38167</v>
      </c>
      <c r="J23" s="30" t="s">
        <v>190</v>
      </c>
      <c r="K23" s="42">
        <v>41797</v>
      </c>
      <c r="L23" s="131" t="s">
        <v>51</v>
      </c>
      <c r="M23" s="132">
        <f>CONVERT((I23-K23)/10000,"mi","ft")*IF(L23="Increasing Mileposts (1)",-1,1)</f>
        <v>-1916.64</v>
      </c>
      <c r="N23" s="133" t="str">
        <f>VLOOKUP(C23,'Trips&amp;Operators'!$C$1:$G$99911,5,FALSE)</f>
        <v>STAMBAUGH JAMES</v>
      </c>
      <c r="O23" s="175" t="s">
        <v>178</v>
      </c>
      <c r="P23" s="239"/>
      <c r="Q23" s="30"/>
      <c r="R23" s="81" t="str">
        <f>VLOOKUP(C23,'Train Runs'!$A$13:$AE$10247,31,0)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S23" s="84" t="str">
        <f>VLOOKUP(C23,'Train Runs'!$A$13:$AE$10247,22,0)</f>
        <v>https://d0f6bd738d7f1b3e5a7ca70fe4ff75f0.us-east-1.aws.found.io/app/kibana#/discover/Steve-Slow-Train-Analysis-(2080s-and-2083s)?_g=(refreshInterval:(display:Off,pause:!f,section:0,value:0),time:(from:'2018-01-09T15:56:01-0700',mode:absolute,to:'2018-01-09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/stypes="*4021*201801100*" /stext=" 00:.+((SYSTEM_STATE.+slice.+state.+changed )|(ment ac)|(multiple cpu faults)|(system.+state.+changed )|(\[timeout)|(PRM\|1\|D)|(kpr)|(kdp)|(train st.+moving)|(\|lc)|(penalty))"</v>
      </c>
      <c r="U23" s="9" t="str">
        <f>MID(B23,13,4)</f>
        <v>4021</v>
      </c>
      <c r="V23" s="31">
        <f>A23-utc_offset/24</f>
        <v>43110.011631944442</v>
      </c>
      <c r="W23" s="45" t="str">
        <f>DetSubdiv(C23)</f>
        <v>NW</v>
      </c>
      <c r="X23" s="228">
        <f>VALUE(LEFT(C23,LEN(C23)-3))</f>
        <v>832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{"issue":{"subject":"","project_id":79,"tracker_id":40,"status_id":1,"priority_id":2,"assigned_to_id":338,"start_date":"2018-01-09","description":"","custom_fields":[{"id":1,"name":"Subdivision","value":"NW"},{"id":4,"name":"Milepost","value":"4.1797"},{"id":17,"name":"Train ID","value":"832-09"},{"id":16,"name":"Locomotive ID","value":"4021"},{"id":130,"name":"Impact","value":""},{"id":150,"name":"Time of Event (Mountain Time)","value":"17:16:45"},{"id":151,"name":"Denver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/c/Users/stu/AppData/Local/Temp/OnboardLogs/RTDC4021 --include="*4021*201801100*"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"%USERPROFILE%\AppData\Local\Temp\OnboardLogs"\RTDC4021\*4021*201801100* &gt;&gt; 2018-01-09-SliceDisagreementCheck.txt</v>
      </c>
      <c r="AE23" s="144" t="str">
        <f t="shared" si="1"/>
        <v>start /low /b %USERPROFILE%\Documents\GitHub\eaglep3\Utilities\DownloadLogsFromS3.py --loco 4021 --day 2018-01-10</v>
      </c>
      <c r="AF23" s="1"/>
    </row>
    <row r="24" spans="1:32" x14ac:dyDescent="0.3">
      <c r="A24" s="31">
        <v>43109.682500000003</v>
      </c>
      <c r="B24" s="30" t="s">
        <v>562</v>
      </c>
      <c r="C24" s="30" t="s">
        <v>719</v>
      </c>
      <c r="D24" s="30" t="s">
        <v>49</v>
      </c>
      <c r="E24" s="30" t="s">
        <v>353</v>
      </c>
      <c r="F24" s="42">
        <v>0</v>
      </c>
      <c r="G24" s="42">
        <v>101</v>
      </c>
      <c r="H24" s="42">
        <v>4806</v>
      </c>
      <c r="I24" s="42">
        <v>4597</v>
      </c>
      <c r="J24" s="30" t="s">
        <v>354</v>
      </c>
      <c r="K24" s="42">
        <v>4798</v>
      </c>
      <c r="L24" s="131" t="s">
        <v>51</v>
      </c>
      <c r="M24" s="132">
        <f>CONVERT((I24-K24)/10000,"mi","ft")*IF(L24="Increasing Mileposts (1)",-1,1)</f>
        <v>-106.128</v>
      </c>
      <c r="N24" s="133" t="str">
        <f>VLOOKUP(C24,'Trips&amp;Operators'!$C$1:$G$99911,5,FALSE)</f>
        <v>STAMBAUGH JAMES</v>
      </c>
      <c r="O24" s="175" t="s">
        <v>347</v>
      </c>
      <c r="P24" s="239" t="s">
        <v>553</v>
      </c>
      <c r="Q24" s="30"/>
      <c r="R24" s="81" t="str">
        <f>VLOOKUP(C24,'Train Runs'!$A$13:$AE$10247,31,0)</f>
        <v>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 &amp; aws s3 cp s3://rtdc.mdm.uploadarchive.raw/RTDC4021/ "%USERPROFILE%\AppData\Local\Temp\OnboardLogs"\RTDC4021\2018-01-10 --exclude "*" --recursive --include "*20180110*" &amp; "%USERPROFILE%\Documents\GitHub\mrs-test-scripts\Headless Mode &amp; Sideloading\WalkAndUnGZ.bat" "%USERPROFILE%\AppData\Local\Temp\OnboardLogs"\RTDC4021\2018-01-10</v>
      </c>
      <c r="S24" s="84" t="str">
        <f>VLOOKUP(C24,'Train Runs'!$A$13:$AE$10247,22,0)</f>
        <v>https://d0f6bd738d7f1b3e5a7ca70fe4ff75f0.us-east-1.aws.found.io/app/kibana#/discover/Steve-Slow-Train-Analysis-(2080s-and-2083s)?_g=(refreshInterval:(display:Off,pause:!f,section:0,value:0),time:(from:'2018-01-09T14:42:02-0700',mode:absolute,to:'2018-01-09T17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/stypes="*4021*201801092*" /stext=" 23:.+((SYSTEM_STATE.+slice.+state.+changed )|(ment ac)|(multiple cpu faults)|(system.+state.+changed )|(\[timeout)|(PRM\|1\|D)|(kpr)|(kdp)|(train st.+moving)|(\|lc)|(penalty))"</v>
      </c>
      <c r="U24" s="9" t="str">
        <f>MID(B24,13,4)</f>
        <v>4021</v>
      </c>
      <c r="V24" s="31">
        <f>A24-utc_offset/24</f>
        <v>43109.974166666667</v>
      </c>
      <c r="W24" s="45" t="str">
        <f>DetSubdiv(C24)</f>
        <v>NW</v>
      </c>
      <c r="X24" s="228">
        <f>VALUE(LEFT(C24,LEN(C24)-3))</f>
        <v>828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overpass","project_id":79,"tracker_id":40,"status_id":1,"priority_id":2,"assigned_to_id":338,"start_date":"2018-01-09","description":"","custom_fields":[{"id":1,"name":"Subdivision","value":"NW"},{"id":4,"name":"Milepost","value":"0.4798"},{"id":17,"name":"Train ID","value":"828-09"},{"id":16,"name":"Locomotive ID","value":"4021"},{"id":130,"name":"Impact","value":""},{"id":150,"name":"Time of Event (Mountain Time)","value":"16:22:48"},{"id":151,"name":"Denver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/c/Users/stu/AppData/Local/Temp/OnboardLogs/RTDC4021 --include="*4021*201801092*"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"%USERPROFILE%\AppData\Local\Temp\OnboardLogs"\RTDC4021\*4021*201801092* &gt;&gt; 2018-01-09-SliceDisagreementCheck.txt</v>
      </c>
      <c r="AE24" s="144" t="str">
        <f t="shared" si="1"/>
        <v>start /low /b %USERPROFILE%\Documents\GitHub\eaglep3\Utilities\DownloadLogsFromS3.py --loco 4021 --day 2018-01-09</v>
      </c>
      <c r="AF24" s="1"/>
    </row>
    <row r="25" spans="1:32" x14ac:dyDescent="0.3">
      <c r="A25" s="31">
        <v>43109.828923611109</v>
      </c>
      <c r="B25" s="30" t="s">
        <v>703</v>
      </c>
      <c r="C25" s="30" t="s">
        <v>725</v>
      </c>
      <c r="D25" s="30" t="s">
        <v>49</v>
      </c>
      <c r="E25" s="30" t="s">
        <v>353</v>
      </c>
      <c r="F25" s="42">
        <v>0</v>
      </c>
      <c r="G25" s="42">
        <v>99</v>
      </c>
      <c r="H25" s="42">
        <v>4817</v>
      </c>
      <c r="I25" s="42">
        <v>4649</v>
      </c>
      <c r="J25" s="30" t="s">
        <v>354</v>
      </c>
      <c r="K25" s="42">
        <v>4798</v>
      </c>
      <c r="L25" s="131" t="s">
        <v>51</v>
      </c>
      <c r="M25" s="132">
        <f>CONVERT((I25-K25)/10000,"mi","ft")*IF(L25="Increasing Mileposts (1)",-1,1)</f>
        <v>-78.671999999999997</v>
      </c>
      <c r="N25" s="133" t="str">
        <f>VLOOKUP(C25,'Trips&amp;Operators'!$C$1:$G$99911,5,FALSE)</f>
        <v>GUZMAN DANNY</v>
      </c>
      <c r="O25" s="175" t="s">
        <v>347</v>
      </c>
      <c r="P25" s="239" t="s">
        <v>553</v>
      </c>
      <c r="Q25" s="30"/>
      <c r="R25" s="81" t="str">
        <f>VLOOKUP(C25,'Train Runs'!$A$13:$AE$10247,31,0)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S25" s="84" t="str">
        <f>VLOOKUP(C25,'Train Runs'!$A$13:$AE$10247,22,0)</f>
        <v>https://d0f6bd738d7f1b3e5a7ca70fe4ff75f0.us-east-1.aws.found.io/app/kibana#/discover/Steve-Slow-Train-Analysis-(2080s-and-2083s)?_g=(refreshInterval:(display:Off,pause:!f,section:0,value:0),time:(from:'2018-01-09T18:26:32-0700',mode:absolute,to:'2018-01-09T20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/stypes="*4039*201801100*" /stext=" 02:.+((SYSTEM_STATE.+slice.+state.+changed )|(ment ac)|(multiple cpu faults)|(system.+state.+changed )|(\[timeout)|(PRM\|1\|D)|(kpr)|(kdp)|(train st.+moving)|(\|lc)|(penalty))"</v>
      </c>
      <c r="U25" s="9" t="str">
        <f>MID(B25,13,4)</f>
        <v>4039</v>
      </c>
      <c r="V25" s="31">
        <f>A25-utc_offset/24</f>
        <v>43110.120590277773</v>
      </c>
      <c r="W25" s="45" t="str">
        <f>DetSubdiv(C25)</f>
        <v>NW</v>
      </c>
      <c r="X25" s="228">
        <f>VALUE(LEFT(C25,LEN(C25)-3))</f>
        <v>840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overpass","project_id":79,"tracker_id":40,"status_id":1,"priority_id":2,"assigned_to_id":338,"start_date":"2018-01-09","description":"","custom_fields":[{"id":1,"name":"Subdivision","value":"NW"},{"id":4,"name":"Milepost","value":"0.4798"},{"id":17,"name":"Train ID","value":"840-09"},{"id":16,"name":"Locomotive ID","value":"4039"},{"id":130,"name":"Impact","value":""},{"id":150,"name":"Time of Event (Mountain Time)","value":"19:53:39"},{"id":151,"name":"Denver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/c/Users/stu/AppData/Local/Temp/OnboardLogs/RTDC4039 --include="*4039*201801100*"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"%USERPROFILE%\AppData\Local\Temp\OnboardLogs"\RTDC4039\*4039*201801100* &gt;&gt; 2018-01-09-SliceDisagreementCheck.txt</v>
      </c>
      <c r="AE25" s="144" t="str">
        <f t="shared" si="1"/>
        <v>start /low /b %USERPROFILE%\Documents\GitHub\eaglep3\Utilities\DownloadLogsFromS3.py --loco 4039 --day 2018-01-10</v>
      </c>
      <c r="AF25" s="1"/>
    </row>
    <row r="26" spans="1:32" x14ac:dyDescent="0.3">
      <c r="A26" s="31">
        <v>43109.658229166664</v>
      </c>
      <c r="B26" s="30" t="s">
        <v>383</v>
      </c>
      <c r="C26" s="30" t="s">
        <v>718</v>
      </c>
      <c r="D26" s="30" t="s">
        <v>49</v>
      </c>
      <c r="E26" s="30" t="s">
        <v>353</v>
      </c>
      <c r="F26" s="42">
        <v>0</v>
      </c>
      <c r="G26" s="42">
        <v>134</v>
      </c>
      <c r="H26" s="42">
        <v>10691</v>
      </c>
      <c r="I26" s="42">
        <v>10912</v>
      </c>
      <c r="J26" s="30" t="s">
        <v>354</v>
      </c>
      <c r="K26" s="42">
        <v>10988</v>
      </c>
      <c r="L26" s="131" t="s">
        <v>50</v>
      </c>
      <c r="M26" s="132">
        <f>CONVERT((I26-K26)/10000,"mi","ft")*IF(L26="Increasing Mileposts (1)",-1,1)</f>
        <v>40.128</v>
      </c>
      <c r="N26" s="133" t="str">
        <f>VLOOKUP(C26,'Trips&amp;Operators'!$C$1:$G$99911,5,FALSE)</f>
        <v>STAMBAUGH JAMES</v>
      </c>
      <c r="O26" s="175" t="s">
        <v>347</v>
      </c>
      <c r="P26" s="239" t="s">
        <v>458</v>
      </c>
      <c r="Q26" s="30"/>
      <c r="R26" s="81" t="str">
        <f>VLOOKUP(C26,'Train Runs'!$A$13:$AE$10247,31,0)</f>
        <v>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 &amp; aws s3 cp s3://rtdc.mdm.uploadarchive.raw/RTDC4022/ "%USERPROFILE%\AppData\Local\Temp\OnboardLogs"\RTDC4022\2018-01-10 --exclude "*" --recursive --include "*20180110*" &amp; "%USERPROFILE%\Documents\GitHub\mrs-test-scripts\Headless Mode &amp; Sideloading\WalkAndUnGZ.bat" "%USERPROFILE%\AppData\Local\Temp\OnboardLogs"\RTDC4022\2018-01-10</v>
      </c>
      <c r="S26" s="84" t="str">
        <f>VLOOKUP(C26,'Train Runs'!$A$13:$AE$10247,22,0)</f>
        <v>https://d0f6bd738d7f1b3e5a7ca70fe4ff75f0.us-east-1.aws.found.io/app/kibana#/discover/Steve-Slow-Train-Analysis-(2080s-and-2083s)?_g=(refreshInterval:(display:Off,pause:!f,section:0,value:0),time:(from:'2018-01-09T14:42:02-0700',mode:absolute,to:'2018-01-09T16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/stypes="*4022*201801092*" /stext=" 22:.+((SYSTEM_STATE.+slice.+state.+changed )|(ment ac)|(multiple cpu faults)|(system.+state.+changed )|(\[timeout)|(PRM\|1\|D)|(kpr)|(kdp)|(train st.+moving)|(\|lc)|(penalty))"</v>
      </c>
      <c r="U26" s="9" t="str">
        <f>MID(B26,13,4)</f>
        <v>4022</v>
      </c>
      <c r="V26" s="31">
        <f>A26-utc_offset/24</f>
        <v>43109.949895833328</v>
      </c>
      <c r="W26" s="45" t="str">
        <f>DetSubdiv(C26)</f>
        <v>NW</v>
      </c>
      <c r="X26" s="228">
        <f>VALUE(LEFT(C26,LEN(C26)-3))</f>
        <v>827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drop","project_id":79,"tracker_id":40,"status_id":1,"priority_id":2,"assigned_to_id":338,"start_date":"2018-01-09","description":"","custom_fields":[{"id":1,"name":"Subdivision","value":"NW"},{"id":4,"name":"Milepost","value":"1.0988"},{"id":17,"name":"Train ID","value":"827-09"},{"id":16,"name":"Locomotive ID","value":"4022"},{"id":130,"name":"Impact","value":""},{"id":150,"name":"Time of Event (Mountain Time)","value":"15:47:51"},{"id":151,"name":"Denver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/c/Users/stu/AppData/Local/Temp/OnboardLogs/RTDC4022 --include="*4022*201801092*"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"%USERPROFILE%\AppData\Local\Temp\OnboardLogs"\RTDC4022\*4022*201801092* &gt;&gt; 2018-01-09-SliceDisagreementCheck.txt</v>
      </c>
      <c r="AE26" s="144" t="str">
        <f t="shared" si="1"/>
        <v>start /low /b %USERPROFILE%\Documents\GitHub\eaglep3\Utilities\DownloadLogsFromS3.py --loco 4022 --day 2018-01-09</v>
      </c>
      <c r="AF26" s="1"/>
    </row>
    <row r="27" spans="1:32" x14ac:dyDescent="0.3">
      <c r="A27" s="31">
        <v>43109.168206018519</v>
      </c>
      <c r="B27" s="30" t="s">
        <v>350</v>
      </c>
      <c r="C27" s="30" t="s">
        <v>702</v>
      </c>
      <c r="D27" s="30" t="s">
        <v>49</v>
      </c>
      <c r="E27" s="30" t="s">
        <v>189</v>
      </c>
      <c r="F27" s="42">
        <v>450</v>
      </c>
      <c r="G27" s="42">
        <v>516</v>
      </c>
      <c r="H27" s="42">
        <v>16522</v>
      </c>
      <c r="I27" s="42">
        <v>14650</v>
      </c>
      <c r="J27" s="30" t="s">
        <v>190</v>
      </c>
      <c r="K27" s="42">
        <v>14402</v>
      </c>
      <c r="L27" s="131" t="s">
        <v>51</v>
      </c>
      <c r="M27" s="132">
        <f>CONVERT((I27-K27)/10000,"mi","ft")*IF(L27="Increasing Mileposts (1)",-1,1)</f>
        <v>130.94399999999999</v>
      </c>
      <c r="N27" s="133" t="str">
        <f>VLOOKUP(C27,'Trips&amp;Operators'!$C$1:$G$99911,5,FALSE)</f>
        <v>THOMPSON LESTER</v>
      </c>
      <c r="O27" s="175" t="s">
        <v>178</v>
      </c>
      <c r="P27" s="239"/>
      <c r="Q27" s="30"/>
      <c r="R27" s="81" t="str">
        <f>VLOOKUP(C27,'Train Runs'!$A$13:$AE$10247,31,0)</f>
        <v>aws s3 cp s3://rtdc.mdm.uploadarchive.raw/RTDC4055/ "%USERPROFILE%\AppData\Local\Temp\OnboardLogs"\RTDC4055\2018-01-09 --exclude "*" --recursive --include "*20180109*" &amp; "%USERPROFILE%\Documents\GitHub\mrs-test-scripts\Headless Mode &amp; Sideloading\WalkAndUnGZ.bat" "%USERPROFILE%\AppData\Local\Temp\OnboardLogs"\RTDC4055\2018-01-09 &amp; aws s3 cp s3://rtdc.mdm.uploadarchive.raw/RTDC4055/ "%USERPROFILE%\AppData\Local\Temp\OnboardLogs"\RTDC4055\2018-01-10 --exclude "*" --recursive --include "*20180110*" &amp; "%USERPROFILE%\Documents\GitHub\mrs-test-scripts\Headless Mode &amp; Sideloading\WalkAndUnGZ.bat" "%USERPROFILE%\AppData\Local\Temp\OnboardLogs"\RTDC4055\2018-01-10</v>
      </c>
      <c r="S27" s="84" t="str">
        <f>VLOOKUP(C27,'Train Runs'!$A$13:$AE$10247,22,0)</f>
        <v>https://d0f6bd738d7f1b3e5a7ca70fe4ff75f0.us-east-1.aws.found.io/app/kibana#/discover/Steve-Slow-Train-Analysis-(2080s-and-2083s)?_g=(refreshInterval:(display:Off,pause:!f,section:0,value:0),time:(from:'2018-01-09T02:55:34-0700',mode:absolute,to:'2018-01-09T05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/stypes="*4055*201801091*" /stext=" 11:.+((SYSTEM_STATE.+slice.+state.+changed )|(ment ac)|(multiple cpu faults)|(system.+state.+changed )|(\[timeout)|(PRM\|1\|D)|(kpr)|(kdp)|(train st.+moving)|(\|lc)|(penalty))"</v>
      </c>
      <c r="U27" s="9" t="str">
        <f>MID(B27,13,4)</f>
        <v>4055</v>
      </c>
      <c r="V27" s="31">
        <f>A27-utc_offset/24</f>
        <v>43109.459872685184</v>
      </c>
      <c r="W27" s="45" t="str">
        <f>DetSubdiv(C27)</f>
        <v>Other</v>
      </c>
      <c r="X27" s="228">
        <f>VALUE(LEFT(C27,LEN(C27)-3))</f>
        <v>304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{"issue":{"subject":"","project_id":79,"tracker_id":40,"status_id":1,"priority_id":2,"assigned_to_id":338,"start_date":"2018-01-09","description":"","custom_fields":[{"id":1,"name":"Subdivision","value":"Other"},{"id":4,"name":"Milepost","value":"1.4402"},{"id":17,"name":"Train ID","value":"304-09"},{"id":16,"name":"Locomotive ID","value":"4055"},{"id":130,"name":"Impact","value":""},{"id":150,"name":"Time of Event (Mountain Time)","value":"04:02:13"},{"id":151,"name":"Denver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/c/Users/stu/AppData/Local/Temp/OnboardLogs/RTDC4055 --include="*4055*201801091*"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"%USERPROFILE%\AppData\Local\Temp\OnboardLogs"\RTDC4055\*4055*201801091* &gt;&gt; 2018-01-09-SliceDisagreementCheck.txt</v>
      </c>
      <c r="AE27" s="144" t="str">
        <f t="shared" si="1"/>
        <v>start /low /b %USERPROFILE%\Documents\GitHub\eaglep3\Utilities\DownloadLogsFromS3.py --loco 4055 --day 2018-01-09</v>
      </c>
      <c r="AF27" s="1"/>
    </row>
    <row r="28" spans="1:32" x14ac:dyDescent="0.3">
      <c r="A28" s="31">
        <v>43109.115810185183</v>
      </c>
      <c r="B28" s="30" t="s">
        <v>559</v>
      </c>
      <c r="C28" s="30" t="s">
        <v>632</v>
      </c>
      <c r="D28" s="30" t="s">
        <v>49</v>
      </c>
      <c r="E28" s="30" t="s">
        <v>353</v>
      </c>
      <c r="F28" s="42">
        <v>0</v>
      </c>
      <c r="G28" s="42">
        <v>165</v>
      </c>
      <c r="H28" s="42">
        <v>19179</v>
      </c>
      <c r="I28" s="42">
        <v>18916</v>
      </c>
      <c r="J28" s="30" t="s">
        <v>354</v>
      </c>
      <c r="K28" s="42">
        <v>19000</v>
      </c>
      <c r="L28" s="131" t="s">
        <v>51</v>
      </c>
      <c r="M28" s="132">
        <f>CONVERT((I28-K28)/10000,"mi","ft")*IF(L28="Increasing Mileposts (1)",-1,1)</f>
        <v>-44.351999999999997</v>
      </c>
      <c r="N28" s="133" t="str">
        <f>VLOOKUP(C28,'Trips&amp;Operators'!$C$1:$G$99911,5,FALSE)</f>
        <v>YORK EDGAR</v>
      </c>
      <c r="O28" s="175" t="s">
        <v>178</v>
      </c>
      <c r="P28" s="239"/>
      <c r="Q28" s="30"/>
      <c r="R28" s="81" t="e">
        <f>VLOOKUP(C28,'Train Runs'!$A$13:$AE$10247,31,0)</f>
        <v>#N/A</v>
      </c>
      <c r="S28" s="84" t="e">
        <f>VLOOKUP(C28,'Train Runs'!$A$13:$AE$10247,22,0)</f>
        <v>#N/A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/stypes="*4013*201801090*" /stext=" 09:.+((SYSTEM_STATE.+slice.+state.+changed )|(ment ac)|(multiple cpu faults)|(system.+state.+changed )|(\[timeout)|(PRM\|1\|D)|(kpr)|(kdp)|(train st.+moving)|(\|lc)|(penalty))"</v>
      </c>
      <c r="U28" s="9" t="str">
        <f>MID(B28,13,4)</f>
        <v>4013</v>
      </c>
      <c r="V28" s="31">
        <f>A28-utc_offset/24</f>
        <v>43109.407476851848</v>
      </c>
      <c r="W28" s="45" t="str">
        <f>DetSubdiv(C28)</f>
        <v>Other</v>
      </c>
      <c r="X28" s="228">
        <f>VALUE(LEFT(C28,LEN(C28)-3))</f>
        <v>300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{"issue":{"subject":"","project_id":79,"tracker_id":40,"status_id":1,"priority_id":2,"assigned_to_id":338,"start_date":"2018-01-09","description":"","custom_fields":[{"id":1,"name":"Subdivision","value":"Other"},{"id":4,"name":"Milepost","value":"1.9"},{"id":17,"name":"Train ID","value":"300-09"},{"id":16,"name":"Locomotive ID","value":"4013"},{"id":130,"name":"Impact","value":""},{"id":150,"name":"Time of Event (Mountain Time)","value":"02:46:46"},{"id":151,"name":"Denver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/c/Users/stu/AppData/Local/Temp/OnboardLogs/RTDC4013 --include="*4013*201801090*"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"%USERPROFILE%\AppData\Local\Temp\OnboardLogs"\RTDC4013\*4013*201801090* &gt;&gt; 2018-01-09-SliceDisagreementCheck.txt</v>
      </c>
      <c r="AE28" s="144" t="str">
        <f t="shared" si="1"/>
        <v>start /low /b %USERPROFILE%\Documents\GitHub\eaglep3\Utilities\DownloadLogsFromS3.py --loco 4013 --day 2018-01-09</v>
      </c>
      <c r="AF28" s="1"/>
    </row>
    <row r="29" spans="1:32" x14ac:dyDescent="0.3">
      <c r="A29" s="31">
        <v>43109.241261574076</v>
      </c>
      <c r="B29" s="30" t="s">
        <v>703</v>
      </c>
      <c r="C29" s="30" t="s">
        <v>704</v>
      </c>
      <c r="D29" s="30" t="s">
        <v>95</v>
      </c>
      <c r="E29" s="30" t="s">
        <v>353</v>
      </c>
      <c r="F29" s="42">
        <v>0</v>
      </c>
      <c r="G29" s="42">
        <v>57</v>
      </c>
      <c r="H29" s="42">
        <v>23447</v>
      </c>
      <c r="I29" s="42">
        <v>23315</v>
      </c>
      <c r="J29" s="30" t="s">
        <v>354</v>
      </c>
      <c r="K29" s="42">
        <v>24161</v>
      </c>
      <c r="L29" s="131" t="s">
        <v>51</v>
      </c>
      <c r="M29" s="132">
        <f>CONVERT((I29-K29)/10000,"mi","ft")*IF(L29="Increasing Mileposts (1)",-1,1)</f>
        <v>-446.68799999999999</v>
      </c>
      <c r="N29" s="133" t="str">
        <f>VLOOKUP(C29,'Trips&amp;Operators'!$C$1:$G$99911,5,FALSE)</f>
        <v>FORTUNATO FRANK</v>
      </c>
      <c r="O29" s="175" t="s">
        <v>178</v>
      </c>
      <c r="P29" s="239"/>
      <c r="Q29" s="30"/>
      <c r="R29" s="81" t="str">
        <f>VLOOKUP(C29,'Train Runs'!$A$13:$AE$10247,31,0)</f>
        <v>aws s3 cp s3://rtdc.mdm.uploadarchive.raw/RTDC4039/ "%USERPROFILE%\AppData\Local\Temp\OnboardLogs"\RTDC4039\2018-01-09 --exclude "*" --recursive --include "*20180109*" &amp; "%USERPROFILE%\Documents\GitHub\mrs-test-scripts\Headless Mode &amp; Sideloading\WalkAndUnGZ.bat" "%USERPROFILE%\AppData\Local\Temp\OnboardLogs"\RTDC4039\2018-01-09 &amp; aws s3 cp s3://rtdc.mdm.uploadarchive.raw/RTDC4039/ "%USERPROFILE%\AppData\Local\Temp\OnboardLogs"\RTDC4039\2018-01-10 --exclude "*" --recursive --include "*20180110*" &amp; "%USERPROFILE%\Documents\GitHub\mrs-test-scripts\Headless Mode &amp; Sideloading\WalkAndUnGZ.bat" "%USERPROFILE%\AppData\Local\Temp\OnboardLogs"\RTDC4039\2018-01-10</v>
      </c>
      <c r="S29" s="84" t="str">
        <f>VLOOKUP(C29,'Train Runs'!$A$13:$AE$10247,22,0)</f>
        <v>https://d0f6bd738d7f1b3e5a7ca70fe4ff75f0.us-east-1.aws.found.io/app/kibana#/discover/Steve-Slow-Train-Analysis-(2080s-and-2083s)?_g=(refreshInterval:(display:Off,pause:!f,section:0,value:0),time:(from:'2018-01-09T04:38:36-0700',mode:absolute,to:'2018-01-09T06:47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/stypes="*4039*201801091*" /stext=" 12:.+((SYSTEM_STATE.+slice.+state.+changed )|(ment ac)|(multiple cpu faults)|(system.+state.+changed )|(\[timeout)|(PRM\|1\|D)|(kpr)|(kdp)|(train st.+moving)|(\|lc)|(penalty))"</v>
      </c>
      <c r="U29" s="9" t="str">
        <f>MID(B29,13,4)</f>
        <v>4039</v>
      </c>
      <c r="V29" s="31">
        <f>A29-utc_offset/24</f>
        <v>43109.53292824074</v>
      </c>
      <c r="W29" s="45" t="str">
        <f>DetSubdiv(C29)</f>
        <v>Other</v>
      </c>
      <c r="X29" s="228">
        <f>VALUE(LEFT(C29,LEN(C29)-3))</f>
        <v>902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{"issue":{"subject":"","project_id":79,"tracker_id":40,"status_id":1,"priority_id":2,"assigned_to_id":338,"start_date":"2018-01-09","description":"","custom_fields":[{"id":1,"name":"Subdivision","value":"Other"},{"id":4,"name":"Milepost","value":"2.4161"},{"id":17,"name":"Train ID","value":"902-09"},{"id":16,"name":"Locomotive ID","value":"4039"},{"id":130,"name":"Impact","value":""},{"id":150,"name":"Time of Event (Mountain Time)","value":"05:47:25"},{"id":151,"name":"Denver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/c/Users/stu/AppData/Local/Temp/OnboardLogs/RTDC4039 --include="*4039*201801091*"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"%USERPROFILE%\AppData\Local\Temp\OnboardLogs"\RTDC4039\*4039*201801091* &gt;&gt; 2018-01-09-SliceDisagreementCheck.txt</v>
      </c>
      <c r="AE29" s="144" t="str">
        <f t="shared" si="1"/>
        <v>start /low /b %USERPROFILE%\Documents\GitHub\eaglep3\Utilities\DownloadLogsFromS3.py --loco 4039 --day 2018-01-09</v>
      </c>
      <c r="AF29" s="1"/>
    </row>
    <row r="30" spans="1:32" x14ac:dyDescent="0.3">
      <c r="A30" s="31">
        <v>43109.484398148146</v>
      </c>
      <c r="B30" s="30" t="s">
        <v>620</v>
      </c>
      <c r="C30" s="30" t="s">
        <v>711</v>
      </c>
      <c r="D30" s="30" t="s">
        <v>49</v>
      </c>
      <c r="E30" s="30" t="s">
        <v>615</v>
      </c>
      <c r="F30" s="42">
        <v>30</v>
      </c>
      <c r="G30" s="42">
        <v>102</v>
      </c>
      <c r="H30" s="42">
        <v>80886</v>
      </c>
      <c r="I30" s="42">
        <v>80733</v>
      </c>
      <c r="J30" s="30" t="s">
        <v>183</v>
      </c>
      <c r="K30" s="42">
        <v>80485</v>
      </c>
      <c r="L30" s="131" t="s">
        <v>51</v>
      </c>
      <c r="M30" s="132">
        <f>CONVERT((I30-K30)/10000,"mi","ft")*IF(L30="Increasing Mileposts (1)",-1,1)</f>
        <v>130.94399999999999</v>
      </c>
      <c r="N30" s="133" t="str">
        <f>VLOOKUP(C30,'Trips&amp;Operators'!$C$1:$G$99911,5,FALSE)</f>
        <v>ROMERO CHAD</v>
      </c>
      <c r="O30" s="175" t="s">
        <v>178</v>
      </c>
      <c r="P30" s="239" t="s">
        <v>618</v>
      </c>
      <c r="Q30" s="30"/>
      <c r="R30" s="81" t="str">
        <f>VLOOKUP(C30,'Train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0" s="84" t="str">
        <f>VLOOKUP(C30,'Train Runs'!$A$13:$AE$10247,22,0)</f>
        <v>https://d0f6bd738d7f1b3e5a7ca70fe4ff75f0.us-east-1.aws.found.io/app/kibana#/discover/Steve-Slow-Train-Analysis-(2080s-and-2083s)?_g=(refreshInterval:(display:Off,pause:!f,section:0,value:0),time:(from:'2018-01-09T07:47:59-0700',mode:absolute,to:'2018-01-09T10:14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/stypes="*4053*201801091*" /stext=" 18:.+((SYSTEM_STATE.+slice.+state.+changed )|(ment ac)|(multiple cpu faults)|(system.+state.+changed )|(\[timeout)|(PRM\|1\|D)|(kpr)|(kdp)|(train st.+moving)|(\|lc)|(penalty))"</v>
      </c>
      <c r="U30" s="9" t="str">
        <f>MID(B30,13,4)</f>
        <v>4053</v>
      </c>
      <c r="V30" s="31">
        <f>A30-utc_offset/24</f>
        <v>43109.776064814811</v>
      </c>
      <c r="W30" s="45" t="str">
        <f>DetSubdiv(C30)</f>
        <v>Shuttle/Test</v>
      </c>
      <c r="X30" s="228">
        <f>VALUE(LEFT(C30,LEN(C30)-3))</f>
        <v>66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Arrival","project_id":79,"tracker_id":40,"status_id":1,"priority_id":2,"assigned_to_id":338,"start_date":"2018-01-09","description":"","custom_fields":[{"id":1,"name":"Subdivision","value":"Shuttle/Test"},{"id":4,"name":"Milepost","value":"8.0485"},{"id":17,"name":"Train ID","value":"66-09"},{"id":16,"name":"Locomotive ID","value":"4053"},{"id":130,"name":"Impact","value":""},{"id":150,"name":"Time of Event (Mountain Time)","value":"11:37:32"},{"id":151,"name":"Denver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/c/Users/stu/AppData/Local/Temp/OnboardLogs/RTDC4053 --include="*4053*201801091*"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"%USERPROFILE%\AppData\Local\Temp\OnboardLogs"\RTDC4053\*4053*201801091* &gt;&gt; 2018-01-09-SliceDisagreementCheck.txt</v>
      </c>
      <c r="AE30" s="144" t="str">
        <f t="shared" si="1"/>
        <v>start /low /b %USERPROFILE%\Documents\GitHub\eaglep3\Utilities\DownloadLogsFromS3.py --loco 4053 --day 2018-01-09</v>
      </c>
      <c r="AF30" s="1"/>
    </row>
    <row r="31" spans="1:32" x14ac:dyDescent="0.3">
      <c r="A31" s="31">
        <v>43109.485092592593</v>
      </c>
      <c r="B31" s="30" t="s">
        <v>620</v>
      </c>
      <c r="C31" s="30" t="s">
        <v>711</v>
      </c>
      <c r="D31" s="30" t="s">
        <v>49</v>
      </c>
      <c r="E31" s="30" t="s">
        <v>615</v>
      </c>
      <c r="F31" s="42">
        <v>30</v>
      </c>
      <c r="G31" s="42">
        <v>102</v>
      </c>
      <c r="H31" s="42">
        <v>80886</v>
      </c>
      <c r="I31" s="42">
        <v>79867</v>
      </c>
      <c r="J31" s="30" t="s">
        <v>183</v>
      </c>
      <c r="K31" s="42">
        <v>80485</v>
      </c>
      <c r="L31" s="131" t="s">
        <v>51</v>
      </c>
      <c r="M31" s="132">
        <f>CONVERT((I31-K31)/10000,"mi","ft")*IF(L31="Increasing Mileposts (1)",-1,1)</f>
        <v>-326.30399999999997</v>
      </c>
      <c r="N31" s="133" t="str">
        <f>VLOOKUP(C31,'Trips&amp;Operators'!$C$1:$G$99911,5,FALSE)</f>
        <v>ROMERO CHAD</v>
      </c>
      <c r="O31" s="175" t="s">
        <v>178</v>
      </c>
      <c r="P31" s="239" t="s">
        <v>618</v>
      </c>
      <c r="Q31" s="30"/>
      <c r="R31" s="81" t="str">
        <f>VLOOKUP(C31,'Train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1" s="84" t="str">
        <f>VLOOKUP(C31,'Train Runs'!$A$13:$AE$10247,22,0)</f>
        <v>https://d0f6bd738d7f1b3e5a7ca70fe4ff75f0.us-east-1.aws.found.io/app/kibana#/discover/Steve-Slow-Train-Analysis-(2080s-and-2083s)?_g=(refreshInterval:(display:Off,pause:!f,section:0,value:0),time:(from:'2018-01-09T07:47:59-0700',mode:absolute,to:'2018-01-09T10:14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/stypes="*4053*201801091*" /stext=" 18:.+((SYSTEM_STATE.+slice.+state.+changed )|(ment ac)|(multiple cpu faults)|(system.+state.+changed )|(\[timeout)|(PRM\|1\|D)|(kpr)|(kdp)|(train st.+moving)|(\|lc)|(penalty))"</v>
      </c>
      <c r="U31" s="9" t="str">
        <f>MID(B31,13,4)</f>
        <v>4053</v>
      </c>
      <c r="V31" s="31">
        <f>A31-utc_offset/24</f>
        <v>43109.776759259257</v>
      </c>
      <c r="W31" s="45" t="str">
        <f>DetSubdiv(C31)</f>
        <v>Shuttle/Test</v>
      </c>
      <c r="X31" s="228">
        <f>VALUE(LEFT(C31,LEN(C31)-3))</f>
        <v>66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Arrival","project_id":79,"tracker_id":40,"status_id":1,"priority_id":2,"assigned_to_id":338,"start_date":"2018-01-09","description":"","custom_fields":[{"id":1,"name":"Subdivision","value":"Shuttle/Test"},{"id":4,"name":"Milepost","value":"8.0485"},{"id":17,"name":"Train ID","value":"66-09"},{"id":16,"name":"Locomotive ID","value":"4053"},{"id":130,"name":"Impact","value":""},{"id":150,"name":"Time of Event (Mountain Time)","value":"11:38:32"},{"id":151,"name":"Denver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/c/Users/stu/AppData/Local/Temp/OnboardLogs/RTDC4053 --include="*4053*201801091*"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"%USERPROFILE%\AppData\Local\Temp\OnboardLogs"\RTDC4053\*4053*201801091* &gt;&gt; 2018-01-09-SliceDisagreementCheck.txt</v>
      </c>
      <c r="AE31" s="144" t="str">
        <f t="shared" si="1"/>
        <v>start /low /b %USERPROFILE%\Documents\GitHub\eaglep3\Utilities\DownloadLogsFromS3.py --loco 4053 --day 2018-01-09</v>
      </c>
      <c r="AF31" s="1"/>
    </row>
    <row r="32" spans="1:32" x14ac:dyDescent="0.3">
      <c r="A32" s="31">
        <v>43109.522928240738</v>
      </c>
      <c r="B32" s="30" t="s">
        <v>620</v>
      </c>
      <c r="C32" s="30" t="s">
        <v>710</v>
      </c>
      <c r="D32" s="30" t="s">
        <v>49</v>
      </c>
      <c r="E32" s="30" t="s">
        <v>615</v>
      </c>
      <c r="F32" s="42">
        <v>520</v>
      </c>
      <c r="G32" s="42">
        <v>570</v>
      </c>
      <c r="H32" s="42">
        <v>94246</v>
      </c>
      <c r="I32" s="42">
        <v>92206</v>
      </c>
      <c r="J32" s="30" t="s">
        <v>183</v>
      </c>
      <c r="K32" s="42">
        <v>92253</v>
      </c>
      <c r="L32" s="131" t="s">
        <v>51</v>
      </c>
      <c r="M32" s="132">
        <f>CONVERT((I32-K32)/10000,"mi","ft")*IF(L32="Increasing Mileposts (1)",-1,1)</f>
        <v>-24.815999999999999</v>
      </c>
      <c r="N32" s="133" t="str">
        <f>VLOOKUP(C32,'Trips&amp;Operators'!$C$1:$G$99911,5,FALSE)</f>
        <v>DELGADO DIANAH</v>
      </c>
      <c r="O32" s="175" t="s">
        <v>178</v>
      </c>
      <c r="P32" s="239" t="s">
        <v>618</v>
      </c>
      <c r="Q32" s="30"/>
      <c r="R32" s="81" t="str">
        <f>VLOOKUP(C32,'Train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2" s="84" t="str">
        <f>VLOOKUP(C32,'Train Runs'!$A$13:$AE$10247,22,0)</f>
        <v>https://d0f6bd738d7f1b3e5a7ca70fe4ff75f0.us-east-1.aws.found.io/app/kibana#/discover/Steve-Slow-Train-Analysis-(2080s-and-2083s)?_g=(refreshInterval:(display:Off,pause:!f,section:0,value:0),time:(from:'2018-01-09T08:49:46-0700',mode:absolute,to:'2018-01-09T12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/stypes="*4053*201801091*" /stext=" 19:.+((SYSTEM_STATE.+slice.+state.+changed )|(ment ac)|(multiple cpu faults)|(system.+state.+changed )|(\[timeout)|(PRM\|1\|D)|(kpr)|(kdp)|(train st.+moving)|(\|lc)|(penalty))"</v>
      </c>
      <c r="U32" s="9" t="str">
        <f>MID(B32,13,4)</f>
        <v>4053</v>
      </c>
      <c r="V32" s="31">
        <f>A32-utc_offset/24</f>
        <v>43109.814594907402</v>
      </c>
      <c r="W32" s="45" t="str">
        <f>DetSubdiv(C32)</f>
        <v>Shuttle/Test</v>
      </c>
      <c r="X32" s="228">
        <f>VALUE(LEFT(C32,LEN(C32)-3))</f>
        <v>64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Arrival","project_id":79,"tracker_id":40,"status_id":1,"priority_id":2,"assigned_to_id":338,"start_date":"2018-01-09","description":"","custom_fields":[{"id":1,"name":"Subdivision","value":"Shuttle/Test"},{"id":4,"name":"Milepost","value":"9.2253"},{"id":17,"name":"Train ID","value":"64-09"},{"id":16,"name":"Locomotive ID","value":"4053"},{"id":130,"name":"Impact","value":""},{"id":150,"name":"Time of Event (Mountain Time)","value":"12:33:01"},{"id":151,"name":"Denver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/c/Users/stu/AppData/Local/Temp/OnboardLogs/RTDC4053 --include="*4053*201801091*"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"%USERPROFILE%\AppData\Local\Temp\OnboardLogs"\RTDC4053\*4053*201801091* &gt;&gt; 2018-01-09-SliceDisagreementCheck.txt</v>
      </c>
      <c r="AE32" s="144" t="str">
        <f t="shared" si="1"/>
        <v>start /low /b %USERPROFILE%\Documents\GitHub\eaglep3\Utilities\DownloadLogsFromS3.py --loco 4053 --day 2018-01-09</v>
      </c>
      <c r="AF32" s="1"/>
    </row>
    <row r="33" spans="1:32" x14ac:dyDescent="0.3">
      <c r="A33" s="31">
        <v>43109.654791666668</v>
      </c>
      <c r="B33" s="30" t="s">
        <v>620</v>
      </c>
      <c r="C33" s="30" t="s">
        <v>717</v>
      </c>
      <c r="D33" s="30" t="s">
        <v>95</v>
      </c>
      <c r="E33" s="30" t="s">
        <v>615</v>
      </c>
      <c r="F33" s="42">
        <v>180</v>
      </c>
      <c r="G33" s="42">
        <v>232</v>
      </c>
      <c r="H33" s="42">
        <v>108699</v>
      </c>
      <c r="I33" s="42">
        <v>108165</v>
      </c>
      <c r="J33" s="30" t="s">
        <v>183</v>
      </c>
      <c r="K33" s="42">
        <v>109013</v>
      </c>
      <c r="L33" s="131" t="s">
        <v>51</v>
      </c>
      <c r="M33" s="132">
        <f>CONVERT((I33-K33)/10000,"mi","ft")*IF(L33="Increasing Mileposts (1)",-1,1)</f>
        <v>-447.74400000000003</v>
      </c>
      <c r="N33" s="133" t="str">
        <f>VLOOKUP(C33,'Trips&amp;Operators'!$C$1:$G$99911,5,FALSE)</f>
        <v>ZEWDU DEREJE</v>
      </c>
      <c r="O33" s="175" t="s">
        <v>178</v>
      </c>
      <c r="P33" s="239" t="s">
        <v>618</v>
      </c>
      <c r="Q33" s="30"/>
      <c r="R33" s="81" t="str">
        <f>VLOOKUP(C33,'Train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3" s="84" t="str">
        <f>VLOOKUP(C33,'Train Runs'!$A$13:$AE$10247,22,0)</f>
        <v>https://d0f6bd738d7f1b3e5a7ca70fe4ff75f0.us-east-1.aws.found.io/app/kibana#/discover/Steve-Slow-Train-Analysis-(2080s-and-2083s)?_g=(refreshInterval:(display:Off,pause:!f,section:0,value:0),time:(from:'2018-01-09T14:14:10-0700',mode:absolute,to:'2018-01-09T17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/stypes="*4053*201801092*" /stext=" 22:.+((SYSTEM_STATE.+slice.+state.+changed )|(ment ac)|(multiple cpu faults)|(system.+state.+changed )|(\[timeout)|(PRM\|1\|D)|(kpr)|(kdp)|(train st.+moving)|(\|lc)|(penalty))"</v>
      </c>
      <c r="U33" s="9" t="str">
        <f>MID(B33,13,4)</f>
        <v>4053</v>
      </c>
      <c r="V33" s="31">
        <f>A33-utc_offset/24</f>
        <v>43109.946458333332</v>
      </c>
      <c r="W33" s="45" t="str">
        <f>DetSubdiv(C33)</f>
        <v>Shuttle/Test</v>
      </c>
      <c r="X33" s="228">
        <f>VALUE(LEFT(C33,LEN(C33)-3))</f>
        <v>68</v>
      </c>
      <c r="Y33" s="23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Arrival","project_id":79,"tracker_id":40,"status_id":1,"priority_id":2,"assigned_to_id":338,"start_date":"2018-01-09","description":"","custom_fields":[{"id":1,"name":"Subdivision","value":"Shuttle/Test"},{"id":4,"name":"Milepost","value":"10.9013"},{"id":17,"name":"Train ID","value":"68-09"},{"id":16,"name":"Locomotive ID","value":"4053"},{"id":130,"name":"Impact","value":""},{"id":150,"name":"Time of Event (Mountain Time)","value":"15:42:54"},{"id":151,"name":"Denver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/c/Users/stu/AppData/Local/Temp/OnboardLogs/RTDC4053 --include="*4053*201801092*"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"%USERPROFILE%\AppData\Local\Temp\OnboardLogs"\RTDC4053\*4053*201801092* &gt;&gt; 2018-01-09-SliceDisagreementCheck.txt</v>
      </c>
      <c r="AE33" s="144" t="str">
        <f t="shared" si="1"/>
        <v>start /low /b %USERPROFILE%\Documents\GitHub\eaglep3\Utilities\DownloadLogsFromS3.py --loco 4053 --day 2018-01-09</v>
      </c>
      <c r="AF33" s="1"/>
    </row>
    <row r="34" spans="1:32" x14ac:dyDescent="0.3">
      <c r="A34" s="31">
        <v>43109.480706018519</v>
      </c>
      <c r="B34" s="30" t="s">
        <v>620</v>
      </c>
      <c r="C34" s="30" t="s">
        <v>711</v>
      </c>
      <c r="D34" s="30" t="s">
        <v>95</v>
      </c>
      <c r="E34" s="30" t="s">
        <v>615</v>
      </c>
      <c r="F34" s="42">
        <v>180</v>
      </c>
      <c r="G34" s="42">
        <v>238</v>
      </c>
      <c r="H34" s="42">
        <v>108842</v>
      </c>
      <c r="I34" s="42">
        <v>108338</v>
      </c>
      <c r="J34" s="30" t="s">
        <v>183</v>
      </c>
      <c r="K34" s="42">
        <v>109120</v>
      </c>
      <c r="L34" s="131" t="s">
        <v>51</v>
      </c>
      <c r="M34" s="132">
        <f>CONVERT((I34-K34)/10000,"mi","ft")*IF(L34="Increasing Mileposts (1)",-1,1)</f>
        <v>-412.89600000000002</v>
      </c>
      <c r="N34" s="133" t="str">
        <f>VLOOKUP(C34,'Trips&amp;Operators'!$C$1:$G$99911,5,FALSE)</f>
        <v>ROMERO CHAD</v>
      </c>
      <c r="O34" s="175" t="s">
        <v>178</v>
      </c>
      <c r="P34" s="239" t="s">
        <v>618</v>
      </c>
      <c r="Q34" s="30"/>
      <c r="R34" s="81" t="str">
        <f>VLOOKUP(C34,'Train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4" s="84" t="str">
        <f>VLOOKUP(C34,'Train Runs'!$A$13:$AE$10247,22,0)</f>
        <v>https://d0f6bd738d7f1b3e5a7ca70fe4ff75f0.us-east-1.aws.found.io/app/kibana#/discover/Steve-Slow-Train-Analysis-(2080s-and-2083s)?_g=(refreshInterval:(display:Off,pause:!f,section:0,value:0),time:(from:'2018-01-09T07:47:59-0700',mode:absolute,to:'2018-01-09T10:14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/stypes="*4053*201801091*" /stext=" 18:.+((SYSTEM_STATE.+slice.+state.+changed )|(ment ac)|(multiple cpu faults)|(system.+state.+changed )|(\[timeout)|(PRM\|1\|D)|(kpr)|(kdp)|(train st.+moving)|(\|lc)|(penalty))"</v>
      </c>
      <c r="U34" s="9" t="str">
        <f>MID(B34,13,4)</f>
        <v>4053</v>
      </c>
      <c r="V34" s="31">
        <f>A34-utc_offset/24</f>
        <v>43109.772372685184</v>
      </c>
      <c r="W34" s="45" t="str">
        <f>DetSubdiv(C34)</f>
        <v>Shuttle/Test</v>
      </c>
      <c r="X34" s="228">
        <f>VALUE(LEFT(C34,LEN(C34)-3))</f>
        <v>66</v>
      </c>
      <c r="Y34" s="23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Arrival","project_id":79,"tracker_id":40,"status_id":1,"priority_id":2,"assigned_to_id":338,"start_date":"2018-01-09","description":"","custom_fields":[{"id":1,"name":"Subdivision","value":"Shuttle/Test"},{"id":4,"name":"Milepost","value":"10.912"},{"id":17,"name":"Train ID","value":"66-09"},{"id":16,"name":"Locomotive ID","value":"4053"},{"id":130,"name":"Impact","value":""},{"id":150,"name":"Time of Event (Mountain Time)","value":"11:32:13"},{"id":151,"name":"Denver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/c/Users/stu/AppData/Local/Temp/OnboardLogs/RTDC4053 --include="*4053*201801091*"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"%USERPROFILE%\AppData\Local\Temp\OnboardLogs"\RTDC4053\*4053*201801091* &gt;&gt; 2018-01-09-SliceDisagreementCheck.txt</v>
      </c>
      <c r="AE34" s="144" t="str">
        <f t="shared" si="1"/>
        <v>start /low /b %USERPROFILE%\Documents\GitHub\eaglep3\Utilities\DownloadLogsFromS3.py --loco 4053 --day 2018-01-09</v>
      </c>
      <c r="AF34" s="1"/>
    </row>
    <row r="35" spans="1:32" x14ac:dyDescent="0.3">
      <c r="A35" s="31">
        <v>43109.421678240738</v>
      </c>
      <c r="B35" s="30" t="s">
        <v>620</v>
      </c>
      <c r="C35" s="30" t="s">
        <v>710</v>
      </c>
      <c r="D35" s="30" t="s">
        <v>49</v>
      </c>
      <c r="E35" s="30" t="s">
        <v>189</v>
      </c>
      <c r="F35" s="42">
        <v>300</v>
      </c>
      <c r="G35" s="42">
        <v>396</v>
      </c>
      <c r="H35" s="42">
        <v>72135</v>
      </c>
      <c r="I35" s="42">
        <v>71150</v>
      </c>
      <c r="J35" s="30" t="s">
        <v>190</v>
      </c>
      <c r="K35" s="42">
        <v>71417</v>
      </c>
      <c r="L35" s="131" t="s">
        <v>51</v>
      </c>
      <c r="M35" s="132">
        <f>CONVERT((I35-K35)/10000,"mi","ft")*IF(L35="Increasing Mileposts (1)",-1,1)</f>
        <v>-140.976</v>
      </c>
      <c r="N35" s="133" t="str">
        <f>VLOOKUP(C35,'Trips&amp;Operators'!$C$1:$G$99911,5,FALSE)</f>
        <v>DELGADO DIANAH</v>
      </c>
      <c r="O35" s="175" t="s">
        <v>178</v>
      </c>
      <c r="P35" s="239"/>
      <c r="Q35" s="30"/>
      <c r="R35" s="81" t="str">
        <f>VLOOKUP(C35,'Train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5" s="84" t="str">
        <f>VLOOKUP(C35,'Train Runs'!$A$13:$AE$10247,22,0)</f>
        <v>https://d0f6bd738d7f1b3e5a7ca70fe4ff75f0.us-east-1.aws.found.io/app/kibana#/discover/Steve-Slow-Train-Analysis-(2080s-and-2083s)?_g=(refreshInterval:(display:Off,pause:!f,section:0,value:0),time:(from:'2018-01-09T08:49:46-0700',mode:absolute,to:'2018-01-09T12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/stypes="*4053*201801091*" /stext=" 17:.+((SYSTEM_STATE.+slice.+state.+changed )|(ment ac)|(multiple cpu faults)|(system.+state.+changed )|(\[timeout)|(PRM\|1\|D)|(kpr)|(kdp)|(train st.+moving)|(\|lc)|(penalty))"</v>
      </c>
      <c r="U35" s="9" t="str">
        <f>MID(B35,13,4)</f>
        <v>4053</v>
      </c>
      <c r="V35" s="31">
        <f>A35-utc_offset/24</f>
        <v>43109.713344907403</v>
      </c>
      <c r="W35" s="45" t="str">
        <f>DetSubdiv(C35)</f>
        <v>Shuttle/Test</v>
      </c>
      <c r="X35" s="228">
        <f>VALUE(LEFT(C35,LEN(C35)-3))</f>
        <v>64</v>
      </c>
      <c r="Y35" s="23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Shuttle/Test"},{"id":4,"name":"Milepost","value":"7.1417"},{"id":17,"name":"Train ID","value":"64-09"},{"id":16,"name":"Locomotive ID","value":"4053"},{"id":130,"name":"Impact","value":""},{"id":150,"name":"Time of Event (Mountain Time)","value":"10:07:13"},{"id":151,"name":"Denver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1"/>
      <c r="AB35" s="231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/c/Users/stu/AppData/Local/Temp/OnboardLogs/RTDC4053 --include="*4053*201801091*"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"%USERPROFILE%\AppData\Local\Temp\OnboardLogs"\RTDC4053\*4053*201801091* &gt;&gt; 2018-01-09-SliceDisagreementCheck.txt</v>
      </c>
      <c r="AE35" s="144" t="str">
        <f t="shared" si="1"/>
        <v>start /low /b %USERPROFILE%\Documents\GitHub\eaglep3\Utilities\DownloadLogsFromS3.py --loco 4053 --day 2018-01-09</v>
      </c>
      <c r="AF35" s="1"/>
    </row>
    <row r="36" spans="1:32" x14ac:dyDescent="0.3">
      <c r="A36" s="31">
        <v>43109.594837962963</v>
      </c>
      <c r="B36" s="30" t="s">
        <v>616</v>
      </c>
      <c r="C36" s="30" t="s">
        <v>715</v>
      </c>
      <c r="D36" s="30" t="s">
        <v>49</v>
      </c>
      <c r="E36" s="30" t="s">
        <v>189</v>
      </c>
      <c r="F36" s="42">
        <v>150</v>
      </c>
      <c r="G36" s="42">
        <v>271</v>
      </c>
      <c r="H36" s="42">
        <v>108887</v>
      </c>
      <c r="I36" s="42">
        <v>109309</v>
      </c>
      <c r="J36" s="30" t="s">
        <v>190</v>
      </c>
      <c r="K36" s="42">
        <v>109686</v>
      </c>
      <c r="L36" s="131" t="s">
        <v>50</v>
      </c>
      <c r="M36" s="132">
        <f>CONVERT((I36-K36)/10000,"mi","ft")*IF(L36="Increasing Mileposts (1)",-1,1)</f>
        <v>199.05600000000001</v>
      </c>
      <c r="N36" s="133" t="str">
        <f>VLOOKUP(C36,'Trips&amp;Operators'!$C$1:$G$99911,5,FALSE)</f>
        <v>ZEWDU DEREJE</v>
      </c>
      <c r="O36" s="175" t="s">
        <v>178</v>
      </c>
      <c r="P36" s="239"/>
      <c r="Q36" s="30"/>
      <c r="R36" s="81" t="str">
        <f>VLOOKUP(C36,'Train Runs'!$A$13:$AE$10247,31,0)</f>
        <v>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 &amp; aws s3 cp s3://rtdc.mdm.uploadarchive.raw/RTDC4054/ "%USERPROFILE%\AppData\Local\Temp\OnboardLogs"\RTDC4054\2018-01-10 --exclude "*" --recursive --include "*20180110*" &amp; "%USERPROFILE%\Documents\GitHub\mrs-test-scripts\Headless Mode &amp; Sideloading\WalkAndUnGZ.bat" "%USERPROFILE%\AppData\Local\Temp\OnboardLogs"\RTDC4054\2018-01-10</v>
      </c>
      <c r="S36" s="84" t="str">
        <f>VLOOKUP(C36,'Train Runs'!$A$13:$AE$10247,22,0)</f>
        <v>https://d0f6bd738d7f1b3e5a7ca70fe4ff75f0.us-east-1.aws.found.io/app/kibana#/discover/Steve-Slow-Train-Analysis-(2080s-and-2083s)?_g=(refreshInterval:(display:Off,pause:!f,section:0,value:0),time:(from:'2018-01-09T14:30:06-0700',mode:absolute,to:'2018-01-09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/stypes="*4054*201801092*" /stext=" 21:.+((SYSTEM_STATE.+slice.+state.+changed )|(ment ac)|(multiple cpu faults)|(system.+state.+changed )|(\[timeout)|(PRM\|1\|D)|(kpr)|(kdp)|(train st.+moving)|(\|lc)|(penalty))"</v>
      </c>
      <c r="U36" s="9" t="str">
        <f>MID(B36,13,4)</f>
        <v>4054</v>
      </c>
      <c r="V36" s="31">
        <f>A36-utc_offset/24</f>
        <v>43109.886504629627</v>
      </c>
      <c r="W36" s="45" t="str">
        <f>DetSubdiv(C36)</f>
        <v>Shuttle/Test</v>
      </c>
      <c r="X36" s="228">
        <f>VALUE(LEFT(C36,LEN(C36)-3))</f>
        <v>67</v>
      </c>
      <c r="Y36" s="23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Shuttle/Test"},{"id":4,"name":"Milepost","value":"10.9686"},{"id":17,"name":"Train ID","value":"67-09"},{"id":16,"name":"Locomotive ID","value":"4054"},{"id":130,"name":"Impact","value":""},{"id":150,"name":"Time of Event (Mountain Time)","value":"14:16:34"},{"id":151,"name":"Denver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1"/>
      <c r="AB36" s="231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/c/Users/stu/AppData/Local/Temp/OnboardLogs/RTDC4054 --include="*4054*201801092*"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"%USERPROFILE%\AppData\Local\Temp\OnboardLogs"\RTDC4054\*4054*201801092* &gt;&gt; 2018-01-09-SliceDisagreementCheck.txt</v>
      </c>
      <c r="AE36" s="144" t="str">
        <f t="shared" si="1"/>
        <v>start /low /b %USERPROFILE%\Documents\GitHub\eaglep3\Utilities\DownloadLogsFromS3.py --loco 4054 --day 2018-01-09</v>
      </c>
      <c r="AF36" s="1"/>
    </row>
    <row r="37" spans="1:32" x14ac:dyDescent="0.3">
      <c r="A37" s="31">
        <v>43109.740787037037</v>
      </c>
      <c r="B37" s="30" t="s">
        <v>462</v>
      </c>
      <c r="C37" s="30" t="s">
        <v>711</v>
      </c>
      <c r="D37" s="30" t="s">
        <v>49</v>
      </c>
      <c r="E37" s="30" t="s">
        <v>353</v>
      </c>
      <c r="F37" s="42">
        <v>0</v>
      </c>
      <c r="G37" s="42">
        <v>85</v>
      </c>
      <c r="H37" s="42">
        <v>24675</v>
      </c>
      <c r="I37" s="42">
        <v>24612</v>
      </c>
      <c r="J37" s="30" t="s">
        <v>354</v>
      </c>
      <c r="K37" s="42">
        <v>24235</v>
      </c>
      <c r="L37" s="131" t="s">
        <v>51</v>
      </c>
      <c r="M37" s="132">
        <f>CONVERT((I37-K37)/10000,"mi","ft")*IF(L37="Increasing Mileposts (1)",-1,1)</f>
        <v>199.05600000000001</v>
      </c>
      <c r="N37" s="133" t="str">
        <f>VLOOKUP(C37,'Trips&amp;Operators'!$C$1:$G$99911,5,FALSE)</f>
        <v>ROMERO CHAD</v>
      </c>
      <c r="O37" s="175" t="s">
        <v>178</v>
      </c>
      <c r="P37" s="239"/>
      <c r="Q37" s="30"/>
      <c r="R37" s="81" t="str">
        <f>VLOOKUP(C37,'Train Runs'!$A$13:$AE$10247,31,0)</f>
        <v>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 &amp; aws s3 cp s3://rtdc.mdm.uploadarchive.raw/RTDC4053/ "%USERPROFILE%\AppData\Local\Temp\OnboardLogs"\RTDC4053\2018-01-10 --exclude "*" --recursive --include "*20180110*" &amp; "%USERPROFILE%\Documents\GitHub\mrs-test-scripts\Headless Mode &amp; Sideloading\WalkAndUnGZ.bat" "%USERPROFILE%\AppData\Local\Temp\OnboardLogs"\RTDC4053\2018-01-10</v>
      </c>
      <c r="S37" s="84" t="str">
        <f>VLOOKUP(C37,'Train Runs'!$A$13:$AE$10247,22,0)</f>
        <v>https://d0f6bd738d7f1b3e5a7ca70fe4ff75f0.us-east-1.aws.found.io/app/kibana#/discover/Steve-Slow-Train-Analysis-(2080s-and-2083s)?_g=(refreshInterval:(display:Off,pause:!f,section:0,value:0),time:(from:'2018-01-09T07:47:59-0700',mode:absolute,to:'2018-01-09T10:14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/stypes="*4009*201801100*" /stext=" 00:.+((SYSTEM_STATE.+slice.+state.+changed )|(ment ac)|(multiple cpu faults)|(system.+state.+changed )|(\[timeout)|(PRM\|1\|D)|(kpr)|(kdp)|(train st.+moving)|(\|lc)|(penalty))"</v>
      </c>
      <c r="U37" s="9" t="str">
        <f>MID(B37,13,4)</f>
        <v>4009</v>
      </c>
      <c r="V37" s="31">
        <f>A37-utc_offset/24</f>
        <v>43110.032453703701</v>
      </c>
      <c r="W37" s="45" t="str">
        <f>DetSubdiv(C37)</f>
        <v>Shuttle/Test</v>
      </c>
      <c r="X37" s="228">
        <f>VALUE(LEFT(C37,LEN(C37)-3))</f>
        <v>66</v>
      </c>
      <c r="Y37" s="23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Shuttle/Test"},{"id":4,"name":"Milepost","value":"2.4235"},{"id":17,"name":"Train ID","value":"66-09"},{"id":16,"name":"Locomotive ID","value":"4009"},{"id":130,"name":"Impact","value":""},{"id":150,"name":"Time of Event (Mountain Time)","value":"17:46:44"},{"id":151,"name":"Denver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8"/>
      <c r="AA37" s="231"/>
      <c r="AB37" s="231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/c/Users/stu/AppData/Local/Temp/OnboardLogs/RTDC4009 --include="*4009*201801100*"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"%USERPROFILE%\AppData\Local\Temp\OnboardLogs"\RTDC4009\*4009*201801100* &gt;&gt; 2018-01-09-SliceDisagreementCheck.txt</v>
      </c>
      <c r="AE37" s="144" t="str">
        <f t="shared" si="1"/>
        <v>start /low /b %USERPROFILE%\Documents\GitHub\eaglep3\Utilities\DownloadLogsFromS3.py --loco 4009 --day 2018-01-10</v>
      </c>
      <c r="AF37" s="1"/>
    </row>
  </sheetData>
  <autoFilter ref="A6:AC15">
    <sortState ref="A7:AC37">
      <sortCondition ref="W7:W37"/>
      <sortCondition ref="E7:E37"/>
      <sortCondition ref="K7:K37"/>
      <sortCondition ref="F7:F37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7" priority="44" operator="equal">
      <formula>"Y"</formula>
    </cfRule>
  </conditionalFormatting>
  <conditionalFormatting sqref="O2:O3">
    <cfRule type="cellIs" dxfId="6" priority="35" operator="equal">
      <formula>"Y"</formula>
    </cfRule>
  </conditionalFormatting>
  <conditionalFormatting sqref="A7:P37">
    <cfRule type="expression" dxfId="5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2018-01-09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-09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Runs'!$A$13:$A$100244,1,FALSE)</f>
        <v>#N/A</v>
      </c>
    </row>
    <row r="4" spans="1:10" x14ac:dyDescent="0.3">
      <c r="A4" s="197"/>
      <c r="B4" s="42" t="str">
        <f>A4&amp;"-"&amp;IF(DAY(Variables!$A$2)&lt;10,0,"")&amp;DAY(Variables!$A$2)</f>
        <v>-09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Runs'!$A$13:$A$100244,1,FALSE)</f>
        <v>#N/A</v>
      </c>
    </row>
    <row r="5" spans="1:10" x14ac:dyDescent="0.3">
      <c r="A5" s="197"/>
      <c r="B5" s="42" t="str">
        <f>A5&amp;"-"&amp;IF(DAY(Variables!$A$2)&lt;10,0,"")&amp;DAY(Variables!$A$2)</f>
        <v>-09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Runs'!$A$13:$A$100244,1,FALSE)</f>
        <v>#N/A</v>
      </c>
    </row>
    <row r="6" spans="1:10" x14ac:dyDescent="0.3">
      <c r="A6" s="197"/>
      <c r="B6" s="42" t="str">
        <f>A6&amp;"-"&amp;IF(DAY(Variables!$A$2)&lt;10,0,"")&amp;DAY(Variables!$A$2)</f>
        <v>-09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Runs'!$A$13:$A$100244,1,FALSE)</f>
        <v>#N/A</v>
      </c>
    </row>
    <row r="7" spans="1:10" x14ac:dyDescent="0.3">
      <c r="A7" s="197"/>
      <c r="B7" s="42" t="str">
        <f>A7&amp;"-"&amp;IF(DAY(Variables!$A$2)&lt;10,0,"")&amp;DAY(Variables!$A$2)</f>
        <v>-09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Runs'!$A$13:$A$100244,1,FALSE)</f>
        <v>#N/A</v>
      </c>
    </row>
    <row r="8" spans="1:10" x14ac:dyDescent="0.3">
      <c r="A8" s="197"/>
      <c r="B8" s="42" t="str">
        <f>A8&amp;"-"&amp;IF(DAY(Variables!$A$2)&lt;10,0,"")&amp;DAY(Variables!$A$2)</f>
        <v>-09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Runs'!$A$13:$A$100244,1,FALSE)</f>
        <v>#N/A</v>
      </c>
    </row>
    <row r="9" spans="1:10" x14ac:dyDescent="0.3">
      <c r="A9" s="197"/>
      <c r="B9" s="42" t="str">
        <f>A9&amp;"-"&amp;IF(DAY(Variables!$A$2)&lt;10,0,"")&amp;DAY(Variables!$A$2)</f>
        <v>-09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Runs'!$A$13:$A$100244,1,FALSE)</f>
        <v>#N/A</v>
      </c>
    </row>
    <row r="10" spans="1:10" x14ac:dyDescent="0.3">
      <c r="A10" s="197"/>
      <c r="B10" s="42" t="str">
        <f>A10&amp;"-"&amp;IF(DAY(Variables!$A$2)&lt;10,0,"")&amp;DAY(Variables!$A$2)</f>
        <v>-09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Runs'!$A$13:$A$100244,1,FALSE)</f>
        <v>#N/A</v>
      </c>
    </row>
    <row r="11" spans="1:10" x14ac:dyDescent="0.3">
      <c r="A11" s="197"/>
      <c r="B11" s="42" t="str">
        <f>A11&amp;"-"&amp;IF(DAY(Variables!$A$2)&lt;10,0,"")&amp;DAY(Variables!$A$2)</f>
        <v>-09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Runs'!$A$13:$A$100244,1,FALSE)</f>
        <v>#N/A</v>
      </c>
    </row>
    <row r="12" spans="1:10" x14ac:dyDescent="0.3">
      <c r="A12" s="197"/>
      <c r="B12" s="42" t="str">
        <f>A12&amp;"-"&amp;IF(DAY(Variables!$A$2)&lt;10,0,"")&amp;DAY(Variables!$A$2)</f>
        <v>-09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Runs'!$A$13:$A$100244,1,FALSE)</f>
        <v>#N/A</v>
      </c>
    </row>
    <row r="13" spans="1:10" x14ac:dyDescent="0.3">
      <c r="A13" s="197"/>
      <c r="B13" s="42" t="str">
        <f>A13&amp;"-"&amp;IF(DAY(Variables!$A$2)&lt;10,0,"")&amp;DAY(Variables!$A$2)</f>
        <v>-09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Runs'!$A$13:$A$100244,1,FALSE)</f>
        <v>#N/A</v>
      </c>
    </row>
    <row r="14" spans="1:10" x14ac:dyDescent="0.3">
      <c r="A14" s="197"/>
      <c r="B14" s="42" t="str">
        <f>A14&amp;"-"&amp;IF(DAY(Variables!$A$2)&lt;10,0,"")&amp;DAY(Variables!$A$2)</f>
        <v>-09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Runs'!$A$13:$A$100244,1,FALSE)</f>
        <v>#N/A</v>
      </c>
    </row>
    <row r="15" spans="1:10" x14ac:dyDescent="0.3">
      <c r="A15" s="197"/>
      <c r="B15" s="42" t="str">
        <f>A15&amp;"-"&amp;IF(DAY(Variables!$A$2)&lt;10,0,"")&amp;DAY(Variables!$A$2)</f>
        <v>-09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Runs'!$A$13:$A$100244,1,FALSE)</f>
        <v>#N/A</v>
      </c>
    </row>
    <row r="16" spans="1:10" x14ac:dyDescent="0.3">
      <c r="A16" s="197"/>
      <c r="B16" s="42" t="str">
        <f>A16&amp;"-"&amp;IF(DAY(Variables!$A$2)&lt;10,0,"")&amp;DAY(Variables!$A$2)</f>
        <v>-09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Runs'!$A$13:$A$100244,1,FALSE)</f>
        <v>#N/A</v>
      </c>
    </row>
    <row r="17" spans="1:10" x14ac:dyDescent="0.3">
      <c r="A17" s="197"/>
      <c r="B17" s="42" t="str">
        <f>A17&amp;"-"&amp;IF(DAY(Variables!$A$2)&lt;10,0,"")&amp;DAY(Variables!$A$2)</f>
        <v>-09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Runs'!$A$13:$A$100244,1,FALSE)</f>
        <v>#N/A</v>
      </c>
    </row>
    <row r="18" spans="1:10" x14ac:dyDescent="0.3">
      <c r="A18" s="197"/>
      <c r="B18" s="42" t="str">
        <f>A18&amp;"-"&amp;IF(DAY(Variables!$A$2)&lt;10,0,"")&amp;DAY(Variables!$A$2)</f>
        <v>-09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Runs'!$A$13:$A$100244,1,FALSE)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4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43109.034814814811</v>
      </c>
      <c r="B2" s="20" t="s">
        <v>554</v>
      </c>
      <c r="C2" s="20" t="s">
        <v>451</v>
      </c>
      <c r="D2" s="137">
        <v>3220000</v>
      </c>
      <c r="E2" s="20" t="s">
        <v>377</v>
      </c>
      <c r="F2" s="20" t="s">
        <v>378</v>
      </c>
      <c r="G2" s="8" t="str">
        <f>E2&amp;" "&amp;F2</f>
        <v>RESPASS AARON</v>
      </c>
      <c r="H2" t="str">
        <f>MID(B2,13,4)</f>
        <v>4025</v>
      </c>
    </row>
    <row r="3" spans="1:8" x14ac:dyDescent="0.3">
      <c r="A3" s="8">
        <v>43109.046967592592</v>
      </c>
      <c r="B3" s="20" t="s">
        <v>464</v>
      </c>
      <c r="C3" s="20" t="s">
        <v>452</v>
      </c>
      <c r="D3" s="137">
        <v>890000</v>
      </c>
      <c r="E3" s="20" t="s">
        <v>343</v>
      </c>
      <c r="F3" s="20" t="s">
        <v>344</v>
      </c>
      <c r="G3" s="8" t="str">
        <f t="shared" ref="G3:G66" si="0">E3&amp;" "&amp;F3</f>
        <v>LOZA FIDEL</v>
      </c>
      <c r="H3" s="20" t="str">
        <f t="shared" ref="H3:H66" si="1">MID(B3,13,4)</f>
        <v>4044</v>
      </c>
    </row>
    <row r="4" spans="1:8" x14ac:dyDescent="0.3">
      <c r="A4" s="8">
        <v>43109.056608796294</v>
      </c>
      <c r="B4" s="20" t="s">
        <v>469</v>
      </c>
      <c r="C4" s="20" t="s">
        <v>453</v>
      </c>
      <c r="D4" s="137">
        <v>3040000</v>
      </c>
      <c r="E4" s="20" t="s">
        <v>367</v>
      </c>
      <c r="F4" s="20" t="s">
        <v>510</v>
      </c>
      <c r="G4" s="8" t="str">
        <f t="shared" si="0"/>
        <v>WILLIAMS DONTE</v>
      </c>
      <c r="H4" s="20" t="str">
        <f t="shared" si="1"/>
        <v>4019</v>
      </c>
    </row>
    <row r="5" spans="1:8" x14ac:dyDescent="0.3">
      <c r="A5" s="8">
        <v>43109.067326388889</v>
      </c>
      <c r="B5" s="20" t="s">
        <v>560</v>
      </c>
      <c r="C5" s="20" t="s">
        <v>454</v>
      </c>
      <c r="D5" s="137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4026</v>
      </c>
    </row>
    <row r="6" spans="1:8" x14ac:dyDescent="0.3">
      <c r="A6" s="8">
        <v>43109.112534722219</v>
      </c>
      <c r="B6" s="20" t="s">
        <v>559</v>
      </c>
      <c r="C6" s="20" t="s">
        <v>632</v>
      </c>
      <c r="D6" s="137">
        <v>1830000</v>
      </c>
      <c r="E6" s="20" t="s">
        <v>345</v>
      </c>
      <c r="F6" s="20" t="s">
        <v>346</v>
      </c>
      <c r="G6" s="8" t="str">
        <f t="shared" si="0"/>
        <v>YORK EDGAR</v>
      </c>
      <c r="H6" s="20" t="str">
        <f t="shared" si="1"/>
        <v>4013</v>
      </c>
    </row>
    <row r="7" spans="1:8" x14ac:dyDescent="0.3">
      <c r="A7" s="8">
        <v>43109.113611111112</v>
      </c>
      <c r="B7" s="20" t="s">
        <v>559</v>
      </c>
      <c r="C7" s="20" t="s">
        <v>632</v>
      </c>
      <c r="D7" s="137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4013</v>
      </c>
    </row>
    <row r="8" spans="1:8" x14ac:dyDescent="0.3">
      <c r="A8" s="8">
        <v>43109.123460648145</v>
      </c>
      <c r="B8" s="20" t="s">
        <v>445</v>
      </c>
      <c r="C8" s="20" t="s">
        <v>729</v>
      </c>
      <c r="D8" s="137">
        <v>1830000</v>
      </c>
      <c r="E8" s="20" t="s">
        <v>345</v>
      </c>
      <c r="F8" s="20" t="s">
        <v>346</v>
      </c>
      <c r="G8" s="8" t="str">
        <f t="shared" si="0"/>
        <v>YORK EDGAR</v>
      </c>
      <c r="H8" s="20" t="str">
        <f t="shared" si="1"/>
        <v>4042</v>
      </c>
    </row>
    <row r="9" spans="1:8" ht="15" thickBot="1" x14ac:dyDescent="0.35">
      <c r="A9" s="24">
        <v>43109.135347222225</v>
      </c>
      <c r="B9" s="20" t="s">
        <v>555</v>
      </c>
      <c r="C9" s="20" t="s">
        <v>730</v>
      </c>
      <c r="D9" s="137">
        <v>1090000</v>
      </c>
      <c r="E9" s="20" t="s">
        <v>563</v>
      </c>
      <c r="F9" s="20" t="s">
        <v>351</v>
      </c>
      <c r="G9" s="8" t="str">
        <f t="shared" si="0"/>
        <v>SPECTOR MICHAEL</v>
      </c>
      <c r="H9" s="20" t="str">
        <f t="shared" si="1"/>
        <v>4014</v>
      </c>
    </row>
    <row r="10" spans="1:8" x14ac:dyDescent="0.3">
      <c r="A10" s="8">
        <v>43109.139884259261</v>
      </c>
      <c r="B10" s="20" t="s">
        <v>559</v>
      </c>
      <c r="C10" s="20" t="s">
        <v>731</v>
      </c>
      <c r="D10" s="137">
        <v>1090000</v>
      </c>
      <c r="E10" s="20" t="s">
        <v>563</v>
      </c>
      <c r="F10" s="20" t="s">
        <v>351</v>
      </c>
      <c r="G10" s="8" t="str">
        <f t="shared" si="0"/>
        <v>SPECTOR MICHAEL</v>
      </c>
      <c r="H10" s="20" t="str">
        <f t="shared" si="1"/>
        <v>4013</v>
      </c>
    </row>
    <row r="11" spans="1:8" x14ac:dyDescent="0.3">
      <c r="A11" s="8">
        <v>43109.153958333336</v>
      </c>
      <c r="B11" s="20" t="s">
        <v>443</v>
      </c>
      <c r="C11" s="20" t="s">
        <v>732</v>
      </c>
      <c r="D11" s="137">
        <v>940000</v>
      </c>
      <c r="E11" s="20" t="s">
        <v>733</v>
      </c>
      <c r="F11" s="20" t="s">
        <v>734</v>
      </c>
      <c r="G11" s="8" t="str">
        <f t="shared" si="0"/>
        <v>BONDS REYNALDO</v>
      </c>
      <c r="H11" s="20" t="str">
        <f t="shared" si="1"/>
        <v>4050</v>
      </c>
    </row>
    <row r="12" spans="1:8" x14ac:dyDescent="0.3">
      <c r="A12" s="8">
        <v>43109.160624999997</v>
      </c>
      <c r="B12" s="20" t="s">
        <v>558</v>
      </c>
      <c r="C12" s="20" t="s">
        <v>735</v>
      </c>
      <c r="D12" s="137">
        <v>1830000</v>
      </c>
      <c r="E12" s="20" t="s">
        <v>345</v>
      </c>
      <c r="F12" s="20" t="s">
        <v>346</v>
      </c>
      <c r="G12" s="8" t="str">
        <f t="shared" si="0"/>
        <v>YORK EDGAR</v>
      </c>
      <c r="H12" s="20" t="str">
        <f t="shared" si="1"/>
        <v>4041</v>
      </c>
    </row>
    <row r="13" spans="1:8" x14ac:dyDescent="0.3">
      <c r="A13" s="8">
        <v>43109.164409722223</v>
      </c>
      <c r="B13" s="20" t="s">
        <v>350</v>
      </c>
      <c r="C13" s="20" t="s">
        <v>702</v>
      </c>
      <c r="D13" s="137">
        <v>3120000</v>
      </c>
      <c r="E13" s="20" t="s">
        <v>368</v>
      </c>
      <c r="F13" s="20" t="s">
        <v>527</v>
      </c>
      <c r="G13" s="8" t="str">
        <f t="shared" si="0"/>
        <v>THOMPSON LESTER</v>
      </c>
      <c r="H13" s="20" t="str">
        <f t="shared" si="1"/>
        <v>4055</v>
      </c>
    </row>
    <row r="14" spans="1:8" x14ac:dyDescent="0.3">
      <c r="A14" s="8">
        <v>43109.167754629627</v>
      </c>
      <c r="B14" s="20" t="s">
        <v>555</v>
      </c>
      <c r="C14" s="20" t="s">
        <v>736</v>
      </c>
      <c r="D14" s="137">
        <v>1090000</v>
      </c>
      <c r="E14" s="20" t="s">
        <v>563</v>
      </c>
      <c r="F14" s="20" t="s">
        <v>351</v>
      </c>
      <c r="G14" s="8" t="str">
        <f t="shared" si="0"/>
        <v>SPECTOR MICHAEL</v>
      </c>
      <c r="H14" s="20" t="str">
        <f t="shared" si="1"/>
        <v>4014</v>
      </c>
    </row>
    <row r="15" spans="1:8" x14ac:dyDescent="0.3">
      <c r="A15" s="8">
        <v>43109.169074074074</v>
      </c>
      <c r="B15" s="20" t="s">
        <v>484</v>
      </c>
      <c r="C15" s="20" t="s">
        <v>737</v>
      </c>
      <c r="D15" s="137">
        <v>3300000</v>
      </c>
      <c r="E15" s="20" t="s">
        <v>621</v>
      </c>
      <c r="F15" s="20" t="s">
        <v>622</v>
      </c>
      <c r="G15" s="8" t="str">
        <f t="shared" si="0"/>
        <v>LANGERAK WILLIAM</v>
      </c>
      <c r="H15" s="20" t="str">
        <f t="shared" si="1"/>
        <v>4063</v>
      </c>
    </row>
    <row r="16" spans="1:8" x14ac:dyDescent="0.3">
      <c r="A16" s="8">
        <v>43109.175150462965</v>
      </c>
      <c r="B16" s="20" t="s">
        <v>509</v>
      </c>
      <c r="C16" s="20" t="s">
        <v>738</v>
      </c>
      <c r="D16" s="137">
        <v>3120000</v>
      </c>
      <c r="E16" s="20" t="s">
        <v>368</v>
      </c>
      <c r="F16" s="20" t="s">
        <v>527</v>
      </c>
      <c r="G16" s="8" t="str">
        <f t="shared" si="0"/>
        <v>THOMPSON LESTER</v>
      </c>
      <c r="H16" s="20" t="str">
        <f t="shared" si="1"/>
        <v>4056</v>
      </c>
    </row>
    <row r="17" spans="1:8" x14ac:dyDescent="0.3">
      <c r="A17" s="8">
        <v>43109.175219907411</v>
      </c>
      <c r="B17" s="20" t="s">
        <v>559</v>
      </c>
      <c r="C17" s="20" t="s">
        <v>739</v>
      </c>
      <c r="D17" s="137">
        <v>1090000</v>
      </c>
      <c r="E17" s="20" t="s">
        <v>563</v>
      </c>
      <c r="F17" s="20" t="s">
        <v>351</v>
      </c>
      <c r="G17" s="8" t="str">
        <f t="shared" si="0"/>
        <v>SPECTOR MICHAEL</v>
      </c>
      <c r="H17" s="20" t="str">
        <f t="shared" si="1"/>
        <v>4013</v>
      </c>
    </row>
    <row r="18" spans="1:8" x14ac:dyDescent="0.3">
      <c r="A18" s="8">
        <v>43109.182488425926</v>
      </c>
      <c r="B18" s="20" t="s">
        <v>477</v>
      </c>
      <c r="C18" s="20" t="s">
        <v>740</v>
      </c>
      <c r="D18" s="137">
        <v>3300000</v>
      </c>
      <c r="E18" s="20" t="s">
        <v>621</v>
      </c>
      <c r="F18" s="20" t="s">
        <v>622</v>
      </c>
      <c r="G18" s="8" t="str">
        <f t="shared" si="0"/>
        <v>LANGERAK WILLIAM</v>
      </c>
      <c r="H18" s="20" t="str">
        <f t="shared" si="1"/>
        <v>4064</v>
      </c>
    </row>
    <row r="19" spans="1:8" x14ac:dyDescent="0.3">
      <c r="A19" s="8">
        <v>43109.183611111112</v>
      </c>
      <c r="B19" s="20" t="s">
        <v>477</v>
      </c>
      <c r="C19" s="20" t="s">
        <v>740</v>
      </c>
      <c r="D19" s="137">
        <v>3300000</v>
      </c>
      <c r="E19" s="20" t="s">
        <v>621</v>
      </c>
      <c r="F19" s="20" t="s">
        <v>622</v>
      </c>
      <c r="G19" s="8" t="str">
        <f t="shared" si="0"/>
        <v>LANGERAK WILLIAM</v>
      </c>
      <c r="H19" s="20" t="str">
        <f t="shared" si="1"/>
        <v>4064</v>
      </c>
    </row>
    <row r="20" spans="1:8" x14ac:dyDescent="0.3">
      <c r="A20" s="8">
        <v>43109.184398148151</v>
      </c>
      <c r="B20" s="20" t="s">
        <v>477</v>
      </c>
      <c r="C20" s="20" t="s">
        <v>740</v>
      </c>
      <c r="D20" s="137">
        <v>3300000</v>
      </c>
      <c r="E20" s="20" t="s">
        <v>621</v>
      </c>
      <c r="F20" s="20" t="s">
        <v>622</v>
      </c>
      <c r="G20" s="8" t="str">
        <f t="shared" si="0"/>
        <v>LANGERAK WILLIAM</v>
      </c>
      <c r="H20" s="20" t="str">
        <f t="shared" si="1"/>
        <v>4064</v>
      </c>
    </row>
    <row r="21" spans="1:8" x14ac:dyDescent="0.3">
      <c r="A21" s="8">
        <v>43109.184432870374</v>
      </c>
      <c r="B21" s="20" t="s">
        <v>505</v>
      </c>
      <c r="C21" s="20" t="s">
        <v>741</v>
      </c>
      <c r="D21" s="137">
        <v>3090000</v>
      </c>
      <c r="E21" s="20" t="s">
        <v>742</v>
      </c>
      <c r="F21" s="20" t="s">
        <v>743</v>
      </c>
      <c r="G21" s="8" t="str">
        <f t="shared" si="0"/>
        <v>LAMAR NEKESHA</v>
      </c>
      <c r="H21" s="20" t="str">
        <f t="shared" si="1"/>
        <v>4045</v>
      </c>
    </row>
    <row r="22" spans="1:8" x14ac:dyDescent="0.3">
      <c r="A22" s="26">
        <v>43109.192361111112</v>
      </c>
      <c r="B22" s="20" t="s">
        <v>442</v>
      </c>
      <c r="C22" s="20" t="s">
        <v>744</v>
      </c>
      <c r="D22" s="137">
        <v>940000</v>
      </c>
      <c r="E22" s="20" t="s">
        <v>733</v>
      </c>
      <c r="F22" s="20" t="s">
        <v>734</v>
      </c>
      <c r="G22" s="8" t="str">
        <f t="shared" si="0"/>
        <v>BONDS REYNALDO</v>
      </c>
      <c r="H22" s="20" t="str">
        <f t="shared" si="1"/>
        <v>4049</v>
      </c>
    </row>
    <row r="23" spans="1:8" x14ac:dyDescent="0.3">
      <c r="A23" s="8">
        <v>43109.192858796298</v>
      </c>
      <c r="B23" s="20" t="s">
        <v>446</v>
      </c>
      <c r="C23" s="20" t="s">
        <v>745</v>
      </c>
      <c r="D23" s="137">
        <v>2600000</v>
      </c>
      <c r="E23" s="20" t="s">
        <v>619</v>
      </c>
      <c r="F23" s="20" t="s">
        <v>467</v>
      </c>
      <c r="G23" s="8" t="str">
        <f t="shared" si="0"/>
        <v>DAVIDSON DAVID</v>
      </c>
      <c r="H23" s="20" t="str">
        <f t="shared" si="1"/>
        <v>4052</v>
      </c>
    </row>
    <row r="24" spans="1:8" x14ac:dyDescent="0.3">
      <c r="A24" s="8">
        <v>43109.194780092592</v>
      </c>
      <c r="B24" s="20" t="s">
        <v>506</v>
      </c>
      <c r="C24" s="20" t="s">
        <v>746</v>
      </c>
      <c r="D24" s="137">
        <v>3090000</v>
      </c>
      <c r="E24" s="20" t="s">
        <v>742</v>
      </c>
      <c r="F24" s="20" t="s">
        <v>743</v>
      </c>
      <c r="G24" s="8" t="str">
        <f t="shared" si="0"/>
        <v>LAMAR NEKESHA</v>
      </c>
      <c r="H24" s="20" t="str">
        <f t="shared" si="1"/>
        <v>4046</v>
      </c>
    </row>
    <row r="25" spans="1:8" x14ac:dyDescent="0.3">
      <c r="A25" s="8">
        <v>43109.195925925924</v>
      </c>
      <c r="B25" s="20" t="s">
        <v>476</v>
      </c>
      <c r="C25" s="20" t="s">
        <v>747</v>
      </c>
      <c r="D25" s="137">
        <v>1230000</v>
      </c>
      <c r="E25" s="20" t="s">
        <v>748</v>
      </c>
      <c r="F25" s="20" t="s">
        <v>749</v>
      </c>
      <c r="G25" s="8" t="str">
        <f t="shared" si="0"/>
        <v>YANAI IAN</v>
      </c>
      <c r="H25" s="20" t="str">
        <f t="shared" si="1"/>
        <v>4033</v>
      </c>
    </row>
    <row r="26" spans="1:8" x14ac:dyDescent="0.3">
      <c r="A26" s="8">
        <v>43109.204386574071</v>
      </c>
      <c r="B26" s="20" t="s">
        <v>448</v>
      </c>
      <c r="C26" s="20" t="s">
        <v>750</v>
      </c>
      <c r="D26" s="137">
        <v>2600000</v>
      </c>
      <c r="E26" s="20" t="s">
        <v>619</v>
      </c>
      <c r="F26" s="20" t="s">
        <v>467</v>
      </c>
      <c r="G26" s="8" t="str">
        <f t="shared" si="0"/>
        <v>DAVIDSON DAVID</v>
      </c>
      <c r="H26" s="20" t="str">
        <f t="shared" si="1"/>
        <v>4051</v>
      </c>
    </row>
    <row r="27" spans="1:8" x14ac:dyDescent="0.3">
      <c r="A27" s="8">
        <v>43109.205208333333</v>
      </c>
      <c r="B27" s="20" t="s">
        <v>555</v>
      </c>
      <c r="C27" s="20" t="s">
        <v>751</v>
      </c>
      <c r="D27" s="137">
        <v>1830000</v>
      </c>
      <c r="E27" s="20" t="s">
        <v>345</v>
      </c>
      <c r="F27" s="20" t="s">
        <v>346</v>
      </c>
      <c r="G27" s="8" t="str">
        <f t="shared" si="0"/>
        <v>YORK EDGAR</v>
      </c>
      <c r="H27" s="20" t="str">
        <f t="shared" si="1"/>
        <v>4014</v>
      </c>
    </row>
    <row r="28" spans="1:8" x14ac:dyDescent="0.3">
      <c r="A28" s="8">
        <v>43109.206226851849</v>
      </c>
      <c r="B28" s="20" t="s">
        <v>555</v>
      </c>
      <c r="C28" s="20" t="s">
        <v>751</v>
      </c>
      <c r="D28" s="137">
        <v>1830000</v>
      </c>
      <c r="E28" s="20" t="s">
        <v>345</v>
      </c>
      <c r="F28" s="20" t="s">
        <v>346</v>
      </c>
      <c r="G28" s="8" t="str">
        <f t="shared" si="0"/>
        <v>YORK EDGAR</v>
      </c>
      <c r="H28" s="20" t="str">
        <f t="shared" si="1"/>
        <v>4014</v>
      </c>
    </row>
    <row r="29" spans="1:8" x14ac:dyDescent="0.3">
      <c r="A29" s="8">
        <v>43109.20716435185</v>
      </c>
      <c r="B29" s="20" t="s">
        <v>555</v>
      </c>
      <c r="C29" s="20" t="s">
        <v>751</v>
      </c>
      <c r="D29" s="137">
        <v>1830000</v>
      </c>
      <c r="E29" s="20" t="s">
        <v>345</v>
      </c>
      <c r="F29" s="20" t="s">
        <v>346</v>
      </c>
      <c r="G29" s="8" t="str">
        <f t="shared" si="0"/>
        <v>YORK EDGAR</v>
      </c>
      <c r="H29" s="20" t="str">
        <f t="shared" si="1"/>
        <v>4014</v>
      </c>
    </row>
    <row r="30" spans="1:8" x14ac:dyDescent="0.3">
      <c r="A30" s="8">
        <v>43109.207789351851</v>
      </c>
      <c r="B30" s="20" t="s">
        <v>492</v>
      </c>
      <c r="C30" s="20" t="s">
        <v>752</v>
      </c>
      <c r="D30" s="137">
        <v>1230000</v>
      </c>
      <c r="E30" s="20" t="s">
        <v>748</v>
      </c>
      <c r="F30" s="20" t="s">
        <v>749</v>
      </c>
      <c r="G30" s="8" t="str">
        <f t="shared" si="0"/>
        <v>YANAI IAN</v>
      </c>
      <c r="H30" s="20" t="str">
        <f t="shared" si="1"/>
        <v>4034</v>
      </c>
    </row>
    <row r="31" spans="1:8" x14ac:dyDescent="0.3">
      <c r="A31" s="8">
        <v>43109.214768518519</v>
      </c>
      <c r="B31" s="20" t="s">
        <v>484</v>
      </c>
      <c r="C31" s="20" t="s">
        <v>753</v>
      </c>
      <c r="D31" s="137">
        <v>3300000</v>
      </c>
      <c r="E31" s="20" t="s">
        <v>621</v>
      </c>
      <c r="F31" s="20" t="s">
        <v>622</v>
      </c>
      <c r="G31" s="8" t="str">
        <f t="shared" si="0"/>
        <v>LANGERAK WILLIAM</v>
      </c>
      <c r="H31" s="20" t="str">
        <f t="shared" si="1"/>
        <v>4063</v>
      </c>
    </row>
    <row r="32" spans="1:8" x14ac:dyDescent="0.3">
      <c r="A32" s="8">
        <v>43109.216006944444</v>
      </c>
      <c r="B32" s="20" t="s">
        <v>350</v>
      </c>
      <c r="C32" s="20" t="s">
        <v>754</v>
      </c>
      <c r="D32" s="137">
        <v>3120000</v>
      </c>
      <c r="E32" s="20" t="s">
        <v>368</v>
      </c>
      <c r="F32" s="20" t="s">
        <v>527</v>
      </c>
      <c r="G32" s="8" t="str">
        <f t="shared" si="0"/>
        <v>THOMPSON LESTER</v>
      </c>
      <c r="H32" s="20" t="str">
        <f t="shared" si="1"/>
        <v>4055</v>
      </c>
    </row>
    <row r="33" spans="1:8" x14ac:dyDescent="0.3">
      <c r="A33" s="8">
        <v>43109.224629629629</v>
      </c>
      <c r="B33" s="20" t="s">
        <v>507</v>
      </c>
      <c r="C33" s="20" t="s">
        <v>755</v>
      </c>
      <c r="D33" s="137">
        <v>2560000</v>
      </c>
      <c r="E33" s="20" t="s">
        <v>530</v>
      </c>
      <c r="F33" s="20" t="s">
        <v>531</v>
      </c>
      <c r="G33" s="8" t="str">
        <f t="shared" si="0"/>
        <v>MACDONALD THOMAS</v>
      </c>
      <c r="H33" s="20" t="str">
        <f t="shared" si="1"/>
        <v>4015</v>
      </c>
    </row>
    <row r="34" spans="1:8" x14ac:dyDescent="0.3">
      <c r="A34" s="8">
        <v>43109.226921296293</v>
      </c>
      <c r="B34" s="20" t="s">
        <v>443</v>
      </c>
      <c r="C34" s="20" t="s">
        <v>756</v>
      </c>
      <c r="D34" s="137">
        <v>940000</v>
      </c>
      <c r="E34" s="20" t="s">
        <v>733</v>
      </c>
      <c r="F34" s="20" t="s">
        <v>734</v>
      </c>
      <c r="G34" s="8" t="str">
        <f t="shared" si="0"/>
        <v>BONDS REYNALDO</v>
      </c>
      <c r="H34" s="20" t="str">
        <f t="shared" si="1"/>
        <v>4050</v>
      </c>
    </row>
    <row r="35" spans="1:8" x14ac:dyDescent="0.3">
      <c r="A35" s="8">
        <v>43109.228703703702</v>
      </c>
      <c r="B35" s="20" t="s">
        <v>446</v>
      </c>
      <c r="C35" s="20" t="s">
        <v>757</v>
      </c>
      <c r="D35" s="137">
        <v>2600000</v>
      </c>
      <c r="E35" s="20" t="s">
        <v>619</v>
      </c>
      <c r="F35" s="20" t="s">
        <v>467</v>
      </c>
      <c r="G35" s="8" t="str">
        <f t="shared" si="0"/>
        <v>DAVIDSON DAVID</v>
      </c>
      <c r="H35" s="20" t="str">
        <f t="shared" si="1"/>
        <v>4052</v>
      </c>
    </row>
    <row r="36" spans="1:8" x14ac:dyDescent="0.3">
      <c r="A36" s="8">
        <v>43109.234976851854</v>
      </c>
      <c r="B36" s="20" t="s">
        <v>559</v>
      </c>
      <c r="C36" s="20" t="s">
        <v>758</v>
      </c>
      <c r="D36" s="137">
        <v>1830000</v>
      </c>
      <c r="E36" s="20" t="s">
        <v>345</v>
      </c>
      <c r="F36" s="20" t="s">
        <v>346</v>
      </c>
      <c r="G36" s="8" t="str">
        <f t="shared" si="0"/>
        <v>YORK EDGAR</v>
      </c>
      <c r="H36" s="20" t="str">
        <f t="shared" si="1"/>
        <v>4013</v>
      </c>
    </row>
    <row r="37" spans="1:8" x14ac:dyDescent="0.3">
      <c r="A37" s="8">
        <v>43109.235902777778</v>
      </c>
      <c r="B37" s="20" t="s">
        <v>505</v>
      </c>
      <c r="C37" s="20" t="s">
        <v>759</v>
      </c>
      <c r="D37" s="137">
        <v>3090000</v>
      </c>
      <c r="E37" s="20" t="s">
        <v>742</v>
      </c>
      <c r="F37" s="20" t="s">
        <v>743</v>
      </c>
      <c r="G37" s="8" t="str">
        <f t="shared" si="0"/>
        <v>LAMAR NEKESHA</v>
      </c>
      <c r="H37" s="20" t="str">
        <f t="shared" si="1"/>
        <v>4045</v>
      </c>
    </row>
    <row r="38" spans="1:8" x14ac:dyDescent="0.3">
      <c r="A38" s="8">
        <v>43109.236064814817</v>
      </c>
      <c r="B38" s="20" t="s">
        <v>703</v>
      </c>
      <c r="C38" s="20" t="s">
        <v>704</v>
      </c>
      <c r="D38" s="137">
        <v>3000000</v>
      </c>
      <c r="E38" s="20" t="s">
        <v>493</v>
      </c>
      <c r="F38" s="20" t="s">
        <v>494</v>
      </c>
      <c r="G38" s="8" t="str">
        <f t="shared" si="0"/>
        <v>FORTUNATO FRANK</v>
      </c>
      <c r="H38" s="20" t="str">
        <f t="shared" si="1"/>
        <v>4039</v>
      </c>
    </row>
    <row r="39" spans="1:8" x14ac:dyDescent="0.3">
      <c r="A39" s="8">
        <v>43109.236203703702</v>
      </c>
      <c r="B39" s="20" t="s">
        <v>511</v>
      </c>
      <c r="C39" s="20" t="s">
        <v>760</v>
      </c>
      <c r="D39" s="137">
        <v>2560000</v>
      </c>
      <c r="E39" s="20" t="s">
        <v>530</v>
      </c>
      <c r="F39" s="20" t="s">
        <v>531</v>
      </c>
      <c r="G39" s="8" t="str">
        <f t="shared" si="0"/>
        <v>MACDONALD THOMAS</v>
      </c>
      <c r="H39" s="20" t="str">
        <f t="shared" si="1"/>
        <v>4016</v>
      </c>
    </row>
    <row r="40" spans="1:8" x14ac:dyDescent="0.3">
      <c r="A40" s="8">
        <v>43109.244988425926</v>
      </c>
      <c r="B40" s="25" t="s">
        <v>476</v>
      </c>
      <c r="C40" s="20" t="s">
        <v>761</v>
      </c>
      <c r="D40" s="137">
        <v>1230000</v>
      </c>
      <c r="E40" s="20" t="s">
        <v>748</v>
      </c>
      <c r="F40" s="20" t="s">
        <v>749</v>
      </c>
      <c r="G40" s="8" t="str">
        <f t="shared" si="0"/>
        <v>YANAI IAN</v>
      </c>
      <c r="H40" s="20" t="str">
        <f t="shared" si="1"/>
        <v>4033</v>
      </c>
    </row>
    <row r="41" spans="1:8" x14ac:dyDescent="0.3">
      <c r="A41" s="8">
        <v>43109.247719907406</v>
      </c>
      <c r="B41" s="20" t="s">
        <v>448</v>
      </c>
      <c r="C41" s="20" t="s">
        <v>762</v>
      </c>
      <c r="D41" s="137">
        <v>2600000</v>
      </c>
      <c r="E41" s="20" t="s">
        <v>619</v>
      </c>
      <c r="F41" s="20" t="s">
        <v>467</v>
      </c>
      <c r="G41" s="8" t="str">
        <f t="shared" si="0"/>
        <v>DAVIDSON DAVID</v>
      </c>
      <c r="H41" s="20" t="str">
        <f t="shared" si="1"/>
        <v>4051</v>
      </c>
    </row>
    <row r="42" spans="1:8" x14ac:dyDescent="0.3">
      <c r="A42" s="8">
        <v>43109.248356481483</v>
      </c>
      <c r="B42" s="20" t="s">
        <v>509</v>
      </c>
      <c r="C42" s="20" t="s">
        <v>763</v>
      </c>
      <c r="D42" s="137">
        <v>3120000</v>
      </c>
      <c r="E42" s="20" t="s">
        <v>368</v>
      </c>
      <c r="F42" s="20" t="s">
        <v>527</v>
      </c>
      <c r="G42" s="8" t="str">
        <f t="shared" si="0"/>
        <v>THOMPSON LESTER</v>
      </c>
      <c r="H42" s="20" t="str">
        <f t="shared" si="1"/>
        <v>4056</v>
      </c>
    </row>
    <row r="43" spans="1:8" x14ac:dyDescent="0.3">
      <c r="A43" s="8">
        <v>43109.250162037039</v>
      </c>
      <c r="B43" s="20" t="s">
        <v>722</v>
      </c>
      <c r="C43" s="20" t="s">
        <v>764</v>
      </c>
      <c r="D43" s="137">
        <v>3000000</v>
      </c>
      <c r="E43" s="20" t="s">
        <v>493</v>
      </c>
      <c r="F43" s="20" t="s">
        <v>494</v>
      </c>
      <c r="G43" s="8" t="str">
        <f t="shared" si="0"/>
        <v>FORTUNATO FRANK</v>
      </c>
      <c r="H43" s="20" t="str">
        <f t="shared" si="1"/>
        <v>4040</v>
      </c>
    </row>
    <row r="44" spans="1:8" x14ac:dyDescent="0.3">
      <c r="A44" s="8">
        <v>43109.255277777775</v>
      </c>
      <c r="B44" s="20" t="s">
        <v>477</v>
      </c>
      <c r="C44" s="20" t="s">
        <v>765</v>
      </c>
      <c r="D44" s="137">
        <v>3300000</v>
      </c>
      <c r="E44" s="20" t="s">
        <v>621</v>
      </c>
      <c r="F44" s="20" t="s">
        <v>622</v>
      </c>
      <c r="G44" s="8" t="str">
        <f t="shared" si="0"/>
        <v>LANGERAK WILLIAM</v>
      </c>
      <c r="H44" s="20" t="str">
        <f t="shared" si="1"/>
        <v>4064</v>
      </c>
    </row>
    <row r="45" spans="1:8" x14ac:dyDescent="0.3">
      <c r="A45" s="8">
        <v>43109.256782407407</v>
      </c>
      <c r="B45" s="20" t="s">
        <v>476</v>
      </c>
      <c r="C45" s="20" t="s">
        <v>761</v>
      </c>
      <c r="D45" s="137">
        <v>1230000</v>
      </c>
      <c r="E45" s="20" t="s">
        <v>748</v>
      </c>
      <c r="F45" s="20" t="s">
        <v>749</v>
      </c>
      <c r="G45" s="8" t="str">
        <f t="shared" si="0"/>
        <v>YANAI IAN</v>
      </c>
      <c r="H45" s="20" t="str">
        <f t="shared" si="1"/>
        <v>4033</v>
      </c>
    </row>
    <row r="46" spans="1:8" x14ac:dyDescent="0.3">
      <c r="A46" s="8">
        <v>43109.263240740744</v>
      </c>
      <c r="B46" s="20" t="s">
        <v>442</v>
      </c>
      <c r="C46" s="20" t="s">
        <v>766</v>
      </c>
      <c r="D46" s="137">
        <v>940000</v>
      </c>
      <c r="E46" s="20" t="s">
        <v>733</v>
      </c>
      <c r="F46" s="20" t="s">
        <v>734</v>
      </c>
      <c r="G46" s="8" t="str">
        <f t="shared" si="0"/>
        <v>BONDS REYNALDO</v>
      </c>
      <c r="H46" s="20" t="str">
        <f t="shared" si="1"/>
        <v>4049</v>
      </c>
    </row>
    <row r="47" spans="1:8" x14ac:dyDescent="0.3">
      <c r="A47" s="8">
        <v>43109.267534722225</v>
      </c>
      <c r="B47" s="20" t="s">
        <v>507</v>
      </c>
      <c r="C47" s="20" t="s">
        <v>767</v>
      </c>
      <c r="D47" s="137">
        <v>2560000</v>
      </c>
      <c r="E47" s="20" t="s">
        <v>530</v>
      </c>
      <c r="F47" s="20" t="s">
        <v>531</v>
      </c>
      <c r="G47" s="8" t="str">
        <f t="shared" si="0"/>
        <v>MACDONALD THOMAS</v>
      </c>
      <c r="H47" s="20" t="str">
        <f t="shared" si="1"/>
        <v>4015</v>
      </c>
    </row>
    <row r="48" spans="1:8" x14ac:dyDescent="0.3">
      <c r="A48" s="8">
        <v>43109.269780092596</v>
      </c>
      <c r="B48" s="20" t="s">
        <v>446</v>
      </c>
      <c r="C48" s="20" t="s">
        <v>768</v>
      </c>
      <c r="D48" s="137">
        <v>2600000</v>
      </c>
      <c r="E48" s="20" t="s">
        <v>619</v>
      </c>
      <c r="F48" s="20" t="s">
        <v>467</v>
      </c>
      <c r="G48" s="8" t="str">
        <f t="shared" si="0"/>
        <v>DAVIDSON DAVID</v>
      </c>
      <c r="H48" s="20" t="str">
        <f t="shared" si="1"/>
        <v>4052</v>
      </c>
    </row>
    <row r="49" spans="1:8" x14ac:dyDescent="0.3">
      <c r="A49" s="8">
        <v>43109.269918981481</v>
      </c>
      <c r="B49" s="20" t="s">
        <v>506</v>
      </c>
      <c r="C49" s="20" t="s">
        <v>769</v>
      </c>
      <c r="D49" s="137">
        <v>3090000</v>
      </c>
      <c r="E49" s="20" t="s">
        <v>742</v>
      </c>
      <c r="F49" s="20" t="s">
        <v>743</v>
      </c>
      <c r="G49" s="8" t="str">
        <f t="shared" si="0"/>
        <v>LAMAR NEKESHA</v>
      </c>
      <c r="H49" s="20" t="str">
        <f t="shared" si="1"/>
        <v>4046</v>
      </c>
    </row>
    <row r="50" spans="1:8" x14ac:dyDescent="0.3">
      <c r="A50" s="8">
        <v>43109.270358796297</v>
      </c>
      <c r="B50" s="20" t="s">
        <v>703</v>
      </c>
      <c r="C50" s="20" t="s">
        <v>770</v>
      </c>
      <c r="D50" s="137">
        <v>3000000</v>
      </c>
      <c r="E50" s="20" t="s">
        <v>493</v>
      </c>
      <c r="F50" s="20" t="s">
        <v>494</v>
      </c>
      <c r="G50" s="8" t="str">
        <f t="shared" si="0"/>
        <v>FORTUNATO FRANK</v>
      </c>
      <c r="H50" s="20" t="str">
        <f t="shared" si="1"/>
        <v>4039</v>
      </c>
    </row>
    <row r="51" spans="1:8" x14ac:dyDescent="0.3">
      <c r="A51" s="8">
        <v>43109.275081018517</v>
      </c>
      <c r="B51" s="20" t="s">
        <v>555</v>
      </c>
      <c r="C51" s="20" t="s">
        <v>771</v>
      </c>
      <c r="D51" s="137">
        <v>1830000</v>
      </c>
      <c r="E51" s="20" t="s">
        <v>345</v>
      </c>
      <c r="F51" s="20" t="s">
        <v>346</v>
      </c>
      <c r="G51" s="8" t="str">
        <f t="shared" si="0"/>
        <v>YORK EDGAR</v>
      </c>
      <c r="H51" s="20" t="str">
        <f t="shared" si="1"/>
        <v>4014</v>
      </c>
    </row>
    <row r="52" spans="1:8" x14ac:dyDescent="0.3">
      <c r="A52" s="8">
        <v>43109.285879629628</v>
      </c>
      <c r="B52" s="20" t="s">
        <v>492</v>
      </c>
      <c r="C52" s="20" t="s">
        <v>772</v>
      </c>
      <c r="D52" s="137">
        <v>1230000</v>
      </c>
      <c r="E52" s="20" t="s">
        <v>748</v>
      </c>
      <c r="F52" s="20" t="s">
        <v>749</v>
      </c>
      <c r="G52" s="8" t="str">
        <f t="shared" si="0"/>
        <v>YANAI IAN</v>
      </c>
      <c r="H52" s="20" t="str">
        <f t="shared" si="1"/>
        <v>4034</v>
      </c>
    </row>
    <row r="53" spans="1:8" x14ac:dyDescent="0.3">
      <c r="A53" s="8">
        <v>43109.288402777776</v>
      </c>
      <c r="B53" s="20" t="s">
        <v>350</v>
      </c>
      <c r="C53" s="20" t="s">
        <v>773</v>
      </c>
      <c r="D53" s="137">
        <v>3120000</v>
      </c>
      <c r="E53" s="20" t="s">
        <v>368</v>
      </c>
      <c r="F53" s="20" t="s">
        <v>527</v>
      </c>
      <c r="G53" s="8" t="str">
        <f t="shared" si="0"/>
        <v>THOMPSON LESTER</v>
      </c>
      <c r="H53" s="20" t="str">
        <f t="shared" si="1"/>
        <v>4055</v>
      </c>
    </row>
    <row r="54" spans="1:8" x14ac:dyDescent="0.3">
      <c r="A54" s="8">
        <v>43109.289965277778</v>
      </c>
      <c r="B54" s="20" t="s">
        <v>448</v>
      </c>
      <c r="C54" s="20" t="s">
        <v>774</v>
      </c>
      <c r="D54" s="137">
        <v>2600000</v>
      </c>
      <c r="E54" s="20" t="s">
        <v>619</v>
      </c>
      <c r="F54" s="20" t="s">
        <v>467</v>
      </c>
      <c r="G54" s="8" t="str">
        <f t="shared" si="0"/>
        <v>DAVIDSON DAVID</v>
      </c>
      <c r="H54" s="20" t="str">
        <f t="shared" si="1"/>
        <v>4051</v>
      </c>
    </row>
    <row r="55" spans="1:8" x14ac:dyDescent="0.3">
      <c r="A55" s="8">
        <v>43109.290243055555</v>
      </c>
      <c r="B55" s="20" t="s">
        <v>722</v>
      </c>
      <c r="C55" s="20" t="s">
        <v>775</v>
      </c>
      <c r="D55" s="137">
        <v>3000000</v>
      </c>
      <c r="E55" s="20" t="s">
        <v>493</v>
      </c>
      <c r="F55" s="20" t="s">
        <v>494</v>
      </c>
      <c r="G55" s="8" t="str">
        <f t="shared" si="0"/>
        <v>FORTUNATO FRANK</v>
      </c>
      <c r="H55" s="20" t="str">
        <f t="shared" si="1"/>
        <v>4040</v>
      </c>
    </row>
    <row r="56" spans="1:8" x14ac:dyDescent="0.3">
      <c r="A56" s="8">
        <v>43109.292384259257</v>
      </c>
      <c r="B56" s="20" t="s">
        <v>484</v>
      </c>
      <c r="C56" s="20" t="s">
        <v>776</v>
      </c>
      <c r="D56" s="137">
        <v>3300000</v>
      </c>
      <c r="E56" s="20" t="s">
        <v>621</v>
      </c>
      <c r="F56" s="20" t="s">
        <v>622</v>
      </c>
      <c r="G56" s="8" t="str">
        <f t="shared" si="0"/>
        <v>LANGERAK WILLIAM</v>
      </c>
      <c r="H56" s="20" t="str">
        <f t="shared" si="1"/>
        <v>4063</v>
      </c>
    </row>
    <row r="57" spans="1:8" x14ac:dyDescent="0.3">
      <c r="A57" s="8">
        <v>43109.298078703701</v>
      </c>
      <c r="B57" s="20" t="s">
        <v>443</v>
      </c>
      <c r="C57" s="20" t="s">
        <v>777</v>
      </c>
      <c r="D57" s="137">
        <v>940000</v>
      </c>
      <c r="E57" s="20" t="s">
        <v>733</v>
      </c>
      <c r="F57" s="20" t="s">
        <v>734</v>
      </c>
      <c r="G57" s="8" t="str">
        <f t="shared" si="0"/>
        <v>BONDS REYNALDO</v>
      </c>
      <c r="H57" s="20" t="str">
        <f t="shared" si="1"/>
        <v>4050</v>
      </c>
    </row>
    <row r="58" spans="1:8" x14ac:dyDescent="0.3">
      <c r="A58" s="8">
        <v>43109.30777777778</v>
      </c>
      <c r="B58" s="20" t="s">
        <v>505</v>
      </c>
      <c r="C58" s="20" t="s">
        <v>778</v>
      </c>
      <c r="D58" s="137">
        <v>3090000</v>
      </c>
      <c r="E58" s="20" t="s">
        <v>742</v>
      </c>
      <c r="F58" s="20" t="s">
        <v>743</v>
      </c>
      <c r="G58" s="8" t="str">
        <f t="shared" si="0"/>
        <v>LAMAR NEKESHA</v>
      </c>
      <c r="H58" s="20" t="str">
        <f t="shared" si="1"/>
        <v>4045</v>
      </c>
    </row>
    <row r="59" spans="1:8" x14ac:dyDescent="0.3">
      <c r="A59" s="8">
        <v>43109.310312499998</v>
      </c>
      <c r="B59" s="20" t="s">
        <v>703</v>
      </c>
      <c r="C59" s="20" t="s">
        <v>779</v>
      </c>
      <c r="D59" s="137">
        <v>3000000</v>
      </c>
      <c r="E59" s="20" t="s">
        <v>493</v>
      </c>
      <c r="F59" s="20" t="s">
        <v>494</v>
      </c>
      <c r="G59" s="8" t="str">
        <f t="shared" si="0"/>
        <v>FORTUNATO FRANK</v>
      </c>
      <c r="H59" s="20" t="str">
        <f t="shared" si="1"/>
        <v>4039</v>
      </c>
    </row>
    <row r="60" spans="1:8" x14ac:dyDescent="0.3">
      <c r="A60" s="8">
        <v>43109.311284722222</v>
      </c>
      <c r="B60" s="20" t="s">
        <v>511</v>
      </c>
      <c r="C60" s="20" t="s">
        <v>780</v>
      </c>
      <c r="D60" s="137">
        <v>2560000</v>
      </c>
      <c r="E60" s="20" t="s">
        <v>530</v>
      </c>
      <c r="F60" s="20" t="s">
        <v>531</v>
      </c>
      <c r="G60" s="8" t="str">
        <f t="shared" si="0"/>
        <v>MACDONALD THOMAS</v>
      </c>
      <c r="H60" s="20" t="str">
        <f t="shared" si="1"/>
        <v>4016</v>
      </c>
    </row>
    <row r="61" spans="1:8" x14ac:dyDescent="0.3">
      <c r="A61" s="8">
        <v>43109.311666666668</v>
      </c>
      <c r="B61" s="20" t="s">
        <v>446</v>
      </c>
      <c r="C61" s="20" t="s">
        <v>781</v>
      </c>
      <c r="D61" s="137">
        <v>2600000</v>
      </c>
      <c r="E61" s="20" t="s">
        <v>619</v>
      </c>
      <c r="F61" s="20" t="s">
        <v>467</v>
      </c>
      <c r="G61" s="8" t="str">
        <f t="shared" si="0"/>
        <v>DAVIDSON DAVID</v>
      </c>
      <c r="H61" s="20" t="str">
        <f t="shared" si="1"/>
        <v>4052</v>
      </c>
    </row>
    <row r="62" spans="1:8" x14ac:dyDescent="0.3">
      <c r="A62" s="8">
        <v>43109.319525462961</v>
      </c>
      <c r="B62" s="20" t="s">
        <v>476</v>
      </c>
      <c r="C62" s="20" t="s">
        <v>782</v>
      </c>
      <c r="D62" s="137">
        <v>1230000</v>
      </c>
      <c r="E62" s="20" t="s">
        <v>748</v>
      </c>
      <c r="F62" s="20" t="s">
        <v>749</v>
      </c>
      <c r="G62" s="8" t="str">
        <f t="shared" si="0"/>
        <v>YANAI IAN</v>
      </c>
      <c r="H62" s="20" t="str">
        <f t="shared" si="1"/>
        <v>4033</v>
      </c>
    </row>
    <row r="63" spans="1:8" x14ac:dyDescent="0.3">
      <c r="A63" s="8">
        <v>43109.320034722223</v>
      </c>
      <c r="B63" s="20" t="s">
        <v>559</v>
      </c>
      <c r="C63" s="20" t="s">
        <v>705</v>
      </c>
      <c r="D63" s="137">
        <v>1830000</v>
      </c>
      <c r="E63" s="20" t="s">
        <v>345</v>
      </c>
      <c r="F63" s="20" t="s">
        <v>346</v>
      </c>
      <c r="G63" s="8" t="str">
        <f t="shared" si="0"/>
        <v>YORK EDGAR</v>
      </c>
      <c r="H63" s="20" t="str">
        <f t="shared" si="1"/>
        <v>4013</v>
      </c>
    </row>
    <row r="64" spans="1:8" x14ac:dyDescent="0.3">
      <c r="A64" s="26">
        <v>43109.321898148148</v>
      </c>
      <c r="B64" s="20" t="s">
        <v>509</v>
      </c>
      <c r="C64" s="20" t="s">
        <v>783</v>
      </c>
      <c r="D64" s="137">
        <v>3120000</v>
      </c>
      <c r="E64" s="20" t="s">
        <v>368</v>
      </c>
      <c r="F64" s="20" t="s">
        <v>527</v>
      </c>
      <c r="G64" s="8" t="str">
        <f t="shared" si="0"/>
        <v>THOMPSON LESTER</v>
      </c>
      <c r="H64" s="20" t="str">
        <f t="shared" si="1"/>
        <v>4056</v>
      </c>
    </row>
    <row r="65" spans="1:8" x14ac:dyDescent="0.3">
      <c r="A65" s="8">
        <v>43109.328912037039</v>
      </c>
      <c r="B65" s="20" t="s">
        <v>477</v>
      </c>
      <c r="C65" s="20" t="s">
        <v>784</v>
      </c>
      <c r="D65" s="137">
        <v>3300000</v>
      </c>
      <c r="E65" s="20" t="s">
        <v>621</v>
      </c>
      <c r="F65" s="20" t="s">
        <v>622</v>
      </c>
      <c r="G65" s="8" t="str">
        <f t="shared" si="0"/>
        <v>LANGERAK WILLIAM</v>
      </c>
      <c r="H65" s="20" t="str">
        <f t="shared" si="1"/>
        <v>4064</v>
      </c>
    </row>
    <row r="66" spans="1:8" x14ac:dyDescent="0.3">
      <c r="A66" s="8">
        <v>43109.330879629626</v>
      </c>
      <c r="B66" s="20" t="s">
        <v>448</v>
      </c>
      <c r="C66" s="20" t="s">
        <v>785</v>
      </c>
      <c r="D66" s="137">
        <v>2600000</v>
      </c>
      <c r="E66" s="20" t="s">
        <v>619</v>
      </c>
      <c r="F66" s="20" t="s">
        <v>467</v>
      </c>
      <c r="G66" s="8" t="str">
        <f t="shared" si="0"/>
        <v>DAVIDSON DAVID</v>
      </c>
      <c r="H66" s="20" t="str">
        <f t="shared" si="1"/>
        <v>4051</v>
      </c>
    </row>
    <row r="67" spans="1:8" x14ac:dyDescent="0.3">
      <c r="A67" s="8">
        <v>43109.331631944442</v>
      </c>
      <c r="B67" s="20" t="s">
        <v>722</v>
      </c>
      <c r="C67" s="20" t="s">
        <v>786</v>
      </c>
      <c r="D67" s="137">
        <v>3000000</v>
      </c>
      <c r="E67" s="20" t="s">
        <v>493</v>
      </c>
      <c r="F67" s="20" t="s">
        <v>494</v>
      </c>
      <c r="G67" s="8" t="str">
        <f t="shared" ref="G67:G130" si="2">E67&amp;" "&amp;F67</f>
        <v>FORTUNATO FRANK</v>
      </c>
      <c r="H67" s="20" t="str">
        <f t="shared" ref="H67:H130" si="3">MID(B67,13,4)</f>
        <v>4040</v>
      </c>
    </row>
    <row r="68" spans="1:8" x14ac:dyDescent="0.3">
      <c r="A68" s="8">
        <v>43109.338437500002</v>
      </c>
      <c r="B68" s="20" t="s">
        <v>442</v>
      </c>
      <c r="C68" s="20" t="s">
        <v>787</v>
      </c>
      <c r="D68" s="137">
        <v>940000</v>
      </c>
      <c r="E68" s="20" t="s">
        <v>733</v>
      </c>
      <c r="F68" s="20" t="s">
        <v>734</v>
      </c>
      <c r="G68" s="8" t="str">
        <f t="shared" si="2"/>
        <v>BONDS REYNALDO</v>
      </c>
      <c r="H68" s="20" t="str">
        <f t="shared" si="3"/>
        <v>4049</v>
      </c>
    </row>
    <row r="69" spans="1:8" x14ac:dyDescent="0.3">
      <c r="A69" s="8">
        <v>43109.339201388888</v>
      </c>
      <c r="B69" s="20" t="s">
        <v>616</v>
      </c>
      <c r="C69" s="20" t="s">
        <v>706</v>
      </c>
      <c r="D69" s="137">
        <v>2470000</v>
      </c>
      <c r="E69" s="20" t="s">
        <v>532</v>
      </c>
      <c r="F69" s="20" t="s">
        <v>533</v>
      </c>
      <c r="G69" s="8" t="str">
        <f t="shared" si="2"/>
        <v>ROMERO CHAD</v>
      </c>
      <c r="H69" s="20" t="str">
        <f t="shared" si="3"/>
        <v>4054</v>
      </c>
    </row>
    <row r="70" spans="1:8" x14ac:dyDescent="0.3">
      <c r="A70" s="8">
        <v>43109.340358796297</v>
      </c>
      <c r="B70" s="20" t="s">
        <v>506</v>
      </c>
      <c r="C70" s="20" t="s">
        <v>788</v>
      </c>
      <c r="D70" s="137">
        <v>3090000</v>
      </c>
      <c r="E70" s="20" t="s">
        <v>742</v>
      </c>
      <c r="F70" s="20" t="s">
        <v>743</v>
      </c>
      <c r="G70" s="8" t="str">
        <f t="shared" si="2"/>
        <v>LAMAR NEKESHA</v>
      </c>
      <c r="H70" s="20" t="str">
        <f t="shared" si="3"/>
        <v>4046</v>
      </c>
    </row>
    <row r="71" spans="1:8" x14ac:dyDescent="0.3">
      <c r="A71" s="8">
        <v>43109.349178240744</v>
      </c>
      <c r="B71" s="20" t="s">
        <v>555</v>
      </c>
      <c r="C71" s="20" t="s">
        <v>789</v>
      </c>
      <c r="D71" s="137">
        <v>1830000</v>
      </c>
      <c r="E71" s="20" t="s">
        <v>345</v>
      </c>
      <c r="F71" s="20" t="s">
        <v>346</v>
      </c>
      <c r="G71" s="8" t="str">
        <f t="shared" si="2"/>
        <v>YORK EDGAR</v>
      </c>
      <c r="H71" s="20" t="str">
        <f t="shared" si="3"/>
        <v>4014</v>
      </c>
    </row>
    <row r="72" spans="1:8" x14ac:dyDescent="0.3">
      <c r="A72" s="8">
        <v>43109.351481481484</v>
      </c>
      <c r="B72" s="20" t="s">
        <v>507</v>
      </c>
      <c r="C72" s="20" t="s">
        <v>790</v>
      </c>
      <c r="D72" s="137">
        <v>2560000</v>
      </c>
      <c r="E72" s="20" t="s">
        <v>530</v>
      </c>
      <c r="F72" s="20" t="s">
        <v>531</v>
      </c>
      <c r="G72" s="8" t="str">
        <f t="shared" si="2"/>
        <v>MACDONALD THOMAS</v>
      </c>
      <c r="H72" s="20" t="str">
        <f t="shared" si="3"/>
        <v>4015</v>
      </c>
    </row>
    <row r="73" spans="1:8" x14ac:dyDescent="0.3">
      <c r="A73" s="8">
        <v>43109.352164351854</v>
      </c>
      <c r="B73" s="20" t="s">
        <v>703</v>
      </c>
      <c r="C73" s="20" t="s">
        <v>791</v>
      </c>
      <c r="D73" s="137">
        <v>3000000</v>
      </c>
      <c r="E73" s="20" t="s">
        <v>493</v>
      </c>
      <c r="F73" s="20" t="s">
        <v>494</v>
      </c>
      <c r="G73" s="8" t="str">
        <f t="shared" si="2"/>
        <v>FORTUNATO FRANK</v>
      </c>
      <c r="H73" s="20" t="str">
        <f t="shared" si="3"/>
        <v>4039</v>
      </c>
    </row>
    <row r="74" spans="1:8" x14ac:dyDescent="0.3">
      <c r="A74" s="8">
        <v>43109.352881944447</v>
      </c>
      <c r="B74" s="20" t="s">
        <v>446</v>
      </c>
      <c r="C74" s="20" t="s">
        <v>792</v>
      </c>
      <c r="D74" s="137">
        <v>2600000</v>
      </c>
      <c r="E74" s="20" t="s">
        <v>619</v>
      </c>
      <c r="F74" s="20" t="s">
        <v>467</v>
      </c>
      <c r="G74" s="8" t="str">
        <f t="shared" si="2"/>
        <v>DAVIDSON DAVID</v>
      </c>
      <c r="H74" s="20" t="str">
        <f t="shared" si="3"/>
        <v>4052</v>
      </c>
    </row>
    <row r="75" spans="1:8" x14ac:dyDescent="0.3">
      <c r="A75" s="8">
        <v>43109.360497685186</v>
      </c>
      <c r="B75" s="20" t="s">
        <v>492</v>
      </c>
      <c r="C75" s="20" t="s">
        <v>793</v>
      </c>
      <c r="D75" s="137">
        <v>1230000</v>
      </c>
      <c r="E75" s="20" t="s">
        <v>748</v>
      </c>
      <c r="F75" s="20" t="s">
        <v>749</v>
      </c>
      <c r="G75" s="8" t="str">
        <f t="shared" si="2"/>
        <v>YANAI IAN</v>
      </c>
      <c r="H75" s="20" t="str">
        <f t="shared" si="3"/>
        <v>4034</v>
      </c>
    </row>
    <row r="76" spans="1:8" x14ac:dyDescent="0.3">
      <c r="A76" s="8">
        <v>43109.36136574074</v>
      </c>
      <c r="B76" s="20" t="s">
        <v>350</v>
      </c>
      <c r="C76" s="20" t="s">
        <v>794</v>
      </c>
      <c r="D76" s="137">
        <v>3120000</v>
      </c>
      <c r="E76" s="20" t="s">
        <v>368</v>
      </c>
      <c r="F76" s="20" t="s">
        <v>527</v>
      </c>
      <c r="G76" s="8" t="str">
        <f t="shared" si="2"/>
        <v>THOMPSON LESTER</v>
      </c>
      <c r="H76" s="20" t="str">
        <f t="shared" si="3"/>
        <v>4055</v>
      </c>
    </row>
    <row r="77" spans="1:8" x14ac:dyDescent="0.3">
      <c r="A77" s="8">
        <v>43109.366944444446</v>
      </c>
      <c r="B77" s="20" t="s">
        <v>484</v>
      </c>
      <c r="C77" s="20" t="s">
        <v>795</v>
      </c>
      <c r="D77" s="137">
        <v>3300000</v>
      </c>
      <c r="E77" s="20" t="s">
        <v>621</v>
      </c>
      <c r="F77" s="20" t="s">
        <v>622</v>
      </c>
      <c r="G77" s="8" t="str">
        <f t="shared" si="2"/>
        <v>LANGERAK WILLIAM</v>
      </c>
      <c r="H77" s="20" t="str">
        <f t="shared" si="3"/>
        <v>4063</v>
      </c>
    </row>
    <row r="78" spans="1:8" x14ac:dyDescent="0.3">
      <c r="A78" s="8">
        <v>43109.367361111108</v>
      </c>
      <c r="B78" s="20" t="s">
        <v>620</v>
      </c>
      <c r="C78" s="20" t="s">
        <v>711</v>
      </c>
      <c r="D78" s="137">
        <v>2470000</v>
      </c>
      <c r="E78" s="20" t="s">
        <v>532</v>
      </c>
      <c r="F78" s="20" t="s">
        <v>533</v>
      </c>
      <c r="G78" s="8" t="str">
        <f t="shared" si="2"/>
        <v>ROMERO CHAD</v>
      </c>
      <c r="H78" s="20" t="str">
        <f t="shared" si="3"/>
        <v>4053</v>
      </c>
    </row>
    <row r="79" spans="1:8" x14ac:dyDescent="0.3">
      <c r="A79" s="8">
        <v>43109.370810185188</v>
      </c>
      <c r="B79" s="20" t="s">
        <v>443</v>
      </c>
      <c r="C79" s="20" t="s">
        <v>796</v>
      </c>
      <c r="D79" s="137">
        <v>940000</v>
      </c>
      <c r="E79" s="20" t="s">
        <v>733</v>
      </c>
      <c r="F79" s="20" t="s">
        <v>734</v>
      </c>
      <c r="G79" s="8" t="str">
        <f t="shared" si="2"/>
        <v>BONDS REYNALDO</v>
      </c>
      <c r="H79" s="20" t="str">
        <f t="shared" si="3"/>
        <v>4050</v>
      </c>
    </row>
    <row r="80" spans="1:8" x14ac:dyDescent="0.3">
      <c r="A80" s="8">
        <v>43109.373692129629</v>
      </c>
      <c r="B80" s="20" t="s">
        <v>722</v>
      </c>
      <c r="C80" s="20" t="s">
        <v>797</v>
      </c>
      <c r="D80" s="137">
        <v>3000000</v>
      </c>
      <c r="E80" s="20" t="s">
        <v>493</v>
      </c>
      <c r="F80" s="20" t="s">
        <v>494</v>
      </c>
      <c r="G80" s="8" t="str">
        <f t="shared" si="2"/>
        <v>FORTUNATO FRANK</v>
      </c>
      <c r="H80" s="20" t="str">
        <f t="shared" si="3"/>
        <v>4040</v>
      </c>
    </row>
    <row r="81" spans="1:8" x14ac:dyDescent="0.3">
      <c r="A81" s="8">
        <v>43109.379305555558</v>
      </c>
      <c r="B81" s="20" t="s">
        <v>505</v>
      </c>
      <c r="C81" s="20" t="s">
        <v>798</v>
      </c>
      <c r="D81" s="137">
        <v>3090000</v>
      </c>
      <c r="E81" s="20" t="s">
        <v>742</v>
      </c>
      <c r="F81" s="20" t="s">
        <v>743</v>
      </c>
      <c r="G81" s="8" t="str">
        <f t="shared" si="2"/>
        <v>LAMAR NEKESHA</v>
      </c>
      <c r="H81" s="20" t="str">
        <f t="shared" si="3"/>
        <v>4045</v>
      </c>
    </row>
    <row r="82" spans="1:8" x14ac:dyDescent="0.3">
      <c r="A82" s="8">
        <v>43109.38076388889</v>
      </c>
      <c r="B82" s="20" t="s">
        <v>559</v>
      </c>
      <c r="C82" s="20" t="s">
        <v>708</v>
      </c>
      <c r="D82" s="137">
        <v>1830000</v>
      </c>
      <c r="E82" s="20" t="s">
        <v>345</v>
      </c>
      <c r="F82" s="20" t="s">
        <v>346</v>
      </c>
      <c r="G82" s="8" t="str">
        <f t="shared" si="2"/>
        <v>YORK EDGAR</v>
      </c>
      <c r="H82" s="20" t="str">
        <f t="shared" si="3"/>
        <v>4013</v>
      </c>
    </row>
    <row r="83" spans="1:8" x14ac:dyDescent="0.3">
      <c r="A83" s="8">
        <v>43109.38380787037</v>
      </c>
      <c r="B83" s="20" t="s">
        <v>511</v>
      </c>
      <c r="C83" s="20" t="s">
        <v>799</v>
      </c>
      <c r="D83" s="137">
        <v>2560000</v>
      </c>
      <c r="E83" s="20" t="s">
        <v>530</v>
      </c>
      <c r="F83" s="20" t="s">
        <v>531</v>
      </c>
      <c r="G83" s="8" t="str">
        <f t="shared" si="2"/>
        <v>MACDONALD THOMAS</v>
      </c>
      <c r="H83" s="20" t="str">
        <f t="shared" si="3"/>
        <v>4016</v>
      </c>
    </row>
    <row r="84" spans="1:8" x14ac:dyDescent="0.3">
      <c r="A84" s="8">
        <v>43109.388171296298</v>
      </c>
      <c r="B84" s="20" t="s">
        <v>616</v>
      </c>
      <c r="C84" s="20" t="s">
        <v>706</v>
      </c>
      <c r="D84" s="137">
        <v>2470000</v>
      </c>
      <c r="E84" s="20" t="s">
        <v>532</v>
      </c>
      <c r="F84" s="20" t="s">
        <v>533</v>
      </c>
      <c r="G84" s="8" t="str">
        <f t="shared" si="2"/>
        <v>ROMERO CHAD</v>
      </c>
      <c r="H84" s="20" t="str">
        <f t="shared" si="3"/>
        <v>4054</v>
      </c>
    </row>
    <row r="85" spans="1:8" x14ac:dyDescent="0.3">
      <c r="A85" s="8">
        <v>43109.389826388891</v>
      </c>
      <c r="B85" s="20" t="s">
        <v>476</v>
      </c>
      <c r="C85" s="20" t="s">
        <v>800</v>
      </c>
      <c r="D85" s="137">
        <v>1230000</v>
      </c>
      <c r="E85" s="20" t="s">
        <v>748</v>
      </c>
      <c r="F85" s="20" t="s">
        <v>749</v>
      </c>
      <c r="G85" s="8" t="str">
        <f t="shared" si="2"/>
        <v>YANAI IAN</v>
      </c>
      <c r="H85" s="20" t="str">
        <f t="shared" si="3"/>
        <v>4033</v>
      </c>
    </row>
    <row r="86" spans="1:8" x14ac:dyDescent="0.3">
      <c r="A86" s="8">
        <v>43109.392835648148</v>
      </c>
      <c r="B86" s="20" t="s">
        <v>703</v>
      </c>
      <c r="C86" s="20" t="s">
        <v>707</v>
      </c>
      <c r="D86" s="137">
        <v>3000000</v>
      </c>
      <c r="E86" s="20" t="s">
        <v>493</v>
      </c>
      <c r="F86" s="20" t="s">
        <v>494</v>
      </c>
      <c r="G86" s="8" t="str">
        <f t="shared" si="2"/>
        <v>FORTUNATO FRANK</v>
      </c>
      <c r="H86" s="20" t="str">
        <f t="shared" si="3"/>
        <v>4039</v>
      </c>
    </row>
    <row r="87" spans="1:8" x14ac:dyDescent="0.3">
      <c r="A87" s="8">
        <v>43109.394594907404</v>
      </c>
      <c r="B87" s="20" t="s">
        <v>509</v>
      </c>
      <c r="C87" s="20" t="s">
        <v>709</v>
      </c>
      <c r="D87" s="137">
        <v>3120000</v>
      </c>
      <c r="E87" s="20" t="s">
        <v>368</v>
      </c>
      <c r="F87" s="20" t="s">
        <v>527</v>
      </c>
      <c r="G87" s="8" t="str">
        <f t="shared" si="2"/>
        <v>THOMPSON LESTER</v>
      </c>
      <c r="H87" s="20" t="str">
        <f t="shared" si="3"/>
        <v>4056</v>
      </c>
    </row>
    <row r="88" spans="1:8" x14ac:dyDescent="0.3">
      <c r="A88" s="8">
        <v>43109.401099537034</v>
      </c>
      <c r="B88" s="20" t="s">
        <v>477</v>
      </c>
      <c r="C88" s="20" t="s">
        <v>801</v>
      </c>
      <c r="D88" s="137">
        <v>3300000</v>
      </c>
      <c r="E88" s="20" t="s">
        <v>621</v>
      </c>
      <c r="F88" s="20" t="s">
        <v>622</v>
      </c>
      <c r="G88" s="8" t="str">
        <f t="shared" si="2"/>
        <v>LANGERAK WILLIAM</v>
      </c>
      <c r="H88" s="20" t="str">
        <f t="shared" si="3"/>
        <v>4064</v>
      </c>
    </row>
    <row r="89" spans="1:8" x14ac:dyDescent="0.3">
      <c r="A89" s="8">
        <v>43109.409548611111</v>
      </c>
      <c r="B89" s="20" t="s">
        <v>442</v>
      </c>
      <c r="C89" s="20" t="s">
        <v>802</v>
      </c>
      <c r="D89" s="137">
        <v>940000</v>
      </c>
      <c r="E89" s="20" t="s">
        <v>733</v>
      </c>
      <c r="F89" s="20" t="s">
        <v>734</v>
      </c>
      <c r="G89" s="8" t="str">
        <f t="shared" si="2"/>
        <v>BONDS REYNALDO</v>
      </c>
      <c r="H89" s="20" t="str">
        <f t="shared" si="3"/>
        <v>4049</v>
      </c>
    </row>
    <row r="90" spans="1:8" x14ac:dyDescent="0.3">
      <c r="A90" s="8">
        <v>43109.410219907404</v>
      </c>
      <c r="B90" s="20" t="s">
        <v>620</v>
      </c>
      <c r="C90" s="20" t="s">
        <v>710</v>
      </c>
      <c r="D90" s="137">
        <v>2370000</v>
      </c>
      <c r="E90" s="20" t="s">
        <v>528</v>
      </c>
      <c r="F90" s="20" t="s">
        <v>529</v>
      </c>
      <c r="G90" s="8" t="str">
        <f t="shared" si="2"/>
        <v>DELGADO DIANAH</v>
      </c>
      <c r="H90" s="20" t="str">
        <f t="shared" si="3"/>
        <v>4053</v>
      </c>
    </row>
    <row r="91" spans="1:8" x14ac:dyDescent="0.3">
      <c r="A91" s="8">
        <v>43109.411064814813</v>
      </c>
      <c r="B91" s="20" t="s">
        <v>506</v>
      </c>
      <c r="C91" s="20" t="s">
        <v>803</v>
      </c>
      <c r="D91" s="137">
        <v>3090000</v>
      </c>
      <c r="E91" s="20" t="s">
        <v>742</v>
      </c>
      <c r="F91" s="20" t="s">
        <v>743</v>
      </c>
      <c r="G91" s="8" t="str">
        <f t="shared" si="2"/>
        <v>LAMAR NEKESHA</v>
      </c>
      <c r="H91" s="20" t="str">
        <f t="shared" si="3"/>
        <v>4046</v>
      </c>
    </row>
    <row r="92" spans="1:8" x14ac:dyDescent="0.3">
      <c r="A92" s="8">
        <v>43109.415092592593</v>
      </c>
      <c r="B92" s="20" t="s">
        <v>722</v>
      </c>
      <c r="C92" s="20" t="s">
        <v>804</v>
      </c>
      <c r="D92" s="137">
        <v>3000000</v>
      </c>
      <c r="E92" s="20" t="s">
        <v>493</v>
      </c>
      <c r="F92" s="20" t="s">
        <v>494</v>
      </c>
      <c r="G92" s="8" t="str">
        <f t="shared" si="2"/>
        <v>FORTUNATO FRANK</v>
      </c>
      <c r="H92" s="20" t="str">
        <f t="shared" si="3"/>
        <v>4040</v>
      </c>
    </row>
    <row r="93" spans="1:8" x14ac:dyDescent="0.3">
      <c r="A93" s="8">
        <v>43109.421759259261</v>
      </c>
      <c r="B93" s="20" t="s">
        <v>555</v>
      </c>
      <c r="C93" s="20" t="s">
        <v>805</v>
      </c>
      <c r="D93" s="137">
        <v>2600000</v>
      </c>
      <c r="E93" s="20" t="s">
        <v>619</v>
      </c>
      <c r="F93" s="20" t="s">
        <v>467</v>
      </c>
      <c r="G93" s="8" t="str">
        <f t="shared" si="2"/>
        <v>DAVIDSON DAVID</v>
      </c>
      <c r="H93" s="20" t="str">
        <f t="shared" si="3"/>
        <v>4014</v>
      </c>
    </row>
    <row r="94" spans="1:8" x14ac:dyDescent="0.3">
      <c r="A94" s="8">
        <v>43109.424224537041</v>
      </c>
      <c r="B94" s="20" t="s">
        <v>507</v>
      </c>
      <c r="C94" s="20" t="s">
        <v>806</v>
      </c>
      <c r="D94" s="137">
        <v>2560000</v>
      </c>
      <c r="E94" s="20" t="s">
        <v>530</v>
      </c>
      <c r="F94" s="20" t="s">
        <v>531</v>
      </c>
      <c r="G94" s="8" t="str">
        <f t="shared" si="2"/>
        <v>MACDONALD THOMAS</v>
      </c>
      <c r="H94" s="20" t="str">
        <f t="shared" si="3"/>
        <v>4015</v>
      </c>
    </row>
    <row r="95" spans="1:8" x14ac:dyDescent="0.3">
      <c r="A95" s="8">
        <v>43109.430150462962</v>
      </c>
      <c r="B95" s="20" t="s">
        <v>616</v>
      </c>
      <c r="C95" s="20" t="s">
        <v>713</v>
      </c>
      <c r="D95" s="137">
        <v>2370000</v>
      </c>
      <c r="E95" s="20" t="s">
        <v>528</v>
      </c>
      <c r="F95" s="20" t="s">
        <v>529</v>
      </c>
      <c r="G95" s="8" t="str">
        <f t="shared" si="2"/>
        <v>DELGADO DIANAH</v>
      </c>
      <c r="H95" s="20" t="str">
        <f t="shared" si="3"/>
        <v>4054</v>
      </c>
    </row>
    <row r="96" spans="1:8" x14ac:dyDescent="0.3">
      <c r="A96" s="8">
        <v>43109.43136574074</v>
      </c>
      <c r="B96" s="20" t="s">
        <v>492</v>
      </c>
      <c r="C96" s="20" t="s">
        <v>807</v>
      </c>
      <c r="D96" s="137">
        <v>1230000</v>
      </c>
      <c r="E96" s="20" t="s">
        <v>748</v>
      </c>
      <c r="F96" s="20" t="s">
        <v>749</v>
      </c>
      <c r="G96" s="8" t="str">
        <f t="shared" si="2"/>
        <v>YANAI IAN</v>
      </c>
      <c r="H96" s="20" t="str">
        <f t="shared" si="3"/>
        <v>4034</v>
      </c>
    </row>
    <row r="97" spans="1:8" x14ac:dyDescent="0.3">
      <c r="A97" s="8">
        <v>43109.43513888889</v>
      </c>
      <c r="B97" s="20" t="s">
        <v>350</v>
      </c>
      <c r="C97" s="20" t="s">
        <v>808</v>
      </c>
      <c r="D97" s="137">
        <v>3120000</v>
      </c>
      <c r="E97" s="20" t="s">
        <v>368</v>
      </c>
      <c r="F97" s="20" t="s">
        <v>527</v>
      </c>
      <c r="G97" s="8" t="str">
        <f t="shared" si="2"/>
        <v>THOMPSON LESTER</v>
      </c>
      <c r="H97" s="20" t="str">
        <f t="shared" si="3"/>
        <v>4055</v>
      </c>
    </row>
    <row r="98" spans="1:8" x14ac:dyDescent="0.3">
      <c r="A98" s="8">
        <v>43109.437199074076</v>
      </c>
      <c r="B98" s="20" t="s">
        <v>703</v>
      </c>
      <c r="C98" s="20" t="s">
        <v>809</v>
      </c>
      <c r="D98" s="137">
        <v>3000000</v>
      </c>
      <c r="E98" s="20" t="s">
        <v>493</v>
      </c>
      <c r="F98" s="20" t="s">
        <v>494</v>
      </c>
      <c r="G98" s="8" t="str">
        <f t="shared" si="2"/>
        <v>FORTUNATO FRANK</v>
      </c>
      <c r="H98" s="20" t="str">
        <f t="shared" si="3"/>
        <v>4039</v>
      </c>
    </row>
    <row r="99" spans="1:8" x14ac:dyDescent="0.3">
      <c r="A99" s="8">
        <v>43109.441550925927</v>
      </c>
      <c r="B99" s="20" t="s">
        <v>484</v>
      </c>
      <c r="C99" s="20" t="s">
        <v>810</v>
      </c>
      <c r="D99" s="137">
        <v>3300000</v>
      </c>
      <c r="E99" s="20" t="s">
        <v>621</v>
      </c>
      <c r="F99" s="20" t="s">
        <v>622</v>
      </c>
      <c r="G99" s="8" t="str">
        <f t="shared" si="2"/>
        <v>LANGERAK WILLIAM</v>
      </c>
      <c r="H99" s="20" t="str">
        <f t="shared" si="3"/>
        <v>4063</v>
      </c>
    </row>
    <row r="100" spans="1:8" x14ac:dyDescent="0.3">
      <c r="A100" s="8">
        <v>43109.44462962963</v>
      </c>
      <c r="B100" s="20" t="s">
        <v>443</v>
      </c>
      <c r="C100" s="20" t="s">
        <v>811</v>
      </c>
      <c r="D100" s="137">
        <v>1780000</v>
      </c>
      <c r="E100" s="20" t="s">
        <v>812</v>
      </c>
      <c r="F100" s="20" t="s">
        <v>813</v>
      </c>
      <c r="G100" s="8" t="str">
        <f t="shared" si="2"/>
        <v>DE LA ROSA ALEX</v>
      </c>
      <c r="H100" s="20" t="str">
        <f t="shared" si="3"/>
        <v>4050</v>
      </c>
    </row>
    <row r="101" spans="1:8" x14ac:dyDescent="0.3">
      <c r="A101" s="8">
        <v>43109.445983796293</v>
      </c>
      <c r="B101" s="20" t="s">
        <v>620</v>
      </c>
      <c r="C101" s="20" t="s">
        <v>710</v>
      </c>
      <c r="D101" s="137">
        <v>2370000</v>
      </c>
      <c r="E101" s="20" t="s">
        <v>528</v>
      </c>
      <c r="F101" s="20" t="s">
        <v>529</v>
      </c>
      <c r="G101" s="8" t="str">
        <f t="shared" si="2"/>
        <v>DELGADO DIANAH</v>
      </c>
      <c r="H101" s="20" t="str">
        <f t="shared" si="3"/>
        <v>4053</v>
      </c>
    </row>
    <row r="102" spans="1:8" x14ac:dyDescent="0.3">
      <c r="A102" s="8">
        <v>43109.45449074074</v>
      </c>
      <c r="B102" s="20" t="s">
        <v>559</v>
      </c>
      <c r="C102" s="20" t="s">
        <v>814</v>
      </c>
      <c r="D102" s="137">
        <v>2600000</v>
      </c>
      <c r="E102" s="20" t="s">
        <v>619</v>
      </c>
      <c r="F102" s="20" t="s">
        <v>467</v>
      </c>
      <c r="G102" s="8" t="str">
        <f t="shared" si="2"/>
        <v>DAVIDSON DAVID</v>
      </c>
      <c r="H102" s="20" t="str">
        <f t="shared" si="3"/>
        <v>4013</v>
      </c>
    </row>
    <row r="103" spans="1:8" x14ac:dyDescent="0.3">
      <c r="A103" s="8">
        <v>43109.455208333333</v>
      </c>
      <c r="B103" s="20" t="s">
        <v>505</v>
      </c>
      <c r="C103" s="20" t="s">
        <v>815</v>
      </c>
      <c r="D103" s="137">
        <v>3090000</v>
      </c>
      <c r="E103" s="20" t="s">
        <v>742</v>
      </c>
      <c r="F103" s="20" t="s">
        <v>743</v>
      </c>
      <c r="G103" s="8" t="str">
        <f t="shared" si="2"/>
        <v>LAMAR NEKESHA</v>
      </c>
      <c r="H103" s="20" t="str">
        <f t="shared" si="3"/>
        <v>4045</v>
      </c>
    </row>
    <row r="104" spans="1:8" x14ac:dyDescent="0.3">
      <c r="A104" s="8">
        <v>43109.45585648148</v>
      </c>
      <c r="B104" s="20" t="s">
        <v>511</v>
      </c>
      <c r="C104" s="20" t="s">
        <v>816</v>
      </c>
      <c r="D104" s="137">
        <v>2560000</v>
      </c>
      <c r="E104" s="20" t="s">
        <v>530</v>
      </c>
      <c r="F104" s="20" t="s">
        <v>531</v>
      </c>
      <c r="G104" s="8" t="str">
        <f t="shared" si="2"/>
        <v>MACDONALD THOMAS</v>
      </c>
      <c r="H104" s="20" t="str">
        <f t="shared" si="3"/>
        <v>4016</v>
      </c>
    </row>
    <row r="105" spans="1:8" x14ac:dyDescent="0.3">
      <c r="A105" s="8">
        <v>43109.456377314818</v>
      </c>
      <c r="B105" s="20" t="s">
        <v>722</v>
      </c>
      <c r="C105" s="20" t="s">
        <v>817</v>
      </c>
      <c r="D105" s="137">
        <v>3000000</v>
      </c>
      <c r="E105" s="20" t="s">
        <v>493</v>
      </c>
      <c r="F105" s="20" t="s">
        <v>494</v>
      </c>
      <c r="G105" s="8" t="str">
        <f t="shared" si="2"/>
        <v>FORTUNATO FRANK</v>
      </c>
      <c r="H105" s="20" t="str">
        <f t="shared" si="3"/>
        <v>4040</v>
      </c>
    </row>
    <row r="106" spans="1:8" x14ac:dyDescent="0.3">
      <c r="A106" s="8">
        <v>43109.463726851849</v>
      </c>
      <c r="B106" s="20" t="s">
        <v>476</v>
      </c>
      <c r="C106" s="20" t="s">
        <v>818</v>
      </c>
      <c r="D106" s="137">
        <v>1230000</v>
      </c>
      <c r="E106" s="20" t="s">
        <v>748</v>
      </c>
      <c r="F106" s="20" t="s">
        <v>749</v>
      </c>
      <c r="G106" s="8" t="str">
        <f t="shared" si="2"/>
        <v>YANAI IAN</v>
      </c>
      <c r="H106" s="20" t="str">
        <f t="shared" si="3"/>
        <v>4033</v>
      </c>
    </row>
    <row r="107" spans="1:8" x14ac:dyDescent="0.3">
      <c r="A107" s="8">
        <v>43109.466145833336</v>
      </c>
      <c r="B107" s="20" t="s">
        <v>509</v>
      </c>
      <c r="C107" s="20" t="s">
        <v>712</v>
      </c>
      <c r="D107" s="137">
        <v>2030000</v>
      </c>
      <c r="E107" s="20" t="s">
        <v>561</v>
      </c>
      <c r="F107" s="20" t="s">
        <v>467</v>
      </c>
      <c r="G107" s="8" t="str">
        <f t="shared" si="2"/>
        <v>KILLION DAVID</v>
      </c>
      <c r="H107" s="20" t="str">
        <f t="shared" si="3"/>
        <v>4056</v>
      </c>
    </row>
    <row r="108" spans="1:8" x14ac:dyDescent="0.3">
      <c r="A108" s="8">
        <v>43109.475763888891</v>
      </c>
      <c r="B108" s="20" t="s">
        <v>620</v>
      </c>
      <c r="C108" s="20" t="s">
        <v>711</v>
      </c>
      <c r="D108" s="137">
        <v>2470000</v>
      </c>
      <c r="E108" s="20" t="s">
        <v>532</v>
      </c>
      <c r="F108" s="20" t="s">
        <v>533</v>
      </c>
      <c r="G108" s="8" t="str">
        <f t="shared" si="2"/>
        <v>ROMERO CHAD</v>
      </c>
      <c r="H108" s="20" t="str">
        <f t="shared" si="3"/>
        <v>4053</v>
      </c>
    </row>
    <row r="109" spans="1:8" x14ac:dyDescent="0.3">
      <c r="A109" s="8">
        <v>43109.476284722223</v>
      </c>
      <c r="B109" s="20" t="s">
        <v>477</v>
      </c>
      <c r="C109" s="20" t="s">
        <v>819</v>
      </c>
      <c r="D109" s="137">
        <v>880000</v>
      </c>
      <c r="E109" s="20" t="s">
        <v>625</v>
      </c>
      <c r="F109" s="20" t="s">
        <v>351</v>
      </c>
      <c r="G109" s="8" t="str">
        <f t="shared" si="2"/>
        <v>STEWART MICHAEL</v>
      </c>
      <c r="H109" s="20" t="str">
        <f t="shared" si="3"/>
        <v>4064</v>
      </c>
    </row>
    <row r="110" spans="1:8" x14ac:dyDescent="0.3">
      <c r="A110" s="8">
        <v>43109.477523148147</v>
      </c>
      <c r="B110" s="20" t="s">
        <v>703</v>
      </c>
      <c r="C110" s="20" t="s">
        <v>820</v>
      </c>
      <c r="D110" s="137">
        <v>3000000</v>
      </c>
      <c r="E110" s="20" t="s">
        <v>493</v>
      </c>
      <c r="F110" s="20" t="s">
        <v>494</v>
      </c>
      <c r="G110" s="8" t="str">
        <f t="shared" si="2"/>
        <v>FORTUNATO FRANK</v>
      </c>
      <c r="H110" s="20" t="str">
        <f t="shared" si="3"/>
        <v>4039</v>
      </c>
    </row>
    <row r="111" spans="1:8" x14ac:dyDescent="0.3">
      <c r="A111" s="8">
        <v>43109.484340277777</v>
      </c>
      <c r="B111" s="20" t="s">
        <v>506</v>
      </c>
      <c r="C111" s="20" t="s">
        <v>821</v>
      </c>
      <c r="D111" s="137">
        <v>1300000</v>
      </c>
      <c r="E111" s="20" t="s">
        <v>357</v>
      </c>
      <c r="F111" s="20" t="s">
        <v>358</v>
      </c>
      <c r="G111" s="8" t="str">
        <f t="shared" si="2"/>
        <v>LEVIN SCOTT</v>
      </c>
      <c r="H111" s="20" t="str">
        <f t="shared" si="3"/>
        <v>4046</v>
      </c>
    </row>
    <row r="112" spans="1:8" x14ac:dyDescent="0.3">
      <c r="A112" s="8">
        <v>43109.485393518517</v>
      </c>
      <c r="B112" s="20" t="s">
        <v>442</v>
      </c>
      <c r="C112" s="20" t="s">
        <v>822</v>
      </c>
      <c r="D112" s="137">
        <v>1780000</v>
      </c>
      <c r="E112" s="20" t="s">
        <v>812</v>
      </c>
      <c r="F112" s="20" t="s">
        <v>813</v>
      </c>
      <c r="G112" s="8" t="str">
        <f t="shared" si="2"/>
        <v>DE LA ROSA ALEX</v>
      </c>
      <c r="H112" s="20" t="str">
        <f t="shared" si="3"/>
        <v>4049</v>
      </c>
    </row>
    <row r="113" spans="1:8" x14ac:dyDescent="0.3">
      <c r="A113" s="8">
        <v>43109.4925</v>
      </c>
      <c r="B113" s="20" t="s">
        <v>616</v>
      </c>
      <c r="C113" s="20" t="s">
        <v>713</v>
      </c>
      <c r="D113" s="137">
        <v>2370000</v>
      </c>
      <c r="E113" s="20" t="s">
        <v>528</v>
      </c>
      <c r="F113" s="20" t="s">
        <v>529</v>
      </c>
      <c r="G113" s="8" t="str">
        <f t="shared" si="2"/>
        <v>DELGADO DIANAH</v>
      </c>
      <c r="H113" s="20" t="str">
        <f t="shared" si="3"/>
        <v>4054</v>
      </c>
    </row>
    <row r="114" spans="1:8" x14ac:dyDescent="0.3">
      <c r="A114" s="8">
        <v>43109.495520833334</v>
      </c>
      <c r="B114" s="20" t="s">
        <v>555</v>
      </c>
      <c r="C114" s="20" t="s">
        <v>823</v>
      </c>
      <c r="D114" s="137">
        <v>3840000</v>
      </c>
      <c r="E114" s="20" t="s">
        <v>626</v>
      </c>
      <c r="F114" s="20" t="s">
        <v>627</v>
      </c>
      <c r="G114" s="8" t="str">
        <f t="shared" si="2"/>
        <v>LONG FULLER</v>
      </c>
      <c r="H114" s="20" t="str">
        <f t="shared" si="3"/>
        <v>4014</v>
      </c>
    </row>
    <row r="115" spans="1:8" x14ac:dyDescent="0.3">
      <c r="A115" s="8">
        <v>43109.498680555553</v>
      </c>
      <c r="B115" s="20" t="s">
        <v>507</v>
      </c>
      <c r="C115" s="20" t="s">
        <v>824</v>
      </c>
      <c r="D115" s="137">
        <v>2560000</v>
      </c>
      <c r="E115" s="20" t="s">
        <v>530</v>
      </c>
      <c r="F115" s="20" t="s">
        <v>531</v>
      </c>
      <c r="G115" s="8" t="str">
        <f t="shared" si="2"/>
        <v>MACDONALD THOMAS</v>
      </c>
      <c r="H115" s="20" t="str">
        <f t="shared" si="3"/>
        <v>4015</v>
      </c>
    </row>
    <row r="116" spans="1:8" x14ac:dyDescent="0.3">
      <c r="A116" s="8">
        <v>43109.500798611109</v>
      </c>
      <c r="B116" s="20" t="s">
        <v>350</v>
      </c>
      <c r="C116" s="20" t="s">
        <v>825</v>
      </c>
      <c r="D116" s="137">
        <v>2030000</v>
      </c>
      <c r="E116" s="20" t="s">
        <v>561</v>
      </c>
      <c r="F116" s="20" t="s">
        <v>467</v>
      </c>
      <c r="G116" s="8" t="str">
        <f t="shared" si="2"/>
        <v>KILLION DAVID</v>
      </c>
      <c r="H116" s="20" t="str">
        <f t="shared" si="3"/>
        <v>4055</v>
      </c>
    </row>
    <row r="117" spans="1:8" x14ac:dyDescent="0.3">
      <c r="A117" s="8">
        <v>43109.50199074074</v>
      </c>
      <c r="B117" s="20" t="s">
        <v>722</v>
      </c>
      <c r="C117" s="20" t="s">
        <v>826</v>
      </c>
      <c r="D117" s="137">
        <v>3000000</v>
      </c>
      <c r="E117" s="20" t="s">
        <v>493</v>
      </c>
      <c r="F117" s="20" t="s">
        <v>494</v>
      </c>
      <c r="G117" s="8" t="str">
        <f t="shared" si="2"/>
        <v>FORTUNATO FRANK</v>
      </c>
      <c r="H117" s="20" t="str">
        <f t="shared" si="3"/>
        <v>4040</v>
      </c>
    </row>
    <row r="118" spans="1:8" x14ac:dyDescent="0.3">
      <c r="A118" s="8">
        <v>43109.505810185183</v>
      </c>
      <c r="B118" s="20" t="s">
        <v>492</v>
      </c>
      <c r="C118" s="20" t="s">
        <v>827</v>
      </c>
      <c r="D118" s="137">
        <v>2040000</v>
      </c>
      <c r="E118" s="20" t="s">
        <v>395</v>
      </c>
      <c r="F118" s="20" t="s">
        <v>396</v>
      </c>
      <c r="G118" s="8" t="str">
        <f t="shared" si="2"/>
        <v>MOSES BRADLEY</v>
      </c>
      <c r="H118" s="20" t="str">
        <f t="shared" si="3"/>
        <v>4034</v>
      </c>
    </row>
    <row r="119" spans="1:8" x14ac:dyDescent="0.3">
      <c r="A119" s="8">
        <v>43109.514664351853</v>
      </c>
      <c r="B119" s="20" t="s">
        <v>620</v>
      </c>
      <c r="C119" s="20" t="s">
        <v>710</v>
      </c>
      <c r="D119" s="137">
        <v>2370000</v>
      </c>
      <c r="E119" s="20" t="s">
        <v>528</v>
      </c>
      <c r="F119" s="20" t="s">
        <v>529</v>
      </c>
      <c r="G119" s="8" t="str">
        <f t="shared" si="2"/>
        <v>DELGADO DIANAH</v>
      </c>
      <c r="H119" s="20" t="str">
        <f t="shared" si="3"/>
        <v>4053</v>
      </c>
    </row>
    <row r="120" spans="1:8" x14ac:dyDescent="0.3">
      <c r="A120" s="8">
        <v>43109.515659722223</v>
      </c>
      <c r="B120" s="20" t="s">
        <v>484</v>
      </c>
      <c r="C120" s="20" t="s">
        <v>828</v>
      </c>
      <c r="D120" s="137">
        <v>880000</v>
      </c>
      <c r="E120" s="20" t="s">
        <v>625</v>
      </c>
      <c r="F120" s="20" t="s">
        <v>351</v>
      </c>
      <c r="G120" s="8" t="str">
        <f t="shared" si="2"/>
        <v>STEWART MICHAEL</v>
      </c>
      <c r="H120" s="20" t="str">
        <f t="shared" si="3"/>
        <v>4063</v>
      </c>
    </row>
    <row r="121" spans="1:8" x14ac:dyDescent="0.3">
      <c r="A121" s="8">
        <v>43109.516736111109</v>
      </c>
      <c r="B121" s="20" t="s">
        <v>443</v>
      </c>
      <c r="C121" s="20" t="s">
        <v>829</v>
      </c>
      <c r="D121" s="137">
        <v>1780000</v>
      </c>
      <c r="E121" s="20" t="s">
        <v>812</v>
      </c>
      <c r="F121" s="20" t="s">
        <v>813</v>
      </c>
      <c r="G121" s="8" t="str">
        <f t="shared" si="2"/>
        <v>DE LA ROSA ALEX</v>
      </c>
      <c r="H121" s="20" t="str">
        <f t="shared" si="3"/>
        <v>4050</v>
      </c>
    </row>
    <row r="122" spans="1:8" x14ac:dyDescent="0.3">
      <c r="A122" s="8">
        <v>43109.520162037035</v>
      </c>
      <c r="B122" s="25" t="s">
        <v>505</v>
      </c>
      <c r="C122" s="20" t="s">
        <v>830</v>
      </c>
      <c r="D122" s="137">
        <v>1300000</v>
      </c>
      <c r="E122" s="20" t="s">
        <v>357</v>
      </c>
      <c r="F122" s="20" t="s">
        <v>358</v>
      </c>
      <c r="G122" s="8" t="str">
        <f t="shared" si="2"/>
        <v>LEVIN SCOTT</v>
      </c>
      <c r="H122" s="20" t="str">
        <f t="shared" si="3"/>
        <v>4045</v>
      </c>
    </row>
    <row r="123" spans="1:8" x14ac:dyDescent="0.3">
      <c r="A123" s="8">
        <v>43109.528240740743</v>
      </c>
      <c r="B123" s="20" t="s">
        <v>511</v>
      </c>
      <c r="C123" s="20" t="s">
        <v>831</v>
      </c>
      <c r="D123" s="137">
        <v>2230000</v>
      </c>
      <c r="E123" s="20" t="s">
        <v>392</v>
      </c>
      <c r="F123" s="20" t="s">
        <v>351</v>
      </c>
      <c r="G123" s="8" t="str">
        <f t="shared" si="2"/>
        <v>SMITH MICHAEL</v>
      </c>
      <c r="H123" s="20" t="str">
        <f t="shared" si="3"/>
        <v>4016</v>
      </c>
    </row>
    <row r="124" spans="1:8" x14ac:dyDescent="0.3">
      <c r="A124" s="8">
        <v>43109.529386574075</v>
      </c>
      <c r="B124" s="20" t="s">
        <v>703</v>
      </c>
      <c r="C124" s="20" t="s">
        <v>832</v>
      </c>
      <c r="D124" s="137">
        <v>3000000</v>
      </c>
      <c r="E124" s="20" t="s">
        <v>493</v>
      </c>
      <c r="F124" s="20" t="s">
        <v>494</v>
      </c>
      <c r="G124" s="8" t="str">
        <f t="shared" si="2"/>
        <v>FORTUNATO FRANK</v>
      </c>
      <c r="H124" s="20" t="str">
        <f t="shared" si="3"/>
        <v>4039</v>
      </c>
    </row>
    <row r="125" spans="1:8" x14ac:dyDescent="0.3">
      <c r="A125" s="8">
        <v>43109.535011574073</v>
      </c>
      <c r="B125" s="20" t="s">
        <v>559</v>
      </c>
      <c r="C125" s="20" t="s">
        <v>833</v>
      </c>
      <c r="D125" s="137">
        <v>3840000</v>
      </c>
      <c r="E125" s="20" t="s">
        <v>626</v>
      </c>
      <c r="F125" s="20" t="s">
        <v>627</v>
      </c>
      <c r="G125" s="8" t="str">
        <f t="shared" si="2"/>
        <v>LONG FULLER</v>
      </c>
      <c r="H125" s="20" t="str">
        <f t="shared" si="3"/>
        <v>4013</v>
      </c>
    </row>
    <row r="126" spans="1:8" x14ac:dyDescent="0.3">
      <c r="A126" s="8">
        <v>43109.539618055554</v>
      </c>
      <c r="B126" s="20" t="s">
        <v>509</v>
      </c>
      <c r="C126" s="20" t="s">
        <v>834</v>
      </c>
      <c r="D126" s="137">
        <v>1770000</v>
      </c>
      <c r="E126" s="20" t="s">
        <v>835</v>
      </c>
      <c r="F126" s="20" t="s">
        <v>836</v>
      </c>
      <c r="G126" s="8" t="str">
        <f t="shared" si="2"/>
        <v>BRUDER RICHARD</v>
      </c>
      <c r="H126" s="20" t="str">
        <f t="shared" si="3"/>
        <v>4056</v>
      </c>
    </row>
    <row r="127" spans="1:8" x14ac:dyDescent="0.3">
      <c r="A127" s="8">
        <v>43109.542731481481</v>
      </c>
      <c r="B127" s="20" t="s">
        <v>722</v>
      </c>
      <c r="C127" s="20" t="s">
        <v>837</v>
      </c>
      <c r="D127" s="137">
        <v>2970000</v>
      </c>
      <c r="E127" s="20" t="s">
        <v>373</v>
      </c>
      <c r="F127" s="20" t="s">
        <v>374</v>
      </c>
      <c r="G127" s="8" t="str">
        <f t="shared" si="2"/>
        <v>GUZMAN DANNY</v>
      </c>
      <c r="H127" s="20" t="str">
        <f t="shared" si="3"/>
        <v>4040</v>
      </c>
    </row>
    <row r="128" spans="1:8" x14ac:dyDescent="0.3">
      <c r="A128" s="8">
        <v>43109.547094907408</v>
      </c>
      <c r="B128" s="20" t="s">
        <v>476</v>
      </c>
      <c r="C128" s="20" t="s">
        <v>838</v>
      </c>
      <c r="D128" s="137">
        <v>2040000</v>
      </c>
      <c r="E128" s="20" t="s">
        <v>395</v>
      </c>
      <c r="F128" s="20" t="s">
        <v>396</v>
      </c>
      <c r="G128" s="8" t="str">
        <f t="shared" si="2"/>
        <v>MOSES BRADLEY</v>
      </c>
      <c r="H128" s="20" t="str">
        <f t="shared" si="3"/>
        <v>4033</v>
      </c>
    </row>
    <row r="129" spans="1:8" x14ac:dyDescent="0.3">
      <c r="A129" s="8">
        <v>43109.550740740742</v>
      </c>
      <c r="B129" s="20" t="s">
        <v>477</v>
      </c>
      <c r="C129" s="20" t="s">
        <v>839</v>
      </c>
      <c r="D129" s="137">
        <v>2030000</v>
      </c>
      <c r="E129" s="20" t="s">
        <v>561</v>
      </c>
      <c r="F129" s="20" t="s">
        <v>467</v>
      </c>
      <c r="G129" s="8" t="str">
        <f t="shared" si="2"/>
        <v>KILLION DAVID</v>
      </c>
      <c r="H129" s="20" t="str">
        <f t="shared" si="3"/>
        <v>4064</v>
      </c>
    </row>
    <row r="130" spans="1:8" x14ac:dyDescent="0.3">
      <c r="A130" s="8">
        <v>43109.557210648149</v>
      </c>
      <c r="B130" s="20" t="s">
        <v>442</v>
      </c>
      <c r="C130" s="20" t="s">
        <v>714</v>
      </c>
      <c r="D130" s="137">
        <v>1780000</v>
      </c>
      <c r="E130" s="20" t="s">
        <v>812</v>
      </c>
      <c r="F130" s="20" t="s">
        <v>813</v>
      </c>
      <c r="G130" s="8" t="str">
        <f t="shared" si="2"/>
        <v>DE LA ROSA ALEX</v>
      </c>
      <c r="H130" s="20" t="str">
        <f t="shared" si="3"/>
        <v>4049</v>
      </c>
    </row>
    <row r="131" spans="1:8" x14ac:dyDescent="0.3">
      <c r="A131" s="8">
        <v>43109.557881944442</v>
      </c>
      <c r="B131" s="20" t="s">
        <v>506</v>
      </c>
      <c r="C131" s="20" t="s">
        <v>840</v>
      </c>
      <c r="D131" s="137">
        <v>1300000</v>
      </c>
      <c r="E131" s="20" t="s">
        <v>357</v>
      </c>
      <c r="F131" s="20" t="s">
        <v>358</v>
      </c>
      <c r="G131" s="8" t="str">
        <f t="shared" ref="G131:G194" si="4">E131&amp;" "&amp;F131</f>
        <v>LEVIN SCOTT</v>
      </c>
      <c r="H131" s="20" t="str">
        <f t="shared" ref="H131:H194" si="5">MID(B131,13,4)</f>
        <v>4046</v>
      </c>
    </row>
    <row r="132" spans="1:8" x14ac:dyDescent="0.3">
      <c r="A132" s="8">
        <v>43109.560717592591</v>
      </c>
      <c r="B132" s="20" t="s">
        <v>703</v>
      </c>
      <c r="C132" s="20" t="s">
        <v>841</v>
      </c>
      <c r="D132" s="137">
        <v>2970000</v>
      </c>
      <c r="E132" s="20" t="s">
        <v>373</v>
      </c>
      <c r="F132" s="20" t="s">
        <v>374</v>
      </c>
      <c r="G132" s="8" t="str">
        <f t="shared" si="4"/>
        <v>GUZMAN DANNY</v>
      </c>
      <c r="H132" s="20" t="str">
        <f t="shared" si="5"/>
        <v>4039</v>
      </c>
    </row>
    <row r="133" spans="1:8" x14ac:dyDescent="0.3">
      <c r="A133" s="8">
        <v>43109.567210648151</v>
      </c>
      <c r="B133" s="20" t="s">
        <v>507</v>
      </c>
      <c r="C133" s="20" t="s">
        <v>842</v>
      </c>
      <c r="D133" s="137">
        <v>2230000</v>
      </c>
      <c r="E133" s="20" t="s">
        <v>392</v>
      </c>
      <c r="F133" s="20" t="s">
        <v>351</v>
      </c>
      <c r="G133" s="8" t="str">
        <f t="shared" si="4"/>
        <v>SMITH MICHAEL</v>
      </c>
      <c r="H133" s="20" t="str">
        <f t="shared" si="5"/>
        <v>4015</v>
      </c>
    </row>
    <row r="134" spans="1:8" x14ac:dyDescent="0.3">
      <c r="A134" s="8">
        <v>43109.567986111113</v>
      </c>
      <c r="B134" s="20" t="s">
        <v>616</v>
      </c>
      <c r="C134" s="20" t="s">
        <v>715</v>
      </c>
      <c r="D134" s="137">
        <v>3130000</v>
      </c>
      <c r="E134" s="20" t="s">
        <v>843</v>
      </c>
      <c r="F134" s="20" t="s">
        <v>844</v>
      </c>
      <c r="G134" s="8" t="str">
        <f t="shared" si="4"/>
        <v>ZEWDU DEREJE</v>
      </c>
      <c r="H134" s="20" t="str">
        <f t="shared" si="5"/>
        <v>4054</v>
      </c>
    </row>
    <row r="135" spans="1:8" x14ac:dyDescent="0.3">
      <c r="A135" s="8">
        <v>43109.569340277776</v>
      </c>
      <c r="B135" s="20" t="s">
        <v>555</v>
      </c>
      <c r="C135" s="20" t="s">
        <v>845</v>
      </c>
      <c r="D135" s="137">
        <v>3840000</v>
      </c>
      <c r="E135" s="20" t="s">
        <v>626</v>
      </c>
      <c r="F135" s="20" t="s">
        <v>627</v>
      </c>
      <c r="G135" s="8" t="str">
        <f t="shared" si="4"/>
        <v>LONG FULLER</v>
      </c>
      <c r="H135" s="20" t="str">
        <f t="shared" si="5"/>
        <v>4014</v>
      </c>
    </row>
    <row r="136" spans="1:8" x14ac:dyDescent="0.3">
      <c r="A136" s="8">
        <v>43109.577499999999</v>
      </c>
      <c r="B136" s="20" t="s">
        <v>350</v>
      </c>
      <c r="C136" s="20" t="s">
        <v>846</v>
      </c>
      <c r="D136" s="137">
        <v>1770000</v>
      </c>
      <c r="E136" s="20" t="s">
        <v>835</v>
      </c>
      <c r="F136" s="20" t="s">
        <v>836</v>
      </c>
      <c r="G136" s="8" t="str">
        <f t="shared" si="4"/>
        <v>BRUDER RICHARD</v>
      </c>
      <c r="H136" s="20" t="str">
        <f t="shared" si="5"/>
        <v>4055</v>
      </c>
    </row>
    <row r="137" spans="1:8" x14ac:dyDescent="0.3">
      <c r="A137" s="8">
        <v>43109.58084490741</v>
      </c>
      <c r="B137" s="20" t="s">
        <v>492</v>
      </c>
      <c r="C137" s="20" t="s">
        <v>847</v>
      </c>
      <c r="D137" s="137">
        <v>2040000</v>
      </c>
      <c r="E137" s="20" t="s">
        <v>395</v>
      </c>
      <c r="F137" s="20" t="s">
        <v>396</v>
      </c>
      <c r="G137" s="8" t="str">
        <f t="shared" si="4"/>
        <v>MOSES BRADLEY</v>
      </c>
      <c r="H137" s="20" t="str">
        <f t="shared" si="5"/>
        <v>4034</v>
      </c>
    </row>
    <row r="138" spans="1:8" x14ac:dyDescent="0.3">
      <c r="A138" s="8">
        <v>43109.585613425923</v>
      </c>
      <c r="B138" s="20" t="s">
        <v>722</v>
      </c>
      <c r="C138" s="20" t="s">
        <v>848</v>
      </c>
      <c r="D138" s="137">
        <v>2970000</v>
      </c>
      <c r="E138" s="20" t="s">
        <v>373</v>
      </c>
      <c r="F138" s="20" t="s">
        <v>374</v>
      </c>
      <c r="G138" s="8" t="str">
        <f t="shared" si="4"/>
        <v>GUZMAN DANNY</v>
      </c>
      <c r="H138" s="20" t="str">
        <f t="shared" si="5"/>
        <v>4040</v>
      </c>
    </row>
    <row r="139" spans="1:8" x14ac:dyDescent="0.3">
      <c r="A139" s="8">
        <v>43109.585775462961</v>
      </c>
      <c r="B139" s="20" t="s">
        <v>484</v>
      </c>
      <c r="C139" s="20" t="s">
        <v>849</v>
      </c>
      <c r="D139" s="137">
        <v>2030000</v>
      </c>
      <c r="E139" s="20" t="s">
        <v>561</v>
      </c>
      <c r="F139" s="20" t="s">
        <v>467</v>
      </c>
      <c r="G139" s="8" t="str">
        <f t="shared" si="4"/>
        <v>KILLION DAVID</v>
      </c>
      <c r="H139" s="20" t="str">
        <f t="shared" si="5"/>
        <v>4063</v>
      </c>
    </row>
    <row r="140" spans="1:8" x14ac:dyDescent="0.3">
      <c r="A140" s="8">
        <v>43109.589791666665</v>
      </c>
      <c r="B140" s="20" t="s">
        <v>443</v>
      </c>
      <c r="C140" s="20" t="s">
        <v>850</v>
      </c>
      <c r="D140" s="137">
        <v>1780000</v>
      </c>
      <c r="E140" s="20" t="s">
        <v>812</v>
      </c>
      <c r="F140" s="20" t="s">
        <v>813</v>
      </c>
      <c r="G140" s="8" t="str">
        <f t="shared" si="4"/>
        <v>DE LA ROSA ALEX</v>
      </c>
      <c r="H140" s="20" t="str">
        <f t="shared" si="5"/>
        <v>4050</v>
      </c>
    </row>
    <row r="141" spans="1:8" x14ac:dyDescent="0.3">
      <c r="A141" s="8">
        <v>43109.598969907405</v>
      </c>
      <c r="B141" s="20" t="s">
        <v>505</v>
      </c>
      <c r="C141" s="20" t="s">
        <v>716</v>
      </c>
      <c r="D141" s="137">
        <v>1300000</v>
      </c>
      <c r="E141" s="20" t="s">
        <v>357</v>
      </c>
      <c r="F141" s="20" t="s">
        <v>358</v>
      </c>
      <c r="G141" s="8" t="str">
        <f t="shared" si="4"/>
        <v>LEVIN SCOTT</v>
      </c>
      <c r="H141" s="20" t="str">
        <f t="shared" si="5"/>
        <v>4045</v>
      </c>
    </row>
    <row r="142" spans="1:8" x14ac:dyDescent="0.3">
      <c r="A142" s="8">
        <v>43109.599722222221</v>
      </c>
      <c r="B142" s="20" t="s">
        <v>620</v>
      </c>
      <c r="C142" s="20" t="s">
        <v>717</v>
      </c>
      <c r="D142" s="137">
        <v>3130000</v>
      </c>
      <c r="E142" s="20" t="s">
        <v>843</v>
      </c>
      <c r="F142" s="20" t="s">
        <v>844</v>
      </c>
      <c r="G142" s="8" t="str">
        <f t="shared" si="4"/>
        <v>ZEWDU DEREJE</v>
      </c>
      <c r="H142" s="20" t="str">
        <f t="shared" si="5"/>
        <v>4053</v>
      </c>
    </row>
    <row r="143" spans="1:8" x14ac:dyDescent="0.3">
      <c r="A143" s="8">
        <v>43109.601030092592</v>
      </c>
      <c r="B143" s="20" t="s">
        <v>703</v>
      </c>
      <c r="C143" s="20" t="s">
        <v>851</v>
      </c>
      <c r="D143" s="137">
        <v>2970000</v>
      </c>
      <c r="E143" s="20" t="s">
        <v>373</v>
      </c>
      <c r="F143" s="20" t="s">
        <v>374</v>
      </c>
      <c r="G143" s="8" t="str">
        <f t="shared" si="4"/>
        <v>GUZMAN DANNY</v>
      </c>
      <c r="H143" s="20" t="str">
        <f t="shared" si="5"/>
        <v>4039</v>
      </c>
    </row>
    <row r="144" spans="1:8" x14ac:dyDescent="0.3">
      <c r="A144" s="8">
        <v>43109.604479166665</v>
      </c>
      <c r="B144" s="20" t="s">
        <v>511</v>
      </c>
      <c r="C144" s="20" t="s">
        <v>852</v>
      </c>
      <c r="D144" s="137">
        <v>2230000</v>
      </c>
      <c r="E144" s="20" t="s">
        <v>392</v>
      </c>
      <c r="F144" s="20" t="s">
        <v>351</v>
      </c>
      <c r="G144" s="8" t="str">
        <f t="shared" si="4"/>
        <v>SMITH MICHAEL</v>
      </c>
      <c r="H144" s="20" t="str">
        <f t="shared" si="5"/>
        <v>4016</v>
      </c>
    </row>
    <row r="145" spans="1:8" x14ac:dyDescent="0.3">
      <c r="A145" s="8">
        <v>43109.609236111108</v>
      </c>
      <c r="B145" s="20" t="s">
        <v>559</v>
      </c>
      <c r="C145" s="20" t="s">
        <v>853</v>
      </c>
      <c r="D145" s="137">
        <v>3840000</v>
      </c>
      <c r="E145" s="20" t="s">
        <v>626</v>
      </c>
      <c r="F145" s="20" t="s">
        <v>627</v>
      </c>
      <c r="G145" s="8" t="str">
        <f t="shared" si="4"/>
        <v>LONG FULLER</v>
      </c>
      <c r="H145" s="20" t="str">
        <f t="shared" si="5"/>
        <v>4013</v>
      </c>
    </row>
    <row r="146" spans="1:8" x14ac:dyDescent="0.3">
      <c r="A146" s="8">
        <v>43109.614976851852</v>
      </c>
      <c r="B146" s="20" t="s">
        <v>509</v>
      </c>
      <c r="C146" s="20" t="s">
        <v>846</v>
      </c>
      <c r="D146" s="137">
        <v>1770000</v>
      </c>
      <c r="E146" s="20" t="s">
        <v>835</v>
      </c>
      <c r="F146" s="20" t="s">
        <v>836</v>
      </c>
      <c r="G146" s="8" t="str">
        <f t="shared" si="4"/>
        <v>BRUDER RICHARD</v>
      </c>
      <c r="H146" s="20" t="str">
        <f t="shared" si="5"/>
        <v>4056</v>
      </c>
    </row>
    <row r="147" spans="1:8" x14ac:dyDescent="0.3">
      <c r="A147" s="8">
        <v>43109.616342592592</v>
      </c>
      <c r="B147" s="20" t="s">
        <v>509</v>
      </c>
      <c r="C147" s="20" t="s">
        <v>854</v>
      </c>
      <c r="D147" s="137">
        <v>1770000</v>
      </c>
      <c r="E147" s="20" t="s">
        <v>835</v>
      </c>
      <c r="F147" s="20" t="s">
        <v>836</v>
      </c>
      <c r="G147" s="8" t="str">
        <f t="shared" si="4"/>
        <v>BRUDER RICHARD</v>
      </c>
      <c r="H147" s="20" t="str">
        <f t="shared" si="5"/>
        <v>4056</v>
      </c>
    </row>
    <row r="148" spans="1:8" x14ac:dyDescent="0.3">
      <c r="A148" s="8">
        <v>43109.620486111111</v>
      </c>
      <c r="B148" s="20" t="s">
        <v>616</v>
      </c>
      <c r="C148" s="20" t="s">
        <v>715</v>
      </c>
      <c r="D148" s="137">
        <v>3130000</v>
      </c>
      <c r="E148" s="20" t="s">
        <v>843</v>
      </c>
      <c r="F148" s="20" t="s">
        <v>844</v>
      </c>
      <c r="G148" s="8" t="str">
        <f t="shared" si="4"/>
        <v>ZEWDU DEREJE</v>
      </c>
      <c r="H148" s="20" t="str">
        <f t="shared" si="5"/>
        <v>4054</v>
      </c>
    </row>
    <row r="149" spans="1:8" x14ac:dyDescent="0.3">
      <c r="A149" s="8">
        <v>43109.621747685182</v>
      </c>
      <c r="B149" s="20" t="s">
        <v>477</v>
      </c>
      <c r="C149" s="20" t="s">
        <v>855</v>
      </c>
      <c r="D149" s="137">
        <v>880000</v>
      </c>
      <c r="E149" s="20" t="s">
        <v>625</v>
      </c>
      <c r="F149" s="20" t="s">
        <v>351</v>
      </c>
      <c r="G149" s="8" t="str">
        <f t="shared" si="4"/>
        <v>STEWART MICHAEL</v>
      </c>
      <c r="H149" s="20" t="str">
        <f t="shared" si="5"/>
        <v>4064</v>
      </c>
    </row>
    <row r="150" spans="1:8" x14ac:dyDescent="0.3">
      <c r="A150" s="8">
        <v>43109.622106481482</v>
      </c>
      <c r="B150" s="20" t="s">
        <v>476</v>
      </c>
      <c r="C150" s="20" t="s">
        <v>856</v>
      </c>
      <c r="D150" s="137">
        <v>2040000</v>
      </c>
      <c r="E150" s="20" t="s">
        <v>395</v>
      </c>
      <c r="F150" s="20" t="s">
        <v>396</v>
      </c>
      <c r="G150" s="8" t="str">
        <f t="shared" si="4"/>
        <v>MOSES BRADLEY</v>
      </c>
      <c r="H150" s="20" t="str">
        <f t="shared" si="5"/>
        <v>4033</v>
      </c>
    </row>
    <row r="151" spans="1:8" x14ac:dyDescent="0.3">
      <c r="A151" s="8">
        <v>43109.623043981483</v>
      </c>
      <c r="B151" s="20" t="s">
        <v>722</v>
      </c>
      <c r="C151" s="20" t="s">
        <v>857</v>
      </c>
      <c r="D151" s="137">
        <v>2970000</v>
      </c>
      <c r="E151" s="20" t="s">
        <v>373</v>
      </c>
      <c r="F151" s="20" t="s">
        <v>374</v>
      </c>
      <c r="G151" s="8" t="str">
        <f t="shared" si="4"/>
        <v>GUZMAN DANNY</v>
      </c>
      <c r="H151" s="20" t="str">
        <f t="shared" si="5"/>
        <v>4040</v>
      </c>
    </row>
    <row r="152" spans="1:8" x14ac:dyDescent="0.3">
      <c r="A152" s="8">
        <v>43109.631516203706</v>
      </c>
      <c r="B152" s="20" t="s">
        <v>442</v>
      </c>
      <c r="C152" s="20" t="s">
        <v>858</v>
      </c>
      <c r="D152" s="137">
        <v>1780000</v>
      </c>
      <c r="E152" s="20" t="s">
        <v>812</v>
      </c>
      <c r="F152" s="20" t="s">
        <v>813</v>
      </c>
      <c r="G152" s="8" t="str">
        <f t="shared" si="4"/>
        <v>DE LA ROSA ALEX</v>
      </c>
      <c r="H152" s="20" t="str">
        <f t="shared" si="5"/>
        <v>4049</v>
      </c>
    </row>
    <row r="153" spans="1:8" x14ac:dyDescent="0.3">
      <c r="A153" s="8">
        <v>43109.631574074076</v>
      </c>
      <c r="B153" s="20" t="s">
        <v>470</v>
      </c>
      <c r="C153" s="20" t="s">
        <v>859</v>
      </c>
      <c r="D153" s="137">
        <v>1300000</v>
      </c>
      <c r="E153" s="20" t="s">
        <v>357</v>
      </c>
      <c r="F153" s="20" t="s">
        <v>358</v>
      </c>
      <c r="G153" s="8" t="str">
        <f t="shared" si="4"/>
        <v>LEVIN SCOTT</v>
      </c>
      <c r="H153" s="20" t="str">
        <f t="shared" si="5"/>
        <v>4020</v>
      </c>
    </row>
    <row r="154" spans="1:8" x14ac:dyDescent="0.3">
      <c r="A154" s="8">
        <v>43109.635671296295</v>
      </c>
      <c r="B154" s="20" t="s">
        <v>620</v>
      </c>
      <c r="C154" s="20" t="s">
        <v>717</v>
      </c>
      <c r="D154" s="137">
        <v>3130000</v>
      </c>
      <c r="E154" s="20" t="s">
        <v>843</v>
      </c>
      <c r="F154" s="20" t="s">
        <v>844</v>
      </c>
      <c r="G154" s="8" t="str">
        <f t="shared" si="4"/>
        <v>ZEWDU DEREJE</v>
      </c>
      <c r="H154" s="20" t="str">
        <f t="shared" si="5"/>
        <v>4053</v>
      </c>
    </row>
    <row r="155" spans="1:8" x14ac:dyDescent="0.3">
      <c r="A155" s="8">
        <v>43109.638275462959</v>
      </c>
      <c r="B155" s="20" t="s">
        <v>448</v>
      </c>
      <c r="C155" s="20" t="s">
        <v>860</v>
      </c>
      <c r="D155" s="137">
        <v>2000000</v>
      </c>
      <c r="E155" s="20" t="s">
        <v>393</v>
      </c>
      <c r="F155" s="20" t="s">
        <v>394</v>
      </c>
      <c r="G155" s="8" t="str">
        <f t="shared" si="4"/>
        <v>STAMBAUGH JAMES</v>
      </c>
      <c r="H155" s="20" t="str">
        <f t="shared" si="5"/>
        <v>4051</v>
      </c>
    </row>
    <row r="156" spans="1:8" x14ac:dyDescent="0.3">
      <c r="A156" s="8">
        <v>43109.639594907407</v>
      </c>
      <c r="B156" s="20" t="s">
        <v>507</v>
      </c>
      <c r="C156" s="20" t="s">
        <v>861</v>
      </c>
      <c r="D156" s="137">
        <v>2230000</v>
      </c>
      <c r="E156" s="20" t="s">
        <v>392</v>
      </c>
      <c r="F156" s="20" t="s">
        <v>351</v>
      </c>
      <c r="G156" s="8" t="str">
        <f t="shared" si="4"/>
        <v>SMITH MICHAEL</v>
      </c>
      <c r="H156" s="20" t="str">
        <f t="shared" si="5"/>
        <v>4015</v>
      </c>
    </row>
    <row r="157" spans="1:8" x14ac:dyDescent="0.3">
      <c r="A157" s="8">
        <v>43109.642129629632</v>
      </c>
      <c r="B157" s="20" t="s">
        <v>506</v>
      </c>
      <c r="C157" s="20" t="s">
        <v>862</v>
      </c>
      <c r="D157" s="137">
        <v>1810000</v>
      </c>
      <c r="E157" s="20" t="s">
        <v>863</v>
      </c>
      <c r="F157" s="20" t="s">
        <v>394</v>
      </c>
      <c r="G157" s="8" t="str">
        <f t="shared" si="4"/>
        <v>NEWELL JAMES</v>
      </c>
      <c r="H157" s="20" t="str">
        <f t="shared" si="5"/>
        <v>4046</v>
      </c>
    </row>
    <row r="158" spans="1:8" x14ac:dyDescent="0.3">
      <c r="A158" s="8">
        <v>43109.642233796294</v>
      </c>
      <c r="B158" s="20" t="s">
        <v>703</v>
      </c>
      <c r="C158" s="20" t="s">
        <v>864</v>
      </c>
      <c r="D158" s="137">
        <v>2970000</v>
      </c>
      <c r="E158" s="20" t="s">
        <v>373</v>
      </c>
      <c r="F158" s="20" t="s">
        <v>374</v>
      </c>
      <c r="G158" s="8" t="str">
        <f t="shared" si="4"/>
        <v>GUZMAN DANNY</v>
      </c>
      <c r="H158" s="20" t="str">
        <f t="shared" si="5"/>
        <v>4039</v>
      </c>
    </row>
    <row r="159" spans="1:8" x14ac:dyDescent="0.3">
      <c r="A159" s="8">
        <v>43109.646122685182</v>
      </c>
      <c r="B159" s="20" t="s">
        <v>562</v>
      </c>
      <c r="C159" s="20" t="s">
        <v>860</v>
      </c>
      <c r="D159" s="137">
        <v>2000000</v>
      </c>
      <c r="E159" s="20" t="s">
        <v>393</v>
      </c>
      <c r="F159" s="20" t="s">
        <v>394</v>
      </c>
      <c r="G159" s="8" t="str">
        <f t="shared" si="4"/>
        <v>STAMBAUGH JAMES</v>
      </c>
      <c r="H159" s="20" t="str">
        <f t="shared" si="5"/>
        <v>4021</v>
      </c>
    </row>
    <row r="160" spans="1:8" x14ac:dyDescent="0.3">
      <c r="A160" s="8">
        <v>43109.646504629629</v>
      </c>
      <c r="B160" s="20" t="s">
        <v>616</v>
      </c>
      <c r="C160" s="20" t="s">
        <v>715</v>
      </c>
      <c r="D160" s="137">
        <v>3130000</v>
      </c>
      <c r="E160" s="20" t="s">
        <v>843</v>
      </c>
      <c r="F160" s="20" t="s">
        <v>844</v>
      </c>
      <c r="G160" s="8" t="str">
        <f t="shared" si="4"/>
        <v>ZEWDU DEREJE</v>
      </c>
      <c r="H160" s="20" t="str">
        <f t="shared" si="5"/>
        <v>4054</v>
      </c>
    </row>
    <row r="161" spans="1:8" x14ac:dyDescent="0.3">
      <c r="A161" s="8">
        <v>43109.646851851852</v>
      </c>
      <c r="B161" s="20" t="s">
        <v>562</v>
      </c>
      <c r="C161" s="20" t="s">
        <v>860</v>
      </c>
      <c r="D161" s="137">
        <v>2000000</v>
      </c>
      <c r="E161" s="20" t="s">
        <v>393</v>
      </c>
      <c r="F161" s="20" t="s">
        <v>394</v>
      </c>
      <c r="G161" s="8" t="str">
        <f t="shared" si="4"/>
        <v>STAMBAUGH JAMES</v>
      </c>
      <c r="H161" s="20" t="str">
        <f t="shared" si="5"/>
        <v>4021</v>
      </c>
    </row>
    <row r="162" spans="1:8" x14ac:dyDescent="0.3">
      <c r="A162" s="8">
        <v>43109.646921296298</v>
      </c>
      <c r="B162" s="20" t="s">
        <v>555</v>
      </c>
      <c r="C162" s="20" t="s">
        <v>865</v>
      </c>
      <c r="D162" s="137">
        <v>3840000</v>
      </c>
      <c r="E162" s="20" t="s">
        <v>626</v>
      </c>
      <c r="F162" s="20" t="s">
        <v>627</v>
      </c>
      <c r="G162" s="8" t="str">
        <f t="shared" si="4"/>
        <v>LONG FULLER</v>
      </c>
      <c r="H162" s="20" t="str">
        <f t="shared" si="5"/>
        <v>4014</v>
      </c>
    </row>
    <row r="163" spans="1:8" x14ac:dyDescent="0.3">
      <c r="A163" s="8">
        <v>43109.650289351855</v>
      </c>
      <c r="B163" s="20" t="s">
        <v>620</v>
      </c>
      <c r="C163" s="20" t="s">
        <v>717</v>
      </c>
      <c r="D163" s="137">
        <v>3130000</v>
      </c>
      <c r="E163" s="20" t="s">
        <v>843</v>
      </c>
      <c r="F163" s="20" t="s">
        <v>844</v>
      </c>
      <c r="G163" s="8" t="str">
        <f t="shared" si="4"/>
        <v>ZEWDU DEREJE</v>
      </c>
      <c r="H163" s="20" t="str">
        <f t="shared" si="5"/>
        <v>4053</v>
      </c>
    </row>
    <row r="164" spans="1:8" x14ac:dyDescent="0.3">
      <c r="A164" s="8">
        <v>43109.651539351849</v>
      </c>
      <c r="B164" s="20" t="s">
        <v>350</v>
      </c>
      <c r="C164" s="20" t="s">
        <v>866</v>
      </c>
      <c r="D164" s="137">
        <v>1770000</v>
      </c>
      <c r="E164" s="20" t="s">
        <v>835</v>
      </c>
      <c r="F164" s="20" t="s">
        <v>836</v>
      </c>
      <c r="G164" s="8" t="str">
        <f t="shared" si="4"/>
        <v>BRUDER RICHARD</v>
      </c>
      <c r="H164" s="20" t="str">
        <f t="shared" si="5"/>
        <v>4055</v>
      </c>
    </row>
    <row r="165" spans="1:8" x14ac:dyDescent="0.3">
      <c r="A165" s="8">
        <v>43109.653831018521</v>
      </c>
      <c r="B165" s="20" t="s">
        <v>492</v>
      </c>
      <c r="C165" s="20" t="s">
        <v>867</v>
      </c>
      <c r="D165" s="137">
        <v>2040000</v>
      </c>
      <c r="E165" s="20" t="s">
        <v>395</v>
      </c>
      <c r="F165" s="20" t="s">
        <v>396</v>
      </c>
      <c r="G165" s="8" t="str">
        <f t="shared" si="4"/>
        <v>MOSES BRADLEY</v>
      </c>
      <c r="H165" s="20" t="str">
        <f t="shared" si="5"/>
        <v>4034</v>
      </c>
    </row>
    <row r="166" spans="1:8" x14ac:dyDescent="0.3">
      <c r="A166" s="8">
        <v>43109.654675925929</v>
      </c>
      <c r="B166" s="20" t="s">
        <v>383</v>
      </c>
      <c r="C166" s="20" t="s">
        <v>718</v>
      </c>
      <c r="D166" s="137">
        <v>2000000</v>
      </c>
      <c r="E166" s="20" t="s">
        <v>393</v>
      </c>
      <c r="F166" s="20" t="s">
        <v>394</v>
      </c>
      <c r="G166" s="8" t="str">
        <f t="shared" si="4"/>
        <v>STAMBAUGH JAMES</v>
      </c>
      <c r="H166" s="20" t="str">
        <f t="shared" si="5"/>
        <v>4022</v>
      </c>
    </row>
    <row r="167" spans="1:8" x14ac:dyDescent="0.3">
      <c r="A167" s="8">
        <v>43109.661909722221</v>
      </c>
      <c r="B167" s="20" t="s">
        <v>484</v>
      </c>
      <c r="C167" s="20" t="s">
        <v>868</v>
      </c>
      <c r="D167" s="137">
        <v>880000</v>
      </c>
      <c r="E167" s="20" t="s">
        <v>625</v>
      </c>
      <c r="F167" s="20" t="s">
        <v>351</v>
      </c>
      <c r="G167" s="8" t="str">
        <f t="shared" si="4"/>
        <v>STEWART MICHAEL</v>
      </c>
      <c r="H167" s="20" t="str">
        <f t="shared" si="5"/>
        <v>4063</v>
      </c>
    </row>
    <row r="168" spans="1:8" x14ac:dyDescent="0.3">
      <c r="A168" s="8">
        <v>43109.664236111108</v>
      </c>
      <c r="B168" s="20" t="s">
        <v>443</v>
      </c>
      <c r="C168" s="20" t="s">
        <v>869</v>
      </c>
      <c r="D168" s="137">
        <v>1780000</v>
      </c>
      <c r="E168" s="20" t="s">
        <v>812</v>
      </c>
      <c r="F168" s="20" t="s">
        <v>813</v>
      </c>
      <c r="G168" s="8" t="str">
        <f t="shared" si="4"/>
        <v>DE LA ROSA ALEX</v>
      </c>
      <c r="H168" s="20" t="str">
        <f t="shared" si="5"/>
        <v>4050</v>
      </c>
    </row>
    <row r="169" spans="1:8" x14ac:dyDescent="0.3">
      <c r="A169" s="8">
        <v>43109.666747685187</v>
      </c>
      <c r="B169" s="20" t="s">
        <v>562</v>
      </c>
      <c r="C169" s="20" t="s">
        <v>719</v>
      </c>
      <c r="D169" s="137">
        <v>2000000</v>
      </c>
      <c r="E169" s="20" t="s">
        <v>393</v>
      </c>
      <c r="F169" s="20" t="s">
        <v>394</v>
      </c>
      <c r="G169" s="8" t="str">
        <f t="shared" si="4"/>
        <v>STAMBAUGH JAMES</v>
      </c>
      <c r="H169" s="20" t="str">
        <f t="shared" si="5"/>
        <v>4021</v>
      </c>
    </row>
    <row r="170" spans="1:8" x14ac:dyDescent="0.3">
      <c r="A170" s="8">
        <v>43109.670069444444</v>
      </c>
      <c r="B170" s="20" t="s">
        <v>722</v>
      </c>
      <c r="C170" s="20" t="s">
        <v>870</v>
      </c>
      <c r="D170" s="137">
        <v>2970000</v>
      </c>
      <c r="E170" s="20" t="s">
        <v>373</v>
      </c>
      <c r="F170" s="20" t="s">
        <v>374</v>
      </c>
      <c r="G170" s="8" t="str">
        <f t="shared" si="4"/>
        <v>GUZMAN DANNY</v>
      </c>
      <c r="H170" s="20" t="str">
        <f t="shared" si="5"/>
        <v>4040</v>
      </c>
    </row>
    <row r="171" spans="1:8" x14ac:dyDescent="0.3">
      <c r="A171" s="8">
        <v>43109.670798611114</v>
      </c>
      <c r="B171" s="20" t="s">
        <v>469</v>
      </c>
      <c r="C171" s="20" t="s">
        <v>871</v>
      </c>
      <c r="D171" s="137">
        <v>1300000</v>
      </c>
      <c r="E171" s="20" t="s">
        <v>357</v>
      </c>
      <c r="F171" s="20" t="s">
        <v>358</v>
      </c>
      <c r="G171" s="8" t="str">
        <f t="shared" si="4"/>
        <v>LEVIN SCOTT</v>
      </c>
      <c r="H171" s="20" t="str">
        <f t="shared" si="5"/>
        <v>4019</v>
      </c>
    </row>
    <row r="172" spans="1:8" x14ac:dyDescent="0.3">
      <c r="A172" s="8">
        <v>43109.67528935185</v>
      </c>
      <c r="B172" s="20" t="s">
        <v>511</v>
      </c>
      <c r="C172" s="20" t="s">
        <v>872</v>
      </c>
      <c r="D172" s="137">
        <v>2230000</v>
      </c>
      <c r="E172" s="20" t="s">
        <v>392</v>
      </c>
      <c r="F172" s="20" t="s">
        <v>351</v>
      </c>
      <c r="G172" s="8" t="str">
        <f t="shared" si="4"/>
        <v>SMITH MICHAEL</v>
      </c>
      <c r="H172" s="20" t="str">
        <f t="shared" si="5"/>
        <v>4016</v>
      </c>
    </row>
    <row r="173" spans="1:8" x14ac:dyDescent="0.3">
      <c r="A173" s="8">
        <v>43109.68378472222</v>
      </c>
      <c r="B173" s="20" t="s">
        <v>559</v>
      </c>
      <c r="C173" s="20" t="s">
        <v>873</v>
      </c>
      <c r="D173" s="137">
        <v>3840000</v>
      </c>
      <c r="E173" s="20" t="s">
        <v>626</v>
      </c>
      <c r="F173" s="20" t="s">
        <v>627</v>
      </c>
      <c r="G173" s="8" t="str">
        <f t="shared" si="4"/>
        <v>LONG FULLER</v>
      </c>
      <c r="H173" s="20" t="str">
        <f t="shared" si="5"/>
        <v>4013</v>
      </c>
    </row>
    <row r="174" spans="1:8" x14ac:dyDescent="0.3">
      <c r="A174" s="8">
        <v>43109.684560185182</v>
      </c>
      <c r="B174" s="20" t="s">
        <v>703</v>
      </c>
      <c r="C174" s="20" t="s">
        <v>874</v>
      </c>
      <c r="D174" s="137">
        <v>2970000</v>
      </c>
      <c r="E174" s="20" t="s">
        <v>373</v>
      </c>
      <c r="F174" s="20" t="s">
        <v>374</v>
      </c>
      <c r="G174" s="8" t="str">
        <f t="shared" si="4"/>
        <v>GUZMAN DANNY</v>
      </c>
      <c r="H174" s="20" t="str">
        <f t="shared" si="5"/>
        <v>4039</v>
      </c>
    </row>
    <row r="175" spans="1:8" x14ac:dyDescent="0.3">
      <c r="A175" s="8">
        <v>43109.687754629631</v>
      </c>
      <c r="B175" s="20" t="s">
        <v>509</v>
      </c>
      <c r="C175" s="20" t="s">
        <v>875</v>
      </c>
      <c r="D175" s="137">
        <v>1770000</v>
      </c>
      <c r="E175" s="20" t="s">
        <v>835</v>
      </c>
      <c r="F175" s="20" t="s">
        <v>836</v>
      </c>
      <c r="G175" s="8" t="str">
        <f t="shared" si="4"/>
        <v>BRUDER RICHARD</v>
      </c>
      <c r="H175" s="20" t="str">
        <f t="shared" si="5"/>
        <v>4056</v>
      </c>
    </row>
    <row r="176" spans="1:8" x14ac:dyDescent="0.3">
      <c r="A176" s="8">
        <v>43109.691111111111</v>
      </c>
      <c r="B176" s="20" t="s">
        <v>383</v>
      </c>
      <c r="C176" s="20" t="s">
        <v>876</v>
      </c>
      <c r="D176" s="137">
        <v>2000000</v>
      </c>
      <c r="E176" s="20" t="s">
        <v>393</v>
      </c>
      <c r="F176" s="20" t="s">
        <v>394</v>
      </c>
      <c r="G176" s="8" t="str">
        <f t="shared" si="4"/>
        <v>STAMBAUGH JAMES</v>
      </c>
      <c r="H176" s="20" t="str">
        <f t="shared" si="5"/>
        <v>4022</v>
      </c>
    </row>
    <row r="177" spans="1:8" x14ac:dyDescent="0.3">
      <c r="A177" s="8">
        <v>43109.69363425926</v>
      </c>
      <c r="B177" s="20" t="s">
        <v>476</v>
      </c>
      <c r="C177" s="20" t="s">
        <v>877</v>
      </c>
      <c r="D177" s="137">
        <v>2040000</v>
      </c>
      <c r="E177" s="20" t="s">
        <v>395</v>
      </c>
      <c r="F177" s="20" t="s">
        <v>396</v>
      </c>
      <c r="G177" s="8" t="str">
        <f t="shared" si="4"/>
        <v>MOSES BRADLEY</v>
      </c>
      <c r="H177" s="20" t="str">
        <f t="shared" si="5"/>
        <v>4033</v>
      </c>
    </row>
    <row r="178" spans="1:8" x14ac:dyDescent="0.3">
      <c r="A178" s="8">
        <v>43109.69431712963</v>
      </c>
      <c r="B178" s="20" t="s">
        <v>477</v>
      </c>
      <c r="C178" s="20" t="s">
        <v>878</v>
      </c>
      <c r="D178" s="137">
        <v>880000</v>
      </c>
      <c r="E178" s="20" t="s">
        <v>625</v>
      </c>
      <c r="F178" s="20" t="s">
        <v>351</v>
      </c>
      <c r="G178" s="8" t="str">
        <f t="shared" si="4"/>
        <v>STEWART MICHAEL</v>
      </c>
      <c r="H178" s="20" t="str">
        <f t="shared" si="5"/>
        <v>4064</v>
      </c>
    </row>
    <row r="179" spans="1:8" x14ac:dyDescent="0.3">
      <c r="A179" s="8">
        <v>43109.703182870369</v>
      </c>
      <c r="B179" s="20" t="s">
        <v>442</v>
      </c>
      <c r="C179" s="20" t="s">
        <v>879</v>
      </c>
      <c r="D179" s="137">
        <v>1780000</v>
      </c>
      <c r="E179" s="20" t="s">
        <v>812</v>
      </c>
      <c r="F179" s="20" t="s">
        <v>813</v>
      </c>
      <c r="G179" s="8" t="str">
        <f t="shared" si="4"/>
        <v>DE LA ROSA ALEX</v>
      </c>
      <c r="H179" s="20" t="str">
        <f t="shared" si="5"/>
        <v>4049</v>
      </c>
    </row>
    <row r="180" spans="1:8" x14ac:dyDescent="0.3">
      <c r="A180" s="8">
        <v>43109.705520833333</v>
      </c>
      <c r="B180" s="20" t="s">
        <v>470</v>
      </c>
      <c r="C180" s="20" t="s">
        <v>880</v>
      </c>
      <c r="D180" s="137">
        <v>1300000</v>
      </c>
      <c r="E180" s="20" t="s">
        <v>357</v>
      </c>
      <c r="F180" s="20" t="s">
        <v>358</v>
      </c>
      <c r="G180" s="8" t="str">
        <f t="shared" si="4"/>
        <v>LEVIN SCOTT</v>
      </c>
      <c r="H180" s="20" t="str">
        <f t="shared" si="5"/>
        <v>4020</v>
      </c>
    </row>
    <row r="181" spans="1:8" x14ac:dyDescent="0.3">
      <c r="A181" s="8">
        <v>43109.706134259257</v>
      </c>
      <c r="B181" s="20" t="s">
        <v>562</v>
      </c>
      <c r="C181" s="20" t="s">
        <v>720</v>
      </c>
      <c r="D181" s="137">
        <v>2000000</v>
      </c>
      <c r="E181" s="20" t="s">
        <v>393</v>
      </c>
      <c r="F181" s="20" t="s">
        <v>394</v>
      </c>
      <c r="G181" s="8" t="str">
        <f t="shared" si="4"/>
        <v>STAMBAUGH JAMES</v>
      </c>
      <c r="H181" s="20" t="str">
        <f t="shared" si="5"/>
        <v>4021</v>
      </c>
    </row>
    <row r="182" spans="1:8" x14ac:dyDescent="0.3">
      <c r="A182" s="8">
        <v>43109.707002314812</v>
      </c>
      <c r="B182" s="20" t="s">
        <v>722</v>
      </c>
      <c r="C182" s="20" t="s">
        <v>881</v>
      </c>
      <c r="D182" s="137">
        <v>2970000</v>
      </c>
      <c r="E182" s="20" t="s">
        <v>373</v>
      </c>
      <c r="F182" s="20" t="s">
        <v>374</v>
      </c>
      <c r="G182" s="8" t="str">
        <f t="shared" si="4"/>
        <v>GUZMAN DANNY</v>
      </c>
      <c r="H182" s="20" t="str">
        <f t="shared" si="5"/>
        <v>4040</v>
      </c>
    </row>
    <row r="183" spans="1:8" x14ac:dyDescent="0.3">
      <c r="A183" s="8">
        <v>43109.709560185183</v>
      </c>
      <c r="B183" s="20" t="s">
        <v>507</v>
      </c>
      <c r="C183" s="20" t="s">
        <v>882</v>
      </c>
      <c r="D183" s="137">
        <v>2230000</v>
      </c>
      <c r="E183" s="20" t="s">
        <v>392</v>
      </c>
      <c r="F183" s="20" t="s">
        <v>351</v>
      </c>
      <c r="G183" s="8" t="str">
        <f t="shared" si="4"/>
        <v>SMITH MICHAEL</v>
      </c>
      <c r="H183" s="20" t="str">
        <f t="shared" si="5"/>
        <v>4015</v>
      </c>
    </row>
    <row r="184" spans="1:8" x14ac:dyDescent="0.3">
      <c r="A184" s="8">
        <v>43109.719444444447</v>
      </c>
      <c r="B184" s="20" t="s">
        <v>555</v>
      </c>
      <c r="C184" s="20" t="s">
        <v>883</v>
      </c>
      <c r="D184" s="137">
        <v>1180000</v>
      </c>
      <c r="E184" s="20" t="s">
        <v>884</v>
      </c>
      <c r="F184" s="20" t="s">
        <v>885</v>
      </c>
      <c r="G184" s="8" t="str">
        <f t="shared" si="4"/>
        <v>LEVERE CRAIG</v>
      </c>
      <c r="H184" s="20" t="str">
        <f t="shared" si="5"/>
        <v>4014</v>
      </c>
    </row>
    <row r="185" spans="1:8" x14ac:dyDescent="0.3">
      <c r="A185" s="8">
        <v>43109.719687500001</v>
      </c>
      <c r="B185" s="20" t="s">
        <v>445</v>
      </c>
      <c r="C185" s="20" t="s">
        <v>886</v>
      </c>
      <c r="D185" s="137">
        <v>2140000</v>
      </c>
      <c r="E185" s="20" t="s">
        <v>623</v>
      </c>
      <c r="F185" s="20" t="s">
        <v>624</v>
      </c>
      <c r="G185" s="8" t="str">
        <f t="shared" si="4"/>
        <v>ROBINSON KADDIBA</v>
      </c>
      <c r="H185" s="20" t="str">
        <f t="shared" si="5"/>
        <v>4042</v>
      </c>
    </row>
    <row r="186" spans="1:8" x14ac:dyDescent="0.3">
      <c r="A186" s="8">
        <v>43109.724768518521</v>
      </c>
      <c r="B186" s="20" t="s">
        <v>350</v>
      </c>
      <c r="C186" s="20" t="s">
        <v>887</v>
      </c>
      <c r="D186" s="137">
        <v>1770000</v>
      </c>
      <c r="E186" s="20" t="s">
        <v>835</v>
      </c>
      <c r="F186" s="20" t="s">
        <v>836</v>
      </c>
      <c r="G186" s="8" t="str">
        <f t="shared" si="4"/>
        <v>BRUDER RICHARD</v>
      </c>
      <c r="H186" s="20" t="str">
        <f t="shared" si="5"/>
        <v>4055</v>
      </c>
    </row>
    <row r="187" spans="1:8" x14ac:dyDescent="0.3">
      <c r="A187" s="8">
        <v>43109.727303240739</v>
      </c>
      <c r="B187" s="20" t="s">
        <v>492</v>
      </c>
      <c r="C187" s="20" t="s">
        <v>888</v>
      </c>
      <c r="D187" s="137">
        <v>2040000</v>
      </c>
      <c r="E187" s="20" t="s">
        <v>395</v>
      </c>
      <c r="F187" s="20" t="s">
        <v>396</v>
      </c>
      <c r="G187" s="8" t="str">
        <f t="shared" si="4"/>
        <v>MOSES BRADLEY</v>
      </c>
      <c r="H187" s="20" t="str">
        <f t="shared" si="5"/>
        <v>4034</v>
      </c>
    </row>
    <row r="188" spans="1:8" x14ac:dyDescent="0.3">
      <c r="A188" s="8">
        <v>43109.727430555555</v>
      </c>
      <c r="B188" s="20" t="s">
        <v>703</v>
      </c>
      <c r="C188" s="20" t="s">
        <v>889</v>
      </c>
      <c r="D188" s="137">
        <v>2970000</v>
      </c>
      <c r="E188" s="20" t="s">
        <v>373</v>
      </c>
      <c r="F188" s="20" t="s">
        <v>374</v>
      </c>
      <c r="G188" s="8" t="str">
        <f t="shared" si="4"/>
        <v>GUZMAN DANNY</v>
      </c>
      <c r="H188" s="20" t="str">
        <f t="shared" si="5"/>
        <v>4039</v>
      </c>
    </row>
    <row r="189" spans="1:8" x14ac:dyDescent="0.3">
      <c r="A189" s="8">
        <v>43109.727476851855</v>
      </c>
      <c r="B189" s="20" t="s">
        <v>383</v>
      </c>
      <c r="C189" s="20" t="s">
        <v>890</v>
      </c>
      <c r="D189" s="137">
        <v>2000000</v>
      </c>
      <c r="E189" s="20" t="s">
        <v>393</v>
      </c>
      <c r="F189" s="20" t="s">
        <v>394</v>
      </c>
      <c r="G189" s="8" t="str">
        <f t="shared" si="4"/>
        <v>STAMBAUGH JAMES</v>
      </c>
      <c r="H189" s="20" t="str">
        <f t="shared" si="5"/>
        <v>4022</v>
      </c>
    </row>
    <row r="190" spans="1:8" x14ac:dyDescent="0.3">
      <c r="A190" s="8">
        <v>43109.733854166669</v>
      </c>
      <c r="B190" s="20" t="s">
        <v>484</v>
      </c>
      <c r="C190" s="20" t="s">
        <v>891</v>
      </c>
      <c r="D190" s="137">
        <v>880000</v>
      </c>
      <c r="E190" s="20" t="s">
        <v>625</v>
      </c>
      <c r="F190" s="20" t="s">
        <v>351</v>
      </c>
      <c r="G190" s="8" t="str">
        <f t="shared" si="4"/>
        <v>STEWART MICHAEL</v>
      </c>
      <c r="H190" s="20" t="str">
        <f t="shared" si="5"/>
        <v>4063</v>
      </c>
    </row>
    <row r="191" spans="1:8" x14ac:dyDescent="0.3">
      <c r="A191" s="8">
        <v>43109.735231481478</v>
      </c>
      <c r="B191" s="20" t="s">
        <v>462</v>
      </c>
      <c r="C191" s="20" t="s">
        <v>711</v>
      </c>
      <c r="D191" s="137">
        <v>3810000</v>
      </c>
      <c r="E191" s="20" t="s">
        <v>628</v>
      </c>
      <c r="F191" s="20" t="s">
        <v>629</v>
      </c>
      <c r="G191" s="8" t="str">
        <f t="shared" si="4"/>
        <v>LORI SANTOS</v>
      </c>
      <c r="H191" s="20" t="str">
        <f t="shared" si="5"/>
        <v>4009</v>
      </c>
    </row>
    <row r="192" spans="1:8" x14ac:dyDescent="0.3">
      <c r="A192" s="8">
        <v>43109.738078703704</v>
      </c>
      <c r="B192" s="20" t="s">
        <v>443</v>
      </c>
      <c r="C192" s="20" t="s">
        <v>892</v>
      </c>
      <c r="D192" s="137">
        <v>890000</v>
      </c>
      <c r="E192" s="20" t="s">
        <v>343</v>
      </c>
      <c r="F192" s="20" t="s">
        <v>344</v>
      </c>
      <c r="G192" s="8" t="str">
        <f t="shared" si="4"/>
        <v>LOZA FIDEL</v>
      </c>
      <c r="H192" s="20" t="str">
        <f t="shared" si="5"/>
        <v>4050</v>
      </c>
    </row>
    <row r="193" spans="1:8" x14ac:dyDescent="0.3">
      <c r="A193" s="8">
        <v>43109.739502314813</v>
      </c>
      <c r="B193" s="20" t="s">
        <v>469</v>
      </c>
      <c r="C193" s="20" t="s">
        <v>893</v>
      </c>
      <c r="D193" s="137">
        <v>1300000</v>
      </c>
      <c r="E193" s="20" t="s">
        <v>357</v>
      </c>
      <c r="F193" s="20" t="s">
        <v>358</v>
      </c>
      <c r="G193" s="8" t="str">
        <f t="shared" si="4"/>
        <v>LEVIN SCOTT</v>
      </c>
      <c r="H193" s="20" t="str">
        <f t="shared" si="5"/>
        <v>4019</v>
      </c>
    </row>
    <row r="194" spans="1:8" x14ac:dyDescent="0.3">
      <c r="A194" s="8">
        <v>43109.746944444443</v>
      </c>
      <c r="B194" s="20" t="s">
        <v>511</v>
      </c>
      <c r="C194" s="20" t="s">
        <v>894</v>
      </c>
      <c r="D194" s="137">
        <v>2230000</v>
      </c>
      <c r="E194" s="20" t="s">
        <v>392</v>
      </c>
      <c r="F194" s="20" t="s">
        <v>351</v>
      </c>
      <c r="G194" s="8" t="str">
        <f t="shared" si="4"/>
        <v>SMITH MICHAEL</v>
      </c>
      <c r="H194" s="20" t="str">
        <f t="shared" si="5"/>
        <v>4016</v>
      </c>
    </row>
    <row r="195" spans="1:8" x14ac:dyDescent="0.3">
      <c r="A195" s="8">
        <v>43109.747152777774</v>
      </c>
      <c r="B195" s="20" t="s">
        <v>562</v>
      </c>
      <c r="C195" s="20" t="s">
        <v>895</v>
      </c>
      <c r="D195" s="137">
        <v>2000000</v>
      </c>
      <c r="E195" s="20" t="s">
        <v>393</v>
      </c>
      <c r="F195" s="20" t="s">
        <v>394</v>
      </c>
      <c r="G195" s="8" t="str">
        <f t="shared" ref="G195:G258" si="6">E195&amp;" "&amp;F195</f>
        <v>STAMBAUGH JAMES</v>
      </c>
      <c r="H195" s="20" t="str">
        <f t="shared" ref="H195:H258" si="7">MID(B195,13,4)</f>
        <v>4021</v>
      </c>
    </row>
    <row r="196" spans="1:8" x14ac:dyDescent="0.3">
      <c r="A196" s="8">
        <v>43109.75341435185</v>
      </c>
      <c r="B196" s="20" t="s">
        <v>722</v>
      </c>
      <c r="C196" s="20" t="s">
        <v>896</v>
      </c>
      <c r="D196" s="137">
        <v>2970000</v>
      </c>
      <c r="E196" s="20" t="s">
        <v>373</v>
      </c>
      <c r="F196" s="20" t="s">
        <v>374</v>
      </c>
      <c r="G196" s="8" t="str">
        <f t="shared" si="6"/>
        <v>GUZMAN DANNY</v>
      </c>
      <c r="H196" s="20" t="str">
        <f t="shared" si="7"/>
        <v>4040</v>
      </c>
    </row>
    <row r="197" spans="1:8" x14ac:dyDescent="0.3">
      <c r="A197" s="8">
        <v>43109.753599537034</v>
      </c>
      <c r="B197" s="20" t="s">
        <v>559</v>
      </c>
      <c r="C197" s="20" t="s">
        <v>897</v>
      </c>
      <c r="D197" s="137">
        <v>1180000</v>
      </c>
      <c r="E197" s="20" t="s">
        <v>884</v>
      </c>
      <c r="F197" s="20" t="s">
        <v>885</v>
      </c>
      <c r="G197" s="8" t="str">
        <f t="shared" si="6"/>
        <v>LEVERE CRAIG</v>
      </c>
      <c r="H197" s="20" t="str">
        <f t="shared" si="7"/>
        <v>4013</v>
      </c>
    </row>
    <row r="198" spans="1:8" x14ac:dyDescent="0.3">
      <c r="A198" s="8">
        <v>43109.760081018518</v>
      </c>
      <c r="B198" s="20" t="s">
        <v>441</v>
      </c>
      <c r="C198" s="20" t="s">
        <v>721</v>
      </c>
      <c r="D198" s="137">
        <v>3490000</v>
      </c>
      <c r="E198" s="20" t="s">
        <v>512</v>
      </c>
      <c r="F198" s="20" t="s">
        <v>513</v>
      </c>
      <c r="G198" s="8" t="str">
        <f t="shared" si="6"/>
        <v>WEST BRYAN</v>
      </c>
      <c r="H198" s="20" t="str">
        <f t="shared" si="7"/>
        <v>4010</v>
      </c>
    </row>
    <row r="199" spans="1:8" x14ac:dyDescent="0.3">
      <c r="A199" s="8">
        <v>43109.763819444444</v>
      </c>
      <c r="B199" s="20" t="s">
        <v>476</v>
      </c>
      <c r="C199" s="20" t="s">
        <v>898</v>
      </c>
      <c r="D199" s="137">
        <v>2040000</v>
      </c>
      <c r="E199" s="20" t="s">
        <v>395</v>
      </c>
      <c r="F199" s="20" t="s">
        <v>396</v>
      </c>
      <c r="G199" s="8" t="str">
        <f t="shared" si="6"/>
        <v>MOSES BRADLEY</v>
      </c>
      <c r="H199" s="20" t="str">
        <f t="shared" si="7"/>
        <v>4033</v>
      </c>
    </row>
    <row r="200" spans="1:8" x14ac:dyDescent="0.3">
      <c r="A200" s="8">
        <v>43109.768090277779</v>
      </c>
      <c r="B200" s="20" t="s">
        <v>703</v>
      </c>
      <c r="C200" s="20" t="s">
        <v>899</v>
      </c>
      <c r="D200" s="137">
        <v>2970000</v>
      </c>
      <c r="E200" s="20" t="s">
        <v>373</v>
      </c>
      <c r="F200" s="20" t="s">
        <v>374</v>
      </c>
      <c r="G200" s="8" t="str">
        <f t="shared" si="6"/>
        <v>GUZMAN DANNY</v>
      </c>
      <c r="H200" s="20" t="str">
        <f t="shared" si="7"/>
        <v>4039</v>
      </c>
    </row>
    <row r="201" spans="1:8" x14ac:dyDescent="0.3">
      <c r="A201" s="8">
        <v>43109.768425925926</v>
      </c>
      <c r="B201" s="20" t="s">
        <v>383</v>
      </c>
      <c r="C201" s="20" t="s">
        <v>900</v>
      </c>
      <c r="D201" s="137">
        <v>2000000</v>
      </c>
      <c r="E201" s="20" t="s">
        <v>393</v>
      </c>
      <c r="F201" s="20" t="s">
        <v>394</v>
      </c>
      <c r="G201" s="8" t="str">
        <f t="shared" si="6"/>
        <v>STAMBAUGH JAMES</v>
      </c>
      <c r="H201" s="20" t="str">
        <f t="shared" si="7"/>
        <v>4022</v>
      </c>
    </row>
    <row r="202" spans="1:8" x14ac:dyDescent="0.3">
      <c r="A202" s="26">
        <v>43109.770428240743</v>
      </c>
      <c r="B202" s="20" t="s">
        <v>509</v>
      </c>
      <c r="C202" s="20" t="s">
        <v>901</v>
      </c>
      <c r="D202" s="137">
        <v>3310000</v>
      </c>
      <c r="E202" s="20" t="s">
        <v>460</v>
      </c>
      <c r="F202" s="20" t="s">
        <v>461</v>
      </c>
      <c r="G202" s="8" t="str">
        <f t="shared" si="6"/>
        <v>ANDERS STEVEN</v>
      </c>
      <c r="H202" s="20" t="str">
        <f t="shared" si="7"/>
        <v>4056</v>
      </c>
    </row>
    <row r="203" spans="1:8" x14ac:dyDescent="0.3">
      <c r="A203" s="8">
        <v>43109.776469907411</v>
      </c>
      <c r="B203" s="20" t="s">
        <v>442</v>
      </c>
      <c r="C203" s="20" t="s">
        <v>902</v>
      </c>
      <c r="D203" s="137">
        <v>890000</v>
      </c>
      <c r="E203" s="20" t="s">
        <v>343</v>
      </c>
      <c r="F203" s="20" t="s">
        <v>344</v>
      </c>
      <c r="G203" s="8" t="str">
        <f t="shared" si="6"/>
        <v>LOZA FIDEL</v>
      </c>
      <c r="H203" s="20" t="str">
        <f t="shared" si="7"/>
        <v>4049</v>
      </c>
    </row>
    <row r="204" spans="1:8" x14ac:dyDescent="0.3">
      <c r="A204" s="8">
        <v>43109.780266203707</v>
      </c>
      <c r="B204" s="20" t="s">
        <v>470</v>
      </c>
      <c r="C204" s="20" t="s">
        <v>903</v>
      </c>
      <c r="D204" s="137">
        <v>1300000</v>
      </c>
      <c r="E204" s="20" t="s">
        <v>357</v>
      </c>
      <c r="F204" s="20" t="s">
        <v>358</v>
      </c>
      <c r="G204" s="8" t="str">
        <f t="shared" si="6"/>
        <v>LEVIN SCOTT</v>
      </c>
      <c r="H204" s="20" t="str">
        <f t="shared" si="7"/>
        <v>4020</v>
      </c>
    </row>
    <row r="205" spans="1:8" x14ac:dyDescent="0.3">
      <c r="A205" s="8">
        <v>43109.783865740741</v>
      </c>
      <c r="B205" s="20" t="s">
        <v>507</v>
      </c>
      <c r="C205" s="20" t="s">
        <v>904</v>
      </c>
      <c r="D205" s="137">
        <v>2230000</v>
      </c>
      <c r="E205" s="20" t="s">
        <v>392</v>
      </c>
      <c r="F205" s="20" t="s">
        <v>351</v>
      </c>
      <c r="G205" s="8" t="str">
        <f t="shared" si="6"/>
        <v>SMITH MICHAEL</v>
      </c>
      <c r="H205" s="20" t="str">
        <f t="shared" si="7"/>
        <v>4015</v>
      </c>
    </row>
    <row r="206" spans="1:8" x14ac:dyDescent="0.3">
      <c r="A206" s="8">
        <v>43109.788842592592</v>
      </c>
      <c r="B206" s="20" t="s">
        <v>562</v>
      </c>
      <c r="C206" s="20" t="s">
        <v>905</v>
      </c>
      <c r="D206" s="137">
        <v>2000000</v>
      </c>
      <c r="E206" s="20" t="s">
        <v>393</v>
      </c>
      <c r="F206" s="20" t="s">
        <v>394</v>
      </c>
      <c r="G206" s="8" t="str">
        <f t="shared" si="6"/>
        <v>STAMBAUGH JAMES</v>
      </c>
      <c r="H206" s="20" t="str">
        <f t="shared" si="7"/>
        <v>4021</v>
      </c>
    </row>
    <row r="207" spans="1:8" x14ac:dyDescent="0.3">
      <c r="A207" s="8">
        <v>43109.789537037039</v>
      </c>
      <c r="B207" s="20" t="s">
        <v>555</v>
      </c>
      <c r="C207" s="20" t="s">
        <v>906</v>
      </c>
      <c r="D207" s="137">
        <v>3220000</v>
      </c>
      <c r="E207" s="20" t="s">
        <v>377</v>
      </c>
      <c r="F207" s="20" t="s">
        <v>378</v>
      </c>
      <c r="G207" s="8" t="str">
        <f t="shared" si="6"/>
        <v>RESPASS AARON</v>
      </c>
      <c r="H207" s="20" t="str">
        <f t="shared" si="7"/>
        <v>4014</v>
      </c>
    </row>
    <row r="208" spans="1:8" x14ac:dyDescent="0.3">
      <c r="A208" s="8">
        <v>43109.792129629626</v>
      </c>
      <c r="B208" s="20" t="s">
        <v>462</v>
      </c>
      <c r="C208" s="20" t="s">
        <v>907</v>
      </c>
      <c r="D208" s="137">
        <v>3490000</v>
      </c>
      <c r="E208" s="20" t="s">
        <v>512</v>
      </c>
      <c r="F208" s="20" t="s">
        <v>513</v>
      </c>
      <c r="G208" s="8" t="str">
        <f t="shared" si="6"/>
        <v>WEST BRYAN</v>
      </c>
      <c r="H208" s="20" t="str">
        <f t="shared" si="7"/>
        <v>4009</v>
      </c>
    </row>
    <row r="209" spans="1:8" x14ac:dyDescent="0.3">
      <c r="A209" s="8">
        <v>43109.795856481483</v>
      </c>
      <c r="B209" s="20" t="s">
        <v>722</v>
      </c>
      <c r="C209" s="20" t="s">
        <v>723</v>
      </c>
      <c r="D209" s="137">
        <v>2970000</v>
      </c>
      <c r="E209" s="20" t="s">
        <v>373</v>
      </c>
      <c r="F209" s="20" t="s">
        <v>374</v>
      </c>
      <c r="G209" s="8" t="str">
        <f t="shared" si="6"/>
        <v>GUZMAN DANNY</v>
      </c>
      <c r="H209" s="20" t="str">
        <f t="shared" si="7"/>
        <v>4040</v>
      </c>
    </row>
    <row r="210" spans="1:8" x14ac:dyDescent="0.3">
      <c r="A210" s="8">
        <v>43109.800833333335</v>
      </c>
      <c r="B210" s="20" t="s">
        <v>492</v>
      </c>
      <c r="C210" s="20" t="s">
        <v>908</v>
      </c>
      <c r="D210" s="137">
        <v>2040000</v>
      </c>
      <c r="E210" s="20" t="s">
        <v>395</v>
      </c>
      <c r="F210" s="20" t="s">
        <v>396</v>
      </c>
      <c r="G210" s="8" t="str">
        <f t="shared" si="6"/>
        <v>MOSES BRADLEY</v>
      </c>
      <c r="H210" s="20" t="str">
        <f t="shared" si="7"/>
        <v>4034</v>
      </c>
    </row>
    <row r="211" spans="1:8" x14ac:dyDescent="0.3">
      <c r="A211" s="8">
        <v>43109.809363425928</v>
      </c>
      <c r="B211" s="20" t="s">
        <v>350</v>
      </c>
      <c r="C211" s="20" t="s">
        <v>909</v>
      </c>
      <c r="D211" s="137">
        <v>3310000</v>
      </c>
      <c r="E211" s="20" t="s">
        <v>460</v>
      </c>
      <c r="F211" s="20" t="s">
        <v>461</v>
      </c>
      <c r="G211" s="8" t="str">
        <f t="shared" si="6"/>
        <v>ANDERS STEVEN</v>
      </c>
      <c r="H211" s="20" t="str">
        <f t="shared" si="7"/>
        <v>4055</v>
      </c>
    </row>
    <row r="212" spans="1:8" x14ac:dyDescent="0.3">
      <c r="A212" s="8">
        <v>43109.810497685183</v>
      </c>
      <c r="B212" s="20" t="s">
        <v>703</v>
      </c>
      <c r="C212" s="20" t="s">
        <v>725</v>
      </c>
      <c r="D212" s="137">
        <v>2970000</v>
      </c>
      <c r="E212" s="20" t="s">
        <v>373</v>
      </c>
      <c r="F212" s="20" t="s">
        <v>374</v>
      </c>
      <c r="G212" s="8" t="str">
        <f t="shared" si="6"/>
        <v>GUZMAN DANNY</v>
      </c>
      <c r="H212" s="20" t="str">
        <f t="shared" si="7"/>
        <v>4039</v>
      </c>
    </row>
    <row r="213" spans="1:8" x14ac:dyDescent="0.3">
      <c r="A213" s="8">
        <v>43109.811863425923</v>
      </c>
      <c r="B213" s="20" t="s">
        <v>443</v>
      </c>
      <c r="C213" s="20" t="s">
        <v>724</v>
      </c>
      <c r="D213" s="137">
        <v>3810000</v>
      </c>
      <c r="E213" s="20" t="s">
        <v>628</v>
      </c>
      <c r="F213" s="20" t="s">
        <v>629</v>
      </c>
      <c r="G213" s="8" t="str">
        <f t="shared" si="6"/>
        <v>LORI SANTOS</v>
      </c>
      <c r="H213" s="20" t="str">
        <f t="shared" si="7"/>
        <v>4050</v>
      </c>
    </row>
    <row r="214" spans="1:8" x14ac:dyDescent="0.3">
      <c r="A214" s="8">
        <v>43109.821469907409</v>
      </c>
      <c r="B214" s="20" t="s">
        <v>511</v>
      </c>
      <c r="C214" s="20" t="s">
        <v>910</v>
      </c>
      <c r="D214" s="137">
        <v>2230000</v>
      </c>
      <c r="E214" s="20" t="s">
        <v>392</v>
      </c>
      <c r="F214" s="20" t="s">
        <v>351</v>
      </c>
      <c r="G214" s="8" t="str">
        <f t="shared" si="6"/>
        <v>SMITH MICHAEL</v>
      </c>
      <c r="H214" s="20" t="str">
        <f t="shared" si="7"/>
        <v>4016</v>
      </c>
    </row>
    <row r="215" spans="1:8" x14ac:dyDescent="0.3">
      <c r="A215" s="8">
        <v>43109.827835648146</v>
      </c>
      <c r="B215" s="20" t="s">
        <v>559</v>
      </c>
      <c r="C215" s="20" t="s">
        <v>726</v>
      </c>
      <c r="D215" s="137">
        <v>3220000</v>
      </c>
      <c r="E215" s="20" t="s">
        <v>377</v>
      </c>
      <c r="F215" s="20" t="s">
        <v>378</v>
      </c>
      <c r="G215" s="8" t="str">
        <f t="shared" si="6"/>
        <v>RESPASS AARON</v>
      </c>
      <c r="H215" s="20" t="str">
        <f t="shared" si="7"/>
        <v>4013</v>
      </c>
    </row>
    <row r="216" spans="1:8" x14ac:dyDescent="0.3">
      <c r="A216" s="8">
        <v>43109.829884259256</v>
      </c>
      <c r="B216" s="20" t="s">
        <v>441</v>
      </c>
      <c r="C216" s="20" t="s">
        <v>911</v>
      </c>
      <c r="D216" s="137">
        <v>3490000</v>
      </c>
      <c r="E216" s="20" t="s">
        <v>512</v>
      </c>
      <c r="F216" s="20" t="s">
        <v>513</v>
      </c>
      <c r="G216" s="8" t="str">
        <f t="shared" si="6"/>
        <v>WEST BRYAN</v>
      </c>
      <c r="H216" s="20" t="str">
        <f t="shared" si="7"/>
        <v>4010</v>
      </c>
    </row>
    <row r="217" spans="1:8" x14ac:dyDescent="0.3">
      <c r="A217" s="8">
        <v>43109.83666666667</v>
      </c>
      <c r="B217" s="20" t="s">
        <v>722</v>
      </c>
      <c r="C217" s="20" t="s">
        <v>912</v>
      </c>
      <c r="D217" s="137">
        <v>2970000</v>
      </c>
      <c r="E217" s="20" t="s">
        <v>373</v>
      </c>
      <c r="F217" s="20" t="s">
        <v>374</v>
      </c>
      <c r="G217" s="8" t="str">
        <f t="shared" si="6"/>
        <v>GUZMAN DANNY</v>
      </c>
      <c r="H217" s="20" t="str">
        <f t="shared" si="7"/>
        <v>4040</v>
      </c>
    </row>
    <row r="218" spans="1:8" x14ac:dyDescent="0.3">
      <c r="A218" s="8">
        <v>43109.842002314814</v>
      </c>
      <c r="B218" s="20" t="s">
        <v>509</v>
      </c>
      <c r="C218" s="20" t="s">
        <v>913</v>
      </c>
      <c r="D218" s="137">
        <v>3310000</v>
      </c>
      <c r="E218" s="20" t="s">
        <v>460</v>
      </c>
      <c r="F218" s="20" t="s">
        <v>461</v>
      </c>
      <c r="G218" s="8" t="str">
        <f t="shared" si="6"/>
        <v>ANDERS STEVEN</v>
      </c>
      <c r="H218" s="20" t="str">
        <f t="shared" si="7"/>
        <v>4056</v>
      </c>
    </row>
    <row r="219" spans="1:8" x14ac:dyDescent="0.3">
      <c r="A219" s="8">
        <v>43109.84920138889</v>
      </c>
      <c r="B219" s="20" t="s">
        <v>442</v>
      </c>
      <c r="C219" s="20" t="s">
        <v>914</v>
      </c>
      <c r="D219" s="137">
        <v>3810000</v>
      </c>
      <c r="E219" s="20" t="s">
        <v>628</v>
      </c>
      <c r="F219" s="20" t="s">
        <v>629</v>
      </c>
      <c r="G219" s="8" t="str">
        <f t="shared" si="6"/>
        <v>LORI SANTOS</v>
      </c>
      <c r="H219" s="20" t="str">
        <f t="shared" si="7"/>
        <v>4049</v>
      </c>
    </row>
    <row r="220" spans="1:8" x14ac:dyDescent="0.3">
      <c r="A220" s="8">
        <v>43109.85087962963</v>
      </c>
      <c r="B220" s="20" t="s">
        <v>703</v>
      </c>
      <c r="C220" s="20" t="s">
        <v>915</v>
      </c>
      <c r="D220" s="137">
        <v>2970000</v>
      </c>
      <c r="E220" s="20" t="s">
        <v>373</v>
      </c>
      <c r="F220" s="20" t="s">
        <v>374</v>
      </c>
      <c r="G220" s="8" t="str">
        <f t="shared" si="6"/>
        <v>GUZMAN DANNY</v>
      </c>
      <c r="H220" s="20" t="str">
        <f t="shared" si="7"/>
        <v>4039</v>
      </c>
    </row>
    <row r="221" spans="1:8" x14ac:dyDescent="0.3">
      <c r="A221" s="8">
        <v>43109.860196759262</v>
      </c>
      <c r="B221" s="20" t="s">
        <v>462</v>
      </c>
      <c r="C221" s="20" t="s">
        <v>911</v>
      </c>
      <c r="D221" s="137">
        <v>3490000</v>
      </c>
      <c r="E221" s="20" t="s">
        <v>512</v>
      </c>
      <c r="F221" s="20" t="s">
        <v>513</v>
      </c>
      <c r="G221" s="8" t="str">
        <f t="shared" si="6"/>
        <v>WEST BRYAN</v>
      </c>
      <c r="H221" s="20" t="str">
        <f t="shared" si="7"/>
        <v>4009</v>
      </c>
    </row>
    <row r="222" spans="1:8" x14ac:dyDescent="0.3">
      <c r="A222" s="8">
        <v>43109.861157407409</v>
      </c>
      <c r="B222" s="20" t="s">
        <v>462</v>
      </c>
      <c r="C222" s="20" t="s">
        <v>916</v>
      </c>
      <c r="D222" s="137">
        <v>3490000</v>
      </c>
      <c r="E222" s="20" t="s">
        <v>512</v>
      </c>
      <c r="F222" s="20" t="s">
        <v>513</v>
      </c>
      <c r="G222" s="8" t="str">
        <f t="shared" si="6"/>
        <v>WEST BRYAN</v>
      </c>
      <c r="H222" s="20" t="str">
        <f t="shared" si="7"/>
        <v>4009</v>
      </c>
    </row>
    <row r="223" spans="1:8" x14ac:dyDescent="0.3">
      <c r="A223" s="8">
        <v>43109.871886574074</v>
      </c>
      <c r="B223" s="20" t="s">
        <v>555</v>
      </c>
      <c r="C223" s="20" t="s">
        <v>917</v>
      </c>
      <c r="D223" s="137">
        <v>3220000</v>
      </c>
      <c r="E223" s="20" t="s">
        <v>377</v>
      </c>
      <c r="F223" s="20" t="s">
        <v>378</v>
      </c>
      <c r="G223" s="8" t="str">
        <f t="shared" si="6"/>
        <v>RESPASS AARON</v>
      </c>
      <c r="H223" s="20" t="str">
        <f t="shared" si="7"/>
        <v>4014</v>
      </c>
    </row>
    <row r="224" spans="1:8" x14ac:dyDescent="0.3">
      <c r="A224" s="8">
        <v>43109.874398148146</v>
      </c>
      <c r="B224" t="s">
        <v>722</v>
      </c>
      <c r="C224" t="s">
        <v>918</v>
      </c>
      <c r="D224" s="137">
        <v>2000000</v>
      </c>
      <c r="E224" t="s">
        <v>393</v>
      </c>
      <c r="F224" s="20" t="s">
        <v>394</v>
      </c>
      <c r="G224" s="8" t="str">
        <f t="shared" si="6"/>
        <v>STAMBAUGH JAMES</v>
      </c>
      <c r="H224" s="20" t="str">
        <f t="shared" si="7"/>
        <v>4040</v>
      </c>
    </row>
    <row r="225" spans="1:8" x14ac:dyDescent="0.3">
      <c r="A225" s="8">
        <v>43109.885474537034</v>
      </c>
      <c r="B225" t="s">
        <v>443</v>
      </c>
      <c r="C225" t="s">
        <v>919</v>
      </c>
      <c r="D225" s="137">
        <v>890000</v>
      </c>
      <c r="E225" t="s">
        <v>343</v>
      </c>
      <c r="F225" s="20" t="s">
        <v>344</v>
      </c>
      <c r="G225" s="8" t="str">
        <f t="shared" si="6"/>
        <v>LOZA FIDEL</v>
      </c>
      <c r="H225" s="20" t="str">
        <f t="shared" si="7"/>
        <v>4050</v>
      </c>
    </row>
    <row r="226" spans="1:8" x14ac:dyDescent="0.3">
      <c r="A226" s="8">
        <v>43109.892199074071</v>
      </c>
      <c r="B226" t="s">
        <v>703</v>
      </c>
      <c r="C226" t="s">
        <v>920</v>
      </c>
      <c r="D226" s="137">
        <v>2000000</v>
      </c>
      <c r="E226" t="s">
        <v>393</v>
      </c>
      <c r="F226" s="20" t="s">
        <v>394</v>
      </c>
      <c r="G226" s="8" t="str">
        <f t="shared" si="6"/>
        <v>STAMBAUGH JAMES</v>
      </c>
      <c r="H226" s="20" t="str">
        <f t="shared" si="7"/>
        <v>4039</v>
      </c>
    </row>
    <row r="227" spans="1:8" x14ac:dyDescent="0.3">
      <c r="A227" s="8">
        <v>43109.893958333334</v>
      </c>
      <c r="B227" t="s">
        <v>350</v>
      </c>
      <c r="C227" t="s">
        <v>921</v>
      </c>
      <c r="D227" s="137">
        <v>3310000</v>
      </c>
      <c r="E227" t="s">
        <v>460</v>
      </c>
      <c r="F227" s="20" t="s">
        <v>461</v>
      </c>
      <c r="G227" s="8" t="str">
        <f t="shared" si="6"/>
        <v>ANDERS STEVEN</v>
      </c>
      <c r="H227" s="20" t="str">
        <f t="shared" si="7"/>
        <v>4055</v>
      </c>
    </row>
    <row r="228" spans="1:8" x14ac:dyDescent="0.3">
      <c r="A228" s="8">
        <v>43109.903391203705</v>
      </c>
      <c r="B228" t="s">
        <v>441</v>
      </c>
      <c r="C228" t="s">
        <v>916</v>
      </c>
      <c r="D228" s="137">
        <v>3490000</v>
      </c>
      <c r="E228" t="s">
        <v>512</v>
      </c>
      <c r="F228" s="20" t="s">
        <v>513</v>
      </c>
      <c r="G228" s="8" t="str">
        <f t="shared" si="6"/>
        <v>WEST BRYAN</v>
      </c>
      <c r="H228" s="20" t="str">
        <f t="shared" si="7"/>
        <v>4010</v>
      </c>
    </row>
    <row r="229" spans="1:8" x14ac:dyDescent="0.3">
      <c r="A229" s="8">
        <v>43109.903935185182</v>
      </c>
      <c r="B229" t="s">
        <v>441</v>
      </c>
      <c r="C229" t="s">
        <v>922</v>
      </c>
      <c r="D229" s="137">
        <v>3490000</v>
      </c>
      <c r="E229" t="s">
        <v>512</v>
      </c>
      <c r="F229" s="20" t="s">
        <v>513</v>
      </c>
      <c r="G229" s="8" t="str">
        <f t="shared" si="6"/>
        <v>WEST BRYAN</v>
      </c>
      <c r="H229" s="20" t="str">
        <f t="shared" si="7"/>
        <v>4010</v>
      </c>
    </row>
    <row r="230" spans="1:8" x14ac:dyDescent="0.3">
      <c r="A230" s="8">
        <v>43109.90587962963</v>
      </c>
      <c r="B230" t="s">
        <v>559</v>
      </c>
      <c r="C230" t="s">
        <v>923</v>
      </c>
      <c r="D230" s="137">
        <v>3220000</v>
      </c>
      <c r="E230" t="s">
        <v>377</v>
      </c>
      <c r="F230" s="20" t="s">
        <v>378</v>
      </c>
      <c r="G230" s="8" t="str">
        <f t="shared" si="6"/>
        <v>RESPASS AARON</v>
      </c>
      <c r="H230" s="20" t="str">
        <f t="shared" si="7"/>
        <v>4013</v>
      </c>
    </row>
    <row r="231" spans="1:8" x14ac:dyDescent="0.3">
      <c r="A231" s="8">
        <v>43109.917766203704</v>
      </c>
      <c r="B231" t="s">
        <v>722</v>
      </c>
      <c r="C231" t="s">
        <v>924</v>
      </c>
      <c r="D231" s="137">
        <v>2000000</v>
      </c>
      <c r="E231" t="s">
        <v>393</v>
      </c>
      <c r="F231" s="20" t="s">
        <v>394</v>
      </c>
      <c r="G231" s="8" t="str">
        <f t="shared" si="6"/>
        <v>STAMBAUGH JAMES</v>
      </c>
      <c r="H231" s="20" t="str">
        <f t="shared" si="7"/>
        <v>4040</v>
      </c>
    </row>
    <row r="232" spans="1:8" x14ac:dyDescent="0.3">
      <c r="A232" s="8">
        <v>43109.931458333333</v>
      </c>
      <c r="B232" t="s">
        <v>442</v>
      </c>
      <c r="C232" t="s">
        <v>925</v>
      </c>
      <c r="D232" s="137">
        <v>890000</v>
      </c>
      <c r="E232" t="s">
        <v>343</v>
      </c>
      <c r="F232" s="20" t="s">
        <v>344</v>
      </c>
      <c r="G232" s="8" t="str">
        <f t="shared" si="6"/>
        <v>LOZA FIDEL</v>
      </c>
      <c r="H232" s="20" t="str">
        <f t="shared" si="7"/>
        <v>4049</v>
      </c>
    </row>
    <row r="233" spans="1:8" x14ac:dyDescent="0.3">
      <c r="A233" s="8">
        <v>43109.934432870374</v>
      </c>
      <c r="B233" t="s">
        <v>703</v>
      </c>
      <c r="C233" t="s">
        <v>926</v>
      </c>
      <c r="D233" s="137">
        <v>2000000</v>
      </c>
      <c r="E233" t="s">
        <v>393</v>
      </c>
      <c r="F233" s="20" t="s">
        <v>394</v>
      </c>
      <c r="G233" s="8" t="str">
        <f t="shared" si="6"/>
        <v>STAMBAUGH JAMES</v>
      </c>
      <c r="H233" s="20" t="str">
        <f t="shared" si="7"/>
        <v>4039</v>
      </c>
    </row>
    <row r="234" spans="1:8" x14ac:dyDescent="0.3">
      <c r="A234" s="8">
        <v>43109.936678240738</v>
      </c>
      <c r="B234" t="s">
        <v>509</v>
      </c>
      <c r="C234" t="s">
        <v>727</v>
      </c>
      <c r="D234" s="137">
        <v>3310000</v>
      </c>
      <c r="E234" t="s">
        <v>460</v>
      </c>
      <c r="F234" s="20" t="s">
        <v>461</v>
      </c>
      <c r="G234" s="8" t="str">
        <f t="shared" si="6"/>
        <v>ANDERS STEVEN</v>
      </c>
      <c r="H234" s="20" t="str">
        <f t="shared" si="7"/>
        <v>4056</v>
      </c>
    </row>
    <row r="235" spans="1:8" x14ac:dyDescent="0.3">
      <c r="A235" s="8">
        <v>43109.944236111114</v>
      </c>
      <c r="B235" t="s">
        <v>462</v>
      </c>
      <c r="C235" t="s">
        <v>728</v>
      </c>
      <c r="D235" s="137">
        <v>3490000</v>
      </c>
      <c r="E235" t="s">
        <v>512</v>
      </c>
      <c r="F235" s="20" t="s">
        <v>513</v>
      </c>
      <c r="G235" s="8" t="str">
        <f t="shared" si="6"/>
        <v>WEST BRYAN</v>
      </c>
      <c r="H235" s="20" t="str">
        <f t="shared" si="7"/>
        <v>4009</v>
      </c>
    </row>
    <row r="236" spans="1:8" x14ac:dyDescent="0.3">
      <c r="A236" s="8">
        <v>43109.950902777775</v>
      </c>
      <c r="B236" t="s">
        <v>555</v>
      </c>
      <c r="C236" t="s">
        <v>927</v>
      </c>
      <c r="D236" s="137">
        <v>3220000</v>
      </c>
      <c r="E236" t="s">
        <v>377</v>
      </c>
      <c r="F236" s="20" t="s">
        <v>378</v>
      </c>
      <c r="G236" s="8" t="str">
        <f t="shared" si="6"/>
        <v>RESPASS AARON</v>
      </c>
      <c r="H236" s="20" t="str">
        <f t="shared" si="7"/>
        <v>4014</v>
      </c>
    </row>
    <row r="237" spans="1:8" x14ac:dyDescent="0.3">
      <c r="A237" s="8">
        <v>43109.955567129633</v>
      </c>
      <c r="B237" t="s">
        <v>722</v>
      </c>
      <c r="C237" t="s">
        <v>928</v>
      </c>
      <c r="D237" s="137">
        <v>2000000</v>
      </c>
      <c r="E237" t="s">
        <v>393</v>
      </c>
      <c r="F237" s="20" t="s">
        <v>394</v>
      </c>
      <c r="G237" s="8" t="str">
        <f t="shared" si="6"/>
        <v>STAMBAUGH JAMES</v>
      </c>
      <c r="H237" s="20" t="str">
        <f t="shared" si="7"/>
        <v>4040</v>
      </c>
    </row>
    <row r="238" spans="1:8" x14ac:dyDescent="0.3">
      <c r="A238" s="8">
        <v>43109.969780092593</v>
      </c>
      <c r="B238" t="s">
        <v>443</v>
      </c>
      <c r="C238" t="s">
        <v>929</v>
      </c>
      <c r="D238" s="137">
        <v>890000</v>
      </c>
      <c r="E238" t="s">
        <v>343</v>
      </c>
      <c r="F238" s="20" t="s">
        <v>344</v>
      </c>
      <c r="G238" s="8" t="str">
        <f t="shared" si="6"/>
        <v>LOZA FIDEL</v>
      </c>
      <c r="H238" s="20" t="str">
        <f t="shared" si="7"/>
        <v>4050</v>
      </c>
    </row>
    <row r="239" spans="1:8" x14ac:dyDescent="0.3">
      <c r="A239" s="8">
        <v>43109.974988425929</v>
      </c>
      <c r="B239" t="s">
        <v>703</v>
      </c>
      <c r="C239" t="s">
        <v>930</v>
      </c>
      <c r="D239" s="137">
        <v>2000000</v>
      </c>
      <c r="E239" t="s">
        <v>393</v>
      </c>
      <c r="F239" s="20" t="s">
        <v>394</v>
      </c>
      <c r="G239" s="8" t="str">
        <f t="shared" si="6"/>
        <v>STAMBAUGH JAMES</v>
      </c>
      <c r="H239" s="20" t="str">
        <f t="shared" si="7"/>
        <v>4039</v>
      </c>
    </row>
    <row r="240" spans="1:8" x14ac:dyDescent="0.3">
      <c r="A240" s="8">
        <v>43109.975254629629</v>
      </c>
      <c r="B240" t="s">
        <v>350</v>
      </c>
      <c r="C240" t="s">
        <v>931</v>
      </c>
      <c r="D240" s="137">
        <v>3310000</v>
      </c>
      <c r="E240" t="s">
        <v>460</v>
      </c>
      <c r="F240" s="20" t="s">
        <v>461</v>
      </c>
      <c r="G240" s="8" t="str">
        <f t="shared" si="6"/>
        <v>ANDERS STEVEN</v>
      </c>
      <c r="H240" s="20" t="str">
        <f t="shared" si="7"/>
        <v>4055</v>
      </c>
    </row>
    <row r="241" spans="1:8" x14ac:dyDescent="0.3">
      <c r="A241" s="8">
        <v>43109.98715277778</v>
      </c>
      <c r="B241" t="s">
        <v>441</v>
      </c>
      <c r="C241" t="s">
        <v>932</v>
      </c>
      <c r="D241" s="137">
        <v>3490000</v>
      </c>
      <c r="E241" t="s">
        <v>512</v>
      </c>
      <c r="F241" s="20" t="s">
        <v>513</v>
      </c>
      <c r="G241" s="8" t="str">
        <f t="shared" si="6"/>
        <v>WEST BRYAN</v>
      </c>
      <c r="H241" s="20" t="str">
        <f t="shared" si="7"/>
        <v>4010</v>
      </c>
    </row>
    <row r="242" spans="1:8" x14ac:dyDescent="0.3">
      <c r="A242" s="8">
        <v>43109.996504629627</v>
      </c>
      <c r="B242" t="s">
        <v>559</v>
      </c>
      <c r="C242" t="s">
        <v>933</v>
      </c>
      <c r="D242" s="137">
        <v>3220000</v>
      </c>
      <c r="E242" t="s">
        <v>377</v>
      </c>
      <c r="F242" s="20" t="s">
        <v>378</v>
      </c>
      <c r="G242" s="8" t="str">
        <f t="shared" si="6"/>
        <v>RESPASS AARON</v>
      </c>
      <c r="H242" s="20" t="str">
        <f t="shared" si="7"/>
        <v>4013</v>
      </c>
    </row>
    <row r="243" spans="1:8" x14ac:dyDescent="0.3">
      <c r="A243" s="8">
        <v>43110.017858796295</v>
      </c>
      <c r="B243" t="s">
        <v>442</v>
      </c>
      <c r="C243" t="s">
        <v>934</v>
      </c>
      <c r="D243" s="137">
        <v>890000</v>
      </c>
      <c r="E243" t="s">
        <v>343</v>
      </c>
      <c r="F243" s="20" t="s">
        <v>344</v>
      </c>
      <c r="G243" s="8" t="str">
        <f t="shared" si="6"/>
        <v>LOZA FIDEL</v>
      </c>
      <c r="H243" s="20" t="str">
        <f t="shared" si="7"/>
        <v>4049</v>
      </c>
    </row>
    <row r="244" spans="1:8" x14ac:dyDescent="0.3">
      <c r="A244" s="8">
        <v>43110.019675925927</v>
      </c>
      <c r="B244" t="s">
        <v>509</v>
      </c>
      <c r="C244" t="s">
        <v>935</v>
      </c>
      <c r="D244" s="137">
        <v>3310000</v>
      </c>
      <c r="E244" t="s">
        <v>460</v>
      </c>
      <c r="F244" s="20" t="s">
        <v>461</v>
      </c>
      <c r="G244" s="8" t="str">
        <f t="shared" si="6"/>
        <v>ANDERS STEVEN</v>
      </c>
      <c r="H244" s="20" t="str">
        <f t="shared" si="7"/>
        <v>4056</v>
      </c>
    </row>
    <row r="245" spans="1:8" x14ac:dyDescent="0.3">
      <c r="A245" s="8">
        <v>43110.026296296295</v>
      </c>
      <c r="B245" t="s">
        <v>555</v>
      </c>
      <c r="C245" t="s">
        <v>936</v>
      </c>
      <c r="D245" s="137">
        <v>3220000</v>
      </c>
      <c r="E245" t="s">
        <v>377</v>
      </c>
      <c r="F245" s="20" t="s">
        <v>378</v>
      </c>
      <c r="G245" s="8" t="str">
        <f t="shared" si="6"/>
        <v>RESPASS AARON</v>
      </c>
      <c r="H245" s="20" t="str">
        <f t="shared" si="7"/>
        <v>4014</v>
      </c>
    </row>
    <row r="246" spans="1:8" x14ac:dyDescent="0.3">
      <c r="A246" s="8">
        <v>43110.027337962965</v>
      </c>
      <c r="B246" t="s">
        <v>462</v>
      </c>
      <c r="C246" t="s">
        <v>937</v>
      </c>
      <c r="D246" s="137">
        <v>3490000</v>
      </c>
      <c r="E246" t="s">
        <v>512</v>
      </c>
      <c r="F246" s="20" t="s">
        <v>513</v>
      </c>
      <c r="G246" s="8" t="str">
        <f t="shared" si="6"/>
        <v>WEST BRYAN</v>
      </c>
      <c r="H246" s="20" t="str">
        <f t="shared" si="7"/>
        <v>4009</v>
      </c>
    </row>
    <row r="247" spans="1:8" x14ac:dyDescent="0.3">
      <c r="A247" s="8">
        <v>43110.048159722224</v>
      </c>
      <c r="B247" t="s">
        <v>443</v>
      </c>
      <c r="C247" t="s">
        <v>938</v>
      </c>
      <c r="D247" s="137">
        <v>890000</v>
      </c>
      <c r="E247" t="s">
        <v>343</v>
      </c>
      <c r="F247" s="20" t="s">
        <v>344</v>
      </c>
      <c r="G247" s="8" t="str">
        <f t="shared" si="6"/>
        <v>LOZA FIDEL</v>
      </c>
      <c r="H247" s="20" t="str">
        <f t="shared" si="7"/>
        <v>4050</v>
      </c>
    </row>
    <row r="248" spans="1:8" x14ac:dyDescent="0.3">
      <c r="A248" s="8">
        <v>43110.058807870373</v>
      </c>
      <c r="B248" t="s">
        <v>350</v>
      </c>
      <c r="C248" t="s">
        <v>939</v>
      </c>
      <c r="D248" s="137">
        <v>3310000</v>
      </c>
      <c r="E248" t="s">
        <v>460</v>
      </c>
      <c r="F248" s="20" t="s">
        <v>461</v>
      </c>
      <c r="G248" s="8" t="str">
        <f t="shared" si="6"/>
        <v>ANDERS STEVEN</v>
      </c>
      <c r="H248" s="20" t="str">
        <f t="shared" si="7"/>
        <v>4055</v>
      </c>
    </row>
    <row r="249" spans="1:8" x14ac:dyDescent="0.3">
      <c r="A249" s="8">
        <v>43110.090694444443</v>
      </c>
      <c r="B249" t="s">
        <v>509</v>
      </c>
      <c r="C249" t="s">
        <v>940</v>
      </c>
      <c r="D249" s="137">
        <v>3310000</v>
      </c>
      <c r="E249" t="s">
        <v>460</v>
      </c>
      <c r="F249" s="20" t="s">
        <v>461</v>
      </c>
      <c r="G249" s="8" t="str">
        <f t="shared" si="6"/>
        <v>ANDERS STEVEN</v>
      </c>
      <c r="H249" s="20" t="str">
        <f t="shared" si="7"/>
        <v>4056</v>
      </c>
    </row>
    <row r="250" spans="1:8" x14ac:dyDescent="0.3">
      <c r="A250" s="8">
        <v>43108.975543981483</v>
      </c>
      <c r="B250" t="s">
        <v>484</v>
      </c>
      <c r="C250" t="s">
        <v>617</v>
      </c>
      <c r="D250" s="137">
        <v>2000000</v>
      </c>
      <c r="E250" t="s">
        <v>393</v>
      </c>
      <c r="F250" s="20" t="s">
        <v>394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43108.985000000001</v>
      </c>
      <c r="B251" t="s">
        <v>560</v>
      </c>
      <c r="C251" t="s">
        <v>630</v>
      </c>
      <c r="D251" s="137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4026</v>
      </c>
    </row>
    <row r="252" spans="1:8" x14ac:dyDescent="0.3">
      <c r="A252" s="8">
        <v>43108.996504629627</v>
      </c>
      <c r="B252" t="s">
        <v>389</v>
      </c>
      <c r="C252" t="s">
        <v>631</v>
      </c>
      <c r="D252" s="137">
        <v>3700000</v>
      </c>
      <c r="E252" t="s">
        <v>444</v>
      </c>
      <c r="F252" s="20" t="s">
        <v>368</v>
      </c>
      <c r="G252" s="8" t="str">
        <f t="shared" si="6"/>
        <v>AUSTIN THOMPSON</v>
      </c>
      <c r="H252" s="20" t="str">
        <f t="shared" si="7"/>
        <v>4059</v>
      </c>
    </row>
    <row r="253" spans="1:8" x14ac:dyDescent="0.3">
      <c r="A253" s="8">
        <v>43109.014953703707</v>
      </c>
      <c r="B253" t="s">
        <v>470</v>
      </c>
      <c r="C253" t="s">
        <v>447</v>
      </c>
      <c r="D253" s="137">
        <v>3040000</v>
      </c>
      <c r="E253" t="s">
        <v>367</v>
      </c>
      <c r="F253" s="20" t="s">
        <v>510</v>
      </c>
      <c r="G253" s="8" t="str">
        <f t="shared" si="6"/>
        <v>WILLIAMS DONTE</v>
      </c>
      <c r="H253" s="20" t="str">
        <f t="shared" si="7"/>
        <v>4020</v>
      </c>
    </row>
    <row r="254" spans="1:8" x14ac:dyDescent="0.3">
      <c r="A254" s="8">
        <v>43109.016770833332</v>
      </c>
      <c r="B254" t="s">
        <v>508</v>
      </c>
      <c r="C254" t="s">
        <v>449</v>
      </c>
      <c r="D254" s="137">
        <v>890000</v>
      </c>
      <c r="E254" t="s">
        <v>343</v>
      </c>
      <c r="F254" s="20" t="s">
        <v>344</v>
      </c>
      <c r="G254" s="8" t="str">
        <f t="shared" si="6"/>
        <v>LOZA FIDEL</v>
      </c>
      <c r="H254" s="20" t="str">
        <f t="shared" si="7"/>
        <v>4043</v>
      </c>
    </row>
    <row r="255" spans="1:8" x14ac:dyDescent="0.3">
      <c r="A255" s="8">
        <v>43109.024594907409</v>
      </c>
      <c r="B255" t="s">
        <v>356</v>
      </c>
      <c r="C255" t="s">
        <v>450</v>
      </c>
      <c r="D255" s="137">
        <v>3340000</v>
      </c>
      <c r="E255" t="s">
        <v>456</v>
      </c>
      <c r="F255" s="20" t="s">
        <v>457</v>
      </c>
      <c r="G255" s="8" t="str">
        <f t="shared" si="6"/>
        <v>ELBAUM MIKE</v>
      </c>
      <c r="H255" s="20" t="str">
        <f t="shared" si="7"/>
        <v>4060</v>
      </c>
    </row>
    <row r="256" spans="1:8" x14ac:dyDescent="0.3">
      <c r="A256" s="8">
        <v>43109.034814814811</v>
      </c>
      <c r="B256" t="s">
        <v>554</v>
      </c>
      <c r="C256" t="s">
        <v>451</v>
      </c>
      <c r="D256" s="137">
        <v>3220000</v>
      </c>
      <c r="E256" t="s">
        <v>377</v>
      </c>
      <c r="F256" s="20" t="s">
        <v>378</v>
      </c>
      <c r="G256" s="8" t="str">
        <f t="shared" si="6"/>
        <v>RESPASS AARON</v>
      </c>
      <c r="H256" s="20" t="str">
        <f t="shared" si="7"/>
        <v>4025</v>
      </c>
    </row>
    <row r="257" spans="1:8" x14ac:dyDescent="0.3">
      <c r="A257" s="8">
        <v>43109.046967592592</v>
      </c>
      <c r="B257" t="s">
        <v>464</v>
      </c>
      <c r="C257" t="s">
        <v>452</v>
      </c>
      <c r="D257" s="137">
        <v>890000</v>
      </c>
      <c r="E257" t="s">
        <v>343</v>
      </c>
      <c r="F257" s="20" t="s">
        <v>344</v>
      </c>
      <c r="G257" s="8" t="str">
        <f t="shared" si="6"/>
        <v>LOZA FIDEL</v>
      </c>
      <c r="H257" s="20" t="str">
        <f t="shared" si="7"/>
        <v>4044</v>
      </c>
    </row>
    <row r="258" spans="1:8" x14ac:dyDescent="0.3">
      <c r="A258" s="8">
        <v>43109.056608796294</v>
      </c>
      <c r="B258" t="s">
        <v>469</v>
      </c>
      <c r="C258" t="s">
        <v>453</v>
      </c>
      <c r="D258" s="137">
        <v>3040000</v>
      </c>
      <c r="E258" t="s">
        <v>367</v>
      </c>
      <c r="F258" s="20" t="s">
        <v>510</v>
      </c>
      <c r="G258" s="8" t="str">
        <f t="shared" si="6"/>
        <v>WILLIAMS DONTE</v>
      </c>
      <c r="H258" s="20" t="str">
        <f t="shared" si="7"/>
        <v>4019</v>
      </c>
    </row>
    <row r="259" spans="1:8" x14ac:dyDescent="0.3">
      <c r="A259" s="8">
        <v>43109.067326388889</v>
      </c>
      <c r="B259" t="s">
        <v>560</v>
      </c>
      <c r="C259" t="s">
        <v>454</v>
      </c>
      <c r="D259" s="137">
        <v>3220000</v>
      </c>
      <c r="E259" t="s">
        <v>377</v>
      </c>
      <c r="F259" s="20" t="s">
        <v>378</v>
      </c>
      <c r="G259" s="8" t="str">
        <f t="shared" ref="G259:G313" si="8">E259&amp;" "&amp;F259</f>
        <v>RESPASS AARON</v>
      </c>
      <c r="H259" s="20" t="str">
        <f t="shared" ref="H259:H313" si="9">MID(B259,13,4)</f>
        <v>4026</v>
      </c>
    </row>
    <row r="260" spans="1:8" x14ac:dyDescent="0.3">
      <c r="A260" s="8">
        <v>43109.112534722219</v>
      </c>
      <c r="B260" t="s">
        <v>559</v>
      </c>
      <c r="C260" t="s">
        <v>632</v>
      </c>
      <c r="D260" s="137">
        <v>1830000</v>
      </c>
      <c r="E260" t="s">
        <v>345</v>
      </c>
      <c r="F260" s="20" t="s">
        <v>346</v>
      </c>
      <c r="G260" s="8" t="str">
        <f t="shared" si="8"/>
        <v>YORK EDGAR</v>
      </c>
      <c r="H260" s="20" t="str">
        <f t="shared" si="9"/>
        <v>4013</v>
      </c>
    </row>
    <row r="261" spans="1:8" x14ac:dyDescent="0.3">
      <c r="A261" s="8">
        <v>43109.113611111112</v>
      </c>
      <c r="B261" t="s">
        <v>559</v>
      </c>
      <c r="C261" t="s">
        <v>632</v>
      </c>
      <c r="D261" s="137">
        <v>1830000</v>
      </c>
      <c r="E261" t="s">
        <v>345</v>
      </c>
      <c r="F261" s="20" t="s">
        <v>346</v>
      </c>
      <c r="G261" s="8" t="str">
        <f t="shared" si="8"/>
        <v>YORK EDGAR</v>
      </c>
      <c r="H261" s="20" t="str">
        <f t="shared" si="9"/>
        <v>4013</v>
      </c>
    </row>
    <row r="262" spans="1:8" x14ac:dyDescent="0.3">
      <c r="A262" s="8">
        <v>43048.057881944442</v>
      </c>
      <c r="B262" t="s">
        <v>389</v>
      </c>
      <c r="C262" t="s">
        <v>453</v>
      </c>
      <c r="D262" s="137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446</v>
      </c>
      <c r="C263" t="s">
        <v>454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455</v>
      </c>
      <c r="D264" s="137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333</v>
      </c>
      <c r="O1" s="217" t="s">
        <v>154</v>
      </c>
      <c r="P1" s="217" t="s">
        <v>161</v>
      </c>
      <c r="Q1" s="217" t="s">
        <v>334</v>
      </c>
      <c r="R1" s="217" t="s">
        <v>158</v>
      </c>
      <c r="S1"/>
      <c r="T1"/>
    </row>
    <row r="2" spans="1:20" x14ac:dyDescent="0.3">
      <c r="A2" s="195">
        <v>36.979999999999997</v>
      </c>
      <c r="B2" s="195">
        <v>0.14000000000000001</v>
      </c>
      <c r="C2" s="195">
        <v>23.42</v>
      </c>
      <c r="D2" s="8">
        <v>43109</v>
      </c>
      <c r="E2" s="195">
        <v>0.57999999999999996</v>
      </c>
      <c r="F2" s="195" t="s">
        <v>487</v>
      </c>
      <c r="G2" s="195">
        <v>275.7</v>
      </c>
      <c r="H2" s="195">
        <v>0</v>
      </c>
      <c r="I2" s="195">
        <v>0</v>
      </c>
      <c r="J2" s="195">
        <v>1011.55</v>
      </c>
      <c r="K2" s="195" t="s">
        <v>486</v>
      </c>
      <c r="L2" s="195">
        <v>36.979999999999997</v>
      </c>
      <c r="M2" s="195">
        <v>1515481200</v>
      </c>
      <c r="N2" s="195">
        <v>0</v>
      </c>
      <c r="O2" s="195">
        <v>3.74</v>
      </c>
      <c r="P2" s="195">
        <v>214</v>
      </c>
      <c r="Q2" s="195">
        <v>3.17</v>
      </c>
      <c r="R2" s="195">
        <v>0.45</v>
      </c>
      <c r="S2"/>
      <c r="T2"/>
    </row>
    <row r="3" spans="1:20" x14ac:dyDescent="0.3">
      <c r="A3" s="195">
        <v>37.83</v>
      </c>
      <c r="B3" s="195">
        <v>0.16</v>
      </c>
      <c r="C3" s="195">
        <v>22.06</v>
      </c>
      <c r="D3" s="8">
        <v>43109.041666666664</v>
      </c>
      <c r="E3" s="195">
        <v>0.53</v>
      </c>
      <c r="F3" s="195" t="s">
        <v>487</v>
      </c>
      <c r="G3" s="195">
        <v>276.29000000000002</v>
      </c>
      <c r="H3" s="195">
        <v>0</v>
      </c>
      <c r="I3" s="195">
        <v>0</v>
      </c>
      <c r="J3" s="195">
        <v>1011.39</v>
      </c>
      <c r="K3" s="195" t="s">
        <v>486</v>
      </c>
      <c r="L3" s="195">
        <v>37.83</v>
      </c>
      <c r="M3" s="195">
        <v>1515484800</v>
      </c>
      <c r="N3" s="195">
        <v>0</v>
      </c>
      <c r="O3" s="195">
        <v>3.01</v>
      </c>
      <c r="P3" s="195">
        <v>200</v>
      </c>
      <c r="Q3" s="195">
        <v>4.1900000000000004</v>
      </c>
      <c r="R3" s="195">
        <v>0.6</v>
      </c>
      <c r="S3"/>
      <c r="T3"/>
    </row>
    <row r="4" spans="1:20" x14ac:dyDescent="0.3">
      <c r="A4" s="195">
        <v>37.65</v>
      </c>
      <c r="B4" s="195">
        <v>0.19</v>
      </c>
      <c r="C4" s="195">
        <v>22.39</v>
      </c>
      <c r="D4" s="8">
        <v>43109.083333333336</v>
      </c>
      <c r="E4" s="195">
        <v>0.54</v>
      </c>
      <c r="F4" s="195" t="s">
        <v>487</v>
      </c>
      <c r="G4" s="195">
        <v>276.89</v>
      </c>
      <c r="H4" s="195">
        <v>0</v>
      </c>
      <c r="I4" s="195">
        <v>0</v>
      </c>
      <c r="J4" s="195">
        <v>1010.83</v>
      </c>
      <c r="K4" s="195" t="s">
        <v>486</v>
      </c>
      <c r="L4" s="195">
        <v>37.65</v>
      </c>
      <c r="M4" s="195">
        <v>1515488400</v>
      </c>
      <c r="N4" s="195">
        <v>0</v>
      </c>
      <c r="O4" s="195">
        <v>2.99</v>
      </c>
      <c r="P4" s="195">
        <v>229</v>
      </c>
      <c r="Q4" s="195">
        <v>3.59</v>
      </c>
      <c r="R4" s="195">
        <v>0.54</v>
      </c>
      <c r="S4"/>
      <c r="T4"/>
    </row>
    <row r="5" spans="1:20" x14ac:dyDescent="0.3">
      <c r="A5" s="195">
        <v>39.049999999999997</v>
      </c>
      <c r="B5" s="195">
        <v>0.23</v>
      </c>
      <c r="C5" s="195">
        <v>22.53</v>
      </c>
      <c r="D5" s="8">
        <v>43109.125</v>
      </c>
      <c r="E5" s="195">
        <v>0.51</v>
      </c>
      <c r="F5" s="195" t="s">
        <v>487</v>
      </c>
      <c r="G5" s="195">
        <v>277.36</v>
      </c>
      <c r="H5" s="195">
        <v>0</v>
      </c>
      <c r="I5" s="195">
        <v>0</v>
      </c>
      <c r="J5" s="195">
        <v>1011.08</v>
      </c>
      <c r="K5" s="195" t="s">
        <v>486</v>
      </c>
      <c r="L5" s="195">
        <v>39.049999999999997</v>
      </c>
      <c r="M5" s="195">
        <v>1515492000</v>
      </c>
      <c r="N5" s="195">
        <v>0</v>
      </c>
      <c r="O5" s="195">
        <v>6.54</v>
      </c>
      <c r="P5" s="195">
        <v>226</v>
      </c>
      <c r="Q5" s="195">
        <v>4.26</v>
      </c>
      <c r="R5" s="195">
        <v>0.75</v>
      </c>
      <c r="S5"/>
      <c r="T5"/>
    </row>
    <row r="6" spans="1:20" x14ac:dyDescent="0.3">
      <c r="A6" s="195">
        <v>38.18</v>
      </c>
      <c r="B6" s="195">
        <v>0.23</v>
      </c>
      <c r="C6" s="195">
        <v>22.93</v>
      </c>
      <c r="D6" s="8">
        <v>43109.166666666664</v>
      </c>
      <c r="E6" s="195">
        <v>0.54</v>
      </c>
      <c r="F6" s="195" t="s">
        <v>487</v>
      </c>
      <c r="G6" s="195">
        <v>277.49</v>
      </c>
      <c r="H6" s="195">
        <v>0</v>
      </c>
      <c r="I6" s="195">
        <v>0</v>
      </c>
      <c r="J6" s="195">
        <v>1011.43</v>
      </c>
      <c r="K6" s="195" t="s">
        <v>486</v>
      </c>
      <c r="L6" s="195">
        <v>38.18</v>
      </c>
      <c r="M6" s="195">
        <v>1515495600</v>
      </c>
      <c r="N6" s="195">
        <v>0</v>
      </c>
      <c r="O6" s="195">
        <v>3.46</v>
      </c>
      <c r="P6" s="195">
        <v>226</v>
      </c>
      <c r="Q6" s="195">
        <v>4.38</v>
      </c>
      <c r="R6" s="195">
        <v>1.01</v>
      </c>
      <c r="S6"/>
      <c r="T6"/>
    </row>
    <row r="7" spans="1:20" x14ac:dyDescent="0.3">
      <c r="A7" s="195">
        <v>38.78</v>
      </c>
      <c r="B7" s="195">
        <v>0.18</v>
      </c>
      <c r="C7" s="195">
        <v>23.41</v>
      </c>
      <c r="D7" s="8">
        <v>43109.208333333336</v>
      </c>
      <c r="E7" s="195">
        <v>0.54</v>
      </c>
      <c r="F7" s="195" t="s">
        <v>487</v>
      </c>
      <c r="G7" s="195">
        <v>276.77</v>
      </c>
      <c r="H7" s="195">
        <v>0</v>
      </c>
      <c r="I7" s="195">
        <v>0</v>
      </c>
      <c r="J7" s="195">
        <v>1011.71</v>
      </c>
      <c r="K7" s="195" t="s">
        <v>486</v>
      </c>
      <c r="L7" s="195">
        <v>38.78</v>
      </c>
      <c r="M7" s="195">
        <v>1515499200</v>
      </c>
      <c r="N7" s="195">
        <v>0</v>
      </c>
      <c r="O7" s="195">
        <v>4.1100000000000003</v>
      </c>
      <c r="P7" s="195">
        <v>224</v>
      </c>
      <c r="Q7" s="195">
        <v>4.95</v>
      </c>
      <c r="R7" s="195">
        <v>1.61</v>
      </c>
      <c r="S7"/>
      <c r="T7"/>
    </row>
    <row r="8" spans="1:20" x14ac:dyDescent="0.3">
      <c r="A8" s="195">
        <v>37.96</v>
      </c>
      <c r="B8" s="195">
        <v>0.28999999999999998</v>
      </c>
      <c r="C8" s="195">
        <v>22.99</v>
      </c>
      <c r="D8" s="8">
        <v>43109.25</v>
      </c>
      <c r="E8" s="195">
        <v>0.54</v>
      </c>
      <c r="F8" s="195" t="s">
        <v>535</v>
      </c>
      <c r="G8" s="195">
        <v>277.38</v>
      </c>
      <c r="H8" s="195">
        <v>0</v>
      </c>
      <c r="I8" s="195">
        <v>0</v>
      </c>
      <c r="J8" s="195">
        <v>1011.45</v>
      </c>
      <c r="K8" s="195" t="s">
        <v>534</v>
      </c>
      <c r="L8" s="195">
        <v>37.96</v>
      </c>
      <c r="M8" s="195">
        <v>1515502800</v>
      </c>
      <c r="N8" s="195">
        <v>0</v>
      </c>
      <c r="O8" s="195">
        <v>3.67</v>
      </c>
      <c r="P8" s="195">
        <v>210</v>
      </c>
      <c r="Q8" s="195">
        <v>4.3</v>
      </c>
      <c r="R8" s="195">
        <v>1.17</v>
      </c>
      <c r="S8"/>
      <c r="T8"/>
    </row>
    <row r="9" spans="1:20" x14ac:dyDescent="0.3">
      <c r="A9" s="195">
        <v>37.03</v>
      </c>
      <c r="B9" s="195">
        <v>0.28000000000000003</v>
      </c>
      <c r="C9" s="195">
        <v>22.46</v>
      </c>
      <c r="D9" s="8">
        <v>43109.291666666664</v>
      </c>
      <c r="E9" s="195">
        <v>0.55000000000000004</v>
      </c>
      <c r="F9" s="195" t="s">
        <v>535</v>
      </c>
      <c r="G9" s="195">
        <v>278.45</v>
      </c>
      <c r="H9" s="195">
        <v>0</v>
      </c>
      <c r="I9" s="195">
        <v>0</v>
      </c>
      <c r="J9" s="195">
        <v>1011.57</v>
      </c>
      <c r="K9" s="195" t="s">
        <v>534</v>
      </c>
      <c r="L9" s="195">
        <v>37.03</v>
      </c>
      <c r="M9" s="195">
        <v>1515506400</v>
      </c>
      <c r="N9" s="195">
        <v>0</v>
      </c>
      <c r="O9" s="195">
        <v>4.41</v>
      </c>
      <c r="P9" s="195">
        <v>173</v>
      </c>
      <c r="Q9" s="195">
        <v>4.47</v>
      </c>
      <c r="R9" s="195">
        <v>0.51</v>
      </c>
      <c r="S9"/>
      <c r="T9"/>
    </row>
    <row r="10" spans="1:20" x14ac:dyDescent="0.3">
      <c r="A10" s="195">
        <v>37.659999999999997</v>
      </c>
      <c r="B10" s="195">
        <v>0.33</v>
      </c>
      <c r="C10" s="195">
        <v>23.48</v>
      </c>
      <c r="D10" s="8">
        <v>43109.333333333336</v>
      </c>
      <c r="E10" s="195">
        <v>0.56000000000000005</v>
      </c>
      <c r="F10" s="195" t="s">
        <v>941</v>
      </c>
      <c r="G10" s="195">
        <v>279.29000000000002</v>
      </c>
      <c r="H10" s="195">
        <v>0</v>
      </c>
      <c r="I10" s="195">
        <v>0</v>
      </c>
      <c r="J10" s="195">
        <v>1011.25</v>
      </c>
      <c r="K10" s="195" t="s">
        <v>534</v>
      </c>
      <c r="L10" s="195">
        <v>37.659999999999997</v>
      </c>
      <c r="M10" s="195">
        <v>1515510000</v>
      </c>
      <c r="N10" s="195">
        <v>0</v>
      </c>
      <c r="O10" s="195">
        <v>5.64</v>
      </c>
      <c r="P10" s="195">
        <v>145</v>
      </c>
      <c r="Q10" s="195">
        <v>3.89</v>
      </c>
      <c r="R10" s="195">
        <v>0.8</v>
      </c>
      <c r="S10"/>
      <c r="T10"/>
    </row>
    <row r="11" spans="1:20" x14ac:dyDescent="0.3">
      <c r="A11" s="195">
        <v>43.91</v>
      </c>
      <c r="B11" s="195">
        <v>0.08</v>
      </c>
      <c r="C11" s="195">
        <v>25.8</v>
      </c>
      <c r="D11" s="8">
        <v>43109.375</v>
      </c>
      <c r="E11" s="195">
        <v>0.49</v>
      </c>
      <c r="F11" s="195" t="s">
        <v>485</v>
      </c>
      <c r="G11" s="195">
        <v>280</v>
      </c>
      <c r="H11" s="195">
        <v>0</v>
      </c>
      <c r="I11" s="195">
        <v>0</v>
      </c>
      <c r="J11" s="195">
        <v>1010.18</v>
      </c>
      <c r="K11" s="195" t="s">
        <v>486</v>
      </c>
      <c r="L11" s="195">
        <v>43.91</v>
      </c>
      <c r="M11" s="195">
        <v>1515513600</v>
      </c>
      <c r="N11" s="195">
        <v>1</v>
      </c>
      <c r="O11" s="195">
        <v>5.59</v>
      </c>
      <c r="P11" s="195">
        <v>146</v>
      </c>
      <c r="Q11" s="195">
        <v>3.91</v>
      </c>
      <c r="R11" s="195">
        <v>0.81</v>
      </c>
      <c r="S11"/>
      <c r="T11"/>
    </row>
    <row r="12" spans="1:20" x14ac:dyDescent="0.3">
      <c r="A12" s="195">
        <v>51.81</v>
      </c>
      <c r="B12" s="195">
        <v>7.0000000000000007E-2</v>
      </c>
      <c r="C12" s="195">
        <v>27.38</v>
      </c>
      <c r="D12" s="8">
        <v>43109.416666666664</v>
      </c>
      <c r="E12" s="195">
        <v>0.39</v>
      </c>
      <c r="F12" s="195" t="s">
        <v>485</v>
      </c>
      <c r="G12" s="195">
        <v>280.58</v>
      </c>
      <c r="H12" s="195">
        <v>0</v>
      </c>
      <c r="I12" s="195">
        <v>0</v>
      </c>
      <c r="J12" s="195">
        <v>1008.7</v>
      </c>
      <c r="K12" s="195" t="s">
        <v>486</v>
      </c>
      <c r="L12" s="195">
        <v>51.81</v>
      </c>
      <c r="M12" s="195">
        <v>1515517200</v>
      </c>
      <c r="N12" s="195">
        <v>2</v>
      </c>
      <c r="O12" s="195">
        <v>3.51</v>
      </c>
      <c r="P12" s="195">
        <v>175</v>
      </c>
      <c r="Q12" s="195">
        <v>5.1100000000000003</v>
      </c>
      <c r="R12" s="195">
        <v>1.1399999999999999</v>
      </c>
      <c r="S12"/>
      <c r="T12"/>
    </row>
    <row r="13" spans="1:20" x14ac:dyDescent="0.3">
      <c r="A13" s="195">
        <v>57.31</v>
      </c>
      <c r="B13" s="195">
        <v>0.11</v>
      </c>
      <c r="C13" s="195">
        <v>28.63</v>
      </c>
      <c r="D13" s="8">
        <v>43109.458333333336</v>
      </c>
      <c r="E13" s="195">
        <v>0.33</v>
      </c>
      <c r="F13" s="195" t="s">
        <v>485</v>
      </c>
      <c r="G13" s="195">
        <v>281.41000000000003</v>
      </c>
      <c r="H13" s="195">
        <v>0</v>
      </c>
      <c r="I13" s="195">
        <v>0</v>
      </c>
      <c r="J13" s="195">
        <v>1007.57</v>
      </c>
      <c r="K13" s="195" t="s">
        <v>486</v>
      </c>
      <c r="L13" s="195">
        <v>57.31</v>
      </c>
      <c r="M13" s="195">
        <v>1515520800</v>
      </c>
      <c r="N13" s="195">
        <v>2</v>
      </c>
      <c r="O13" s="195">
        <v>4.12</v>
      </c>
      <c r="P13" s="195">
        <v>216</v>
      </c>
      <c r="Q13" s="195">
        <v>5.5</v>
      </c>
      <c r="R13" s="195">
        <v>0.7</v>
      </c>
      <c r="S13"/>
      <c r="T13"/>
    </row>
    <row r="14" spans="1:20" x14ac:dyDescent="0.3">
      <c r="A14" s="195">
        <v>62.52</v>
      </c>
      <c r="B14" s="195">
        <v>0.1</v>
      </c>
      <c r="C14" s="195">
        <v>29.15</v>
      </c>
      <c r="D14" s="8">
        <v>43109.5</v>
      </c>
      <c r="E14" s="195">
        <v>0.28000000000000003</v>
      </c>
      <c r="F14" s="195" t="s">
        <v>485</v>
      </c>
      <c r="G14" s="195">
        <v>280.7</v>
      </c>
      <c r="H14" s="195">
        <v>0</v>
      </c>
      <c r="I14" s="195">
        <v>0</v>
      </c>
      <c r="J14" s="195">
        <v>1005.71</v>
      </c>
      <c r="K14" s="195" t="s">
        <v>486</v>
      </c>
      <c r="L14" s="195">
        <v>62.52</v>
      </c>
      <c r="M14" s="195">
        <v>1515524400</v>
      </c>
      <c r="N14" s="195">
        <v>2</v>
      </c>
      <c r="O14" s="195">
        <v>5.44</v>
      </c>
      <c r="P14" s="195">
        <v>228</v>
      </c>
      <c r="Q14" s="195">
        <v>7.38</v>
      </c>
      <c r="R14" s="195">
        <v>0.25</v>
      </c>
      <c r="S14"/>
      <c r="T14"/>
    </row>
    <row r="15" spans="1:20" x14ac:dyDescent="0.3">
      <c r="A15" s="195">
        <v>65.16</v>
      </c>
      <c r="B15" s="195">
        <v>0.08</v>
      </c>
      <c r="C15" s="195">
        <v>30.27</v>
      </c>
      <c r="D15" s="8">
        <v>43109.541666666664</v>
      </c>
      <c r="E15" s="195">
        <v>0.27</v>
      </c>
      <c r="F15" s="195" t="s">
        <v>485</v>
      </c>
      <c r="G15" s="195">
        <v>279.52</v>
      </c>
      <c r="H15" s="195">
        <v>0</v>
      </c>
      <c r="I15" s="195">
        <v>0</v>
      </c>
      <c r="J15" s="195">
        <v>1004.11</v>
      </c>
      <c r="K15" s="195" t="s">
        <v>486</v>
      </c>
      <c r="L15" s="195">
        <v>65.16</v>
      </c>
      <c r="M15" s="195">
        <v>1515528000</v>
      </c>
      <c r="N15" s="195">
        <v>2</v>
      </c>
      <c r="O15" s="195">
        <v>5.63</v>
      </c>
      <c r="P15" s="195">
        <v>4</v>
      </c>
      <c r="Q15" s="195">
        <v>9.65</v>
      </c>
      <c r="R15" s="195">
        <v>0.88</v>
      </c>
      <c r="S15"/>
      <c r="T15"/>
    </row>
    <row r="16" spans="1:20" x14ac:dyDescent="0.3">
      <c r="A16" s="195">
        <v>66.239999999999995</v>
      </c>
      <c r="B16" s="195">
        <v>7.0000000000000007E-2</v>
      </c>
      <c r="C16" s="195">
        <v>29.97</v>
      </c>
      <c r="D16" s="8">
        <v>43109.583333333336</v>
      </c>
      <c r="E16" s="195">
        <v>0.26</v>
      </c>
      <c r="F16" s="195" t="s">
        <v>485</v>
      </c>
      <c r="G16" s="195">
        <v>278.81</v>
      </c>
      <c r="H16" s="195">
        <v>0</v>
      </c>
      <c r="I16" s="195">
        <v>0</v>
      </c>
      <c r="J16" s="195">
        <v>1002.88</v>
      </c>
      <c r="K16" s="195" t="s">
        <v>486</v>
      </c>
      <c r="L16" s="195">
        <v>66.239999999999995</v>
      </c>
      <c r="M16" s="195">
        <v>1515531600</v>
      </c>
      <c r="N16" s="195">
        <v>2</v>
      </c>
      <c r="O16" s="195">
        <v>4.59</v>
      </c>
      <c r="P16" s="195">
        <v>25</v>
      </c>
      <c r="Q16" s="195">
        <v>10.64</v>
      </c>
      <c r="R16" s="195">
        <v>1.75</v>
      </c>
      <c r="S16"/>
      <c r="T16"/>
    </row>
    <row r="17" spans="1:20" x14ac:dyDescent="0.3">
      <c r="A17" s="195">
        <v>65.81</v>
      </c>
      <c r="B17" s="195">
        <v>0.06</v>
      </c>
      <c r="C17" s="195">
        <v>29.67</v>
      </c>
      <c r="D17" s="8">
        <v>43109.625</v>
      </c>
      <c r="E17" s="195">
        <v>0.26</v>
      </c>
      <c r="F17" s="195" t="s">
        <v>485</v>
      </c>
      <c r="G17" s="195">
        <v>279.17</v>
      </c>
      <c r="H17" s="195">
        <v>0</v>
      </c>
      <c r="I17" s="195">
        <v>0</v>
      </c>
      <c r="J17" s="195">
        <v>1002.15</v>
      </c>
      <c r="K17" s="195" t="s">
        <v>486</v>
      </c>
      <c r="L17" s="195">
        <v>65.81</v>
      </c>
      <c r="M17" s="195">
        <v>1515535200</v>
      </c>
      <c r="N17" s="195">
        <v>1</v>
      </c>
      <c r="O17" s="195">
        <v>3.07</v>
      </c>
      <c r="P17" s="195">
        <v>357</v>
      </c>
      <c r="Q17" s="195">
        <v>9.24</v>
      </c>
      <c r="R17" s="195">
        <v>1.4</v>
      </c>
      <c r="S17"/>
      <c r="T17"/>
    </row>
    <row r="18" spans="1:20" x14ac:dyDescent="0.3">
      <c r="A18" s="195">
        <v>64.77</v>
      </c>
      <c r="B18" s="195">
        <v>0.06</v>
      </c>
      <c r="C18" s="195">
        <v>29.62</v>
      </c>
      <c r="D18" s="8">
        <v>43109.666666666664</v>
      </c>
      <c r="E18" s="195">
        <v>0.27</v>
      </c>
      <c r="F18" s="195" t="s">
        <v>485</v>
      </c>
      <c r="G18" s="195">
        <v>279.87</v>
      </c>
      <c r="H18" s="195">
        <v>0</v>
      </c>
      <c r="I18" s="195">
        <v>0</v>
      </c>
      <c r="J18" s="195">
        <v>1002.82</v>
      </c>
      <c r="K18" s="195" t="s">
        <v>486</v>
      </c>
      <c r="L18" s="195">
        <v>64.77</v>
      </c>
      <c r="M18" s="195">
        <v>1515538800</v>
      </c>
      <c r="N18" s="195">
        <v>1</v>
      </c>
      <c r="O18" s="195">
        <v>4.5599999999999996</v>
      </c>
      <c r="P18" s="195">
        <v>25</v>
      </c>
      <c r="Q18" s="195">
        <v>6.41</v>
      </c>
      <c r="R18" s="195">
        <v>0.59</v>
      </c>
      <c r="S18"/>
      <c r="T18"/>
    </row>
    <row r="19" spans="1:20" x14ac:dyDescent="0.3">
      <c r="A19" s="195">
        <v>60.09</v>
      </c>
      <c r="B19" s="195">
        <v>7.0000000000000007E-2</v>
      </c>
      <c r="C19" s="195">
        <v>28.37</v>
      </c>
      <c r="D19" s="8">
        <v>43109.708333333336</v>
      </c>
      <c r="E19" s="195">
        <v>0.3</v>
      </c>
      <c r="F19" s="195" t="s">
        <v>487</v>
      </c>
      <c r="G19" s="195">
        <v>279.39</v>
      </c>
      <c r="H19" s="195">
        <v>0</v>
      </c>
      <c r="I19" s="195">
        <v>0</v>
      </c>
      <c r="J19" s="195">
        <v>1002.4</v>
      </c>
      <c r="K19" s="195" t="s">
        <v>486</v>
      </c>
      <c r="L19" s="195">
        <v>60.09</v>
      </c>
      <c r="M19" s="195">
        <v>1515542400</v>
      </c>
      <c r="N19" s="195">
        <v>0</v>
      </c>
      <c r="O19" s="195">
        <v>3.35</v>
      </c>
      <c r="P19" s="195">
        <v>209</v>
      </c>
      <c r="Q19" s="195">
        <v>3.72</v>
      </c>
      <c r="R19" s="195">
        <v>0.49</v>
      </c>
      <c r="S19"/>
      <c r="T19"/>
    </row>
    <row r="20" spans="1:20" x14ac:dyDescent="0.3">
      <c r="A20" s="195">
        <v>55.13</v>
      </c>
      <c r="B20" s="195">
        <v>0.06</v>
      </c>
      <c r="C20" s="195">
        <v>27.67</v>
      </c>
      <c r="D20" s="8">
        <v>43109.75</v>
      </c>
      <c r="E20" s="195">
        <v>0.35</v>
      </c>
      <c r="F20" s="195" t="s">
        <v>487</v>
      </c>
      <c r="G20" s="195">
        <v>279.51</v>
      </c>
      <c r="H20" s="195">
        <v>0</v>
      </c>
      <c r="I20" s="195">
        <v>0</v>
      </c>
      <c r="J20" s="195">
        <v>1003.73</v>
      </c>
      <c r="K20" s="195" t="s">
        <v>486</v>
      </c>
      <c r="L20" s="195">
        <v>55.13</v>
      </c>
      <c r="M20" s="195">
        <v>1515546000</v>
      </c>
      <c r="N20" s="195">
        <v>0</v>
      </c>
      <c r="O20" s="195">
        <v>2.56</v>
      </c>
      <c r="P20" s="195">
        <v>173</v>
      </c>
      <c r="Q20" s="195">
        <v>4.09</v>
      </c>
      <c r="R20" s="195">
        <v>1.06</v>
      </c>
      <c r="S20"/>
      <c r="T20"/>
    </row>
    <row r="21" spans="1:20" x14ac:dyDescent="0.3">
      <c r="A21" s="195">
        <v>51.86</v>
      </c>
      <c r="B21" s="195">
        <v>0.06</v>
      </c>
      <c r="C21" s="195">
        <v>26.8</v>
      </c>
      <c r="D21" s="8">
        <v>43109.791666666664</v>
      </c>
      <c r="E21" s="195">
        <v>0.38</v>
      </c>
      <c r="F21" s="195" t="s">
        <v>487</v>
      </c>
      <c r="G21" s="195">
        <v>279.63</v>
      </c>
      <c r="H21" s="195">
        <v>0</v>
      </c>
      <c r="I21" s="195">
        <v>0</v>
      </c>
      <c r="J21" s="195">
        <v>1003.63</v>
      </c>
      <c r="K21" s="195" t="s">
        <v>486</v>
      </c>
      <c r="L21" s="195">
        <v>51.86</v>
      </c>
      <c r="M21" s="195">
        <v>1515549600</v>
      </c>
      <c r="N21" s="195">
        <v>0</v>
      </c>
      <c r="O21" s="195">
        <v>3.46</v>
      </c>
      <c r="P21" s="195">
        <v>221</v>
      </c>
      <c r="Q21" s="195">
        <v>5.24</v>
      </c>
      <c r="R21" s="195">
        <v>1.08</v>
      </c>
      <c r="S21"/>
      <c r="T21"/>
    </row>
    <row r="22" spans="1:20" x14ac:dyDescent="0.3">
      <c r="A22" s="195">
        <v>49.2</v>
      </c>
      <c r="B22" s="195">
        <v>0.1</v>
      </c>
      <c r="C22" s="195">
        <v>26.55</v>
      </c>
      <c r="D22" s="8">
        <v>43109.833333333336</v>
      </c>
      <c r="E22" s="195">
        <v>0.41</v>
      </c>
      <c r="F22" s="195" t="s">
        <v>487</v>
      </c>
      <c r="G22" s="195">
        <v>279.63</v>
      </c>
      <c r="H22" s="195">
        <v>0</v>
      </c>
      <c r="I22" s="195">
        <v>0</v>
      </c>
      <c r="J22" s="195">
        <v>1003.83</v>
      </c>
      <c r="K22" s="195" t="s">
        <v>486</v>
      </c>
      <c r="L22" s="195">
        <v>49.2</v>
      </c>
      <c r="M22" s="195">
        <v>1515553200</v>
      </c>
      <c r="N22" s="195">
        <v>0</v>
      </c>
      <c r="O22" s="195">
        <v>3.45</v>
      </c>
      <c r="P22" s="195">
        <v>215</v>
      </c>
      <c r="Q22" s="195">
        <v>4.47</v>
      </c>
      <c r="R22" s="195">
        <v>0.83</v>
      </c>
      <c r="S22"/>
      <c r="T22"/>
    </row>
    <row r="23" spans="1:20" x14ac:dyDescent="0.3">
      <c r="A23" s="195">
        <v>46.64</v>
      </c>
      <c r="B23" s="195">
        <v>0.02</v>
      </c>
      <c r="C23" s="195">
        <v>26.13</v>
      </c>
      <c r="D23" s="8">
        <v>43109.875</v>
      </c>
      <c r="E23" s="195">
        <v>0.44</v>
      </c>
      <c r="F23" s="195" t="s">
        <v>487</v>
      </c>
      <c r="G23" s="195">
        <v>279.51</v>
      </c>
      <c r="H23" s="195">
        <v>0</v>
      </c>
      <c r="I23" s="195">
        <v>0</v>
      </c>
      <c r="J23" s="195">
        <v>1002.25</v>
      </c>
      <c r="K23" s="195" t="s">
        <v>486</v>
      </c>
      <c r="L23" s="195">
        <v>46.64</v>
      </c>
      <c r="M23" s="195">
        <v>1515556800</v>
      </c>
      <c r="N23" s="195">
        <v>0</v>
      </c>
      <c r="O23" s="195">
        <v>3.58</v>
      </c>
      <c r="P23" s="195">
        <v>181</v>
      </c>
      <c r="Q23" s="195">
        <v>4.7699999999999996</v>
      </c>
      <c r="R23" s="195">
        <v>1.38</v>
      </c>
      <c r="S23"/>
      <c r="T23"/>
    </row>
    <row r="24" spans="1:20" x14ac:dyDescent="0.3">
      <c r="A24" s="195">
        <v>44.99</v>
      </c>
      <c r="B24" s="195">
        <v>0</v>
      </c>
      <c r="C24" s="195">
        <v>25.8</v>
      </c>
      <c r="D24" s="8">
        <v>43109.916666666664</v>
      </c>
      <c r="E24" s="195">
        <v>0.47</v>
      </c>
      <c r="F24" s="195" t="s">
        <v>487</v>
      </c>
      <c r="G24" s="195">
        <v>279.27999999999997</v>
      </c>
      <c r="H24" s="195">
        <v>0</v>
      </c>
      <c r="I24" s="195">
        <v>0</v>
      </c>
      <c r="J24" s="195">
        <v>1001.11</v>
      </c>
      <c r="K24" s="195" t="s">
        <v>486</v>
      </c>
      <c r="L24" s="195">
        <v>44.99</v>
      </c>
      <c r="M24" s="195">
        <v>1515560400</v>
      </c>
      <c r="N24" s="195">
        <v>0</v>
      </c>
      <c r="O24" s="195">
        <v>3.34</v>
      </c>
      <c r="P24" s="195">
        <v>196</v>
      </c>
      <c r="Q24" s="195">
        <v>4.3099999999999996</v>
      </c>
      <c r="R24" s="195">
        <v>1.17</v>
      </c>
      <c r="S24"/>
      <c r="T24"/>
    </row>
    <row r="25" spans="1:20" x14ac:dyDescent="0.3">
      <c r="A25" s="195">
        <v>44.2</v>
      </c>
      <c r="B25" s="195">
        <v>0</v>
      </c>
      <c r="C25" s="195">
        <v>25.24</v>
      </c>
      <c r="D25" s="8">
        <v>43109.958333333336</v>
      </c>
      <c r="E25" s="195">
        <v>0.47</v>
      </c>
      <c r="F25" s="195" t="s">
        <v>487</v>
      </c>
      <c r="G25" s="195">
        <v>278.69</v>
      </c>
      <c r="H25" s="195">
        <v>0</v>
      </c>
      <c r="I25" s="195">
        <v>0</v>
      </c>
      <c r="J25" s="195">
        <v>1002.26</v>
      </c>
      <c r="K25" s="195" t="s">
        <v>486</v>
      </c>
      <c r="L25" s="195">
        <v>44.2</v>
      </c>
      <c r="M25" s="195">
        <v>1515564000</v>
      </c>
      <c r="N25" s="195">
        <v>0</v>
      </c>
      <c r="O25" s="195">
        <v>3.23</v>
      </c>
      <c r="P25" s="195">
        <v>202</v>
      </c>
      <c r="Q25" s="195">
        <v>4.87</v>
      </c>
      <c r="R25" s="195">
        <v>1.3</v>
      </c>
      <c r="S25"/>
      <c r="T25"/>
    </row>
    <row r="26" spans="1:20" x14ac:dyDescent="0.3">
      <c r="A26" s="195">
        <v>43.25</v>
      </c>
      <c r="B26" s="195">
        <v>0.01</v>
      </c>
      <c r="C26" s="195">
        <v>24.72</v>
      </c>
      <c r="D26" s="8">
        <v>43110</v>
      </c>
      <c r="E26" s="195">
        <v>0.48</v>
      </c>
      <c r="F26" s="195" t="s">
        <v>487</v>
      </c>
      <c r="G26" s="195">
        <v>279.75</v>
      </c>
      <c r="H26" s="195">
        <v>0</v>
      </c>
      <c r="I26" s="195">
        <v>0</v>
      </c>
      <c r="J26" s="195">
        <v>1000.4</v>
      </c>
      <c r="K26" s="195" t="s">
        <v>486</v>
      </c>
      <c r="L26" s="195">
        <v>43.25</v>
      </c>
      <c r="M26" s="195">
        <v>1515567600</v>
      </c>
      <c r="N26" s="195">
        <v>0</v>
      </c>
      <c r="O26" s="195">
        <v>3.55</v>
      </c>
      <c r="P26" s="195">
        <v>211</v>
      </c>
      <c r="Q26" s="195">
        <v>4.3</v>
      </c>
      <c r="R26" s="195">
        <v>1.56</v>
      </c>
      <c r="S26"/>
      <c r="T26"/>
    </row>
    <row r="27" spans="1:20" x14ac:dyDescent="0.3">
      <c r="A27" s="195">
        <v>42.41</v>
      </c>
      <c r="B27" s="195">
        <v>0.01</v>
      </c>
      <c r="C27" s="195">
        <v>24.17</v>
      </c>
      <c r="D27" s="8">
        <v>43110.041666666664</v>
      </c>
      <c r="E27" s="195">
        <v>0.48</v>
      </c>
      <c r="F27" s="195" t="s">
        <v>487</v>
      </c>
      <c r="G27" s="195">
        <v>281.41000000000003</v>
      </c>
      <c r="H27" s="195">
        <v>0</v>
      </c>
      <c r="I27" s="195">
        <v>0</v>
      </c>
      <c r="J27" s="195">
        <v>1001.59</v>
      </c>
      <c r="K27" s="195" t="s">
        <v>486</v>
      </c>
      <c r="L27" s="195">
        <v>42.41</v>
      </c>
      <c r="M27" s="195">
        <v>1515571200</v>
      </c>
      <c r="N27" s="195">
        <v>0</v>
      </c>
      <c r="O27" s="195">
        <v>3.75</v>
      </c>
      <c r="P27" s="195">
        <v>216</v>
      </c>
      <c r="Q27" s="195">
        <v>4.4800000000000004</v>
      </c>
      <c r="R27" s="195">
        <v>1.1100000000000001</v>
      </c>
      <c r="S27"/>
      <c r="T27"/>
    </row>
    <row r="28" spans="1:20" x14ac:dyDescent="0.3">
      <c r="A28" s="195">
        <v>42.08</v>
      </c>
      <c r="B28" s="195">
        <v>0.05</v>
      </c>
      <c r="C28" s="195">
        <v>23.93</v>
      </c>
      <c r="D28" s="8">
        <v>43110.083333333336</v>
      </c>
      <c r="E28" s="195">
        <v>0.48</v>
      </c>
      <c r="F28" s="195" t="s">
        <v>487</v>
      </c>
      <c r="G28" s="195">
        <v>283.52</v>
      </c>
      <c r="H28" s="195">
        <v>0</v>
      </c>
      <c r="I28" s="195">
        <v>0</v>
      </c>
      <c r="J28" s="195">
        <v>1001.34</v>
      </c>
      <c r="K28" s="195" t="s">
        <v>486</v>
      </c>
      <c r="L28" s="195">
        <v>42.08</v>
      </c>
      <c r="M28" s="195">
        <v>1515574800</v>
      </c>
      <c r="N28" s="195">
        <v>0</v>
      </c>
      <c r="O28" s="195">
        <v>2.59</v>
      </c>
      <c r="P28" s="195">
        <v>206</v>
      </c>
      <c r="Q28" s="195">
        <v>4.22</v>
      </c>
      <c r="R28" s="195">
        <v>1.21</v>
      </c>
      <c r="S28"/>
      <c r="T28"/>
    </row>
    <row r="29" spans="1:20" x14ac:dyDescent="0.3">
      <c r="A29" s="195">
        <v>40.98</v>
      </c>
      <c r="B29" s="195">
        <v>0.03</v>
      </c>
      <c r="C29" s="195">
        <v>23.53</v>
      </c>
      <c r="D29" s="8">
        <v>43110.125</v>
      </c>
      <c r="E29" s="195">
        <v>0.49</v>
      </c>
      <c r="F29" s="195" t="s">
        <v>487</v>
      </c>
      <c r="G29" s="195">
        <v>286.07</v>
      </c>
      <c r="H29" s="195">
        <v>0</v>
      </c>
      <c r="I29" s="195">
        <v>0</v>
      </c>
      <c r="J29" s="195">
        <v>998.78</v>
      </c>
      <c r="K29" s="195" t="s">
        <v>486</v>
      </c>
      <c r="L29" s="195">
        <v>40.98</v>
      </c>
      <c r="M29" s="195">
        <v>1515578400</v>
      </c>
      <c r="N29" s="195">
        <v>0</v>
      </c>
      <c r="O29" s="195">
        <v>3.54</v>
      </c>
      <c r="P29" s="195">
        <v>199</v>
      </c>
      <c r="Q29" s="195">
        <v>3.57</v>
      </c>
      <c r="R29" s="195">
        <v>0.97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topLeftCell="A7" workbookViewId="0">
      <selection activeCell="C24" sqref="C2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43109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1066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1067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1068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1069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1070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1071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1072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1073</v>
      </c>
      <c r="J25" s="139" t="s">
        <v>144</v>
      </c>
      <c r="M25" s="153" t="b">
        <v>1</v>
      </c>
    </row>
    <row r="26" spans="3:24" x14ac:dyDescent="0.3">
      <c r="C26" t="s">
        <v>1074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%USERPROFILE%\Documents\GitHub\eaglep3-reporting\EC\2018-01-09-refined-times.txt</v>
      </c>
    </row>
    <row r="27" spans="3:24" x14ac:dyDescent="0.3">
      <c r="C27" t="s">
        <v>1075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%USERPROFILE%\Documents\GitHub\eaglep3-reporting\EC\2018-01-09-Enforcements.txt</v>
      </c>
    </row>
    <row r="28" spans="3:24" x14ac:dyDescent="0.3">
      <c r="C28" t="s">
        <v>1076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%USERPROFILE%\Documents\GitHub\eaglep3-reporting\EC\2018-01-09-Runs-refined.txt</v>
      </c>
    </row>
    <row r="29" spans="3:24" x14ac:dyDescent="0.3">
      <c r="C29" t="s">
        <v>1077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%USERPROFILE%\Documents\GitHub\eaglep3-reporting\EC\2018-01-09-Trips.txt</v>
      </c>
    </row>
    <row r="30" spans="3:24" x14ac:dyDescent="0.3">
      <c r="C30" t="s">
        <v>1078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%USERPROFILE%\Documents\GitHub\eaglep3-reporting\EC\2018-01-09-Weather.txt</v>
      </c>
    </row>
    <row r="31" spans="3:24" x14ac:dyDescent="0.3">
      <c r="C31" t="s">
        <v>1079</v>
      </c>
      <c r="J31" s="139" t="s">
        <v>187</v>
      </c>
      <c r="M31" s="153" t="s">
        <v>188</v>
      </c>
    </row>
    <row r="32" spans="3:24" x14ac:dyDescent="0.3">
      <c r="C32" t="s">
        <v>1080</v>
      </c>
    </row>
    <row r="33" spans="3:3" x14ac:dyDescent="0.3">
      <c r="C33" t="s">
        <v>1081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2018-01-10T16:18:41Z</dcterms:modified>
</cp:coreProperties>
</file>