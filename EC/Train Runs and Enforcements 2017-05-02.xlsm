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K156" i="1" l="1"/>
  <c r="L156" i="1"/>
  <c r="M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X37" i="1"/>
  <c r="X38" i="1"/>
  <c r="X39" i="1"/>
  <c r="X40" i="1"/>
  <c r="X41" i="1"/>
  <c r="X42" i="1"/>
  <c r="X43" i="1"/>
  <c r="X44" i="1"/>
  <c r="X4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S12" i="3" s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T44" i="1"/>
  <c r="V44" i="1"/>
  <c r="Y44" i="1"/>
  <c r="Z44" i="1"/>
  <c r="AB44" i="1"/>
  <c r="AC44" i="1"/>
  <c r="AD44" i="1"/>
  <c r="AE44" i="1"/>
  <c r="AF44" i="1"/>
  <c r="AG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AA48" i="1" s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T54" i="1"/>
  <c r="V54" i="1"/>
  <c r="X54" i="1"/>
  <c r="Y54" i="1"/>
  <c r="Z54" i="1"/>
  <c r="AA54" i="1" s="1"/>
  <c r="W54" i="1" s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S8" i="3" s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T62" i="1"/>
  <c r="V62" i="1"/>
  <c r="X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T67" i="1"/>
  <c r="V67" i="1"/>
  <c r="Y67" i="1"/>
  <c r="Z67" i="1"/>
  <c r="AB67" i="1"/>
  <c r="AC67" i="1"/>
  <c r="AD67" i="1"/>
  <c r="AE67" i="1"/>
  <c r="AF67" i="1"/>
  <c r="AG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R16" i="3" s="1"/>
  <c r="AF68" i="1"/>
  <c r="AH68" i="1"/>
  <c r="AM68" i="1"/>
  <c r="AN68" i="1"/>
  <c r="K69" i="1"/>
  <c r="L69" i="1"/>
  <c r="M69" i="1"/>
  <c r="N69" i="1" s="1"/>
  <c r="V69" i="1"/>
  <c r="S10" i="3" s="1"/>
  <c r="Y69" i="1"/>
  <c r="Z69" i="1"/>
  <c r="AB69" i="1"/>
  <c r="AC69" i="1"/>
  <c r="AD69" i="1"/>
  <c r="T69" i="1" s="1"/>
  <c r="AE69" i="1"/>
  <c r="AF69" i="1"/>
  <c r="AG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T74" i="1"/>
  <c r="V74" i="1"/>
  <c r="X74" i="1"/>
  <c r="Y74" i="1"/>
  <c r="Z74" i="1"/>
  <c r="AA74" i="1" s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T77" i="1"/>
  <c r="V77" i="1"/>
  <c r="Y77" i="1"/>
  <c r="Z77" i="1"/>
  <c r="AB77" i="1"/>
  <c r="AC77" i="1"/>
  <c r="AD77" i="1"/>
  <c r="AE77" i="1"/>
  <c r="AF77" i="1"/>
  <c r="AG77" i="1"/>
  <c r="AH77" i="1"/>
  <c r="AI77" i="1"/>
  <c r="AM77" i="1"/>
  <c r="AN77" i="1"/>
  <c r="K78" i="1"/>
  <c r="L78" i="1"/>
  <c r="M78" i="1"/>
  <c r="N78" i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T83" i="1"/>
  <c r="V83" i="1"/>
  <c r="Y83" i="1"/>
  <c r="AA83" i="1" s="1"/>
  <c r="W83" i="1" s="1"/>
  <c r="Z83" i="1"/>
  <c r="AB83" i="1"/>
  <c r="AC83" i="1"/>
  <c r="AD83" i="1"/>
  <c r="AE83" i="1"/>
  <c r="AF83" i="1"/>
  <c r="AG83" i="1"/>
  <c r="AI83" i="1" s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T87" i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AA91" i="1" s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X102" i="1" s="1"/>
  <c r="AE101" i="1"/>
  <c r="AF101" i="1"/>
  <c r="AH101" i="1"/>
  <c r="AM101" i="1"/>
  <c r="AN101" i="1"/>
  <c r="K102" i="1"/>
  <c r="L102" i="1"/>
  <c r="M102" i="1"/>
  <c r="P102" i="1" s="1"/>
  <c r="T102" i="1"/>
  <c r="V102" i="1"/>
  <c r="Y102" i="1"/>
  <c r="Z102" i="1"/>
  <c r="AA102" i="1" s="1"/>
  <c r="W102" i="1" s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G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G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T113" i="1"/>
  <c r="V113" i="1"/>
  <c r="Y113" i="1"/>
  <c r="Z113" i="1"/>
  <c r="AA113" i="1"/>
  <c r="W113" i="1" s="1"/>
  <c r="AB113" i="1"/>
  <c r="AC113" i="1"/>
  <c r="AD113" i="1"/>
  <c r="AE113" i="1"/>
  <c r="AF113" i="1"/>
  <c r="AG113" i="1"/>
  <c r="AH113" i="1"/>
  <c r="AI113" i="1"/>
  <c r="AM113" i="1"/>
  <c r="AN113" i="1"/>
  <c r="K114" i="1"/>
  <c r="L114" i="1"/>
  <c r="M114" i="1"/>
  <c r="N114" i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AA115" i="1" s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AA122" i="1" s="1"/>
  <c r="W122" i="1" s="1"/>
  <c r="Z122" i="1"/>
  <c r="AB122" i="1"/>
  <c r="AC122" i="1"/>
  <c r="AD122" i="1"/>
  <c r="AE122" i="1"/>
  <c r="AF122" i="1"/>
  <c r="AG122" i="1"/>
  <c r="AI122" i="1" s="1"/>
  <c r="AH122" i="1"/>
  <c r="AM122" i="1"/>
  <c r="AN122" i="1"/>
  <c r="K123" i="1"/>
  <c r="L123" i="1"/>
  <c r="M123" i="1"/>
  <c r="N123" i="1" s="1"/>
  <c r="T123" i="1"/>
  <c r="V123" i="1"/>
  <c r="X123" i="1"/>
  <c r="Y123" i="1"/>
  <c r="Z123" i="1"/>
  <c r="AA123" i="1" s="1"/>
  <c r="AB123" i="1"/>
  <c r="AC123" i="1"/>
  <c r="AD123" i="1"/>
  <c r="AE123" i="1"/>
  <c r="AF123" i="1"/>
  <c r="AG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S14" i="3" s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X135" i="1" s="1"/>
  <c r="AE135" i="1"/>
  <c r="R13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R17" i="3" s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W140" i="1" s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/>
  <c r="V141" i="1"/>
  <c r="Y141" i="1"/>
  <c r="AA141" i="1" s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/>
  <c r="V149" i="1"/>
  <c r="Y149" i="1"/>
  <c r="AA149" i="1" s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204" i="1"/>
  <c r="L204" i="1"/>
  <c r="M204" i="1"/>
  <c r="N204" i="1" s="1"/>
  <c r="V204" i="1"/>
  <c r="Y204" i="1"/>
  <c r="Z204" i="1"/>
  <c r="AA204" i="1" s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/>
  <c r="V205" i="1"/>
  <c r="Y205" i="1"/>
  <c r="AA205" i="1" s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T210" i="1"/>
  <c r="V210" i="1"/>
  <c r="X210" i="1"/>
  <c r="Y210" i="1"/>
  <c r="Z210" i="1"/>
  <c r="AB210" i="1"/>
  <c r="AC210" i="1"/>
  <c r="AD210" i="1"/>
  <c r="AE210" i="1"/>
  <c r="AF210" i="1"/>
  <c r="AG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T214" i="1"/>
  <c r="V214" i="1"/>
  <c r="X214" i="1"/>
  <c r="Y214" i="1"/>
  <c r="Z214" i="1"/>
  <c r="AA214" i="1" s="1"/>
  <c r="AB214" i="1"/>
  <c r="AC214" i="1"/>
  <c r="AD214" i="1"/>
  <c r="AE214" i="1"/>
  <c r="AF214" i="1"/>
  <c r="AG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23" i="1"/>
  <c r="L223" i="1"/>
  <c r="M223" i="1"/>
  <c r="N223" i="1" s="1"/>
  <c r="V223" i="1"/>
  <c r="Y223" i="1"/>
  <c r="Z223" i="1"/>
  <c r="AI223" i="1" s="1"/>
  <c r="AB223" i="1"/>
  <c r="AC223" i="1"/>
  <c r="AD223" i="1"/>
  <c r="AG223" i="1" s="1"/>
  <c r="AE223" i="1"/>
  <c r="AF223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170" i="1"/>
  <c r="AM170" i="1"/>
  <c r="AN170" i="1"/>
  <c r="K225" i="1"/>
  <c r="L225" i="1"/>
  <c r="M225" i="1"/>
  <c r="N225" i="1" s="1"/>
  <c r="T225" i="1"/>
  <c r="V225" i="1"/>
  <c r="X225" i="1"/>
  <c r="Y225" i="1"/>
  <c r="Z225" i="1"/>
  <c r="AA225" i="1" s="1"/>
  <c r="AB225" i="1"/>
  <c r="AC225" i="1"/>
  <c r="AD225" i="1"/>
  <c r="AE225" i="1"/>
  <c r="AF225" i="1"/>
  <c r="AG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7" i="1"/>
  <c r="AM177" i="1"/>
  <c r="AN17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8" i="1"/>
  <c r="AM178" i="1"/>
  <c r="AN17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79" i="1"/>
  <c r="AM179" i="1"/>
  <c r="AN17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0" i="1"/>
  <c r="AM180" i="1"/>
  <c r="AN18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1" i="1"/>
  <c r="AM181" i="1"/>
  <c r="AN18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2" i="1"/>
  <c r="AM182" i="1"/>
  <c r="AN182" i="1"/>
  <c r="K163" i="1"/>
  <c r="L163" i="1"/>
  <c r="M163" i="1"/>
  <c r="N163" i="1" s="1"/>
  <c r="V163" i="1"/>
  <c r="Y163" i="1"/>
  <c r="AA163" i="1" s="1"/>
  <c r="Z163" i="1"/>
  <c r="AB163" i="1"/>
  <c r="AC163" i="1"/>
  <c r="AD163" i="1"/>
  <c r="AE163" i="1"/>
  <c r="AF163" i="1"/>
  <c r="AH183" i="1"/>
  <c r="AM183" i="1"/>
  <c r="AN18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84" i="1"/>
  <c r="AM184" i="1"/>
  <c r="AN18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5" i="1"/>
  <c r="AM185" i="1"/>
  <c r="AN185" i="1"/>
  <c r="K166" i="1"/>
  <c r="L166" i="1"/>
  <c r="M166" i="1"/>
  <c r="N166" i="1" s="1"/>
  <c r="V166" i="1"/>
  <c r="Y166" i="1"/>
  <c r="Z166" i="1"/>
  <c r="AA166" i="1" s="1"/>
  <c r="AB166" i="1"/>
  <c r="AC166" i="1"/>
  <c r="AD166" i="1"/>
  <c r="AG166" i="1" s="1"/>
  <c r="AE166" i="1"/>
  <c r="AF166" i="1"/>
  <c r="AH186" i="1"/>
  <c r="AM186" i="1"/>
  <c r="AN18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7" i="1"/>
  <c r="AM187" i="1"/>
  <c r="AN187" i="1"/>
  <c r="K168" i="1"/>
  <c r="L168" i="1"/>
  <c r="M168" i="1"/>
  <c r="N168" i="1" s="1"/>
  <c r="V168" i="1"/>
  <c r="S31" i="3" s="1"/>
  <c r="Y168" i="1"/>
  <c r="Z168" i="1"/>
  <c r="AB168" i="1"/>
  <c r="AC168" i="1"/>
  <c r="AD168" i="1"/>
  <c r="AE168" i="1"/>
  <c r="AF168" i="1"/>
  <c r="AH188" i="1"/>
  <c r="AM188" i="1"/>
  <c r="AN18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9" i="1"/>
  <c r="AM189" i="1"/>
  <c r="AN189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0" i="1"/>
  <c r="AM190" i="1"/>
  <c r="AN19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1" i="1"/>
  <c r="AM191" i="1"/>
  <c r="AN19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2" i="1"/>
  <c r="AM192" i="1"/>
  <c r="AN19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3" i="1"/>
  <c r="AM193" i="1"/>
  <c r="AN19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4" i="1"/>
  <c r="AM194" i="1"/>
  <c r="AN194" i="1"/>
  <c r="K175" i="1"/>
  <c r="L175" i="1"/>
  <c r="M175" i="1"/>
  <c r="N175" i="1" s="1"/>
  <c r="V175" i="1"/>
  <c r="Y175" i="1"/>
  <c r="Z175" i="1"/>
  <c r="AA175" i="1" s="1"/>
  <c r="AB175" i="1"/>
  <c r="AC175" i="1"/>
  <c r="AD175" i="1"/>
  <c r="AG175" i="1" s="1"/>
  <c r="AE175" i="1"/>
  <c r="AF175" i="1"/>
  <c r="AH195" i="1"/>
  <c r="AM195" i="1"/>
  <c r="AN195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96" i="1"/>
  <c r="AM196" i="1"/>
  <c r="AN196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AH197" i="1"/>
  <c r="AM197" i="1"/>
  <c r="AN197" i="1"/>
  <c r="K178" i="1"/>
  <c r="L178" i="1"/>
  <c r="M178" i="1"/>
  <c r="N178" i="1"/>
  <c r="V178" i="1"/>
  <c r="Y178" i="1"/>
  <c r="Z178" i="1"/>
  <c r="AA178" i="1"/>
  <c r="AB178" i="1"/>
  <c r="AC178" i="1"/>
  <c r="AD178" i="1"/>
  <c r="AG178" i="1" s="1"/>
  <c r="AE178" i="1"/>
  <c r="AF178" i="1"/>
  <c r="AH198" i="1"/>
  <c r="AM198" i="1"/>
  <c r="AN198" i="1"/>
  <c r="K179" i="1"/>
  <c r="L179" i="1"/>
  <c r="M179" i="1"/>
  <c r="N179" i="1" s="1"/>
  <c r="V179" i="1"/>
  <c r="S21" i="3" s="1"/>
  <c r="Y179" i="1"/>
  <c r="Z179" i="1"/>
  <c r="AA179" i="1" s="1"/>
  <c r="AB179" i="1"/>
  <c r="AC179" i="1"/>
  <c r="AD179" i="1"/>
  <c r="AE179" i="1"/>
  <c r="AF179" i="1"/>
  <c r="AH199" i="1"/>
  <c r="AM199" i="1"/>
  <c r="AN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AM200" i="1"/>
  <c r="AN200" i="1"/>
  <c r="K181" i="1"/>
  <c r="L181" i="1"/>
  <c r="M181" i="1"/>
  <c r="N181" i="1"/>
  <c r="V181" i="1"/>
  <c r="Y181" i="1"/>
  <c r="Z181" i="1"/>
  <c r="AB181" i="1"/>
  <c r="AC181" i="1"/>
  <c r="AD181" i="1"/>
  <c r="AG181" i="1" s="1"/>
  <c r="AE181" i="1"/>
  <c r="AF181" i="1"/>
  <c r="AH201" i="1"/>
  <c r="AM201" i="1"/>
  <c r="AN20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2" i="1"/>
  <c r="AM202" i="1"/>
  <c r="AN202" i="1"/>
  <c r="K183" i="1"/>
  <c r="L183" i="1"/>
  <c r="M183" i="1"/>
  <c r="N183" i="1" s="1"/>
  <c r="V183" i="1"/>
  <c r="Y183" i="1"/>
  <c r="Z183" i="1"/>
  <c r="AA183" i="1"/>
  <c r="AB183" i="1"/>
  <c r="AC183" i="1"/>
  <c r="AD183" i="1"/>
  <c r="AG183" i="1" s="1"/>
  <c r="AE183" i="1"/>
  <c r="AF183" i="1"/>
  <c r="AH203" i="1"/>
  <c r="AM203" i="1"/>
  <c r="AN20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04" i="1"/>
  <c r="AM204" i="1"/>
  <c r="AN20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5" i="1"/>
  <c r="AM205" i="1"/>
  <c r="AN205" i="1"/>
  <c r="K186" i="1"/>
  <c r="L186" i="1"/>
  <c r="M186" i="1"/>
  <c r="N186" i="1" s="1"/>
  <c r="V186" i="1"/>
  <c r="Y186" i="1"/>
  <c r="Z186" i="1"/>
  <c r="AA186" i="1" s="1"/>
  <c r="AB186" i="1"/>
  <c r="AC186" i="1"/>
  <c r="AD186" i="1"/>
  <c r="T186" i="1" s="1"/>
  <c r="AE186" i="1"/>
  <c r="AF186" i="1"/>
  <c r="AH206" i="1"/>
  <c r="AM206" i="1"/>
  <c r="AN20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7" i="1"/>
  <c r="AM207" i="1"/>
  <c r="AN20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8" i="1"/>
  <c r="AM208" i="1"/>
  <c r="AN208" i="1"/>
  <c r="K189" i="1"/>
  <c r="L189" i="1"/>
  <c r="M189" i="1"/>
  <c r="N189" i="1" s="1"/>
  <c r="V189" i="1"/>
  <c r="Y189" i="1"/>
  <c r="Z189" i="1"/>
  <c r="AA189" i="1" s="1"/>
  <c r="W189" i="1" s="1"/>
  <c r="AB189" i="1"/>
  <c r="AC189" i="1"/>
  <c r="AD189" i="1"/>
  <c r="AG189" i="1" s="1"/>
  <c r="AE189" i="1"/>
  <c r="AF189" i="1"/>
  <c r="AH209" i="1"/>
  <c r="AM209" i="1"/>
  <c r="AN209" i="1"/>
  <c r="K190" i="1"/>
  <c r="L190" i="1"/>
  <c r="M190" i="1"/>
  <c r="N190" i="1"/>
  <c r="V190" i="1"/>
  <c r="Y190" i="1"/>
  <c r="Z190" i="1"/>
  <c r="AA190" i="1"/>
  <c r="AB190" i="1"/>
  <c r="AC190" i="1"/>
  <c r="AD190" i="1"/>
  <c r="T190" i="1" s="1"/>
  <c r="AE190" i="1"/>
  <c r="AF190" i="1"/>
  <c r="AH210" i="1"/>
  <c r="AM210" i="1"/>
  <c r="AN210" i="1"/>
  <c r="K191" i="1"/>
  <c r="L191" i="1"/>
  <c r="M191" i="1"/>
  <c r="N191" i="1" s="1"/>
  <c r="V191" i="1"/>
  <c r="S26" i="3" s="1"/>
  <c r="Y191" i="1"/>
  <c r="Z191" i="1"/>
  <c r="AA191" i="1" s="1"/>
  <c r="AB191" i="1"/>
  <c r="AC191" i="1"/>
  <c r="AD191" i="1"/>
  <c r="AG191" i="1" s="1"/>
  <c r="AE191" i="1"/>
  <c r="AF191" i="1"/>
  <c r="AH211" i="1"/>
  <c r="AM211" i="1"/>
  <c r="AN211" i="1"/>
  <c r="K192" i="1"/>
  <c r="L192" i="1"/>
  <c r="M192" i="1"/>
  <c r="N192" i="1" s="1"/>
  <c r="V192" i="1"/>
  <c r="S32" i="3" s="1"/>
  <c r="Y192" i="1"/>
  <c r="Z192" i="1"/>
  <c r="AB192" i="1"/>
  <c r="AC192" i="1"/>
  <c r="AD192" i="1"/>
  <c r="T192" i="1" s="1"/>
  <c r="AE192" i="1"/>
  <c r="AF192" i="1"/>
  <c r="AG192" i="1"/>
  <c r="AH212" i="1"/>
  <c r="AM212" i="1"/>
  <c r="AN21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3" i="1"/>
  <c r="AM213" i="1"/>
  <c r="AN21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4" i="1"/>
  <c r="AM214" i="1"/>
  <c r="AN214" i="1"/>
  <c r="K195" i="1"/>
  <c r="L195" i="1"/>
  <c r="M195" i="1"/>
  <c r="N195" i="1" s="1"/>
  <c r="V195" i="1"/>
  <c r="S27" i="3" s="1"/>
  <c r="Y195" i="1"/>
  <c r="Z195" i="1"/>
  <c r="AB195" i="1"/>
  <c r="AC195" i="1"/>
  <c r="AD195" i="1"/>
  <c r="AG195" i="1" s="1"/>
  <c r="AE195" i="1"/>
  <c r="AF195" i="1"/>
  <c r="AH215" i="1"/>
  <c r="AM215" i="1"/>
  <c r="AN215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16" i="1"/>
  <c r="AM216" i="1"/>
  <c r="AN21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7" i="1"/>
  <c r="AM217" i="1"/>
  <c r="AN217" i="1"/>
  <c r="K198" i="1"/>
  <c r="L198" i="1"/>
  <c r="M198" i="1"/>
  <c r="N198" i="1" s="1"/>
  <c r="V198" i="1"/>
  <c r="S33" i="3" s="1"/>
  <c r="Y198" i="1"/>
  <c r="Z198" i="1"/>
  <c r="AB198" i="1"/>
  <c r="AC198" i="1"/>
  <c r="AD198" i="1"/>
  <c r="T198" i="1" s="1"/>
  <c r="AE198" i="1"/>
  <c r="AF198" i="1"/>
  <c r="AH218" i="1"/>
  <c r="AM218" i="1"/>
  <c r="AN218" i="1"/>
  <c r="K199" i="1"/>
  <c r="L199" i="1"/>
  <c r="M199" i="1"/>
  <c r="N199" i="1" s="1"/>
  <c r="V199" i="1"/>
  <c r="S29" i="3" s="1"/>
  <c r="Y199" i="1"/>
  <c r="Z199" i="1"/>
  <c r="AB199" i="1"/>
  <c r="AC199" i="1"/>
  <c r="AD199" i="1"/>
  <c r="AG199" i="1" s="1"/>
  <c r="AE199" i="1"/>
  <c r="AF199" i="1"/>
  <c r="AH219" i="1"/>
  <c r="AM219" i="1"/>
  <c r="AN21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0" i="1"/>
  <c r="AM220" i="1"/>
  <c r="AN22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21" i="1"/>
  <c r="AM221" i="1"/>
  <c r="AN22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2" i="1"/>
  <c r="AM222" i="1"/>
  <c r="AN22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3" i="1"/>
  <c r="AM223" i="1"/>
  <c r="AN223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24" i="1"/>
  <c r="AM224" i="1"/>
  <c r="AN224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G217" i="1"/>
  <c r="AH225" i="1"/>
  <c r="AM225" i="1"/>
  <c r="AN22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6" i="1"/>
  <c r="AM226" i="1"/>
  <c r="AN226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7" i="1"/>
  <c r="AI227" i="1"/>
  <c r="AM227" i="1"/>
  <c r="AN227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8" i="1"/>
  <c r="AM228" i="1"/>
  <c r="AN228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G221" i="1"/>
  <c r="AH229" i="1"/>
  <c r="AM229" i="1"/>
  <c r="AN22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0" i="1"/>
  <c r="AM230" i="1"/>
  <c r="AN230" i="1"/>
  <c r="M18" i="3"/>
  <c r="R18" i="3"/>
  <c r="S18" i="3"/>
  <c r="U18" i="3"/>
  <c r="T18" i="3" s="1"/>
  <c r="V18" i="3"/>
  <c r="W18" i="3"/>
  <c r="X18" i="3"/>
  <c r="M30" i="3"/>
  <c r="R30" i="3"/>
  <c r="S30" i="3"/>
  <c r="U30" i="3"/>
  <c r="T30" i="3" s="1"/>
  <c r="V30" i="3"/>
  <c r="W30" i="3"/>
  <c r="X30" i="3"/>
  <c r="AC30" i="3"/>
  <c r="M12" i="3"/>
  <c r="R12" i="3"/>
  <c r="U12" i="3"/>
  <c r="AC12" i="3" s="1"/>
  <c r="V12" i="3"/>
  <c r="W12" i="3"/>
  <c r="X12" i="3"/>
  <c r="M31" i="3"/>
  <c r="R31" i="3"/>
  <c r="U31" i="3"/>
  <c r="AC31" i="3" s="1"/>
  <c r="V31" i="3"/>
  <c r="W31" i="3"/>
  <c r="X31" i="3"/>
  <c r="M20" i="3"/>
  <c r="R20" i="3"/>
  <c r="S20" i="3"/>
  <c r="U20" i="3"/>
  <c r="AC20" i="3" s="1"/>
  <c r="V20" i="3"/>
  <c r="AE20" i="3" s="1"/>
  <c r="W20" i="3"/>
  <c r="X20" i="3"/>
  <c r="M11" i="3"/>
  <c r="R11" i="3"/>
  <c r="S11" i="3"/>
  <c r="U11" i="3"/>
  <c r="T11" i="3" s="1"/>
  <c r="V11" i="3"/>
  <c r="W11" i="3"/>
  <c r="Y11" i="3" s="1"/>
  <c r="X11" i="3"/>
  <c r="AC11" i="3"/>
  <c r="M37" i="3"/>
  <c r="R37" i="3"/>
  <c r="S37" i="3"/>
  <c r="U37" i="3"/>
  <c r="AC37" i="3" s="1"/>
  <c r="V37" i="3"/>
  <c r="W37" i="3"/>
  <c r="Y37" i="3" s="1"/>
  <c r="X37" i="3"/>
  <c r="M8" i="3"/>
  <c r="R8" i="3"/>
  <c r="U8" i="3"/>
  <c r="AC8" i="3" s="1"/>
  <c r="V8" i="3"/>
  <c r="W8" i="3"/>
  <c r="X8" i="3"/>
  <c r="M10" i="3"/>
  <c r="R10" i="3"/>
  <c r="U10" i="3"/>
  <c r="AC10" i="3" s="1"/>
  <c r="V10" i="3"/>
  <c r="W10" i="3"/>
  <c r="X10" i="3"/>
  <c r="M16" i="3"/>
  <c r="S16" i="3"/>
  <c r="U16" i="3"/>
  <c r="T16" i="3" s="1"/>
  <c r="V16" i="3"/>
  <c r="W16" i="3"/>
  <c r="X16" i="3"/>
  <c r="AC16" i="3"/>
  <c r="M15" i="3"/>
  <c r="R15" i="3"/>
  <c r="S15" i="3"/>
  <c r="U15" i="3"/>
  <c r="AD18" i="3" s="1"/>
  <c r="V15" i="3"/>
  <c r="W15" i="3"/>
  <c r="X15" i="3"/>
  <c r="M21" i="3"/>
  <c r="R21" i="3"/>
  <c r="U21" i="3"/>
  <c r="AC21" i="3" s="1"/>
  <c r="V21" i="3"/>
  <c r="W21" i="3"/>
  <c r="X21" i="3"/>
  <c r="M19" i="3"/>
  <c r="R19" i="3"/>
  <c r="S19" i="3"/>
  <c r="U19" i="3"/>
  <c r="AC19" i="3" s="1"/>
  <c r="V19" i="3"/>
  <c r="W19" i="3"/>
  <c r="X19" i="3"/>
  <c r="AD20" i="3"/>
  <c r="M22" i="3"/>
  <c r="R22" i="3"/>
  <c r="S22" i="3"/>
  <c r="U22" i="3"/>
  <c r="T22" i="3" s="1"/>
  <c r="V22" i="3"/>
  <c r="W22" i="3"/>
  <c r="Y22" i="3" s="1"/>
  <c r="X22" i="3"/>
  <c r="AC22" i="3"/>
  <c r="M23" i="3"/>
  <c r="R23" i="3"/>
  <c r="S23" i="3"/>
  <c r="U23" i="3"/>
  <c r="AD22" i="3" s="1"/>
  <c r="V23" i="3"/>
  <c r="W23" i="3"/>
  <c r="Y23" i="3" s="1"/>
  <c r="X23" i="3"/>
  <c r="M24" i="3"/>
  <c r="R24" i="3"/>
  <c r="S24" i="3"/>
  <c r="U24" i="3"/>
  <c r="AC24" i="3" s="1"/>
  <c r="V24" i="3"/>
  <c r="W24" i="3"/>
  <c r="X24" i="3"/>
  <c r="M25" i="3"/>
  <c r="R25" i="3"/>
  <c r="S25" i="3"/>
  <c r="U25" i="3"/>
  <c r="AC25" i="3" s="1"/>
  <c r="V25" i="3"/>
  <c r="W25" i="3"/>
  <c r="X25" i="3"/>
  <c r="M26" i="3"/>
  <c r="R26" i="3"/>
  <c r="U26" i="3"/>
  <c r="T26" i="3" s="1"/>
  <c r="V26" i="3"/>
  <c r="W26" i="3"/>
  <c r="X26" i="3"/>
  <c r="AC26" i="3"/>
  <c r="AD25" i="3"/>
  <c r="M35" i="3"/>
  <c r="R35" i="3"/>
  <c r="S35" i="3"/>
  <c r="U35" i="3"/>
  <c r="V35" i="3"/>
  <c r="W35" i="3"/>
  <c r="X35" i="3"/>
  <c r="M36" i="3"/>
  <c r="R36" i="3"/>
  <c r="S36" i="3"/>
  <c r="U36" i="3"/>
  <c r="AC36" i="3" s="1"/>
  <c r="V36" i="3"/>
  <c r="W36" i="3"/>
  <c r="X36" i="3"/>
  <c r="M32" i="3"/>
  <c r="R32" i="3"/>
  <c r="U32" i="3"/>
  <c r="AC32" i="3" s="1"/>
  <c r="V32" i="3"/>
  <c r="W32" i="3"/>
  <c r="X32" i="3"/>
  <c r="M14" i="3"/>
  <c r="R14" i="3"/>
  <c r="U14" i="3"/>
  <c r="T14" i="3" s="1"/>
  <c r="V14" i="3"/>
  <c r="W14" i="3"/>
  <c r="X14" i="3"/>
  <c r="AC14" i="3"/>
  <c r="M27" i="3"/>
  <c r="R27" i="3"/>
  <c r="U27" i="3"/>
  <c r="V27" i="3"/>
  <c r="W27" i="3"/>
  <c r="Y27" i="3" s="1"/>
  <c r="X27" i="3"/>
  <c r="M13" i="3"/>
  <c r="S13" i="3"/>
  <c r="U13" i="3"/>
  <c r="AC13" i="3" s="1"/>
  <c r="V13" i="3"/>
  <c r="W13" i="3"/>
  <c r="X13" i="3"/>
  <c r="M33" i="3"/>
  <c r="R33" i="3"/>
  <c r="U33" i="3"/>
  <c r="AC33" i="3" s="1"/>
  <c r="V33" i="3"/>
  <c r="W33" i="3"/>
  <c r="X33" i="3"/>
  <c r="M28" i="3"/>
  <c r="R28" i="3"/>
  <c r="S28" i="3"/>
  <c r="U28" i="3"/>
  <c r="T28" i="3" s="1"/>
  <c r="V28" i="3"/>
  <c r="W28" i="3"/>
  <c r="X28" i="3"/>
  <c r="AC28" i="3"/>
  <c r="AD33" i="3"/>
  <c r="M17" i="3"/>
  <c r="S17" i="3"/>
  <c r="U17" i="3"/>
  <c r="V17" i="3"/>
  <c r="W17" i="3"/>
  <c r="X17" i="3"/>
  <c r="M29" i="3"/>
  <c r="R29" i="3"/>
  <c r="U29" i="3"/>
  <c r="AC29" i="3" s="1"/>
  <c r="V29" i="3"/>
  <c r="W29" i="3"/>
  <c r="Y29" i="3" s="1"/>
  <c r="X29" i="3"/>
  <c r="M7" i="3"/>
  <c r="R7" i="3"/>
  <c r="S7" i="3"/>
  <c r="U7" i="3"/>
  <c r="AC7" i="3" s="1"/>
  <c r="V7" i="3"/>
  <c r="W7" i="3"/>
  <c r="X7" i="3"/>
  <c r="AD36" i="3"/>
  <c r="M9" i="3"/>
  <c r="R9" i="3"/>
  <c r="S9" i="3"/>
  <c r="U9" i="3"/>
  <c r="T9" i="3" s="1"/>
  <c r="V9" i="3"/>
  <c r="W9" i="3"/>
  <c r="X9" i="3"/>
  <c r="AC9" i="3"/>
  <c r="AD37" i="3"/>
  <c r="AD24" i="3" l="1"/>
  <c r="Y24" i="3"/>
  <c r="Y15" i="3"/>
  <c r="Y35" i="3"/>
  <c r="Y31" i="3"/>
  <c r="AG156" i="1"/>
  <c r="X156" i="1"/>
  <c r="AD30" i="3"/>
  <c r="Y30" i="3"/>
  <c r="T25" i="3"/>
  <c r="Y8" i="3"/>
  <c r="AA202" i="1"/>
  <c r="AA182" i="1"/>
  <c r="X179" i="1"/>
  <c r="AA176" i="1"/>
  <c r="W176" i="1" s="1"/>
  <c r="T176" i="1"/>
  <c r="X172" i="1"/>
  <c r="AA162" i="1"/>
  <c r="AA158" i="1"/>
  <c r="W158" i="1" s="1"/>
  <c r="AA228" i="1"/>
  <c r="X213" i="1"/>
  <c r="X154" i="1"/>
  <c r="AA154" i="1"/>
  <c r="AA150" i="1"/>
  <c r="AG146" i="1"/>
  <c r="AI146" i="1" s="1"/>
  <c r="AA145" i="1"/>
  <c r="X138" i="1"/>
  <c r="AG131" i="1"/>
  <c r="X131" i="1"/>
  <c r="X118" i="1"/>
  <c r="AG95" i="1"/>
  <c r="U95" i="1" s="1"/>
  <c r="S95" i="1" s="1"/>
  <c r="AA94" i="1"/>
  <c r="T94" i="1"/>
  <c r="AA93" i="1"/>
  <c r="AA75" i="1"/>
  <c r="AA66" i="1"/>
  <c r="AA63" i="1"/>
  <c r="AA51" i="1"/>
  <c r="AA43" i="1"/>
  <c r="W43" i="1" s="1"/>
  <c r="AA34" i="1"/>
  <c r="AA32" i="1"/>
  <c r="AA25" i="1"/>
  <c r="AA19" i="1"/>
  <c r="AA20" i="1"/>
  <c r="X17" i="1"/>
  <c r="AD32" i="3"/>
  <c r="Y13" i="3"/>
  <c r="Y36" i="3"/>
  <c r="T19" i="3"/>
  <c r="AD12" i="3"/>
  <c r="Y18" i="3"/>
  <c r="AA195" i="1"/>
  <c r="AG176" i="1"/>
  <c r="AA167" i="1"/>
  <c r="AA227" i="1"/>
  <c r="W227" i="1" s="1"/>
  <c r="AA206" i="1"/>
  <c r="AA126" i="1"/>
  <c r="AG119" i="1"/>
  <c r="AI119" i="1" s="1"/>
  <c r="AA118" i="1"/>
  <c r="T118" i="1"/>
  <c r="AA117" i="1"/>
  <c r="AI97" i="1"/>
  <c r="X94" i="1"/>
  <c r="AA89" i="1"/>
  <c r="U87" i="1"/>
  <c r="T72" i="1"/>
  <c r="AA71" i="1"/>
  <c r="AA67" i="1"/>
  <c r="W67" i="1" s="1"/>
  <c r="AA46" i="1"/>
  <c r="AA35" i="1"/>
  <c r="AA31" i="1"/>
  <c r="AA18" i="1"/>
  <c r="AA16" i="1"/>
  <c r="AA14" i="1"/>
  <c r="Y17" i="3"/>
  <c r="AD21" i="3"/>
  <c r="Y12" i="3"/>
  <c r="W225" i="1"/>
  <c r="X151" i="1"/>
  <c r="W146" i="1"/>
  <c r="U123" i="1"/>
  <c r="AI67" i="1"/>
  <c r="X66" i="1"/>
  <c r="W221" i="1"/>
  <c r="W217" i="1"/>
  <c r="T167" i="1"/>
  <c r="U167" i="1" s="1"/>
  <c r="S167" i="1" s="1"/>
  <c r="X167" i="1"/>
  <c r="AG167" i="1"/>
  <c r="AI167" i="1" s="1"/>
  <c r="AA222" i="1"/>
  <c r="AA219" i="1"/>
  <c r="W219" i="1" s="1"/>
  <c r="T219" i="1"/>
  <c r="AA218" i="1"/>
  <c r="AA203" i="1"/>
  <c r="AG201" i="1"/>
  <c r="AI201" i="1" s="1"/>
  <c r="X199" i="1"/>
  <c r="AA197" i="1"/>
  <c r="W197" i="1" s="1"/>
  <c r="AA194" i="1"/>
  <c r="T184" i="1"/>
  <c r="U184" i="1" s="1"/>
  <c r="S184" i="1" s="1"/>
  <c r="X184" i="1"/>
  <c r="AG184" i="1"/>
  <c r="AG174" i="1"/>
  <c r="X174" i="1"/>
  <c r="X168" i="1"/>
  <c r="T163" i="1"/>
  <c r="X163" i="1"/>
  <c r="AG163" i="1"/>
  <c r="AI163" i="1" s="1"/>
  <c r="X219" i="1"/>
  <c r="AA201" i="1"/>
  <c r="AA199" i="1"/>
  <c r="W199" i="1" s="1"/>
  <c r="X195" i="1"/>
  <c r="AA193" i="1"/>
  <c r="W193" i="1" s="1"/>
  <c r="T187" i="1"/>
  <c r="X187" i="1"/>
  <c r="AG187" i="1"/>
  <c r="AI187" i="1" s="1"/>
  <c r="U176" i="1"/>
  <c r="T171" i="1"/>
  <c r="X171" i="1"/>
  <c r="T168" i="1"/>
  <c r="W97" i="1"/>
  <c r="X224" i="1"/>
  <c r="W214" i="1"/>
  <c r="X150" i="1"/>
  <c r="X130" i="1"/>
  <c r="U105" i="1"/>
  <c r="S105" i="1" s="1"/>
  <c r="T89" i="1"/>
  <c r="U89" i="1" s="1"/>
  <c r="S89" i="1" s="1"/>
  <c r="AI85" i="1"/>
  <c r="T75" i="1"/>
  <c r="U75" i="1" s="1"/>
  <c r="S75" i="1" s="1"/>
  <c r="T63" i="1"/>
  <c r="U63" i="1" s="1"/>
  <c r="S63" i="1" s="1"/>
  <c r="W47" i="1"/>
  <c r="AA198" i="1"/>
  <c r="X188" i="1"/>
  <c r="AA169" i="1"/>
  <c r="AA165" i="1"/>
  <c r="X164" i="1"/>
  <c r="X159" i="1"/>
  <c r="AA159" i="1"/>
  <c r="X229" i="1"/>
  <c r="AA229" i="1"/>
  <c r="AG226" i="1"/>
  <c r="AG224" i="1"/>
  <c r="AA215" i="1"/>
  <c r="AA213" i="1"/>
  <c r="AG211" i="1"/>
  <c r="AI211" i="1" s="1"/>
  <c r="AG155" i="1"/>
  <c r="U155" i="1" s="1"/>
  <c r="X155" i="1"/>
  <c r="AG147" i="1"/>
  <c r="AI147" i="1" s="1"/>
  <c r="X147" i="1"/>
  <c r="AG139" i="1"/>
  <c r="U139" i="1" s="1"/>
  <c r="S139" i="1" s="1"/>
  <c r="X139" i="1"/>
  <c r="X134" i="1"/>
  <c r="AA129" i="1"/>
  <c r="AA124" i="1"/>
  <c r="W124" i="1" s="1"/>
  <c r="AA121" i="1"/>
  <c r="X110" i="1"/>
  <c r="AA107" i="1"/>
  <c r="AA104" i="1"/>
  <c r="AA101" i="1"/>
  <c r="T97" i="1"/>
  <c r="AA96" i="1"/>
  <c r="X80" i="1"/>
  <c r="AA73" i="1"/>
  <c r="AA61" i="1"/>
  <c r="AG59" i="1"/>
  <c r="AI59" i="1" s="1"/>
  <c r="AG57" i="1"/>
  <c r="AI57" i="1" s="1"/>
  <c r="X57" i="1"/>
  <c r="X56" i="1"/>
  <c r="X55" i="1"/>
  <c r="X47" i="1"/>
  <c r="AA41" i="1"/>
  <c r="T40" i="1"/>
  <c r="AA39" i="1"/>
  <c r="W39" i="1" s="1"/>
  <c r="AA37" i="1"/>
  <c r="AG33" i="1"/>
  <c r="X33" i="1"/>
  <c r="AA28" i="1"/>
  <c r="W28" i="1" s="1"/>
  <c r="T17" i="1"/>
  <c r="W89" i="1"/>
  <c r="W75" i="1"/>
  <c r="U69" i="1"/>
  <c r="W63" i="1"/>
  <c r="AA187" i="1"/>
  <c r="AA174" i="1"/>
  <c r="W174" i="1" s="1"/>
  <c r="AA171" i="1"/>
  <c r="AI170" i="1"/>
  <c r="AA170" i="1"/>
  <c r="AA168" i="1"/>
  <c r="AI166" i="1"/>
  <c r="AI162" i="1"/>
  <c r="AA226" i="1"/>
  <c r="W226" i="1" s="1"/>
  <c r="AA224" i="1"/>
  <c r="W224" i="1" s="1"/>
  <c r="AG215" i="1"/>
  <c r="AI215" i="1" s="1"/>
  <c r="AG213" i="1"/>
  <c r="AA211" i="1"/>
  <c r="W211" i="1" s="1"/>
  <c r="AA155" i="1"/>
  <c r="W155" i="1" s="1"/>
  <c r="AG154" i="1"/>
  <c r="AI154" i="1" s="1"/>
  <c r="AA153" i="1"/>
  <c r="X146" i="1"/>
  <c r="AA142" i="1"/>
  <c r="W142" i="1" s="1"/>
  <c r="AA139" i="1"/>
  <c r="AG138" i="1"/>
  <c r="AI138" i="1" s="1"/>
  <c r="AA134" i="1"/>
  <c r="W134" i="1" s="1"/>
  <c r="AA133" i="1"/>
  <c r="AG130" i="1"/>
  <c r="AI130" i="1" s="1"/>
  <c r="AA125" i="1"/>
  <c r="X122" i="1"/>
  <c r="AG111" i="1"/>
  <c r="AI111" i="1" s="1"/>
  <c r="AA110" i="1"/>
  <c r="T110" i="1"/>
  <c r="AA109" i="1"/>
  <c r="AA105" i="1"/>
  <c r="W105" i="1" s="1"/>
  <c r="AA99" i="1"/>
  <c r="AA80" i="1"/>
  <c r="W80" i="1" s="1"/>
  <c r="T80" i="1"/>
  <c r="AA79" i="1"/>
  <c r="W79" i="1" s="1"/>
  <c r="T73" i="1"/>
  <c r="AA72" i="1"/>
  <c r="X72" i="1"/>
  <c r="AA56" i="1"/>
  <c r="T56" i="1"/>
  <c r="AA55" i="1"/>
  <c r="W55" i="1" s="1"/>
  <c r="X53" i="1"/>
  <c r="AA53" i="1"/>
  <c r="AG51" i="1"/>
  <c r="AI51" i="1" s="1"/>
  <c r="AA45" i="1"/>
  <c r="AA42" i="1"/>
  <c r="AG40" i="1"/>
  <c r="U40" i="1" s="1"/>
  <c r="S40" i="1" s="1"/>
  <c r="AG25" i="1"/>
  <c r="X25" i="1"/>
  <c r="X21" i="1"/>
  <c r="AA21" i="1"/>
  <c r="AG17" i="1"/>
  <c r="U219" i="1"/>
  <c r="S219" i="1" s="1"/>
  <c r="AI219" i="1"/>
  <c r="U217" i="1"/>
  <c r="X203" i="1"/>
  <c r="AG203" i="1"/>
  <c r="W195" i="1"/>
  <c r="W191" i="1"/>
  <c r="AI142" i="1"/>
  <c r="AI134" i="1"/>
  <c r="W126" i="1"/>
  <c r="T220" i="1"/>
  <c r="X220" i="1"/>
  <c r="AG220" i="1"/>
  <c r="X216" i="1"/>
  <c r="AG216" i="1"/>
  <c r="T216" i="1"/>
  <c r="AI195" i="1"/>
  <c r="AI191" i="1"/>
  <c r="AI175" i="1"/>
  <c r="AI126" i="1"/>
  <c r="AI199" i="1"/>
  <c r="W206" i="1"/>
  <c r="W150" i="1"/>
  <c r="W203" i="1"/>
  <c r="AI183" i="1"/>
  <c r="AI150" i="1"/>
  <c r="T195" i="1"/>
  <c r="U195" i="1" s="1"/>
  <c r="S195" i="1" s="1"/>
  <c r="X191" i="1"/>
  <c r="AA185" i="1"/>
  <c r="W185" i="1" s="1"/>
  <c r="X183" i="1"/>
  <c r="AG180" i="1"/>
  <c r="U180" i="1" s="1"/>
  <c r="X180" i="1"/>
  <c r="X178" i="1"/>
  <c r="X175" i="1"/>
  <c r="AA173" i="1"/>
  <c r="W173" i="1" s="1"/>
  <c r="AA172" i="1"/>
  <c r="T172" i="1"/>
  <c r="AG171" i="1"/>
  <c r="W171" i="1" s="1"/>
  <c r="T170" i="1"/>
  <c r="W167" i="1"/>
  <c r="T166" i="1"/>
  <c r="W163" i="1"/>
  <c r="T162" i="1"/>
  <c r="AA161" i="1"/>
  <c r="W161" i="1" s="1"/>
  <c r="AA160" i="1"/>
  <c r="T159" i="1"/>
  <c r="X228" i="1"/>
  <c r="U226" i="1"/>
  <c r="U215" i="1"/>
  <c r="S215" i="1" s="1"/>
  <c r="U211" i="1"/>
  <c r="S211" i="1" s="1"/>
  <c r="X206" i="1"/>
  <c r="T150" i="1"/>
  <c r="U150" i="1" s="1"/>
  <c r="S150" i="1" s="1"/>
  <c r="AA148" i="1"/>
  <c r="W148" i="1" s="1"/>
  <c r="AA147" i="1"/>
  <c r="W147" i="1" s="1"/>
  <c r="U146" i="1"/>
  <c r="S146" i="1" s="1"/>
  <c r="X142" i="1"/>
  <c r="T134" i="1"/>
  <c r="U134" i="1" s="1"/>
  <c r="S134" i="1" s="1"/>
  <c r="AA132" i="1"/>
  <c r="W132" i="1" s="1"/>
  <c r="AA131" i="1"/>
  <c r="W131" i="1" s="1"/>
  <c r="U130" i="1"/>
  <c r="S130" i="1" s="1"/>
  <c r="X126" i="1"/>
  <c r="X121" i="1"/>
  <c r="AG120" i="1"/>
  <c r="AI120" i="1" s="1"/>
  <c r="X120" i="1"/>
  <c r="T120" i="1"/>
  <c r="T115" i="1"/>
  <c r="U115" i="1" s="1"/>
  <c r="S115" i="1" s="1"/>
  <c r="AG115" i="1"/>
  <c r="W115" i="1" s="1"/>
  <c r="AI55" i="1"/>
  <c r="AA216" i="1"/>
  <c r="W216" i="1" s="1"/>
  <c r="AG200" i="1"/>
  <c r="U200" i="1" s="1"/>
  <c r="S200" i="1" s="1"/>
  <c r="X200" i="1"/>
  <c r="AA196" i="1"/>
  <c r="T196" i="1"/>
  <c r="U192" i="1"/>
  <c r="S192" i="1" s="1"/>
  <c r="X192" i="1"/>
  <c r="AA188" i="1"/>
  <c r="T188" i="1"/>
  <c r="U187" i="1"/>
  <c r="S187" i="1" s="1"/>
  <c r="W183" i="1"/>
  <c r="T179" i="1"/>
  <c r="W175" i="1"/>
  <c r="AA164" i="1"/>
  <c r="T164" i="1"/>
  <c r="T158" i="1"/>
  <c r="AA157" i="1"/>
  <c r="AA230" i="1"/>
  <c r="T229" i="1"/>
  <c r="T224" i="1"/>
  <c r="AA223" i="1"/>
  <c r="W223" i="1" s="1"/>
  <c r="T213" i="1"/>
  <c r="U213" i="1" s="1"/>
  <c r="S213" i="1" s="1"/>
  <c r="AA212" i="1"/>
  <c r="AG207" i="1"/>
  <c r="AI207" i="1" s="1"/>
  <c r="X207" i="1"/>
  <c r="T154" i="1"/>
  <c r="AA152" i="1"/>
  <c r="AA151" i="1"/>
  <c r="T151" i="1"/>
  <c r="AG143" i="1"/>
  <c r="U143" i="1" s="1"/>
  <c r="X143" i="1"/>
  <c r="T138" i="1"/>
  <c r="AA136" i="1"/>
  <c r="W136" i="1" s="1"/>
  <c r="AA135" i="1"/>
  <c r="T135" i="1"/>
  <c r="AG127" i="1"/>
  <c r="U127" i="1" s="1"/>
  <c r="X127" i="1"/>
  <c r="T122" i="1"/>
  <c r="U73" i="1"/>
  <c r="AI73" i="1"/>
  <c r="T199" i="1"/>
  <c r="U199" i="1" s="1"/>
  <c r="S199" i="1" s="1"/>
  <c r="T191" i="1"/>
  <c r="U191" i="1" s="1"/>
  <c r="S191" i="1" s="1"/>
  <c r="T183" i="1"/>
  <c r="U183" i="1" s="1"/>
  <c r="S183" i="1" s="1"/>
  <c r="AA181" i="1"/>
  <c r="W181" i="1" s="1"/>
  <c r="AA180" i="1"/>
  <c r="AG179" i="1"/>
  <c r="T178" i="1"/>
  <c r="T175" i="1"/>
  <c r="U175" i="1" s="1"/>
  <c r="S175" i="1" s="1"/>
  <c r="AG172" i="1"/>
  <c r="X170" i="1"/>
  <c r="X166" i="1"/>
  <c r="X162" i="1"/>
  <c r="AG160" i="1"/>
  <c r="U160" i="1" s="1"/>
  <c r="S160" i="1" s="1"/>
  <c r="AG159" i="1"/>
  <c r="AI159" i="1" s="1"/>
  <c r="T228" i="1"/>
  <c r="U224" i="1"/>
  <c r="S224" i="1" s="1"/>
  <c r="T206" i="1"/>
  <c r="U206" i="1" s="1"/>
  <c r="S206" i="1" s="1"/>
  <c r="U154" i="1"/>
  <c r="S154" i="1" s="1"/>
  <c r="T142" i="1"/>
  <c r="U142" i="1" s="1"/>
  <c r="S142" i="1" s="1"/>
  <c r="W139" i="1"/>
  <c r="U138" i="1"/>
  <c r="S138" i="1" s="1"/>
  <c r="U131" i="1"/>
  <c r="T126" i="1"/>
  <c r="U126" i="1" s="1"/>
  <c r="S126" i="1" s="1"/>
  <c r="W123" i="1"/>
  <c r="U122" i="1"/>
  <c r="S122" i="1" s="1"/>
  <c r="T121" i="1"/>
  <c r="AG114" i="1"/>
  <c r="U114" i="1" s="1"/>
  <c r="S114" i="1" s="1"/>
  <c r="T114" i="1"/>
  <c r="X114" i="1"/>
  <c r="U201" i="1"/>
  <c r="AA220" i="1"/>
  <c r="W220" i="1" s="1"/>
  <c r="AA200" i="1"/>
  <c r="AG196" i="1"/>
  <c r="U196" i="1" s="1"/>
  <c r="S196" i="1" s="1"/>
  <c r="AA192" i="1"/>
  <c r="W192" i="1" s="1"/>
  <c r="AG188" i="1"/>
  <c r="U188" i="1" s="1"/>
  <c r="AA184" i="1"/>
  <c r="W184" i="1" s="1"/>
  <c r="T174" i="1"/>
  <c r="U174" i="1" s="1"/>
  <c r="S174" i="1" s="1"/>
  <c r="AG168" i="1"/>
  <c r="AG164" i="1"/>
  <c r="X158" i="1"/>
  <c r="AG230" i="1"/>
  <c r="AG229" i="1"/>
  <c r="AA210" i="1"/>
  <c r="W210" i="1" s="1"/>
  <c r="AA209" i="1"/>
  <c r="W209" i="1" s="1"/>
  <c r="AA208" i="1"/>
  <c r="W208" i="1" s="1"/>
  <c r="AG151" i="1"/>
  <c r="AA144" i="1"/>
  <c r="AA143" i="1"/>
  <c r="W143" i="1" s="1"/>
  <c r="AG135" i="1"/>
  <c r="AA128" i="1"/>
  <c r="W128" i="1" s="1"/>
  <c r="AA127" i="1"/>
  <c r="W127" i="1" s="1"/>
  <c r="AA120" i="1"/>
  <c r="W120" i="1" s="1"/>
  <c r="AG117" i="1"/>
  <c r="W117" i="1" s="1"/>
  <c r="T117" i="1"/>
  <c r="U119" i="1"/>
  <c r="S119" i="1" s="1"/>
  <c r="AA119" i="1"/>
  <c r="W119" i="1" s="1"/>
  <c r="AA116" i="1"/>
  <c r="AG109" i="1"/>
  <c r="AG107" i="1"/>
  <c r="U107" i="1" s="1"/>
  <c r="S107" i="1" s="1"/>
  <c r="AA106" i="1"/>
  <c r="T106" i="1"/>
  <c r="X105" i="1"/>
  <c r="AA103" i="1"/>
  <c r="W103" i="1" s="1"/>
  <c r="T101" i="1"/>
  <c r="AA100" i="1"/>
  <c r="X98" i="1"/>
  <c r="AG93" i="1"/>
  <c r="W93" i="1" s="1"/>
  <c r="AG91" i="1"/>
  <c r="U91" i="1" s="1"/>
  <c r="S91" i="1" s="1"/>
  <c r="AA90" i="1"/>
  <c r="T90" i="1"/>
  <c r="X89" i="1"/>
  <c r="AA87" i="1"/>
  <c r="W87" i="1" s="1"/>
  <c r="AA85" i="1"/>
  <c r="W85" i="1" s="1"/>
  <c r="X84" i="1"/>
  <c r="AG79" i="1"/>
  <c r="X78" i="1"/>
  <c r="AA76" i="1"/>
  <c r="T76" i="1"/>
  <c r="X75" i="1"/>
  <c r="T71" i="1"/>
  <c r="AA70" i="1"/>
  <c r="AA69" i="1"/>
  <c r="W69" i="1" s="1"/>
  <c r="X68" i="1"/>
  <c r="T65" i="1"/>
  <c r="AA64" i="1"/>
  <c r="T64" i="1"/>
  <c r="X63" i="1"/>
  <c r="AG61" i="1"/>
  <c r="X61" i="1"/>
  <c r="X60" i="1"/>
  <c r="X59" i="1"/>
  <c r="X58" i="1"/>
  <c r="T53" i="1"/>
  <c r="AA52" i="1"/>
  <c r="T52" i="1"/>
  <c r="U52" i="1" s="1"/>
  <c r="S52" i="1" s="1"/>
  <c r="AA50" i="1"/>
  <c r="T50" i="1"/>
  <c r="AG48" i="1"/>
  <c r="U48" i="1" s="1"/>
  <c r="X48" i="1"/>
  <c r="T47" i="1"/>
  <c r="AA40" i="1"/>
  <c r="T39" i="1"/>
  <c r="U39" i="1" s="1"/>
  <c r="S39" i="1" s="1"/>
  <c r="X36" i="1"/>
  <c r="T28" i="1"/>
  <c r="AA26" i="1"/>
  <c r="X20" i="1"/>
  <c r="X101" i="1"/>
  <c r="X71" i="1"/>
  <c r="T55" i="1"/>
  <c r="U55" i="1" s="1"/>
  <c r="S55" i="1" s="1"/>
  <c r="U51" i="1"/>
  <c r="S51" i="1" s="1"/>
  <c r="AA38" i="1"/>
  <c r="T37" i="1"/>
  <c r="X32" i="1"/>
  <c r="AG29" i="1"/>
  <c r="W29" i="1" s="1"/>
  <c r="X29" i="1"/>
  <c r="W25" i="1"/>
  <c r="T24" i="1"/>
  <c r="AA22" i="1"/>
  <c r="T21" i="1"/>
  <c r="X16" i="1"/>
  <c r="AA114" i="1"/>
  <c r="X113" i="1"/>
  <c r="AA111" i="1"/>
  <c r="AA108" i="1"/>
  <c r="X106" i="1"/>
  <c r="AG101" i="1"/>
  <c r="W101" i="1" s="1"/>
  <c r="AG99" i="1"/>
  <c r="W99" i="1" s="1"/>
  <c r="AA98" i="1"/>
  <c r="T98" i="1"/>
  <c r="X97" i="1"/>
  <c r="AA95" i="1"/>
  <c r="AA92" i="1"/>
  <c r="X90" i="1"/>
  <c r="AA86" i="1"/>
  <c r="AA84" i="1"/>
  <c r="W84" i="1" s="1"/>
  <c r="T84" i="1"/>
  <c r="X83" i="1"/>
  <c r="AG81" i="1"/>
  <c r="AA78" i="1"/>
  <c r="AA77" i="1"/>
  <c r="W77" i="1" s="1"/>
  <c r="X76" i="1"/>
  <c r="AG71" i="1"/>
  <c r="W71" i="1" s="1"/>
  <c r="X70" i="1"/>
  <c r="AA68" i="1"/>
  <c r="W68" i="1" s="1"/>
  <c r="T68" i="1"/>
  <c r="X67" i="1"/>
  <c r="AG65" i="1"/>
  <c r="X65" i="1"/>
  <c r="X64" i="1"/>
  <c r="AA60" i="1"/>
  <c r="W60" i="1" s="1"/>
  <c r="T60" i="1"/>
  <c r="AA58" i="1"/>
  <c r="W58" i="1" s="1"/>
  <c r="T58" i="1"/>
  <c r="AA57" i="1"/>
  <c r="W57" i="1" s="1"/>
  <c r="AG53" i="1"/>
  <c r="X52" i="1"/>
  <c r="X51" i="1"/>
  <c r="X50" i="1"/>
  <c r="AA49" i="1"/>
  <c r="AA44" i="1"/>
  <c r="W44" i="1" s="1"/>
  <c r="T43" i="1"/>
  <c r="T36" i="1"/>
  <c r="U36" i="1" s="1"/>
  <c r="S36" i="1" s="1"/>
  <c r="X28" i="1"/>
  <c r="T20" i="1"/>
  <c r="U113" i="1"/>
  <c r="S113" i="1" s="1"/>
  <c r="U111" i="1"/>
  <c r="S111" i="1" s="1"/>
  <c r="X109" i="1"/>
  <c r="AI105" i="1"/>
  <c r="U97" i="1"/>
  <c r="S97" i="1" s="1"/>
  <c r="X93" i="1"/>
  <c r="AI89" i="1"/>
  <c r="U83" i="1"/>
  <c r="S83" i="1" s="1"/>
  <c r="X82" i="1"/>
  <c r="X79" i="1"/>
  <c r="U77" i="1"/>
  <c r="S77" i="1" s="1"/>
  <c r="AI75" i="1"/>
  <c r="W73" i="1"/>
  <c r="AI69" i="1"/>
  <c r="U67" i="1"/>
  <c r="S67" i="1" s="1"/>
  <c r="AI63" i="1"/>
  <c r="U59" i="1"/>
  <c r="S59" i="1" s="1"/>
  <c r="U57" i="1"/>
  <c r="AG37" i="1"/>
  <c r="W37" i="1" s="1"/>
  <c r="AA33" i="1"/>
  <c r="W33" i="1" s="1"/>
  <c r="T32" i="1"/>
  <c r="U32" i="1" s="1"/>
  <c r="S32" i="1" s="1"/>
  <c r="AA30" i="1"/>
  <c r="X24" i="1"/>
  <c r="AG21" i="1"/>
  <c r="W21" i="1" s="1"/>
  <c r="AA17" i="1"/>
  <c r="W17" i="1" s="1"/>
  <c r="T16" i="1"/>
  <c r="AI197" i="1"/>
  <c r="U170" i="1"/>
  <c r="S170" i="1" s="1"/>
  <c r="U162" i="1"/>
  <c r="S162" i="1" s="1"/>
  <c r="AI217" i="1"/>
  <c r="AI209" i="1"/>
  <c r="W177" i="1"/>
  <c r="W170" i="1"/>
  <c r="W166" i="1"/>
  <c r="W162" i="1"/>
  <c r="U230" i="1"/>
  <c r="AI173" i="1"/>
  <c r="U166" i="1"/>
  <c r="S166" i="1" s="1"/>
  <c r="AI213" i="1"/>
  <c r="W178" i="1"/>
  <c r="AI193" i="1"/>
  <c r="W169" i="1"/>
  <c r="W165" i="1"/>
  <c r="AI181" i="1"/>
  <c r="AI178" i="1"/>
  <c r="U158" i="1"/>
  <c r="S158" i="1" s="1"/>
  <c r="W157" i="1"/>
  <c r="W228" i="1"/>
  <c r="W212" i="1"/>
  <c r="U178" i="1"/>
  <c r="S178" i="1" s="1"/>
  <c r="AI189" i="1"/>
  <c r="AI185" i="1"/>
  <c r="AI177" i="1"/>
  <c r="AI174" i="1"/>
  <c r="U228" i="1"/>
  <c r="S228" i="1" s="1"/>
  <c r="AI169" i="1"/>
  <c r="AI165" i="1"/>
  <c r="U221" i="1"/>
  <c r="S221" i="1" s="1"/>
  <c r="AG222" i="1"/>
  <c r="W222" i="1" s="1"/>
  <c r="X221" i="1"/>
  <c r="AI228" i="1"/>
  <c r="AG218" i="1"/>
  <c r="W218" i="1" s="1"/>
  <c r="X217" i="1"/>
  <c r="AI224" i="1"/>
  <c r="AG202" i="1"/>
  <c r="W202" i="1" s="1"/>
  <c r="X201" i="1"/>
  <c r="AI220" i="1"/>
  <c r="AG198" i="1"/>
  <c r="AI198" i="1" s="1"/>
  <c r="X197" i="1"/>
  <c r="T197" i="1"/>
  <c r="U197" i="1" s="1"/>
  <c r="S197" i="1" s="1"/>
  <c r="AI216" i="1"/>
  <c r="AG194" i="1"/>
  <c r="AI194" i="1" s="1"/>
  <c r="X193" i="1"/>
  <c r="T193" i="1"/>
  <c r="U193" i="1" s="1"/>
  <c r="S193" i="1" s="1"/>
  <c r="AI212" i="1"/>
  <c r="AG190" i="1"/>
  <c r="AI190" i="1" s="1"/>
  <c r="X189" i="1"/>
  <c r="T189" i="1"/>
  <c r="U189" i="1" s="1"/>
  <c r="S189" i="1" s="1"/>
  <c r="AI208" i="1"/>
  <c r="S188" i="1"/>
  <c r="AG186" i="1"/>
  <c r="W186" i="1" s="1"/>
  <c r="X185" i="1"/>
  <c r="T185" i="1"/>
  <c r="U185" i="1" s="1"/>
  <c r="S185" i="1" s="1"/>
  <c r="AI204" i="1"/>
  <c r="AG182" i="1"/>
  <c r="AI182" i="1" s="1"/>
  <c r="X181" i="1"/>
  <c r="T181" i="1"/>
  <c r="U181" i="1" s="1"/>
  <c r="S181" i="1" s="1"/>
  <c r="S180" i="1"/>
  <c r="X177" i="1"/>
  <c r="T177" i="1"/>
  <c r="U177" i="1" s="1"/>
  <c r="S177" i="1" s="1"/>
  <c r="AI196" i="1"/>
  <c r="S176" i="1"/>
  <c r="X173" i="1"/>
  <c r="T173" i="1"/>
  <c r="U173" i="1" s="1"/>
  <c r="S173" i="1" s="1"/>
  <c r="AI192" i="1"/>
  <c r="X169" i="1"/>
  <c r="T169" i="1"/>
  <c r="U169" i="1" s="1"/>
  <c r="S169" i="1" s="1"/>
  <c r="AI188" i="1"/>
  <c r="X165" i="1"/>
  <c r="T165" i="1"/>
  <c r="U165" i="1" s="1"/>
  <c r="S165" i="1" s="1"/>
  <c r="AI184" i="1"/>
  <c r="X161" i="1"/>
  <c r="T161" i="1"/>
  <c r="U161" i="1" s="1"/>
  <c r="S161" i="1" s="1"/>
  <c r="AI180" i="1"/>
  <c r="T157" i="1"/>
  <c r="U157" i="1" s="1"/>
  <c r="S157" i="1" s="1"/>
  <c r="AI176" i="1"/>
  <c r="S230" i="1"/>
  <c r="X227" i="1"/>
  <c r="T227" i="1"/>
  <c r="U227" i="1" s="1"/>
  <c r="S227" i="1" s="1"/>
  <c r="AI172" i="1"/>
  <c r="S226" i="1"/>
  <c r="X223" i="1"/>
  <c r="T223" i="1"/>
  <c r="U223" i="1" s="1"/>
  <c r="S223" i="1" s="1"/>
  <c r="X212" i="1"/>
  <c r="T212" i="1"/>
  <c r="U212" i="1" s="1"/>
  <c r="S212" i="1" s="1"/>
  <c r="AI160" i="1"/>
  <c r="AI157" i="1"/>
  <c r="W144" i="1"/>
  <c r="AI140" i="1"/>
  <c r="AI124" i="1"/>
  <c r="X222" i="1"/>
  <c r="AI229" i="1"/>
  <c r="X218" i="1"/>
  <c r="AI225" i="1"/>
  <c r="S217" i="1"/>
  <c r="X202" i="1"/>
  <c r="AI221" i="1"/>
  <c r="S201" i="1"/>
  <c r="X198" i="1"/>
  <c r="X194" i="1"/>
  <c r="X190" i="1"/>
  <c r="X186" i="1"/>
  <c r="X182" i="1"/>
  <c r="U159" i="1"/>
  <c r="S159" i="1" s="1"/>
  <c r="U229" i="1"/>
  <c r="S229" i="1" s="1"/>
  <c r="U225" i="1"/>
  <c r="S225" i="1" s="1"/>
  <c r="U214" i="1"/>
  <c r="S214" i="1" s="1"/>
  <c r="U210" i="1"/>
  <c r="S210" i="1" s="1"/>
  <c r="AI144" i="1"/>
  <c r="AI128" i="1"/>
  <c r="T209" i="1"/>
  <c r="U209" i="1" s="1"/>
  <c r="S209" i="1" s="1"/>
  <c r="T208" i="1"/>
  <c r="U208" i="1" s="1"/>
  <c r="S208" i="1" s="1"/>
  <c r="X208" i="1"/>
  <c r="AA207" i="1"/>
  <c r="W207" i="1" s="1"/>
  <c r="U207" i="1"/>
  <c r="S207" i="1" s="1"/>
  <c r="W152" i="1"/>
  <c r="AI148" i="1"/>
  <c r="AI132" i="1"/>
  <c r="W121" i="1"/>
  <c r="X160" i="1"/>
  <c r="X230" i="1"/>
  <c r="X226" i="1"/>
  <c r="X215" i="1"/>
  <c r="X211" i="1"/>
  <c r="X209" i="1"/>
  <c r="AI161" i="1"/>
  <c r="W204" i="1"/>
  <c r="AI152" i="1"/>
  <c r="AI136" i="1"/>
  <c r="AI121" i="1"/>
  <c r="U121" i="1"/>
  <c r="S121" i="1" s="1"/>
  <c r="AG205" i="1"/>
  <c r="AI205" i="1" s="1"/>
  <c r="X204" i="1"/>
  <c r="T204" i="1"/>
  <c r="U204" i="1" s="1"/>
  <c r="S204" i="1" s="1"/>
  <c r="AI155" i="1"/>
  <c r="S155" i="1"/>
  <c r="AG153" i="1"/>
  <c r="W153" i="1" s="1"/>
  <c r="X152" i="1"/>
  <c r="T152" i="1"/>
  <c r="U152" i="1" s="1"/>
  <c r="S152" i="1" s="1"/>
  <c r="AI151" i="1"/>
  <c r="AG149" i="1"/>
  <c r="X148" i="1"/>
  <c r="T148" i="1"/>
  <c r="U148" i="1" s="1"/>
  <c r="S148" i="1" s="1"/>
  <c r="AG145" i="1"/>
  <c r="W145" i="1" s="1"/>
  <c r="X144" i="1"/>
  <c r="T144" i="1"/>
  <c r="U144" i="1" s="1"/>
  <c r="S144" i="1" s="1"/>
  <c r="AI143" i="1"/>
  <c r="S143" i="1"/>
  <c r="AG141" i="1"/>
  <c r="X140" i="1"/>
  <c r="T140" i="1"/>
  <c r="U140" i="1" s="1"/>
  <c r="S140" i="1" s="1"/>
  <c r="AI139" i="1"/>
  <c r="AG137" i="1"/>
  <c r="X136" i="1"/>
  <c r="T136" i="1"/>
  <c r="U136" i="1" s="1"/>
  <c r="S136" i="1" s="1"/>
  <c r="AI135" i="1"/>
  <c r="AG133" i="1"/>
  <c r="X132" i="1"/>
  <c r="T132" i="1"/>
  <c r="U132" i="1" s="1"/>
  <c r="S132" i="1" s="1"/>
  <c r="AI131" i="1"/>
  <c r="S131" i="1"/>
  <c r="AG129" i="1"/>
  <c r="W129" i="1" s="1"/>
  <c r="X128" i="1"/>
  <c r="T128" i="1"/>
  <c r="U128" i="1" s="1"/>
  <c r="S128" i="1" s="1"/>
  <c r="AI127" i="1"/>
  <c r="S127" i="1"/>
  <c r="AG125" i="1"/>
  <c r="X124" i="1"/>
  <c r="T124" i="1"/>
  <c r="U124" i="1" s="1"/>
  <c r="S124" i="1" s="1"/>
  <c r="AI123" i="1"/>
  <c r="S123" i="1"/>
  <c r="U120" i="1"/>
  <c r="S120" i="1" s="1"/>
  <c r="U118" i="1"/>
  <c r="S118" i="1"/>
  <c r="AI118" i="1"/>
  <c r="U110" i="1"/>
  <c r="S110" i="1" s="1"/>
  <c r="AI110" i="1"/>
  <c r="W106" i="1"/>
  <c r="U94" i="1"/>
  <c r="S94" i="1" s="1"/>
  <c r="AI94" i="1"/>
  <c r="W90" i="1"/>
  <c r="X205" i="1"/>
  <c r="X153" i="1"/>
  <c r="X149" i="1"/>
  <c r="X145" i="1"/>
  <c r="X141" i="1"/>
  <c r="X137" i="1"/>
  <c r="X133" i="1"/>
  <c r="X129" i="1"/>
  <c r="X125" i="1"/>
  <c r="X117" i="1"/>
  <c r="T116" i="1"/>
  <c r="X116" i="1"/>
  <c r="AG116" i="1"/>
  <c r="W116" i="1" s="1"/>
  <c r="U106" i="1"/>
  <c r="S106" i="1" s="1"/>
  <c r="AI106" i="1"/>
  <c r="U103" i="1"/>
  <c r="S103" i="1" s="1"/>
  <c r="U90" i="1"/>
  <c r="S90" i="1" s="1"/>
  <c r="AI90" i="1"/>
  <c r="U102" i="1"/>
  <c r="S102" i="1" s="1"/>
  <c r="AI102" i="1"/>
  <c r="U99" i="1"/>
  <c r="S99" i="1" s="1"/>
  <c r="W98" i="1"/>
  <c r="W118" i="1"/>
  <c r="W110" i="1"/>
  <c r="U98" i="1"/>
  <c r="S98" i="1" s="1"/>
  <c r="AI98" i="1"/>
  <c r="W94" i="1"/>
  <c r="X119" i="1"/>
  <c r="X115" i="1"/>
  <c r="AG112" i="1"/>
  <c r="X111" i="1"/>
  <c r="AG108" i="1"/>
  <c r="X107" i="1"/>
  <c r="AG104" i="1"/>
  <c r="X103" i="1"/>
  <c r="AG100" i="1"/>
  <c r="X99" i="1"/>
  <c r="AG96" i="1"/>
  <c r="W96" i="1" s="1"/>
  <c r="X95" i="1"/>
  <c r="AG92" i="1"/>
  <c r="X91" i="1"/>
  <c r="AG88" i="1"/>
  <c r="W88" i="1" s="1"/>
  <c r="S87" i="1"/>
  <c r="U85" i="1"/>
  <c r="S85" i="1" s="1"/>
  <c r="U80" i="1"/>
  <c r="S80" i="1" s="1"/>
  <c r="AI80" i="1"/>
  <c r="W76" i="1"/>
  <c r="W64" i="1"/>
  <c r="W52" i="1"/>
  <c r="W50" i="1"/>
  <c r="AI115" i="1"/>
  <c r="X112" i="1"/>
  <c r="T112" i="1"/>
  <c r="X108" i="1"/>
  <c r="T108" i="1"/>
  <c r="X104" i="1"/>
  <c r="T104" i="1"/>
  <c r="AI103" i="1"/>
  <c r="X100" i="1"/>
  <c r="T100" i="1"/>
  <c r="AI99" i="1"/>
  <c r="X96" i="1"/>
  <c r="T96" i="1"/>
  <c r="AI95" i="1"/>
  <c r="X92" i="1"/>
  <c r="T92" i="1"/>
  <c r="AI91" i="1"/>
  <c r="X88" i="1"/>
  <c r="T88" i="1"/>
  <c r="AI87" i="1"/>
  <c r="X87" i="1"/>
  <c r="AG86" i="1"/>
  <c r="U76" i="1"/>
  <c r="S76" i="1" s="1"/>
  <c r="AI76" i="1"/>
  <c r="W72" i="1"/>
  <c r="U64" i="1"/>
  <c r="S64" i="1" s="1"/>
  <c r="AI64" i="1"/>
  <c r="W56" i="1"/>
  <c r="AI52" i="1"/>
  <c r="AI50" i="1"/>
  <c r="U50" i="1"/>
  <c r="S50" i="1" s="1"/>
  <c r="X86" i="1"/>
  <c r="U72" i="1"/>
  <c r="S72" i="1" s="1"/>
  <c r="AI72" i="1"/>
  <c r="U56" i="1"/>
  <c r="S56" i="1" s="1"/>
  <c r="AI56" i="1"/>
  <c r="AI54" i="1"/>
  <c r="U54" i="1"/>
  <c r="S54" i="1" s="1"/>
  <c r="U84" i="1"/>
  <c r="S84" i="1" s="1"/>
  <c r="AI84" i="1"/>
  <c r="U68" i="1"/>
  <c r="S68" i="1"/>
  <c r="AI68" i="1"/>
  <c r="U60" i="1"/>
  <c r="S60" i="1" s="1"/>
  <c r="AI60" i="1"/>
  <c r="AI58" i="1"/>
  <c r="U58" i="1"/>
  <c r="S58" i="1" s="1"/>
  <c r="X85" i="1"/>
  <c r="AG82" i="1"/>
  <c r="W82" i="1" s="1"/>
  <c r="X81" i="1"/>
  <c r="AG78" i="1"/>
  <c r="X77" i="1"/>
  <c r="AG74" i="1"/>
  <c r="X73" i="1"/>
  <c r="AG70" i="1"/>
  <c r="W70" i="1" s="1"/>
  <c r="X69" i="1"/>
  <c r="AG66" i="1"/>
  <c r="W66" i="1" s="1"/>
  <c r="AG62" i="1"/>
  <c r="W49" i="1"/>
  <c r="AI39" i="1"/>
  <c r="U28" i="1"/>
  <c r="S28" i="1" s="1"/>
  <c r="AI28" i="1"/>
  <c r="W24" i="1"/>
  <c r="S73" i="1"/>
  <c r="S69" i="1"/>
  <c r="S57" i="1"/>
  <c r="T49" i="1"/>
  <c r="U49" i="1" s="1"/>
  <c r="S49" i="1" s="1"/>
  <c r="X49" i="1"/>
  <c r="W36" i="1"/>
  <c r="U24" i="1"/>
  <c r="S24" i="1" s="1"/>
  <c r="AI24" i="1"/>
  <c r="W20" i="1"/>
  <c r="AI49" i="1"/>
  <c r="W48" i="1"/>
  <c r="U43" i="1"/>
  <c r="S43" i="1" s="1"/>
  <c r="AI43" i="1"/>
  <c r="AI36" i="1"/>
  <c r="W32" i="1"/>
  <c r="U20" i="1"/>
  <c r="S20" i="1" s="1"/>
  <c r="AI20" i="1"/>
  <c r="W16" i="1"/>
  <c r="S48" i="1"/>
  <c r="AI48" i="1"/>
  <c r="U47" i="1"/>
  <c r="S47" i="1" s="1"/>
  <c r="AI47" i="1"/>
  <c r="AI32" i="1"/>
  <c r="U16" i="1"/>
  <c r="S16" i="1" s="1"/>
  <c r="AI16" i="1"/>
  <c r="U44" i="1"/>
  <c r="S44" i="1" s="1"/>
  <c r="U37" i="1"/>
  <c r="S37" i="1" s="1"/>
  <c r="U33" i="1"/>
  <c r="S33" i="1" s="1"/>
  <c r="U25" i="1"/>
  <c r="S25" i="1" s="1"/>
  <c r="U21" i="1"/>
  <c r="S21" i="1" s="1"/>
  <c r="U17" i="1"/>
  <c r="S17" i="1" s="1"/>
  <c r="AG45" i="1"/>
  <c r="AG41" i="1"/>
  <c r="W41" i="1" s="1"/>
  <c r="AG38" i="1"/>
  <c r="W38" i="1" s="1"/>
  <c r="AG34" i="1"/>
  <c r="AG30" i="1"/>
  <c r="AG26" i="1"/>
  <c r="AG22" i="1"/>
  <c r="AG18" i="1"/>
  <c r="W18" i="1" s="1"/>
  <c r="AG14" i="1"/>
  <c r="AG46" i="1"/>
  <c r="AI44" i="1"/>
  <c r="AG42" i="1"/>
  <c r="W42" i="1" s="1"/>
  <c r="AI37" i="1"/>
  <c r="AG35" i="1"/>
  <c r="X34" i="1"/>
  <c r="AI33" i="1"/>
  <c r="AG31" i="1"/>
  <c r="W31" i="1" s="1"/>
  <c r="X30" i="1"/>
  <c r="AG27" i="1"/>
  <c r="X26" i="1"/>
  <c r="AI25" i="1"/>
  <c r="AG23" i="1"/>
  <c r="W23" i="1" s="1"/>
  <c r="X22" i="1"/>
  <c r="AI21" i="1"/>
  <c r="AG19" i="1"/>
  <c r="X18" i="1"/>
  <c r="AI17" i="1"/>
  <c r="AG15" i="1"/>
  <c r="W15" i="1" s="1"/>
  <c r="X46" i="1"/>
  <c r="X35" i="1"/>
  <c r="X31" i="1"/>
  <c r="X27" i="1"/>
  <c r="X23" i="1"/>
  <c r="X19" i="1"/>
  <c r="X15" i="1"/>
  <c r="Y9" i="3"/>
  <c r="Y28" i="3"/>
  <c r="Y14" i="3"/>
  <c r="AD26" i="3"/>
  <c r="Y26" i="3"/>
  <c r="Y21" i="3"/>
  <c r="Y16" i="3"/>
  <c r="AD16" i="3"/>
  <c r="AD29" i="3"/>
  <c r="AD17" i="3"/>
  <c r="T10" i="3"/>
  <c r="AE11" i="3"/>
  <c r="AD9" i="3"/>
  <c r="AD28" i="3"/>
  <c r="AC15" i="3"/>
  <c r="AE16" i="3"/>
  <c r="T31" i="3"/>
  <c r="AD8" i="3"/>
  <c r="T33" i="3"/>
  <c r="Y32" i="3"/>
  <c r="Y25" i="3"/>
  <c r="Y19" i="3"/>
  <c r="Y10" i="3"/>
  <c r="AE15" i="3"/>
  <c r="AD13" i="3"/>
  <c r="T20" i="3"/>
  <c r="Y7" i="3"/>
  <c r="Y33" i="3"/>
  <c r="AE36" i="3"/>
  <c r="AC17" i="3"/>
  <c r="AE32" i="3"/>
  <c r="AC27" i="3"/>
  <c r="AE28" i="3"/>
  <c r="AC35" i="3"/>
  <c r="AE24" i="3"/>
  <c r="AC23" i="3"/>
  <c r="Y20" i="3"/>
  <c r="T8" i="3"/>
  <c r="AE12" i="3"/>
  <c r="T7" i="3"/>
  <c r="T32" i="3"/>
  <c r="AE31" i="3"/>
  <c r="T13" i="3"/>
  <c r="AE23" i="3"/>
  <c r="T24" i="3"/>
  <c r="AE19" i="3"/>
  <c r="T21" i="3"/>
  <c r="AE27" i="3"/>
  <c r="T36" i="3"/>
  <c r="AD35" i="3"/>
  <c r="T17" i="3"/>
  <c r="AD31" i="3"/>
  <c r="AE30" i="3"/>
  <c r="T27" i="3"/>
  <c r="AD27" i="3"/>
  <c r="AE26" i="3"/>
  <c r="T35" i="3"/>
  <c r="AD23" i="3"/>
  <c r="AE22" i="3"/>
  <c r="T23" i="3"/>
  <c r="AD19" i="3"/>
  <c r="AE18" i="3"/>
  <c r="T15" i="3"/>
  <c r="AD15" i="3"/>
  <c r="AE14" i="3"/>
  <c r="T37" i="3"/>
  <c r="AD11" i="3"/>
  <c r="AE10" i="3"/>
  <c r="T12" i="3"/>
  <c r="AC18" i="3"/>
  <c r="AE35" i="3"/>
  <c r="T29" i="3"/>
  <c r="AE37" i="3"/>
  <c r="AE33" i="3"/>
  <c r="AE29" i="3"/>
  <c r="AE25" i="3"/>
  <c r="AE21" i="3"/>
  <c r="AE17" i="3"/>
  <c r="AD14" i="3"/>
  <c r="AE13" i="3"/>
  <c r="AD10" i="3"/>
  <c r="AE9" i="3"/>
  <c r="AE8" i="3"/>
  <c r="AI156" i="1" l="1"/>
  <c r="U156" i="1"/>
  <c r="S156" i="1" s="1"/>
  <c r="W156" i="1"/>
  <c r="AI29" i="1"/>
  <c r="AI40" i="1"/>
  <c r="W114" i="1"/>
  <c r="U163" i="1"/>
  <c r="S163" i="1" s="1"/>
  <c r="AI200" i="1"/>
  <c r="W40" i="1"/>
  <c r="U147" i="1"/>
  <c r="S147" i="1" s="1"/>
  <c r="W187" i="1"/>
  <c r="W19" i="1"/>
  <c r="W35" i="1"/>
  <c r="AI107" i="1"/>
  <c r="AI114" i="1"/>
  <c r="W107" i="1"/>
  <c r="U151" i="1"/>
  <c r="S151" i="1" s="1"/>
  <c r="W229" i="1"/>
  <c r="W200" i="1"/>
  <c r="W201" i="1"/>
  <c r="U29" i="1"/>
  <c r="S29" i="1" s="1"/>
  <c r="W95" i="1"/>
  <c r="W111" i="1"/>
  <c r="U135" i="1"/>
  <c r="S135" i="1" s="1"/>
  <c r="U216" i="1"/>
  <c r="S216" i="1" s="1"/>
  <c r="W198" i="1"/>
  <c r="W164" i="1"/>
  <c r="W154" i="1"/>
  <c r="W215" i="1"/>
  <c r="W130" i="1"/>
  <c r="U172" i="1"/>
  <c r="S172" i="1" s="1"/>
  <c r="W180" i="1"/>
  <c r="U220" i="1"/>
  <c r="S220" i="1" s="1"/>
  <c r="W59" i="1"/>
  <c r="W91" i="1"/>
  <c r="W188" i="1"/>
  <c r="W196" i="1"/>
  <c r="W51" i="1"/>
  <c r="W213" i="1"/>
  <c r="W138" i="1"/>
  <c r="W205" i="1"/>
  <c r="AI186" i="1"/>
  <c r="U109" i="1"/>
  <c r="S109" i="1" s="1"/>
  <c r="AI109" i="1"/>
  <c r="U179" i="1"/>
  <c r="S179" i="1" s="1"/>
  <c r="AI179" i="1"/>
  <c r="W159" i="1"/>
  <c r="W172" i="1"/>
  <c r="U53" i="1"/>
  <c r="S53" i="1" s="1"/>
  <c r="AI53" i="1"/>
  <c r="U65" i="1"/>
  <c r="S65" i="1" s="1"/>
  <c r="AI65" i="1"/>
  <c r="W65" i="1"/>
  <c r="W109" i="1"/>
  <c r="U164" i="1"/>
  <c r="S164" i="1" s="1"/>
  <c r="AI164" i="1"/>
  <c r="W135" i="1"/>
  <c r="W230" i="1"/>
  <c r="U71" i="1"/>
  <c r="S71" i="1" s="1"/>
  <c r="AI71" i="1"/>
  <c r="U81" i="1"/>
  <c r="S81" i="1" s="1"/>
  <c r="AI81" i="1"/>
  <c r="U101" i="1"/>
  <c r="S101" i="1" s="1"/>
  <c r="AI101" i="1"/>
  <c r="U61" i="1"/>
  <c r="S61" i="1" s="1"/>
  <c r="AI61" i="1"/>
  <c r="U171" i="1"/>
  <c r="S171" i="1" s="1"/>
  <c r="AI171" i="1"/>
  <c r="W61" i="1"/>
  <c r="W53" i="1"/>
  <c r="W81" i="1"/>
  <c r="U79" i="1"/>
  <c r="S79" i="1" s="1"/>
  <c r="AI79" i="1"/>
  <c r="U93" i="1"/>
  <c r="S93" i="1" s="1"/>
  <c r="AI93" i="1"/>
  <c r="U117" i="1"/>
  <c r="S117" i="1" s="1"/>
  <c r="AI117" i="1"/>
  <c r="U168" i="1"/>
  <c r="S168" i="1" s="1"/>
  <c r="AI168" i="1"/>
  <c r="W151" i="1"/>
  <c r="W168" i="1"/>
  <c r="W160" i="1"/>
  <c r="W179" i="1"/>
  <c r="U203" i="1"/>
  <c r="S203" i="1" s="1"/>
  <c r="AI203" i="1"/>
  <c r="U27" i="1"/>
  <c r="S27" i="1" s="1"/>
  <c r="AI27" i="1"/>
  <c r="AI14" i="1"/>
  <c r="U14" i="1"/>
  <c r="S14" i="1" s="1"/>
  <c r="U23" i="1"/>
  <c r="S23" i="1" s="1"/>
  <c r="AI23" i="1"/>
  <c r="AI18" i="1"/>
  <c r="U18" i="1"/>
  <c r="S18" i="1" s="1"/>
  <c r="AI34" i="1"/>
  <c r="U34" i="1"/>
  <c r="S34" i="1" s="1"/>
  <c r="W14" i="1"/>
  <c r="AI86" i="1"/>
  <c r="U86" i="1"/>
  <c r="S86" i="1" s="1"/>
  <c r="W86" i="1"/>
  <c r="AI92" i="1"/>
  <c r="U92" i="1"/>
  <c r="S92" i="1" s="1"/>
  <c r="AI100" i="1"/>
  <c r="U100" i="1"/>
  <c r="S100" i="1" s="1"/>
  <c r="AI108" i="1"/>
  <c r="U108" i="1"/>
  <c r="S108" i="1" s="1"/>
  <c r="W92" i="1"/>
  <c r="W100" i="1"/>
  <c r="AI133" i="1"/>
  <c r="U133" i="1"/>
  <c r="S133" i="1" s="1"/>
  <c r="AI149" i="1"/>
  <c r="U149" i="1"/>
  <c r="S149" i="1" s="1"/>
  <c r="W133" i="1"/>
  <c r="W149" i="1"/>
  <c r="AI210" i="1"/>
  <c r="U190" i="1"/>
  <c r="S190" i="1" s="1"/>
  <c r="U46" i="1"/>
  <c r="S46" i="1" s="1"/>
  <c r="AI46" i="1"/>
  <c r="AI26" i="1"/>
  <c r="U26" i="1"/>
  <c r="S26" i="1" s="1"/>
  <c r="AI41" i="1"/>
  <c r="U41" i="1"/>
  <c r="S41" i="1" s="1"/>
  <c r="U42" i="1"/>
  <c r="S42" i="1" s="1"/>
  <c r="AI42" i="1"/>
  <c r="AI30" i="1"/>
  <c r="U30" i="1"/>
  <c r="S30" i="1" s="1"/>
  <c r="AI45" i="1"/>
  <c r="U45" i="1"/>
  <c r="S45" i="1" s="1"/>
  <c r="AI78" i="1"/>
  <c r="U78" i="1"/>
  <c r="S78" i="1" s="1"/>
  <c r="W45" i="1"/>
  <c r="AI62" i="1"/>
  <c r="U62" i="1"/>
  <c r="S62" i="1" s="1"/>
  <c r="U19" i="1"/>
  <c r="S19" i="1" s="1"/>
  <c r="AI19" i="1"/>
  <c r="U35" i="1"/>
  <c r="S35" i="1" s="1"/>
  <c r="AI35" i="1"/>
  <c r="AI22" i="1"/>
  <c r="U22" i="1"/>
  <c r="S22" i="1" s="1"/>
  <c r="AI38" i="1"/>
  <c r="U38" i="1"/>
  <c r="S38" i="1" s="1"/>
  <c r="W30" i="1"/>
  <c r="W34" i="1"/>
  <c r="W22" i="1"/>
  <c r="W46" i="1"/>
  <c r="AI66" i="1"/>
  <c r="U66" i="1"/>
  <c r="S66" i="1" s="1"/>
  <c r="AI74" i="1"/>
  <c r="U74" i="1"/>
  <c r="S74" i="1" s="1"/>
  <c r="AI82" i="1"/>
  <c r="U82" i="1"/>
  <c r="S82" i="1" s="1"/>
  <c r="W62" i="1"/>
  <c r="W74" i="1"/>
  <c r="AI137" i="1"/>
  <c r="U137" i="1"/>
  <c r="S137" i="1" s="1"/>
  <c r="S153" i="1"/>
  <c r="AI153" i="1"/>
  <c r="U153" i="1"/>
  <c r="AI214" i="1"/>
  <c r="U194" i="1"/>
  <c r="S194" i="1" s="1"/>
  <c r="U15" i="1"/>
  <c r="S15" i="1" s="1"/>
  <c r="AI15" i="1"/>
  <c r="W26" i="1"/>
  <c r="W78" i="1"/>
  <c r="AI88" i="1"/>
  <c r="U88" i="1"/>
  <c r="S88" i="1" s="1"/>
  <c r="AI96" i="1"/>
  <c r="U96" i="1"/>
  <c r="S96" i="1" s="1"/>
  <c r="AI104" i="1"/>
  <c r="U104" i="1"/>
  <c r="S104" i="1" s="1"/>
  <c r="AI112" i="1"/>
  <c r="U112" i="1"/>
  <c r="S112" i="1" s="1"/>
  <c r="W104" i="1"/>
  <c r="W108" i="1"/>
  <c r="W112" i="1"/>
  <c r="AI125" i="1"/>
  <c r="U125" i="1"/>
  <c r="S125" i="1" s="1"/>
  <c r="AI141" i="1"/>
  <c r="U141" i="1"/>
  <c r="S141" i="1" s="1"/>
  <c r="S205" i="1"/>
  <c r="U205" i="1"/>
  <c r="AI158" i="1"/>
  <c r="W125" i="1"/>
  <c r="W141" i="1"/>
  <c r="W137" i="1"/>
  <c r="AI202" i="1"/>
  <c r="U182" i="1"/>
  <c r="S182" i="1" s="1"/>
  <c r="AI218" i="1"/>
  <c r="U198" i="1"/>
  <c r="S198" i="1" s="1"/>
  <c r="AI222" i="1"/>
  <c r="U202" i="1"/>
  <c r="S202" i="1" s="1"/>
  <c r="AI226" i="1"/>
  <c r="U218" i="1"/>
  <c r="S218" i="1" s="1"/>
  <c r="AI230" i="1"/>
  <c r="U222" i="1"/>
  <c r="S222" i="1" s="1"/>
  <c r="W182" i="1"/>
  <c r="W194" i="1"/>
  <c r="U31" i="1"/>
  <c r="S31" i="1" s="1"/>
  <c r="AI31" i="1"/>
  <c r="W27" i="1"/>
  <c r="AI70" i="1"/>
  <c r="U70" i="1"/>
  <c r="S70" i="1" s="1"/>
  <c r="AI116" i="1"/>
  <c r="U116" i="1"/>
  <c r="S116" i="1" s="1"/>
  <c r="AI129" i="1"/>
  <c r="U129" i="1"/>
  <c r="S129" i="1" s="1"/>
  <c r="AI145" i="1"/>
  <c r="U145" i="1"/>
  <c r="S145" i="1" s="1"/>
  <c r="AI206" i="1"/>
  <c r="U186" i="1"/>
  <c r="S186" i="1" s="1"/>
  <c r="W190" i="1"/>
  <c r="S34" i="3"/>
  <c r="R34" i="3"/>
  <c r="M34" i="3"/>
  <c r="U34" i="3"/>
  <c r="V34" i="3"/>
  <c r="W34" i="3"/>
  <c r="X34" i="3"/>
  <c r="T34" i="3" l="1"/>
  <c r="AD34" i="3"/>
  <c r="AE34" i="3"/>
  <c r="AC34" i="3"/>
  <c r="Y34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12" i="3" s="1"/>
  <c r="G65" i="4"/>
  <c r="G66" i="4"/>
  <c r="G67" i="4"/>
  <c r="N31" i="3" s="1"/>
  <c r="G68" i="4"/>
  <c r="G69" i="4"/>
  <c r="G70" i="4"/>
  <c r="G71" i="4"/>
  <c r="G72" i="4"/>
  <c r="G73" i="4"/>
  <c r="G74" i="4"/>
  <c r="N20" i="3" s="1"/>
  <c r="G75" i="4"/>
  <c r="G76" i="4"/>
  <c r="G77" i="4"/>
  <c r="G78" i="4"/>
  <c r="N11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8" i="3" s="1"/>
  <c r="G94" i="4"/>
  <c r="N37" i="3" s="1"/>
  <c r="G95" i="4"/>
  <c r="G96" i="4"/>
  <c r="G97" i="4"/>
  <c r="G98" i="4"/>
  <c r="N10" i="3" s="1"/>
  <c r="G99" i="4"/>
  <c r="G100" i="4"/>
  <c r="G101" i="4"/>
  <c r="G102" i="4"/>
  <c r="N16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N15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21" i="3" s="1"/>
  <c r="G128" i="4"/>
  <c r="G129" i="4"/>
  <c r="G130" i="4"/>
  <c r="N34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N23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N24" i="3" s="1"/>
  <c r="G164" i="4"/>
  <c r="G165" i="4"/>
  <c r="G166" i="4"/>
  <c r="G167" i="4"/>
  <c r="N25" i="3" s="1"/>
  <c r="G168" i="4"/>
  <c r="G169" i="4"/>
  <c r="G170" i="4"/>
  <c r="G171" i="4"/>
  <c r="G172" i="4"/>
  <c r="G173" i="4"/>
  <c r="G174" i="4"/>
  <c r="N32" i="3" s="1"/>
  <c r="G175" i="4"/>
  <c r="G176" i="4"/>
  <c r="G177" i="4"/>
  <c r="N26" i="3" s="1"/>
  <c r="G178" i="4"/>
  <c r="G179" i="4"/>
  <c r="N14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N27" i="3" s="1"/>
  <c r="G194" i="4"/>
  <c r="G195" i="4"/>
  <c r="G196" i="4"/>
  <c r="G197" i="4"/>
  <c r="G198" i="4"/>
  <c r="G199" i="4"/>
  <c r="G200" i="4"/>
  <c r="N33" i="3" s="1"/>
  <c r="G201" i="4"/>
  <c r="N13" i="3" s="1"/>
  <c r="G202" i="4"/>
  <c r="N28" i="3" s="1"/>
  <c r="G203" i="4"/>
  <c r="G204" i="4"/>
  <c r="G205" i="4"/>
  <c r="N17" i="3" s="1"/>
  <c r="G206" i="4"/>
  <c r="G207" i="4"/>
  <c r="G208" i="4"/>
  <c r="G209" i="4"/>
  <c r="N29" i="3" s="1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7" i="3" s="1"/>
  <c r="G224" i="4"/>
  <c r="G225" i="4"/>
  <c r="G226" i="4"/>
  <c r="G227" i="4"/>
  <c r="G228" i="4"/>
  <c r="G229" i="4"/>
  <c r="G230" i="4"/>
  <c r="G231" i="4"/>
  <c r="G232" i="4"/>
  <c r="G233" i="4"/>
  <c r="N9" i="3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2" i="3" l="1"/>
  <c r="N19" i="3"/>
  <c r="N35" i="3"/>
  <c r="N36" i="3"/>
  <c r="N18" i="3"/>
  <c r="N3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B5" i="6"/>
  <c r="G4" i="6"/>
  <c r="J4" i="6"/>
  <c r="H4" i="6"/>
  <c r="I5" i="6" l="1"/>
  <c r="F5" i="6"/>
  <c r="G5" i="6"/>
  <c r="H5" i="6"/>
  <c r="J5" i="6"/>
  <c r="B6" i="6"/>
  <c r="I6" i="6" l="1"/>
  <c r="F6" i="6"/>
  <c r="J6" i="6"/>
  <c r="G6" i="6"/>
  <c r="H6" i="6"/>
  <c r="B7" i="6"/>
  <c r="I7" i="6" l="1"/>
  <c r="F7" i="6"/>
  <c r="G7" i="6"/>
  <c r="H7" i="6"/>
  <c r="J7" i="6"/>
  <c r="B8" i="6"/>
  <c r="I8" i="6" l="1"/>
  <c r="F8" i="6"/>
  <c r="B9" i="6"/>
  <c r="J8" i="6"/>
  <c r="H8" i="6"/>
  <c r="G8" i="6"/>
  <c r="I9" i="6" l="1"/>
  <c r="F9" i="6"/>
  <c r="J9" i="6"/>
  <c r="G9" i="6"/>
  <c r="H9" i="6"/>
  <c r="B10" i="6"/>
  <c r="I10" i="6" l="1"/>
  <c r="F10" i="6"/>
  <c r="B11" i="6"/>
  <c r="G10" i="6"/>
  <c r="J10" i="6"/>
  <c r="H10" i="6"/>
  <c r="I11" i="6" l="1"/>
  <c r="F11" i="6"/>
  <c r="G11" i="6"/>
  <c r="J11" i="6"/>
  <c r="H11" i="6"/>
  <c r="B73" i="6" l="1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H75" i="6"/>
  <c r="G75" i="6"/>
  <c r="J75" i="6"/>
  <c r="B76" i="6"/>
  <c r="I76" i="6" l="1"/>
  <c r="F76" i="6"/>
  <c r="H76" i="6"/>
  <c r="J76" i="6"/>
  <c r="G76" i="6"/>
  <c r="B77" i="6"/>
  <c r="I77" i="6" l="1"/>
  <c r="F77" i="6"/>
  <c r="G77" i="6"/>
  <c r="J77" i="6"/>
  <c r="H77" i="6"/>
  <c r="B78" i="6"/>
  <c r="I78" i="6" l="1"/>
  <c r="F78" i="6"/>
  <c r="B79" i="6"/>
  <c r="H78" i="6"/>
  <c r="J78" i="6"/>
  <c r="G78" i="6"/>
  <c r="I79" i="6" l="1"/>
  <c r="F79" i="6"/>
  <c r="B80" i="6"/>
  <c r="J79" i="6"/>
  <c r="H79" i="6"/>
  <c r="G79" i="6"/>
  <c r="I80" i="6" l="1"/>
  <c r="F80" i="6"/>
  <c r="B82" i="6"/>
  <c r="B81" i="6"/>
  <c r="G80" i="6"/>
  <c r="H80" i="6"/>
  <c r="J80" i="6"/>
  <c r="I81" i="6" l="1"/>
  <c r="F81" i="6"/>
  <c r="I82" i="6"/>
  <c r="F82" i="6"/>
  <c r="G81" i="6"/>
  <c r="H81" i="6"/>
  <c r="J81" i="6"/>
  <c r="J82" i="6"/>
  <c r="G82" i="6"/>
  <c r="H8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<sst xmlns="http://schemas.openxmlformats.org/spreadsheetml/2006/main" count="2735" uniqueCount="996">
  <si>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</si>
  <si>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</si>
  <si>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</si>
  <si>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</si>
  <si>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</si>
  <si>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</si>
  <si>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</si>
  <si>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</si>
  <si>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</si>
  <si>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</si>
  <si>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</si>
  <si>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</si>
  <si>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</si>
  <si>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</si>
  <si>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</si>
  <si>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</si>
  <si>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</si>
  <si>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</si>
  <si>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</si>
  <si>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</si>
  <si>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</si>
  <si>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</si>
  <si>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</si>
  <si>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</si>
  <si>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</si>
  <si>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</si>
  <si>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</si>
  <si>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</si>
  <si>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</si>
  <si>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</si>
  <si>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</si>
  <si>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</si>
  <si>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</si>
  <si>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</si>
  <si>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</si>
  <si>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</si>
  <si>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</si>
  <si>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</si>
  <si>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</si>
  <si>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</si>
  <si>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</si>
  <si>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</si>
  <si>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</si>
  <si>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</si>
  <si>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</si>
  <si>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</si>
  <si>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</si>
  <si>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</si>
  <si>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</si>
  <si>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</si>
  <si>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</si>
  <si>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</si>
  <si>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</si>
  <si>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</si>
  <si>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</si>
  <si>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</si>
  <si>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</si>
  <si>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</si>
  <si>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</si>
  <si>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</si>
  <si>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</si>
  <si>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</si>
  <si>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</si>
  <si>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</si>
  <si>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</si>
  <si>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</si>
  <si>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</si>
  <si>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</si>
  <si>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</si>
  <si>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</si>
  <si>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</si>
  <si>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</si>
  <si>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</si>
  <si>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</si>
  <si>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</si>
  <si>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</si>
  <si>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</si>
  <si>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</si>
  <si>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</si>
  <si>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</si>
  <si>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</si>
  <si>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</si>
  <si>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</si>
  <si>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</si>
  <si>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</si>
  <si>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</si>
  <si>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</si>
  <si>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</si>
  <si>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</si>
  <si>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</si>
  <si>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</si>
  <si>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</si>
  <si>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</si>
  <si>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</si>
  <si>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</si>
  <si>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</si>
  <si>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</si>
  <si>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</si>
  <si>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</si>
  <si>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</si>
  <si>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</si>
  <si>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</si>
  <si>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</si>
  <si>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</si>
  <si>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</si>
  <si>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</si>
  <si>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</si>
  <si>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</si>
  <si>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</si>
  <si>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</si>
  <si>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</si>
  <si>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</si>
  <si>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</si>
  <si>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</si>
  <si>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</si>
  <si>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</si>
  <si>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</si>
  <si>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</si>
  <si>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</si>
  <si>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</si>
  <si>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</si>
  <si>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</si>
  <si>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</si>
  <si>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</si>
  <si>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</si>
  <si>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</si>
  <si>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</si>
  <si>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</si>
  <si>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</si>
  <si>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</si>
  <si>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</si>
  <si>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</si>
  <si>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</si>
  <si>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</si>
  <si>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</si>
  <si>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</si>
  <si>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</si>
  <si>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</si>
  <si>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</si>
  <si>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</si>
  <si>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</si>
  <si>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</si>
  <si>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</si>
  <si>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</si>
  <si>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</si>
  <si>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</si>
  <si>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</si>
  <si>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</si>
  <si>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</si>
  <si>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</si>
  <si>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</si>
  <si>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</si>
  <si>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</si>
  <si>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</si>
  <si>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</si>
  <si>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</si>
  <si>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</si>
  <si>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</si>
  <si>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</si>
  <si>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</si>
  <si>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</si>
  <si>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</si>
  <si>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</si>
  <si>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</si>
  <si>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</si>
  <si>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</si>
  <si>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</si>
  <si>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</si>
  <si>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</si>
  <si>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</si>
  <si>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</si>
  <si>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</si>
  <si>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</si>
  <si>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</si>
  <si>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</si>
  <si>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</si>
  <si>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</si>
  <si>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</si>
  <si>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</si>
  <si>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</si>
  <si>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</si>
  <si>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</si>
  <si>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</si>
  <si>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</si>
  <si>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</si>
  <si>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</si>
  <si>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</si>
  <si>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</si>
  <si>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</si>
  <si>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</si>
  <si>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</si>
  <si>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</si>
  <si>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</si>
  <si>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</si>
  <si>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</si>
  <si>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</si>
  <si>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</si>
  <si>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</si>
  <si>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</si>
  <si>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</si>
  <si>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</si>
  <si>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</si>
  <si>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</si>
  <si>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</si>
  <si>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</si>
  <si>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</si>
  <si>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</si>
  <si>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</si>
  <si>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</si>
  <si>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</si>
  <si>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</si>
  <si>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</si>
  <si>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</si>
  <si>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</si>
  <si>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</si>
  <si>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</si>
  <si>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</si>
  <si>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</si>
  <si>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</si>
  <si>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</si>
  <si>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</si>
  <si>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</si>
  <si>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</si>
  <si>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</si>
  <si>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</si>
  <si>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</si>
  <si>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</si>
  <si>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</si>
  <si>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</si>
  <si>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</si>
  <si>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</si>
  <si>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</si>
  <si>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</si>
  <si>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</si>
  <si>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</si>
  <si>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</si>
  <si>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</si>
  <si>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</si>
  <si>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</si>
  <si>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</si>
  <si>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</si>
  <si>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</si>
  <si>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</si>
  <si>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</si>
  <si>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</si>
  <si>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</si>
  <si>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</si>
  <si>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</si>
  <si>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</si>
  <si>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</si>
  <si>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</si>
  <si>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</si>
  <si>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</si>
  <si>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</si>
  <si>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</si>
  <si>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</si>
  <si>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</si>
  <si>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</si>
  <si>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</si>
  <si>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</si>
  <si>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</si>
  <si>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</si>
  <si>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</si>
  <si>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</si>
  <si>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</si>
  <si>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</si>
  <si>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</si>
  <si>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</si>
  <si>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</si>
  <si>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</si>
  <si>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</si>
  <si>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</si>
  <si>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</si>
  <si>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</si>
  <si>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</si>
  <si>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</si>
  <si>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</si>
  <si>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</si>
  <si>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</si>
  <si>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</si>
  <si>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</si>
  <si>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</si>
  <si>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</si>
  <si>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</si>
  <si>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</si>
  <si>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</si>
  <si>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</si>
  <si>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</si>
  <si>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</si>
  <si>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</si>
  <si>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</si>
  <si>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</si>
  <si>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</si>
  <si>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</si>
  <si>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</si>
  <si>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</si>
  <si>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</si>
  <si>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</si>
  <si>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</si>
  <si>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</si>
  <si>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</si>
  <si>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</si>
  <si>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</si>
  <si>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</si>
  <si>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</si>
  <si>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</si>
  <si>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</si>
  <si>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</si>
  <si>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</si>
  <si>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</si>
  <si>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</si>
  <si>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</si>
  <si>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</si>
  <si>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</si>
  <si>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</si>
  <si>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</si>
  <si>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</si>
  <si>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</si>
  <si>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</si>
  <si>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</si>
  <si>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</si>
  <si>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</si>
  <si>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</si>
  <si>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</si>
  <si>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</si>
  <si>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</si>
  <si>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</si>
  <si>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</si>
  <si>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</si>
  <si>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</si>
  <si>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</si>
  <si>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</si>
  <si>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</si>
  <si>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</si>
  <si>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</si>
  <si>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</si>
  <si>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</si>
  <si>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</si>
  <si>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</si>
  <si>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</si>
  <si>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</si>
  <si>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</si>
  <si>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</si>
  <si>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</si>
  <si>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</si>
  <si>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</si>
  <si>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</si>
  <si>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</si>
  <si>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</si>
  <si>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</si>
  <si>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</si>
  <si>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</si>
  <si>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</si>
  <si>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</si>
  <si>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</si>
  <si>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</si>
  <si>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</si>
  <si>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</si>
  <si>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</si>
  <si>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</si>
  <si>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</si>
  <si>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</si>
  <si>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</si>
  <si>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</si>
  <si>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</si>
  <si>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</si>
  <si>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</si>
  <si>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</si>
  <si>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</si>
  <si>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</si>
  <si>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</si>
  <si>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</si>
  <si>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</si>
  <si>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</si>
  <si>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</si>
  <si>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</si>
  <si>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</si>
  <si>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</si>
  <si>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</si>
  <si>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</si>
  <si>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</si>
  <si>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</si>
  <si>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</si>
  <si>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</si>
  <si>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</si>
  <si>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</si>
  <si>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</si>
  <si>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</si>
  <si>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</si>
  <si>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</si>
  <si>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</si>
  <si>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</si>
  <si>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</si>
  <si>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</si>
  <si>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</si>
  <si>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</si>
  <si>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</si>
  <si>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</si>
  <si>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</si>
  <si>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</si>
  <si>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</si>
  <si>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</si>
  <si>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</si>
  <si>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</si>
  <si>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</si>
  <si>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rtdc.l.rtdc.4054:itc</t>
  </si>
  <si>
    <t>204:150</t>
  </si>
  <si>
    <t>partly-cloudy-night</t>
  </si>
  <si>
    <t>204:149</t>
  </si>
  <si>
    <t>204:143</t>
  </si>
  <si>
    <t>rtdc.l.rtdc.4026:itc</t>
  </si>
  <si>
    <t>rtdc.l.rtdc.4025:itc</t>
  </si>
  <si>
    <t>partly-cloudy-day</t>
  </si>
  <si>
    <t>204:466</t>
  </si>
  <si>
    <t>204:469</t>
  </si>
  <si>
    <t>rtdc.l.rtdc.4039:itc</t>
  </si>
  <si>
    <t>rtdc.l.rtdc.4040:itc</t>
  </si>
  <si>
    <t>204:451</t>
  </si>
  <si>
    <t>300:23346</t>
  </si>
  <si>
    <t>rtdc.l.rtdc.4018:itc</t>
  </si>
  <si>
    <t>precipType</t>
  </si>
  <si>
    <t>THOMAS</t>
  </si>
  <si>
    <t>204:233314</t>
  </si>
  <si>
    <t>204:464</t>
  </si>
  <si>
    <t>204:233300</t>
  </si>
  <si>
    <t>rtdc.l.rtdc.4053:itc</t>
  </si>
  <si>
    <t>204:156</t>
  </si>
  <si>
    <t>204:233310</t>
  </si>
  <si>
    <t>300:23302</t>
  </si>
  <si>
    <t>204:233286</t>
  </si>
  <si>
    <t>rtdc.l.rtdc.4017:itc</t>
  </si>
  <si>
    <t>204:233304</t>
  </si>
  <si>
    <t>204:453</t>
  </si>
  <si>
    <t>204:435</t>
  </si>
  <si>
    <t>204:232978</t>
  </si>
  <si>
    <t>204:233303</t>
  </si>
  <si>
    <t>204:232973</t>
  </si>
  <si>
    <t>204:233295</t>
  </si>
  <si>
    <t>204:233003</t>
  </si>
  <si>
    <t>204:232969</t>
  </si>
  <si>
    <t>204:233312</t>
  </si>
  <si>
    <t>204:440</t>
  </si>
  <si>
    <t>204:232982</t>
  </si>
  <si>
    <t>204:232996</t>
  </si>
  <si>
    <t>204:232993</t>
  </si>
  <si>
    <t>204:232984</t>
  </si>
  <si>
    <t>204:232967</t>
  </si>
  <si>
    <t>204:176</t>
  </si>
  <si>
    <t>300:23304</t>
  </si>
  <si>
    <t>300:58623</t>
  </si>
  <si>
    <t>rtdc.l.rtdc.4032:itc</t>
  </si>
  <si>
    <t>rtdc.l.rtdc.4061:itc</t>
  </si>
  <si>
    <t>YORK</t>
  </si>
  <si>
    <t>EDGAR</t>
  </si>
  <si>
    <t>204:233293</t>
  </si>
  <si>
    <t>204:444</t>
  </si>
  <si>
    <t>204:161</t>
  </si>
  <si>
    <t>204:447</t>
  </si>
  <si>
    <t>204:232990</t>
  </si>
  <si>
    <t>204:139</t>
  </si>
  <si>
    <t>204:169</t>
  </si>
  <si>
    <t>300:58621</t>
  </si>
  <si>
    <t>rtdc.l.rtdc.4042:itc</t>
  </si>
  <si>
    <t>rtdc.l.rtdc.4060:itc</t>
  </si>
  <si>
    <t>SANTIZO</t>
  </si>
  <si>
    <t>D. EDY</t>
  </si>
  <si>
    <t>MAELZER</t>
  </si>
  <si>
    <t>KURT</t>
  </si>
  <si>
    <t>DAVIS</t>
  </si>
  <si>
    <t>WENDY</t>
  </si>
  <si>
    <t>rtdc.l.rtdc.4041:itc</t>
  </si>
  <si>
    <t>LEVIN</t>
  </si>
  <si>
    <t>SCOTT</t>
  </si>
  <si>
    <t>LALONDE</t>
  </si>
  <si>
    <t>GREGORY</t>
  </si>
  <si>
    <t>SAFIEF</t>
  </si>
  <si>
    <t>AEIMEN</t>
  </si>
  <si>
    <t>204:755</t>
  </si>
  <si>
    <t>204:165</t>
  </si>
  <si>
    <t>204:232986</t>
  </si>
  <si>
    <t>204:141</t>
  </si>
  <si>
    <t>204:233318</t>
  </si>
  <si>
    <t>204:477</t>
  </si>
  <si>
    <t>204:233000</t>
  </si>
  <si>
    <t>204:163</t>
  </si>
  <si>
    <t>300:58626</t>
  </si>
  <si>
    <t>300:58943</t>
  </si>
  <si>
    <t>300:58933</t>
  </si>
  <si>
    <t>300:58628</t>
  </si>
  <si>
    <t>300:58630</t>
  </si>
  <si>
    <t>204:233341</t>
  </si>
  <si>
    <t>204:233395</t>
  </si>
  <si>
    <t>204:233282</t>
  </si>
  <si>
    <t>204:233308</t>
  </si>
  <si>
    <t>204:233278</t>
  </si>
  <si>
    <t>204:779</t>
  </si>
  <si>
    <t>204:233336</t>
  </si>
  <si>
    <t>226-01</t>
  </si>
  <si>
    <t>233-01</t>
  </si>
  <si>
    <t>234-01</t>
  </si>
  <si>
    <t>STARKS</t>
  </si>
  <si>
    <t>ANGELINA</t>
  </si>
  <si>
    <t>THOMPSON</t>
  </si>
  <si>
    <t>LESTER</t>
  </si>
  <si>
    <t>WILLIAMS</t>
  </si>
  <si>
    <t>DONTE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</si>
  <si>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</si>
  <si>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</si>
  <si>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</si>
  <si>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</si>
  <si>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</si>
  <si>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</si>
  <si>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</si>
  <si>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</si>
  <si>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SULLIVAN</t>
  </si>
  <si>
    <t>BRANDON</t>
  </si>
  <si>
    <t>80-01</t>
  </si>
  <si>
    <t>842-01</t>
  </si>
  <si>
    <t>81-01</t>
  </si>
  <si>
    <t>229-01</t>
  </si>
  <si>
    <t>845-01</t>
  </si>
  <si>
    <t>228-01</t>
  </si>
  <si>
    <t>231-01</t>
  </si>
  <si>
    <t>844-01</t>
  </si>
  <si>
    <t>230-01</t>
  </si>
  <si>
    <t>847-01</t>
  </si>
  <si>
    <t>235-01</t>
  </si>
  <si>
    <t>232-01</t>
  </si>
  <si>
    <t>908-01</t>
  </si>
  <si>
    <t>237-01</t>
  </si>
  <si>
    <t>239-01</t>
  </si>
  <si>
    <t>236-01</t>
  </si>
  <si>
    <t>241-01</t>
  </si>
  <si>
    <t>238-01</t>
  </si>
  <si>
    <t>240-01</t>
  </si>
  <si>
    <t>243-01</t>
  </si>
  <si>
    <t>315-01</t>
  </si>
  <si>
    <t>242-01</t>
  </si>
  <si>
    <t>309-01</t>
  </si>
  <si>
    <t>244-01</t>
  </si>
  <si>
    <t>311-01</t>
  </si>
  <si>
    <t>313-01</t>
  </si>
  <si>
    <t>rain</t>
  </si>
  <si>
    <t>Mostly Cloudy</t>
  </si>
  <si>
    <t>204:147</t>
  </si>
  <si>
    <t>204:233323</t>
  </si>
  <si>
    <t>204:232998</t>
  </si>
  <si>
    <t>204:232981</t>
  </si>
  <si>
    <t>204:233301</t>
  </si>
  <si>
    <t>204:233285</t>
  </si>
  <si>
    <t>204:484</t>
  </si>
  <si>
    <t>204:233291</t>
  </si>
  <si>
    <t>204:232965</t>
  </si>
  <si>
    <t>204:233305</t>
  </si>
  <si>
    <t>204:233045</t>
  </si>
  <si>
    <t>204:233329</t>
  </si>
  <si>
    <t>204:136</t>
  </si>
  <si>
    <t>204:233332</t>
  </si>
  <si>
    <t>204:233007</t>
  </si>
  <si>
    <t>204:232972</t>
  </si>
  <si>
    <t>204:958</t>
  </si>
  <si>
    <t>204:233047</t>
  </si>
  <si>
    <t>204:232976</t>
  </si>
  <si>
    <t>204:232979</t>
  </si>
  <si>
    <t>204:233347</t>
  </si>
  <si>
    <t>204:233302</t>
  </si>
  <si>
    <t>204:1225</t>
  </si>
  <si>
    <t>300:23295</t>
  </si>
  <si>
    <t>300:58700</t>
  </si>
  <si>
    <t>204:950</t>
  </si>
  <si>
    <t>300:58950</t>
  </si>
  <si>
    <t>300:58948</t>
  </si>
  <si>
    <t>204:953</t>
  </si>
  <si>
    <t>300:58656</t>
  </si>
  <si>
    <t>300:58636</t>
  </si>
  <si>
    <t>204:652</t>
  </si>
  <si>
    <t>300:58971</t>
  </si>
  <si>
    <t>300:58651</t>
  </si>
  <si>
    <t>300:58619</t>
  </si>
  <si>
    <t>300:58960</t>
  </si>
  <si>
    <t>204:642</t>
  </si>
  <si>
    <t>204:999</t>
  </si>
  <si>
    <t>204:689</t>
  </si>
  <si>
    <t>204:675</t>
  </si>
  <si>
    <t>start /low /b %USERPROFILE%\Documents\GitHub\eaglep3\Utilities\DownloadLogsFromS3.py --loco 4021 --day 2017-05-02</t>
  </si>
  <si>
    <t>Onboard in-route failure</t>
  </si>
  <si>
    <t>Early arrival</t>
  </si>
  <si>
    <t>:.+((SYSTEM_STATE.+slice.+state.+changed )|(ment ac)|(multiple cpu faults)|(system.+state.+changed )|(\[timeout)|(PRM\|1\|D)|(kpr)|(kdp)|(train st.+moving)|(\|lc)|(penalty))</t>
  </si>
  <si>
    <t>302-02</t>
  </si>
  <si>
    <t>801-02</t>
  </si>
  <si>
    <t>128-02</t>
  </si>
  <si>
    <t>811-02</t>
  </si>
  <si>
    <t>812-02</t>
  </si>
  <si>
    <t>136-02</t>
  </si>
  <si>
    <t>rtdc.l.rtdc.4015:itc</t>
  </si>
  <si>
    <t>54-02</t>
  </si>
  <si>
    <t>148-02</t>
  </si>
  <si>
    <t>157-02</t>
  </si>
  <si>
    <t>156-02</t>
  </si>
  <si>
    <t>164-02</t>
  </si>
  <si>
    <t>822-02</t>
  </si>
  <si>
    <t>824-02</t>
  </si>
  <si>
    <t>826-02</t>
  </si>
  <si>
    <t>830-02</t>
  </si>
  <si>
    <t>832-02</t>
  </si>
  <si>
    <t>834-02</t>
  </si>
  <si>
    <t>52-02</t>
  </si>
  <si>
    <t>835-02</t>
  </si>
  <si>
    <t>217-02</t>
  </si>
  <si>
    <t>838-02</t>
  </si>
  <si>
    <t>223-02</t>
  </si>
  <si>
    <t>841-02</t>
  </si>
  <si>
    <t>840-02</t>
  </si>
  <si>
    <t>225-02</t>
  </si>
  <si>
    <t>842-02</t>
  </si>
  <si>
    <t>234-02</t>
  </si>
  <si>
    <t>242-02</t>
  </si>
  <si>
    <t>rtdc.l.rtdc.4044:itc</t>
  </si>
  <si>
    <t>101-02</t>
  </si>
  <si>
    <t>304-02</t>
  </si>
  <si>
    <t>103-02</t>
  </si>
  <si>
    <t>306-02</t>
  </si>
  <si>
    <t>102-02</t>
  </si>
  <si>
    <t>308-02</t>
  </si>
  <si>
    <t>105-02</t>
  </si>
  <si>
    <t>107-02</t>
  </si>
  <si>
    <t>310-02</t>
  </si>
  <si>
    <t>104-02</t>
  </si>
  <si>
    <t>109-02</t>
  </si>
  <si>
    <t>901-02</t>
  </si>
  <si>
    <t>111-02</t>
  </si>
  <si>
    <t>LOZA</t>
  </si>
  <si>
    <t>FIDEL</t>
  </si>
  <si>
    <t>800-02</t>
  </si>
  <si>
    <t>113-02</t>
  </si>
  <si>
    <t>106-02</t>
  </si>
  <si>
    <t>108-02</t>
  </si>
  <si>
    <t>115-02</t>
  </si>
  <si>
    <t>117-02</t>
  </si>
  <si>
    <t>110-02</t>
  </si>
  <si>
    <t>902-02</t>
  </si>
  <si>
    <t>114-02</t>
  </si>
  <si>
    <t>HAUSER</t>
  </si>
  <si>
    <t>FRANK</t>
  </si>
  <si>
    <t>rtdc.l.rtdc.4043:itc</t>
  </si>
  <si>
    <t>112-02</t>
  </si>
  <si>
    <t>50-02</t>
  </si>
  <si>
    <t>119-02</t>
  </si>
  <si>
    <t>802-02</t>
  </si>
  <si>
    <t>803-02</t>
  </si>
  <si>
    <t>121-02</t>
  </si>
  <si>
    <t>116-02</t>
  </si>
  <si>
    <t>123-02</t>
  </si>
  <si>
    <t>805-02</t>
  </si>
  <si>
    <t>118-02</t>
  </si>
  <si>
    <t>804-02</t>
  </si>
  <si>
    <t>125-02</t>
  </si>
  <si>
    <t>127-02</t>
  </si>
  <si>
    <t>120-02</t>
  </si>
  <si>
    <t>806-02</t>
  </si>
  <si>
    <t>807-02</t>
  </si>
  <si>
    <t>122-02</t>
  </si>
  <si>
    <t>129-02</t>
  </si>
  <si>
    <t>124-02</t>
  </si>
  <si>
    <t>809-02</t>
  </si>
  <si>
    <t>131-02</t>
  </si>
  <si>
    <t>808-02</t>
  </si>
  <si>
    <t>126-02</t>
  </si>
  <si>
    <t>133-02</t>
  </si>
  <si>
    <t>135-02</t>
  </si>
  <si>
    <t>810-02</t>
  </si>
  <si>
    <t>130-02</t>
  </si>
  <si>
    <t>137-02</t>
  </si>
  <si>
    <t>132-02</t>
  </si>
  <si>
    <t>139-02</t>
  </si>
  <si>
    <t>903-02</t>
  </si>
  <si>
    <t>134-02</t>
  </si>
  <si>
    <t>141-02</t>
  </si>
  <si>
    <t>143-02</t>
  </si>
  <si>
    <t>138-02</t>
  </si>
  <si>
    <t>145-02</t>
  </si>
  <si>
    <t>813-02</t>
  </si>
  <si>
    <t>142-02</t>
  </si>
  <si>
    <t>140-02</t>
  </si>
  <si>
    <t>147-02</t>
  </si>
  <si>
    <t>814-02</t>
  </si>
  <si>
    <t>149-02</t>
  </si>
  <si>
    <t>144-02</t>
  </si>
  <si>
    <t>151-02</t>
  </si>
  <si>
    <t>146-02</t>
  </si>
  <si>
    <t>815-02</t>
  </si>
  <si>
    <t>153-02</t>
  </si>
  <si>
    <t>BEAM</t>
  </si>
  <si>
    <t>ROSS</t>
  </si>
  <si>
    <t>155-02</t>
  </si>
  <si>
    <t>150-02</t>
  </si>
  <si>
    <t>816-02</t>
  </si>
  <si>
    <t>152-02</t>
  </si>
  <si>
    <t>159-02</t>
  </si>
  <si>
    <t>154-02</t>
  </si>
  <si>
    <t>161-02</t>
  </si>
  <si>
    <t>DE LA ROSA</t>
  </si>
  <si>
    <t>ALEX</t>
  </si>
  <si>
    <t>rtdc.l.rtdc.4016:itc</t>
  </si>
  <si>
    <t>55-02</t>
  </si>
  <si>
    <t>817-02</t>
  </si>
  <si>
    <t>163-02</t>
  </si>
  <si>
    <t>158-02</t>
  </si>
  <si>
    <t>818-02</t>
  </si>
  <si>
    <t>165-02</t>
  </si>
  <si>
    <t>160-02</t>
  </si>
  <si>
    <t>167-02</t>
  </si>
  <si>
    <t>162-02</t>
  </si>
  <si>
    <t>169-02</t>
  </si>
  <si>
    <t>ROMERO</t>
  </si>
  <si>
    <t>CHAD</t>
  </si>
  <si>
    <t>819-02</t>
  </si>
  <si>
    <t>171-02</t>
  </si>
  <si>
    <t>166-02</t>
  </si>
  <si>
    <t>820-02</t>
  </si>
  <si>
    <t>168-02</t>
  </si>
  <si>
    <t>173-02</t>
  </si>
  <si>
    <t>170-02</t>
  </si>
  <si>
    <t>175-02</t>
  </si>
  <si>
    <t>172-02</t>
  </si>
  <si>
    <t>177-02</t>
  </si>
  <si>
    <t>821-02</t>
  </si>
  <si>
    <t>179-02</t>
  </si>
  <si>
    <t>174-02</t>
  </si>
  <si>
    <t>181-02</t>
  </si>
  <si>
    <t>183-02</t>
  </si>
  <si>
    <t>176-02</t>
  </si>
  <si>
    <t>178-02</t>
  </si>
  <si>
    <t>185-02</t>
  </si>
  <si>
    <t>823-02</t>
  </si>
  <si>
    <t>180-02</t>
  </si>
  <si>
    <t>182-02</t>
  </si>
  <si>
    <t>187-02</t>
  </si>
  <si>
    <t>189-02</t>
  </si>
  <si>
    <t>184-02</t>
  </si>
  <si>
    <t>191-02</t>
  </si>
  <si>
    <t>186-02</t>
  </si>
  <si>
    <t>193-02</t>
  </si>
  <si>
    <t>825-02</t>
  </si>
  <si>
    <t>904-02</t>
  </si>
  <si>
    <t>195-02</t>
  </si>
  <si>
    <t>188-02</t>
  </si>
  <si>
    <t>827-02</t>
  </si>
  <si>
    <t>190-02</t>
  </si>
  <si>
    <t>197-02</t>
  </si>
  <si>
    <t>192-02</t>
  </si>
  <si>
    <t>199-02</t>
  </si>
  <si>
    <t>194-02</t>
  </si>
  <si>
    <t>828-02</t>
  </si>
  <si>
    <t>196-02</t>
  </si>
  <si>
    <t>201-02</t>
  </si>
  <si>
    <t>829-02</t>
  </si>
  <si>
    <t>203-02</t>
  </si>
  <si>
    <t>831-02</t>
  </si>
  <si>
    <t>198-02</t>
  </si>
  <si>
    <t>205-02</t>
  </si>
  <si>
    <t>200-02</t>
  </si>
  <si>
    <t>207-02</t>
  </si>
  <si>
    <t>202-02</t>
  </si>
  <si>
    <t>204-02</t>
  </si>
  <si>
    <t>833-02</t>
  </si>
  <si>
    <t>209-02</t>
  </si>
  <si>
    <t>211-02</t>
  </si>
  <si>
    <t>206-02</t>
  </si>
  <si>
    <t>69-02</t>
  </si>
  <si>
    <t>213-02</t>
  </si>
  <si>
    <t>208-02</t>
  </si>
  <si>
    <t>215-02</t>
  </si>
  <si>
    <t>56-02</t>
  </si>
  <si>
    <t>210-02</t>
  </si>
  <si>
    <t>836-02</t>
  </si>
  <si>
    <t>51-02</t>
  </si>
  <si>
    <t>837-02</t>
  </si>
  <si>
    <t>212-02</t>
  </si>
  <si>
    <t>219-02</t>
  </si>
  <si>
    <t>839-02</t>
  </si>
  <si>
    <t>214-02</t>
  </si>
  <si>
    <t>303-02</t>
  </si>
  <si>
    <t>216-02</t>
  </si>
  <si>
    <t>221-02</t>
  </si>
  <si>
    <t>218-02</t>
  </si>
  <si>
    <t>906-02</t>
  </si>
  <si>
    <t>220-02</t>
  </si>
  <si>
    <t>305-02</t>
  </si>
  <si>
    <t>222-02</t>
  </si>
  <si>
    <t>224-02</t>
  </si>
  <si>
    <t>227-02</t>
  </si>
  <si>
    <t>843-02</t>
  </si>
  <si>
    <t>226-02</t>
  </si>
  <si>
    <t>229-02</t>
  </si>
  <si>
    <t>845-02</t>
  </si>
  <si>
    <t>231-02</t>
  </si>
  <si>
    <t>228-02</t>
  </si>
  <si>
    <t>844-02</t>
  </si>
  <si>
    <t>233-02</t>
  </si>
  <si>
    <t>230-02</t>
  </si>
  <si>
    <t>847-02</t>
  </si>
  <si>
    <t>235-02</t>
  </si>
  <si>
    <t>232-02</t>
  </si>
  <si>
    <t>908-02</t>
  </si>
  <si>
    <t>237-02</t>
  </si>
  <si>
    <t>239-02</t>
  </si>
  <si>
    <t>236-02</t>
  </si>
  <si>
    <t>241-02</t>
  </si>
  <si>
    <t>238-02</t>
  </si>
  <si>
    <t>243-02</t>
  </si>
  <si>
    <t>240-02</t>
  </si>
  <si>
    <t>315-02</t>
  </si>
  <si>
    <t>309-02</t>
  </si>
  <si>
    <t>244-02</t>
  </si>
  <si>
    <t>311-02</t>
  </si>
  <si>
    <t>313-02</t>
  </si>
  <si>
    <t>Drizzle</t>
  </si>
  <si>
    <t>Light Rain</t>
  </si>
  <si>
    <t>204:817</t>
  </si>
  <si>
    <t>204:233349</t>
  </si>
  <si>
    <t>204:232721</t>
  </si>
  <si>
    <t>204:743</t>
  </si>
  <si>
    <t>204:232675</t>
  </si>
  <si>
    <t>204:761</t>
  </si>
  <si>
    <t>204:232683</t>
  </si>
  <si>
    <t>204:233289</t>
  </si>
  <si>
    <t>204:233309</t>
  </si>
  <si>
    <t>204:442</t>
  </si>
  <si>
    <t>204:232966</t>
  </si>
  <si>
    <t>204:746</t>
  </si>
  <si>
    <t>204:233288</t>
  </si>
  <si>
    <t>204:424</t>
  </si>
  <si>
    <t>204:785</t>
  </si>
  <si>
    <t>204:233316</t>
  </si>
  <si>
    <t>204:236</t>
  </si>
  <si>
    <t>204:233319</t>
  </si>
  <si>
    <t>204:233004</t>
  </si>
  <si>
    <t>204:471</t>
  </si>
  <si>
    <t>204:233283</t>
  </si>
  <si>
    <t>204:438</t>
  </si>
  <si>
    <t>204:486</t>
  </si>
  <si>
    <t>204:542</t>
  </si>
  <si>
    <t>204:233389</t>
  </si>
  <si>
    <t>204:437</t>
  </si>
  <si>
    <t>204:232989</t>
  </si>
  <si>
    <t>204:232980</t>
  </si>
  <si>
    <t>204:473</t>
  </si>
  <si>
    <t>204:233023</t>
  </si>
  <si>
    <t>204:233322</t>
  </si>
  <si>
    <t>204:233091</t>
  </si>
  <si>
    <t>204:233280</t>
  </si>
  <si>
    <t>204:232985</t>
  </si>
  <si>
    <t>204:233307</t>
  </si>
  <si>
    <t>204:429</t>
  </si>
  <si>
    <t>204:130</t>
  </si>
  <si>
    <t>204:174</t>
  </si>
  <si>
    <t>204:233028</t>
  </si>
  <si>
    <t>204:233346</t>
  </si>
  <si>
    <t>204:233274</t>
  </si>
  <si>
    <t>204:427</t>
  </si>
  <si>
    <t>204:415</t>
  </si>
  <si>
    <t>204:233361</t>
  </si>
  <si>
    <t>204:233097</t>
  </si>
  <si>
    <t>204:198</t>
  </si>
  <si>
    <t>204:233326</t>
  </si>
  <si>
    <t>204:233026</t>
  </si>
  <si>
    <t>204:233351</t>
  </si>
  <si>
    <t>204:233079</t>
  </si>
  <si>
    <t>204:233259</t>
  </si>
  <si>
    <t>204:232975</t>
  </si>
  <si>
    <t>204:513</t>
  </si>
  <si>
    <t>204:209</t>
  </si>
  <si>
    <t>204:233253</t>
  </si>
  <si>
    <t>204:232955</t>
  </si>
  <si>
    <t>204:233343</t>
  </si>
  <si>
    <t>204:233017</t>
  </si>
  <si>
    <t>204:233355</t>
  </si>
  <si>
    <t>204:233002</t>
  </si>
  <si>
    <t>204:349</t>
  </si>
  <si>
    <t>204:233105</t>
  </si>
  <si>
    <t>204:1135</t>
  </si>
  <si>
    <t>204:233381</t>
  </si>
  <si>
    <t>204:233074</t>
  </si>
  <si>
    <t>204:2007</t>
  </si>
  <si>
    <t>204:233410</t>
  </si>
  <si>
    <t>204:233084</t>
  </si>
  <si>
    <t>204:336</t>
  </si>
  <si>
    <t>204:233011</t>
  </si>
  <si>
    <t>204:233435</t>
  </si>
  <si>
    <t>204:233128</t>
  </si>
  <si>
    <t>204:110</t>
  </si>
  <si>
    <t>204:232951</t>
  </si>
  <si>
    <t>204:413</t>
  </si>
  <si>
    <t>204:233443</t>
  </si>
  <si>
    <t>300:19492</t>
  </si>
  <si>
    <t>204:201</t>
  </si>
  <si>
    <t>204:529</t>
  </si>
  <si>
    <t>300:22887</t>
  </si>
  <si>
    <t>204:661</t>
  </si>
  <si>
    <t>300:25122</t>
  </si>
  <si>
    <t>300:23497</t>
  </si>
  <si>
    <t>300:23312</t>
  </si>
  <si>
    <t>300:23631</t>
  </si>
  <si>
    <t>204:509</t>
  </si>
  <si>
    <t>300:22956</t>
  </si>
  <si>
    <t>204:3240</t>
  </si>
  <si>
    <t>204:1160</t>
  </si>
  <si>
    <t>204:3536</t>
  </si>
  <si>
    <t>204:368</t>
  </si>
  <si>
    <t>300:23389</t>
  </si>
  <si>
    <t>204:61</t>
  </si>
  <si>
    <t>300:20723</t>
  </si>
  <si>
    <t>204:917</t>
  </si>
  <si>
    <t>300:24260</t>
  </si>
  <si>
    <t>300:22030</t>
  </si>
  <si>
    <t>204:2048</t>
  </si>
  <si>
    <t>204:741</t>
  </si>
  <si>
    <t>204:1025</t>
  </si>
  <si>
    <t>300:58928</t>
  </si>
  <si>
    <t>300:58613</t>
  </si>
  <si>
    <t>204:731</t>
  </si>
  <si>
    <t>300:58647</t>
  </si>
  <si>
    <t>204:705</t>
  </si>
  <si>
    <t>204:1018</t>
  </si>
  <si>
    <t>204:988</t>
  </si>
  <si>
    <t>204:701</t>
  </si>
  <si>
    <t>204:820</t>
  </si>
  <si>
    <t>204:990</t>
  </si>
  <si>
    <t>300:58965</t>
  </si>
  <si>
    <t>204:750</t>
  </si>
  <si>
    <t>204:1048</t>
  </si>
  <si>
    <t>300:58935</t>
  </si>
  <si>
    <t>300:58980</t>
  </si>
  <si>
    <t>300:58662</t>
  </si>
  <si>
    <t>204:717</t>
  </si>
  <si>
    <t>204:993</t>
  </si>
  <si>
    <t>300:58975</t>
  </si>
  <si>
    <t>300:58660</t>
  </si>
  <si>
    <t>204:715</t>
  </si>
  <si>
    <t>300:58973</t>
  </si>
  <si>
    <t>300:58653</t>
  </si>
  <si>
    <t>300:58967</t>
  </si>
  <si>
    <t>300:58658</t>
  </si>
  <si>
    <t>300:58958</t>
  </si>
  <si>
    <t>204:687</t>
  </si>
  <si>
    <t>204:957</t>
  </si>
  <si>
    <t>204:708</t>
  </si>
  <si>
    <t>204:962</t>
  </si>
  <si>
    <t>204:680</t>
  </si>
  <si>
    <t>204:1009</t>
  </si>
  <si>
    <t>204:629</t>
  </si>
  <si>
    <t>204:969</t>
  </si>
  <si>
    <t>300:58944</t>
  </si>
  <si>
    <t>204:706</t>
  </si>
  <si>
    <t>204:925</t>
  </si>
  <si>
    <t>300:58990</t>
  </si>
  <si>
    <t>300:58675</t>
  </si>
  <si>
    <t>204:654</t>
  </si>
  <si>
    <t>204:985</t>
  </si>
  <si>
    <t>300:58926</t>
  </si>
  <si>
    <t>300:58609</t>
  </si>
  <si>
    <t>204:626</t>
  </si>
  <si>
    <t>204:682</t>
  </si>
  <si>
    <t>204:897</t>
  </si>
  <si>
    <t>300:58324</t>
  </si>
  <si>
    <t>204:684</t>
  </si>
  <si>
    <t>204:943</t>
  </si>
  <si>
    <t>300:58956</t>
  </si>
  <si>
    <t>300:58910</t>
  </si>
  <si>
    <t>300:30157</t>
  </si>
  <si>
    <t>300:58939</t>
  </si>
  <si>
    <t>300:23173</t>
  </si>
  <si>
    <t>204:726</t>
  </si>
  <si>
    <t>204:1098</t>
  </si>
  <si>
    <t>300:24203</t>
  </si>
  <si>
    <t>300:23285</t>
  </si>
  <si>
    <t>300:28788</t>
  </si>
  <si>
    <t>300:58598</t>
  </si>
  <si>
    <t>300:21379</t>
  </si>
  <si>
    <t>300:21657</t>
  </si>
  <si>
    <t>300:23314</t>
  </si>
  <si>
    <t>start /low /b %USERPROFILE%\Documents\GitHub\eaglep3\Utilities\DownloadLogsFromS3.py --loco 4004 --day 2017-05-02</t>
  </si>
  <si>
    <t>start /low /b %USERPROFILE%\Documents\GitHub\eaglep3\Utilities\DownloadLogsFromS3.py --loco 4009 --day 2017-05-03</t>
  </si>
  <si>
    <t>start /low /b %USERPROFILE%\Documents\GitHub\eaglep3\Utilities\DownloadLogsFromS3.py --loco 4009 --day 2017-05-02</t>
  </si>
  <si>
    <t>start /low /b %USERPROFILE%\Documents\GitHub\eaglep3\Utilities\DownloadLogsFromS3.py --loco 4042 --day 2017-05-02</t>
  </si>
  <si>
    <t>start /low /b %USERPROFILE%\Documents\GitHub\eaglep3\Utilities\DownloadLogsFromS3.py --loco 4003 --day 2017-05-02</t>
  </si>
  <si>
    <t>start /low /b %USERPROFILE%\Documents\GitHub\eaglep3\Utilities\DownloadLogsFromS3.py --loco 4042 --day 2017-05-03</t>
  </si>
  <si>
    <t>start /low /b %USERPROFILE%\Documents\GitHub\eaglep3\Utilities\DownloadLogsFromS3.py --loco 4010 --day 2017-05-03</t>
  </si>
  <si>
    <t>start /low /b %USERPROFILE%\Documents\GitHub\eaglep3\Utilities\DownloadLogsFromS3.py --loco 4028 --day 2017-05-02</t>
  </si>
  <si>
    <t>start /low /b %USERPROFILE%\Documents\GitHub\eaglep3\Utilities\DownloadLogsFromS3.py --loco 4013 --day 2017-05-02</t>
  </si>
  <si>
    <t>start /low /b %USERPROFILE%\Documents\GitHub\eaglep3\Utilities\DownloadLogsFromS3.py --loco 4027 --day 2017-05-02</t>
  </si>
  <si>
    <t>start /low /b %USERPROFILE%\Documents\GitHub\eaglep3\Utilities\DownloadLogsFromS3.py --loco 4013 --day 2017-05-03</t>
  </si>
  <si>
    <t>start /low /b %USERPROFILE%\Documents\GitHub\eaglep3\Utilities\DownloadLogsFromS3.py --loco 4014 --day 2017-05-02</t>
  </si>
  <si>
    <t>start /low /b %USERPROFILE%\Documents\GitHub\eaglep3\Utilities\DownloadLogsFromS3.py --loco 4028 --day 2017-05-03</t>
  </si>
  <si>
    <t>start /low /b %USERPROFILE%\Documents\GitHub\eaglep3\Utilities\DownloadLogsFromS3.py --loco 4014 --day 2017-05-03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</si>
</sst>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42857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42857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COUNTIFS($N$13:$N$9334,"&gt;0",$AG$13:$AG$9334,I1)</f>
        <v>142</v>
      </c>
      <c r="K5" s="39"/>
      <c r="L5" s="39"/>
      <c r="M5" s="40">
        <f>AVERAGEIFS($N$13:$N$9334,$AG$13:$AG$9334,I1)</f>
        <v>37.729812206185592</v>
      </c>
      <c r="N5" s="38">
        <f t="array" ref="N5">MIN(IF($AG$13:$AG$9334=I1,IF(ISNUMBER($N$13:$N$9334),IF($N$13:$N$9334&gt;0,$N$13:$N$9334))))</f>
        <v>34.400000005261973</v>
      </c>
      <c r="O5" s="3">
        <f t="array" ref="O5">MAX(IF($AG$13:$AG$9334=I1,IF(ISNUMBER($N$13:$N$9334),IF($N$13:$N$9334&gt;0,$N$13:$N$9334))))</f>
        <v>44.06666666851379</v>
      </c>
      <c r="P5" s="2"/>
      <c r="R5" s="177" t="s">
        <v>17</v>
      </c>
      <c r="S5" s="199">
        <f>COUNTIFS($N$13:$N$9334,"&gt;0",$AG$13:$AG$9334,R1)</f>
        <v>47</v>
      </c>
      <c r="T5" s="179"/>
      <c r="U5" s="179"/>
      <c r="V5" s="176">
        <f>AVERAGEIFS($N$13:$N$9334,$AG$13:$AG$9334,R1)</f>
        <v>14.540070920880448</v>
      </c>
      <c r="W5" s="177">
        <f t="array" ref="W5">MIN(IF($AG$13:$AG$9334=R1,IF(ISNUMBER($N$13:$N$9334),IF($N$13:$N$9334&gt;0,$N$13:$N$9334))))</f>
        <v>11.933333335909992</v>
      </c>
      <c r="X5" s="178">
        <f t="array" ref="X5">MAX(IF($AG$13:$AG$9334=R1,IF(ISNUMBER($N$13:$N$9334),IF($N$13:$N$9334&gt;0,$N$13:$N$9334))))</f>
        <v>17.983333335723728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0" t="s">
        <v>43</v>
      </c>
      <c r="S6" s="199">
        <f>COUNT($O$13:$O$119)</f>
        <v>0</v>
      </c>
      <c r="T6" s="179"/>
      <c r="U6" s="179"/>
      <c r="V6" s="176">
        <f>IFERROR(AVERAGE($O$13:$O$119),0)</f>
        <v>0</v>
      </c>
      <c r="W6" s="177">
        <f>MIN($O$13:$O$119)</f>
        <v>0</v>
      </c>
      <c r="X6" s="178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COUNTIFS($P$13:$P$9334,"&gt;0",$AG$13:$AG$9334,I1)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COUNTIFS($P$13:$P$9334,"&gt;0",$AG$13:$AG$9334,R1)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37.729812206185592</v>
      </c>
      <c r="N8" s="38">
        <f>N5</f>
        <v>34.400000005261973</v>
      </c>
      <c r="O8" s="3">
        <f>O5</f>
        <v>44.06666666851379</v>
      </c>
      <c r="P8" s="2"/>
      <c r="R8" s="177" t="s">
        <v>16</v>
      </c>
      <c r="S8" s="199">
        <f>S5</f>
        <v>47</v>
      </c>
      <c r="T8" s="179"/>
      <c r="U8" s="179"/>
      <c r="V8" s="176">
        <f>V5</f>
        <v>14.540070920880448</v>
      </c>
      <c r="W8" s="177">
        <f>W5</f>
        <v>11.933333335909992</v>
      </c>
      <c r="X8" s="178">
        <f>X5</f>
        <v>17.983333335723728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- 2017-05-02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618</v>
      </c>
      <c r="B13" s="7">
        <v>4044</v>
      </c>
      <c r="C13" s="21" t="s">
        <v>211</v>
      </c>
      <c r="D13" s="21" t="s">
        <v>819</v>
      </c>
      <c r="E13" s="13">
        <v>42857.133819444447</v>
      </c>
      <c r="F13" s="13">
        <v>42857.135821759257</v>
      </c>
      <c r="G13" s="7">
        <v>1</v>
      </c>
      <c r="H13" s="21" t="s">
        <v>820</v>
      </c>
      <c r="I13" s="13">
        <v>42857.160694444443</v>
      </c>
      <c r="J13" s="7">
        <v>0</v>
      </c>
      <c r="K13" s="92" t="str">
        <f>IF(ISEVEN(B13),(B13-1)&amp;"/"&amp;B13,B13&amp;"/"&amp;(B13+1))</f>
        <v>4043/4044</v>
      </c>
      <c r="L13" s="21" t="str">
        <f>VLOOKUP(A13,'Trips&amp;Operators'!$C$1:$G$99999,5,FALSE)</f>
        <v>SANTIZO D. EDY</v>
      </c>
      <c r="M13" s="6">
        <f>I13-F13</f>
        <v>2.4872685185982846E-2</v>
      </c>
      <c r="N13" s="7">
        <f>24*60*SUM($M13:$M13)</f>
        <v>35.816666667815298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-02T02:12:42-0600',mode:absolute,to:'2017-05-02T04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8.1699999999999995E-2</v>
      </c>
      <c r="Z13" s="192">
        <f>RIGHT(H13,LEN(H13)-4)/10000</f>
        <v>23.334900000000001</v>
      </c>
      <c r="AA13" s="192">
        <f>ABS(Z13-Y13)</f>
        <v>23.2532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0101-02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/stypes="app*4044*20170502*"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4044 --swversion DE.1.0.9.0 --startMP 204:817 --initTime 2017-05-02T03:12:42 --startdatetime 2017-05-02T03:15:35 --delay 1 --endMP 204:233349 --enddatetime 2017-05-02T03:51:24 --enforcementcount 0 &gt;&gt;C:\Users\stu\Documents\GitHub\eaglep3-reporting\EC\2017-05-02-refined-times.txt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{"issue":{"subject":"","project_id":79,"tracker_id":40,"status_id":1,"priority_id":2,"assigned_to_id":23,"start_date":"2017-05-02","description":"","custom_fields":[{"id":1,"name":"Subdivision","value":"EC"},{"id":4,"name":"Milepost","value":"23.3349"},{"id":17,"name":"Train ID","value":"101-02"},{"id":16,"name":"Locomotive ID","value":"4044"},{"id":130,"name":"Impact","value":""},{"id":150,"name":"Time of Event (Mountain Time)","value":"03:51:24"},{"id":151,"name":"Denver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4044 --day 2017-05-02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09:51:24"},{"id":29,"name":"Sharepoint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622</v>
      </c>
      <c r="B14" s="7">
        <v>4003</v>
      </c>
      <c r="C14" s="21" t="s">
        <v>211</v>
      </c>
      <c r="D14" s="21" t="s">
        <v>821</v>
      </c>
      <c r="E14" s="13">
        <v>42857.164548611108</v>
      </c>
      <c r="F14" s="13">
        <v>42857.174513888887</v>
      </c>
      <c r="G14" s="7">
        <v>1</v>
      </c>
      <c r="H14" s="21" t="s">
        <v>197</v>
      </c>
      <c r="I14" s="13">
        <v>42857.200462962966</v>
      </c>
      <c r="J14" s="7">
        <v>0</v>
      </c>
      <c r="K14" s="92" t="str">
        <f>IF(ISEVEN(B14),(B14-1)&amp;"/"&amp;B14,B14&amp;"/"&amp;(B14+1))</f>
        <v>4003/4004</v>
      </c>
      <c r="L14" s="21" t="str">
        <f>VLOOKUP(A14,'Trips&amp;Operators'!$C$1:$G$99999,5,FALSE)</f>
        <v>SANTIZO D. EDY</v>
      </c>
      <c r="M14" s="6">
        <f>I14-F14</f>
        <v>2.5949074079107959E-2</v>
      </c>
      <c r="N14" s="7">
        <f>24*60*SUM($M14:$M14)</f>
        <v>37.366666673915461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-02T02:56:57-0600',mode:absolute,to:'2017-05-02T05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23.272099999999998</v>
      </c>
      <c r="Z14" s="192">
        <f>RIGHT(H14,LEN(H14)-4)/10000</f>
        <v>1.52E-2</v>
      </c>
      <c r="AA14" s="192">
        <f>ABS(Z14-Y14)</f>
        <v>23.256899999999998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0102-02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/stypes="app*4003*20170502*"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4003 --swversion DE.1.0.9.0 --startMP 204:232721 --initTime 2017-05-02T03:56:57 --startdatetime 2017-05-02T04:11:18 --delay 1 --endMP 204:152 --enddatetime 2017-05-02T04:48:40 --enforcementcount 0 &gt;&gt;C:\Users\stu\Documents\GitHub\eaglep3-reporting\EC\2017-05-02-refined-times.txt</v>
      </c>
      <c r="AI14" s="99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ID","value":"102-02"},{"id":16,"name":"Locomotive ID","value":"4003"},{"id":130,"name":"Impact","value":""},{"id":150,"name":"Time of Event (Mountain Time)","value":"04:48:40"},{"id":151,"name":"Denver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6">"start /low /b "&amp;dls3logs&amp;" --loco "&amp;B14&amp;" --day "&amp;TEXT(F14,"YYYY-MM-DD")</f>
        <v>start /low /b %USERPROFILE%\Documents\GitHub\eaglep3\Utilities\DownloadLogsFromS3.py --loco 4003 --day 2017-05-02</v>
      </c>
      <c r="AN14" s="154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620</v>
      </c>
      <c r="B15" s="7">
        <v>4042</v>
      </c>
      <c r="C15" s="21" t="s">
        <v>211</v>
      </c>
      <c r="D15" s="21" t="s">
        <v>822</v>
      </c>
      <c r="E15" s="13">
        <v>42857.153368055559</v>
      </c>
      <c r="F15" s="13">
        <v>42857.1565162037</v>
      </c>
      <c r="G15" s="7">
        <v>0</v>
      </c>
      <c r="H15" s="21" t="s">
        <v>440</v>
      </c>
      <c r="I15" s="13">
        <v>42857.181203703702</v>
      </c>
      <c r="J15" s="7">
        <v>0</v>
      </c>
      <c r="K15" s="92" t="str">
        <f>IF(ISEVEN(B15),(B15-1)&amp;"/"&amp;B15,B15&amp;"/"&amp;(B15+1))</f>
        <v>4041/4042</v>
      </c>
      <c r="L15" s="21" t="str">
        <f>VLOOKUP(A15,'Trips&amp;Operators'!$C$1:$G$99999,5,FALSE)</f>
        <v>MAELZER KURT</v>
      </c>
      <c r="M15" s="6">
        <f>I15-F15</f>
        <v>2.4687500001164153E-2</v>
      </c>
      <c r="N15" s="7">
        <f>24*60*SUM($M15:$M15)</f>
        <v>35.550000001676381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-02T02:40:51-0600',mode:absolute,to:'2017-05-02T05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7.4300000000000005E-2</v>
      </c>
      <c r="Z15" s="192">
        <f>RIGHT(H15,LEN(H15)-4)/10000</f>
        <v>23.331199999999999</v>
      </c>
      <c r="AA15" s="192">
        <f>ABS(Z15-Y15)</f>
        <v>23.256899999999998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0103-02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/stypes="app*4042*20170502*"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103-02 --locoid 4042 --swversion DE.1.0.9.0 --startMP 204:743 --initTime 2017-05-02T03:40:51 --startdatetime 2017-05-02T03:45:23 --delay 0 --endMP 204:233312 --enddatetime 2017-05-02T04:20:56 --enforcementcount 0 &gt;&gt;C:\Users\stu\Documents\GitHub\eaglep3-reporting\EC\2017-05-02-refined-times.txt</v>
      </c>
      <c r="AI1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{"issue":{"subject":"","project_id":79,"tracker_id":40,"status_id":1,"priority_id":2,"assigned_to_id":23,"start_date":"2017-05-02","description":"","custom_fields":[{"id":1,"name":"Subdivision","value":"EC"},{"id":4,"name":"Milepost","value":"23.3312"},{"id":17,"name":"Train ID","value":"103-02"},{"id":16,"name":"Locomotive ID","value":"4042"},{"id":130,"name":"Impact","value":""},{"id":150,"name":"Time of Event (Mountain Time)","value":"04:20:56"},{"id":151,"name":"Denver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4042 --day 2017-05-02</v>
      </c>
      <c r="AN1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627</v>
      </c>
      <c r="B16" s="7">
        <v>4025</v>
      </c>
      <c r="C16" s="21" t="s">
        <v>211</v>
      </c>
      <c r="D16" s="21" t="s">
        <v>823</v>
      </c>
      <c r="E16" s="13">
        <v>42857.186678240738</v>
      </c>
      <c r="F16" s="13">
        <v>42857.195405092592</v>
      </c>
      <c r="G16" s="7">
        <v>1</v>
      </c>
      <c r="H16" s="21" t="s">
        <v>387</v>
      </c>
      <c r="I16" s="13">
        <v>42857.222569444442</v>
      </c>
      <c r="J16" s="7">
        <v>0</v>
      </c>
      <c r="K16" s="92" t="str">
        <f>IF(ISEVEN(B16),(B16-1)&amp;"/"&amp;B16,B16&amp;"/"&amp;(B16+1))</f>
        <v>4025/4026</v>
      </c>
      <c r="L16" s="21" t="str">
        <f>VLOOKUP(A16,'Trips&amp;Operators'!$C$1:$G$99999,5,FALSE)</f>
        <v>MAELZER KURT</v>
      </c>
      <c r="M16" s="6">
        <f>I16-F16</f>
        <v>2.7164351849933155E-2</v>
      </c>
      <c r="N16" s="7">
        <f>24*60*SUM($M16:$M16)</f>
        <v>39.116666663903743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-02T03:28:49-0600',mode:absolute,to:'2017-05-02T06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192">
        <f>RIGHT(D16,LEN(D16)-4)/10000</f>
        <v>23.267499999999998</v>
      </c>
      <c r="Z16" s="192">
        <f>RIGHT(H16,LEN(H16)-4)/10000</f>
        <v>1.6E-2</v>
      </c>
      <c r="AA16" s="192">
        <f>ABS(Z16-Y16)</f>
        <v>23.2515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0104-02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/stypes="app*4025*20170502*"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104-02 --locoid 4025 --swversion DE.1.0.9.0 --startMP 204:232675 --initTime 2017-05-02T04:28:49 --startdatetime 2017-05-02T04:41:23 --delay 1 --endMP 204:160 --enddatetime 2017-05-02T05:20:30 --enforcementcount 0 &gt;&gt;C:\Users\stu\Documents\GitHub\eaglep3-reporting\EC\2017-05-02-refined-times.txt</v>
      </c>
      <c r="AI1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{"issue":{"subject":"","project_id":79,"tracker_id":40,"status_id":1,"priority_id":2,"assigned_to_id":23,"start_date":"2017-05-02","description":"","custom_fields":[{"id":1,"name":"Subdivision","value":"EC"},{"id":4,"name":"Milepost","value":"0.016"},{"id":17,"name":"Train ID","value":"104-02"},{"id":16,"name":"Locomotive ID","value":"4025"},{"id":130,"name":"Impact","value":""},{"id":150,"name":"Time of Event (Mountain Time)","value":"05:20:30"},{"id":151,"name":"Denver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4025 --day 2017-05-02</v>
      </c>
      <c r="AN1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624</v>
      </c>
      <c r="B17" s="7">
        <v>4010</v>
      </c>
      <c r="C17" s="21" t="s">
        <v>211</v>
      </c>
      <c r="D17" s="21" t="s">
        <v>824</v>
      </c>
      <c r="E17" s="13">
        <v>42857.174201388887</v>
      </c>
      <c r="F17" s="13">
        <v>42857.17728009259</v>
      </c>
      <c r="G17" s="7">
        <v>1</v>
      </c>
      <c r="H17" s="21" t="s">
        <v>565</v>
      </c>
      <c r="I17" s="13">
        <v>42857.203229166669</v>
      </c>
      <c r="J17" s="7">
        <v>0</v>
      </c>
      <c r="K17" s="92" t="str">
        <f>IF(ISEVEN(B17),(B17-1)&amp;"/"&amp;B17,B17&amp;"/"&amp;(B17+1))</f>
        <v>4009/4010</v>
      </c>
      <c r="L17" s="21" t="str">
        <f>VLOOKUP(A17,'Trips&amp;Operators'!$C$1:$G$99999,5,FALSE)</f>
        <v>STARKS ANGELINA</v>
      </c>
      <c r="M17" s="6">
        <f>I17-F17</f>
        <v>2.5949074079107959E-2</v>
      </c>
      <c r="N17" s="7">
        <f>24*60*SUM($M17:$M17)</f>
        <v>37.366666673915461</v>
      </c>
      <c r="O17" s="7"/>
      <c r="P17" s="7"/>
      <c r="Q17" s="22"/>
      <c r="R17" s="190"/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-02T03:10:51-0600',mode:absolute,to:'2017-05-02T05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192">
        <f>RIGHT(D17,LEN(D17)-4)/10000</f>
        <v>7.6100000000000001E-2</v>
      </c>
      <c r="Z17" s="192">
        <f>RIGHT(H17,LEN(H17)-4)/10000</f>
        <v>23.330200000000001</v>
      </c>
      <c r="AA17" s="192">
        <f>ABS(Z17-Y17)</f>
        <v>23.254100000000001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>IF(LEN(A17)=6,"0"&amp;A17,A17)</f>
        <v>0105-02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/stypes="app*4010*20170502*" /stext=" 10:.+((SYSTEM_STATE.+slice.+state.+changed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105-02 --locoid 4010 --swversion DE.1.0.9.0 --startMP 204:761 --initTime 2017-05-02T04:10:51 --startdatetime 2017-05-02T04:15:17 --delay 1 --endMP 204:233302 --enddatetime 2017-05-02T04:52:39 --enforcementcount 0 &gt;&gt;C:\Users\stu\Documents\GitHub\eaglep3-reporting\EC\2017-05-02-refined-times.txt</v>
      </c>
      <c r="AI1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{"issue":{"subject":"","project_id":79,"tracker_id":40,"status_id":1,"priority_id":2,"assigned_to_id":23,"start_date":"2017-05-02","description":"","custom_fields":[{"id":1,"name":"Subdivision","value":"EC"},{"id":4,"name":"Milepost","value":"23.3302"},{"id":17,"name":"Train ID","value":"105-02"},{"id":16,"name":"Locomotive ID","value":"4010"},{"id":130,"name":"Impact","value":""},{"id":150,"name":"Time of Event (Mountain Time)","value":"04:52:39"},{"id":151,"name":"Denver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4010 --day 2017-05-02</v>
      </c>
      <c r="AN1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635</v>
      </c>
      <c r="B18" s="7">
        <v>4045</v>
      </c>
      <c r="C18" s="21" t="s">
        <v>211</v>
      </c>
      <c r="D18" s="21" t="s">
        <v>825</v>
      </c>
      <c r="E18" s="13">
        <v>42857.214178240742</v>
      </c>
      <c r="F18" s="13">
        <v>42857.216400462959</v>
      </c>
      <c r="G18" s="7">
        <v>1</v>
      </c>
      <c r="H18" s="21" t="s">
        <v>484</v>
      </c>
      <c r="I18" s="13">
        <v>42857.243877314817</v>
      </c>
      <c r="J18" s="7">
        <v>0</v>
      </c>
      <c r="K18" s="92" t="str">
        <f>IF(ISEVEN(B18),(B18-1)&amp;"/"&amp;B18,B18&amp;"/"&amp;(B18+1))</f>
        <v>4045/4046</v>
      </c>
      <c r="L18" s="21" t="str">
        <f>VLOOKUP(A18,'Trips&amp;Operators'!$C$1:$G$99999,5,FALSE)</f>
        <v>STARKS ANGELINA</v>
      </c>
      <c r="M18" s="6">
        <f>I18-F18</f>
        <v>2.7476851857500151E-2</v>
      </c>
      <c r="N18" s="7">
        <f>24*60*SUM($M18:$M18)</f>
        <v>39.566666674800217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-02T04:08:25-0600',mode:absolute,to:'2017-05-02T06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192">
        <f>RIGHT(D18,LEN(D18)-4)/10000</f>
        <v>23.2683</v>
      </c>
      <c r="Z18" s="192">
        <f>RIGHT(H18,LEN(H18)-4)/10000</f>
        <v>1.6299999999999999E-2</v>
      </c>
      <c r="AA18" s="192">
        <f>ABS(Z18-Y18)</f>
        <v>23.251999999999999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>IF(LEN(A18)=6,"0"&amp;A18,A18)</f>
        <v>0106-02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s3://rtdc.mdm.uploadarchive.raw/RTDC4045/ "%USERPROFILE%\AppData\Local\Temp\OnboardLogs"\RTDC4045\2017-05-02 --exclude "*" --recursive --include "*20170502*" &amp; "%USERPROFILE%\Documents\GitHub\mrs-test-scripts\Headless Mode &amp; Sideloading\WalkAndUnGZ.bat" "%USERPROFILE%\AppData\Local\Temp\OnboardLogs"\RTDC4045\2017-05-02 &amp; aws s3 cp s3://rtdc.mdm.uploadarchive.raw/RTDC4045/ "%USERPROFILE%\AppData\Local\Temp\OnboardLogs"\RTDC4045\2017-05-03 --exclude "*" --recursive --include "*20170503*" &amp; "%USERPROFILE%\Documents\GitHub\mrs-test-scripts\Headless Mode &amp; Sideloading\WalkAndUnGZ.bat" "%USERPROFILE%\AppData\Local\Temp\OnboardLogs"\RTDC4045\2017-05-03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/stypes="app*4045*20170502*"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106-02 --locoid 4045 --swversion DE.1.0.9.0 --startMP 204:232683 --initTime 2017-05-02T05:08:25 --startdatetime 2017-05-02T05:11:37 --delay 1 --endMP 204:163 --enddatetime 2017-05-02T05:51:11 --enforcementcount 0 &gt;&gt;C:\Users\stu\Documents\GitHub\eaglep3-reporting\EC\2017-05-02-refined-times.txt</v>
      </c>
      <c r="AI1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{"issue":{"subject":"","project_id":79,"tracker_id":40,"status_id":1,"priority_id":2,"assigned_to_id":23,"start_date":"2017-05-02","description":"","custom_fields":[{"id":1,"name":"Subdivision","value":"EC"},{"id":4,"name":"Milepost","value":"0.0163"},{"id":17,"name":"Train ID","value":"106-02"},{"id":16,"name":"Locomotive ID","value":"4045"},{"id":130,"name":"Impact","value":""},{"id":150,"name":"Time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4045 --day 2017-05-02</v>
      </c>
      <c r="AN1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625</v>
      </c>
      <c r="B19" s="7">
        <v>4022</v>
      </c>
      <c r="C19" s="21" t="s">
        <v>211</v>
      </c>
      <c r="D19" s="21" t="s">
        <v>382</v>
      </c>
      <c r="E19" s="13">
        <v>42857.1796875</v>
      </c>
      <c r="F19" s="13">
        <v>42857.187662037039</v>
      </c>
      <c r="G19" s="7">
        <v>1</v>
      </c>
      <c r="H19" s="21" t="s">
        <v>826</v>
      </c>
      <c r="I19" s="13">
        <v>42857.213831018518</v>
      </c>
      <c r="J19" s="7">
        <v>0</v>
      </c>
      <c r="K19" s="92" t="str">
        <f>IF(ISEVEN(B19),(B19-1)&amp;"/"&amp;B19,B19&amp;"/"&amp;(B19+1))</f>
        <v>4021/4022</v>
      </c>
      <c r="L19" s="21" t="str">
        <f>VLOOKUP(A19,'Trips&amp;Operators'!$C$1:$G$99999,5,FALSE)</f>
        <v>THOMPSON LESTER</v>
      </c>
      <c r="M19" s="6">
        <f>I19-F19</f>
        <v>2.6168981479713693E-2</v>
      </c>
      <c r="N19" s="7">
        <f>24*60*SUM($M19:$M19)</f>
        <v>37.683333330787718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-02T03:18:45-0600',mode:absolute,to:'2017-05-02T06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192">
        <f>RIGHT(D19,LEN(D19)-4)/10000</f>
        <v>4.6199999999999998E-2</v>
      </c>
      <c r="Z19" s="192">
        <f>RIGHT(H19,LEN(H19)-4)/10000</f>
        <v>23.328900000000001</v>
      </c>
      <c r="AA19" s="192">
        <f>ABS(Z19-Y19)</f>
        <v>23.282700000000002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0107-02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/stypes="app*4022*20170502*"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107-02 --locoid 4022 --swversion DE.1.0.9.0 --startMP 204:462 --initTime 2017-05-02T04:18:45 --startdatetime 2017-05-02T04:30:14 --delay 1 --endMP 204:233289 --enddatetime 2017-05-02T05:07:55 --enforcementcount 0 &gt;&gt;C:\Users\stu\Documents\GitHub\eaglep3-reporting\EC\2017-05-02-refined-times.txt</v>
      </c>
      <c r="AI1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{"issue":{"subject":"","project_id":79,"tracker_id":40,"status_id":1,"priority_id":2,"assigned_to_id":23,"start_date":"2017-05-02","description":"","custom_fields":[{"id":1,"name":"Subdivision","value":"EC"},{"id":4,"name":"Milepost","value":"23.3289"},{"id":17,"name":"Train ID","value":"107-02"},{"id":16,"name":"Locomotive ID","value":"4022"},{"id":130,"name":"Impact","value":""},{"id":150,"name":"Time of Event (Mountain Time)","value":"05:07:55"},{"id":151,"name":"Denver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4022 --day 2017-05-02</v>
      </c>
      <c r="AN1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636</v>
      </c>
      <c r="B20" s="7">
        <v>4021</v>
      </c>
      <c r="C20" s="21" t="s">
        <v>211</v>
      </c>
      <c r="D20" s="21" t="s">
        <v>439</v>
      </c>
      <c r="E20" s="13">
        <v>42857.22215277778</v>
      </c>
      <c r="F20" s="13">
        <v>42857.226712962962</v>
      </c>
      <c r="G20" s="7">
        <v>1</v>
      </c>
      <c r="H20" s="21" t="s">
        <v>544</v>
      </c>
      <c r="I20" s="13">
        <v>42857.255104166667</v>
      </c>
      <c r="J20" s="7">
        <v>0</v>
      </c>
      <c r="K20" s="92" t="str">
        <f>IF(ISEVEN(B20),(B20-1)&amp;"/"&amp;B20,B20&amp;"/"&amp;(B20+1))</f>
        <v>4021/4022</v>
      </c>
      <c r="L20" s="21" t="str">
        <f>VLOOKUP(A20,'Trips&amp;Operators'!$C$1:$G$99999,5,FALSE)</f>
        <v>THOMPSON LESTER</v>
      </c>
      <c r="M20" s="6">
        <f>I20-F20</f>
        <v>2.8391203704813961E-2</v>
      </c>
      <c r="N20" s="7">
        <f>24*60*SUM($M20:$M20)</f>
        <v>40.883333334932104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-02T04:19:54-0600',mode:absolute,to:'2017-05-02T07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192">
        <f>RIGHT(D20,LEN(D20)-4)/10000</f>
        <v>23.296900000000001</v>
      </c>
      <c r="Z20" s="192">
        <f>RIGHT(H20,LEN(H20)-4)/10000</f>
        <v>1.47E-2</v>
      </c>
      <c r="AA20" s="192">
        <f>ABS(Z20-Y20)</f>
        <v>23.2822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0108-02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/stypes="app*4021*20170502*"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108-02 --locoid 4021 --swversion DE.1.0.9.0 --startMP 204:232969 --initTime 2017-05-02T05:19:54 --startdatetime 2017-05-02T05:26:28 --delay 1 --endMP 204:147 --enddatetime 2017-05-02T06:07:21 --enforcementcount 0 &gt;&gt;C:\Users\stu\Documents\GitHub\eaglep3-reporting\EC\2017-05-02-refined-times.txt</v>
      </c>
      <c r="AI2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ID","value":"108-02"},{"id":16,"name":"Locomotive ID","value":"4021"},{"id":130,"name":"Impact","value":""},{"id":150,"name":"Time of Event (Mountain Time)","value":"06:07:21"},{"id":151,"name":"Denver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4021 --day 2017-05-02</v>
      </c>
      <c r="AN2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628</v>
      </c>
      <c r="B21" s="7">
        <v>4018</v>
      </c>
      <c r="C21" s="21" t="s">
        <v>211</v>
      </c>
      <c r="D21" s="21" t="s">
        <v>432</v>
      </c>
      <c r="E21" s="13">
        <v>42857.193622685183</v>
      </c>
      <c r="F21" s="13">
        <v>42857.198055555556</v>
      </c>
      <c r="G21" s="7">
        <v>1</v>
      </c>
      <c r="H21" s="21" t="s">
        <v>545</v>
      </c>
      <c r="I21" s="13">
        <v>42857.22388888889</v>
      </c>
      <c r="J21" s="7">
        <v>0</v>
      </c>
      <c r="K21" s="92" t="str">
        <f>IF(ISEVEN(B21),(B21-1)&amp;"/"&amp;B21,B21&amp;"/"&amp;(B21+1))</f>
        <v>4017/4018</v>
      </c>
      <c r="L21" s="21" t="str">
        <f>VLOOKUP(A21,'Trips&amp;Operators'!$C$1:$G$99999,5,FALSE)</f>
        <v>DAVIS WENDY</v>
      </c>
      <c r="M21" s="6">
        <f>I21-F21</f>
        <v>2.5833333333139308E-2</v>
      </c>
      <c r="N21" s="7">
        <f>24*60*SUM($M21:$M21)</f>
        <v>37.199999999720603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-02T03:38:49-0600',mode:absolute,to:'2017-05-02T06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192">
        <f>RIGHT(D21,LEN(D21)-4)/10000</f>
        <v>4.53E-2</v>
      </c>
      <c r="Z21" s="192">
        <f>RIGHT(H21,LEN(H21)-4)/10000</f>
        <v>23.3323</v>
      </c>
      <c r="AA21" s="192">
        <f>ABS(Z21-Y21)</f>
        <v>23.286999999999999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0109-02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/stypes="app*4018*20170502*"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109-02 --locoid 4018 --swversion DE.1.0.9.0 --startMP 204:453 --initTime 2017-05-02T04:38:49 --startdatetime 2017-05-02T04:45:12 --delay 1 --endMP 204:233323 --enddatetime 2017-05-02T05:22:24 --enforcementcount 0 &gt;&gt;C:\Users\stu\Documents\GitHub\eaglep3-reporting\EC\2017-05-02-refined-times.txt</v>
      </c>
      <c r="AI2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{"issue":{"subject":"","project_id":79,"tracker_id":40,"status_id":1,"priority_id":2,"assigned_to_id":23,"start_date":"2017-05-02","description":"","custom_fields":[{"id":1,"name":"Subdivision","value":"EC"},{"id":4,"name":"Milepost","value":"23.3323"},{"id":17,"name":"Train ID","value":"109-02"},{"id":16,"name":"Locomotive ID","value":"4018"},{"id":130,"name":"Impact","value":""},{"id":150,"name":"Time of Event (Mountain Time)","value":"05:22:24"},{"id":151,"name":"Denver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4018 --day 2017-05-02</v>
      </c>
      <c r="AN2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639</v>
      </c>
      <c r="B22" s="7">
        <v>4017</v>
      </c>
      <c r="C22" s="21" t="s">
        <v>211</v>
      </c>
      <c r="D22" s="21" t="s">
        <v>546</v>
      </c>
      <c r="E22" s="13">
        <v>42857.233958333331</v>
      </c>
      <c r="F22" s="13">
        <v>42857.236967592595</v>
      </c>
      <c r="G22" s="7">
        <v>1</v>
      </c>
      <c r="H22" s="21" t="s">
        <v>406</v>
      </c>
      <c r="I22" s="13">
        <v>42857.264189814814</v>
      </c>
      <c r="J22" s="7">
        <v>0</v>
      </c>
      <c r="K22" s="92" t="str">
        <f>IF(ISEVEN(B22),(B22-1)&amp;"/"&amp;B22,B22&amp;"/"&amp;(B22+1))</f>
        <v>4017/4018</v>
      </c>
      <c r="L22" s="21" t="str">
        <f>VLOOKUP(A22,'Trips&amp;Operators'!$C$1:$G$99999,5,FALSE)</f>
        <v>DAVIS WENDY</v>
      </c>
      <c r="M22" s="6">
        <f>I22-F22</f>
        <v>2.7222222219279502E-2</v>
      </c>
      <c r="N22" s="7">
        <f>24*60*SUM($M22:$M22)</f>
        <v>39.199999995762482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-02T04:36:54-0600',mode:absolute,to:'2017-05-02T07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192">
        <f>RIGHT(D22,LEN(D22)-4)/10000</f>
        <v>23.299800000000001</v>
      </c>
      <c r="Z22" s="192">
        <f>RIGHT(H22,LEN(H22)-4)/10000</f>
        <v>1.4999999999999999E-2</v>
      </c>
      <c r="AA22" s="192">
        <f>ABS(Z22-Y22)</f>
        <v>23.284800000000001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0110-02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/stypes="app*4017*20170502*"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110-02 --locoid 4017 --swversion DE.1.0.9.0 --startMP 204:232998 --initTime 2017-05-02T05:36:54 --startdatetime 2017-05-02T05:41:14 --delay 1 --endMP 204:150 --enddatetime 2017-05-02T06:20:26 --enforcementcount 0 &gt;&gt;C:\Users\stu\Documents\GitHub\eaglep3-reporting\EC\2017-05-02-refined-times.txt</v>
      </c>
      <c r="AI2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{"issue":{"subject":"","project_id":79,"tracker_id":40,"status_id":1,"priority_id":2,"assigned_to_id":23,"start_date":"2017-05-02","description":"","custom_fields":[{"id":1,"name":"Subdivision","value":"EC"},{"id":4,"name":"Milepost","value":"0.015"},{"id":17,"name":"Train ID","value":"110-02"},{"id":16,"name":"Locomotive ID","value":"4017"},{"id":130,"name":"Impact","value":""},{"id":150,"name":"Time of Event (Mountain Time)","value":"06:20:26"},{"id":151,"name":"Denver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4017 --day 2017-05-02</v>
      </c>
      <c r="AN2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630</v>
      </c>
      <c r="B23" s="7">
        <v>4044</v>
      </c>
      <c r="C23" s="21" t="s">
        <v>211</v>
      </c>
      <c r="D23" s="21" t="s">
        <v>477</v>
      </c>
      <c r="E23" s="13">
        <v>42857.205833333333</v>
      </c>
      <c r="F23" s="13">
        <v>42857.209664351853</v>
      </c>
      <c r="G23" s="7">
        <v>2</v>
      </c>
      <c r="H23" s="21" t="s">
        <v>827</v>
      </c>
      <c r="I23" s="13">
        <v>42857.234270833331</v>
      </c>
      <c r="J23" s="7">
        <v>0</v>
      </c>
      <c r="K23" s="92" t="str">
        <f>IF(ISEVEN(B23),(B23-1)&amp;"/"&amp;B23,B23&amp;"/"&amp;(B23+1))</f>
        <v>4043/4044</v>
      </c>
      <c r="L23" s="21" t="str">
        <f>VLOOKUP(A23,'Trips&amp;Operators'!$C$1:$G$99999,5,FALSE)</f>
        <v>LOZA FIDEL</v>
      </c>
      <c r="M23" s="6">
        <f>I23-F23</f>
        <v>2.4606481478258502E-2</v>
      </c>
      <c r="N23" s="7">
        <f>24*60*SUM($M23:$M23)</f>
        <v>35.433333328692243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-02T03:56:24-0600',mode:absolute,to:'2017-05-02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7.5499999999999998E-2</v>
      </c>
      <c r="Z23" s="192">
        <f>RIGHT(H23,LEN(H23)-4)/10000</f>
        <v>23.3309</v>
      </c>
      <c r="AA23" s="192">
        <f>ABS(Z23-Y23)</f>
        <v>23.255399999999998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0111-02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/stypes="app*4044*20170502*"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111-02 --locoid 4044 --swversion DE.1.0.9.0 --startMP 204:755 --initTime 2017-05-02T04:56:24 --startdatetime 2017-05-02T05:01:55 --delay 2 --endMP 204:233309 --enddatetime 2017-05-02T05:37:21 --enforcementcount 0 &gt;&gt;C:\Users\stu\Documents\GitHub\eaglep3-reporting\EC\2017-05-02-refined-times.txt</v>
      </c>
      <c r="AI2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{"issue":{"subject":"","project_id":79,"tracker_id":40,"status_id":1,"priority_id":2,"assigned_to_id":23,"start_date":"2017-05-02","description":"","custom_fields":[{"id":1,"name":"Subdivision","value":"EC"},{"id":4,"name":"Milepost","value":"23.3309"},{"id":17,"name":"Train ID","value":"111-02"},{"id":16,"name":"Locomotive ID","value":"4044"},{"id":130,"name":"Impact","value":""},{"id":150,"name":"Time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4044 --day 2017-05-02</v>
      </c>
      <c r="AN2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645</v>
      </c>
      <c r="B24" s="7">
        <v>4043</v>
      </c>
      <c r="C24" s="21" t="s">
        <v>211</v>
      </c>
      <c r="D24" s="21" t="s">
        <v>442</v>
      </c>
      <c r="E24" s="13">
        <v>42857.24659722222</v>
      </c>
      <c r="F24" s="13">
        <v>42857.248344907406</v>
      </c>
      <c r="G24" s="7">
        <v>1</v>
      </c>
      <c r="H24" s="21" t="s">
        <v>197</v>
      </c>
      <c r="I24" s="13">
        <v>42857.274710648147</v>
      </c>
      <c r="J24" s="7">
        <v>0</v>
      </c>
      <c r="K24" s="92" t="str">
        <f>IF(ISEVEN(B24),(B24-1)&amp;"/"&amp;B24,B24&amp;"/"&amp;(B24+1))</f>
        <v>4043/4044</v>
      </c>
      <c r="L24" s="21" t="str">
        <f>VLOOKUP(A24,'Trips&amp;Operators'!$C$1:$G$99999,5,FALSE)</f>
        <v>LOZA FIDEL</v>
      </c>
      <c r="M24" s="6">
        <f>I24-F24</f>
        <v>2.6365740741312038E-2</v>
      </c>
      <c r="N24" s="7">
        <f>24*60*SUM($M24:$M24)</f>
        <v>37.966666667489335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-02T04:55:06-0600',mode:absolute,to:'2017-05-02T07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23.298200000000001</v>
      </c>
      <c r="Z24" s="192">
        <f>RIGHT(H24,LEN(H24)-4)/10000</f>
        <v>1.52E-2</v>
      </c>
      <c r="AA24" s="192">
        <f>ABS(Z24-Y24)</f>
        <v>23.283000000000001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0112-02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/stypes="app*4043*20170502*"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112-02 --locoid 4043 --swversion DE.1.0.9.0 --startMP 204:232982 --initTime 2017-05-02T05:55:06 --startdatetime 2017-05-02T05:57:37 --delay 1 --endMP 204:152 --enddatetime 2017-05-02T06:35:35 --enforcementcount 0 &gt;&gt;C:\Users\stu\Documents\GitHub\eaglep3-reporting\EC\2017-05-02-refined-times.txt</v>
      </c>
      <c r="AI2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ID","value":"112-02"},{"id":16,"name":"Locomotive ID","value":"4043"},{"id":130,"name":"Impact","value":""},{"id":150,"name":"Time of Event (Mountain Time)","value":"06:35:35"},{"id":151,"name":"Denver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4043 --day 2017-05-02</v>
      </c>
      <c r="AN2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634</v>
      </c>
      <c r="B25" s="7">
        <v>4004</v>
      </c>
      <c r="C25" s="21" t="s">
        <v>211</v>
      </c>
      <c r="D25" s="21" t="s">
        <v>828</v>
      </c>
      <c r="E25" s="13">
        <v>42857.213622685187</v>
      </c>
      <c r="F25" s="13">
        <v>42857.218958333331</v>
      </c>
      <c r="G25" s="7">
        <v>1</v>
      </c>
      <c r="H25" s="21" t="s">
        <v>454</v>
      </c>
      <c r="I25" s="13">
        <v>42857.244444444441</v>
      </c>
      <c r="J25" s="7">
        <v>0</v>
      </c>
      <c r="K25" s="92" t="str">
        <f>IF(ISEVEN(B25),(B25-1)&amp;"/"&amp;B25,B25&amp;"/"&amp;(B25+1))</f>
        <v>4003/4004</v>
      </c>
      <c r="L25" s="21" t="str">
        <f>VLOOKUP(A25,'Trips&amp;Operators'!$C$1:$G$99999,5,FALSE)</f>
        <v>SANTIZO D. EDY</v>
      </c>
      <c r="M25" s="6">
        <f>I25-F25</f>
        <v>2.548611110978527E-2</v>
      </c>
      <c r="N25" s="7">
        <f>24*60*SUM($M25:$M25)</f>
        <v>36.699999998090789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-02T04:07:37-0600',mode:absolute,to:'2017-05-02T06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4.4200000000000003E-2</v>
      </c>
      <c r="Z25" s="192">
        <f>RIGHT(H25,LEN(H25)-4)/10000</f>
        <v>23.3293</v>
      </c>
      <c r="AA25" s="192">
        <f>ABS(Z25-Y25)</f>
        <v>23.2851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0113-02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/stypes="app*4004*20170502*"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113-02 --locoid 4004 --swversion DE.1.0.9.0 --startMP 204:442 --initTime 2017-05-02T05:07:37 --startdatetime 2017-05-02T05:15:18 --delay 1 --endMP 204:233293 --enddatetime 2017-05-02T05:52:00 --enforcementcount 0 &gt;&gt;C:\Users\stu\Documents\GitHub\eaglep3-reporting\EC\2017-05-02-refined-times.txt</v>
      </c>
      <c r="AI2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{"issue":{"subject":"","project_id":79,"tracker_id":40,"status_id":1,"priority_id":2,"assigned_to_id":23,"start_date":"2017-05-02","description":"","custom_fields":[{"id":1,"name":"Subdivision","value":"EC"},{"id":4,"name":"Milepost","value":"23.3293"},{"id":17,"name":"Train ID","value":"113-02"},{"id":16,"name":"Locomotive ID","value":"4004"},{"id":130,"name":"Impact","value":""},{"id":150,"name":"Time of Event (Mountain Time)","value":"05:52:00"},{"id":151,"name":"Denver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4004 --day 2017-05-02</v>
      </c>
      <c r="AN2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641</v>
      </c>
      <c r="B26" s="7">
        <v>4003</v>
      </c>
      <c r="C26" s="21" t="s">
        <v>211</v>
      </c>
      <c r="D26" s="21" t="s">
        <v>829</v>
      </c>
      <c r="E26" s="13">
        <v>42857.24591435185</v>
      </c>
      <c r="F26" s="13">
        <v>42857.257870370369</v>
      </c>
      <c r="G26" s="7">
        <v>1</v>
      </c>
      <c r="H26" s="21" t="s">
        <v>544</v>
      </c>
      <c r="I26" s="13">
        <v>42857.283831018518</v>
      </c>
      <c r="J26" s="7">
        <v>0</v>
      </c>
      <c r="K26" s="92" t="str">
        <f>IF(ISEVEN(B26),(B26-1)&amp;"/"&amp;B26,B26&amp;"/"&amp;(B26+1))</f>
        <v>4003/4004</v>
      </c>
      <c r="L26" s="21" t="str">
        <f>VLOOKUP(A26,'Trips&amp;Operators'!$C$1:$G$99999,5,FALSE)</f>
        <v>HAUSER FRANK</v>
      </c>
      <c r="M26" s="6">
        <f>I26-F26</f>
        <v>2.5960648148611654E-2</v>
      </c>
      <c r="N26" s="7">
        <f>24*60*SUM($M26:$M26)</f>
        <v>37.383333334000781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-02T04:54:07-0600',mode:absolute,to:'2017-05-02T07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23.296600000000002</v>
      </c>
      <c r="Z26" s="192">
        <f>RIGHT(H26,LEN(H26)-4)/10000</f>
        <v>1.47E-2</v>
      </c>
      <c r="AA26" s="192">
        <f>ABS(Z26-Y26)</f>
        <v>23.2819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0114-02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/stypes="app*4003*20170502*"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114-02 --locoid 4003 --swversion DE.1.0.9.0 --startMP 204:232966 --initTime 2017-05-02T05:54:07 --startdatetime 2017-05-02T06:11:20 --delay 1 --endMP 204:147 --enddatetime 2017-05-02T06:48:43 --enforcementcount 0 &gt;&gt;C:\Users\stu\Documents\GitHub\eaglep3-reporting\EC\2017-05-02-refined-times.txt</v>
      </c>
      <c r="AI2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ID","value":"114-02"},{"id":16,"name":"Locomotive ID","value":"4003"},{"id":130,"name":"Impact","value":""},{"id":150,"name":"Time of Event (Mountain Time)","value":"06:48:43"},{"id":151,"name":"Denver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4003 --day 2017-05-02</v>
      </c>
      <c r="AN2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637</v>
      </c>
      <c r="B27" s="7">
        <v>4042</v>
      </c>
      <c r="C27" s="21" t="s">
        <v>211</v>
      </c>
      <c r="D27" s="21" t="s">
        <v>830</v>
      </c>
      <c r="E27" s="13">
        <v>42857.224710648145</v>
      </c>
      <c r="F27" s="13">
        <v>42857.229513888888</v>
      </c>
      <c r="G27" s="7">
        <v>2</v>
      </c>
      <c r="H27" s="21" t="s">
        <v>831</v>
      </c>
      <c r="I27" s="13">
        <v>42857.253634259258</v>
      </c>
      <c r="J27" s="7">
        <v>0</v>
      </c>
      <c r="K27" s="92" t="str">
        <f>IF(ISEVEN(B27),(B27-1)&amp;"/"&amp;B27,B27&amp;"/"&amp;(B27+1))</f>
        <v>4041/4042</v>
      </c>
      <c r="L27" s="21" t="str">
        <f>VLOOKUP(A27,'Trips&amp;Operators'!$C$1:$G$99999,5,FALSE)</f>
        <v>LAMAR NEKESHA</v>
      </c>
      <c r="M27" s="6">
        <f>I27-F27</f>
        <v>2.4120370369928423E-2</v>
      </c>
      <c r="N27" s="7">
        <f>24*60*SUM($M27:$M27)</f>
        <v>34.73333333269693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-02T04:23:35-0600',mode:absolute,to:'2017-05-02T07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192">
        <f>RIGHT(D27,LEN(D27)-4)/10000</f>
        <v>7.46E-2</v>
      </c>
      <c r="Z27" s="192">
        <f>RIGHT(H27,LEN(H27)-4)/10000</f>
        <v>23.328800000000001</v>
      </c>
      <c r="AA27" s="192">
        <f>ABS(Z27-Y27)</f>
        <v>23.254200000000001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0115-02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/stypes="app*4042*20170502*"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115-02 --locoid 4042 --swversion DE.1.0.9.0 --startMP 204:746 --initTime 2017-05-02T05:23:35 --startdatetime 2017-05-02T05:30:30 --delay 2 --endMP 204:233288 --enddatetime 2017-05-02T06:05:14 --enforcementcount 0 &gt;&gt;C:\Users\stu\Documents\GitHub\eaglep3-reporting\EC\2017-05-02-refined-times.txt</v>
      </c>
      <c r="AI2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{"issue":{"subject":"","project_id":79,"tracker_id":40,"status_id":1,"priority_id":2,"assigned_to_id":23,"start_date":"2017-05-02","description":"","custom_fields":[{"id":1,"name":"Subdivision","value":"EC"},{"id":4,"name":"Milepost","value":"23.3288"},{"id":17,"name":"Train ID","value":"115-02"},{"id":16,"name":"Locomotive ID","value":"4042"},{"id":130,"name":"Impact","value":""},{"id":150,"name":"Time of Event (Mountain Time)","value":"06:05:14"},{"id":151,"name":"Denver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4042 --day 2017-05-02</v>
      </c>
      <c r="AN2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651</v>
      </c>
      <c r="B28" s="7">
        <v>4041</v>
      </c>
      <c r="C28" s="21" t="s">
        <v>211</v>
      </c>
      <c r="D28" s="21" t="s">
        <v>552</v>
      </c>
      <c r="E28" s="13">
        <v>42857.265231481484</v>
      </c>
      <c r="F28" s="13">
        <v>42857.268368055556</v>
      </c>
      <c r="G28" s="7">
        <v>2</v>
      </c>
      <c r="H28" s="21" t="s">
        <v>386</v>
      </c>
      <c r="I28" s="13">
        <v>42857.294710648152</v>
      </c>
      <c r="J28" s="7">
        <v>0</v>
      </c>
      <c r="K28" s="92" t="str">
        <f>IF(ISEVEN(B28),(B28-1)&amp;"/"&amp;B28,B28&amp;"/"&amp;(B28+1))</f>
        <v>4041/4042</v>
      </c>
      <c r="L28" s="21" t="str">
        <f>VLOOKUP(A28,'Trips&amp;Operators'!$C$1:$G$99999,5,FALSE)</f>
        <v>LAMAR NEKESHA</v>
      </c>
      <c r="M28" s="6">
        <f>I28-F28</f>
        <v>2.6342592595028691E-2</v>
      </c>
      <c r="N28" s="7">
        <f>24*60*SUM($M28:$M28)</f>
        <v>37.933333336841315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-02T05:21:56-0600',mode:absolute,to:'2017-05-02T08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23.296500000000002</v>
      </c>
      <c r="Z28" s="192">
        <f>RIGHT(H28,LEN(H28)-4)/10000</f>
        <v>1.4500000000000001E-2</v>
      </c>
      <c r="AA28" s="192">
        <f>ABS(Z28-Y28)</f>
        <v>23.282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0116-02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/stypes="app*4041*20170502*"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116-02 --locoid 4041 --swversion DE.1.0.9.0 --startMP 204:232965 --initTime 2017-05-02T06:21:56 --startdatetime 2017-05-02T06:26:27 --delay 2 --endMP 204:145 --enddatetime 2017-05-02T07:04:23 --enforcementcount 0 &gt;&gt;C:\Users\stu\Documents\GitHub\eaglep3-reporting\EC\2017-05-02-refined-times.txt</v>
      </c>
      <c r="AI2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{"issue":{"subject":"","project_id":79,"tracker_id":40,"status_id":1,"priority_id":2,"assigned_to_id":23,"start_date":"2017-05-02","description":"","custom_fields":[{"id":1,"name":"Subdivision","value":"EC"},{"id":4,"name":"Milepost","value":"0.0145"},{"id":17,"name":"Train ID","value":"116-02"},{"id":16,"name":"Locomotive ID","value":"4041"},{"id":130,"name":"Impact","value":""},{"id":150,"name":"Time of Event (Mountain Time)","value":"07:04:23"},{"id":151,"name":"Denver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4041 --day 2017-05-02</v>
      </c>
      <c r="AN2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638</v>
      </c>
      <c r="B29" s="7">
        <v>4026</v>
      </c>
      <c r="C29" s="21" t="s">
        <v>211</v>
      </c>
      <c r="D29" s="21" t="s">
        <v>832</v>
      </c>
      <c r="E29" s="13">
        <v>42857.225821759261</v>
      </c>
      <c r="F29" s="13">
        <v>42857.23982638889</v>
      </c>
      <c r="G29" s="7">
        <v>1</v>
      </c>
      <c r="H29" s="21" t="s">
        <v>422</v>
      </c>
      <c r="I29" s="13">
        <v>42857.264733796299</v>
      </c>
      <c r="J29" s="7">
        <v>0</v>
      </c>
      <c r="K29" s="92" t="str">
        <f>IF(ISEVEN(B29),(B29-1)&amp;"/"&amp;B29,B29&amp;"/"&amp;(B29+1))</f>
        <v>4025/4026</v>
      </c>
      <c r="L29" s="21" t="str">
        <f>VLOOKUP(A29,'Trips&amp;Operators'!$C$1:$G$99999,5,FALSE)</f>
        <v>MAELZER KURT</v>
      </c>
      <c r="M29" s="6">
        <f>I29-F29</f>
        <v>2.4907407409045845E-2</v>
      </c>
      <c r="N29" s="7">
        <f>24*60*SUM($M29:$M29)</f>
        <v>35.866666669026017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-02T04:25:11-0600',mode:absolute,to:'2017-05-02T07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4.24E-2</v>
      </c>
      <c r="Z29" s="192">
        <f>RIGHT(H29,LEN(H29)-4)/10000</f>
        <v>23.331399999999999</v>
      </c>
      <c r="AA29" s="192">
        <f>ABS(Z29-Y29)</f>
        <v>23.288999999999998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0117-02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/stypes="app*4026*20170502*"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117-02 --locoid 4026 --swversion DE.1.0.9.0 --startMP 204:424 --initTime 2017-05-02T05:25:11 --startdatetime 2017-05-02T05:45:21 --delay 1 --endMP 204:233314 --enddatetime 2017-05-02T06:21:13 --enforcementcount 0 &gt;&gt;C:\Users\stu\Documents\GitHub\eaglep3-reporting\EC\2017-05-02-refined-times.txt</v>
      </c>
      <c r="AI2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{"issue":{"subject":"","project_id":79,"tracker_id":40,"status_id":1,"priority_id":2,"assigned_to_id":23,"start_date":"2017-05-02","description":"","custom_fields":[{"id":1,"name":"Subdivision","value":"EC"},{"id":4,"name":"Milepost","value":"23.3314"},{"id":17,"name":"Train ID","value":"117-02"},{"id":16,"name":"Locomotive ID","value":"4026"},{"id":130,"name":"Impact","value":""},{"id":150,"name":"Time of Event (Mountain Time)","value":"06:21:13"},{"id":151,"name":"Denver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4026 --day 2017-05-02</v>
      </c>
      <c r="AN2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654</v>
      </c>
      <c r="B30" s="7">
        <v>4025</v>
      </c>
      <c r="C30" s="21" t="s">
        <v>211</v>
      </c>
      <c r="D30" s="21" t="s">
        <v>483</v>
      </c>
      <c r="E30" s="13">
        <v>42857.273148148146</v>
      </c>
      <c r="F30" s="13">
        <v>42857.278761574074</v>
      </c>
      <c r="G30" s="7">
        <v>1</v>
      </c>
      <c r="H30" s="21" t="s">
        <v>409</v>
      </c>
      <c r="I30" s="13">
        <v>42857.305520833332</v>
      </c>
      <c r="J30" s="7">
        <v>0</v>
      </c>
      <c r="K30" s="92" t="str">
        <f>IF(ISEVEN(B30),(B30-1)&amp;"/"&amp;B30,B30&amp;"/"&amp;(B30+1))</f>
        <v>4025/4026</v>
      </c>
      <c r="L30" s="21" t="str">
        <f>VLOOKUP(A30,'Trips&amp;Operators'!$C$1:$G$99999,5,FALSE)</f>
        <v>MAELZER KURT</v>
      </c>
      <c r="M30" s="6">
        <f>I30-F30</f>
        <v>2.675925925723277E-2</v>
      </c>
      <c r="N30" s="7">
        <f>24*60*SUM($M30:$M30)</f>
        <v>38.533333330415189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-02T05:33:20-0600',mode:absolute,to:'2017-05-02T08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23.3</v>
      </c>
      <c r="Z30" s="192">
        <f>RIGHT(H30,LEN(H30)-4)/10000</f>
        <v>1.43E-2</v>
      </c>
      <c r="AA30" s="192">
        <f>ABS(Z30-Y30)</f>
        <v>23.285700000000002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0118-02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/stypes="app*4025*20170502*"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118-02 --locoid 4025 --swversion DE.1.0.9.0 --startMP 204:233000 --initTime 2017-05-02T06:33:20 --startdatetime 2017-05-02T06:41:25 --delay 1 --endMP 204:143 --enddatetime 2017-05-02T07:19:57 --enforcementcount 0 &gt;&gt;C:\Users\stu\Documents\GitHub\eaglep3-reporting\EC\2017-05-02-refined-times.txt</v>
      </c>
      <c r="AI3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{"issue":{"subject":"","project_id":79,"tracker_id":40,"status_id":1,"priority_id":2,"assigned_to_id":23,"start_date":"2017-05-02","description":"","custom_fields":[{"id":1,"name":"Subdivision","value":"EC"},{"id":4,"name":"Milepost","value":"0.0143"},{"id":17,"name":"Train ID","value":"118-02"},{"id":16,"name":"Locomotive ID","value":"4025"},{"id":130,"name":"Impact","value":""},{"id":150,"name":"Time of Event (Mountain Time)","value":"07:19:57"},{"id":151,"name":"Denver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4025 --day 2017-05-02</v>
      </c>
      <c r="AN3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647</v>
      </c>
      <c r="B31" s="7">
        <v>4010</v>
      </c>
      <c r="C31" s="21" t="s">
        <v>211</v>
      </c>
      <c r="D31" s="21" t="s">
        <v>833</v>
      </c>
      <c r="E31" s="13">
        <v>42857.246967592589</v>
      </c>
      <c r="F31" s="13">
        <v>42857.250173611108</v>
      </c>
      <c r="G31" s="7">
        <v>1</v>
      </c>
      <c r="H31" s="21" t="s">
        <v>437</v>
      </c>
      <c r="I31" s="13">
        <v>42857.274918981479</v>
      </c>
      <c r="J31" s="7">
        <v>0</v>
      </c>
      <c r="K31" s="92" t="str">
        <f>IF(ISEVEN(B31),(B31-1)&amp;"/"&amp;B31,B31&amp;"/"&amp;(B31+1))</f>
        <v>4009/4010</v>
      </c>
      <c r="L31" s="21" t="str">
        <f>VLOOKUP(A31,'Trips&amp;Operators'!$C$1:$G$99999,5,FALSE)</f>
        <v>STARKS ANGELINA</v>
      </c>
      <c r="M31" s="6">
        <f>I31-F31</f>
        <v>2.47453703705105E-2</v>
      </c>
      <c r="N31" s="7">
        <f>24*60*SUM($M31:$M31)</f>
        <v>35.63333333353512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-02T04:55:38-0600',mode:absolute,to:'2017-05-02T07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7.85E-2</v>
      </c>
      <c r="Z31" s="192">
        <f>RIGHT(H31,LEN(H31)-4)/10000</f>
        <v>23.329499999999999</v>
      </c>
      <c r="AA31" s="192">
        <f>ABS(Z31-Y31)</f>
        <v>23.251000000000001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0119-02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/stypes="app*4010*20170502*"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119-02 --locoid 4010 --swversion DE.1.0.9.0 --startMP 204:785 --initTime 2017-05-02T05:55:38 --startdatetime 2017-05-02T06:00:15 --delay 1 --endMP 204:233295 --enddatetime 2017-05-02T06:35:53 --enforcementcount 0 &gt;&gt;C:\Users\stu\Documents\GitHub\eaglep3-reporting\EC\2017-05-02-refined-times.txt</v>
      </c>
      <c r="AI3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{"issue":{"subject":"","project_id":79,"tracker_id":40,"status_id":1,"priority_id":2,"assigned_to_id":23,"start_date":"2017-05-02","description":"","custom_fields":[{"id":1,"name":"Subdivision","value":"EC"},{"id":4,"name":"Milepost","value":"23.3295"},{"id":17,"name":"Train ID","value":"119-02"},{"id":16,"name":"Locomotive ID","value":"4010"},{"id":130,"name":"Impact","value":""},{"id":150,"name":"Time of Event (Mountain Time)","value":"06:35:53"},{"id":151,"name":"Denver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4010 --day 2017-05-02</v>
      </c>
      <c r="AN3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658</v>
      </c>
      <c r="B32" s="7">
        <v>4009</v>
      </c>
      <c r="C32" s="21" t="s">
        <v>211</v>
      </c>
      <c r="D32" s="21" t="s">
        <v>436</v>
      </c>
      <c r="E32" s="13">
        <v>42857.286643518521</v>
      </c>
      <c r="F32" s="13">
        <v>42857.289884259262</v>
      </c>
      <c r="G32" s="7">
        <v>3</v>
      </c>
      <c r="H32" s="21" t="s">
        <v>426</v>
      </c>
      <c r="I32" s="13">
        <v>42857.318356481483</v>
      </c>
      <c r="J32" s="7">
        <v>0</v>
      </c>
      <c r="K32" s="92" t="str">
        <f>IF(ISEVEN(B32),(B32-1)&amp;"/"&amp;B32,B32&amp;"/"&amp;(B32+1))</f>
        <v>4009/4010</v>
      </c>
      <c r="L32" s="21" t="str">
        <f>VLOOKUP(A32,'Trips&amp;Operators'!$C$1:$G$99999,5,FALSE)</f>
        <v>STARKS ANGELINA</v>
      </c>
      <c r="M32" s="6">
        <f>I32-F32</f>
        <v>2.8472222220443655E-2</v>
      </c>
      <c r="N32" s="7">
        <f>24*60*SUM($M32:$M32)</f>
        <v>40.999999997438863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-02T05:52:46-0600',mode:absolute,to:'2017-05-02T08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23.2973</v>
      </c>
      <c r="Z32" s="192">
        <f>RIGHT(H32,LEN(H32)-4)/10000</f>
        <v>1.5599999999999999E-2</v>
      </c>
      <c r="AA32" s="192">
        <f>ABS(Z32-Y32)</f>
        <v>23.281700000000001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0120-02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/stypes="app*4009*20170502*"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120-02 --locoid 4009 --swversion DE.1.0.9.0 --startMP 204:232973 --initTime 2017-05-02T06:52:46 --startdatetime 2017-05-02T06:57:26 --delay 3 --endMP 204:156 --enddatetime 2017-05-02T07:38:26 --enforcementcount 0 &gt;&gt;C:\Users\stu\Documents\GitHub\eaglep3-reporting\EC\2017-05-02-refined-times.txt</v>
      </c>
      <c r="AI3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{"issue":{"subject":"","project_id":79,"tracker_id":40,"status_id":1,"priority_id":2,"assigned_to_id":23,"start_date":"2017-05-02","description":"","custom_fields":[{"id":1,"name":"Subdivision","value":"EC"},{"id":4,"name":"Milepost","value":"0.0156"},{"id":17,"name":"Train ID","value":"120-02"},{"id":16,"name":"Locomotive ID","value":"4009"},{"id":130,"name":"Impact","value":""},{"id":150,"name":"Time of Event (Mountain Time)","value":"07:38:26"},{"id":151,"name":"Denver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4009 --day 2017-05-02</v>
      </c>
      <c r="AN3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650</v>
      </c>
      <c r="B33" s="7">
        <v>4022</v>
      </c>
      <c r="C33" s="21" t="s">
        <v>211</v>
      </c>
      <c r="D33" s="21" t="s">
        <v>455</v>
      </c>
      <c r="E33" s="13">
        <v>42857.256701388891</v>
      </c>
      <c r="F33" s="13">
        <v>42857.260752314818</v>
      </c>
      <c r="G33" s="7">
        <v>1</v>
      </c>
      <c r="H33" s="21" t="s">
        <v>549</v>
      </c>
      <c r="I33" s="13">
        <v>42857.287280092591</v>
      </c>
      <c r="J33" s="7">
        <v>0</v>
      </c>
      <c r="K33" s="92" t="str">
        <f>IF(ISEVEN(B33),(B33-1)&amp;"/"&amp;B33,B33&amp;"/"&amp;(B33+1))</f>
        <v>4021/4022</v>
      </c>
      <c r="L33" s="21" t="str">
        <f>VLOOKUP(A33,'Trips&amp;Operators'!$C$1:$G$99999,5,FALSE)</f>
        <v>THOMPSON LESTER</v>
      </c>
      <c r="M33" s="6">
        <f>I33-F33</f>
        <v>2.6527777772571426E-2</v>
      </c>
      <c r="N33" s="7">
        <f>24*60*SUM($M33:$M33)</f>
        <v>38.199999992502853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-02T05:09:39-0600',mode:absolute,to:'2017-05-02T07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4.4400000000000002E-2</v>
      </c>
      <c r="Z33" s="192">
        <f>RIGHT(H33,LEN(H33)-4)/10000</f>
        <v>23.328499999999998</v>
      </c>
      <c r="AA33" s="192">
        <f>ABS(Z33-Y33)</f>
        <v>23.284099999999999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0121-02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/stypes="app*4022*20170502*"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121-02 --locoid 4022 --swversion DE.1.0.9.0 --startMP 204:444 --initTime 2017-05-02T06:09:39 --startdatetime 2017-05-02T06:15:29 --delay 1 --endMP 204:233285 --enddatetime 2017-05-02T06:53:41 --enforcementcount 0 &gt;&gt;C:\Users\stu\Documents\GitHub\eaglep3-reporting\EC\2017-05-02-refined-times.txt</v>
      </c>
      <c r="AI3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{"issue":{"subject":"","project_id":79,"tracker_id":40,"status_id":1,"priority_id":2,"assigned_to_id":23,"start_date":"2017-05-02","description":"","custom_fields":[{"id":1,"name":"Subdivision","value":"EC"},{"id":4,"name":"Milepost","value":"23.3285"},{"id":17,"name":"Train ID","value":"121-02"},{"id":16,"name":"Locomotive ID","value":"4022"},{"id":130,"name":"Impact","value":""},{"id":150,"name":"Time of Event (Mountain Time)","value":"06:53:41"},{"id":151,"name":"Denver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4022 --day 2017-05-02</v>
      </c>
      <c r="AN3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661</v>
      </c>
      <c r="B34" s="7">
        <v>4021</v>
      </c>
      <c r="C34" s="21" t="s">
        <v>211</v>
      </c>
      <c r="D34" s="21" t="s">
        <v>374</v>
      </c>
      <c r="E34" s="13">
        <v>42857.296898148146</v>
      </c>
      <c r="F34" s="13">
        <v>42857.299583333333</v>
      </c>
      <c r="G34" s="7">
        <v>1</v>
      </c>
      <c r="H34" s="21" t="s">
        <v>203</v>
      </c>
      <c r="I34" s="13">
        <v>42857.328356481485</v>
      </c>
      <c r="J34" s="7">
        <v>0</v>
      </c>
      <c r="K34" s="92" t="str">
        <f>IF(ISEVEN(B34),(B34-1)&amp;"/"&amp;B34,B34&amp;"/"&amp;(B34+1))</f>
        <v>4021/4022</v>
      </c>
      <c r="L34" s="21" t="str">
        <f>VLOOKUP(A34,'Trips&amp;Operators'!$C$1:$G$99999,5,FALSE)</f>
        <v>THOMPSON LESTER</v>
      </c>
      <c r="M34" s="6">
        <f>I34-F34</f>
        <v>2.8773148151230998E-2</v>
      </c>
      <c r="N34" s="7">
        <f>24*60*SUM($M34:$M34)</f>
        <v>41.433333337772638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-02T06:07:32-0600',mode:absolute,to:'2017-05-02T08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23.297699999999999</v>
      </c>
      <c r="Z34" s="192">
        <f>RIGHT(H34,LEN(H34)-4)/10000</f>
        <v>1.54E-2</v>
      </c>
      <c r="AA34" s="192">
        <f>ABS(Z34-Y34)</f>
        <v>23.282299999999999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0122-02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/stypes="app*4021*20170502*"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122-02 --locoid 4021 --swversion DE.1.0.9.0 --startMP 204:232977 --initTime 2017-05-02T07:07:32 --startdatetime 2017-05-02T07:11:24 --delay 1 --endMP 204:154 --enddatetime 2017-05-02T07:52:50 --enforcementcount 0 &gt;&gt;C:\Users\stu\Documents\GitHub\eaglep3-reporting\EC\2017-05-02-refined-times.txt</v>
      </c>
      <c r="AI3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{"issue":{"subject":"","project_id":79,"tracker_id":40,"status_id":1,"priority_id":2,"assigned_to_id":23,"start_date":"2017-05-02","description":"","custom_fields":[{"id":1,"name":"Subdivision","value":"EC"},{"id":4,"name":"Milepost","value":"0.0154"},{"id":17,"name":"Train ID","value":"122-02"},{"id":16,"name":"Locomotive ID","value":"4021"},{"id":130,"name":"Impact","value":""},{"id":150,"name":"Time of Event (Mountain Time)","value":"07:52:50"},{"id":151,"name":"Denver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4021 --day 2017-05-02</v>
      </c>
      <c r="AN3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652</v>
      </c>
      <c r="B35" s="7">
        <v>4018</v>
      </c>
      <c r="C35" s="21" t="s">
        <v>211</v>
      </c>
      <c r="D35" s="21" t="s">
        <v>368</v>
      </c>
      <c r="E35" s="13">
        <v>42857.266423611109</v>
      </c>
      <c r="F35" s="13">
        <v>42857.271180555559</v>
      </c>
      <c r="G35" s="7">
        <v>1</v>
      </c>
      <c r="H35" s="21" t="s">
        <v>834</v>
      </c>
      <c r="I35" s="13">
        <v>42857.295925925922</v>
      </c>
      <c r="J35" s="7">
        <v>0</v>
      </c>
      <c r="K35" s="92" t="str">
        <f>IF(ISEVEN(B35),(B35-1)&amp;"/"&amp;B35,B35&amp;"/"&amp;(B35+1))</f>
        <v>4017/4018</v>
      </c>
      <c r="L35" s="21" t="str">
        <f>VLOOKUP(A35,'Trips&amp;Operators'!$C$1:$G$99999,5,FALSE)</f>
        <v>DAVIS WENDY</v>
      </c>
      <c r="M35" s="6">
        <f>I35-F35</f>
        <v>2.4745370363234542E-2</v>
      </c>
      <c r="N35" s="7">
        <f>24*60*SUM($M35:$M35)</f>
        <v>35.633333323057741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-02T05:23:39-0600',mode:absolute,to:'2017-05-02T08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4.4900000000000002E-2</v>
      </c>
      <c r="Z35" s="192">
        <f>RIGHT(H35,LEN(H35)-4)/10000</f>
        <v>23.331600000000002</v>
      </c>
      <c r="AA35" s="192">
        <f>ABS(Z35-Y35)</f>
        <v>23.286700000000003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0123-02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/stypes="app*4018*20170502*"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123-02 --locoid 4018 --swversion DE.1.0.9.0 --startMP 204:449 --initTime 2017-05-02T06:23:39 --startdatetime 2017-05-02T06:30:30 --delay 1 --endMP 204:233316 --enddatetime 2017-05-02T07:06:08 --enforcementcount 0 &gt;&gt;C:\Users\stu\Documents\GitHub\eaglep3-reporting\EC\2017-05-02-refined-times.txt</v>
      </c>
      <c r="AI3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{"issue":{"subject":"","project_id":79,"tracker_id":40,"status_id":1,"priority_id":2,"assigned_to_id":23,"start_date":"2017-05-02","description":"","custom_fields":[{"id":1,"name":"Subdivision","value":"EC"},{"id":4,"name":"Milepost","value":"23.3316"},{"id":17,"name":"Train ID","value":"123-02"},{"id":16,"name":"Locomotive ID","value":"4018"},{"id":130,"name":"Impact","value":""},{"id":150,"name":"Time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4018 --day 2017-05-02</v>
      </c>
      <c r="AN3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663</v>
      </c>
      <c r="B36" s="7">
        <v>4017</v>
      </c>
      <c r="C36" s="21" t="s">
        <v>211</v>
      </c>
      <c r="D36" s="21" t="s">
        <v>443</v>
      </c>
      <c r="E36" s="13">
        <v>42857.307037037041</v>
      </c>
      <c r="F36" s="13">
        <v>42857.309872685182</v>
      </c>
      <c r="G36" s="7">
        <v>0</v>
      </c>
      <c r="H36" s="21" t="s">
        <v>835</v>
      </c>
      <c r="I36" s="13">
        <v>42857.337245370371</v>
      </c>
      <c r="J36" s="7">
        <v>0</v>
      </c>
      <c r="K36" s="92" t="str">
        <f>IF(ISEVEN(B36),(B36-1)&amp;"/"&amp;B36,B36&amp;"/"&amp;(B36+1))</f>
        <v>4017/4018</v>
      </c>
      <c r="L36" s="21" t="str">
        <f>VLOOKUP(A36,'Trips&amp;Operators'!$C$1:$G$99999,5,FALSE)</f>
        <v>DAVIS WENDY</v>
      </c>
      <c r="M36" s="6">
        <f>I36-F36</f>
        <v>2.7372685188311152E-2</v>
      </c>
      <c r="N36" s="7">
        <f>24*60*SUM($M36:$M36)</f>
        <v>39.416666671168059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-02T06:22:08-0600',mode:absolute,to:'2017-05-02T09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23.299600000000002</v>
      </c>
      <c r="Z36" s="192">
        <f>RIGHT(H36,LEN(H36)-4)/10000</f>
        <v>2.3599999999999999E-2</v>
      </c>
      <c r="AA36" s="192">
        <f>ABS(Z36-Y36)</f>
        <v>23.276000000000003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0124-02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/stypes="app*4017*20170502*"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124-02 --locoid 4017 --swversion DE.1.0.9.0 --startMP 204:232996 --initTime 2017-05-02T07:22:08 --startdatetime 2017-05-02T07:26:13 --delay 0 --endMP 204:236 --enddatetime 2017-05-02T08:05:38 --enforcementcount 0 &gt;&gt;C:\Users\stu\Documents\GitHub\eaglep3-reporting\EC\2017-05-02-refined-times.txt</v>
      </c>
      <c r="AI3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{"issue":{"subject":"","project_id":79,"tracker_id":40,"status_id":1,"priority_id":2,"assigned_to_id":23,"start_date":"2017-05-02","description":"","custom_fields":[{"id":1,"name":"Subdivision","value":"EC"},{"id":4,"name":"Milepost","value":"0.0236"},{"id":17,"name":"Train ID","value":"124-02"},{"id":16,"name":"Locomotive ID","value":"4017"},{"id":130,"name":"Impact","value":""},{"id":150,"name":"Time of Event (Mountain Time)","value":"08:05:38"},{"id":151,"name":"Denver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4017 --day 2017-05-02</v>
      </c>
      <c r="AN3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656</v>
      </c>
      <c r="B37" s="7">
        <v>4044</v>
      </c>
      <c r="C37" s="21" t="s">
        <v>211</v>
      </c>
      <c r="D37" s="21" t="s">
        <v>482</v>
      </c>
      <c r="E37" s="13">
        <v>42857.278587962966</v>
      </c>
      <c r="F37" s="13">
        <v>42857.281458333331</v>
      </c>
      <c r="G37" s="7">
        <v>1</v>
      </c>
      <c r="H37" s="21" t="s">
        <v>836</v>
      </c>
      <c r="I37" s="13">
        <v>42857.306296296294</v>
      </c>
      <c r="J37" s="7">
        <v>0</v>
      </c>
      <c r="K37" s="92" t="str">
        <f>IF(ISEVEN(B37),(B37-1)&amp;"/"&amp;B37,B37&amp;"/"&amp;(B37+1))</f>
        <v>4043/4044</v>
      </c>
      <c r="L37" s="21" t="str">
        <f>VLOOKUP(A37,'Trips&amp;Operators'!$C$1:$G$99999,5,FALSE)</f>
        <v>LOZA FIDEL</v>
      </c>
      <c r="M37" s="6">
        <f>I37-F37</f>
        <v>2.4837962962919846E-2</v>
      </c>
      <c r="N37" s="7">
        <f>24*60*SUM($M37:$M37)</f>
        <v>35.766666666604578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-02T05:41:10-0600',mode:absolute,to:'2017-05-02T08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7" s="192" t="str">
        <f>IF(AA37&lt;IF(AG37="EC",23,5.65),"Y","N")</f>
        <v>N</v>
      </c>
      <c r="X37" s="192">
        <f t="shared" ref="X37:X45" si="8">VALUE(LEFT(AD37,4))-VALUE(LEFT(AD36,4))</f>
        <v>1</v>
      </c>
      <c r="Y37" s="192">
        <f>RIGHT(D37,LEN(D37)-4)/10000</f>
        <v>4.7699999999999999E-2</v>
      </c>
      <c r="Z37" s="192">
        <f>RIGHT(H37,LEN(H37)-4)/10000</f>
        <v>23.331900000000001</v>
      </c>
      <c r="AA37" s="192">
        <f>ABS(Z37-Y37)</f>
        <v>23.284200000000002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0125-02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/stypes="app*4044*20170502*"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125-02 --locoid 4044 --swversion DE.1.0.9.0 --startMP 204:477 --initTime 2017-05-02T06:41:10 --startdatetime 2017-05-02T06:45:18 --delay 1 --endMP 204:233319 --enddatetime 2017-05-02T07:21:04 --enforcementcount 0 &gt;&gt;C:\Users\stu\Documents\GitHub\eaglep3-reporting\EC\2017-05-02-refined-times.txt</v>
      </c>
      <c r="AI3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{"issue":{"subject":"","project_id":79,"tracker_id":40,"status_id":1,"priority_id":2,"assigned_to_id":23,"start_date":"2017-05-02","description":"","custom_fields":[{"id":1,"name":"Subdivision","value":"EC"},{"id":4,"name":"Milepost","value":"23.3319"},{"id":17,"name":"Train ID","value":"125-02"},{"id":16,"name":"Locomotive ID","value":"4044"},{"id":130,"name":"Impact","value":""},{"id":150,"name":"Time of Event (Mountain Time)","value":"07:21:04"},{"id":151,"name":"Denver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4044 --day 2017-05-02</v>
      </c>
      <c r="AN3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667</v>
      </c>
      <c r="B38" s="7">
        <v>4043</v>
      </c>
      <c r="C38" s="21" t="s">
        <v>211</v>
      </c>
      <c r="D38" s="21" t="s">
        <v>837</v>
      </c>
      <c r="E38" s="13">
        <v>42857.316886574074</v>
      </c>
      <c r="F38" s="13">
        <v>42857.321168981478</v>
      </c>
      <c r="G38" s="7">
        <v>1</v>
      </c>
      <c r="H38" s="21" t="s">
        <v>406</v>
      </c>
      <c r="I38" s="13">
        <v>42857.347766203704</v>
      </c>
      <c r="J38" s="7">
        <v>0</v>
      </c>
      <c r="K38" s="92" t="str">
        <f>IF(ISEVEN(B38),(B38-1)&amp;"/"&amp;B38,B38&amp;"/"&amp;(B38+1))</f>
        <v>4043/4044</v>
      </c>
      <c r="L38" s="21" t="str">
        <f>VLOOKUP(A38,'Trips&amp;Operators'!$C$1:$G$99999,5,FALSE)</f>
        <v>LOZA FIDEL</v>
      </c>
      <c r="M38" s="6">
        <f>I38-F38</f>
        <v>2.6597222225973383E-2</v>
      </c>
      <c r="N38" s="7">
        <f>24*60*SUM($M38:$M38)</f>
        <v>38.300000005401671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-02T06:36:19-0600',mode:absolute,to:'2017-05-02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8" s="192" t="str">
        <f>IF(AA38&lt;IF(AG38="EC",23,5.65),"Y","N")</f>
        <v>N</v>
      </c>
      <c r="X38" s="192">
        <f t="shared" si="8"/>
        <v>1</v>
      </c>
      <c r="Y38" s="192">
        <f>RIGHT(D38,LEN(D38)-4)/10000</f>
        <v>23.3004</v>
      </c>
      <c r="Z38" s="192">
        <f>RIGHT(H38,LEN(H38)-4)/10000</f>
        <v>1.4999999999999999E-2</v>
      </c>
      <c r="AA38" s="192">
        <f>ABS(Z38-Y38)</f>
        <v>23.285399999999999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0126-02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/stypes="app*4043*20170502*"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126-02 --locoid 4043 --swversion DE.1.0.9.0 --startMP 204:233004 --initTime 2017-05-02T07:36:19 --startdatetime 2017-05-02T07:42:29 --delay 1 --endMP 204:150 --enddatetime 2017-05-02T08:20:47 --enforcementcount 0 &gt;&gt;C:\Users\stu\Documents\GitHub\eaglep3-reporting\EC\2017-05-02-refined-times.txt</v>
      </c>
      <c r="AI3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{"issue":{"subject":"","project_id":79,"tracker_id":40,"status_id":1,"priority_id":2,"assigned_to_id":23,"start_date":"2017-05-02","description":"","custom_fields":[{"id":1,"name":"Subdivision","value":"EC"},{"id":4,"name":"Milepost","value":"0.015"},{"id":17,"name":"Train ID","value":"126-02"},{"id":16,"name":"Locomotive ID","value":"4043"},{"id":130,"name":"Impact","value":""},{"id":150,"name":"Time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4043 --day 2017-05-02</v>
      </c>
      <c r="AN3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657</v>
      </c>
      <c r="B39" s="7">
        <v>4004</v>
      </c>
      <c r="C39" s="21" t="s">
        <v>211</v>
      </c>
      <c r="D39" s="21" t="s">
        <v>838</v>
      </c>
      <c r="E39" s="13">
        <v>42857.289907407408</v>
      </c>
      <c r="F39" s="13">
        <v>42857.29184027778</v>
      </c>
      <c r="G39" s="7">
        <v>1</v>
      </c>
      <c r="H39" s="21" t="s">
        <v>422</v>
      </c>
      <c r="I39" s="13">
        <v>42857.316608796296</v>
      </c>
      <c r="J39" s="7">
        <v>0</v>
      </c>
      <c r="K39" s="92" t="str">
        <f>IF(ISEVEN(B39),(B39-1)&amp;"/"&amp;B39,B39&amp;"/"&amp;(B39+1))</f>
        <v>4003/4004</v>
      </c>
      <c r="L39" s="21" t="str">
        <f>VLOOKUP(A39,'Trips&amp;Operators'!$C$1:$G$99999,5,FALSE)</f>
        <v>SANTIZO D. EDY</v>
      </c>
      <c r="M39" s="6">
        <f>I39-F39</f>
        <v>2.4768518516793847E-2</v>
      </c>
      <c r="N39" s="7">
        <f>24*60*SUM($M39:$M39)</f>
        <v>35.66666666418314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-02T05:57:28-0600',mode:absolute,to:'2017-05-02T08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92" t="str">
        <f>IF(AA39&lt;IF(AG39="EC",23,5.65),"Y","N")</f>
        <v>N</v>
      </c>
      <c r="X39" s="192">
        <f t="shared" si="8"/>
        <v>1</v>
      </c>
      <c r="Y39" s="192">
        <f>RIGHT(D39,LEN(D39)-4)/10000</f>
        <v>4.7100000000000003E-2</v>
      </c>
      <c r="Z39" s="192">
        <f>RIGHT(H39,LEN(H39)-4)/10000</f>
        <v>23.331399999999999</v>
      </c>
      <c r="AA39" s="192">
        <f>ABS(Z39-Y39)</f>
        <v>23.284299999999998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0127-02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/stypes="app*4004*20170502*"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127-02 --locoid 4004 --swversion DE.1.0.9.0 --startMP 204:471 --initTime 2017-05-02T06:57:28 --startdatetime 2017-05-02T07:00:15 --delay 1 --endMP 204:233314 --enddatetime 2017-05-02T07:35:55 --enforcementcount 0 &gt;&gt;C:\Users\stu\Documents\GitHub\eaglep3-reporting\EC\2017-05-02-refined-times.txt</v>
      </c>
      <c r="AI3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{"issue":{"subject":"","project_id":79,"tracker_id":40,"status_id":1,"priority_id":2,"assigned_to_id":23,"start_date":"2017-05-02","description":"","custom_fields":[{"id":1,"name":"Subdivision","value":"EC"},{"id":4,"name":"Milepost","value":"23.3314"},{"id":17,"name":"Train ID","value":"127-02"},{"id":16,"name":"Locomotive ID","value":"4004"},{"id":130,"name":"Impact","value":""},{"id":150,"name":"Time of Event (Mountain Time)","value":"07:35:55"},{"id":151,"name":"Denver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4004 --day 2017-05-02</v>
      </c>
      <c r="AN3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590</v>
      </c>
      <c r="B40" s="7">
        <v>4003</v>
      </c>
      <c r="C40" s="21" t="s">
        <v>211</v>
      </c>
      <c r="D40" s="21" t="s">
        <v>546</v>
      </c>
      <c r="E40" s="13">
        <v>42857.317743055559</v>
      </c>
      <c r="F40" s="13">
        <v>42857.330763888887</v>
      </c>
      <c r="G40" s="7">
        <v>1</v>
      </c>
      <c r="H40" s="21" t="s">
        <v>198</v>
      </c>
      <c r="I40" s="13">
        <v>42857.358182870368</v>
      </c>
      <c r="J40" s="7">
        <v>0</v>
      </c>
      <c r="K40" s="92" t="str">
        <f>IF(ISEVEN(B40),(B40-1)&amp;"/"&amp;B40,B40&amp;"/"&amp;(B40+1))</f>
        <v>4003/4004</v>
      </c>
      <c r="L40" s="21" t="str">
        <f>VLOOKUP(A40,'Trips&amp;Operators'!$C$1:$G$99999,5,FALSE)</f>
        <v>SANTIZO D. EDY</v>
      </c>
      <c r="M40" s="6">
        <f>I40-F40</f>
        <v>2.7418981480877846E-2</v>
      </c>
      <c r="N40" s="7">
        <f>24*60*SUM($M40:$M40)</f>
        <v>39.483333332464099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-02T06:37:33-0600',mode:absolute,to:'2017-05-02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92" t="str">
        <f>IF(AA40&lt;IF(AG40="EC",23,5.65),"Y","N")</f>
        <v>N</v>
      </c>
      <c r="X40" s="192">
        <f t="shared" si="8"/>
        <v>1</v>
      </c>
      <c r="Y40" s="192">
        <f>RIGHT(D40,LEN(D40)-4)/10000</f>
        <v>23.299800000000001</v>
      </c>
      <c r="Z40" s="192">
        <f>RIGHT(H40,LEN(H40)-4)/10000</f>
        <v>1.5800000000000002E-2</v>
      </c>
      <c r="AA40" s="192">
        <f>ABS(Z40-Y40)</f>
        <v>23.284000000000002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>IF(LEN(A40)=6,"0"&amp;A40,A40)</f>
        <v>0128-02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/stypes="app*4003*20170502*"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128-02 --locoid 4003 --swversion DE.1.0.9.0 --startMP 204:232998 --initTime 2017-05-02T07:37:33 --startdatetime 2017-05-02T07:56:18 --delay 1 --endMP 204:158 --enddatetime 2017-05-02T08:35:47 --enforcementcount 0 &gt;&gt;C:\Users\stu\Documents\GitHub\eaglep3-reporting\EC\2017-05-02-refined-times.txt</v>
      </c>
      <c r="AI4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{"issue":{"subject":"","project_id":79,"tracker_id":40,"status_id":1,"priority_id":2,"assigned_to_id":23,"start_date":"2017-05-02","description":"","custom_fields":[{"id":1,"name":"Subdivision","value":"EC"},{"id":4,"name":"Milepost","value":"0.0158"},{"id":17,"name":"Train ID","value":"128-02"},{"id":16,"name":"Locomotive ID","value":"4003"},{"id":130,"name":"Impact","value":""},{"id":150,"name":"Time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4003 --day 2017-05-02</v>
      </c>
      <c r="AN4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662</v>
      </c>
      <c r="B41" s="7">
        <v>4042</v>
      </c>
      <c r="C41" s="21" t="s">
        <v>211</v>
      </c>
      <c r="D41" s="21" t="s">
        <v>208</v>
      </c>
      <c r="E41" s="13">
        <v>42857.297824074078</v>
      </c>
      <c r="F41" s="13">
        <v>42857.302303240744</v>
      </c>
      <c r="G41" s="7">
        <v>5</v>
      </c>
      <c r="H41" s="21" t="s">
        <v>839</v>
      </c>
      <c r="I41" s="13">
        <v>42857.327511574076</v>
      </c>
      <c r="J41" s="7">
        <v>0</v>
      </c>
      <c r="K41" s="92" t="str">
        <f>IF(ISEVEN(B41),(B41-1)&amp;"/"&amp;B41,B41&amp;"/"&amp;(B41+1))</f>
        <v>4041/4042</v>
      </c>
      <c r="L41" s="21" t="str">
        <f>VLOOKUP(A41,'Trips&amp;Operators'!$C$1:$G$99999,5,FALSE)</f>
        <v>LAMAR NEKESHA</v>
      </c>
      <c r="M41" s="6">
        <f>I41-F41</f>
        <v>2.5208333332557231E-2</v>
      </c>
      <c r="N41" s="7">
        <f>24*60*SUM($M41:$M41)</f>
        <v>36.299999998882413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-02T06:08:52-0600',mode:absolute,to:'2017-05-02T08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1" s="192" t="str">
        <f>IF(AA41&lt;IF(AG41="EC",23,5.65),"Y","N")</f>
        <v>N</v>
      </c>
      <c r="X41" s="192">
        <f t="shared" si="8"/>
        <v>1</v>
      </c>
      <c r="Y41" s="192">
        <f>RIGHT(D41,LEN(D41)-4)/10000</f>
        <v>4.5499999999999999E-2</v>
      </c>
      <c r="Z41" s="192">
        <f>RIGHT(H41,LEN(H41)-4)/10000</f>
        <v>23.328299999999999</v>
      </c>
      <c r="AA41" s="192">
        <f>ABS(Z41-Y41)</f>
        <v>23.282799999999998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0129-02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/stypes="app*4042*20170502*"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129-02 --locoid 4042 --swversion DE.1.0.9.0 --startMP 204:455 --initTime 2017-05-02T07:08:52 --startdatetime 2017-05-02T07:15:19 --delay 5 --endMP 204:233283 --enddatetime 2017-05-02T07:51:37 --enforcementcount 0 &gt;&gt;C:\Users\stu\Documents\GitHub\eaglep3-reporting\EC\2017-05-02-refined-times.txt</v>
      </c>
      <c r="AI4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{"issue":{"subject":"","project_id":79,"tracker_id":40,"status_id":1,"priority_id":2,"assigned_to_id":23,"start_date":"2017-05-02","description":"","custom_fields":[{"id":1,"name":"Subdivision","value":"EC"},{"id":4,"name":"Milepost","value":"23.3283"},{"id":17,"name":"Train ID","value":"129-02"},{"id":16,"name":"Locomotive ID","value":"4042"},{"id":130,"name":"Impact","value":""},{"id":150,"name":"Time of Event (Mountain Time)","value":"07:51:37"},{"id":151,"name":"Denver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4042 --day 2017-05-02</v>
      </c>
      <c r="AN4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671</v>
      </c>
      <c r="B42" s="7">
        <v>4041</v>
      </c>
      <c r="C42" s="21" t="s">
        <v>211</v>
      </c>
      <c r="D42" s="21" t="s">
        <v>562</v>
      </c>
      <c r="E42" s="13">
        <v>42857.338101851848</v>
      </c>
      <c r="F42" s="13">
        <v>42857.341469907406</v>
      </c>
      <c r="G42" s="7">
        <v>1</v>
      </c>
      <c r="H42" s="21" t="s">
        <v>406</v>
      </c>
      <c r="I42" s="13">
        <v>42857.368692129632</v>
      </c>
      <c r="J42" s="7">
        <v>0</v>
      </c>
      <c r="K42" s="92" t="str">
        <f>IF(ISEVEN(B42),(B42-1)&amp;"/"&amp;B42,B42&amp;"/"&amp;(B42+1))</f>
        <v>4041/4042</v>
      </c>
      <c r="L42" s="21" t="str">
        <f>VLOOKUP(A42,'Trips&amp;Operators'!$C$1:$G$99999,5,FALSE)</f>
        <v>LAMAR NEKESHA</v>
      </c>
      <c r="M42" s="6">
        <f>I42-F42</f>
        <v>2.7222222226555459E-2</v>
      </c>
      <c r="N42" s="7">
        <f>24*60*SUM($M42:$M42)</f>
        <v>39.200000006239861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-02T07:06:52-0600',mode:absolute,to:'2017-05-02T09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2" s="192" t="str">
        <f>IF(AA42&lt;IF(AG42="EC",23,5.65),"Y","N")</f>
        <v>N</v>
      </c>
      <c r="X42" s="192">
        <f t="shared" si="8"/>
        <v>1</v>
      </c>
      <c r="Y42" s="192">
        <f>RIGHT(D42,LEN(D42)-4)/10000</f>
        <v>23.297599999999999</v>
      </c>
      <c r="Z42" s="192">
        <f>RIGHT(H42,LEN(H42)-4)/10000</f>
        <v>1.4999999999999999E-2</v>
      </c>
      <c r="AA42" s="192">
        <f>ABS(Z42-Y42)</f>
        <v>23.282599999999999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0130-02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/stypes="app*4041*20170502*"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130-02 --locoid 4041 --swversion DE.1.0.9.0 --startMP 204:232976 --initTime 2017-05-02T08:06:52 --startdatetime 2017-05-02T08:11:43 --delay 1 --endMP 204:150 --enddatetime 2017-05-02T08:50:55 --enforcementcount 0 &gt;&gt;C:\Users\stu\Documents\GitHub\eaglep3-reporting\EC\2017-05-02-refined-times.txt</v>
      </c>
      <c r="AI4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{"issue":{"subject":"","project_id":79,"tracker_id":40,"status_id":1,"priority_id":2,"assigned_to_id":23,"start_date":"2017-05-02","description":"","custom_fields":[{"id":1,"name":"Subdivision","value":"EC"},{"id":4,"name":"Milepost","value":"0.015"},{"id":17,"name":"Train ID","value":"130-02"},{"id":16,"name":"Locomotive ID","value":"4041"},{"id":130,"name":"Impact","value":""},{"id":150,"name":"Time of Event (Mountain Time)","value":"08:50:55"},{"id":151,"name":"Denver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4041 --day 2017-05-02</v>
      </c>
      <c r="AN4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665</v>
      </c>
      <c r="B43" s="7">
        <v>4026</v>
      </c>
      <c r="C43" s="21" t="s">
        <v>211</v>
      </c>
      <c r="D43" s="21" t="s">
        <v>838</v>
      </c>
      <c r="E43" s="13">
        <v>42857.311041666668</v>
      </c>
      <c r="F43" s="13">
        <v>42857.314421296294</v>
      </c>
      <c r="G43" s="7">
        <v>4</v>
      </c>
      <c r="H43" s="21" t="s">
        <v>494</v>
      </c>
      <c r="I43" s="13">
        <v>42857.339317129627</v>
      </c>
      <c r="J43" s="7">
        <v>0</v>
      </c>
      <c r="K43" s="92" t="str">
        <f>IF(ISEVEN(B43),(B43-1)&amp;"/"&amp;B43,B43&amp;"/"&amp;(B43+1))</f>
        <v>4025/4026</v>
      </c>
      <c r="L43" s="21" t="str">
        <f>VLOOKUP(A43,'Trips&amp;Operators'!$C$1:$G$99999,5,FALSE)</f>
        <v>WILLIAMS DONTE</v>
      </c>
      <c r="M43" s="6">
        <f>I43-F43</f>
        <v>2.4895833332266193E-2</v>
      </c>
      <c r="N43" s="7">
        <f>24*60*SUM($M43:$M43)</f>
        <v>35.849999998463318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-02T06:27:54-0600',mode:absolute,to:'2017-05-02T09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192" t="str">
        <f>IF(AA43&lt;IF(AG43="EC",23,5.65),"Y","N")</f>
        <v>N</v>
      </c>
      <c r="X43" s="192">
        <f t="shared" si="8"/>
        <v>1</v>
      </c>
      <c r="Y43" s="192">
        <f>RIGHT(D43,LEN(D43)-4)/10000</f>
        <v>4.7100000000000003E-2</v>
      </c>
      <c r="Z43" s="192">
        <f>RIGHT(H43,LEN(H43)-4)/10000</f>
        <v>23.3278</v>
      </c>
      <c r="AA43" s="192">
        <f>ABS(Z43-Y43)</f>
        <v>23.2807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0131-02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/stypes="app*4026*20170502*"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131-02 --locoid 4026 --swversion DE.1.0.9.0 --startMP 204:471 --initTime 2017-05-02T07:27:54 --startdatetime 2017-05-02T07:32:46 --delay 4 --endMP 204:233278 --enddatetime 2017-05-02T08:08:37 --enforcementcount 0 &gt;&gt;C:\Users\stu\Documents\GitHub\eaglep3-reporting\EC\2017-05-02-refined-times.txt</v>
      </c>
      <c r="AI4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{"issue":{"subject":"","project_id":79,"tracker_id":40,"status_id":1,"priority_id":2,"assigned_to_id":23,"start_date":"2017-05-02","description":"","custom_fields":[{"id":1,"name":"Subdivision","value":"EC"},{"id":4,"name":"Milepost","value":"23.3278"},{"id":17,"name":"Train ID","value":"131-02"},{"id":16,"name":"Locomotive ID","value":"4026"},{"id":130,"name":"Impact","value":""},{"id":150,"name":"Time of Event (Mountain Time)","value":"08:08:37"},{"id":151,"name":"Denver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4026 --day 2017-05-02</v>
      </c>
      <c r="AN4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673</v>
      </c>
      <c r="B44" s="7">
        <v>4025</v>
      </c>
      <c r="C44" s="21" t="s">
        <v>211</v>
      </c>
      <c r="D44" s="21" t="s">
        <v>446</v>
      </c>
      <c r="E44" s="13">
        <v>42857.341516203705</v>
      </c>
      <c r="F44" s="13">
        <v>42857.351585648146</v>
      </c>
      <c r="G44" s="7">
        <v>1</v>
      </c>
      <c r="H44" s="21" t="s">
        <v>456</v>
      </c>
      <c r="I44" s="13">
        <v>42857.379201388889</v>
      </c>
      <c r="J44" s="7">
        <v>0</v>
      </c>
      <c r="K44" s="92" t="str">
        <f>IF(ISEVEN(B44),(B44-1)&amp;"/"&amp;B44,B44&amp;"/"&amp;(B44+1))</f>
        <v>4025/4026</v>
      </c>
      <c r="L44" s="21" t="str">
        <f>VLOOKUP(A44,'Trips&amp;Operators'!$C$1:$G$99999,5,FALSE)</f>
        <v>WILLIAMS DONTE</v>
      </c>
      <c r="M44" s="6">
        <f>I44-F44</f>
        <v>2.7615740742476191E-2</v>
      </c>
      <c r="N44" s="7">
        <f>24*60*SUM($M44:$M44)</f>
        <v>39.766666669165716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-02T07:11:47-0600',mode:absolute,to:'2017-05-02T10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192" t="str">
        <f>IF(AA44&lt;IF(AG44="EC",23,5.65),"Y","N")</f>
        <v>N</v>
      </c>
      <c r="X44" s="192">
        <f t="shared" si="8"/>
        <v>1</v>
      </c>
      <c r="Y44" s="192">
        <f>RIGHT(D44,LEN(D44)-4)/10000</f>
        <v>23.296700000000001</v>
      </c>
      <c r="Z44" s="192">
        <f>RIGHT(H44,LEN(H44)-4)/10000</f>
        <v>1.61E-2</v>
      </c>
      <c r="AA44" s="192">
        <f>ABS(Z44-Y44)</f>
        <v>23.2806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0132-02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/stypes="app*4025*20170502*"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132-02 --locoid 4025 --swversion DE.1.0.9.0 --startMP 204:232967 --initTime 2017-05-02T08:11:47 --startdatetime 2017-05-02T08:26:17 --delay 1 --endMP 204:161 --enddatetime 2017-05-02T09:06:03 --enforcementcount 0 &gt;&gt;C:\Users\stu\Documents\GitHub\eaglep3-reporting\EC\2017-05-02-refined-times.txt</v>
      </c>
      <c r="AI4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{"issue":{"subject":"","project_id":79,"tracker_id":40,"status_id":1,"priority_id":2,"assigned_to_id":23,"start_date":"2017-05-02","description":"","custom_fields":[{"id":1,"name":"Subdivision","value":"EC"},{"id":4,"name":"Milepost","value":"0.0161"},{"id":17,"name":"Train ID","value":"132-02"},{"id":16,"name":"Locomotive ID","value":"4025"},{"id":130,"name":"Impact","value":""},{"id":150,"name":"Time of Event (Mountain Time)","value":"09:06:03"},{"id":151,"name":"Denver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4025 --day 2017-05-02</v>
      </c>
      <c r="AN4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668</v>
      </c>
      <c r="B45" s="7">
        <v>4010</v>
      </c>
      <c r="C45" s="21" t="s">
        <v>211</v>
      </c>
      <c r="D45" s="21" t="s">
        <v>840</v>
      </c>
      <c r="E45" s="13">
        <v>42857.319594907407</v>
      </c>
      <c r="F45" s="13">
        <v>42857.323078703703</v>
      </c>
      <c r="G45" s="7">
        <v>1</v>
      </c>
      <c r="H45" s="21" t="s">
        <v>454</v>
      </c>
      <c r="I45" s="13">
        <v>42857.348865740743</v>
      </c>
      <c r="J45" s="7">
        <v>0</v>
      </c>
      <c r="K45" s="92" t="str">
        <f>IF(ISEVEN(B45),(B45-1)&amp;"/"&amp;B45,B45&amp;"/"&amp;(B45+1))</f>
        <v>4009/4010</v>
      </c>
      <c r="L45" s="21" t="str">
        <f>VLOOKUP(A45,'Trips&amp;Operators'!$C$1:$G$99999,5,FALSE)</f>
        <v>STARKS ANGELINA</v>
      </c>
      <c r="M45" s="6">
        <f>I45-F45</f>
        <v>2.5787037040572613E-2</v>
      </c>
      <c r="N45" s="7">
        <f>24*60*SUM($M45:$M45)</f>
        <v>37.133333338424563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-02T06:40:13-0600',mode:absolute,to:'2017-05-02T09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192" t="str">
        <f>IF(AA45&lt;IF(AG45="EC",23,5.65),"Y","N")</f>
        <v>N</v>
      </c>
      <c r="X45" s="192">
        <f t="shared" si="8"/>
        <v>1</v>
      </c>
      <c r="Y45" s="192">
        <f>RIGHT(D45,LEN(D45)-4)/10000</f>
        <v>4.3799999999999999E-2</v>
      </c>
      <c r="Z45" s="192">
        <f>RIGHT(H45,LEN(H45)-4)/10000</f>
        <v>23.3293</v>
      </c>
      <c r="AA45" s="192">
        <f>ABS(Z45-Y45)</f>
        <v>23.285499999999999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0133-02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/stypes="app*4010*20170502*"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133-02 --locoid 4010 --swversion DE.1.0.9.0 --startMP 204:438 --initTime 2017-05-02T07:40:13 --startdatetime 2017-05-02T07:45:14 --delay 1 --endMP 204:233293 --enddatetime 2017-05-02T08:22:22 --enforcementcount 0 &gt;&gt;C:\Users\stu\Documents\GitHub\eaglep3-reporting\EC\2017-05-02-refined-times.txt</v>
      </c>
      <c r="AI4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{"issue":{"subject":"","project_id":79,"tracker_id":40,"status_id":1,"priority_id":2,"assigned_to_id":23,"start_date":"2017-05-02","description":"","custom_fields":[{"id":1,"name":"Subdivision","value":"EC"},{"id":4,"name":"Milepost","value":"23.3293"},{"id":17,"name":"Train ID","value":"133-02"},{"id":16,"name":"Locomotive ID","value":"4010"},{"id":130,"name":"Impact","value":""},{"id":150,"name":"Time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4010 --day 2017-05-02</v>
      </c>
      <c r="AN4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676</v>
      </c>
      <c r="B46" s="7">
        <v>4009</v>
      </c>
      <c r="C46" s="21" t="s">
        <v>211</v>
      </c>
      <c r="D46" s="21" t="s">
        <v>563</v>
      </c>
      <c r="E46" s="13">
        <v>42857.358888888892</v>
      </c>
      <c r="F46" s="13">
        <v>42857.361990740741</v>
      </c>
      <c r="G46" s="7">
        <v>1</v>
      </c>
      <c r="H46" s="21" t="s">
        <v>544</v>
      </c>
      <c r="I46" s="13">
        <v>42857.388935185183</v>
      </c>
      <c r="J46" s="7">
        <v>0</v>
      </c>
      <c r="K46" s="92" t="str">
        <f>IF(ISEVEN(B46),(B46-1)&amp;"/"&amp;B46,B46&amp;"/"&amp;(B46+1))</f>
        <v>4009/4010</v>
      </c>
      <c r="L46" s="21" t="str">
        <f>VLOOKUP(A46,'Trips&amp;Operators'!$C$1:$G$99999,5,FALSE)</f>
        <v>STARKS ANGELINA</v>
      </c>
      <c r="M46" s="6">
        <f>I46-F46</f>
        <v>2.6944444442051463E-2</v>
      </c>
      <c r="N46" s="7">
        <f>24*60*SUM($M46:$M46)</f>
        <v>38.799999996554106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-02T07:36:48-0600',mode:absolute,to:'2017-05-02T10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192">
        <f>RIGHT(D46,LEN(D46)-4)/10000</f>
        <v>23.297899999999998</v>
      </c>
      <c r="Z46" s="192">
        <f>RIGHT(H46,LEN(H46)-4)/10000</f>
        <v>1.47E-2</v>
      </c>
      <c r="AA46" s="192">
        <f>ABS(Z46-Y46)</f>
        <v>23.283199999999997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0134-02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/stypes="app*4009*20170502*"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134-02 --locoid 4009 --swversion DE.1.0.9.0 --startMP 204:232979 --initTime 2017-05-02T08:36:48 --startdatetime 2017-05-02T08:41:16 --delay 1 --endMP 204:147 --enddatetime 2017-05-02T09:20:04 --enforcementcount 0 &gt;&gt;C:\Users\stu\Documents\GitHub\eaglep3-reporting\EC\2017-05-02-refined-times.txt</v>
      </c>
      <c r="AI4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ID","value":"134-02"},{"id":16,"name":"Locomotive ID","value":"4009"},{"id":130,"name":"Impact","value":""},{"id":150,"name":"Time of Event (Mountain Time)","value":"09:20:04"},{"id":151,"name":"Denver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4009 --day 2017-05-02</v>
      </c>
      <c r="AN4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669</v>
      </c>
      <c r="B47" s="7">
        <v>4022</v>
      </c>
      <c r="C47" s="21" t="s">
        <v>211</v>
      </c>
      <c r="D47" s="21" t="s">
        <v>841</v>
      </c>
      <c r="E47" s="13">
        <v>42857.329953703702</v>
      </c>
      <c r="F47" s="13">
        <v>42857.372430555559</v>
      </c>
      <c r="G47" s="7">
        <v>1</v>
      </c>
      <c r="H47" s="21" t="s">
        <v>831</v>
      </c>
      <c r="I47" s="13">
        <v>42857.401099537034</v>
      </c>
      <c r="J47" s="7">
        <v>0</v>
      </c>
      <c r="K47" s="92" t="str">
        <f>IF(ISEVEN(B47),(B47-1)&amp;"/"&amp;B47,B47&amp;"/"&amp;(B47+1))</f>
        <v>4021/4022</v>
      </c>
      <c r="L47" s="21" t="str">
        <f>VLOOKUP(A47,'Trips&amp;Operators'!$C$1:$G$99999,5,FALSE)</f>
        <v>THOMPSON LESTER</v>
      </c>
      <c r="M47" s="6">
        <f>I47-F47</f>
        <v>2.8668981474766042E-2</v>
      </c>
      <c r="N47" s="7">
        <f>24*60*SUM($M47:$M47)</f>
        <v>41.283333323663101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-02T06:55:08-0600',mode:absolute,to:'2017-05-02T10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4.8599999999999997E-2</v>
      </c>
      <c r="Z47" s="192">
        <f>RIGHT(H47,LEN(H47)-4)/10000</f>
        <v>23.328800000000001</v>
      </c>
      <c r="AA47" s="192">
        <f>ABS(Z47-Y47)</f>
        <v>23.280200000000001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0135-02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/stypes="app*4022*20170502*" /stext=" 15:.+((SYSTEM_STATE.+slice.+state.+changed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135-02 --locoid 4022 --swversion DE.1.0.9.0 --startMP 204:486 --initTime 2017-05-02T07:55:08 --startdatetime 2017-05-02T08:56:18 --delay 1 --endMP 204:233288 --enddatetime 2017-05-02T09:37:35 --enforcementcount 0 &gt;&gt;C:\Users\stu\Documents\GitHub\eaglep3-reporting\EC\2017-05-02-refined-times.txt</v>
      </c>
      <c r="AI4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{"issue":{"subject":"","project_id":79,"tracker_id":40,"status_id":1,"priority_id":2,"assigned_to_id":23,"start_date":"2017-05-02","description":"","custom_fields":[{"id":1,"name":"Subdivision","value":"EC"},{"id":4,"name":"Milepost","value":"23.3288"},{"id":17,"name":"Train ID","value":"135-02"},{"id":16,"name":"Locomotive ID","value":"4022"},{"id":130,"name":"Impact","value":""},{"id":150,"name":"Time of Event (Mountain Time)","value":"09:37:35"},{"id":151,"name":"Denver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4022 --day 2017-05-02</v>
      </c>
      <c r="AN4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593</v>
      </c>
      <c r="B48" s="7">
        <v>4021</v>
      </c>
      <c r="C48" s="21" t="s">
        <v>211</v>
      </c>
      <c r="D48" s="21" t="s">
        <v>445</v>
      </c>
      <c r="E48" s="13">
        <v>42857.37054398148</v>
      </c>
      <c r="F48" s="13">
        <v>42857.372430555559</v>
      </c>
      <c r="G48" s="7">
        <v>0</v>
      </c>
      <c r="H48" s="21" t="s">
        <v>197</v>
      </c>
      <c r="I48" s="13">
        <v>42857.401099537034</v>
      </c>
      <c r="J48" s="7">
        <v>0</v>
      </c>
      <c r="K48" s="92" t="str">
        <f>IF(ISEVEN(B48),(B48-1)&amp;"/"&amp;B48,B48&amp;"/"&amp;(B48+1))</f>
        <v>4021/4022</v>
      </c>
      <c r="L48" s="21" t="str">
        <f>VLOOKUP(A48,'Trips&amp;Operators'!$C$1:$G$99999,5,FALSE)</f>
        <v>THOMPSON LESTER</v>
      </c>
      <c r="M48" s="6">
        <f>I48-F48</f>
        <v>2.8668981474766042E-2</v>
      </c>
      <c r="N48" s="7">
        <f>24*60*SUM($M48:$M48)</f>
        <v>41.283333323663101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-02T07:53:35-0600',mode:absolute,to:'2017-05-02T10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23.298400000000001</v>
      </c>
      <c r="Z48" s="192">
        <f>RIGHT(H48,LEN(H48)-4)/10000</f>
        <v>1.52E-2</v>
      </c>
      <c r="AA48" s="192">
        <f>ABS(Z48-Y48)</f>
        <v>23.283200000000001</v>
      </c>
      <c r="AB48" s="57" t="str">
        <f>VLOOKUP(A48,Enforcements!$C$7:$K$13,8,0)</f>
        <v>Bulletin (2)</v>
      </c>
      <c r="AC48" s="53" t="str">
        <f>VLOOKUP(A48,Enforcements!$C$7:$E$13,3,0)</f>
        <v>GRADE CROSSING</v>
      </c>
      <c r="AD48" s="54" t="str">
        <f>IF(LEN(A48)=6,"0"&amp;A48,A48)</f>
        <v>0136-02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/stypes="app*4021*20170502*"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136-02 --locoid 4021 --swversion DE.1.0.9.0 --startMP 204:232984 --initTime 2017-05-02T08:53:35 --startdatetime 2017-05-02T08:56:18 --delay 0 --endMP 204:152 --enddatetime 2017-05-02T09:37:35 --enforcementcount 0 &gt;&gt;C:\Users\stu\Documents\GitHub\eaglep3-reporting\EC\2017-05-02-refined-times.txt</v>
      </c>
      <c r="AI4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ID","value":"136-02"},{"id":16,"name":"Locomotive ID","value":"4021"},{"id":130,"name":"Impact","value":""},{"id":150,"name":"Time of Event (Mountain Time)","value":"09:37:35"},{"id":151,"name":"Denver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4021 --day 2017-05-02</v>
      </c>
      <c r="AN4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672</v>
      </c>
      <c r="B49" s="7">
        <v>4018</v>
      </c>
      <c r="C49" s="21" t="s">
        <v>211</v>
      </c>
      <c r="D49" s="21" t="s">
        <v>842</v>
      </c>
      <c r="E49" s="13">
        <v>42857.339895833335</v>
      </c>
      <c r="F49" s="13">
        <v>42857.343912037039</v>
      </c>
      <c r="G49" s="7">
        <v>1</v>
      </c>
      <c r="H49" s="21" t="s">
        <v>440</v>
      </c>
      <c r="I49" s="13">
        <v>42857.369629629633</v>
      </c>
      <c r="J49" s="7">
        <v>0</v>
      </c>
      <c r="K49" s="92" t="str">
        <f>IF(ISEVEN(B49),(B49-1)&amp;"/"&amp;B49,B49&amp;"/"&amp;(B49+1))</f>
        <v>4017/4018</v>
      </c>
      <c r="L49" s="21" t="str">
        <f>VLOOKUP(A49,'Trips&amp;Operators'!$C$1:$G$99999,5,FALSE)</f>
        <v>DAVIS WENDY</v>
      </c>
      <c r="M49" s="6">
        <f>I49-F49</f>
        <v>2.5717592594446614E-2</v>
      </c>
      <c r="N49" s="7">
        <f>24*60*SUM($M49:$M49)</f>
        <v>37.033333336003125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-02T07:09:27-0600',mode:absolute,to:'2017-05-02T09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5.4199999999999998E-2</v>
      </c>
      <c r="Z49" s="192">
        <f>RIGHT(H49,LEN(H49)-4)/10000</f>
        <v>23.331199999999999</v>
      </c>
      <c r="AA49" s="192">
        <f>ABS(Z49-Y49)</f>
        <v>23.276999999999997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0137-02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/stypes="app*4018*20170502*"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137-02 --locoid 4018 --swversion DE.1.0.9.0 --startMP 204:542 --initTime 2017-05-02T08:09:27 --startdatetime 2017-05-02T08:15:14 --delay 1 --endMP 204:233312 --enddatetime 2017-05-02T08:52:16 --enforcementcount 0 &gt;&gt;C:\Users\stu\Documents\GitHub\eaglep3-reporting\EC\2017-05-02-refined-times.txt</v>
      </c>
      <c r="AI4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{"issue":{"subject":"","project_id":79,"tracker_id":40,"status_id":1,"priority_id":2,"assigned_to_id":23,"start_date":"2017-05-02","description":"","custom_fields":[{"id":1,"name":"Subdivision","value":"EC"},{"id":4,"name":"Milepost","value":"23.3312"},{"id":17,"name":"Train ID","value":"137-02"},{"id":16,"name":"Locomotive ID","value":"4018"},{"id":130,"name":"Impact","value":""},{"id":150,"name":"Time of Event (Mountain Time)","value":"08:52:16"},{"id":151,"name":"Denver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4018 --day 2017-05-02</v>
      </c>
      <c r="AN4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679</v>
      </c>
      <c r="B50" s="7">
        <v>4017</v>
      </c>
      <c r="C50" s="21" t="s">
        <v>211</v>
      </c>
      <c r="D50" s="21" t="s">
        <v>837</v>
      </c>
      <c r="E50" s="13">
        <v>42857.381006944444</v>
      </c>
      <c r="F50" s="13">
        <v>42857.382800925923</v>
      </c>
      <c r="G50" s="7">
        <v>1</v>
      </c>
      <c r="H50" s="21" t="s">
        <v>406</v>
      </c>
      <c r="I50" s="13">
        <v>42857.410162037035</v>
      </c>
      <c r="J50" s="7">
        <v>0</v>
      </c>
      <c r="K50" s="92" t="str">
        <f>IF(ISEVEN(B50),(B50-1)&amp;"/"&amp;B50,B50&amp;"/"&amp;(B50+1))</f>
        <v>4017/4018</v>
      </c>
      <c r="L50" s="21" t="str">
        <f>VLOOKUP(A50,'Trips&amp;Operators'!$C$1:$G$99999,5,FALSE)</f>
        <v>DAVIS WENDY</v>
      </c>
      <c r="M50" s="6">
        <f>I50-F50</f>
        <v>2.73611111115315E-2</v>
      </c>
      <c r="N50" s="7">
        <f>24*60*SUM($M50:$M50)</f>
        <v>39.40000000060536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-02T08:08:39-0600',mode:absolute,to:'2017-05-02T10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23.3004</v>
      </c>
      <c r="Z50" s="192">
        <f>RIGHT(H50,LEN(H50)-4)/10000</f>
        <v>1.4999999999999999E-2</v>
      </c>
      <c r="AA50" s="192">
        <f>ABS(Z50-Y50)</f>
        <v>23.285399999999999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0138-02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/stypes="app*4017*20170502*"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138-02 --locoid 4017 --swversion DE.1.0.9.0 --startMP 204:233004 --initTime 2017-05-02T09:08:39 --startdatetime 2017-05-02T09:11:14 --delay 1 --endMP 204:150 --enddatetime 2017-05-02T09:50:38 --enforcementcount 0 &gt;&gt;C:\Users\stu\Documents\GitHub\eaglep3-reporting\EC\2017-05-02-refined-times.txt</v>
      </c>
      <c r="AI5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{"issue":{"subject":"","project_id":79,"tracker_id":40,"status_id":1,"priority_id":2,"assigned_to_id":23,"start_date":"2017-05-02","description":"","custom_fields":[{"id":1,"name":"Subdivision","value":"EC"},{"id":4,"name":"Milepost","value":"0.015"},{"id":17,"name":"Train ID","value":"138-02"},{"id":16,"name":"Locomotive ID","value":"4017"},{"id":130,"name":"Impact","value":""},{"id":150,"name":"Time of Event (Mountain Time)","value":"09:50:38"},{"id":151,"name":"Denver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4017 --day 2017-05-02</v>
      </c>
      <c r="AN5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674</v>
      </c>
      <c r="B51" s="7">
        <v>4044</v>
      </c>
      <c r="C51" s="21" t="s">
        <v>211</v>
      </c>
      <c r="D51" s="21" t="s">
        <v>383</v>
      </c>
      <c r="E51" s="13">
        <v>42857.351701388892</v>
      </c>
      <c r="F51" s="13">
        <v>42857.354432870372</v>
      </c>
      <c r="G51" s="7">
        <v>1</v>
      </c>
      <c r="H51" s="21" t="s">
        <v>843</v>
      </c>
      <c r="I51" s="13">
        <v>42857.37871527778</v>
      </c>
      <c r="J51" s="7">
        <v>0</v>
      </c>
      <c r="K51" s="92" t="str">
        <f>IF(ISEVEN(B51),(B51-1)&amp;"/"&amp;B51,B51&amp;"/"&amp;(B51+1))</f>
        <v>4043/4044</v>
      </c>
      <c r="L51" s="21" t="str">
        <f>VLOOKUP(A51,'Trips&amp;Operators'!$C$1:$G$99999,5,FALSE)</f>
        <v>LOZA FIDEL</v>
      </c>
      <c r="M51" s="6">
        <f>I51-F51</f>
        <v>2.4282407408463769E-2</v>
      </c>
      <c r="N51" s="7">
        <f>24*60*SUM($M51:$M51)</f>
        <v>34.966666668187827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-02T07:26:27-0600',mode:absolute,to:'2017-05-02T10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4.4600000000000001E-2</v>
      </c>
      <c r="Z51" s="192">
        <f>RIGHT(H51,LEN(H51)-4)/10000</f>
        <v>23.338899999999999</v>
      </c>
      <c r="AA51" s="192">
        <f>ABS(Z51-Y51)</f>
        <v>23.2943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0139-02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/stypes="app*4044*20170502*"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139-02 --locoid 4044 --swversion DE.1.0.9.0 --startMP 204:446 --initTime 2017-05-02T08:26:27 --startdatetime 2017-05-02T08:30:23 --delay 1 --endMP 204:233389 --enddatetime 2017-05-02T09:05:21 --enforcementcount 0 &gt;&gt;C:\Users\stu\Documents\GitHub\eaglep3-reporting\EC\2017-05-02-refined-times.txt</v>
      </c>
      <c r="AI5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{"issue":{"subject":"","project_id":79,"tracker_id":40,"status_id":1,"priority_id":2,"assigned_to_id":23,"start_date":"2017-05-02","description":"","custom_fields":[{"id":1,"name":"Subdivision","value":"EC"},{"id":4,"name":"Milepost","value":"23.3389"},{"id":17,"name":"Train ID","value":"139-02"},{"id":16,"name":"Locomotive ID","value":"4044"},{"id":130,"name":"Impact","value":""},{"id":150,"name":"Time of Event (Mountain Time)","value":"09:05:21"},{"id":151,"name":"Denver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4044 --day 2017-05-02</v>
      </c>
      <c r="AN5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683</v>
      </c>
      <c r="B52" s="7">
        <v>4043</v>
      </c>
      <c r="C52" s="21" t="s">
        <v>211</v>
      </c>
      <c r="D52" s="21" t="s">
        <v>458</v>
      </c>
      <c r="E52" s="13">
        <v>42857.390625</v>
      </c>
      <c r="F52" s="13">
        <v>42857.393541666665</v>
      </c>
      <c r="G52" s="7">
        <v>1</v>
      </c>
      <c r="H52" s="21" t="s">
        <v>197</v>
      </c>
      <c r="I52" s="13">
        <v>42857.419803240744</v>
      </c>
      <c r="J52" s="7">
        <v>0</v>
      </c>
      <c r="K52" s="92" t="str">
        <f>IF(ISEVEN(B52),(B52-1)&amp;"/"&amp;B52,B52&amp;"/"&amp;(B52+1))</f>
        <v>4043/4044</v>
      </c>
      <c r="L52" s="21" t="str">
        <f>VLOOKUP(A52,'Trips&amp;Operators'!$C$1:$G$99999,5,FALSE)</f>
        <v>LOZA FIDEL</v>
      </c>
      <c r="M52" s="6">
        <f>I52-F52</f>
        <v>2.6261574079398997E-2</v>
      </c>
      <c r="N52" s="7">
        <f>24*60*SUM($M52:$M52)</f>
        <v>37.816666674334556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-02T08:22:30-0600',mode:absolute,to:'2017-05-02T11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23.298999999999999</v>
      </c>
      <c r="Z52" s="192">
        <f>RIGHT(H52,LEN(H52)-4)/10000</f>
        <v>1.52E-2</v>
      </c>
      <c r="AA52" s="192">
        <f>ABS(Z52-Y52)</f>
        <v>23.283799999999999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0140-02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/stypes="app*4043*20170502*"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140-02 --locoid 4043 --swversion DE.1.0.9.0 --startMP 204:232990 --initTime 2017-05-02T09:22:30 --startdatetime 2017-05-02T09:26:42 --delay 1 --endMP 204:152 --enddatetime 2017-05-02T10:04:31 --enforcementcount 0 &gt;&gt;C:\Users\stu\Documents\GitHub\eaglep3-reporting\EC\2017-05-02-refined-times.txt</v>
      </c>
      <c r="AI5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ID","value":"140-02"},{"id":16,"name":"Locomotive ID","value":"4043"},{"id":130,"name":"Impact","value":""},{"id":150,"name":"Time of Event (Mountain Time)","value":"10:04:31"},{"id":151,"name":"Denver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4043 --day 2017-05-02</v>
      </c>
      <c r="AN5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677</v>
      </c>
      <c r="B53" s="7">
        <v>4004</v>
      </c>
      <c r="C53" s="21" t="s">
        <v>211</v>
      </c>
      <c r="D53" s="21" t="s">
        <v>844</v>
      </c>
      <c r="E53" s="13">
        <v>42857.359467592592</v>
      </c>
      <c r="F53" s="13">
        <v>42857.364791666667</v>
      </c>
      <c r="G53" s="7">
        <v>1</v>
      </c>
      <c r="H53" s="21" t="s">
        <v>440</v>
      </c>
      <c r="I53" s="13">
        <v>42857.38957175926</v>
      </c>
      <c r="J53" s="7">
        <v>0</v>
      </c>
      <c r="K53" s="92" t="str">
        <f>IF(ISEVEN(B53),(B53-1)&amp;"/"&amp;B53,B53&amp;"/"&amp;(B53+1))</f>
        <v>4003/4004</v>
      </c>
      <c r="L53" s="21" t="str">
        <f>VLOOKUP(A53,'Trips&amp;Operators'!$C$1:$G$99999,5,FALSE)</f>
        <v>SANTIZO D. EDY</v>
      </c>
      <c r="M53" s="6">
        <f>I53-F53</f>
        <v>2.4780092593573499E-2</v>
      </c>
      <c r="N53" s="7">
        <f>24*60*SUM($M53:$M53)</f>
        <v>35.683333334745839</v>
      </c>
      <c r="O53" s="7"/>
      <c r="P53" s="7"/>
      <c r="Q53" s="22"/>
      <c r="R53" s="190"/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-02T07:37:38-0600',mode:absolute,to:'2017-05-02T10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4.3700000000000003E-2</v>
      </c>
      <c r="Z53" s="192">
        <f>RIGHT(H53,LEN(H53)-4)/10000</f>
        <v>23.331199999999999</v>
      </c>
      <c r="AA53" s="192">
        <f>ABS(Z53-Y53)</f>
        <v>23.287499999999998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0141-02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/stypes="app*4004*20170502*"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141-02 --locoid 4004 --swversion DE.1.0.9.0 --startMP 204:437 --initTime 2017-05-02T08:37:38 --startdatetime 2017-05-02T08:45:18 --delay 1 --endMP 204:233312 --enddatetime 2017-05-02T09:20:59 --enforcementcount 0 &gt;&gt;C:\Users\stu\Documents\GitHub\eaglep3-reporting\EC\2017-05-02-refined-times.txt</v>
      </c>
      <c r="AI5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{"issue":{"subject":"","project_id":79,"tracker_id":40,"status_id":1,"priority_id":2,"assigned_to_id":23,"start_date":"2017-05-02","description":"","custom_fields":[{"id":1,"name":"Subdivision","value":"EC"},{"id":4,"name":"Milepost","value":"23.3312"},{"id":17,"name":"Train ID","value":"141-02"},{"id":16,"name":"Locomotive ID","value":"4004"},{"id":130,"name":"Impact","value":""},{"id":150,"name":"Time of Event (Mountain Time)","value":"09:20:59"},{"id":151,"name":"Denver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4004 --day 2017-05-02</v>
      </c>
      <c r="AN5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682</v>
      </c>
      <c r="B54" s="7">
        <v>4003</v>
      </c>
      <c r="C54" s="21" t="s">
        <v>211</v>
      </c>
      <c r="D54" s="21" t="s">
        <v>845</v>
      </c>
      <c r="E54" s="13">
        <v>42857.390497685185</v>
      </c>
      <c r="F54" s="13">
        <v>42857.403622685182</v>
      </c>
      <c r="G54" s="7">
        <v>1</v>
      </c>
      <c r="H54" s="21" t="s">
        <v>544</v>
      </c>
      <c r="I54" s="13">
        <v>42857.429456018515</v>
      </c>
      <c r="J54" s="7">
        <v>0</v>
      </c>
      <c r="K54" s="92" t="str">
        <f>IF(ISEVEN(B54),(B54-1)&amp;"/"&amp;B54,B54&amp;"/"&amp;(B54+1))</f>
        <v>4003/4004</v>
      </c>
      <c r="L54" s="21" t="str">
        <f>VLOOKUP(A54,'Trips&amp;Operators'!$C$1:$G$99999,5,FALSE)</f>
        <v>SANTIZO D. EDY</v>
      </c>
      <c r="M54" s="6">
        <f>I54-F54</f>
        <v>2.5833333333139308E-2</v>
      </c>
      <c r="N54" s="7">
        <f>24*60*SUM($M54:$M54)</f>
        <v>37.199999999720603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-02T08:22:19-0600',mode:absolute,to:'2017-05-02T11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23.2989</v>
      </c>
      <c r="Z54" s="192">
        <f>RIGHT(H54,LEN(H54)-4)/10000</f>
        <v>1.47E-2</v>
      </c>
      <c r="AA54" s="192">
        <f>ABS(Z54-Y54)</f>
        <v>23.284199999999998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0142-02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/stypes="app*4003*20170502*"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142-02 --locoid 4003 --swversion DE.1.0.9.0 --startMP 204:232989 --initTime 2017-05-02T09:22:19 --startdatetime 2017-05-02T09:41:13 --delay 1 --endMP 204:147 --enddatetime 2017-05-02T10:18:25 --enforcementcount 0 &gt;&gt;C:\Users\stu\Documents\GitHub\eaglep3-reporting\EC\2017-05-02-refined-times.txt</v>
      </c>
      <c r="AI5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ID","value":"142-02"},{"id":16,"name":"Locomotive ID","value":"4003"},{"id":130,"name":"Impact","value":""},{"id":150,"name":"Time of Event (Mountain Time)","value":"10:18:25"},{"id":151,"name":"Denver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4003 --day 2017-05-02</v>
      </c>
      <c r="AN5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678</v>
      </c>
      <c r="B55" s="7">
        <v>4042</v>
      </c>
      <c r="C55" s="21" t="s">
        <v>211</v>
      </c>
      <c r="D55" s="21" t="s">
        <v>404</v>
      </c>
      <c r="E55" s="13">
        <v>42857.373206018521</v>
      </c>
      <c r="F55" s="13">
        <v>42857.375162037039</v>
      </c>
      <c r="G55" s="7">
        <v>1</v>
      </c>
      <c r="H55" s="21" t="s">
        <v>454</v>
      </c>
      <c r="I55" s="13">
        <v>42857.399456018517</v>
      </c>
      <c r="J55" s="7">
        <v>0</v>
      </c>
      <c r="K55" s="92" t="str">
        <f>IF(ISEVEN(B55),(B55-1)&amp;"/"&amp;B55,B55&amp;"/"&amp;(B55+1))</f>
        <v>4041/4042</v>
      </c>
      <c r="L55" s="21" t="str">
        <f>VLOOKUP(A55,'Trips&amp;Operators'!$C$1:$G$99999,5,FALSE)</f>
        <v>LAMAR NEKESHA</v>
      </c>
      <c r="M55" s="6">
        <f>I55-F55</f>
        <v>2.4293981477967463E-2</v>
      </c>
      <c r="N55" s="7">
        <f>24*60*SUM($M55:$M55)</f>
        <v>34.983333328273147</v>
      </c>
      <c r="O55" s="7"/>
      <c r="P55" s="7"/>
      <c r="Q55" s="22"/>
      <c r="R55" s="190"/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-02T07:57:25-0600',mode:absolute,to:'2017-05-02T10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4.6699999999999998E-2</v>
      </c>
      <c r="Z55" s="192">
        <f>RIGHT(H55,LEN(H55)-4)/10000</f>
        <v>23.3293</v>
      </c>
      <c r="AA55" s="192">
        <f>ABS(Z55-Y55)</f>
        <v>23.282599999999999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0143-02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/stypes="app*4042*20170502*"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143-02 --locoid 4042 --swversion DE.1.0.9.0 --startMP 204:467 --initTime 2017-05-02T08:57:25 --startdatetime 2017-05-02T09:00:14 --delay 1 --endMP 204:233293 --enddatetime 2017-05-02T09:35:13 --enforcementcount 0 &gt;&gt;C:\Users\stu\Documents\GitHub\eaglep3-reporting\EC\2017-05-02-refined-times.txt</v>
      </c>
      <c r="AI5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{"issue":{"subject":"","project_id":79,"tracker_id":40,"status_id":1,"priority_id":2,"assigned_to_id":23,"start_date":"2017-05-02","description":"","custom_fields":[{"id":1,"name":"Subdivision","value":"EC"},{"id":4,"name":"Milepost","value":"23.3293"},{"id":17,"name":"Train ID","value":"143-02"},{"id":16,"name":"Locomotive ID","value":"4042"},{"id":130,"name":"Impact","value":""},{"id":150,"name":"Time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4042 --day 2017-05-02</v>
      </c>
      <c r="AN5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687</v>
      </c>
      <c r="B56" s="7">
        <v>4041</v>
      </c>
      <c r="C56" s="21" t="s">
        <v>211</v>
      </c>
      <c r="D56" s="21" t="s">
        <v>846</v>
      </c>
      <c r="E56" s="13">
        <v>42857.410092592596</v>
      </c>
      <c r="F56" s="13">
        <v>42857.4141087963</v>
      </c>
      <c r="G56" s="7">
        <v>1</v>
      </c>
      <c r="H56" s="21" t="s">
        <v>556</v>
      </c>
      <c r="I56" s="13">
        <v>42857.440474537034</v>
      </c>
      <c r="J56" s="7">
        <v>0</v>
      </c>
      <c r="K56" s="92" t="str">
        <f>IF(ISEVEN(B56),(B56-1)&amp;"/"&amp;B56,B56&amp;"/"&amp;(B56+1))</f>
        <v>4041/4042</v>
      </c>
      <c r="L56" s="21" t="str">
        <f>VLOOKUP(A56,'Trips&amp;Operators'!$C$1:$G$99999,5,FALSE)</f>
        <v>LAMAR NEKESHA</v>
      </c>
      <c r="M56" s="6">
        <f>I56-F56</f>
        <v>2.6365740734036081E-2</v>
      </c>
      <c r="N56" s="7">
        <f>24*60*SUM($M56:$M56)</f>
        <v>37.966666657011956</v>
      </c>
      <c r="O56" s="7"/>
      <c r="P56" s="7"/>
      <c r="Q56" s="22"/>
      <c r="R56" s="190"/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-02T08:50:32-0600',mode:absolute,to:'2017-05-02T11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192">
        <f>RIGHT(D56,LEN(D56)-4)/10000</f>
        <v>23.297999999999998</v>
      </c>
      <c r="Z56" s="192">
        <f>RIGHT(H56,LEN(H56)-4)/10000</f>
        <v>1.3599999999999999E-2</v>
      </c>
      <c r="AA56" s="192">
        <f>ABS(Z56-Y56)</f>
        <v>23.284399999999998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0144-02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/stypes="app*4041*20170502*"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144-02 --locoid 4041 --swversion DE.1.0.9.0 --startMP 204:232980 --initTime 2017-05-02T09:50:32 --startdatetime 2017-05-02T09:56:19 --delay 1 --endMP 204:136 --enddatetime 2017-05-02T10:34:17 --enforcementcount 0 &gt;&gt;C:\Users\stu\Documents\GitHub\eaglep3-reporting\EC\2017-05-02-refined-times.txt</v>
      </c>
      <c r="AI5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{"issue":{"subject":"","project_id":79,"tracker_id":40,"status_id":1,"priority_id":2,"assigned_to_id":23,"start_date":"2017-05-02","description":"","custom_fields":[{"id":1,"name":"Subdivision","value":"EC"},{"id":4,"name":"Milepost","value":"0.0136"},{"id":17,"name":"Train ID","value":"144-02"},{"id":16,"name":"Locomotive ID","value":"4041"},{"id":130,"name":"Impact","value":""},{"id":150,"name":"Time of Event (Mountain Time)","value":"10:34:17"},{"id":151,"name":"Denver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4041 --day 2017-05-02</v>
      </c>
      <c r="AN5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680</v>
      </c>
      <c r="B57" s="7">
        <v>4026</v>
      </c>
      <c r="C57" s="21" t="s">
        <v>211</v>
      </c>
      <c r="D57" s="21" t="s">
        <v>847</v>
      </c>
      <c r="E57" s="13">
        <v>42857.381527777776</v>
      </c>
      <c r="F57" s="13">
        <v>42857.385648148149</v>
      </c>
      <c r="G57" s="7">
        <v>1</v>
      </c>
      <c r="H57" s="21" t="s">
        <v>555</v>
      </c>
      <c r="I57" s="13">
        <v>42857.410787037035</v>
      </c>
      <c r="J57" s="7">
        <v>0</v>
      </c>
      <c r="K57" s="92" t="str">
        <f>IF(ISEVEN(B57),(B57-1)&amp;"/"&amp;B57,B57&amp;"/"&amp;(B57+1))</f>
        <v>4025/4026</v>
      </c>
      <c r="L57" s="21" t="str">
        <f>VLOOKUP(A57,'Trips&amp;Operators'!$C$1:$G$99999,5,FALSE)</f>
        <v>MAELZER KURT</v>
      </c>
      <c r="M57" s="6">
        <f>I57-F57</f>
        <v>2.5138888886431232E-2</v>
      </c>
      <c r="N57" s="7">
        <f>24*60*SUM($M57:$M57)</f>
        <v>36.199999996460974</v>
      </c>
      <c r="O57" s="7"/>
      <c r="P57" s="7"/>
      <c r="Q57" s="22"/>
      <c r="R57" s="190"/>
      <c r="S57" s="196">
        <f>SUM(U57:U57)/IF(AG57="EC",12,1)</f>
        <v>1</v>
      </c>
      <c r="T57" s="190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-02T08:09:24-0600',mode:absolute,to:'2017-05-02T10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192" t="str">
        <f>IF(AA57&lt;IF(AG57="EC",23,5.65),"Y","N")</f>
        <v>N</v>
      </c>
      <c r="X57" s="192">
        <f>VALUE(LEFT(AD57,4))-VALUE(LEFT(AD56,4))</f>
        <v>1</v>
      </c>
      <c r="Y57" s="192">
        <f>RIGHT(D57,LEN(D57)-4)/10000</f>
        <v>4.7300000000000002E-2</v>
      </c>
      <c r="Z57" s="192">
        <f>RIGHT(H57,LEN(H57)-4)/10000</f>
        <v>23.332899999999999</v>
      </c>
      <c r="AA57" s="192">
        <f>ABS(Z57-Y57)</f>
        <v>23.285599999999999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0145-02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/stypes="app*4026*20170502*" /stext=" 15:.+((SYSTEM_STATE.+slice.+state.+changed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145-02 --locoid 4026 --swversion DE.1.0.9.0 --startMP 204:473 --initTime 2017-05-02T09:09:24 --startdatetime 2017-05-02T09:15:20 --delay 1 --endMP 204:233329 --enddatetime 2017-05-02T09:51:32 --enforcementcount 0 &gt;&gt;C:\Users\stu\Documents\GitHub\eaglep3-reporting\EC\2017-05-02-refined-times.txt</v>
      </c>
      <c r="AI5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{"issue":{"subject":"","project_id":79,"tracker_id":40,"status_id":1,"priority_id":2,"assigned_to_id":23,"start_date":"2017-05-02","description":"","custom_fields":[{"id":1,"name":"Subdivision","value":"EC"},{"id":4,"name":"Milepost","value":"23.3329"},{"id":17,"name":"Train ID","value":"145-02"},{"id":16,"name":"Locomotive ID","value":"4026"},{"id":130,"name":"Impact","value":""},{"id":150,"name":"Time of Event (Mountain Time)","value":"09:51:32"},{"id":151,"name":"Denver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4026 --day 2017-05-02</v>
      </c>
      <c r="AN5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689</v>
      </c>
      <c r="B58" s="7">
        <v>4025</v>
      </c>
      <c r="C58" s="21" t="s">
        <v>211</v>
      </c>
      <c r="D58" s="21" t="s">
        <v>848</v>
      </c>
      <c r="E58" s="13">
        <v>42857.41605324074</v>
      </c>
      <c r="F58" s="13">
        <v>42857.42454861111</v>
      </c>
      <c r="G58" s="7">
        <v>1</v>
      </c>
      <c r="H58" s="21" t="s">
        <v>544</v>
      </c>
      <c r="I58" s="13">
        <v>42857.451192129629</v>
      </c>
      <c r="J58" s="7">
        <v>0</v>
      </c>
      <c r="K58" s="92" t="str">
        <f>IF(ISEVEN(B58),(B58-1)&amp;"/"&amp;B58,B58&amp;"/"&amp;(B58+1))</f>
        <v>4025/4026</v>
      </c>
      <c r="L58" s="21" t="str">
        <f>VLOOKUP(A58,'Trips&amp;Operators'!$C$1:$G$99999,5,FALSE)</f>
        <v>MAELZER KURT</v>
      </c>
      <c r="M58" s="6">
        <f>I58-F58</f>
        <v>2.6643518518540077E-2</v>
      </c>
      <c r="N58" s="7">
        <f>24*60*SUM($M58:$M58)</f>
        <v>38.366666666697711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-02T08:59:07-0600',mode:absolute,to:'2017-05-02T11:49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23.302299999999999</v>
      </c>
      <c r="Z58" s="192">
        <f>RIGHT(H58,LEN(H58)-4)/10000</f>
        <v>1.47E-2</v>
      </c>
      <c r="AA58" s="192">
        <f>ABS(Z58-Y58)</f>
        <v>23.287599999999998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0146-02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/stypes="app*4025*20170502*" /stext=" 16:.+((SYSTEM_STATE.+slice.+state.+changed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146-02 --locoid 4025 --swversion DE.1.0.9.0 --startMP 204:233023 --initTime 2017-05-02T09:59:07 --startdatetime 2017-05-02T10:11:21 --delay 1 --endMP 204:147 --enddatetime 2017-05-02T10:49:43 --enforcementcount 0 &gt;&gt;C:\Users\stu\Documents\GitHub\eaglep3-reporting\EC\2017-05-02-refined-times.txt</v>
      </c>
      <c r="AI5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ID","value":"146-02"},{"id":16,"name":"Locomotive ID","value":"4025"},{"id":130,"name":"Impact","value":""},{"id":150,"name":"Time of Event (Mountain Time)","value":"10:49:43"},{"id":151,"name":"Denver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4025 --day 2017-05-02</v>
      </c>
      <c r="AN5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16:49:43"},{"id":29,"name":"Sharepoint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684</v>
      </c>
      <c r="B59" s="7">
        <v>4010</v>
      </c>
      <c r="C59" s="21" t="s">
        <v>211</v>
      </c>
      <c r="D59" s="21" t="s">
        <v>417</v>
      </c>
      <c r="E59" s="13">
        <v>42857.393645833334</v>
      </c>
      <c r="F59" s="13">
        <v>42857.39603009259</v>
      </c>
      <c r="G59" s="7">
        <v>1</v>
      </c>
      <c r="H59" s="21" t="s">
        <v>454</v>
      </c>
      <c r="I59" s="13">
        <v>42857.420983796299</v>
      </c>
      <c r="J59" s="7">
        <v>0</v>
      </c>
      <c r="K59" s="92" t="str">
        <f>IF(ISEVEN(B59),(B59-1)&amp;"/"&amp;B59,B59&amp;"/"&amp;(B59+1))</f>
        <v>4009/4010</v>
      </c>
      <c r="L59" s="21" t="str">
        <f>VLOOKUP(A59,'Trips&amp;Operators'!$C$1:$G$99999,5,FALSE)</f>
        <v>STARKS ANGELINA</v>
      </c>
      <c r="M59" s="6">
        <f>I59-F59</f>
        <v>2.4953703708888497E-2</v>
      </c>
      <c r="N59" s="7">
        <f>24*60*SUM($M59:$M59)</f>
        <v>35.933333340799436</v>
      </c>
      <c r="O59" s="7"/>
      <c r="P59" s="7"/>
      <c r="Q59" s="22"/>
      <c r="R59" s="190"/>
      <c r="S59" s="196">
        <f>SUM(U59:U59)/IF(AG59="EC",12,1)</f>
        <v>1</v>
      </c>
      <c r="T59" s="190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-02T08:26:51-0600',mode:absolute,to:'2017-05-02T11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4.5100000000000001E-2</v>
      </c>
      <c r="Z59" s="192">
        <f>RIGHT(H59,LEN(H59)-4)/10000</f>
        <v>23.3293</v>
      </c>
      <c r="AA59" s="192">
        <f>ABS(Z59-Y59)</f>
        <v>23.284199999999998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0147-02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/stypes="app*4010*20170502*" /stext=" 16:.+((SYSTEM_STATE.+slice.+state.+changed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147-02 --locoid 4010 --swversion DE.1.0.9.0 --startMP 204:451 --initTime 2017-05-02T09:26:51 --startdatetime 2017-05-02T09:30:17 --delay 1 --endMP 204:233293 --enddatetime 2017-05-02T10:06:13 --enforcementcount 0 &gt;&gt;C:\Users\stu\Documents\GitHub\eaglep3-reporting\EC\2017-05-02-refined-times.txt</v>
      </c>
      <c r="AI5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{"issue":{"subject":"","project_id":79,"tracker_id":40,"status_id":1,"priority_id":2,"assigned_to_id":23,"start_date":"2017-05-02","description":"","custom_fields":[{"id":1,"name":"Subdivision","value":"EC"},{"id":4,"name":"Milepost","value":"23.3293"},{"id":17,"name":"Train ID","value":"147-02"},{"id":16,"name":"Locomotive ID","value":"4010"},{"id":130,"name":"Impact","value":""},{"id":150,"name":"Time of Event (Mountain Time)","value":"10:06:13"},{"id":151,"name":"Denver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4010 --day 2017-05-02</v>
      </c>
      <c r="AN5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596</v>
      </c>
      <c r="B60" s="7">
        <v>4009</v>
      </c>
      <c r="C60" s="21" t="s">
        <v>211</v>
      </c>
      <c r="D60" s="21" t="s">
        <v>436</v>
      </c>
      <c r="E60" s="13">
        <v>42857.423750000002</v>
      </c>
      <c r="F60" s="13">
        <v>42857.434884259259</v>
      </c>
      <c r="G60" s="7">
        <v>1</v>
      </c>
      <c r="H60" s="21" t="s">
        <v>480</v>
      </c>
      <c r="I60" s="13">
        <v>42857.463101851848</v>
      </c>
      <c r="J60" s="7">
        <v>0</v>
      </c>
      <c r="K60" s="92" t="str">
        <f>IF(ISEVEN(B60),(B60-1)&amp;"/"&amp;B60,B60&amp;"/"&amp;(B60+1))</f>
        <v>4009/4010</v>
      </c>
      <c r="L60" s="21" t="str">
        <f>VLOOKUP(A60,'Trips&amp;Operators'!$C$1:$G$99999,5,FALSE)</f>
        <v>STARKS ANGELINA</v>
      </c>
      <c r="M60" s="6">
        <f>I60-F60</f>
        <v>2.8217592589498963E-2</v>
      </c>
      <c r="N60" s="7">
        <f>24*60*SUM($M60:$M60)</f>
        <v>40.633333328878507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-02T09:10:12-0600',mode:absolute,to:'2017-05-02T12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23.2973</v>
      </c>
      <c r="Z60" s="192">
        <f>RIGHT(H60,LEN(H60)-4)/10000</f>
        <v>1.41E-2</v>
      </c>
      <c r="AA60" s="192">
        <f>ABS(Z60-Y60)</f>
        <v>23.283200000000001</v>
      </c>
      <c r="AB60" s="57" t="str">
        <f>VLOOKUP(A60,Enforcements!$C$7:$K$13,8,0)</f>
        <v>Bulletin (2)</v>
      </c>
      <c r="AC60" s="53" t="str">
        <f>VLOOKUP(A60,Enforcements!$C$7:$E$13,3,0)</f>
        <v>GRADE CROSSING</v>
      </c>
      <c r="AD60" s="54" t="str">
        <f>IF(LEN(A60)=6,"0"&amp;A60,A60)</f>
        <v>0148-02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/stypes="app*4009*20170502*" /stext=" 17:.+((SYSTEM_STATE.+slice.+state.+changed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148-02 --locoid 4009 --swversion DE.1.0.9.0 --startMP 204:232973 --initTime 2017-05-02T10:10:12 --startdatetime 2017-05-02T10:26:14 --delay 1 --endMP 204:141 --enddatetime 2017-05-02T11:06:52 --enforcementcount 0 &gt;&gt;C:\Users\stu\Documents\GitHub\eaglep3-reporting\EC\2017-05-02-refined-times.txt</v>
      </c>
      <c r="AI6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{"issue":{"subject":"","project_id":79,"tracker_id":40,"status_id":1,"priority_id":2,"assigned_to_id":23,"start_date":"2017-05-02","description":"","custom_fields":[{"id":1,"name":"Subdivision","value":"EC"},{"id":4,"name":"Milepost","value":"0.0141"},{"id":17,"name":"Train ID","value":"148-02"},{"id":16,"name":"Locomotive ID","value":"4009"},{"id":130,"name":"Impact","value":""},{"id":150,"name":"Time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4009 --day 2017-05-02</v>
      </c>
      <c r="AN6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686</v>
      </c>
      <c r="B61" s="7">
        <v>4022</v>
      </c>
      <c r="C61" s="21" t="s">
        <v>211</v>
      </c>
      <c r="D61" s="21" t="s">
        <v>390</v>
      </c>
      <c r="E61" s="13">
        <v>42857.402858796297</v>
      </c>
      <c r="F61" s="13">
        <v>42857.406469907408</v>
      </c>
      <c r="G61" s="7">
        <v>1</v>
      </c>
      <c r="H61" s="21" t="s">
        <v>826</v>
      </c>
      <c r="I61" s="13">
        <v>42857.433159722219</v>
      </c>
      <c r="J61" s="7">
        <v>0</v>
      </c>
      <c r="K61" s="92" t="str">
        <f>IF(ISEVEN(B61),(B61-1)&amp;"/"&amp;B61,B61&amp;"/"&amp;(B61+1))</f>
        <v>4021/4022</v>
      </c>
      <c r="L61" s="21" t="str">
        <f>VLOOKUP(A61,'Trips&amp;Operators'!$C$1:$G$99999,5,FALSE)</f>
        <v>THOMPSON LESTER</v>
      </c>
      <c r="M61" s="6">
        <f>I61-F61</f>
        <v>2.6689814811106771E-2</v>
      </c>
      <c r="N61" s="7">
        <f>24*60*SUM($M61:$M61)</f>
        <v>38.433333327993751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-02T08:40:07-0600',mode:absolute,to:'2017-05-02T11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4.58E-2</v>
      </c>
      <c r="Z61" s="192">
        <f>RIGHT(H61,LEN(H61)-4)/10000</f>
        <v>23.328900000000001</v>
      </c>
      <c r="AA61" s="192">
        <f>ABS(Z61-Y61)</f>
        <v>23.283100000000001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0149-02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/stypes="app*4022*20170502*" /stext=" 16:.+((SYSTEM_STATE.+slice.+state.+changed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149-02 --locoid 4022 --swversion DE.1.0.9.0 --startMP 204:458 --initTime 2017-05-02T09:40:07 --startdatetime 2017-05-02T09:45:19 --delay 1 --endMP 204:233289 --enddatetime 2017-05-02T10:23:45 --enforcementcount 0 &gt;&gt;C:\Users\stu\Documents\GitHub\eaglep3-reporting\EC\2017-05-02-refined-times.txt</v>
      </c>
      <c r="AI6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{"issue":{"subject":"","project_id":79,"tracker_id":40,"status_id":1,"priority_id":2,"assigned_to_id":23,"start_date":"2017-05-02","description":"","custom_fields":[{"id":1,"name":"Subdivision","value":"EC"},{"id":4,"name":"Milepost","value":"23.3289"},{"id":17,"name":"Train ID","value":"149-02"},{"id":16,"name":"Locomotive ID","value":"4022"},{"id":130,"name":"Impact","value":""},{"id":150,"name":"Time of Event (Mountain Time)","value":"10:23:45"},{"id":151,"name":"Denver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4022 --day 2017-05-02</v>
      </c>
      <c r="AN6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4021</v>
      </c>
      <c r="C62" s="21" t="s">
        <v>211</v>
      </c>
      <c r="D62" s="21" t="s">
        <v>374</v>
      </c>
      <c r="E62" s="13">
        <v>42857.441851851851</v>
      </c>
      <c r="F62" s="13">
        <v>42857.445462962962</v>
      </c>
      <c r="G62" s="7">
        <v>1</v>
      </c>
      <c r="H62" s="21" t="s">
        <v>478</v>
      </c>
      <c r="I62" s="13">
        <v>42857.474409722221</v>
      </c>
      <c r="J62" s="7">
        <v>0</v>
      </c>
      <c r="K62" s="92" t="str">
        <f>IF(ISEVEN(B62),(B62-1)&amp;"/"&amp;B62,B62&amp;"/"&amp;(B62+1))</f>
        <v>4021/4022</v>
      </c>
      <c r="L62" s="21" t="str">
        <f>VLOOKUP(A62,'Trips&amp;Operators'!$C$1:$G$99999,5,FALSE)</f>
        <v>THOMPSON LESTER</v>
      </c>
      <c r="M62" s="6">
        <f>I62-F62</f>
        <v>2.8946759259270038E-2</v>
      </c>
      <c r="N62" s="7">
        <f>24*60*SUM($M62:$M62)</f>
        <v>41.683333333348855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-02T09:36:16-0600',mode:absolute,to:'2017-05-02T12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23.297699999999999</v>
      </c>
      <c r="Z62" s="192">
        <f>RIGHT(H62,LEN(H62)-4)/10000</f>
        <v>1.6500000000000001E-2</v>
      </c>
      <c r="AA62" s="192">
        <f>ABS(Z62-Y62)</f>
        <v>23.281199999999998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0150-02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/stypes="app*4021*20170502*" /stext=" 17:.+((SYSTEM_STATE.+slice.+state.+changed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150-02 --locoid 4021 --swversion DE.1.0.9.0 --startMP 204:232977 --initTime 2017-05-02T10:36:16 --startdatetime 2017-05-02T10:41:28 --delay 1 --endMP 204:165 --enddatetime 2017-05-02T11:23:09 --enforcementcount 0 &gt;&gt;C:\Users\stu\Documents\GitHub\eaglep3-reporting\EC\2017-05-02-refined-times.txt</v>
      </c>
      <c r="AI6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{"issue":{"subject":"","project_id":79,"tracker_id":40,"status_id":1,"priority_id":2,"assigned_to_id":23,"start_date":"2017-05-02","description":"","custom_fields":[{"id":1,"name":"Subdivision","value":"EC"},{"id":4,"name":"Milepost","value":"0.0165"},{"id":17,"name":"Train ID","value":"150-02"},{"id":16,"name":"Locomotive ID","value":"4021"},{"id":130,"name":"Impact","value":""},{"id":150,"name":"Time of Event (Mountain Time)","value":"11:23:09"},{"id":151,"name":"Denver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4021 --day 2017-05-02</v>
      </c>
      <c r="AN6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688</v>
      </c>
      <c r="B63" s="7">
        <v>4018</v>
      </c>
      <c r="C63" s="21" t="s">
        <v>211</v>
      </c>
      <c r="D63" s="21" t="s">
        <v>208</v>
      </c>
      <c r="E63" s="13">
        <v>42857.413090277776</v>
      </c>
      <c r="F63" s="13">
        <v>42857.41684027778</v>
      </c>
      <c r="G63" s="7">
        <v>1</v>
      </c>
      <c r="H63" s="21" t="s">
        <v>849</v>
      </c>
      <c r="I63" s="13">
        <v>42857.442233796297</v>
      </c>
      <c r="J63" s="7">
        <v>0</v>
      </c>
      <c r="K63" s="92" t="str">
        <f>IF(ISEVEN(B63),(B63-1)&amp;"/"&amp;B63,B63&amp;"/"&amp;(B63+1))</f>
        <v>4017/4018</v>
      </c>
      <c r="L63" s="21" t="str">
        <f>VLOOKUP(A63,'Trips&amp;Operators'!$C$1:$G$99999,5,FALSE)</f>
        <v>DAVIS WENDY</v>
      </c>
      <c r="M63" s="6">
        <f>I63-F63</f>
        <v>2.5393518517375924E-2</v>
      </c>
      <c r="N63" s="7">
        <f>24*60*SUM($M63:$M63)</f>
        <v>36.56666666502133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-02T08:54:51-0600',mode:absolute,to:'2017-05-02T11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4.5499999999999999E-2</v>
      </c>
      <c r="Z63" s="192">
        <f>RIGHT(H63,LEN(H63)-4)/10000</f>
        <v>23.3322</v>
      </c>
      <c r="AA63" s="192">
        <f>ABS(Z63-Y63)</f>
        <v>23.2867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0151-02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/stypes="app*4018*20170502*" /stext=" 16:.+((SYSTEM_STATE.+slice.+state.+changed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151-02 --locoid 4018 --swversion DE.1.0.9.0 --startMP 204:455 --initTime 2017-05-02T09:54:51 --startdatetime 2017-05-02T10:00:15 --delay 1 --endMP 204:233322 --enddatetime 2017-05-02T10:36:49 --enforcementcount 0 &gt;&gt;C:\Users\stu\Documents\GitHub\eaglep3-reporting\EC\2017-05-02-refined-times.txt</v>
      </c>
      <c r="AI6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{"issue":{"subject":"","project_id":79,"tracker_id":40,"status_id":1,"priority_id":2,"assigned_to_id":23,"start_date":"2017-05-02","description":"","custom_fields":[{"id":1,"name":"Subdivision","value":"EC"},{"id":4,"name":"Milepost","value":"23.3322"},{"id":17,"name":"Train ID","value":"151-02"},{"id":16,"name":"Locomotive ID","value":"4018"},{"id":130,"name":"Impact","value":""},{"id":150,"name":"Time of Event (Mountain Time)","value":"10:36:49"},{"id":151,"name":"Denver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4018 --day 2017-05-02</v>
      </c>
      <c r="AN6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697</v>
      </c>
      <c r="B64" s="7">
        <v>4017</v>
      </c>
      <c r="C64" s="21" t="s">
        <v>211</v>
      </c>
      <c r="D64" s="21" t="s">
        <v>846</v>
      </c>
      <c r="E64" s="13">
        <v>42857.452824074076</v>
      </c>
      <c r="F64" s="13">
        <v>42857.455717592595</v>
      </c>
      <c r="G64" s="7">
        <v>1</v>
      </c>
      <c r="H64" s="21" t="s">
        <v>484</v>
      </c>
      <c r="I64" s="13">
        <v>42857.483865740738</v>
      </c>
      <c r="J64" s="7">
        <v>0</v>
      </c>
      <c r="K64" s="92" t="str">
        <f>IF(ISEVEN(B64),(B64-1)&amp;"/"&amp;B64,B64&amp;"/"&amp;(B64+1))</f>
        <v>4017/4018</v>
      </c>
      <c r="L64" s="21" t="str">
        <f>VLOOKUP(A64,'Trips&amp;Operators'!$C$1:$G$99999,5,FALSE)</f>
        <v>DAVIS WENDY</v>
      </c>
      <c r="M64" s="6">
        <f>I64-F64</f>
        <v>2.8148148143372964E-2</v>
      </c>
      <c r="N64" s="7">
        <f>24*60*SUM($M64:$M64)</f>
        <v>40.533333326457068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-02T09:52:04-0600',mode:absolute,to:'2017-05-02T12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23.297999999999998</v>
      </c>
      <c r="Z64" s="192">
        <f>RIGHT(H64,LEN(H64)-4)/10000</f>
        <v>1.6299999999999999E-2</v>
      </c>
      <c r="AA64" s="192">
        <f>ABS(Z64-Y64)</f>
        <v>23.281699999999997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0152-02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/stypes="app*4017*20170502*" /stext=" 17:.+((SYSTEM_STATE.+slice.+state.+changed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152-02 --locoid 4017 --swversion DE.1.0.9.0 --startMP 204:232980 --initTime 2017-05-02T10:52:04 --startdatetime 2017-05-02T10:56:14 --delay 1 --endMP 204:163 --enddatetime 2017-05-02T11:36:46 --enforcementcount 0 &gt;&gt;C:\Users\stu\Documents\GitHub\eaglep3-reporting\EC\2017-05-02-refined-times.txt</v>
      </c>
      <c r="AI6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{"issue":{"subject":"","project_id":79,"tracker_id":40,"status_id":1,"priority_id":2,"assigned_to_id":23,"start_date":"2017-05-02","description":"","custom_fields":[{"id":1,"name":"Subdivision","value":"EC"},{"id":4,"name":"Milepost","value":"0.0163"},{"id":17,"name":"Train ID","value":"152-02"},{"id":16,"name":"Locomotive ID","value":"4017"},{"id":130,"name":"Impact","value":""},{"id":150,"name":"Time of Event (Mountain Time)","value":"11:36:46"},{"id":151,"name":"Denver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4017 --day 2017-05-02</v>
      </c>
      <c r="AN6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691</v>
      </c>
      <c r="B65" s="7">
        <v>4044</v>
      </c>
      <c r="C65" s="21" t="s">
        <v>211</v>
      </c>
      <c r="D65" s="21" t="s">
        <v>383</v>
      </c>
      <c r="E65" s="13">
        <v>42857.422071759262</v>
      </c>
      <c r="F65" s="13">
        <v>42857.427291666667</v>
      </c>
      <c r="G65" s="7">
        <v>1</v>
      </c>
      <c r="H65" s="21" t="s">
        <v>820</v>
      </c>
      <c r="I65" s="13">
        <v>42857.452152777776</v>
      </c>
      <c r="J65" s="7">
        <v>0</v>
      </c>
      <c r="K65" s="92" t="str">
        <f>IF(ISEVEN(B65),(B65-1)&amp;"/"&amp;B65,B65&amp;"/"&amp;(B65+1))</f>
        <v>4043/4044</v>
      </c>
      <c r="L65" s="21" t="str">
        <f>VLOOKUP(A65,'Trips&amp;Operators'!$C$1:$G$99999,5,FALSE)</f>
        <v>LOZA FIDEL</v>
      </c>
      <c r="M65" s="6">
        <f>I65-F65</f>
        <v>2.4861111109203193E-2</v>
      </c>
      <c r="N65" s="7">
        <f>24*60*SUM($M65:$M65)</f>
        <v>35.799999997252598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-02T09:07:47-0600',mode:absolute,to:'2017-05-02T11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4.4600000000000001E-2</v>
      </c>
      <c r="Z65" s="192">
        <f>RIGHT(H65,LEN(H65)-4)/10000</f>
        <v>23.334900000000001</v>
      </c>
      <c r="AA65" s="192">
        <f>ABS(Z65-Y65)</f>
        <v>23.290300000000002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0153-02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/stypes="app*4044*20170502*" /stext=" 16:.+((SYSTEM_STATE.+slice.+state.+changed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153-02 --locoid 4044 --swversion DE.1.0.9.0 --startMP 204:446 --initTime 2017-05-02T10:07:47 --startdatetime 2017-05-02T10:15:18 --delay 1 --endMP 204:233349 --enddatetime 2017-05-02T10:51:06 --enforcementcount 0 &gt;&gt;C:\Users\stu\Documents\GitHub\eaglep3-reporting\EC\2017-05-02-refined-times.txt</v>
      </c>
      <c r="AI6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{"issue":{"subject":"","project_id":79,"tracker_id":40,"status_id":1,"priority_id":2,"assigned_to_id":23,"start_date":"2017-05-02","description":"","custom_fields":[{"id":1,"name":"Subdivision","value":"EC"},{"id":4,"name":"Milepost","value":"23.3349"},{"id":17,"name":"Train ID","value":"153-02"},{"id":16,"name":"Locomotive ID","value":"4044"},{"id":130,"name":"Impact","value":""},{"id":150,"name":"Time of Event (Mountain Time)","value":"10:51:06"},{"id":151,"name":"Denver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4044 --day 2017-05-02</v>
      </c>
      <c r="AN6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699</v>
      </c>
      <c r="B66" s="7">
        <v>4043</v>
      </c>
      <c r="C66" s="21" t="s">
        <v>211</v>
      </c>
      <c r="D66" s="21" t="s">
        <v>850</v>
      </c>
      <c r="E66" s="13">
        <v>42857.462372685186</v>
      </c>
      <c r="F66" s="13">
        <v>42857.466273148151</v>
      </c>
      <c r="G66" s="7">
        <v>1</v>
      </c>
      <c r="H66" s="21" t="s">
        <v>408</v>
      </c>
      <c r="I66" s="13">
        <v>42857.493923611109</v>
      </c>
      <c r="J66" s="7">
        <v>0</v>
      </c>
      <c r="K66" s="92" t="str">
        <f>IF(ISEVEN(B66),(B66-1)&amp;"/"&amp;B66,B66&amp;"/"&amp;(B66+1))</f>
        <v>4043/4044</v>
      </c>
      <c r="L66" s="21" t="str">
        <f>VLOOKUP(A66,'Trips&amp;Operators'!$C$1:$G$99999,5,FALSE)</f>
        <v>LOZA FIDEL</v>
      </c>
      <c r="M66" s="6">
        <f>I66-F66</f>
        <v>2.7650462958263233E-2</v>
      </c>
      <c r="N66" s="7">
        <f>24*60*SUM($M66:$M66)</f>
        <v>39.816666659899056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-02T10:05:49-0600',mode:absolute,to:'2017-05-02T12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23.309100000000001</v>
      </c>
      <c r="Z66" s="192">
        <f>RIGHT(H66,LEN(H66)-4)/10000</f>
        <v>1.49E-2</v>
      </c>
      <c r="AA66" s="192">
        <f>ABS(Z66-Y66)</f>
        <v>23.2942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0154-02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/stypes="app*4043*20170502*" /stext=" 17:.+((SYSTEM_STATE.+slice.+state.+changed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154-02 --locoid 4043 --swversion DE.1.0.9.0 --startMP 204:233091 --initTime 2017-05-02T11:05:49 --startdatetime 2017-05-02T11:11:26 --delay 1 --endMP 204:149 --enddatetime 2017-05-02T11:51:15 --enforcementcount 0 &gt;&gt;C:\Users\stu\Documents\GitHub\eaglep3-reporting\EC\2017-05-02-refined-times.txt</v>
      </c>
      <c r="AI6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ID","value":"154-02"},{"id":16,"name":"Locomotive ID","value":"4043"},{"id":130,"name":"Impact","value":""},{"id":150,"name":"Time of Event (Mountain Time)","value":"11:51:15"},{"id":151,"name":"Denver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4043 --day 2017-05-02</v>
      </c>
      <c r="AN6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694</v>
      </c>
      <c r="B67" s="7">
        <v>4004</v>
      </c>
      <c r="C67" s="21" t="s">
        <v>211</v>
      </c>
      <c r="D67" s="21" t="s">
        <v>550</v>
      </c>
      <c r="E67" s="13">
        <v>42857.431284722225</v>
      </c>
      <c r="F67" s="13">
        <v>42857.437951388885</v>
      </c>
      <c r="G67" s="7">
        <v>1</v>
      </c>
      <c r="H67" s="21" t="s">
        <v>548</v>
      </c>
      <c r="I67" s="13">
        <v>42857.461840277778</v>
      </c>
      <c r="J67" s="7">
        <v>0</v>
      </c>
      <c r="K67" s="92" t="str">
        <f>IF(ISEVEN(B67),(B67-1)&amp;"/"&amp;B67,B67&amp;"/"&amp;(B67+1))</f>
        <v>4003/4004</v>
      </c>
      <c r="L67" s="21" t="str">
        <f>VLOOKUP(A67,'Trips&amp;Operators'!$C$1:$G$99999,5,FALSE)</f>
        <v>YORK EDGAR</v>
      </c>
      <c r="M67" s="6">
        <f>I67-F67</f>
        <v>2.3888888892543036E-2</v>
      </c>
      <c r="N67" s="7">
        <f>24*60*SUM($M67:$M67)</f>
        <v>34.400000005261973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-02T09:21:03-0600',mode:absolute,to:'2017-05-02T12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4.8399999999999999E-2</v>
      </c>
      <c r="Z67" s="192">
        <f>RIGHT(H67,LEN(H67)-4)/10000</f>
        <v>23.330100000000002</v>
      </c>
      <c r="AA67" s="192">
        <f>ABS(Z67-Y67)</f>
        <v>23.281700000000001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0155-02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/stypes="app*4004*20170502*"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155-02 --locoid 4004 --swversion DE.1.0.9.0 --startMP 204:484 --initTime 2017-05-02T10:21:03 --startdatetime 2017-05-02T10:30:39 --delay 1 --endMP 204:233301 --enddatetime 2017-05-02T11:05:03 --enforcementcount 0 &gt;&gt;C:\Users\stu\Documents\GitHub\eaglep3-reporting\EC\2017-05-02-refined-times.txt</v>
      </c>
      <c r="AI67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{"issue":{"subject":"","project_id":79,"tracker_id":40,"status_id":1,"priority_id":2,"assigned_to_id":23,"start_date":"2017-05-02","description":"","custom_fields":[{"id":1,"name":"Subdivision","value":"EC"},{"id":4,"name":"Milepost","value":"23.3301"},{"id":17,"name":"Train ID","value":"155-02"},{"id":16,"name":"Locomotive ID","value":"4004"},{"id":130,"name":"Impact","value":""},{"id":150,"name":"Time of Event (Mountain Time)","value":"11:05:03"},{"id":151,"name":"Denver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4004 --day 2017-05-02</v>
      </c>
      <c r="AN67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598</v>
      </c>
      <c r="B68" s="7">
        <v>4003</v>
      </c>
      <c r="C68" s="21" t="s">
        <v>211</v>
      </c>
      <c r="D68" s="21" t="s">
        <v>446</v>
      </c>
      <c r="E68" s="13">
        <v>42857.462696759256</v>
      </c>
      <c r="F68" s="13">
        <v>42857.476759259262</v>
      </c>
      <c r="G68" s="7">
        <v>1</v>
      </c>
      <c r="H68" s="21" t="s">
        <v>203</v>
      </c>
      <c r="I68" s="13">
        <v>42857.503877314812</v>
      </c>
      <c r="J68" s="7">
        <v>0</v>
      </c>
      <c r="K68" s="92" t="str">
        <f>IF(ISEVEN(B68),(B68-1)&amp;"/"&amp;B68,B68&amp;"/"&amp;(B68+1))</f>
        <v>4003/4004</v>
      </c>
      <c r="L68" s="21" t="str">
        <f>VLOOKUP(A68,'Trips&amp;Operators'!$C$1:$G$99999,5,FALSE)</f>
        <v>YORK EDGAR</v>
      </c>
      <c r="M68" s="6">
        <f>I68-F68</f>
        <v>2.7118055550090503E-2</v>
      </c>
      <c r="N68" s="7">
        <f>24*60*SUM($M68:$M68)</f>
        <v>39.049999992130324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-02T10:06:17-0600',mode:absolute,to:'2017-05-02T13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23.296700000000001</v>
      </c>
      <c r="Z68" s="192">
        <f>RIGHT(H68,LEN(H68)-4)/10000</f>
        <v>1.54E-2</v>
      </c>
      <c r="AA68" s="192">
        <f>ABS(Z68-Y68)</f>
        <v>23.281300000000002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0156-02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/stypes="app*4003*20170502*" /stext=" 18:.+((SYSTEM_STATE.+slice.+state.+changed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156-02 --locoid 4003 --swversion DE.1.0.9.0 --startMP 204:232967 --initTime 2017-05-02T11:06:17 --startdatetime 2017-05-02T11:26:32 --delay 1 --endMP 204:154 --enddatetime 2017-05-02T12:05:35 --enforcementcount 0 &gt;&gt;C:\Users\stu\Documents\GitHub\eaglep3-reporting\EC\2017-05-02-refined-times.txt</v>
      </c>
      <c r="AI68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{"issue":{"subject":"","project_id":79,"tracker_id":40,"status_id":1,"priority_id":2,"assigned_to_id":23,"start_date":"2017-05-02","description":"","custom_fields":[{"id":1,"name":"Subdivision","value":"EC"},{"id":4,"name":"Milepost","value":"0.0154"},{"id":17,"name":"Train ID","value":"156-02"},{"id":16,"name":"Locomotive ID","value":"4003"},{"id":130,"name":"Impact","value":""},{"id":150,"name":"Time of Event (Mountain Time)","value":"12:05:35"},{"id":151,"name":"Denver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4003 --day 2017-05-02</v>
      </c>
      <c r="AN68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597</v>
      </c>
      <c r="B69" s="7">
        <v>4042</v>
      </c>
      <c r="C69" s="21" t="s">
        <v>211</v>
      </c>
      <c r="D69" s="21" t="s">
        <v>417</v>
      </c>
      <c r="E69" s="13">
        <v>42857.443541666667</v>
      </c>
      <c r="F69" s="13">
        <v>42857.448842592596</v>
      </c>
      <c r="G69" s="7">
        <v>1</v>
      </c>
      <c r="H69" s="21" t="s">
        <v>851</v>
      </c>
      <c r="I69" s="13">
        <v>42857.474641203706</v>
      </c>
      <c r="J69" s="7">
        <v>0</v>
      </c>
      <c r="K69" s="92" t="str">
        <f>IF(ISEVEN(B69),(B69-1)&amp;"/"&amp;B69,B69&amp;"/"&amp;(B69+1))</f>
        <v>4041/4042</v>
      </c>
      <c r="L69" s="21" t="str">
        <f>VLOOKUP(A69,'Trips&amp;Operators'!$C$1:$G$99999,5,FALSE)</f>
        <v>LAMAR NEKESHA</v>
      </c>
      <c r="M69" s="6">
        <f>I69-F69</f>
        <v>2.5798611110076308E-2</v>
      </c>
      <c r="N69" s="7">
        <f>24*60*SUM($M69:$M69)</f>
        <v>37.149999998509884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-02T09:38:42-0600',mode:absolute,to:'2017-05-02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4.5100000000000001E-2</v>
      </c>
      <c r="Z69" s="192">
        <f>RIGHT(H69,LEN(H69)-4)/10000</f>
        <v>23.327999999999999</v>
      </c>
      <c r="AA69" s="192">
        <f>ABS(Z69-Y69)</f>
        <v>23.282899999999998</v>
      </c>
      <c r="AB69" s="57" t="str">
        <f>VLOOKUP(A69,Enforcements!$C$7:$K$13,8,0)</f>
        <v>Bulletin (2)</v>
      </c>
      <c r="AC69" s="53" t="str">
        <f>VLOOKUP(A69,Enforcements!$C$7:$E$13,3,0)</f>
        <v>GRADE CROSSING</v>
      </c>
      <c r="AD69" s="54" t="str">
        <f>IF(LEN(A69)=6,"0"&amp;A69,A69)</f>
        <v>0157-02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/stypes="app*4042*20170502*" /stext=" 17:.+((SYSTEM_STATE.+slice.+state.+changed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157-02 --locoid 4042 --swversion DE.1.0.9.0 --startMP 204:451 --initTime 2017-05-02T10:38:42 --startdatetime 2017-05-02T10:46:20 --delay 1 --endMP 204:233280 --enddatetime 2017-05-02T11:23:29 --enforcementcount 0 &gt;&gt;C:\Users\stu\Documents\GitHub\eaglep3-reporting\EC\2017-05-02-refined-times.txt</v>
      </c>
      <c r="AI69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{"issue":{"subject":"","project_id":79,"tracker_id":40,"status_id":1,"priority_id":2,"assigned_to_id":23,"start_date":"2017-05-02","description":"","custom_fields":[{"id":1,"name":"Subdivision","value":"EC"},{"id":4,"name":"Milepost","value":"23.328"},{"id":17,"name":"Train ID","value":"157-02"},{"id":16,"name":"Locomotive ID","value":"4042"},{"id":130,"name":"Impact","value":""},{"id":150,"name":"Time of Event (Mountain Time)","value":"11:23:29"},{"id":151,"name":"Denver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4042 --day 2017-05-02</v>
      </c>
      <c r="AN69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707</v>
      </c>
      <c r="B70" s="7">
        <v>4041</v>
      </c>
      <c r="C70" s="21" t="s">
        <v>211</v>
      </c>
      <c r="D70" s="21" t="s">
        <v>852</v>
      </c>
      <c r="E70" s="13">
        <v>42857.482268518521</v>
      </c>
      <c r="F70" s="13">
        <v>42857.487291666665</v>
      </c>
      <c r="G70" s="7">
        <v>3</v>
      </c>
      <c r="H70" s="21" t="s">
        <v>387</v>
      </c>
      <c r="I70" s="13">
        <v>42857.514120370368</v>
      </c>
      <c r="J70" s="7">
        <v>0</v>
      </c>
      <c r="K70" s="92" t="str">
        <f>IF(ISEVEN(B70),(B70-1)&amp;"/"&amp;B70,B70&amp;"/"&amp;(B70+1))</f>
        <v>4041/4042</v>
      </c>
      <c r="L70" s="21" t="str">
        <f>VLOOKUP(A70,'Trips&amp;Operators'!$C$1:$G$99999,5,FALSE)</f>
        <v>LAMAR NEKESHA</v>
      </c>
      <c r="M70" s="6">
        <f>I70-F70</f>
        <v>2.6828703703358769E-2</v>
      </c>
      <c r="N70" s="7">
        <f>24*60*SUM($M70:$M70)</f>
        <v>38.633333332836628</v>
      </c>
      <c r="O70" s="7"/>
      <c r="P70" s="7"/>
      <c r="Q70" s="22"/>
      <c r="R70" s="190"/>
      <c r="S70" s="196">
        <f>SUM(U70:U70)/IF(AG70="EC",12,1)</f>
        <v>1</v>
      </c>
      <c r="T70" s="190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-02T10:34:28-0600',mode:absolute,to:'2017-05-02T13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192">
        <f>RIGHT(D70,LEN(D70)-4)/10000</f>
        <v>23.298500000000001</v>
      </c>
      <c r="Z70" s="192">
        <f>RIGHT(H70,LEN(H70)-4)/10000</f>
        <v>1.6E-2</v>
      </c>
      <c r="AA70" s="192">
        <f>ABS(Z70-Y70)</f>
        <v>23.282500000000002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0158-02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/stypes="app*4041*20170502*" /stext=" 18:.+((SYSTEM_STATE.+slice.+state.+changed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158-02 --locoid 4041 --swversion DE.1.0.9.0 --startMP 204:232985 --initTime 2017-05-02T11:34:28 --startdatetime 2017-05-02T11:41:42 --delay 3 --endMP 204:160 --enddatetime 2017-05-02T12:20:20 --enforcementcount 0 &gt;&gt;C:\Users\stu\Documents\GitHub\eaglep3-reporting\EC\2017-05-02-refined-times.txt</v>
      </c>
      <c r="AI70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{"issue":{"subject":"","project_id":79,"tracker_id":40,"status_id":1,"priority_id":2,"assigned_to_id":23,"start_date":"2017-05-02","description":"","custom_fields":[{"id":1,"name":"Subdivision","value":"EC"},{"id":4,"name":"Milepost","value":"0.016"},{"id":17,"name":"Train ID","value":"158-02"},{"id":16,"name":"Locomotive ID","value":"4041"},{"id":130,"name":"Impact","value":""},{"id":150,"name":"Time of Event (Mountain Time)","value":"12:20:20"},{"id":151,"name":"Denver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4041 --day 2017-05-02</v>
      </c>
      <c r="AN70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698</v>
      </c>
      <c r="B71" s="7">
        <v>4026</v>
      </c>
      <c r="C71" s="21" t="s">
        <v>211</v>
      </c>
      <c r="D71" s="21" t="s">
        <v>844</v>
      </c>
      <c r="E71" s="13">
        <v>42857.454444444447</v>
      </c>
      <c r="F71" s="13">
        <v>42857.458645833336</v>
      </c>
      <c r="G71" s="7">
        <v>1</v>
      </c>
      <c r="H71" s="21" t="s">
        <v>853</v>
      </c>
      <c r="I71" s="13">
        <v>42857.484722222223</v>
      </c>
      <c r="J71" s="7">
        <v>0</v>
      </c>
      <c r="K71" s="92" t="str">
        <f>IF(ISEVEN(B71),(B71-1)&amp;"/"&amp;B71,B71&amp;"/"&amp;(B71+1))</f>
        <v>4025/4026</v>
      </c>
      <c r="L71" s="21" t="str">
        <f>VLOOKUP(A71,'Trips&amp;Operators'!$C$1:$G$99999,5,FALSE)</f>
        <v>DAVIS MICHAEL</v>
      </c>
      <c r="M71" s="6">
        <f>I71-F71</f>
        <v>2.6076388887304347E-2</v>
      </c>
      <c r="N71" s="7">
        <f>24*60*SUM($M71:$M71)</f>
        <v>37.54999999771826</v>
      </c>
      <c r="O71" s="7"/>
      <c r="P71" s="7"/>
      <c r="Q71" s="22"/>
      <c r="R71" s="190"/>
      <c r="S71" s="196">
        <f>SUM(U71:U71)/IF(AG71="EC",12,1)</f>
        <v>1</v>
      </c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-02T09:54:24-0600',mode:absolute,to:'2017-05-02T12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192">
        <f>RIGHT(D71,LEN(D71)-4)/10000</f>
        <v>4.3700000000000003E-2</v>
      </c>
      <c r="Z71" s="192">
        <f>RIGHT(H71,LEN(H71)-4)/10000</f>
        <v>23.3307</v>
      </c>
      <c r="AA71" s="192">
        <f>ABS(Z71-Y71)</f>
        <v>23.286999999999999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0159-02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/stypes="app*4026*20170502*"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159-02 --locoid 4026 --swversion DE.1.0.9.0 --startMP 204:437 --initTime 2017-05-02T10:54:24 --startdatetime 2017-05-02T11:00:27 --delay 1 --endMP 204:233307 --enddatetime 2017-05-02T11:38:00 --enforcementcount 0 &gt;&gt;C:\Users\stu\Documents\GitHub\eaglep3-reporting\EC\2017-05-02-refined-times.txt</v>
      </c>
      <c r="AI71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{"issue":{"subject":"","project_id":79,"tracker_id":40,"status_id":1,"priority_id":2,"assigned_to_id":23,"start_date":"2017-05-02","description":"","custom_fields":[{"id":1,"name":"Subdivision","value":"EC"},{"id":4,"name":"Milepost","value":"23.3307"},{"id":17,"name":"Train ID","value":"159-02"},{"id":16,"name":"Locomotive ID","value":"4026"},{"id":130,"name":"Impact","value":""},{"id":150,"name":"Time of Event (Mountain Time)","value":"11:38:00"},{"id":151,"name":"Denver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4026 --day 2017-05-02</v>
      </c>
      <c r="AN71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710</v>
      </c>
      <c r="B72" s="7">
        <v>4025</v>
      </c>
      <c r="C72" s="21" t="s">
        <v>211</v>
      </c>
      <c r="D72" s="21" t="s">
        <v>438</v>
      </c>
      <c r="E72" s="13">
        <v>42857.494942129626</v>
      </c>
      <c r="F72" s="13">
        <v>42857.497546296298</v>
      </c>
      <c r="G72" s="7">
        <v>1</v>
      </c>
      <c r="H72" s="21" t="s">
        <v>459</v>
      </c>
      <c r="I72" s="13">
        <v>42857.525625000002</v>
      </c>
      <c r="J72" s="7">
        <v>0</v>
      </c>
      <c r="K72" s="92" t="str">
        <f>IF(ISEVEN(B72),(B72-1)&amp;"/"&amp;B72,B72&amp;"/"&amp;(B72+1))</f>
        <v>4025/4026</v>
      </c>
      <c r="L72" s="21" t="str">
        <f>VLOOKUP(A72,'Trips&amp;Operators'!$C$1:$G$99999,5,FALSE)</f>
        <v>DAVIS MICHAEL</v>
      </c>
      <c r="M72" s="6">
        <f>I72-F72</f>
        <v>2.8078703704522923E-2</v>
      </c>
      <c r="N72" s="7">
        <f>24*60*SUM($M72:$M72)</f>
        <v>40.433333334513009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-02T10:52:43-0600',mode:absolute,to:'2017-05-02T13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23.3003</v>
      </c>
      <c r="Z72" s="192">
        <f>RIGHT(H72,LEN(H72)-4)/10000</f>
        <v>1.3899999999999999E-2</v>
      </c>
      <c r="AA72" s="192">
        <f>ABS(Z72-Y72)</f>
        <v>23.2864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0160-02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/stypes="app*4025*20170502*"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160-02 --locoid 4025 --swversion DE.1.0.9.0 --startMP 204:233003 --initTime 2017-05-02T11:52:43 --startdatetime 2017-05-02T11:56:28 --delay 1 --endMP 204:139 --enddatetime 2017-05-02T12:36:54 --enforcementcount 0 &gt;&gt;C:\Users\stu\Documents\GitHub\eaglep3-reporting\EC\2017-05-02-refined-times.txt</v>
      </c>
      <c r="AI72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{"issue":{"subject":"","project_id":79,"tracker_id":40,"status_id":1,"priority_id":2,"assigned_to_id":23,"start_date":"2017-05-02","description":"","custom_fields":[{"id":1,"name":"Subdivision","value":"EC"},{"id":4,"name":"Milepost","value":"0.0139"},{"id":17,"name":"Train ID","value":"160-02"},{"id":16,"name":"Locomotive ID","value":"4025"},{"id":130,"name":"Impact","value":""},{"id":150,"name":"Time of Event (Mountain Time)","value":"12:36:54"},{"id":151,"name":"Denver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4025 --day 2017-05-02</v>
      </c>
      <c r="AN72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700</v>
      </c>
      <c r="B73" s="7">
        <v>4010</v>
      </c>
      <c r="C73" s="21" t="s">
        <v>211</v>
      </c>
      <c r="D73" s="21" t="s">
        <v>854</v>
      </c>
      <c r="E73" s="13">
        <v>42857.46534722222</v>
      </c>
      <c r="F73" s="13">
        <v>42857.468935185185</v>
      </c>
      <c r="G73" s="7">
        <v>1</v>
      </c>
      <c r="H73" s="21" t="s">
        <v>427</v>
      </c>
      <c r="I73" s="13">
        <v>42857.493761574071</v>
      </c>
      <c r="J73" s="7">
        <v>0</v>
      </c>
      <c r="K73" s="92" t="str">
        <f>IF(ISEVEN(B73),(B73-1)&amp;"/"&amp;B73,B73&amp;"/"&amp;(B73+1))</f>
        <v>4009/4010</v>
      </c>
      <c r="L73" s="21" t="str">
        <f>VLOOKUP(A73,'Trips&amp;Operators'!$C$1:$G$99999,5,FALSE)</f>
        <v>DE LA ROSA ALEX</v>
      </c>
      <c r="M73" s="6">
        <f>I73-F73</f>
        <v>2.4826388886140194E-2</v>
      </c>
      <c r="N73" s="7">
        <f>24*60*SUM($M73:$M73)</f>
        <v>35.749999996041879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-02T10:10:06-0600',mode:absolute,to:'2017-05-02T12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4.2900000000000001E-2</v>
      </c>
      <c r="Z73" s="192">
        <f>RIGHT(H73,LEN(H73)-4)/10000</f>
        <v>23.331</v>
      </c>
      <c r="AA73" s="192">
        <f>ABS(Z73-Y73)</f>
        <v>23.2881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0161-02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/stypes="app*4010*20170502*"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161-02 --locoid 4010 --swversion DE.1.0.9.0 --startMP 204:429 --initTime 2017-05-02T11:10:06 --startdatetime 2017-05-02T11:15:16 --delay 1 --endMP 204:233310 --enddatetime 2017-05-02T11:51:01 --enforcementcount 0 &gt;&gt;C:\Users\stu\Documents\GitHub\eaglep3-reporting\EC\2017-05-02-refined-times.txt</v>
      </c>
      <c r="AI73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{"issue":{"subject":"","project_id":79,"tracker_id":40,"status_id":1,"priority_id":2,"assigned_to_id":23,"start_date":"2017-05-02","description":"","custom_fields":[{"id":1,"name":"Subdivision","value":"EC"},{"id":4,"name":"Milepost","value":"23.331"},{"id":17,"name":"Train ID","value":"161-02"},{"id":16,"name":"Locomotive ID","value":"4010"},{"id":130,"name":"Impact","value":""},{"id":150,"name":"Time of Event (Mountain Time)","value":"11:51:01"},{"id":151,"name":"Denver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4010 --day 2017-05-02</v>
      </c>
      <c r="AN73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712</v>
      </c>
      <c r="B74" s="7">
        <v>4009</v>
      </c>
      <c r="C74" s="21" t="s">
        <v>211</v>
      </c>
      <c r="D74" s="21" t="s">
        <v>546</v>
      </c>
      <c r="E74" s="13">
        <v>42857.50371527778</v>
      </c>
      <c r="F74" s="13">
        <v>42857.507847222223</v>
      </c>
      <c r="G74" s="7">
        <v>1</v>
      </c>
      <c r="H74" s="21" t="s">
        <v>544</v>
      </c>
      <c r="I74" s="13">
        <v>42857.535138888888</v>
      </c>
      <c r="J74" s="7">
        <v>0</v>
      </c>
      <c r="K74" s="92" t="str">
        <f>IF(ISEVEN(B74),(B74-1)&amp;"/"&amp;B74,B74&amp;"/"&amp;(B74+1))</f>
        <v>4009/4010</v>
      </c>
      <c r="L74" s="21" t="str">
        <f>VLOOKUP(A74,'Trips&amp;Operators'!$C$1:$G$99999,5,FALSE)</f>
        <v>DE LA ROSA ALEX</v>
      </c>
      <c r="M74" s="6">
        <f>I74-F74</f>
        <v>2.7291666665405501E-2</v>
      </c>
      <c r="N74" s="7">
        <f>24*60*SUM($M74:$M74)</f>
        <v>39.299999998183921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-02T11:05:21-0600',mode:absolute,to:'2017-05-02T13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23.299800000000001</v>
      </c>
      <c r="Z74" s="192">
        <f>RIGHT(H74,LEN(H74)-4)/10000</f>
        <v>1.47E-2</v>
      </c>
      <c r="AA74" s="192">
        <f>ABS(Z74-Y74)</f>
        <v>23.2851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0162-02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/stypes="app*4009*20170502*"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162-02 --locoid 4009 --swversion DE.1.0.9.0 --startMP 204:232998 --initTime 2017-05-02T12:05:21 --startdatetime 2017-05-02T12:11:18 --delay 1 --endMP 204:147 --enddatetime 2017-05-02T12:50:36 --enforcementcount 0 &gt;&gt;C:\Users\stu\Documents\GitHub\eaglep3-reporting\EC\2017-05-02-refined-times.txt</v>
      </c>
      <c r="AI74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ID","value":"162-02"},{"id":16,"name":"Locomotive ID","value":"4009"},{"id":130,"name":"Impact","value":""},{"id":150,"name":"Time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4009 --day 2017-05-02</v>
      </c>
      <c r="AN74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706</v>
      </c>
      <c r="B75" s="7">
        <v>4022</v>
      </c>
      <c r="C75" s="21" t="s">
        <v>211</v>
      </c>
      <c r="D75" s="21" t="s">
        <v>205</v>
      </c>
      <c r="E75" s="13">
        <v>42857.476817129631</v>
      </c>
      <c r="F75" s="13">
        <v>42857.47934027778</v>
      </c>
      <c r="G75" s="7">
        <v>1</v>
      </c>
      <c r="H75" s="21" t="s">
        <v>548</v>
      </c>
      <c r="I75" s="13">
        <v>42857.504837962966</v>
      </c>
      <c r="J75" s="7">
        <v>0</v>
      </c>
      <c r="K75" s="92" t="str">
        <f>IF(ISEVEN(B75),(B75-1)&amp;"/"&amp;B75,B75&amp;"/"&amp;(B75+1))</f>
        <v>4021/4022</v>
      </c>
      <c r="L75" s="21" t="str">
        <f>VLOOKUP(A75,'Trips&amp;Operators'!$C$1:$G$99999,5,FALSE)</f>
        <v>ZEWDU DEREJE</v>
      </c>
      <c r="M75" s="6">
        <f>I75-F75</f>
        <v>2.5497685186564922E-2</v>
      </c>
      <c r="N75" s="7">
        <f>24*60*SUM($M75:$M75)</f>
        <v>36.716666668653488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-02T10:26:37-0600',mode:absolute,to:'2017-05-02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4.5999999999999999E-2</v>
      </c>
      <c r="Z75" s="192">
        <f>RIGHT(H75,LEN(H75)-4)/10000</f>
        <v>23.330100000000002</v>
      </c>
      <c r="AA75" s="192">
        <f>ABS(Z75-Y75)</f>
        <v>23.284100000000002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0163-02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/stypes="app*4022*20170502*" /stext=" 18:.+((SYSTEM_STATE.+slice.+state.+changed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163-02 --locoid 4022 --swversion DE.1.0.9.0 --startMP 204:460 --initTime 2017-05-02T11:26:37 --startdatetime 2017-05-02T11:30:15 --delay 1 --endMP 204:233301 --enddatetime 2017-05-02T12:06:58 --enforcementcount 0 &gt;&gt;C:\Users\stu\Documents\GitHub\eaglep3-reporting\EC\2017-05-02-refined-times.txt</v>
      </c>
      <c r="AI75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{"issue":{"subject":"","project_id":79,"tracker_id":40,"status_id":1,"priority_id":2,"assigned_to_id":23,"start_date":"2017-05-02","description":"","custom_fields":[{"id":1,"name":"Subdivision","value":"EC"},{"id":4,"name":"Milepost","value":"23.3301"},{"id":17,"name":"Train ID","value":"163-02"},{"id":16,"name":"Locomotive ID","value":"4022"},{"id":130,"name":"Impact","value":""},{"id":150,"name":"Time of Event (Mountain Time)","value":"12:06:58"},{"id":151,"name":"Denver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4022 --day 2017-05-02</v>
      </c>
      <c r="AN75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599</v>
      </c>
      <c r="B76" s="7">
        <v>4021</v>
      </c>
      <c r="C76" s="21" t="s">
        <v>211</v>
      </c>
      <c r="D76" s="21" t="s">
        <v>434</v>
      </c>
      <c r="E76" s="13">
        <v>42857.506597222222</v>
      </c>
      <c r="F76" s="13">
        <v>42857.518449074072</v>
      </c>
      <c r="G76" s="7">
        <v>1</v>
      </c>
      <c r="H76" s="21" t="s">
        <v>855</v>
      </c>
      <c r="I76" s="13">
        <v>42857.547592592593</v>
      </c>
      <c r="J76" s="7">
        <v>0</v>
      </c>
      <c r="K76" s="92" t="str">
        <f>IF(ISEVEN(B76),(B76-1)&amp;"/"&amp;B76,B76&amp;"/"&amp;(B76+1))</f>
        <v>4021/4022</v>
      </c>
      <c r="L76" s="21" t="str">
        <f>VLOOKUP(A76,'Trips&amp;Operators'!$C$1:$G$99999,5,FALSE)</f>
        <v>ZEWDU DEREJE</v>
      </c>
      <c r="M76" s="6">
        <f>I76-F76</f>
        <v>2.9143518520868383E-2</v>
      </c>
      <c r="N76" s="7">
        <f>24*60*SUM($M76:$M76)</f>
        <v>41.966666670050472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-02T11:09:30-0600',mode:absolute,to:'2017-05-02T14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23.297799999999999</v>
      </c>
      <c r="Z76" s="192">
        <f>RIGHT(H76,LEN(H76)-4)/10000</f>
        <v>1.2999999999999999E-2</v>
      </c>
      <c r="AA76" s="192">
        <f>ABS(Z76-Y76)</f>
        <v>23.284799999999997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0164-02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/stypes="app*4021*20170502*" /stext=" 19:.+((SYSTEM_STATE.+slice.+state.+changed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164-02 --locoid 4021 --swversion DE.1.0.9.0 --startMP 204:232978 --initTime 2017-05-02T12:09:30 --startdatetime 2017-05-02T12:26:34 --delay 1 --endMP 204:130 --enddatetime 2017-05-02T13:08:32 --enforcementcount 0 &gt;&gt;C:\Users\stu\Documents\GitHub\eaglep3-reporting\EC\2017-05-02-refined-times.txt</v>
      </c>
      <c r="AI76" s="99" t="str">
        <f t="shared" si="5"/>
        <v>echo {"issue":{"subject":"","project_id":79,"tracker_id":40,"status_id":1,"priority_id":2,"assigned_to_id":23,"start_date":"2017-05-02","description":"","custom_fields":[{"id":1,"name":"Subdivision","value":"EC"},{"id":4,"name":"Milepost","value":"0.013"},{"id":17,"name":"Train ID","value":"164-02"},{"id":16,"name":"Locomotive ID","value":"4021"},{"id":130,"name":"Impact","value":""},{"id":150,"name":"Time of Event (Mountain Time)","value":"13:08:32"},{"id":151,"name":"Denver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4021 --day 2017-05-02</v>
      </c>
      <c r="AN76" s="154" t="str">
        <f t="shared" si="7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709</v>
      </c>
      <c r="B77" s="7">
        <v>4018</v>
      </c>
      <c r="C77" s="21" t="s">
        <v>211</v>
      </c>
      <c r="D77" s="21" t="s">
        <v>423</v>
      </c>
      <c r="E77" s="13">
        <v>42857.485752314817</v>
      </c>
      <c r="F77" s="13">
        <v>42857.489756944444</v>
      </c>
      <c r="G77" s="7">
        <v>1</v>
      </c>
      <c r="H77" s="21" t="s">
        <v>437</v>
      </c>
      <c r="I77" s="13">
        <v>42857.516469907408</v>
      </c>
      <c r="J77" s="7">
        <v>0</v>
      </c>
      <c r="K77" s="92" t="str">
        <f>IF(ISEVEN(B77),(B77-1)&amp;"/"&amp;B77,B77&amp;"/"&amp;(B77+1))</f>
        <v>4017/4018</v>
      </c>
      <c r="L77" s="21" t="str">
        <f>VLOOKUP(A77,'Trips&amp;Operators'!$C$1:$G$99999,5,FALSE)</f>
        <v>CLARK KATHLEEN</v>
      </c>
      <c r="M77" s="6">
        <f>I77-F77</f>
        <v>2.6712962964666076E-2</v>
      </c>
      <c r="N77" s="7">
        <f>24*60*SUM($M77:$M77)</f>
        <v>38.466666669119149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-02T10:39:29-0600',mode:absolute,to:'2017-05-02T13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4.6399999999999997E-2</v>
      </c>
      <c r="Z77" s="192">
        <f>RIGHT(H77,LEN(H77)-4)/10000</f>
        <v>23.329499999999999</v>
      </c>
      <c r="AA77" s="192">
        <f>ABS(Z77-Y77)</f>
        <v>23.283100000000001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0165-02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/stypes="app*4018*20170502*"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ref="AH77:AH140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165-02 --locoid 4018 --swversion DE.1.0.9.0 --startMP 204:464 --initTime 2017-05-02T11:39:29 --startdatetime 2017-05-02T11:45:15 --delay 1 --endMP 204:233295 --enddatetime 2017-05-02T12:23:43 --enforcementcount 0 &gt;&gt;C:\Users\stu\Documents\GitHub\eaglep3-reporting\EC\2017-05-02-refined-times.txt</v>
      </c>
      <c r="AI77" s="99" t="str">
        <f t="shared" ref="AI77:AI140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{"issue":{"subject":"","project_id":79,"tracker_id":40,"status_id":1,"priority_id":2,"assigned_to_id":23,"start_date":"2017-05-02","description":"","custom_fields":[{"id":1,"name":"Subdivision","value":"EC"},{"id":4,"name":"Milepost","value":"23.3295"},{"id":17,"name":"Train ID","value":"165-02"},{"id":16,"name":"Locomotive ID","value":"4018"},{"id":130,"name":"Impact","value":""},{"id":150,"name":"Time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11">"start /low /b "&amp;dls3logs&amp;" --loco "&amp;B77&amp;" --day "&amp;TEXT(F77,"YYYY-MM-DD")</f>
        <v>start /low /b %USERPROFILE%\Documents\GitHub\eaglep3\Utilities\DownloadLogsFromS3.py --loco 4018 --day 2017-05-02</v>
      </c>
      <c r="AN77" s="154" t="str">
        <f t="shared" ref="AN77:AN140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718</v>
      </c>
      <c r="B78" s="7">
        <v>4017</v>
      </c>
      <c r="C78" s="21" t="s">
        <v>211</v>
      </c>
      <c r="D78" s="21" t="s">
        <v>374</v>
      </c>
      <c r="E78" s="13">
        <v>42857.52484953704</v>
      </c>
      <c r="F78" s="13">
        <v>42857.528645833336</v>
      </c>
      <c r="G78" s="7">
        <v>1</v>
      </c>
      <c r="H78" s="21" t="s">
        <v>856</v>
      </c>
      <c r="I78" s="13">
        <v>42857.556134259263</v>
      </c>
      <c r="J78" s="7">
        <v>0</v>
      </c>
      <c r="K78" s="92" t="str">
        <f>IF(ISEVEN(B78),(B78-1)&amp;"/"&amp;B78,B78&amp;"/"&amp;(B78+1))</f>
        <v>4017/4018</v>
      </c>
      <c r="L78" s="21" t="str">
        <f>VLOOKUP(A78,'Trips&amp;Operators'!$C$1:$G$99999,5,FALSE)</f>
        <v>CLARK KATHLEEN</v>
      </c>
      <c r="M78" s="6">
        <f>I78-F78</f>
        <v>2.7488425927003846E-2</v>
      </c>
      <c r="N78" s="7">
        <f>24*60*SUM($M78:$M78)</f>
        <v>39.583333334885538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-02T11:35:47-0600',mode:absolute,to:'2017-05-02T14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23.297699999999999</v>
      </c>
      <c r="Z78" s="192">
        <f>RIGHT(H78,LEN(H78)-4)/10000</f>
        <v>1.7399999999999999E-2</v>
      </c>
      <c r="AA78" s="192">
        <f>ABS(Z78-Y78)</f>
        <v>23.2803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0166-02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/stypes="app*4017*20170502*"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9"/>
        <v>"%USERPROFILE%\Documents\GitHub\eaglep3\Utilities\RefineRTDCRunTimes.py" --tripid 166-02 --locoid 4017 --swversion DE.1.0.9.0 --startMP 204:232977 --initTime 2017-05-02T12:35:47 --startdatetime 2017-05-02T12:41:15 --delay 1 --endMP 204:174 --enddatetime 2017-05-02T13:20:50 --enforcementcount 0 &gt;&gt;C:\Users\stu\Documents\GitHub\eaglep3-reporting\EC\2017-05-02-refined-times.txt</v>
      </c>
      <c r="AI7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{"issue":{"subject":"","project_id":79,"tracker_id":40,"status_id":1,"priority_id":2,"assigned_to_id":23,"start_date":"2017-05-02","description":"","custom_fields":[{"id":1,"name":"Subdivision","value":"EC"},{"id":4,"name":"Milepost","value":"0.0174"},{"id":17,"name":"Train ID","value":"166-02"},{"id":16,"name":"Locomotive ID","value":"4017"},{"id":130,"name":"Impact","value":""},{"id":150,"name":"Time of Event (Mountain Time)","value":"13:20:50"},{"id":151,"name":"Denver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11"/>
        <v>start /low /b %USERPROFILE%\Documents\GitHub\eaglep3\Utilities\DownloadLogsFromS3.py --loco 4017 --day 2017-05-02</v>
      </c>
      <c r="AN78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711</v>
      </c>
      <c r="B79" s="7">
        <v>4044</v>
      </c>
      <c r="C79" s="21" t="s">
        <v>211</v>
      </c>
      <c r="D79" s="21" t="s">
        <v>838</v>
      </c>
      <c r="E79" s="13">
        <v>42857.497627314813</v>
      </c>
      <c r="F79" s="13">
        <v>42857.500173611108</v>
      </c>
      <c r="G79" s="7">
        <v>1</v>
      </c>
      <c r="H79" s="21" t="s">
        <v>564</v>
      </c>
      <c r="I79" s="13">
        <v>42857.524282407408</v>
      </c>
      <c r="J79" s="7">
        <v>0</v>
      </c>
      <c r="K79" s="92" t="str">
        <f>IF(ISEVEN(B79),(B79-1)&amp;"/"&amp;B79,B79&amp;"/"&amp;(B79+1))</f>
        <v>4043/4044</v>
      </c>
      <c r="L79" s="21" t="str">
        <f>VLOOKUP(A79,'Trips&amp;Operators'!$C$1:$G$99999,5,FALSE)</f>
        <v>LALONDE GREGORY</v>
      </c>
      <c r="M79" s="6">
        <f>I79-F79</f>
        <v>2.4108796300424729E-2</v>
      </c>
      <c r="N79" s="7">
        <f>24*60*SUM($M79:$M79)</f>
        <v>34.716666672611609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-02T10:56:35-0600',mode:absolute,to:'2017-05-02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4.7100000000000003E-2</v>
      </c>
      <c r="Z79" s="192">
        <f>RIGHT(H79,LEN(H79)-4)/10000</f>
        <v>23.334700000000002</v>
      </c>
      <c r="AA79" s="192">
        <f>ABS(Z79-Y79)</f>
        <v>23.287600000000001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0167-02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/stypes="app*4044*20170502*"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9"/>
        <v>"%USERPROFILE%\Documents\GitHub\eaglep3\Utilities\RefineRTDCRunTimes.py" --tripid 167-02 --locoid 4044 --swversion DE.1.0.9.0 --startMP 204:471 --initTime 2017-05-02T11:56:35 --startdatetime 2017-05-02T12:00:15 --delay 1 --endMP 204:233347 --enddatetime 2017-05-02T12:34:58 --enforcementcount 0 &gt;&gt;C:\Users\stu\Documents\GitHub\eaglep3-reporting\EC\2017-05-02-refined-times.txt</v>
      </c>
      <c r="AI7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{"issue":{"subject":"","project_id":79,"tracker_id":40,"status_id":1,"priority_id":2,"assigned_to_id":23,"start_date":"2017-05-02","description":"","custom_fields":[{"id":1,"name":"Subdivision","value":"EC"},{"id":4,"name":"Milepost","value":"23.3347"},{"id":17,"name":"Train ID","value":"167-02"},{"id":16,"name":"Locomotive ID","value":"4044"},{"id":130,"name":"Impact","value":""},{"id":150,"name":"Time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1"/>
        <v>start /low /b %USERPROFILE%\Documents\GitHub\eaglep3\Utilities\DownloadLogsFromS3.py --loco 4044 --day 2017-05-02</v>
      </c>
      <c r="AN79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720</v>
      </c>
      <c r="B80" s="7">
        <v>4043</v>
      </c>
      <c r="C80" s="21" t="s">
        <v>211</v>
      </c>
      <c r="D80" s="21" t="s">
        <v>857</v>
      </c>
      <c r="E80" s="13">
        <v>42857.526909722219</v>
      </c>
      <c r="F80" s="13">
        <v>42857.539097222223</v>
      </c>
      <c r="G80" s="7">
        <v>2</v>
      </c>
      <c r="H80" s="21" t="s">
        <v>456</v>
      </c>
      <c r="I80" s="13">
        <v>42857.565995370373</v>
      </c>
      <c r="J80" s="7">
        <v>0</v>
      </c>
      <c r="K80" s="92" t="str">
        <f>IF(ISEVEN(B80),(B80-1)&amp;"/"&amp;B80,B80&amp;"/"&amp;(B80+1))</f>
        <v>4043/4044</v>
      </c>
      <c r="L80" s="21" t="str">
        <f>VLOOKUP(A80,'Trips&amp;Operators'!$C$1:$G$99999,5,FALSE)</f>
        <v>LALONDE GREGORY</v>
      </c>
      <c r="M80" s="6">
        <f>I80-F80</f>
        <v>2.6898148149484769E-2</v>
      </c>
      <c r="N80" s="7">
        <f>24*60*SUM($M80:$M80)</f>
        <v>38.733333335258067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-02T11:38:45-0600',mode:absolute,to:'2017-05-02T14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23.302800000000001</v>
      </c>
      <c r="Z80" s="192">
        <f>RIGHT(H80,LEN(H80)-4)/10000</f>
        <v>1.61E-2</v>
      </c>
      <c r="AA80" s="192">
        <f>ABS(Z80-Y80)</f>
        <v>23.2867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>IF(LEN(A80)=6,"0"&amp;A80,A80)</f>
        <v>0168-02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/stypes="app*4043*20170502*"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9"/>
        <v>"%USERPROFILE%\Documents\GitHub\eaglep3\Utilities\RefineRTDCRunTimes.py" --tripid 168-02 --locoid 4043 --swversion DE.1.0.9.0 --startMP 204:233028 --initTime 2017-05-02T12:38:45 --startdatetime 2017-05-02T12:56:18 --delay 2 --endMP 204:161 --enddatetime 2017-05-02T13:35:02 --enforcementcount 0 &gt;&gt;C:\Users\stu\Documents\GitHub\eaglep3-reporting\EC\2017-05-02-refined-times.txt</v>
      </c>
      <c r="AI8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{"issue":{"subject":"","project_id":79,"tracker_id":40,"status_id":1,"priority_id":2,"assigned_to_id":23,"start_date":"2017-05-02","description":"","custom_fields":[{"id":1,"name":"Subdivision","value":"EC"},{"id":4,"name":"Milepost","value":"0.0161"},{"id":17,"name":"Train ID","value":"168-02"},{"id":16,"name":"Locomotive ID","value":"4043"},{"id":130,"name":"Impact","value":""},{"id":150,"name":"Time of Event (Mountain Time)","value":"13:35:02"},{"id":151,"name":"Denver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1"/>
        <v>start /low /b %USERPROFILE%\Documents\GitHub\eaglep3\Utilities\DownloadLogsFromS3.py --loco 4043 --day 2017-05-02</v>
      </c>
      <c r="AN80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713</v>
      </c>
      <c r="B81" s="7">
        <v>4004</v>
      </c>
      <c r="C81" s="21" t="s">
        <v>211</v>
      </c>
      <c r="D81" s="21" t="s">
        <v>208</v>
      </c>
      <c r="E81" s="13">
        <v>42857.506261574075</v>
      </c>
      <c r="F81" s="13">
        <v>42857.510659722226</v>
      </c>
      <c r="G81" s="7">
        <v>2</v>
      </c>
      <c r="H81" s="21" t="s">
        <v>858</v>
      </c>
      <c r="I81" s="13">
        <v>42857.535254629627</v>
      </c>
      <c r="J81" s="7">
        <v>0</v>
      </c>
      <c r="K81" s="92" t="str">
        <f>IF(ISEVEN(B81),(B81-1)&amp;"/"&amp;B81,B81&amp;"/"&amp;(B81+1))</f>
        <v>4003/4004</v>
      </c>
      <c r="L81" s="21" t="str">
        <f>VLOOKUP(A81,'Trips&amp;Operators'!$C$1:$G$99999,5,FALSE)</f>
        <v>ROMERO CHAD</v>
      </c>
      <c r="M81" s="6">
        <f>I81-F81</f>
        <v>2.4594907401478849E-2</v>
      </c>
      <c r="N81" s="7">
        <f>24*60*SUM($M81:$M81)</f>
        <v>35.416666658129543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-02T11:09:01-0600',mode:absolute,to:'2017-05-02T13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4.5499999999999999E-2</v>
      </c>
      <c r="Z81" s="192">
        <f>RIGHT(H81,LEN(H81)-4)/10000</f>
        <v>23.334599999999998</v>
      </c>
      <c r="AA81" s="192">
        <f>ABS(Z81-Y81)</f>
        <v>23.289099999999998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0169-02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/stypes="app*4004*20170502*"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9"/>
        <v>"%USERPROFILE%\Documents\GitHub\eaglep3\Utilities\RefineRTDCRunTimes.py" --tripid 169-02 --locoid 4004 --swversion DE.1.0.9.0 --startMP 204:455 --initTime 2017-05-02T12:09:01 --startdatetime 2017-05-02T12:15:21 --delay 2 --endMP 204:233346 --enddatetime 2017-05-02T12:50:46 --enforcementcount 0 &gt;&gt;C:\Users\stu\Documents\GitHub\eaglep3-reporting\EC\2017-05-02-refined-times.txt</v>
      </c>
      <c r="AI8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{"issue":{"subject":"","project_id":79,"tracker_id":40,"status_id":1,"priority_id":2,"assigned_to_id":23,"start_date":"2017-05-02","description":"","custom_fields":[{"id":1,"name":"Subdivision","value":"EC"},{"id":4,"name":"Milepost","value":"23.3346"},{"id":17,"name":"Train ID","value":"169-02"},{"id":16,"name":"Locomotive ID","value":"4004"},{"id":130,"name":"Impact","value":""},{"id":150,"name":"Time of Event (Mountain Time)","value":"12:50:46"},{"id":151,"name":"Denver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1"/>
        <v>start /low /b %USERPROFILE%\Documents\GitHub\eaglep3\Utilities\DownloadLogsFromS3.py --loco 4004 --day 2017-05-02</v>
      </c>
      <c r="AN81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722</v>
      </c>
      <c r="B82" s="7">
        <v>4003</v>
      </c>
      <c r="C82" s="21" t="s">
        <v>211</v>
      </c>
      <c r="D82" s="21" t="s">
        <v>554</v>
      </c>
      <c r="E82" s="13">
        <v>42857.536631944444</v>
      </c>
      <c r="F82" s="13">
        <v>42857.549467592595</v>
      </c>
      <c r="G82" s="7">
        <v>1</v>
      </c>
      <c r="H82" s="21" t="s">
        <v>197</v>
      </c>
      <c r="I82" s="13">
        <v>42857.575266203705</v>
      </c>
      <c r="J82" s="7">
        <v>0</v>
      </c>
      <c r="K82" s="92" t="str">
        <f>IF(ISEVEN(B82),(B82-1)&amp;"/"&amp;B82,B82&amp;"/"&amp;(B82+1))</f>
        <v>4003/4004</v>
      </c>
      <c r="L82" s="21" t="str">
        <f>VLOOKUP(A82,'Trips&amp;Operators'!$C$1:$G$99999,5,FALSE)</f>
        <v>ROMERO CHAD</v>
      </c>
      <c r="M82" s="6">
        <f>I82-F82</f>
        <v>2.5798611110076308E-2</v>
      </c>
      <c r="N82" s="7">
        <f>24*60*SUM($M82:$M82)</f>
        <v>37.149999998509884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-02T11:52:45-0600',mode:absolute,to:'2017-05-02T14:48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23.304500000000001</v>
      </c>
      <c r="Z82" s="192">
        <f>RIGHT(H82,LEN(H82)-4)/10000</f>
        <v>1.52E-2</v>
      </c>
      <c r="AA82" s="192">
        <f>ABS(Z82-Y82)</f>
        <v>23.289300000000001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0170-02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/stypes="app*4003*20170502*"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9"/>
        <v>"%USERPROFILE%\Documents\GitHub\eaglep3\Utilities\RefineRTDCRunTimes.py" --tripid 170-02 --locoid 4003 --swversion DE.1.0.9.0 --startMP 204:233045 --initTime 2017-05-02T12:52:45 --startdatetime 2017-05-02T13:11:14 --delay 1 --endMP 204:152 --enddatetime 2017-05-02T13:48:23 --enforcementcount 0 &gt;&gt;C:\Users\stu\Documents\GitHub\eaglep3-reporting\EC\2017-05-02-refined-times.txt</v>
      </c>
      <c r="AI82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ID","value":"170-02"},{"id":16,"name":"Locomotive ID","value":"4003"},{"id":130,"name":"Impact","value":""},{"id":150,"name":"Time of Event (Mountain Time)","value":"13:48:23"},{"id":151,"name":"Denver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1"/>
        <v>start /low /b %USERPROFILE%\Documents\GitHub\eaglep3\Utilities\DownloadLogsFromS3.py --loco 4003 --day 2017-05-02</v>
      </c>
      <c r="AN82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19:48:23"},{"id":29,"name":"Sharepoint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717</v>
      </c>
      <c r="B83" s="7">
        <v>4042</v>
      </c>
      <c r="C83" s="21" t="s">
        <v>211</v>
      </c>
      <c r="D83" s="21" t="s">
        <v>432</v>
      </c>
      <c r="E83" s="13">
        <v>42857.517025462963</v>
      </c>
      <c r="F83" s="13">
        <v>42857.521134259259</v>
      </c>
      <c r="G83" s="7">
        <v>1</v>
      </c>
      <c r="H83" s="21" t="s">
        <v>859</v>
      </c>
      <c r="I83" s="13">
        <v>42857.545428240737</v>
      </c>
      <c r="J83" s="7">
        <v>0</v>
      </c>
      <c r="K83" s="92" t="str">
        <f>IF(ISEVEN(B83),(B83-1)&amp;"/"&amp;B83,B83&amp;"/"&amp;(B83+1))</f>
        <v>4041/4042</v>
      </c>
      <c r="L83" s="21" t="str">
        <f>VLOOKUP(A83,'Trips&amp;Operators'!$C$1:$G$99999,5,FALSE)</f>
        <v>BIRENBAUM THOMAS</v>
      </c>
      <c r="M83" s="6">
        <f>I83-F83</f>
        <v>2.4293981477967463E-2</v>
      </c>
      <c r="N83" s="7">
        <f>24*60*SUM($M83:$M83)</f>
        <v>34.983333328273147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-02T11:24:31-0600',mode:absolute,to:'2017-05-02T14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4.53E-2</v>
      </c>
      <c r="Z83" s="192">
        <f>RIGHT(H83,LEN(H83)-4)/10000</f>
        <v>23.327400000000001</v>
      </c>
      <c r="AA83" s="192">
        <f>ABS(Z83-Y83)</f>
        <v>23.2821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0171-02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/stypes="app*4042*20170502*" /stext=" 19:.+((SYSTEM_STATE.+slice.+state.+changed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9"/>
        <v>"%USERPROFILE%\Documents\GitHub\eaglep3\Utilities\RefineRTDCRunTimes.py" --tripid 171-02 --locoid 4042 --swversion DE.1.0.9.0 --startMP 204:453 --initTime 2017-05-02T12:24:31 --startdatetime 2017-05-02T12:30:26 --delay 1 --endMP 204:233274 --enddatetime 2017-05-02T13:05:25 --enforcementcount 0 &gt;&gt;C:\Users\stu\Documents\GitHub\eaglep3-reporting\EC\2017-05-02-refined-times.txt</v>
      </c>
      <c r="AI8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{"issue":{"subject":"","project_id":79,"tracker_id":40,"status_id":1,"priority_id":2,"assigned_to_id":23,"start_date":"2017-05-02","description":"","custom_fields":[{"id":1,"name":"Subdivision","value":"EC"},{"id":4,"name":"Milepost","value":"23.3274"},{"id":17,"name":"Train ID","value":"171-02"},{"id":16,"name":"Locomotive ID","value":"4042"},{"id":130,"name":"Impact","value":""},{"id":150,"name":"Time of Event (Mountain Time)","value":"13:05:25"},{"id":151,"name":"Denver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1"/>
        <v>start /low /b %USERPROFILE%\Documents\GitHub\eaglep3\Utilities\DownloadLogsFromS3.py --loco 4042 --day 2017-05-02</v>
      </c>
      <c r="AN83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724</v>
      </c>
      <c r="B84" s="7">
        <v>4041</v>
      </c>
      <c r="C84" s="21" t="s">
        <v>211</v>
      </c>
      <c r="D84" s="21" t="s">
        <v>479</v>
      </c>
      <c r="E84" s="13">
        <v>42857.547175925924</v>
      </c>
      <c r="F84" s="13">
        <v>42857.559965277775</v>
      </c>
      <c r="G84" s="7">
        <v>2</v>
      </c>
      <c r="H84" s="21" t="s">
        <v>408</v>
      </c>
      <c r="I84" s="13">
        <v>42857.586365740739</v>
      </c>
      <c r="J84" s="7">
        <v>0</v>
      </c>
      <c r="K84" s="92" t="str">
        <f>IF(ISEVEN(B84),(B84-1)&amp;"/"&amp;B84,B84&amp;"/"&amp;(B84+1))</f>
        <v>4041/4042</v>
      </c>
      <c r="L84" s="21" t="str">
        <f>VLOOKUP(A84,'Trips&amp;Operators'!$C$1:$G$99999,5,FALSE)</f>
        <v>BIRENBAUM THOMAS</v>
      </c>
      <c r="M84" s="6">
        <f>I84-F84</f>
        <v>2.6400462964375038E-2</v>
      </c>
      <c r="N84" s="7">
        <f>24*60*SUM($M84:$M84)</f>
        <v>38.016666668700054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-02T12:07:56-0600',mode:absolute,to:'2017-05-02T15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23.2986</v>
      </c>
      <c r="Z84" s="192">
        <f>RIGHT(H84,LEN(H84)-4)/10000</f>
        <v>1.49E-2</v>
      </c>
      <c r="AA84" s="192">
        <f>ABS(Z84-Y84)</f>
        <v>23.2837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0172-02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/stypes="app*4041*20170502*" /stext=" 20:.+((SYSTEM_STATE.+slice.+state.+changed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9"/>
        <v>"%USERPROFILE%\Documents\GitHub\eaglep3\Utilities\RefineRTDCRunTimes.py" --tripid 172-02 --locoid 4041 --swversion DE.1.0.9.0 --startMP 204:232986 --initTime 2017-05-02T13:07:56 --startdatetime 2017-05-02T13:26:21 --delay 2 --endMP 204:149 --enddatetime 2017-05-02T14:04:22 --enforcementcount 0 &gt;&gt;C:\Users\stu\Documents\GitHub\eaglep3-reporting\EC\2017-05-02-refined-times.txt</v>
      </c>
      <c r="AI8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ID","value":"172-02"},{"id":16,"name":"Locomotive ID","value":"4041"},{"id":130,"name":"Impact","value":""},{"id":150,"name":"Time of Event (Mountain Time)","value":"14:04:22"},{"id":151,"name":"Denver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1"/>
        <v>start /low /b %USERPROFILE%\Documents\GitHub\eaglep3\Utilities\DownloadLogsFromS3.py --loco 4041 --day 2017-05-02</v>
      </c>
      <c r="AN84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721</v>
      </c>
      <c r="B85" s="7">
        <v>4026</v>
      </c>
      <c r="C85" s="21" t="s">
        <v>211</v>
      </c>
      <c r="D85" s="21" t="s">
        <v>390</v>
      </c>
      <c r="E85" s="13">
        <v>42857.529444444444</v>
      </c>
      <c r="F85" s="13">
        <v>42857.531504629631</v>
      </c>
      <c r="G85" s="7">
        <v>1</v>
      </c>
      <c r="H85" s="21" t="s">
        <v>493</v>
      </c>
      <c r="I85" s="13">
        <v>42857.556979166664</v>
      </c>
      <c r="J85" s="7">
        <v>0</v>
      </c>
      <c r="K85" s="92" t="str">
        <f>IF(ISEVEN(B85),(B85-1)&amp;"/"&amp;B85,B85&amp;"/"&amp;(B85+1))</f>
        <v>4025/4026</v>
      </c>
      <c r="L85" s="21" t="str">
        <f>VLOOKUP(A85,'Trips&amp;Operators'!$C$1:$G$99999,5,FALSE)</f>
        <v>DAVIS MICHAEL</v>
      </c>
      <c r="M85" s="6">
        <f>I85-F85</f>
        <v>2.5474537033005618E-2</v>
      </c>
      <c r="N85" s="7">
        <f>24*60*SUM($M85:$M85)</f>
        <v>36.683333327528089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-02T11:42:24-0600',mode:absolute,to:'2017-05-02T14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4.58E-2</v>
      </c>
      <c r="Z85" s="192">
        <f>RIGHT(H85,LEN(H85)-4)/10000</f>
        <v>23.3308</v>
      </c>
      <c r="AA85" s="192">
        <f>ABS(Z85-Y85)</f>
        <v>23.285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0173-02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/stypes="app*4026*20170502*"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9"/>
        <v>"%USERPROFILE%\Documents\GitHub\eaglep3\Utilities\RefineRTDCRunTimes.py" --tripid 173-02 --locoid 4026 --swversion DE.1.0.9.0 --startMP 204:458 --initTime 2017-05-02T12:42:24 --startdatetime 2017-05-02T12:45:22 --delay 1 --endMP 204:233308 --enddatetime 2017-05-02T13:22:03 --enforcementcount 0 &gt;&gt;C:\Users\stu\Documents\GitHub\eaglep3-reporting\EC\2017-05-02-refined-times.txt</v>
      </c>
      <c r="AI8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{"issue":{"subject":"","project_id":79,"tracker_id":40,"status_id":1,"priority_id":2,"assigned_to_id":23,"start_date":"2017-05-02","description":"","custom_fields":[{"id":1,"name":"Subdivision","value":"EC"},{"id":4,"name":"Milepost","value":"23.3308"},{"id":17,"name":"Train ID","value":"173-02"},{"id":16,"name":"Locomotive ID","value":"4026"},{"id":130,"name":"Impact","value":""},{"id":150,"name":"Time of Event (Mountain Time)","value":"13:22:03"},{"id":151,"name":"Denver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11"/>
        <v>start /low /b %USERPROFILE%\Documents\GitHub\eaglep3\Utilities\DownloadLogsFromS3.py --loco 4026 --day 2017-05-02</v>
      </c>
      <c r="AN85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728</v>
      </c>
      <c r="B86" s="7">
        <v>4025</v>
      </c>
      <c r="C86" s="21" t="s">
        <v>211</v>
      </c>
      <c r="D86" s="21" t="s">
        <v>444</v>
      </c>
      <c r="E86" s="13">
        <v>42857.567476851851</v>
      </c>
      <c r="F86" s="13">
        <v>42857.570462962962</v>
      </c>
      <c r="G86" s="7">
        <v>1</v>
      </c>
      <c r="H86" s="21" t="s">
        <v>459</v>
      </c>
      <c r="I86" s="13">
        <v>42857.597604166665</v>
      </c>
      <c r="J86" s="7">
        <v>0</v>
      </c>
      <c r="K86" s="92" t="str">
        <f>IF(ISEVEN(B86),(B86-1)&amp;"/"&amp;B86,B86&amp;"/"&amp;(B86+1))</f>
        <v>4025/4026</v>
      </c>
      <c r="L86" s="21" t="str">
        <f>VLOOKUP(A86,'Trips&amp;Operators'!$C$1:$G$99999,5,FALSE)</f>
        <v>DAVIS MICHAEL</v>
      </c>
      <c r="M86" s="6">
        <f>I86-F86</f>
        <v>2.7141203703649808E-2</v>
      </c>
      <c r="N86" s="7">
        <f>24*60*SUM($M86:$M86)</f>
        <v>39.083333333255723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-02T12:37:10-0600',mode:absolute,to:'2017-05-02T15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23.299299999999999</v>
      </c>
      <c r="Z86" s="192">
        <f>RIGHT(H86,LEN(H86)-4)/10000</f>
        <v>1.3899999999999999E-2</v>
      </c>
      <c r="AA86" s="192">
        <f>ABS(Z86-Y86)</f>
        <v>23.285399999999999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0174-02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/stypes="app*4025*20170502*"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9"/>
        <v>"%USERPROFILE%\Documents\GitHub\eaglep3\Utilities\RefineRTDCRunTimes.py" --tripid 174-02 --locoid 4025 --swversion DE.1.0.9.0 --startMP 204:232993 --initTime 2017-05-02T13:37:10 --startdatetime 2017-05-02T13:41:28 --delay 1 --endMP 204:139 --enddatetime 2017-05-02T14:20:33 --enforcementcount 0 &gt;&gt;C:\Users\stu\Documents\GitHub\eaglep3-reporting\EC\2017-05-02-refined-times.txt</v>
      </c>
      <c r="AI8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{"issue":{"subject":"","project_id":79,"tracker_id":40,"status_id":1,"priority_id":2,"assigned_to_id":23,"start_date":"2017-05-02","description":"","custom_fields":[{"id":1,"name":"Subdivision","value":"EC"},{"id":4,"name":"Milepost","value":"0.0139"},{"id":17,"name":"Train ID","value":"174-02"},{"id":16,"name":"Locomotive ID","value":"4025"},{"id":130,"name":"Impact","value":""},{"id":150,"name":"Time of Event (Mountain Time)","value":"14:20:33"},{"id":151,"name":"Denver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1"/>
        <v>start /low /b %USERPROFILE%\Documents\GitHub\eaglep3\Utilities\DownloadLogsFromS3.py --loco 4025 --day 2017-05-02</v>
      </c>
      <c r="AN86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723</v>
      </c>
      <c r="B87" s="7">
        <v>4010</v>
      </c>
      <c r="C87" s="21" t="s">
        <v>211</v>
      </c>
      <c r="D87" s="21" t="s">
        <v>455</v>
      </c>
      <c r="E87" s="13">
        <v>42857.538472222222</v>
      </c>
      <c r="F87" s="13">
        <v>42857.542002314818</v>
      </c>
      <c r="G87" s="7">
        <v>1</v>
      </c>
      <c r="H87" s="21" t="s">
        <v>831</v>
      </c>
      <c r="I87" s="13">
        <v>42857.566550925927</v>
      </c>
      <c r="J87" s="7">
        <v>0</v>
      </c>
      <c r="K87" s="92" t="str">
        <f>IF(ISEVEN(B87),(B87-1)&amp;"/"&amp;B87,B87&amp;"/"&amp;(B87+1))</f>
        <v>4009/4010</v>
      </c>
      <c r="L87" s="21" t="str">
        <f>VLOOKUP(A87,'Trips&amp;Operators'!$C$1:$G$99999,5,FALSE)</f>
        <v>DE LA ROSA ALEX</v>
      </c>
      <c r="M87" s="6">
        <f>I87-F87</f>
        <v>2.4548611108912155E-2</v>
      </c>
      <c r="N87" s="7">
        <f>24*60*SUM($M87:$M87)</f>
        <v>35.349999996833503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-02T11:55:24-0600',mode:absolute,to:'2017-05-02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4.4400000000000002E-2</v>
      </c>
      <c r="Z87" s="192">
        <f>RIGHT(H87,LEN(H87)-4)/10000</f>
        <v>23.328800000000001</v>
      </c>
      <c r="AA87" s="192">
        <f>ABS(Z87-Y87)</f>
        <v>23.284400000000002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0175-02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/stypes="app*4010*20170502*"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9"/>
        <v>"%USERPROFILE%\Documents\GitHub\eaglep3\Utilities\RefineRTDCRunTimes.py" --tripid 175-02 --locoid 4010 --swversion DE.1.0.9.0 --startMP 204:444 --initTime 2017-05-02T12:55:24 --startdatetime 2017-05-02T13:00:29 --delay 1 --endMP 204:233288 --enddatetime 2017-05-02T13:35:50 --enforcementcount 0 &gt;&gt;C:\Users\stu\Documents\GitHub\eaglep3-reporting\EC\2017-05-02-refined-times.txt</v>
      </c>
      <c r="AI8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{"issue":{"subject":"","project_id":79,"tracker_id":40,"status_id":1,"priority_id":2,"assigned_to_id":23,"start_date":"2017-05-02","description":"","custom_fields":[{"id":1,"name":"Subdivision","value":"EC"},{"id":4,"name":"Milepost","value":"23.3288"},{"id":17,"name":"Train ID","value":"175-02"},{"id":16,"name":"Locomotive ID","value":"4010"},{"id":130,"name":"Impact","value":""},{"id":150,"name":"Time of Event (Mountain Time)","value":"13:35:50"},{"id":151,"name":"Denver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11"/>
        <v>start /low /b %USERPROFILE%\Documents\GitHub\eaglep3\Utilities\DownloadLogsFromS3.py --loco 4010 --day 2017-05-02</v>
      </c>
      <c r="AN87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731</v>
      </c>
      <c r="B88" s="7">
        <v>4009</v>
      </c>
      <c r="C88" s="21" t="s">
        <v>211</v>
      </c>
      <c r="D88" s="21" t="s">
        <v>446</v>
      </c>
      <c r="E88" s="13">
        <v>42857.577233796299</v>
      </c>
      <c r="F88" s="13">
        <v>42857.580752314818</v>
      </c>
      <c r="G88" s="7">
        <v>1</v>
      </c>
      <c r="H88" s="21" t="s">
        <v>406</v>
      </c>
      <c r="I88" s="13">
        <v>42857.607685185183</v>
      </c>
      <c r="J88" s="7">
        <v>0</v>
      </c>
      <c r="K88" s="92" t="str">
        <f>IF(ISEVEN(B88),(B88-1)&amp;"/"&amp;B88,B88&amp;"/"&amp;(B88+1))</f>
        <v>4009/4010</v>
      </c>
      <c r="L88" s="21" t="str">
        <f>VLOOKUP(A88,'Trips&amp;Operators'!$C$1:$G$99999,5,FALSE)</f>
        <v>DE LA ROSA ALEX</v>
      </c>
      <c r="M88" s="6">
        <f>I88-F88</f>
        <v>2.693287036527181E-2</v>
      </c>
      <c r="N88" s="7">
        <f>24*60*SUM($M88:$M88)</f>
        <v>38.783333325991407</v>
      </c>
      <c r="O88" s="7"/>
      <c r="P88" s="7"/>
      <c r="Q88" s="22"/>
      <c r="R88" s="190"/>
      <c r="S88" s="196">
        <f>SUM(U88:U88)/IF(AG88="EC",12,1)</f>
        <v>1</v>
      </c>
      <c r="T88" s="190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-02T12:51:13-0600',mode:absolute,to:'2017-05-02T15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23.296700000000001</v>
      </c>
      <c r="Z88" s="192">
        <f>RIGHT(H88,LEN(H88)-4)/10000</f>
        <v>1.4999999999999999E-2</v>
      </c>
      <c r="AA88" s="192">
        <f>ABS(Z88-Y88)</f>
        <v>23.281700000000001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0176-02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/stypes="app*4009*20170502*"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9"/>
        <v>"%USERPROFILE%\Documents\GitHub\eaglep3\Utilities\RefineRTDCRunTimes.py" --tripid 176-02 --locoid 4009 --swversion DE.1.0.9.0 --startMP 204:232967 --initTime 2017-05-02T13:51:13 --startdatetime 2017-05-02T13:56:17 --delay 1 --endMP 204:150 --enddatetime 2017-05-02T14:35:04 --enforcementcount 0 &gt;&gt;C:\Users\stu\Documents\GitHub\eaglep3-reporting\EC\2017-05-02-refined-times.txt</v>
      </c>
      <c r="AI8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{"issue":{"subject":"","project_id":79,"tracker_id":40,"status_id":1,"priority_id":2,"assigned_to_id":23,"start_date":"2017-05-02","description":"","custom_fields":[{"id":1,"name":"Subdivision","value":"EC"},{"id":4,"name":"Milepost","value":"0.015"},{"id":17,"name":"Train ID","value":"176-02"},{"id":16,"name":"Locomotive ID","value":"4009"},{"id":130,"name":"Impact","value":""},{"id":150,"name":"Time of Event (Mountain Time)","value":"14:35:04"},{"id":151,"name":"Denver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11"/>
        <v>start /low /b %USERPROFILE%\Documents\GitHub\eaglep3\Utilities\DownloadLogsFromS3.py --loco 4009 --day 2017-05-02</v>
      </c>
      <c r="AN88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725</v>
      </c>
      <c r="B89" s="7">
        <v>4022</v>
      </c>
      <c r="C89" s="21" t="s">
        <v>211</v>
      </c>
      <c r="D89" s="21" t="s">
        <v>860</v>
      </c>
      <c r="E89" s="13">
        <v>42857.548854166664</v>
      </c>
      <c r="F89" s="13">
        <v>42857.552337962959</v>
      </c>
      <c r="G89" s="7">
        <v>1</v>
      </c>
      <c r="H89" s="21" t="s">
        <v>431</v>
      </c>
      <c r="I89" s="13">
        <v>42857.577696759261</v>
      </c>
      <c r="J89" s="7">
        <v>0</v>
      </c>
      <c r="K89" s="92" t="str">
        <f>IF(ISEVEN(B89),(B89-1)&amp;"/"&amp;B89,B89&amp;"/"&amp;(B89+1))</f>
        <v>4021/4022</v>
      </c>
      <c r="L89" s="21" t="str">
        <f>VLOOKUP(A89,'Trips&amp;Operators'!$C$1:$G$99999,5,FALSE)</f>
        <v>ZEWDU DEREJE</v>
      </c>
      <c r="M89" s="6">
        <f>I89-F89</f>
        <v>2.5358796301588882E-2</v>
      </c>
      <c r="N89" s="7">
        <f>24*60*SUM($M89:$M89)</f>
        <v>36.51666667428799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-02T12:10:21-0600',mode:absolute,to:'2017-05-02T14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4.2700000000000002E-2</v>
      </c>
      <c r="Z89" s="192">
        <f>RIGHT(H89,LEN(H89)-4)/10000</f>
        <v>23.330400000000001</v>
      </c>
      <c r="AA89" s="192">
        <f>ABS(Z89-Y89)</f>
        <v>23.287700000000001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0177-02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/stypes="app*4022*20170502*"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9"/>
        <v>"%USERPROFILE%\Documents\GitHub\eaglep3\Utilities\RefineRTDCRunTimes.py" --tripid 177-02 --locoid 4022 --swversion DE.1.0.9.0 --startMP 204:427 --initTime 2017-05-02T13:10:21 --startdatetime 2017-05-02T13:15:22 --delay 1 --endMP 204:233304 --enddatetime 2017-05-02T13:51:53 --enforcementcount 0 &gt;&gt;C:\Users\stu\Documents\GitHub\eaglep3-reporting\EC\2017-05-02-refined-times.txt</v>
      </c>
      <c r="AI8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{"issue":{"subject":"","project_id":79,"tracker_id":40,"status_id":1,"priority_id":2,"assigned_to_id":23,"start_date":"2017-05-02","description":"","custom_fields":[{"id":1,"name":"Subdivision","value":"EC"},{"id":4,"name":"Milepost","value":"23.3304"},{"id":17,"name":"Train ID","value":"177-02"},{"id":16,"name":"Locomotive ID","value":"4022"},{"id":130,"name":"Impact","value":""},{"id":150,"name":"Time of Event (Mountain Time)","value":"13:51:53"},{"id":151,"name":"Denver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1"/>
        <v>start /low /b %USERPROFILE%\Documents\GitHub\eaglep3\Utilities\DownloadLogsFromS3.py --loco 4022 --day 2017-05-02</v>
      </c>
      <c r="AN89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732</v>
      </c>
      <c r="B90" s="7">
        <v>4021</v>
      </c>
      <c r="C90" s="21" t="s">
        <v>211</v>
      </c>
      <c r="D90" s="21" t="s">
        <v>444</v>
      </c>
      <c r="E90" s="13">
        <v>42857.585138888891</v>
      </c>
      <c r="F90" s="13">
        <v>42857.591203703705</v>
      </c>
      <c r="G90" s="7">
        <v>1</v>
      </c>
      <c r="H90" s="21" t="s">
        <v>426</v>
      </c>
      <c r="I90" s="13">
        <v>42857.618263888886</v>
      </c>
      <c r="J90" s="7">
        <v>0</v>
      </c>
      <c r="K90" s="92" t="str">
        <f>IF(ISEVEN(B90),(B90-1)&amp;"/"&amp;B90,B90&amp;"/"&amp;(B90+1))</f>
        <v>4021/4022</v>
      </c>
      <c r="L90" s="21" t="str">
        <f>VLOOKUP(A90,'Trips&amp;Operators'!$C$1:$G$99999,5,FALSE)</f>
        <v>ZEWDU DEREJE</v>
      </c>
      <c r="M90" s="6">
        <f>I90-F90</f>
        <v>2.7060185180744156E-2</v>
      </c>
      <c r="N90" s="7">
        <f>24*60*SUM($M90:$M90)</f>
        <v>38.966666660271585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-02T13:02:36-0600',mode:absolute,to:'2017-05-02T15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23.299299999999999</v>
      </c>
      <c r="Z90" s="192">
        <f>RIGHT(H90,LEN(H90)-4)/10000</f>
        <v>1.5599999999999999E-2</v>
      </c>
      <c r="AA90" s="192">
        <f>ABS(Z90-Y90)</f>
        <v>23.2837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0178-02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/stypes="app*4021*20170502*"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9"/>
        <v>"%USERPROFILE%\Documents\GitHub\eaglep3\Utilities\RefineRTDCRunTimes.py" --tripid 178-02 --locoid 4021 --swversion DE.1.0.9.0 --startMP 204:232993 --initTime 2017-05-02T14:02:36 --startdatetime 2017-05-02T14:11:20 --delay 1 --endMP 204:156 --enddatetime 2017-05-02T14:50:18 --enforcementcount 0 &gt;&gt;C:\Users\stu\Documents\GitHub\eaglep3-reporting\EC\2017-05-02-refined-times.txt</v>
      </c>
      <c r="AI9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{"issue":{"subject":"","project_id":79,"tracker_id":40,"status_id":1,"priority_id":2,"assigned_to_id":23,"start_date":"2017-05-02","description":"","custom_fields":[{"id":1,"name":"Subdivision","value":"EC"},{"id":4,"name":"Milepost","value":"0.0156"},{"id":17,"name":"Train ID","value":"178-02"},{"id":16,"name":"Locomotive ID","value":"4021"},{"id":130,"name":"Impact","value":""},{"id":150,"name":"Time of Event (Mountain Time)","value":"14:50:18"},{"id":151,"name":"Denver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1"/>
        <v>start /low /b %USERPROFILE%\Documents\GitHub\eaglep3\Utilities\DownloadLogsFromS3.py --loco 4021 --day 2017-05-02</v>
      </c>
      <c r="AN90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727</v>
      </c>
      <c r="B91" s="7">
        <v>4018</v>
      </c>
      <c r="C91" s="21" t="s">
        <v>211</v>
      </c>
      <c r="D91" s="21" t="s">
        <v>414</v>
      </c>
      <c r="E91" s="13">
        <v>42857.559317129628</v>
      </c>
      <c r="F91" s="13">
        <v>42857.562662037039</v>
      </c>
      <c r="G91" s="7">
        <v>1</v>
      </c>
      <c r="H91" s="21" t="s">
        <v>429</v>
      </c>
      <c r="I91" s="13">
        <v>42857.589328703703</v>
      </c>
      <c r="J91" s="7">
        <v>0</v>
      </c>
      <c r="K91" s="92" t="str">
        <f>IF(ISEVEN(B91),(B91-1)&amp;"/"&amp;B91,B91&amp;"/"&amp;(B91+1))</f>
        <v>4017/4018</v>
      </c>
      <c r="L91" s="21" t="str">
        <f>VLOOKUP(A91,'Trips&amp;Operators'!$C$1:$G$99999,5,FALSE)</f>
        <v>CLARK KATHLEEN</v>
      </c>
      <c r="M91" s="6">
        <f>I91-F91</f>
        <v>2.6666666664823424E-2</v>
      </c>
      <c r="N91" s="7">
        <f>24*60*SUM($M91:$M91)</f>
        <v>38.399999997345731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-02T12:25:25-0600',mode:absolute,to:'2017-05-02T15:08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4.6899999999999997E-2</v>
      </c>
      <c r="Z91" s="192">
        <f>RIGHT(H91,LEN(H91)-4)/10000</f>
        <v>23.328600000000002</v>
      </c>
      <c r="AA91" s="192">
        <f>ABS(Z91-Y91)</f>
        <v>23.281700000000001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0179-02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/stypes="app*4018*20170502*" /stext=" 20:.+((SYSTEM_STATE.+slice.+state.+changed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9"/>
        <v>"%USERPROFILE%\Documents\GitHub\eaglep3\Utilities\RefineRTDCRunTimes.py" --tripid 179-02 --locoid 4018 --swversion DE.1.0.9.0 --startMP 204:469 --initTime 2017-05-02T13:25:25 --startdatetime 2017-05-02T13:30:14 --delay 1 --endMP 204:233286 --enddatetime 2017-05-02T14:08:38 --enforcementcount 0 &gt;&gt;C:\Users\stu\Documents\GitHub\eaglep3-reporting\EC\2017-05-02-refined-times.txt</v>
      </c>
      <c r="AI9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{"issue":{"subject":"","project_id":79,"tracker_id":40,"status_id":1,"priority_id":2,"assigned_to_id":23,"start_date":"2017-05-02","description":"","custom_fields":[{"id":1,"name":"Subdivision","value":"EC"},{"id":4,"name":"Milepost","value":"23.3286"},{"id":17,"name":"Train ID","value":"179-02"},{"id":16,"name":"Locomotive ID","value":"4018"},{"id":130,"name":"Impact","value":""},{"id":150,"name":"Time of Event (Mountain Time)","value":"14:08:38"},{"id":151,"name":"Denver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1"/>
        <v>start /low /b %USERPROFILE%\Documents\GitHub\eaglep3\Utilities\DownloadLogsFromS3.py --loco 4018 --day 2017-05-02</v>
      </c>
      <c r="AN91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20:08:38"},{"id":29,"name":"Sharepoint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735</v>
      </c>
      <c r="B92" s="7">
        <v>4017</v>
      </c>
      <c r="C92" s="21" t="s">
        <v>211</v>
      </c>
      <c r="D92" s="21" t="s">
        <v>374</v>
      </c>
      <c r="E92" s="13">
        <v>42857.596631944441</v>
      </c>
      <c r="F92" s="13">
        <v>42857.6015625</v>
      </c>
      <c r="G92" s="7">
        <v>1</v>
      </c>
      <c r="H92" s="21" t="s">
        <v>447</v>
      </c>
      <c r="I92" s="13">
        <v>42857.628888888888</v>
      </c>
      <c r="J92" s="7">
        <v>0</v>
      </c>
      <c r="K92" s="92" t="str">
        <f>IF(ISEVEN(B92),(B92-1)&amp;"/"&amp;B92,B92&amp;"/"&amp;(B92+1))</f>
        <v>4017/4018</v>
      </c>
      <c r="L92" s="21" t="str">
        <f>VLOOKUP(A92,'Trips&amp;Operators'!$C$1:$G$99999,5,FALSE)</f>
        <v>CLARK KATHLEEN</v>
      </c>
      <c r="M92" s="6">
        <f>I92-F92</f>
        <v>2.73263888884685E-2</v>
      </c>
      <c r="N92" s="7">
        <f>24*60*SUM($M92:$M92)</f>
        <v>39.34999999939464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-02T13:19:09-0600',mode:absolute,to:'2017-05-02T16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23.297699999999999</v>
      </c>
      <c r="Z92" s="192">
        <f>RIGHT(H92,LEN(H92)-4)/10000</f>
        <v>1.7600000000000001E-2</v>
      </c>
      <c r="AA92" s="192">
        <f>ABS(Z92-Y92)</f>
        <v>23.280099999999997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0180-02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/stypes="app*4017*20170502*" /stext=" 21:.+((SYSTEM_STATE.+slice.+state.+changed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9"/>
        <v>"%USERPROFILE%\Documents\GitHub\eaglep3\Utilities\RefineRTDCRunTimes.py" --tripid 180-02 --locoid 4017 --swversion DE.1.0.9.0 --startMP 204:232977 --initTime 2017-05-02T14:19:09 --startdatetime 2017-05-02T14:26:15 --delay 1 --endMP 204:176 --enddatetime 2017-05-02T15:05:36 --enforcementcount 0 &gt;&gt;C:\Users\stu\Documents\GitHub\eaglep3-reporting\EC\2017-05-02-refined-times.txt</v>
      </c>
      <c r="AI92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{"issue":{"subject":"","project_id":79,"tracker_id":40,"status_id":1,"priority_id":2,"assigned_to_id":23,"start_date":"2017-05-02","description":"","custom_fields":[{"id":1,"name":"Subdivision","value":"EC"},{"id":4,"name":"Milepost","value":"0.0176"},{"id":17,"name":"Train ID","value":"180-02"},{"id":16,"name":"Locomotive ID","value":"4017"},{"id":130,"name":"Impact","value":""},{"id":150,"name":"Time of Event (Mountain Time)","value":"15:05:36"},{"id":151,"name":"Denver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11"/>
        <v>start /low /b %USERPROFILE%\Documents\GitHub\eaglep3\Utilities\DownloadLogsFromS3.py --loco 4017 --day 2017-05-02</v>
      </c>
      <c r="AN92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729</v>
      </c>
      <c r="B93" s="7">
        <v>4044</v>
      </c>
      <c r="C93" s="21" t="s">
        <v>211</v>
      </c>
      <c r="D93" s="21" t="s">
        <v>861</v>
      </c>
      <c r="E93" s="13">
        <v>42857.568159722221</v>
      </c>
      <c r="F93" s="13">
        <v>42857.573125000003</v>
      </c>
      <c r="G93" s="7">
        <v>1</v>
      </c>
      <c r="H93" s="21" t="s">
        <v>862</v>
      </c>
      <c r="I93" s="13">
        <v>42857.597719907404</v>
      </c>
      <c r="J93" s="7">
        <v>0</v>
      </c>
      <c r="K93" s="92" t="str">
        <f>IF(ISEVEN(B93),(B93-1)&amp;"/"&amp;B93,B93&amp;"/"&amp;(B93+1))</f>
        <v>4043/4044</v>
      </c>
      <c r="L93" s="21" t="str">
        <f>VLOOKUP(A93,'Trips&amp;Operators'!$C$1:$G$99999,5,FALSE)</f>
        <v>LALONDE GREGORY</v>
      </c>
      <c r="M93" s="6">
        <f>I93-F93</f>
        <v>2.4594907401478849E-2</v>
      </c>
      <c r="N93" s="7">
        <f>24*60*SUM($M93:$M93)</f>
        <v>35.416666658129543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-02T12:38:09-0600',mode:absolute,to:'2017-05-02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4.1500000000000002E-2</v>
      </c>
      <c r="Z93" s="192">
        <f>RIGHT(H93,LEN(H93)-4)/10000</f>
        <v>23.336099999999998</v>
      </c>
      <c r="AA93" s="192">
        <f>ABS(Z93-Y93)</f>
        <v>23.294599999999999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0181-02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/stypes="app*4044*20170502*"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9"/>
        <v>"%USERPROFILE%\Documents\GitHub\eaglep3\Utilities\RefineRTDCRunTimes.py" --tripid 181-02 --locoid 4044 --swversion DE.1.0.9.0 --startMP 204:415 --initTime 2017-05-02T13:38:09 --startdatetime 2017-05-02T13:45:18 --delay 1 --endMP 204:233361 --enddatetime 2017-05-02T14:20:43 --enforcementcount 0 &gt;&gt;C:\Users\stu\Documents\GitHub\eaglep3-reporting\EC\2017-05-02-refined-times.txt</v>
      </c>
      <c r="AI9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{"issue":{"subject":"","project_id":79,"tracker_id":40,"status_id":1,"priority_id":2,"assigned_to_id":23,"start_date":"2017-05-02","description":"","custom_fields":[{"id":1,"name":"Subdivision","value":"EC"},{"id":4,"name":"Milepost","value":"23.3361"},{"id":17,"name":"Train ID","value":"181-02"},{"id":16,"name":"Locomotive ID","value":"4044"},{"id":130,"name":"Impact","value":""},{"id":150,"name":"Time of Event (Mountain Time)","value":"14:20:43"},{"id":151,"name":"Denver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1"/>
        <v>start /low /b %USERPROFILE%\Documents\GitHub\eaglep3\Utilities\DownloadLogsFromS3.py --loco 4044 --day 2017-05-02</v>
      </c>
      <c r="AN93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736</v>
      </c>
      <c r="B94" s="7">
        <v>4043</v>
      </c>
      <c r="C94" s="21" t="s">
        <v>211</v>
      </c>
      <c r="D94" s="21" t="s">
        <v>561</v>
      </c>
      <c r="E94" s="13">
        <v>42857.599687499998</v>
      </c>
      <c r="F94" s="13">
        <v>42857.61204861111</v>
      </c>
      <c r="G94" s="7">
        <v>0</v>
      </c>
      <c r="H94" s="21" t="s">
        <v>544</v>
      </c>
      <c r="I94" s="13">
        <v>42857.637986111113</v>
      </c>
      <c r="J94" s="7">
        <v>0</v>
      </c>
      <c r="K94" s="92" t="str">
        <f>IF(ISEVEN(B94),(B94-1)&amp;"/"&amp;B94,B94&amp;"/"&amp;(B94+1))</f>
        <v>4043/4044</v>
      </c>
      <c r="L94" s="21" t="str">
        <f>VLOOKUP(A94,'Trips&amp;Operators'!$C$1:$G$99999,5,FALSE)</f>
        <v>LALONDE GREGORY</v>
      </c>
      <c r="M94" s="6">
        <f>I94-F94</f>
        <v>2.5937500002328306E-2</v>
      </c>
      <c r="N94" s="7">
        <f>24*60*SUM($M94:$M94)</f>
        <v>37.350000003352761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-02T13:23:33-0600',mode:absolute,to:'2017-05-02T16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23.3047</v>
      </c>
      <c r="Z94" s="192">
        <f>RIGHT(H94,LEN(H94)-4)/10000</f>
        <v>1.47E-2</v>
      </c>
      <c r="AA94" s="192">
        <f>ABS(Z94-Y94)</f>
        <v>23.29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0182-02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/stypes="app*4043*20170502*"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9"/>
        <v>"%USERPROFILE%\Documents\GitHub\eaglep3\Utilities\RefineRTDCRunTimes.py" --tripid 182-02 --locoid 4043 --swversion DE.1.0.9.0 --startMP 204:233047 --initTime 2017-05-02T14:23:33 --startdatetime 2017-05-02T14:41:21 --delay 0 --endMP 204:147 --enddatetime 2017-05-02T15:18:42 --enforcementcount 0 &gt;&gt;C:\Users\stu\Documents\GitHub\eaglep3-reporting\EC\2017-05-02-refined-times.txt</v>
      </c>
      <c r="AI9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{"issue":{"subject":"","project_id":79,"tracker_id":40,"status_id":1,"priority_id":2,"assigned_to_id":23,"start_date":"2017-05-02","description":"","custom_fields":[{"id":1,"name":"Subdivision","value":"EC"},{"id":4,"name":"Milepost","value":"0.0147"},{"id":17,"name":"Train ID","value":"182-02"},{"id":16,"name":"Locomotive ID","value":"4043"},{"id":130,"name":"Impact","value":""},{"id":150,"name":"Time of Event (Mountain Time)","value":"15:18:42"},{"id":151,"name":"Denver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11"/>
        <v>start /low /b %USERPROFILE%\Documents\GitHub\eaglep3\Utilities\DownloadLogsFromS3.py --loco 4043 --day 2017-05-02</v>
      </c>
      <c r="AN94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730</v>
      </c>
      <c r="B95" s="7">
        <v>4004</v>
      </c>
      <c r="C95" s="21" t="s">
        <v>211</v>
      </c>
      <c r="D95" s="21" t="s">
        <v>838</v>
      </c>
      <c r="E95" s="13">
        <v>42857.577002314814</v>
      </c>
      <c r="F95" s="13">
        <v>42857.583622685182</v>
      </c>
      <c r="G95" s="7">
        <v>1</v>
      </c>
      <c r="H95" s="21" t="s">
        <v>491</v>
      </c>
      <c r="I95" s="13">
        <v>42857.608310185184</v>
      </c>
      <c r="J95" s="7">
        <v>0</v>
      </c>
      <c r="K95" s="92" t="str">
        <f>IF(ISEVEN(B95),(B95-1)&amp;"/"&amp;B95,B95&amp;"/"&amp;(B95+1))</f>
        <v>4003/4004</v>
      </c>
      <c r="L95" s="21" t="str">
        <f>VLOOKUP(A95,'Trips&amp;Operators'!$C$1:$G$99999,5,FALSE)</f>
        <v>ROMERO CHAD</v>
      </c>
      <c r="M95" s="6">
        <f>I95-F95</f>
        <v>2.4687500001164153E-2</v>
      </c>
      <c r="N95" s="7">
        <f>24*60*SUM($M95:$M95)</f>
        <v>35.550000001676381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-02T12:50:53-0600',mode:absolute,to:'2017-05-02T15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4.7100000000000003E-2</v>
      </c>
      <c r="Z95" s="192">
        <f>RIGHT(H95,LEN(H95)-4)/10000</f>
        <v>23.339500000000001</v>
      </c>
      <c r="AA95" s="192">
        <f>ABS(Z95-Y95)</f>
        <v>23.292400000000001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0183-02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/stypes="app*4004*20170502*"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9"/>
        <v>"%USERPROFILE%\Documents\GitHub\eaglep3\Utilities\RefineRTDCRunTimes.py" --tripid 183-02 --locoid 4004 --swversion DE.1.0.9.0 --startMP 204:471 --initTime 2017-05-02T13:50:53 --startdatetime 2017-05-02T14:00:25 --delay 1 --endMP 204:233395 --enddatetime 2017-05-02T14:35:58 --enforcementcount 0 &gt;&gt;C:\Users\stu\Documents\GitHub\eaglep3-reporting\EC\2017-05-02-refined-times.txt</v>
      </c>
      <c r="AI9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{"issue":{"subject":"","project_id":79,"tracker_id":40,"status_id":1,"priority_id":2,"assigned_to_id":23,"start_date":"2017-05-02","description":"","custom_fields":[{"id":1,"name":"Subdivision","value":"EC"},{"id":4,"name":"Milepost","value":"23.3395"},{"id":17,"name":"Train ID","value":"183-02"},{"id":16,"name":"Locomotive ID","value":"4004"},{"id":130,"name":"Impact","value":""},{"id":150,"name":"Time of Event (Mountain Time)","value":"14:35:58"},{"id":151,"name":"Denver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1"/>
        <v>start /low /b %USERPROFILE%\Documents\GitHub\eaglep3\Utilities\DownloadLogsFromS3.py --loco 4004 --day 2017-05-02</v>
      </c>
      <c r="AN95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739</v>
      </c>
      <c r="B96" s="7">
        <v>4003</v>
      </c>
      <c r="C96" s="21" t="s">
        <v>211</v>
      </c>
      <c r="D96" s="21" t="s">
        <v>863</v>
      </c>
      <c r="E96" s="13">
        <v>42857.618854166663</v>
      </c>
      <c r="F96" s="13">
        <v>42857.622372685182</v>
      </c>
      <c r="G96" s="7">
        <v>2</v>
      </c>
      <c r="H96" s="21" t="s">
        <v>480</v>
      </c>
      <c r="I96" s="13">
        <v>42857.648726851854</v>
      </c>
      <c r="J96" s="7">
        <v>0</v>
      </c>
      <c r="K96" s="92" t="str">
        <f>IF(ISEVEN(B96),(B96-1)&amp;"/"&amp;B96,B96&amp;"/"&amp;(B96+1))</f>
        <v>4003/4004</v>
      </c>
      <c r="L96" s="21" t="str">
        <f>VLOOKUP(A96,'Trips&amp;Operators'!$C$1:$G$99999,5,FALSE)</f>
        <v>ROMERO CHAD</v>
      </c>
      <c r="M96" s="6">
        <f>I96-F96</f>
        <v>2.6354166671808343E-2</v>
      </c>
      <c r="N96" s="7">
        <f>24*60*SUM($M96:$M96)</f>
        <v>37.950000007404014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-02T13:51:09-0600',mode:absolute,to:'2017-05-02T16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23.309699999999999</v>
      </c>
      <c r="Z96" s="192">
        <f>RIGHT(H96,LEN(H96)-4)/10000</f>
        <v>1.41E-2</v>
      </c>
      <c r="AA96" s="192">
        <f>ABS(Z96-Y96)</f>
        <v>23.2956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0184-02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/stypes="app*4003*20170502*"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9"/>
        <v>"%USERPROFILE%\Documents\GitHub\eaglep3\Utilities\RefineRTDCRunTimes.py" --tripid 184-02 --locoid 4003 --swversion DE.1.0.9.0 --startMP 204:233097 --initTime 2017-05-02T14:51:09 --startdatetime 2017-05-02T14:56:13 --delay 2 --endMP 204:141 --enddatetime 2017-05-02T15:34:10 --enforcementcount 0 &gt;&gt;C:\Users\stu\Documents\GitHub\eaglep3-reporting\EC\2017-05-02-refined-times.txt</v>
      </c>
      <c r="AI9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{"issue":{"subject":"","project_id":79,"tracker_id":40,"status_id":1,"priority_id":2,"assigned_to_id":23,"start_date":"2017-05-02","description":"","custom_fields":[{"id":1,"name":"Subdivision","value":"EC"},{"id":4,"name":"Milepost","value":"0.0141"},{"id":17,"name":"Train ID","value":"184-02"},{"id":16,"name":"Locomotive ID","value":"4003"},{"id":130,"name":"Impact","value":""},{"id":150,"name":"Time of Event (Mountain Time)","value":"15:34:10"},{"id":151,"name":"Denver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1"/>
        <v>start /low /b %USERPROFILE%\Documents\GitHub\eaglep3\Utilities\DownloadLogsFromS3.py --loco 4003 --day 2017-05-02</v>
      </c>
      <c r="AN96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733</v>
      </c>
      <c r="B97" s="7">
        <v>4042</v>
      </c>
      <c r="C97" s="21" t="s">
        <v>211</v>
      </c>
      <c r="D97" s="21" t="s">
        <v>205</v>
      </c>
      <c r="E97" s="13">
        <v>42857.587905092594</v>
      </c>
      <c r="F97" s="13">
        <v>42857.593969907408</v>
      </c>
      <c r="G97" s="7">
        <v>1</v>
      </c>
      <c r="H97" s="21" t="s">
        <v>424</v>
      </c>
      <c r="I97" s="13">
        <v>42857.619490740741</v>
      </c>
      <c r="J97" s="7">
        <v>0</v>
      </c>
      <c r="K97" s="92" t="str">
        <f>IF(ISEVEN(B97),(B97-1)&amp;"/"&amp;B97,B97&amp;"/"&amp;(B97+1))</f>
        <v>4041/4042</v>
      </c>
      <c r="L97" s="21" t="str">
        <f>VLOOKUP(A97,'Trips&amp;Operators'!$C$1:$G$99999,5,FALSE)</f>
        <v>BIRENBAUM THOMAS</v>
      </c>
      <c r="M97" s="6">
        <f>I97-F97</f>
        <v>2.5520833332848269E-2</v>
      </c>
      <c r="N97" s="7">
        <f>24*60*SUM($M97:$M97)</f>
        <v>36.749999999301508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-02T13:06:35-0600',mode:absolute,to:'2017-05-02T15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4.5999999999999999E-2</v>
      </c>
      <c r="Z97" s="192">
        <f>RIGHT(H97,LEN(H97)-4)/10000</f>
        <v>23.33</v>
      </c>
      <c r="AA97" s="192">
        <f>ABS(Z97-Y97)</f>
        <v>23.283999999999999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0185-02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/stypes="app*4042*20170502*"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9"/>
        <v>"%USERPROFILE%\Documents\GitHub\eaglep3\Utilities\RefineRTDCRunTimes.py" --tripid 185-02 --locoid 4042 --swversion DE.1.0.9.0 --startMP 204:460 --initTime 2017-05-02T14:06:35 --startdatetime 2017-05-02T14:15:19 --delay 1 --endMP 204:233300 --enddatetime 2017-05-02T14:52:04 --enforcementcount 0 &gt;&gt;C:\Users\stu\Documents\GitHub\eaglep3-reporting\EC\2017-05-02-refined-times.txt</v>
      </c>
      <c r="AI9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{"issue":{"subject":"","project_id":79,"tracker_id":40,"status_id":1,"priority_id":2,"assigned_to_id":23,"start_date":"2017-05-02","description":"","custom_fields":[{"id":1,"name":"Subdivision","value":"EC"},{"id":4,"name":"Milepost","value":"23.33"},{"id":17,"name":"Train ID","value":"185-02"},{"id":16,"name":"Locomotive ID","value":"4042"},{"id":130,"name":"Impact","value":""},{"id":150,"name":"Time of Event (Mountain Time)","value":"14:52:04"},{"id":151,"name":"Denver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1"/>
        <v>start /low /b %USERPROFILE%\Documents\GitHub\eaglep3\Utilities\DownloadLogsFromS3.py --loco 4042 --day 2017-05-02</v>
      </c>
      <c r="AN97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741</v>
      </c>
      <c r="B98" s="7">
        <v>4041</v>
      </c>
      <c r="C98" s="21" t="s">
        <v>211</v>
      </c>
      <c r="D98" s="21" t="s">
        <v>443</v>
      </c>
      <c r="E98" s="13">
        <v>42857.627442129633</v>
      </c>
      <c r="F98" s="13">
        <v>42857.6328125</v>
      </c>
      <c r="G98" s="7">
        <v>1</v>
      </c>
      <c r="H98" s="21" t="s">
        <v>459</v>
      </c>
      <c r="I98" s="13">
        <v>42857.659444444442</v>
      </c>
      <c r="J98" s="7">
        <v>0</v>
      </c>
      <c r="K98" s="92" t="str">
        <f>IF(ISEVEN(B98),(B98-1)&amp;"/"&amp;B98,B98&amp;"/"&amp;(B98+1))</f>
        <v>4041/4042</v>
      </c>
      <c r="L98" s="21" t="str">
        <f>VLOOKUP(A98,'Trips&amp;Operators'!$C$1:$G$99999,5,FALSE)</f>
        <v>BIRENBAUM THOMAS</v>
      </c>
      <c r="M98" s="6">
        <f>I98-F98</f>
        <v>2.6631944441760425E-2</v>
      </c>
      <c r="N98" s="7">
        <f>24*60*SUM($M98:$M98)</f>
        <v>38.349999996135011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-02T14:03:31-0600',mode:absolute,to:'2017-05-02T16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23.299600000000002</v>
      </c>
      <c r="Z98" s="192">
        <f>RIGHT(H98,LEN(H98)-4)/10000</f>
        <v>1.3899999999999999E-2</v>
      </c>
      <c r="AA98" s="192">
        <f>ABS(Z98-Y98)</f>
        <v>23.285700000000002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0186-02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/stypes="app*4041*20170502*"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9"/>
        <v>"%USERPROFILE%\Documents\GitHub\eaglep3\Utilities\RefineRTDCRunTimes.py" --tripid 186-02 --locoid 4041 --swversion DE.1.0.9.0 --startMP 204:232996 --initTime 2017-05-02T15:03:31 --startdatetime 2017-05-02T15:11:15 --delay 1 --endMP 204:139 --enddatetime 2017-05-02T15:49:36 --enforcementcount 0 &gt;&gt;C:\Users\stu\Documents\GitHub\eaglep3-reporting\EC\2017-05-02-refined-times.txt</v>
      </c>
      <c r="AI9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{"issue":{"subject":"","project_id":79,"tracker_id":40,"status_id":1,"priority_id":2,"assigned_to_id":23,"start_date":"2017-05-02","description":"","custom_fields":[{"id":1,"name":"Subdivision","value":"EC"},{"id":4,"name":"Milepost","value":"0.0139"},{"id":17,"name":"Train ID","value":"186-02"},{"id":16,"name":"Locomotive ID","value":"4041"},{"id":130,"name":"Impact","value":""},{"id":150,"name":"Time of Event (Mountain Time)","value":"15:49:36"},{"id":151,"name":"Denver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1"/>
        <v>start /low /b %USERPROFILE%\Documents\GitHub\eaglep3\Utilities\DownloadLogsFromS3.py --loco 4041 --day 2017-05-02</v>
      </c>
      <c r="AN98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737</v>
      </c>
      <c r="B99" s="7">
        <v>4026</v>
      </c>
      <c r="C99" s="21" t="s">
        <v>211</v>
      </c>
      <c r="D99" s="21" t="s">
        <v>838</v>
      </c>
      <c r="E99" s="13">
        <v>42857.6012962963</v>
      </c>
      <c r="F99" s="13">
        <v>42857.604537037034</v>
      </c>
      <c r="G99" s="7">
        <v>1</v>
      </c>
      <c r="H99" s="21" t="s">
        <v>496</v>
      </c>
      <c r="I99" s="13">
        <v>42857.630694444444</v>
      </c>
      <c r="J99" s="7">
        <v>0</v>
      </c>
      <c r="K99" s="92" t="str">
        <f>IF(ISEVEN(B99),(B99-1)&amp;"/"&amp;B99,B99&amp;"/"&amp;(B99+1))</f>
        <v>4025/4026</v>
      </c>
      <c r="L99" s="21" t="str">
        <f>VLOOKUP(A99,'Trips&amp;Operators'!$C$1:$G$99999,5,FALSE)</f>
        <v>DAVIS MICHAEL</v>
      </c>
      <c r="M99" s="6">
        <f>I99-F99</f>
        <v>2.6157407410209998E-2</v>
      </c>
      <c r="N99" s="7">
        <f>24*60*SUM($M99:$M99)</f>
        <v>37.666666670702398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-02T13:25:52-0600',mode:absolute,to:'2017-05-02T16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4.7100000000000003E-2</v>
      </c>
      <c r="Z99" s="192">
        <f>RIGHT(H99,LEN(H99)-4)/10000</f>
        <v>23.333600000000001</v>
      </c>
      <c r="AA99" s="192">
        <f>ABS(Z99-Y99)</f>
        <v>23.2865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0187-02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/stypes="app*4026*20170502*" /stext=" 21:.+((SYSTEM_STATE.+slice.+state.+changed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9"/>
        <v>"%USERPROFILE%\Documents\GitHub\eaglep3\Utilities\RefineRTDCRunTimes.py" --tripid 187-02 --locoid 4026 --swversion DE.1.0.9.0 --startMP 204:471 --initTime 2017-05-02T14:25:52 --startdatetime 2017-05-02T14:30:32 --delay 1 --endMP 204:233336 --enddatetime 2017-05-02T15:08:12 --enforcementcount 0 &gt;&gt;C:\Users\stu\Documents\GitHub\eaglep3-reporting\EC\2017-05-02-refined-times.txt</v>
      </c>
      <c r="AI9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{"issue":{"subject":"","project_id":79,"tracker_id":40,"status_id":1,"priority_id":2,"assigned_to_id":23,"start_date":"2017-05-02","description":"","custom_fields":[{"id":1,"name":"Subdivision","value":"EC"},{"id":4,"name":"Milepost","value":"23.3336"},{"id":17,"name":"Train ID","value":"187-02"},{"id":16,"name":"Locomotive ID","value":"4026"},{"id":130,"name":"Impact","value":""},{"id":150,"name":"Time of Event (Mountain Time)","value":"15:08:12"},{"id":151,"name":"Denver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11"/>
        <v>start /low /b %USERPROFILE%\Documents\GitHub\eaglep3\Utilities\DownloadLogsFromS3.py --loco 4026 --day 2017-05-02</v>
      </c>
      <c r="AN99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746</v>
      </c>
      <c r="B100" s="7">
        <v>4025</v>
      </c>
      <c r="C100" s="21" t="s">
        <v>211</v>
      </c>
      <c r="D100" s="21" t="s">
        <v>558</v>
      </c>
      <c r="E100" s="13">
        <v>42857.640439814815</v>
      </c>
      <c r="F100" s="13">
        <v>42857.643460648149</v>
      </c>
      <c r="G100" s="7">
        <v>1</v>
      </c>
      <c r="H100" s="21" t="s">
        <v>197</v>
      </c>
      <c r="I100" s="13">
        <v>42857.6721875</v>
      </c>
      <c r="J100" s="7">
        <v>0</v>
      </c>
      <c r="K100" s="92" t="str">
        <f>IF(ISEVEN(B100),(B100-1)&amp;"/"&amp;B100,B100&amp;"/"&amp;(B100+1))</f>
        <v>4025/4026</v>
      </c>
      <c r="L100" s="21" t="str">
        <f>VLOOKUP(A100,'Trips&amp;Operators'!$C$1:$G$99999,5,FALSE)</f>
        <v>DAVIS MICHAEL</v>
      </c>
      <c r="M100" s="6">
        <f>I100-F100</f>
        <v>2.8726851851388346E-2</v>
      </c>
      <c r="N100" s="7">
        <f>24*60*SUM($M100:$M100)</f>
        <v>41.366666665999219</v>
      </c>
      <c r="O100" s="7"/>
      <c r="P100" s="7"/>
      <c r="Q100" s="22"/>
      <c r="R100" s="190"/>
      <c r="S100" s="196">
        <f>SUM(U100:U100)/IF(AG100="EC",12,1)</f>
        <v>1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-02T14:22:14-0600',mode:absolute,to:'2017-05-02T17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192">
        <f>RIGHT(D100,LEN(D100)-4)/10000</f>
        <v>23.300699999999999</v>
      </c>
      <c r="Z100" s="192">
        <f>RIGHT(H100,LEN(H100)-4)/10000</f>
        <v>1.52E-2</v>
      </c>
      <c r="AA100" s="192">
        <f>ABS(Z100-Y100)</f>
        <v>23.285499999999999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0188-02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/stypes="app*4025*20170502*" /stext=" 22:.+((SYSTEM_STATE.+slice.+state.+changed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9"/>
        <v>"%USERPROFILE%\Documents\GitHub\eaglep3\Utilities\RefineRTDCRunTimes.py" --tripid 188-02 --locoid 4025 --swversion DE.1.0.9.0 --startMP 204:233007 --initTime 2017-05-02T15:22:14 --startdatetime 2017-05-02T15:26:35 --delay 1 --endMP 204:152 --enddatetime 2017-05-02T16:07:57 --enforcementcount 0 &gt;&gt;C:\Users\stu\Documents\GitHub\eaglep3-reporting\EC\2017-05-02-refined-times.txt</v>
      </c>
      <c r="AI10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ID","value":"188-02"},{"id":16,"name":"Locomotive ID","value":"4025"},{"id":130,"name":"Impact","value":""},{"id":150,"name":"Time of Event (Mountain Time)","value":"16:07:57"},{"id":151,"name":"Denver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11"/>
        <v>start /low /b %USERPROFILE%\Documents\GitHub\eaglep3\Utilities\DownloadLogsFromS3.py --loco 4025 --day 2017-05-02</v>
      </c>
      <c r="AN100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738</v>
      </c>
      <c r="B101" s="7">
        <v>4010</v>
      </c>
      <c r="C101" s="21" t="s">
        <v>211</v>
      </c>
      <c r="D101" s="21" t="s">
        <v>433</v>
      </c>
      <c r="E101" s="13">
        <v>42857.611111111109</v>
      </c>
      <c r="F101" s="13">
        <v>42857.614756944444</v>
      </c>
      <c r="G101" s="7">
        <v>1</v>
      </c>
      <c r="H101" s="21" t="s">
        <v>422</v>
      </c>
      <c r="I101" s="13">
        <v>42857.639479166668</v>
      </c>
      <c r="J101" s="7">
        <v>0</v>
      </c>
      <c r="K101" s="92" t="str">
        <f>IF(ISEVEN(B101),(B101-1)&amp;"/"&amp;B101,B101&amp;"/"&amp;(B101+1))</f>
        <v>4009/4010</v>
      </c>
      <c r="L101" s="21" t="str">
        <f>VLOOKUP(A101,'Trips&amp;Operators'!$C$1:$G$99999,5,FALSE)</f>
        <v>DE LA ROSA ALEX</v>
      </c>
      <c r="M101" s="6">
        <f>I101-F101</f>
        <v>2.4722222224227153E-2</v>
      </c>
      <c r="N101" s="7">
        <f>24*60*SUM($M101:$M101)</f>
        <v>35.6000000028871</v>
      </c>
      <c r="O101" s="7"/>
      <c r="P101" s="7"/>
      <c r="Q101" s="22"/>
      <c r="R101" s="190"/>
      <c r="S101" s="196">
        <f>SUM(U101:U101)/IF(AG101="EC",12,1)</f>
        <v>1</v>
      </c>
      <c r="T101" s="190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-02T13:40:00-0600',mode:absolute,to:'2017-05-02T16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192">
        <f>RIGHT(D101,LEN(D101)-4)/10000</f>
        <v>4.3499999999999997E-2</v>
      </c>
      <c r="Z101" s="192">
        <f>RIGHT(H101,LEN(H101)-4)/10000</f>
        <v>23.331399999999999</v>
      </c>
      <c r="AA101" s="192">
        <f>ABS(Z101-Y101)</f>
        <v>23.287899999999997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0189-02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/stypes="app*4010*20170502*"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9"/>
        <v>"%USERPROFILE%\Documents\GitHub\eaglep3\Utilities\RefineRTDCRunTimes.py" --tripid 189-02 --locoid 4010 --swversion DE.1.0.9.0 --startMP 204:435 --initTime 2017-05-02T14:40:00 --startdatetime 2017-05-02T14:45:15 --delay 1 --endMP 204:233314 --enddatetime 2017-05-02T15:20:51 --enforcementcount 0 &gt;&gt;C:\Users\stu\Documents\GitHub\eaglep3-reporting\EC\2017-05-02-refined-times.txt</v>
      </c>
      <c r="AI10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{"issue":{"subject":"","project_id":79,"tracker_id":40,"status_id":1,"priority_id":2,"assigned_to_id":23,"start_date":"2017-05-02","description":"","custom_fields":[{"id":1,"name":"Subdivision","value":"EC"},{"id":4,"name":"Milepost","value":"23.3314"},{"id":17,"name":"Train ID","value":"189-02"},{"id":16,"name":"Locomotive ID","value":"4010"},{"id":130,"name":"Impact","value":""},{"id":150,"name":"Time of Event (Mountain Time)","value":"15:20:51"},{"id":151,"name":"Denver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1"/>
        <v>start /low /b %USERPROFILE%\Documents\GitHub\eaglep3\Utilities\DownloadLogsFromS3.py --loco 4010 --day 2017-05-02</v>
      </c>
      <c r="AN101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748</v>
      </c>
      <c r="B102" s="7">
        <v>4009</v>
      </c>
      <c r="C102" s="21" t="s">
        <v>211</v>
      </c>
      <c r="D102" s="21" t="s">
        <v>562</v>
      </c>
      <c r="E102" s="13">
        <v>42857.650289351855</v>
      </c>
      <c r="F102" s="13">
        <v>42857.65121527778</v>
      </c>
      <c r="G102" s="7">
        <v>1</v>
      </c>
      <c r="H102" s="21" t="s">
        <v>386</v>
      </c>
      <c r="I102" s="13">
        <v>42857.652083333334</v>
      </c>
      <c r="J102" s="7">
        <v>0</v>
      </c>
      <c r="K102" s="92" t="str">
        <f>IF(ISEVEN(B102),(B102-1)&amp;"/"&amp;B102,B102&amp;"/"&amp;(B102+1))</f>
        <v>4009/4010</v>
      </c>
      <c r="L102" s="21" t="str">
        <f>VLOOKUP(A102,'Trips&amp;Operators'!$C$1:$G$99999,5,FALSE)</f>
        <v>DE LA ROSA ALEX</v>
      </c>
      <c r="M102" s="6">
        <f>I102-F102</f>
        <v>8.6805555474711582E-4</v>
      </c>
      <c r="N102" s="7"/>
      <c r="O102" s="7"/>
      <c r="P102" s="7">
        <f>24*60*SUM($M102:$M102)</f>
        <v>1.2499999988358468</v>
      </c>
      <c r="Q102" s="22"/>
      <c r="R102" s="190" t="s">
        <v>585</v>
      </c>
      <c r="S102" s="196">
        <f>SUM(U102:U102)/IF(AG102="EC",12,1)</f>
        <v>1</v>
      </c>
      <c r="T102" s="190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-02T14:36:25-0600',mode:absolute,to:'2017-05-02T16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23.297599999999999</v>
      </c>
      <c r="Z102" s="192">
        <f>RIGHT(H102,LEN(H102)-4)/10000</f>
        <v>1.4500000000000001E-2</v>
      </c>
      <c r="AA102" s="192">
        <f>ABS(Z102-Y102)</f>
        <v>23.283099999999997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0190-02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/stypes="app*4009*20170502*" /stext=" 21:.+((SYSTEM_STATE.+slice.+state.+changed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9"/>
        <v>"%USERPROFILE%\Documents\GitHub\eaglep3\Utilities\RefineRTDCRunTimes.py" --tripid 190-02 --locoid 4009 --swversion DE.1.0.9.0 --startMP 204:232976 --initTime 2017-05-02T15:36:25 --startdatetime 2017-05-02T15:37:45 --delay 1 --endMP 204:145 --enddatetime 2017-05-02T15:39:00 --enforcementcount 0 &gt;&gt;C:\Users\stu\Documents\GitHub\eaglep3-reporting\EC\2017-05-02-refined-times.txt</v>
      </c>
      <c r="AI102" s="99" t="str">
        <f t="shared" si="10"/>
        <v>echo {"issue":{"subject":"Onboard in-route failure","project_id":79,"tracker_id":40,"status_id":1,"priority_id":2,"assigned_to_id":23,"start_date":"2017-05-02","description":"","custom_fields":[{"id":1,"name":"Subdivision","value":"EC"},{"id":4,"name":"Milepost","value":"0.0145"},{"id":17,"name":"Train ID","value":"190-02"},{"id":16,"name":"Locomotive ID","value":"4009"},{"id":130,"name":"Impact","value":""},{"id":150,"name":"Time of Event (Mountain Time)","value":"15:39:00"},{"id":151,"name":"Denver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1"/>
        <v>start /low /b %USERPROFILE%\Documents\GitHub\eaglep3\Utilities\DownloadLogsFromS3.py --loco 4009 --day 2017-05-02</v>
      </c>
      <c r="AN102" s="154" t="str">
        <f t="shared" si="12"/>
        <v>echo {"issue":{"subject":"Onboard in-route failure","project_id":30,"tracker_id":4,"status_id":1,"priority_id":1,"assigned_to_id":10,"start_date":"2017-05-02","description":"","custom_fields":[{"id":30,"name":"Category","value":"Issue"},{"id":3,"name":"Functional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740</v>
      </c>
      <c r="B103" s="7">
        <v>4022</v>
      </c>
      <c r="C103" s="21" t="s">
        <v>211</v>
      </c>
      <c r="D103" s="21" t="s">
        <v>482</v>
      </c>
      <c r="E103" s="13">
        <v>42857.619722222225</v>
      </c>
      <c r="F103" s="13">
        <v>42857.625185185185</v>
      </c>
      <c r="G103" s="7">
        <v>1</v>
      </c>
      <c r="H103" s="21" t="s">
        <v>831</v>
      </c>
      <c r="I103" s="13">
        <v>42857.652118055557</v>
      </c>
      <c r="J103" s="7">
        <v>0</v>
      </c>
      <c r="K103" s="92" t="str">
        <f>IF(ISEVEN(B103),(B103-1)&amp;"/"&amp;B103,B103&amp;"/"&amp;(B103+1))</f>
        <v>4021/4022</v>
      </c>
      <c r="L103" s="21" t="str">
        <f>VLOOKUP(A103,'Trips&amp;Operators'!$C$1:$G$99999,5,FALSE)</f>
        <v>ZEWDU DEREJE</v>
      </c>
      <c r="M103" s="6">
        <f>I103-F103</f>
        <v>2.6932870372547768E-2</v>
      </c>
      <c r="N103" s="7">
        <f>24*60*SUM($M103:$M103)</f>
        <v>38.783333336468786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-02T13:52:24-0600',mode:absolute,to:'2017-05-02T16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4.7699999999999999E-2</v>
      </c>
      <c r="Z103" s="192">
        <f>RIGHT(H103,LEN(H103)-4)/10000</f>
        <v>23.328800000000001</v>
      </c>
      <c r="AA103" s="192">
        <f>ABS(Z103-Y103)</f>
        <v>23.281100000000002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0191-02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/stypes="app*4022*20170502*" /stext=" 21:.+((SYSTEM_STATE.+slice.+state.+changed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9"/>
        <v>"%USERPROFILE%\Documents\GitHub\eaglep3\Utilities\RefineRTDCRunTimes.py" --tripid 191-02 --locoid 4022 --swversion DE.1.0.9.0 --startMP 204:477 --initTime 2017-05-02T14:52:24 --startdatetime 2017-05-02T15:00:16 --delay 1 --endMP 204:233288 --enddatetime 2017-05-02T15:39:03 --enforcementcount 0 &gt;&gt;C:\Users\stu\Documents\GitHub\eaglep3-reporting\EC\2017-05-02-refined-times.txt</v>
      </c>
      <c r="AI10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{"issue":{"subject":"","project_id":79,"tracker_id":40,"status_id":1,"priority_id":2,"assigned_to_id":23,"start_date":"2017-05-02","description":"","custom_fields":[{"id":1,"name":"Subdivision","value":"EC"},{"id":4,"name":"Milepost","value":"23.3288"},{"id":17,"name":"Train ID","value":"191-02"},{"id":16,"name":"Locomotive ID","value":"4022"},{"id":130,"name":"Impact","value":""},{"id":150,"name":"Time of Event (Mountain Time)","value":"15:39:03"},{"id":151,"name":"Denver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1"/>
        <v>start /low /b %USERPROFILE%\Documents\GitHub\eaglep3\Utilities\DownloadLogsFromS3.py --loco 4022 --day 2017-05-02</v>
      </c>
      <c r="AN103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750</v>
      </c>
      <c r="B104" s="7">
        <v>4021</v>
      </c>
      <c r="C104" s="21" t="s">
        <v>211</v>
      </c>
      <c r="D104" s="21" t="s">
        <v>552</v>
      </c>
      <c r="E104" s="13">
        <v>42857.653645833336</v>
      </c>
      <c r="F104" s="13">
        <v>42857.664085648146</v>
      </c>
      <c r="G104" s="7">
        <v>3</v>
      </c>
      <c r="H104" s="21" t="s">
        <v>377</v>
      </c>
      <c r="I104" s="13">
        <v>42857.692604166667</v>
      </c>
      <c r="J104" s="7">
        <v>0</v>
      </c>
      <c r="K104" s="92" t="str">
        <f>IF(ISEVEN(B104),(B104-1)&amp;"/"&amp;B104,B104&amp;"/"&amp;(B104+1))</f>
        <v>4021/4022</v>
      </c>
      <c r="L104" s="21" t="str">
        <f>VLOOKUP(A104,'Trips&amp;Operators'!$C$1:$G$99999,5,FALSE)</f>
        <v>ZEWDU DEREJE</v>
      </c>
      <c r="M104" s="6">
        <f>I104-F104</f>
        <v>2.8518518520286307E-2</v>
      </c>
      <c r="N104" s="7">
        <f>24*60*SUM($M104:$M104)</f>
        <v>41.066666669212282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-02T14:41:15-0600',mode:absolute,to:'2017-05-02T17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23.296500000000002</v>
      </c>
      <c r="Z104" s="192">
        <f>RIGHT(H104,LEN(H104)-4)/10000</f>
        <v>1.38E-2</v>
      </c>
      <c r="AA104" s="192">
        <f>ABS(Z104-Y104)</f>
        <v>23.282700000000002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0192-02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/stypes="app*4021*20170502*" /stext=" 22:.+((SYSTEM_STATE.+slice.+state.+changed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9"/>
        <v>"%USERPROFILE%\Documents\GitHub\eaglep3\Utilities\RefineRTDCRunTimes.py" --tripid 192-02 --locoid 4021 --swversion DE.1.0.9.0 --startMP 204:232965 --initTime 2017-05-02T15:41:15 --startdatetime 2017-05-02T15:56:17 --delay 3 --endMP 204:138 --enddatetime 2017-05-02T16:37:21 --enforcementcount 0 &gt;&gt;C:\Users\stu\Documents\GitHub\eaglep3-reporting\EC\2017-05-02-refined-times.txt</v>
      </c>
      <c r="AI10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{"issue":{"subject":"","project_id":79,"tracker_id":40,"status_id":1,"priority_id":2,"assigned_to_id":23,"start_date":"2017-05-02","description":"","custom_fields":[{"id":1,"name":"Subdivision","value":"EC"},{"id":4,"name":"Milepost","value":"0.0138"},{"id":17,"name":"Train ID","value":"192-02"},{"id":16,"name":"Locomotive ID","value":"4021"},{"id":130,"name":"Impact","value":""},{"id":150,"name":"Time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1"/>
        <v>start /low /b %USERPROFILE%\Documents\GitHub\eaglep3\Utilities\DownloadLogsFromS3.py --loco 4021 --day 2017-05-02</v>
      </c>
      <c r="AN104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742</v>
      </c>
      <c r="B105" s="7">
        <v>4018</v>
      </c>
      <c r="C105" s="21" t="s">
        <v>211</v>
      </c>
      <c r="D105" s="21" t="s">
        <v>414</v>
      </c>
      <c r="E105" s="13">
        <v>42857.631736111114</v>
      </c>
      <c r="F105" s="13">
        <v>42857.63559027778</v>
      </c>
      <c r="G105" s="7">
        <v>1</v>
      </c>
      <c r="H105" s="21" t="s">
        <v>826</v>
      </c>
      <c r="I105" s="13">
        <v>42857.661747685182</v>
      </c>
      <c r="J105" s="7">
        <v>0</v>
      </c>
      <c r="K105" s="92" t="str">
        <f>IF(ISEVEN(B105),(B105-1)&amp;"/"&amp;B105,B105&amp;"/"&amp;(B105+1))</f>
        <v>4017/4018</v>
      </c>
      <c r="L105" s="21" t="str">
        <f>VLOOKUP(A105,'Trips&amp;Operators'!$C$1:$G$99999,5,FALSE)</f>
        <v>CLARK KATHLEEN</v>
      </c>
      <c r="M105" s="6">
        <f>I105-F105</f>
        <v>2.6157407402934041E-2</v>
      </c>
      <c r="N105" s="7">
        <f>24*60*SUM($M105:$M105)</f>
        <v>37.666666660225019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-02T14:09:42-0600',mode:absolute,to:'2017-05-02T16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4.6899999999999997E-2</v>
      </c>
      <c r="Z105" s="192">
        <f>RIGHT(H105,LEN(H105)-4)/10000</f>
        <v>23.328900000000001</v>
      </c>
      <c r="AA105" s="192">
        <f>ABS(Z105-Y105)</f>
        <v>23.282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0193-02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/stypes="app*4018*20170502*" /stext=" 21:.+((SYSTEM_STATE.+slice.+state.+changed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9"/>
        <v>"%USERPROFILE%\Documents\GitHub\eaglep3\Utilities\RefineRTDCRunTimes.py" --tripid 193-02 --locoid 4018 --swversion DE.1.0.9.0 --startMP 204:469 --initTime 2017-05-02T15:09:42 --startdatetime 2017-05-02T15:15:15 --delay 1 --endMP 204:233289 --enddatetime 2017-05-02T15:52:55 --enforcementcount 0 &gt;&gt;C:\Users\stu\Documents\GitHub\eaglep3-reporting\EC\2017-05-02-refined-times.txt</v>
      </c>
      <c r="AI10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{"issue":{"subject":"","project_id":79,"tracker_id":40,"status_id":1,"priority_id":2,"assigned_to_id":23,"start_date":"2017-05-02","description":"","custom_fields":[{"id":1,"name":"Subdivision","value":"EC"},{"id":4,"name":"Milepost","value":"23.3289"},{"id":17,"name":"Train ID","value":"193-02"},{"id":16,"name":"Locomotive ID","value":"4018"},{"id":130,"name":"Impact","value":""},{"id":150,"name":"Time of Event (Mountain Time)","value":"15:52:55"},{"id":151,"name":"Denver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1"/>
        <v>start /low /b %USERPROFILE%\Documents\GitHub\eaglep3\Utilities\DownloadLogsFromS3.py --loco 4018 --day 2017-05-02</v>
      </c>
      <c r="AN105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752</v>
      </c>
      <c r="B106" s="7">
        <v>4017</v>
      </c>
      <c r="C106" s="21" t="s">
        <v>211</v>
      </c>
      <c r="D106" s="21" t="s">
        <v>559</v>
      </c>
      <c r="E106" s="13">
        <v>42857.669560185182</v>
      </c>
      <c r="F106" s="13">
        <v>42857.674490740741</v>
      </c>
      <c r="G106" s="7">
        <v>1</v>
      </c>
      <c r="H106" s="21" t="s">
        <v>864</v>
      </c>
      <c r="I106" s="13">
        <v>42857.702002314814</v>
      </c>
      <c r="J106" s="7">
        <v>0</v>
      </c>
      <c r="K106" s="92" t="str">
        <f>IF(ISEVEN(B106),(B106-1)&amp;"/"&amp;B106,B106&amp;"/"&amp;(B106+1))</f>
        <v>4017/4018</v>
      </c>
      <c r="L106" s="21" t="str">
        <f>VLOOKUP(A106,'Trips&amp;Operators'!$C$1:$G$99999,5,FALSE)</f>
        <v>CLARK KATHLEEN</v>
      </c>
      <c r="M106" s="6">
        <f>I106-F106</f>
        <v>2.7511574073287193E-2</v>
      </c>
      <c r="N106" s="7">
        <f>24*60*SUM($M106:$M106)</f>
        <v>39.616666665533558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-02T15:04:10-0600',mode:absolute,to:'2017-05-02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23.2972</v>
      </c>
      <c r="Z106" s="192">
        <f>RIGHT(H106,LEN(H106)-4)/10000</f>
        <v>1.9800000000000002E-2</v>
      </c>
      <c r="AA106" s="192">
        <f>ABS(Z106-Y106)</f>
        <v>23.2774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0194-02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/stypes="app*4017*20170502*" /stext=" 22:.+((SYSTEM_STATE.+slice.+state.+changed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9"/>
        <v>"%USERPROFILE%\Documents\GitHub\eaglep3\Utilities\RefineRTDCRunTimes.py" --tripid 194-02 --locoid 4017 --swversion DE.1.0.9.0 --startMP 204:232972 --initTime 2017-05-02T16:04:10 --startdatetime 2017-05-02T16:11:16 --delay 1 --endMP 204:198 --enddatetime 2017-05-02T16:50:53 --enforcementcount 0 &gt;&gt;C:\Users\stu\Documents\GitHub\eaglep3-reporting\EC\2017-05-02-refined-times.txt</v>
      </c>
      <c r="AI10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{"issue":{"subject":"","project_id":79,"tracker_id":40,"status_id":1,"priority_id":2,"assigned_to_id":23,"start_date":"2017-05-02","description":"","custom_fields":[{"id":1,"name":"Subdivision","value":"EC"},{"id":4,"name":"Milepost","value":"0.0198"},{"id":17,"name":"Train ID","value":"194-02"},{"id":16,"name":"Locomotive ID","value":"4017"},{"id":130,"name":"Impact","value":""},{"id":150,"name":"Time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1"/>
        <v>start /low /b %USERPROFILE%\Documents\GitHub\eaglep3\Utilities\DownloadLogsFromS3.py --loco 4017 --day 2017-05-02</v>
      </c>
      <c r="AN106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745</v>
      </c>
      <c r="B107" s="7">
        <v>4044</v>
      </c>
      <c r="C107" s="21" t="s">
        <v>211</v>
      </c>
      <c r="D107" s="21" t="s">
        <v>413</v>
      </c>
      <c r="E107" s="13">
        <v>42857.639803240738</v>
      </c>
      <c r="F107" s="13">
        <v>42857.645972222221</v>
      </c>
      <c r="G107" s="7">
        <v>1</v>
      </c>
      <c r="H107" s="21" t="s">
        <v>865</v>
      </c>
      <c r="I107" s="13">
        <v>42857.671053240738</v>
      </c>
      <c r="J107" s="7">
        <v>0</v>
      </c>
      <c r="K107" s="92" t="str">
        <f>IF(ISEVEN(B107),(B107-1)&amp;"/"&amp;B107,B107&amp;"/"&amp;(B107+1))</f>
        <v>4043/4044</v>
      </c>
      <c r="L107" s="21" t="str">
        <f>VLOOKUP(A107,'Trips&amp;Operators'!$C$1:$G$99999,5,FALSE)</f>
        <v>LALONDE GREGORY</v>
      </c>
      <c r="M107" s="6">
        <f>I107-F107</f>
        <v>2.5081018517084885E-2</v>
      </c>
      <c r="N107" s="7">
        <f>24*60*SUM($M107:$M107)</f>
        <v>36.116666664602235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-02T14:21:19-0600',mode:absolute,to:'2017-05-02T17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4.6600000000000003E-2</v>
      </c>
      <c r="Z107" s="192">
        <f>RIGHT(H107,LEN(H107)-4)/10000</f>
        <v>23.332599999999999</v>
      </c>
      <c r="AA107" s="192">
        <f>ABS(Z107-Y107)</f>
        <v>23.285999999999998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0195-02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/stypes="app*4044*20170502*"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9"/>
        <v>"%USERPROFILE%\Documents\GitHub\eaglep3\Utilities\RefineRTDCRunTimes.py" --tripid 195-02 --locoid 4044 --swversion DE.1.0.9.0 --startMP 204:466 --initTime 2017-05-02T15:21:19 --startdatetime 2017-05-02T15:30:12 --delay 1 --endMP 204:233326 --enddatetime 2017-05-02T16:06:19 --enforcementcount 0 &gt;&gt;C:\Users\stu\Documents\GitHub\eaglep3-reporting\EC\2017-05-02-refined-times.txt</v>
      </c>
      <c r="AI10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{"issue":{"subject":"","project_id":79,"tracker_id":40,"status_id":1,"priority_id":2,"assigned_to_id":23,"start_date":"2017-05-02","description":"","custom_fields":[{"id":1,"name":"Subdivision","value":"EC"},{"id":4,"name":"Milepost","value":"23.3326"},{"id":17,"name":"Train ID","value":"195-02"},{"id":16,"name":"Locomotive ID","value":"4044"},{"id":130,"name":"Impact","value":""},{"id":150,"name":"Time of Event (Mountain Time)","value":"16:06:19"},{"id":151,"name":"Denver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1"/>
        <v>start /low /b %USERPROFILE%\Documents\GitHub\eaglep3\Utilities\DownloadLogsFromS3.py --loco 4044 --day 2017-05-02</v>
      </c>
      <c r="AN107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754</v>
      </c>
      <c r="B108" s="7">
        <v>4043</v>
      </c>
      <c r="C108" s="21" t="s">
        <v>211</v>
      </c>
      <c r="D108" s="21" t="s">
        <v>866</v>
      </c>
      <c r="E108" s="13">
        <v>42857.673888888887</v>
      </c>
      <c r="F108" s="13">
        <v>42857.684976851851</v>
      </c>
      <c r="G108" s="7">
        <v>1</v>
      </c>
      <c r="H108" s="21" t="s">
        <v>386</v>
      </c>
      <c r="I108" s="13">
        <v>42857.710451388892</v>
      </c>
      <c r="J108" s="7">
        <v>0</v>
      </c>
      <c r="K108" s="92" t="str">
        <f>IF(ISEVEN(B108),(B108-1)&amp;"/"&amp;B108,B108&amp;"/"&amp;(B108+1))</f>
        <v>4043/4044</v>
      </c>
      <c r="L108" s="21" t="str">
        <f>VLOOKUP(A108,'Trips&amp;Operators'!$C$1:$G$99999,5,FALSE)</f>
        <v>LALONDE GREGORY</v>
      </c>
      <c r="M108" s="6">
        <f>I108-F108</f>
        <v>2.5474537040281575E-2</v>
      </c>
      <c r="N108" s="7">
        <f>24*60*SUM($M108:$M108)</f>
        <v>36.683333338005468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-02T15:10:24-0600',mode:absolute,to:'2017-05-02T18:03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23.302600000000002</v>
      </c>
      <c r="Z108" s="192">
        <f>RIGHT(H108,LEN(H108)-4)/10000</f>
        <v>1.4500000000000001E-2</v>
      </c>
      <c r="AA108" s="192">
        <f>ABS(Z108-Y108)</f>
        <v>23.2881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0196-02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/stypes="app*4043*20170502*" /stext=" 23:.+((SYSTEM_STATE.+slice.+state.+changed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9"/>
        <v>"%USERPROFILE%\Documents\GitHub\eaglep3\Utilities\RefineRTDCRunTimes.py" --tripid 196-02 --locoid 4043 --swversion DE.1.0.9.0 --startMP 204:233026 --initTime 2017-05-02T16:10:24 --startdatetime 2017-05-02T16:26:22 --delay 1 --endMP 204:145 --enddatetime 2017-05-02T17:03:03 --enforcementcount 0 &gt;&gt;C:\Users\stu\Documents\GitHub\eaglep3-reporting\EC\2017-05-02-refined-times.txt</v>
      </c>
      <c r="AI10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{"issue":{"subject":"","project_id":79,"tracker_id":40,"status_id":1,"priority_id":2,"assigned_to_id":23,"start_date":"2017-05-02","description":"","custom_fields":[{"id":1,"name":"Subdivision","value":"EC"},{"id":4,"name":"Milepost","value":"0.0145"},{"id":17,"name":"Train ID","value":"196-02"},{"id":16,"name":"Locomotive ID","value":"4043"},{"id":130,"name":"Impact","value":""},{"id":150,"name":"Time of Event (Mountain Time)","value":"17:03:03"},{"id":151,"name":"Denver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1"/>
        <v>start /low /b %USERPROFILE%\Documents\GitHub\eaglep3\Utilities\DownloadLogsFromS3.py --loco 4043 --day 2017-05-02</v>
      </c>
      <c r="AN108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23:03:03"},{"id":29,"name":"Sharepoint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749</v>
      </c>
      <c r="B109" s="7">
        <v>4004</v>
      </c>
      <c r="C109" s="21" t="s">
        <v>211</v>
      </c>
      <c r="D109" s="21" t="s">
        <v>404</v>
      </c>
      <c r="E109" s="13">
        <v>42857.651504629626</v>
      </c>
      <c r="F109" s="13">
        <v>42857.656469907408</v>
      </c>
      <c r="G109" s="7">
        <v>1</v>
      </c>
      <c r="H109" s="21" t="s">
        <v>867</v>
      </c>
      <c r="I109" s="13">
        <v>42857.68068287037</v>
      </c>
      <c r="J109" s="7">
        <v>0</v>
      </c>
      <c r="K109" s="92" t="str">
        <f>IF(ISEVEN(B109),(B109-1)&amp;"/"&amp;B109,B109&amp;"/"&amp;(B109+1))</f>
        <v>4003/4004</v>
      </c>
      <c r="L109" s="21" t="str">
        <f>VLOOKUP(A109,'Trips&amp;Operators'!$C$1:$G$99999,5,FALSE)</f>
        <v>ROMERO CHAD</v>
      </c>
      <c r="M109" s="6">
        <f>I109-F109</f>
        <v>2.421296296233777E-2</v>
      </c>
      <c r="N109" s="7">
        <f>24*60*SUM($M109:$M109)</f>
        <v>34.866666665766388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-02T14:38:10-0600',mode:absolute,to:'2017-05-02T17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4.6699999999999998E-2</v>
      </c>
      <c r="Z109" s="192">
        <f>RIGHT(H109,LEN(H109)-4)/10000</f>
        <v>23.335100000000001</v>
      </c>
      <c r="AA109" s="192">
        <f>ABS(Z109-Y109)</f>
        <v>23.288399999999999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0197-02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/stypes="app*4004*20170502*"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9"/>
        <v>"%USERPROFILE%\Documents\GitHub\eaglep3\Utilities\RefineRTDCRunTimes.py" --tripid 197-02 --locoid 4004 --swversion DE.1.0.9.0 --startMP 204:467 --initTime 2017-05-02T15:38:10 --startdatetime 2017-05-02T15:45:19 --delay 1 --endMP 204:233351 --enddatetime 2017-05-02T16:20:11 --enforcementcount 0 &gt;&gt;C:\Users\stu\Documents\GitHub\eaglep3-reporting\EC\2017-05-02-refined-times.txt</v>
      </c>
      <c r="AI10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{"issue":{"subject":"","project_id":79,"tracker_id":40,"status_id":1,"priority_id":2,"assigned_to_id":23,"start_date":"2017-05-02","description":"","custom_fields":[{"id":1,"name":"Subdivision","value":"EC"},{"id":4,"name":"Milepost","value":"23.3351"},{"id":17,"name":"Train ID","value":"197-02"},{"id":16,"name":"Locomotive ID","value":"4004"},{"id":130,"name":"Impact","value":""},{"id":150,"name":"Time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1"/>
        <v>start /low /b %USERPROFILE%\Documents\GitHub\eaglep3\Utilities\DownloadLogsFromS3.py --loco 4004 --day 2017-05-02</v>
      </c>
      <c r="AN109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759</v>
      </c>
      <c r="B110" s="7">
        <v>4003</v>
      </c>
      <c r="C110" s="21" t="s">
        <v>211</v>
      </c>
      <c r="D110" s="21" t="s">
        <v>868</v>
      </c>
      <c r="E110" s="13">
        <v>42857.691608796296</v>
      </c>
      <c r="F110" s="13">
        <v>42857.695289351854</v>
      </c>
      <c r="G110" s="7">
        <v>1</v>
      </c>
      <c r="H110" s="21" t="s">
        <v>203</v>
      </c>
      <c r="I110" s="13">
        <v>42857.721643518518</v>
      </c>
      <c r="J110" s="7">
        <v>0</v>
      </c>
      <c r="K110" s="92" t="str">
        <f>IF(ISEVEN(B110),(B110-1)&amp;"/"&amp;B110,B110&amp;"/"&amp;(B110+1))</f>
        <v>4003/4004</v>
      </c>
      <c r="L110" s="21" t="str">
        <f>VLOOKUP(A110,'Trips&amp;Operators'!$C$1:$G$99999,5,FALSE)</f>
        <v>ROMERO CHAD</v>
      </c>
      <c r="M110" s="6">
        <f>I110-F110</f>
        <v>2.6354166664532386E-2</v>
      </c>
      <c r="N110" s="7">
        <f>24*60*SUM($M110:$M110)</f>
        <v>37.949999996926636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-02T15:35:55-0600',mode:absolute,to:'2017-05-02T18:19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23.3079</v>
      </c>
      <c r="Z110" s="192">
        <f>RIGHT(H110,LEN(H110)-4)/10000</f>
        <v>1.54E-2</v>
      </c>
      <c r="AA110" s="192">
        <f>ABS(Z110-Y110)</f>
        <v>23.2925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0198-02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/stypes="app*4003*20170502*" /stext=" 23:.+((SYSTEM_STATE.+slice.+state.+changed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9"/>
        <v>"%USERPROFILE%\Documents\GitHub\eaglep3\Utilities\RefineRTDCRunTimes.py" --tripid 198-02 --locoid 4003 --swversion DE.1.0.9.0 --startMP 204:233079 --initTime 2017-05-02T16:35:55 --startdatetime 2017-05-02T16:41:13 --delay 1 --endMP 204:154 --enddatetime 2017-05-02T17:19:10 --enforcementcount 0 &gt;&gt;C:\Users\stu\Documents\GitHub\eaglep3-reporting\EC\2017-05-02-refined-times.txt</v>
      </c>
      <c r="AI11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{"issue":{"subject":"","project_id":79,"tracker_id":40,"status_id":1,"priority_id":2,"assigned_to_id":23,"start_date":"2017-05-02","description":"","custom_fields":[{"id":1,"name":"Subdivision","value":"EC"},{"id":4,"name":"Milepost","value":"0.0154"},{"id":17,"name":"Train ID","value":"198-02"},{"id":16,"name":"Locomotive ID","value":"4003"},{"id":130,"name":"Impact","value":""},{"id":150,"name":"Time of Event (Mountain Time)","value":"17:19:10"},{"id":151,"name":"Denver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1"/>
        <v>start /low /b %USERPROFILE%\Documents\GitHub\eaglep3\Utilities\DownloadLogsFromS3.py --loco 4003 --day 2017-05-02</v>
      </c>
      <c r="AN110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23:19:10"},{"id":29,"name":"Sharepoint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751</v>
      </c>
      <c r="B111" s="7">
        <v>4042</v>
      </c>
      <c r="C111" s="21" t="s">
        <v>211</v>
      </c>
      <c r="D111" s="21" t="s">
        <v>208</v>
      </c>
      <c r="E111" s="13">
        <v>42857.663090277776</v>
      </c>
      <c r="F111" s="13">
        <v>42857.66684027778</v>
      </c>
      <c r="G111" s="7">
        <v>2</v>
      </c>
      <c r="H111" s="21" t="s">
        <v>869</v>
      </c>
      <c r="I111" s="13">
        <v>42857.692002314812</v>
      </c>
      <c r="J111" s="7">
        <v>0</v>
      </c>
      <c r="K111" s="92" t="str">
        <f>IF(ISEVEN(B111),(B111-1)&amp;"/"&amp;B111,B111&amp;"/"&amp;(B111+1))</f>
        <v>4041/4042</v>
      </c>
      <c r="L111" s="21" t="str">
        <f>VLOOKUP(A111,'Trips&amp;Operators'!$C$1:$G$99999,5,FALSE)</f>
        <v>BIRENBAUM THOMAS</v>
      </c>
      <c r="M111" s="6">
        <f>I111-F111</f>
        <v>2.5162037032714579E-2</v>
      </c>
      <c r="N111" s="7">
        <f>24*60*SUM($M111:$M111)</f>
        <v>36.233333327108994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-02T14:54:51-0600',mode:absolute,to:'2017-05-02T17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4.5499999999999999E-2</v>
      </c>
      <c r="Z111" s="192">
        <f>RIGHT(H111,LEN(H111)-4)/10000</f>
        <v>23.325900000000001</v>
      </c>
      <c r="AA111" s="192">
        <f>ABS(Z111-Y111)</f>
        <v>23.2804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0199-02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/stypes="app*4042*20170502*" /stext=" 22:.+((SYSTEM_STATE.+slice.+state.+changed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9"/>
        <v>"%USERPROFILE%\Documents\GitHub\eaglep3\Utilities\RefineRTDCRunTimes.py" --tripid 199-02 --locoid 4042 --swversion DE.1.0.9.0 --startMP 204:455 --initTime 2017-05-02T15:54:51 --startdatetime 2017-05-02T16:00:15 --delay 2 --endMP 204:233259 --enddatetime 2017-05-02T16:36:29 --enforcementcount 0 &gt;&gt;C:\Users\stu\Documents\GitHub\eaglep3-reporting\EC\2017-05-02-refined-times.txt</v>
      </c>
      <c r="AI11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{"issue":{"subject":"","project_id":79,"tracker_id":40,"status_id":1,"priority_id":2,"assigned_to_id":23,"start_date":"2017-05-02","description":"","custom_fields":[{"id":1,"name":"Subdivision","value":"EC"},{"id":4,"name":"Milepost","value":"23.3259"},{"id":17,"name":"Train ID","value":"199-02"},{"id":16,"name":"Locomotive ID","value":"4042"},{"id":130,"name":"Impact","value":""},{"id":150,"name":"Time of Event (Mountain Time)","value":"16:36:29"},{"id":151,"name":"Denver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1"/>
        <v>start /low /b %USERPROFILE%\Documents\GitHub\eaglep3\Utilities\DownloadLogsFromS3.py --loco 4042 --day 2017-05-02</v>
      </c>
      <c r="AN111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761</v>
      </c>
      <c r="B112" s="7">
        <v>4041</v>
      </c>
      <c r="C112" s="21" t="s">
        <v>211</v>
      </c>
      <c r="D112" s="21" t="s">
        <v>479</v>
      </c>
      <c r="E112" s="13">
        <v>42857.702534722222</v>
      </c>
      <c r="F112" s="13">
        <v>42857.705810185187</v>
      </c>
      <c r="G112" s="7">
        <v>1</v>
      </c>
      <c r="H112" s="21" t="s">
        <v>478</v>
      </c>
      <c r="I112" s="13">
        <v>42857.732233796298</v>
      </c>
      <c r="J112" s="7">
        <v>0</v>
      </c>
      <c r="K112" s="92" t="str">
        <f>IF(ISEVEN(B112),(B112-1)&amp;"/"&amp;B112,B112&amp;"/"&amp;(B112+1))</f>
        <v>4041/4042</v>
      </c>
      <c r="L112" s="21" t="str">
        <f>VLOOKUP(A112,'Trips&amp;Operators'!$C$1:$G$99999,5,FALSE)</f>
        <v>BIRENBAUM THOMAS</v>
      </c>
      <c r="M112" s="6">
        <f>I112-F112</f>
        <v>2.6423611110658385E-2</v>
      </c>
      <c r="N112" s="7">
        <f>24*60*SUM($M112:$M112)</f>
        <v>38.049999999348074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-02T15:51:39-0600',mode:absolute,to:'2017-05-02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23.2986</v>
      </c>
      <c r="Z112" s="192">
        <f>RIGHT(H112,LEN(H112)-4)/10000</f>
        <v>1.6500000000000001E-2</v>
      </c>
      <c r="AA112" s="192">
        <f>ABS(Z112-Y112)</f>
        <v>23.2821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0200-02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/stypes="app*4041*20170502*" /stext=" 23:.+((SYSTEM_STATE.+slice.+state.+changed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9"/>
        <v>"%USERPROFILE%\Documents\GitHub\eaglep3\Utilities\RefineRTDCRunTimes.py" --tripid 200-02 --locoid 4041 --swversion DE.1.0.9.0 --startMP 204:232986 --initTime 2017-05-02T16:51:39 --startdatetime 2017-05-02T16:56:22 --delay 1 --endMP 204:165 --enddatetime 2017-05-02T17:34:25 --enforcementcount 0 &gt;&gt;C:\Users\stu\Documents\GitHub\eaglep3-reporting\EC\2017-05-02-refined-times.txt</v>
      </c>
      <c r="AI112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{"issue":{"subject":"","project_id":79,"tracker_id":40,"status_id":1,"priority_id":2,"assigned_to_id":23,"start_date":"2017-05-02","description":"","custom_fields":[{"id":1,"name":"Subdivision","value":"EC"},{"id":4,"name":"Milepost","value":"0.0165"},{"id":17,"name":"Train ID","value":"200-02"},{"id":16,"name":"Locomotive ID","value":"4041"},{"id":130,"name":"Impact","value":""},{"id":150,"name":"Time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1"/>
        <v>start /low /b %USERPROFILE%\Documents\GitHub\eaglep3\Utilities\DownloadLogsFromS3.py --loco 4041 --day 2017-05-02</v>
      </c>
      <c r="AN112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755</v>
      </c>
      <c r="B113" s="7">
        <v>4026</v>
      </c>
      <c r="C113" s="21" t="s">
        <v>211</v>
      </c>
      <c r="D113" s="21" t="s">
        <v>455</v>
      </c>
      <c r="E113" s="13">
        <v>42857.674027777779</v>
      </c>
      <c r="F113" s="13">
        <v>42857.677361111113</v>
      </c>
      <c r="G113" s="7">
        <v>1</v>
      </c>
      <c r="H113" s="21" t="s">
        <v>565</v>
      </c>
      <c r="I113" s="13">
        <v>42857.702893518515</v>
      </c>
      <c r="J113" s="7">
        <v>0</v>
      </c>
      <c r="K113" s="92" t="str">
        <f>IF(ISEVEN(B113),(B113-1)&amp;"/"&amp;B113,B113&amp;"/"&amp;(B113+1))</f>
        <v>4025/4026</v>
      </c>
      <c r="L113" s="21" t="str">
        <f>VLOOKUP(A113,'Trips&amp;Operators'!$C$1:$G$99999,5,FALSE)</f>
        <v>DAVIS MICHAEL</v>
      </c>
      <c r="M113" s="6">
        <f>I113-F113</f>
        <v>2.5532407402351964E-2</v>
      </c>
      <c r="N113" s="7">
        <f>24*60*SUM($M113:$M113)</f>
        <v>36.766666659386829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-02T15:10:36-0600',mode:absolute,to:'2017-05-02T17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4.4400000000000002E-2</v>
      </c>
      <c r="Z113" s="192">
        <f>RIGHT(H113,LEN(H113)-4)/10000</f>
        <v>23.330200000000001</v>
      </c>
      <c r="AA113" s="192">
        <f>ABS(Z113-Y113)</f>
        <v>23.285800000000002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0201-02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/stypes="app*4026*20170502*" /stext=" 22:.+((SYSTEM_STATE.+slice.+state.+changed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9"/>
        <v>"%USERPROFILE%\Documents\GitHub\eaglep3\Utilities\RefineRTDCRunTimes.py" --tripid 201-02 --locoid 4026 --swversion DE.1.0.9.0 --startMP 204:444 --initTime 2017-05-02T16:10:36 --startdatetime 2017-05-02T16:15:24 --delay 1 --endMP 204:233302 --enddatetime 2017-05-02T16:52:10 --enforcementcount 0 &gt;&gt;C:\Users\stu\Documents\GitHub\eaglep3-reporting\EC\2017-05-02-refined-times.txt</v>
      </c>
      <c r="AI11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{"issue":{"subject":"","project_id":79,"tracker_id":40,"status_id":1,"priority_id":2,"assigned_to_id":23,"start_date":"2017-05-02","description":"","custom_fields":[{"id":1,"name":"Subdivision","value":"EC"},{"id":4,"name":"Milepost","value":"23.3302"},{"id":17,"name":"Train ID","value":"201-02"},{"id":16,"name":"Locomotive ID","value":"4026"},{"id":130,"name":"Impact","value":""},{"id":150,"name":"Time of Event (Mountain Time)","value":"16:52:10"},{"id":151,"name":"Denver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1"/>
        <v>start /low /b %USERPROFILE%\Documents\GitHub\eaglep3\Utilities\DownloadLogsFromS3.py --loco 4026 --day 2017-05-02</v>
      </c>
      <c r="AN113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763</v>
      </c>
      <c r="B114" s="7">
        <v>4025</v>
      </c>
      <c r="C114" s="21" t="s">
        <v>211</v>
      </c>
      <c r="D114" s="21" t="s">
        <v>845</v>
      </c>
      <c r="E114" s="13">
        <v>42857.713425925926</v>
      </c>
      <c r="F114" s="13">
        <v>42857.716331018521</v>
      </c>
      <c r="G114" s="7">
        <v>1</v>
      </c>
      <c r="H114" s="21" t="s">
        <v>408</v>
      </c>
      <c r="I114" s="13">
        <v>42857.744537037041</v>
      </c>
      <c r="J114" s="7">
        <v>0</v>
      </c>
      <c r="K114" s="92" t="str">
        <f>IF(ISEVEN(B114),(B114-1)&amp;"/"&amp;B114,B114&amp;"/"&amp;(B114+1))</f>
        <v>4025/4026</v>
      </c>
      <c r="L114" s="21" t="str">
        <f>VLOOKUP(A114,'Trips&amp;Operators'!$C$1:$G$99999,5,FALSE)</f>
        <v>DAVIS MICHAEL</v>
      </c>
      <c r="M114" s="6">
        <f>I114-F114</f>
        <v>2.8206018519995268E-2</v>
      </c>
      <c r="N114" s="7">
        <f>24*60*SUM($M114:$M114)</f>
        <v>40.616666668793187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-02T16:07:20-0600',mode:absolute,to:'2017-05-02T18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23.2989</v>
      </c>
      <c r="Z114" s="192">
        <f>RIGHT(H114,LEN(H114)-4)/10000</f>
        <v>1.49E-2</v>
      </c>
      <c r="AA114" s="192">
        <f>ABS(Z114-Y114)</f>
        <v>23.283999999999999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0202-02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/stypes="app*4025*20170502*" /stext=" 23:.+((SYSTEM_STATE.+slice.+state.+changed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9"/>
        <v>"%USERPROFILE%\Documents\GitHub\eaglep3\Utilities\RefineRTDCRunTimes.py" --tripid 202-02 --locoid 4025 --swversion DE.1.0.9.0 --startMP 204:232989 --initTime 2017-05-02T17:07:20 --startdatetime 2017-05-02T17:11:31 --delay 1 --endMP 204:149 --enddatetime 2017-05-02T17:52:08 --enforcementcount 0 &gt;&gt;C:\Users\stu\Documents\GitHub\eaglep3-reporting\EC\2017-05-02-refined-times.txt</v>
      </c>
      <c r="AI11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ID","value":"202-02"},{"id":16,"name":"Locomotive ID","value":"4025"},{"id":130,"name":"Impact","value":""},{"id":150,"name":"Time of Event (Mountain Time)","value":"17:52:08"},{"id":151,"name":"Denver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1"/>
        <v>start /low /b %USERPROFILE%\Documents\GitHub\eaglep3\Utilities\DownloadLogsFromS3.py --loco 4025 --day 2017-05-02</v>
      </c>
      <c r="AN114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757</v>
      </c>
      <c r="B115" s="7">
        <v>4010</v>
      </c>
      <c r="C115" s="21" t="s">
        <v>211</v>
      </c>
      <c r="D115" s="21" t="s">
        <v>828</v>
      </c>
      <c r="E115" s="13">
        <v>42857.683171296296</v>
      </c>
      <c r="F115" s="13">
        <v>42857.687881944446</v>
      </c>
      <c r="G115" s="7">
        <v>1</v>
      </c>
      <c r="H115" s="21" t="s">
        <v>553</v>
      </c>
      <c r="I115" s="13">
        <v>42857.712777777779</v>
      </c>
      <c r="J115" s="7">
        <v>0</v>
      </c>
      <c r="K115" s="92" t="str">
        <f>IF(ISEVEN(B115),(B115-1)&amp;"/"&amp;B115,B115&amp;"/"&amp;(B115+1))</f>
        <v>4009/4010</v>
      </c>
      <c r="L115" s="21" t="str">
        <f>VLOOKUP(A115,'Trips&amp;Operators'!$C$1:$G$99999,5,FALSE)</f>
        <v>DE LA ROSA ALEX</v>
      </c>
      <c r="M115" s="6">
        <f>I115-F115</f>
        <v>2.4895833332266193E-2</v>
      </c>
      <c r="N115" s="7">
        <f>24*60*SUM($M115:$M115)</f>
        <v>35.849999998463318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-02T15:23:46-0600',mode:absolute,to:'2017-05-02T18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4.4200000000000003E-2</v>
      </c>
      <c r="Z115" s="192">
        <f>RIGHT(H115,LEN(H115)-4)/10000</f>
        <v>23.330500000000001</v>
      </c>
      <c r="AA115" s="192">
        <f>ABS(Z115-Y115)</f>
        <v>23.286300000000001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0203-02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/stypes="app*4010*20170502*"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9"/>
        <v>"%USERPROFILE%\Documents\GitHub\eaglep3\Utilities\RefineRTDCRunTimes.py" --tripid 203-02 --locoid 4010 --swversion DE.1.0.9.0 --startMP 204:442 --initTime 2017-05-02T16:23:46 --startdatetime 2017-05-02T16:30:33 --delay 1 --endMP 204:233305 --enddatetime 2017-05-02T17:06:24 --enforcementcount 0 &gt;&gt;C:\Users\stu\Documents\GitHub\eaglep3-reporting\EC\2017-05-02-refined-times.txt</v>
      </c>
      <c r="AI11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{"issue":{"subject":"","project_id":79,"tracker_id":40,"status_id":1,"priority_id":2,"assigned_to_id":23,"start_date":"2017-05-02","description":"","custom_fields":[{"id":1,"name":"Subdivision","value":"EC"},{"id":4,"name":"Milepost","value":"23.3305"},{"id":17,"name":"Train ID","value":"203-02"},{"id":16,"name":"Locomotive ID","value":"4010"},{"id":130,"name":"Impact","value":""},{"id":150,"name":"Time of Event (Mountain Time)","value":"17:06:24"},{"id":151,"name":"Denver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1"/>
        <v>start /low /b %USERPROFILE%\Documents\GitHub\eaglep3\Utilities\DownloadLogsFromS3.py --loco 4010 --day 2017-05-02</v>
      </c>
      <c r="AN115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764</v>
      </c>
      <c r="B116" s="7">
        <v>4009</v>
      </c>
      <c r="C116" s="21" t="s">
        <v>211</v>
      </c>
      <c r="D116" s="21" t="s">
        <v>870</v>
      </c>
      <c r="E116" s="13">
        <v>42857.714409722219</v>
      </c>
      <c r="F116" s="13">
        <v>42857.726886574077</v>
      </c>
      <c r="G116" s="7">
        <v>2</v>
      </c>
      <c r="H116" s="21" t="s">
        <v>386</v>
      </c>
      <c r="I116" s="13">
        <v>42857.753796296296</v>
      </c>
      <c r="J116" s="7">
        <v>0</v>
      </c>
      <c r="K116" s="92" t="str">
        <f>IF(ISEVEN(B116),(B116-1)&amp;"/"&amp;B116,B116&amp;"/"&amp;(B116+1))</f>
        <v>4009/4010</v>
      </c>
      <c r="L116" s="21" t="str">
        <f>VLOOKUP(A116,'Trips&amp;Operators'!$C$1:$G$99999,5,FALSE)</f>
        <v>DE LA ROSA ALEX</v>
      </c>
      <c r="M116" s="6">
        <f>I116-F116</f>
        <v>2.6909722218988463E-2</v>
      </c>
      <c r="N116" s="7">
        <f>24*60*SUM($M116:$M116)</f>
        <v>38.749999995343387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-02T16:08:45-0600',mode:absolute,to:'2017-05-02T19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23.297499999999999</v>
      </c>
      <c r="Z116" s="192">
        <f>RIGHT(H116,LEN(H116)-4)/10000</f>
        <v>1.4500000000000001E-2</v>
      </c>
      <c r="AA116" s="192">
        <f>ABS(Z116-Y116)</f>
        <v>23.282999999999998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0204-02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/stypes="app*4009*20170503*" /stext=" 00:.+((SYSTEM_STATE.+slice.+state.+changed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9"/>
        <v>"%USERPROFILE%\Documents\GitHub\eaglep3\Utilities\RefineRTDCRunTimes.py" --tripid 204-02 --locoid 4009 --swversion DE.1.0.9.0 --startMP 204:232975 --initTime 2017-05-02T17:08:45 --startdatetime 2017-05-02T17:26:43 --delay 2 --endMP 204:145 --enddatetime 2017-05-02T18:05:28 --enforcementcount 0 &gt;&gt;C:\Users\stu\Documents\GitHub\eaglep3-reporting\EC\2017-05-02-refined-times.txt</v>
      </c>
      <c r="AI11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{"issue":{"subject":"","project_id":79,"tracker_id":40,"status_id":1,"priority_id":2,"assigned_to_id":23,"start_date":"2017-05-02","description":"","custom_fields":[{"id":1,"name":"Subdivision","value":"EC"},{"id":4,"name":"Milepost","value":"0.0145"},{"id":17,"name":"Train ID","value":"204-02"},{"id":16,"name":"Locomotive ID","value":"4009"},{"id":130,"name":"Impact","value":""},{"id":150,"name":"Time of Event (Mountain Time)","value":"18:05:28"},{"id":151,"name":"Denver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1"/>
        <v>start /low /b %USERPROFILE%\Documents\GitHub\eaglep3\Utilities\DownloadLogsFromS3.py --loco 4009 --day 2017-05-02</v>
      </c>
      <c r="AN11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760</v>
      </c>
      <c r="B117" s="7">
        <v>4022</v>
      </c>
      <c r="C117" s="21" t="s">
        <v>211</v>
      </c>
      <c r="D117" s="21" t="s">
        <v>441</v>
      </c>
      <c r="E117" s="13">
        <v>42857.694328703707</v>
      </c>
      <c r="F117" s="13">
        <v>42857.698182870372</v>
      </c>
      <c r="G117" s="7">
        <v>1</v>
      </c>
      <c r="H117" s="21" t="s">
        <v>551</v>
      </c>
      <c r="I117" s="13">
        <v>42857.724143518521</v>
      </c>
      <c r="J117" s="7">
        <v>0</v>
      </c>
      <c r="K117" s="92" t="str">
        <f>IF(ISEVEN(B117),(B117-1)&amp;"/"&amp;B117,B117&amp;"/"&amp;(B117+1))</f>
        <v>4021/4022</v>
      </c>
      <c r="L117" s="21" t="str">
        <f>VLOOKUP(A117,'Trips&amp;Operators'!$C$1:$G$99999,5,FALSE)</f>
        <v>ZEWDU DEREJE</v>
      </c>
      <c r="M117" s="6">
        <f>I117-F117</f>
        <v>2.5960648148611654E-2</v>
      </c>
      <c r="N117" s="7">
        <f>24*60*SUM($M117:$M117)</f>
        <v>37.383333334000781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-02T15:39:50-0600',mode:absolute,to:'2017-05-02T18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4.3999999999999997E-2</v>
      </c>
      <c r="Z117" s="192">
        <f>RIGHT(H117,LEN(H117)-4)/10000</f>
        <v>23.3291</v>
      </c>
      <c r="AA117" s="192">
        <f>ABS(Z117-Y117)</f>
        <v>23.2851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0205-02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/stypes="app*4022*20170502*" /stext=" 23:.+((SYSTEM_STATE.+slice.+state.+changed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9"/>
        <v>"%USERPROFILE%\Documents\GitHub\eaglep3\Utilities\RefineRTDCRunTimes.py" --tripid 205-02 --locoid 4022 --swversion DE.1.0.9.0 --startMP 204:440 --initTime 2017-05-02T16:39:50 --startdatetime 2017-05-02T16:45:23 --delay 1 --endMP 204:233291 --enddatetime 2017-05-02T17:22:46 --enforcementcount 0 &gt;&gt;C:\Users\stu\Documents\GitHub\eaglep3-reporting\EC\2017-05-02-refined-times.txt</v>
      </c>
      <c r="AI11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{"issue":{"subject":"","project_id":79,"tracker_id":40,"status_id":1,"priority_id":2,"assigned_to_id":23,"start_date":"2017-05-02","description":"","custom_fields":[{"id":1,"name":"Subdivision","value":"EC"},{"id":4,"name":"Milepost","value":"23.3291"},{"id":17,"name":"Train ID","value":"205-02"},{"id":16,"name":"Locomotive ID","value":"4022"},{"id":130,"name":"Impact","value":""},{"id":150,"name":"Time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11"/>
        <v>start /low /b %USERPROFILE%\Documents\GitHub\eaglep3\Utilities\DownloadLogsFromS3.py --loco 4022 --day 2017-05-02</v>
      </c>
      <c r="AN117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768</v>
      </c>
      <c r="B118" s="7">
        <v>4021</v>
      </c>
      <c r="C118" s="21" t="s">
        <v>211</v>
      </c>
      <c r="D118" s="21" t="s">
        <v>547</v>
      </c>
      <c r="E118" s="13">
        <v>42857.727638888886</v>
      </c>
      <c r="F118" s="13">
        <v>42857.737129629626</v>
      </c>
      <c r="G118" s="7">
        <v>2</v>
      </c>
      <c r="H118" s="21" t="s">
        <v>197</v>
      </c>
      <c r="I118" s="13">
        <v>42857.765462962961</v>
      </c>
      <c r="J118" s="7">
        <v>0</v>
      </c>
      <c r="K118" s="92" t="str">
        <f>IF(ISEVEN(B118),(B118-1)&amp;"/"&amp;B118,B118&amp;"/"&amp;(B118+1))</f>
        <v>4021/4022</v>
      </c>
      <c r="L118" s="21" t="str">
        <f>VLOOKUP(A118,'Trips&amp;Operators'!$C$1:$G$99999,5,FALSE)</f>
        <v>ZEWDU DEREJE</v>
      </c>
      <c r="M118" s="6">
        <f>I118-F118</f>
        <v>2.8333333335467614E-2</v>
      </c>
      <c r="N118" s="7">
        <f>24*60*SUM($M118:$M118)</f>
        <v>40.800000003073364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-02T16:27:48-0600',mode:absolute,to:'2017-05-02T19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23.298100000000002</v>
      </c>
      <c r="Z118" s="192">
        <f>RIGHT(H118,LEN(H118)-4)/10000</f>
        <v>1.52E-2</v>
      </c>
      <c r="AA118" s="192">
        <f>ABS(Z118-Y118)</f>
        <v>23.282900000000001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0206-02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/stypes="app*4021*20170503*" /stext=" 00:.+((SYSTEM_STATE.+slice.+state.+changed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9"/>
        <v>"%USERPROFILE%\Documents\GitHub\eaglep3\Utilities\RefineRTDCRunTimes.py" --tripid 206-02 --locoid 4021 --swversion DE.1.0.9.0 --startMP 204:232981 --initTime 2017-05-02T17:27:48 --startdatetime 2017-05-02T17:41:28 --delay 2 --endMP 204:152 --enddatetime 2017-05-02T18:22:16 --enforcementcount 0 &gt;&gt;C:\Users\stu\Documents\GitHub\eaglep3-reporting\EC\2017-05-02-refined-times.txt</v>
      </c>
      <c r="AI11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{"issue":{"subject":"","project_id":79,"tracker_id":40,"status_id":1,"priority_id":2,"assigned_to_id":23,"start_date":"2017-05-02","description":"","custom_fields":[{"id":1,"name":"Subdivision","value":"EC"},{"id":4,"name":"Milepost","value":"0.0152"},{"id":17,"name":"Train ID","value":"206-02"},{"id":16,"name":"Locomotive ID","value":"4021"},{"id":130,"name":"Impact","value":""},{"id":150,"name":"Time of Event (Mountain Time)","value":"18:22:16"},{"id":151,"name":"Denver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11"/>
        <v>start /low /b %USERPROFILE%\Documents\GitHub\eaglep3\Utilities\DownloadLogsFromS3.py --loco 4021 --day 2017-05-02</v>
      </c>
      <c r="AN11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762</v>
      </c>
      <c r="B119" s="7">
        <v>4018</v>
      </c>
      <c r="C119" s="21" t="s">
        <v>211</v>
      </c>
      <c r="D119" s="21" t="s">
        <v>871</v>
      </c>
      <c r="E119" s="13">
        <v>42857.705185185187</v>
      </c>
      <c r="F119" s="13">
        <v>42857.708506944444</v>
      </c>
      <c r="G119" s="7">
        <v>1</v>
      </c>
      <c r="H119" s="21" t="s">
        <v>851</v>
      </c>
      <c r="I119" s="13">
        <v>42857.735659722224</v>
      </c>
      <c r="J119" s="7">
        <v>0</v>
      </c>
      <c r="K119" s="92" t="str">
        <f>IF(ISEVEN(B119),(B119-1)&amp;"/"&amp;B119,B119&amp;"/"&amp;(B119+1))</f>
        <v>4017/4018</v>
      </c>
      <c r="L119" s="21" t="str">
        <f>VLOOKUP(A119,'Trips&amp;Operators'!$C$1:$G$99999,5,FALSE)</f>
        <v>CLARK KATHLEEN</v>
      </c>
      <c r="M119" s="6">
        <f>I119-F119</f>
        <v>2.715277778042946E-2</v>
      </c>
      <c r="N119" s="7">
        <f>24*60*SUM($M119:$M119)</f>
        <v>39.100000003818423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-02T15:55:28-0600',mode:absolute,to:'2017-05-02T18:39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5.1299999999999998E-2</v>
      </c>
      <c r="Z119" s="192">
        <f>RIGHT(H119,LEN(H119)-4)/10000</f>
        <v>23.327999999999999</v>
      </c>
      <c r="AA119" s="192">
        <f>ABS(Z119-Y119)</f>
        <v>23.276699999999998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0207-02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/stypes="app*4018*20170502*" /stext=" 23:.+((SYSTEM_STATE.+slice.+state.+changed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9"/>
        <v>"%USERPROFILE%\Documents\GitHub\eaglep3\Utilities\RefineRTDCRunTimes.py" --tripid 207-02 --locoid 4018 --swversion DE.1.0.9.0 --startMP 204:513 --initTime 2017-05-02T16:55:28 --startdatetime 2017-05-02T17:00:15 --delay 1 --endMP 204:233280 --enddatetime 2017-05-02T17:39:21 --enforcementcount 0 &gt;&gt;C:\Users\stu\Documents\GitHub\eaglep3-reporting\EC\2017-05-02-refined-times.txt</v>
      </c>
      <c r="AI11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{"issue":{"subject":"","project_id":79,"tracker_id":40,"status_id":1,"priority_id":2,"assigned_to_id":23,"start_date":"2017-05-02","description":"","custom_fields":[{"id":1,"name":"Subdivision","value":"EC"},{"id":4,"name":"Milepost","value":"23.328"},{"id":17,"name":"Train ID","value":"207-02"},{"id":16,"name":"Locomotive ID","value":"4018"},{"id":130,"name":"Impact","value":""},{"id":150,"name":"Time of Event (Mountain Time)","value":"17:39:21"},{"id":151,"name":"Denver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1"/>
        <v>start /low /b %USERPROFILE%\Documents\GitHub\eaglep3\Utilities\DownloadLogsFromS3.py --loco 4018 --day 2017-05-02</v>
      </c>
      <c r="AN119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23:39:21"},{"id":29,"name":"Sharepoint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771</v>
      </c>
      <c r="B120" s="7">
        <v>4017</v>
      </c>
      <c r="C120" s="21" t="s">
        <v>211</v>
      </c>
      <c r="D120" s="21" t="s">
        <v>552</v>
      </c>
      <c r="E120" s="13">
        <v>42857.742106481484</v>
      </c>
      <c r="F120" s="13">
        <v>42857.747534722221</v>
      </c>
      <c r="G120" s="7">
        <v>1</v>
      </c>
      <c r="H120" s="21" t="s">
        <v>872</v>
      </c>
      <c r="I120" s="13">
        <v>42857.775752314818</v>
      </c>
      <c r="J120" s="7">
        <v>0</v>
      </c>
      <c r="K120" s="92" t="str">
        <f>IF(ISEVEN(B120),(B120-1)&amp;"/"&amp;B120,B120&amp;"/"&amp;(B120+1))</f>
        <v>4017/4018</v>
      </c>
      <c r="L120" s="21" t="str">
        <f>VLOOKUP(A120,'Trips&amp;Operators'!$C$1:$G$99999,5,FALSE)</f>
        <v>CLARK KATHLEEN</v>
      </c>
      <c r="M120" s="6">
        <f>I120-F120</f>
        <v>2.8217592596774921E-2</v>
      </c>
      <c r="N120" s="7">
        <f>24*60*SUM($M120:$M120)</f>
        <v>40.633333339355886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-02T16:48:38-0600',mode:absolute,to:'2017-05-02T19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23.296500000000002</v>
      </c>
      <c r="Z120" s="192">
        <f>RIGHT(H120,LEN(H120)-4)/10000</f>
        <v>2.0899999999999998E-2</v>
      </c>
      <c r="AA120" s="192">
        <f>ABS(Z120-Y120)</f>
        <v>23.275600000000001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0208-02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/stypes="app*4017*20170503*" /stext=" 00:.+((SYSTEM_STATE.+slice.+state.+changed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9"/>
        <v>"%USERPROFILE%\Documents\GitHub\eaglep3\Utilities\RefineRTDCRunTimes.py" --tripid 208-02 --locoid 4017 --swversion DE.1.0.9.0 --startMP 204:232965 --initTime 2017-05-02T17:48:38 --startdatetime 2017-05-02T17:56:27 --delay 1 --endMP 204:209 --enddatetime 2017-05-02T18:37:05 --enforcementcount 0 &gt;&gt;C:\Users\stu\Documents\GitHub\eaglep3-reporting\EC\2017-05-02-refined-times.txt</v>
      </c>
      <c r="AI12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{"issue":{"subject":"","project_id":79,"tracker_id":40,"status_id":1,"priority_id":2,"assigned_to_id":23,"start_date":"2017-05-02","description":"","custom_fields":[{"id":1,"name":"Subdivision","value":"EC"},{"id":4,"name":"Milepost","value":"0.0209"},{"id":17,"name":"Train ID","value":"208-02"},{"id":16,"name":"Locomotive ID","value":"4017"},{"id":130,"name":"Impact","value":""},{"id":150,"name":"Time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1"/>
        <v>start /low /b %USERPROFILE%\Documents\GitHub\eaglep3\Utilities\DownloadLogsFromS3.py --loco 4017 --day 2017-05-02</v>
      </c>
      <c r="AN12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766</v>
      </c>
      <c r="B121" s="7">
        <v>4044</v>
      </c>
      <c r="C121" s="21" t="s">
        <v>211</v>
      </c>
      <c r="D121" s="21" t="s">
        <v>368</v>
      </c>
      <c r="E121" s="13">
        <v>42857.715624999997</v>
      </c>
      <c r="F121" s="13">
        <v>42857.71912037037</v>
      </c>
      <c r="G121" s="7">
        <v>2</v>
      </c>
      <c r="H121" s="21" t="s">
        <v>873</v>
      </c>
      <c r="I121" s="13">
        <v>42857.745115740741</v>
      </c>
      <c r="J121" s="7">
        <v>0</v>
      </c>
      <c r="K121" s="92" t="str">
        <f>IF(ISEVEN(B121),(B121-1)&amp;"/"&amp;B121,B121&amp;"/"&amp;(B121+1))</f>
        <v>4043/4044</v>
      </c>
      <c r="L121" s="21" t="str">
        <f>VLOOKUP(A121,'Trips&amp;Operators'!$C$1:$G$99999,5,FALSE)</f>
        <v>CHANDLER KELVIN</v>
      </c>
      <c r="M121" s="6">
        <f>I121-F121</f>
        <v>2.5995370371674653E-2</v>
      </c>
      <c r="N121" s="7">
        <f>24*60*SUM($M121:$M121)</f>
        <v>37.433333335211501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-02T16:10:30-0600',mode:absolute,to:'2017-05-02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4.4900000000000002E-2</v>
      </c>
      <c r="Z121" s="192">
        <f>RIGHT(H121,LEN(H121)-4)/10000</f>
        <v>23.325299999999999</v>
      </c>
      <c r="AA121" s="192">
        <f>ABS(Z121-Y121)</f>
        <v>23.2804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0209-02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s3://rtdc.mdm.uploadarchive.raw/RTDC4044/ "%USERPROFILE%\AppData\Local\Temp\OnboardLogs"\RTDC4044\2017-05-02 --exclude "*" --recursive --include "*20170502*" &amp; "%USERPROFILE%\Documents\GitHub\mrs-test-scripts\Headless Mode &amp; Sideloading\WalkAndUnGZ.bat" "%USERPROFILE%\AppData\Local\Temp\OnboardLogs"\RTDC4044\2017-05-02 &amp; aws s3 cp s3://rtdc.mdm.uploadarchive.raw/RTDC4044/ "%USERPROFILE%\AppData\Local\Temp\OnboardLogs"\RTDC4044\2017-05-03 --exclude "*" --recursive --include "*20170503*" &amp; "%USERPROFILE%\Documents\GitHub\mrs-test-scripts\Headless Mode &amp; Sideloading\WalkAndUnGZ.bat" "%USERPROFILE%\AppData\Local\Temp\OnboardLogs"\RTDC4044\2017-05-03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/stypes="app*4044*20170502*" /stext=" 23:.+((SYSTEM_STATE.+slice.+state.+changed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9"/>
        <v>"%USERPROFILE%\Documents\GitHub\eaglep3\Utilities\RefineRTDCRunTimes.py" --tripid 209-02 --locoid 4044 --swversion DE.1.0.9.0 --startMP 204:449 --initTime 2017-05-02T17:10:30 --startdatetime 2017-05-02T17:15:32 --delay 2 --endMP 204:233253 --enddatetime 2017-05-02T17:52:58 --enforcementcount 0 &gt;&gt;C:\Users\stu\Documents\GitHub\eaglep3-reporting\EC\2017-05-02-refined-times.txt</v>
      </c>
      <c r="AI12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{"issue":{"subject":"","project_id":79,"tracker_id":40,"status_id":1,"priority_id":2,"assigned_to_id":23,"start_date":"2017-05-02","description":"","custom_fields":[{"id":1,"name":"Subdivision","value":"EC"},{"id":4,"name":"Milepost","value":"23.3253"},{"id":17,"name":"Train ID","value":"209-02"},{"id":16,"name":"Locomotive ID","value":"4044"},{"id":130,"name":"Impact","value":""},{"id":150,"name":"Time of Event (Mountain Time)","value":"17:52:58"},{"id":151,"name":"Denver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1"/>
        <v>start /low /b %USERPROFILE%\Documents\GitHub\eaglep3\Utilities\DownloadLogsFromS3.py --loco 4044 --day 2017-05-02</v>
      </c>
      <c r="AN121" s="154" t="str">
        <f t="shared" si="12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774</v>
      </c>
      <c r="B122" s="7">
        <v>4043</v>
      </c>
      <c r="C122" s="21" t="s">
        <v>211</v>
      </c>
      <c r="D122" s="21" t="s">
        <v>874</v>
      </c>
      <c r="E122" s="13">
        <v>42857.754652777781</v>
      </c>
      <c r="F122" s="13">
        <v>42857.757928240739</v>
      </c>
      <c r="G122" s="7">
        <v>2</v>
      </c>
      <c r="H122" s="21" t="s">
        <v>387</v>
      </c>
      <c r="I122" s="13">
        <v>42857.788530092592</v>
      </c>
      <c r="J122" s="7">
        <v>0</v>
      </c>
      <c r="K122" s="92" t="str">
        <f>IF(ISEVEN(B122),(B122-1)&amp;"/"&amp;B122,B122&amp;"/"&amp;(B122+1))</f>
        <v>4043/4044</v>
      </c>
      <c r="L122" s="21" t="str">
        <f>VLOOKUP(A122,'Trips&amp;Operators'!$C$1:$G$99999,5,FALSE)</f>
        <v>CHANDLER KELVIN</v>
      </c>
      <c r="M122" s="6">
        <f>I122-F122</f>
        <v>3.0601851853134576E-2</v>
      </c>
      <c r="N122" s="7">
        <f>24*60*SUM($M122:$M122)</f>
        <v>44.06666666851379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-02T17:06:42-0600',mode:absolute,to:'2017-05-02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23.295500000000001</v>
      </c>
      <c r="Z122" s="192">
        <f>RIGHT(H122,LEN(H122)-4)/10000</f>
        <v>1.6E-2</v>
      </c>
      <c r="AA122" s="192">
        <f>ABS(Z122-Y122)</f>
        <v>23.279500000000002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0210-02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s3://rtdc.mdm.uploadarchive.raw/RTDC4043/ "%USERPROFILE%\AppData\Local\Temp\OnboardLogs"\RTDC4043\2017-05-02 --exclude "*" --recursive --include "*20170502*" &amp; "%USERPROFILE%\Documents\GitHub\mrs-test-scripts\Headless Mode &amp; Sideloading\WalkAndUnGZ.bat" "%USERPROFILE%\AppData\Local\Temp\OnboardLogs"\RTDC4043\2017-05-02 &amp; aws s3 cp s3://rtdc.mdm.uploadarchive.raw/RTDC4043/ "%USERPROFILE%\AppData\Local\Temp\OnboardLogs"\RTDC4043\2017-05-03 --exclude "*" --recursive --include "*20170503*" &amp; "%USERPROFILE%\Documents\GitHub\mrs-test-scripts\Headless Mode &amp; Sideloading\WalkAndUnGZ.bat" "%USERPROFILE%\AppData\Local\Temp\OnboardLogs"\RTDC4043\2017-05-03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/stypes="app*4043*20170503*" /stext=" 00:.+((SYSTEM_STATE.+slice.+state.+changed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9"/>
        <v>"%USERPROFILE%\Documents\GitHub\eaglep3\Utilities\RefineRTDCRunTimes.py" --tripid 210-02 --locoid 4043 --swversion DE.1.0.9.0 --startMP 204:232955 --initTime 2017-05-02T18:06:42 --startdatetime 2017-05-02T18:11:25 --delay 2 --endMP 204:160 --enddatetime 2017-05-02T18:55:29 --enforcementcount 0 &gt;&gt;C:\Users\stu\Documents\GitHub\eaglep3-reporting\EC\2017-05-02-refined-times.txt</v>
      </c>
      <c r="AI122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{"issue":{"subject":"","project_id":79,"tracker_id":40,"status_id":1,"priority_id":2,"assigned_to_id":23,"start_date":"2017-05-02","description":"","custom_fields":[{"id":1,"name":"Subdivision","value":"EC"},{"id":4,"name":"Milepost","value":"0.016"},{"id":17,"name":"Train ID","value":"210-02"},{"id":16,"name":"Locomotive ID","value":"4043"},{"id":130,"name":"Impact","value":""},{"id":150,"name":"Time of Event (Mountain Time)","value":"18:55:29"},{"id":151,"name":"Denver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1"/>
        <v>start /low /b %USERPROFILE%\Documents\GitHub\eaglep3\Utilities\DownloadLogsFromS3.py --loco 4043 --day 2017-05-02</v>
      </c>
      <c r="AN12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767</v>
      </c>
      <c r="B123" s="7">
        <v>4004</v>
      </c>
      <c r="C123" s="21" t="s">
        <v>211</v>
      </c>
      <c r="D123" s="21" t="s">
        <v>383</v>
      </c>
      <c r="E123" s="13">
        <v>42857.724791666667</v>
      </c>
      <c r="F123" s="13">
        <v>42857.729490740741</v>
      </c>
      <c r="G123" s="7">
        <v>1</v>
      </c>
      <c r="H123" s="21" t="s">
        <v>875</v>
      </c>
      <c r="I123" s="13">
        <v>42857.754305555558</v>
      </c>
      <c r="J123" s="7">
        <v>0</v>
      </c>
      <c r="K123" s="92" t="str">
        <f>IF(ISEVEN(B123),(B123-1)&amp;"/"&amp;B123,B123&amp;"/"&amp;(B123+1))</f>
        <v>4003/4004</v>
      </c>
      <c r="L123" s="21" t="str">
        <f>VLOOKUP(A123,'Trips&amp;Operators'!$C$1:$G$99999,5,FALSE)</f>
        <v>LALONDE GREGORY</v>
      </c>
      <c r="M123" s="6">
        <f>I123-F123</f>
        <v>2.4814814816636499E-2</v>
      </c>
      <c r="N123" s="7">
        <f>24*60*SUM($M123:$M123)</f>
        <v>35.733333335956559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-02T16:23:42-0600',mode:absolute,to:'2017-05-02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4.4600000000000001E-2</v>
      </c>
      <c r="Z123" s="192">
        <f>RIGHT(H123,LEN(H123)-4)/10000</f>
        <v>23.334299999999999</v>
      </c>
      <c r="AA123" s="192">
        <f>ABS(Z123-Y123)</f>
        <v>23.2897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0211-02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/stypes="app*4004*20170503*"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9"/>
        <v>"%USERPROFILE%\Documents\GitHub\eaglep3\Utilities\RefineRTDCRunTimes.py" --tripid 211-02 --locoid 4004 --swversion DE.1.0.9.0 --startMP 204:446 --initTime 2017-05-02T17:23:42 --startdatetime 2017-05-02T17:30:28 --delay 1 --endMP 204:233343 --enddatetime 2017-05-02T18:06:12 --enforcementcount 0 &gt;&gt;C:\Users\stu\Documents\GitHub\eaglep3-reporting\EC\2017-05-02-refined-times.txt</v>
      </c>
      <c r="AI12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{"issue":{"subject":"","project_id":79,"tracker_id":40,"status_id":1,"priority_id":2,"assigned_to_id":23,"start_date":"2017-05-02","description":"","custom_fields":[{"id":1,"name":"Subdivision","value":"EC"},{"id":4,"name":"Milepost","value":"23.3343"},{"id":17,"name":"Train ID","value":"211-02"},{"id":16,"name":"Locomotive ID","value":"4004"},{"id":130,"name":"Impact","value":""},{"id":150,"name":"Time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1"/>
        <v>start /low /b %USERPROFILE%\Documents\GitHub\eaglep3\Utilities\DownloadLogsFromS3.py --loco 4004 --day 2017-05-02</v>
      </c>
      <c r="AN12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778</v>
      </c>
      <c r="B124" s="7">
        <v>4003</v>
      </c>
      <c r="C124" s="21" t="s">
        <v>211</v>
      </c>
      <c r="D124" s="21" t="s">
        <v>876</v>
      </c>
      <c r="E124" s="13">
        <v>42857.762071759258</v>
      </c>
      <c r="F124" s="13">
        <v>42857.768252314818</v>
      </c>
      <c r="G124" s="7">
        <v>1</v>
      </c>
      <c r="H124" s="21" t="s">
        <v>204</v>
      </c>
      <c r="I124" s="13">
        <v>42857.794942129629</v>
      </c>
      <c r="J124" s="7">
        <v>0</v>
      </c>
      <c r="K124" s="92" t="str">
        <f>IF(ISEVEN(B124),(B124-1)&amp;"/"&amp;B124,B124&amp;"/"&amp;(B124+1))</f>
        <v>4003/4004</v>
      </c>
      <c r="L124" s="21" t="str">
        <f>VLOOKUP(A124,'Trips&amp;Operators'!$C$1:$G$99999,5,FALSE)</f>
        <v>LALONDE GREGORY</v>
      </c>
      <c r="M124" s="6">
        <f>I124-F124</f>
        <v>2.6689814811106771E-2</v>
      </c>
      <c r="N124" s="7">
        <f>24*60*SUM($M124:$M124)</f>
        <v>38.433333327993751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-02T17:17:23-0600',mode:absolute,to:'2017-05-02T20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23.3017</v>
      </c>
      <c r="Z124" s="192">
        <f>RIGHT(H124,LEN(H124)-4)/10000</f>
        <v>4.5699999999999998E-2</v>
      </c>
      <c r="AA124" s="192">
        <f>ABS(Z124-Y124)</f>
        <v>23.256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0212-02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/stypes="app*4003*20170503*" /stext=" 01:.+((SYSTEM_STATE.+slice.+state.+changed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9"/>
        <v>"%USERPROFILE%\Documents\GitHub\eaglep3\Utilities\RefineRTDCRunTimes.py" --tripid 212-02 --locoid 4003 --swversion DE.1.0.9.0 --startMP 204:233017 --initTime 2017-05-02T18:17:23 --startdatetime 2017-05-02T18:26:17 --delay 1 --endMP 204:457 --enddatetime 2017-05-02T19:04:43 --enforcementcount 0 &gt;&gt;C:\Users\stu\Documents\GitHub\eaglep3-reporting\EC\2017-05-02-refined-times.txt</v>
      </c>
      <c r="AI12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{"issue":{"subject":"","project_id":79,"tracker_id":40,"status_id":1,"priority_id":2,"assigned_to_id":23,"start_date":"2017-05-02","description":"","custom_fields":[{"id":1,"name":"Subdivision","value":"EC"},{"id":4,"name":"Milepost","value":"0.0457"},{"id":17,"name":"Train ID","value":"212-02"},{"id":16,"name":"Locomotive ID","value":"4003"},{"id":130,"name":"Impact","value":""},{"id":150,"name":"Time of Event (Mountain Time)","value":"19:04:43"},{"id":151,"name":"Denver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1"/>
        <v>start /low /b %USERPROFILE%\Documents\GitHub\eaglep3\Utilities\DownloadLogsFromS3.py --loco 4003 --day 2017-05-02</v>
      </c>
      <c r="AN12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770</v>
      </c>
      <c r="B125" s="7">
        <v>4042</v>
      </c>
      <c r="C125" s="21" t="s">
        <v>211</v>
      </c>
      <c r="D125" s="21" t="s">
        <v>423</v>
      </c>
      <c r="E125" s="13">
        <v>42857.734548611108</v>
      </c>
      <c r="F125" s="13">
        <v>42857.739722222221</v>
      </c>
      <c r="G125" s="7">
        <v>1</v>
      </c>
      <c r="H125" s="21" t="s">
        <v>454</v>
      </c>
      <c r="I125" s="13">
        <v>42857.764189814814</v>
      </c>
      <c r="J125" s="7">
        <v>0</v>
      </c>
      <c r="K125" s="92" t="str">
        <f>IF(ISEVEN(B125),(B125-1)&amp;"/"&amp;B125,B125&amp;"/"&amp;(B125+1))</f>
        <v>4041/4042</v>
      </c>
      <c r="L125" s="21" t="str">
        <f>VLOOKUP(A125,'Trips&amp;Operators'!$C$1:$G$99999,5,FALSE)</f>
        <v>NEWELL JAMES</v>
      </c>
      <c r="M125" s="6">
        <f>I125-F125</f>
        <v>2.4467592593282461E-2</v>
      </c>
      <c r="N125" s="7">
        <f>24*60*SUM($M125:$M125)</f>
        <v>35.233333334326744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-02T16:37:45-0600',mode:absolute,to:'2017-05-02T19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4.6399999999999997E-2</v>
      </c>
      <c r="Z125" s="192">
        <f>RIGHT(H125,LEN(H125)-4)/10000</f>
        <v>23.3293</v>
      </c>
      <c r="AA125" s="192">
        <f>ABS(Z125-Y125)</f>
        <v>23.282900000000001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0213-02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/stypes="app*4042*20170503*" /stext=" 00:.+((SYSTEM_STATE.+slice.+state.+changed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9"/>
        <v>"%USERPROFILE%\Documents\GitHub\eaglep3\Utilities\RefineRTDCRunTimes.py" --tripid 213-02 --locoid 4042 --swversion DE.1.0.9.0 --startMP 204:464 --initTime 2017-05-02T17:37:45 --startdatetime 2017-05-02T17:45:12 --delay 1 --endMP 204:233293 --enddatetime 2017-05-02T18:20:26 --enforcementcount 0 &gt;&gt;C:\Users\stu\Documents\GitHub\eaglep3-reporting\EC\2017-05-02-refined-times.txt</v>
      </c>
      <c r="AI12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{"issue":{"subject":"","project_id":79,"tracker_id":40,"status_id":1,"priority_id":2,"assigned_to_id":23,"start_date":"2017-05-02","description":"","custom_fields":[{"id":1,"name":"Subdivision","value":"EC"},{"id":4,"name":"Milepost","value":"23.3293"},{"id":17,"name":"Train ID","value":"213-02"},{"id":16,"name":"Locomotive ID","value":"4042"},{"id":130,"name":"Impact","value":""},{"id":150,"name":"Time of Event (Mountain Time)","value":"18:20:26"},{"id":151,"name":"Denver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1"/>
        <v>start /low /b %USERPROFILE%\Documents\GitHub\eaglep3\Utilities\DownloadLogsFromS3.py --loco 4042 --day 2017-05-02</v>
      </c>
      <c r="AN12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781</v>
      </c>
      <c r="B126" s="7">
        <v>4041</v>
      </c>
      <c r="C126" s="21" t="s">
        <v>211</v>
      </c>
      <c r="D126" s="21" t="s">
        <v>845</v>
      </c>
      <c r="E126" s="13">
        <v>42857.770879629628</v>
      </c>
      <c r="F126" s="13">
        <v>42857.778622685182</v>
      </c>
      <c r="G126" s="7">
        <v>1</v>
      </c>
      <c r="H126" s="21" t="s">
        <v>408</v>
      </c>
      <c r="I126" s="13">
        <v>42857.8047337963</v>
      </c>
      <c r="J126" s="7">
        <v>0</v>
      </c>
      <c r="K126" s="92" t="str">
        <f>IF(ISEVEN(B126),(B126-1)&amp;"/"&amp;B126,B126&amp;"/"&amp;(B126+1))</f>
        <v>4041/4042</v>
      </c>
      <c r="L126" s="21" t="str">
        <f>VLOOKUP(A126,'Trips&amp;Operators'!$C$1:$G$99999,5,FALSE)</f>
        <v>NEWELL JAMES</v>
      </c>
      <c r="M126" s="6">
        <f>I126-F126</f>
        <v>2.6111111117643304E-2</v>
      </c>
      <c r="N126" s="7">
        <f>24*60*SUM($M126:$M126)</f>
        <v>37.600000009406358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-02T17:30:04-0600',mode:absolute,to:'2017-05-02T20:18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23.2989</v>
      </c>
      <c r="Z126" s="192">
        <f>RIGHT(H126,LEN(H126)-4)/10000</f>
        <v>1.49E-2</v>
      </c>
      <c r="AA126" s="192">
        <f>ABS(Z126-Y126)</f>
        <v>23.283999999999999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0214-02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/stypes="app*4041*20170503*" /stext=" 01:.+((SYSTEM_STATE.+slice.+state.+changed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9"/>
        <v>"%USERPROFILE%\Documents\GitHub\eaglep3\Utilities\RefineRTDCRunTimes.py" --tripid 214-02 --locoid 4041 --swversion DE.1.0.9.0 --startMP 204:232989 --initTime 2017-05-02T18:30:04 --startdatetime 2017-05-02T18:41:13 --delay 1 --endMP 204:149 --enddatetime 2017-05-02T19:18:49 --enforcementcount 0 &gt;&gt;C:\Users\stu\Documents\GitHub\eaglep3-reporting\EC\2017-05-02-refined-times.txt</v>
      </c>
      <c r="AI12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ID","value":"214-02"},{"id":16,"name":"Locomotive ID","value":"4041"},{"id":130,"name":"Impact","value":""},{"id":150,"name":"Time of Event (Mountain Time)","value":"19:18:49"},{"id":151,"name":"Denver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1"/>
        <v>start /low /b %USERPROFILE%\Documents\GitHub\eaglep3\Utilities\DownloadLogsFromS3.py --loco 4041 --day 2017-05-02</v>
      </c>
      <c r="AN12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01:18:49"},{"id":29,"name":"Sharepoint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772</v>
      </c>
      <c r="B127" s="7">
        <v>4026</v>
      </c>
      <c r="C127" s="21" t="s">
        <v>211</v>
      </c>
      <c r="D127" s="21" t="s">
        <v>828</v>
      </c>
      <c r="E127" s="13">
        <v>42857.747372685182</v>
      </c>
      <c r="F127" s="13">
        <v>42857.750185185185</v>
      </c>
      <c r="G127" s="7">
        <v>1</v>
      </c>
      <c r="H127" s="21" t="s">
        <v>849</v>
      </c>
      <c r="I127" s="13">
        <v>42857.775543981479</v>
      </c>
      <c r="J127" s="7">
        <v>0</v>
      </c>
      <c r="K127" s="92" t="str">
        <f>IF(ISEVEN(B127),(B127-1)&amp;"/"&amp;B127,B127&amp;"/"&amp;(B127+1))</f>
        <v>4025/4026</v>
      </c>
      <c r="L127" s="21" t="str">
        <f>VLOOKUP(A127,'Trips&amp;Operators'!$C$1:$G$99999,5,FALSE)</f>
        <v>BIRENBAUM THOMAS</v>
      </c>
      <c r="M127" s="6">
        <f>I127-F127</f>
        <v>2.5358796294312924E-2</v>
      </c>
      <c r="N127" s="7">
        <f>24*60*SUM($M127:$M127)</f>
        <v>36.516666663810611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-02T16:56:13-0600',mode:absolute,to:'2017-05-02T19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4.4200000000000003E-2</v>
      </c>
      <c r="Z127" s="192">
        <f>RIGHT(H127,LEN(H127)-4)/10000</f>
        <v>23.3322</v>
      </c>
      <c r="AA127" s="192">
        <f>ABS(Z127-Y127)</f>
        <v>23.288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0215-02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/stypes="app*4026*20170503*" /stext=" 00:.+((SYSTEM_STATE.+slice.+state.+changed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9"/>
        <v>"%USERPROFILE%\Documents\GitHub\eaglep3\Utilities\RefineRTDCRunTimes.py" --tripid 215-02 --locoid 4026 --swversion DE.1.0.9.0 --startMP 204:442 --initTime 2017-05-02T17:56:13 --startdatetime 2017-05-02T18:00:16 --delay 1 --endMP 204:233322 --enddatetime 2017-05-02T18:36:47 --enforcementcount 0 &gt;&gt;C:\Users\stu\Documents\GitHub\eaglep3-reporting\EC\2017-05-02-refined-times.txt</v>
      </c>
      <c r="AI12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{"issue":{"subject":"","project_id":79,"tracker_id":40,"status_id":1,"priority_id":2,"assigned_to_id":23,"start_date":"2017-05-02","description":"","custom_fields":[{"id":1,"name":"Subdivision","value":"EC"},{"id":4,"name":"Milepost","value":"23.3322"},{"id":17,"name":"Train ID","value":"215-02"},{"id":16,"name":"Locomotive ID","value":"4026"},{"id":130,"name":"Impact","value":""},{"id":150,"name":"Time of Event (Mountain Time)","value":"18:36:47"},{"id":151,"name":"Denver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1"/>
        <v>start /low /b %USERPROFILE%\Documents\GitHub\eaglep3\Utilities\DownloadLogsFromS3.py --loco 4026 --day 2017-05-02</v>
      </c>
      <c r="AN12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783</v>
      </c>
      <c r="B128" s="7">
        <v>4025</v>
      </c>
      <c r="C128" s="21" t="s">
        <v>211</v>
      </c>
      <c r="D128" s="21" t="s">
        <v>876</v>
      </c>
      <c r="E128" s="13">
        <v>42857.784016203703</v>
      </c>
      <c r="F128" s="13">
        <v>42857.789143518516</v>
      </c>
      <c r="G128" s="7">
        <v>1</v>
      </c>
      <c r="H128" s="21" t="s">
        <v>377</v>
      </c>
      <c r="I128" s="13">
        <v>42857.817048611112</v>
      </c>
      <c r="J128" s="7">
        <v>0</v>
      </c>
      <c r="K128" s="92" t="str">
        <f>IF(ISEVEN(B128),(B128-1)&amp;"/"&amp;B128,B128&amp;"/"&amp;(B128+1))</f>
        <v>4025/4026</v>
      </c>
      <c r="L128" s="21" t="str">
        <f>VLOOKUP(A128,'Trips&amp;Operators'!$C$1:$G$99999,5,FALSE)</f>
        <v>BIRENBAUM THOMAS</v>
      </c>
      <c r="M128" s="6">
        <f>I128-F128</f>
        <v>2.7905092596483883E-2</v>
      </c>
      <c r="N128" s="7">
        <f>24*60*SUM($M128:$M128)</f>
        <v>40.183333338936791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-02T17:48:59-0600',mode:absolute,to:'2017-05-02T20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23.3017</v>
      </c>
      <c r="Z128" s="192">
        <f>RIGHT(H128,LEN(H128)-4)/10000</f>
        <v>1.38E-2</v>
      </c>
      <c r="AA128" s="192">
        <f>ABS(Z128-Y128)</f>
        <v>23.2879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0216-02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/stypes="app*4025*20170503*" /stext=" 01:.+((SYSTEM_STATE.+slice.+state.+changed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9"/>
        <v>"%USERPROFILE%\Documents\GitHub\eaglep3\Utilities\RefineRTDCRunTimes.py" --tripid 216-02 --locoid 4025 --swversion DE.1.0.9.0 --startMP 204:233017 --initTime 2017-05-02T18:48:59 --startdatetime 2017-05-02T18:56:22 --delay 1 --endMP 204:138 --enddatetime 2017-05-02T19:36:33 --enforcementcount 0 &gt;&gt;C:\Users\stu\Documents\GitHub\eaglep3-reporting\EC\2017-05-02-refined-times.txt</v>
      </c>
      <c r="AI12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{"issue":{"subject":"","project_id":79,"tracker_id":40,"status_id":1,"priority_id":2,"assigned_to_id":23,"start_date":"2017-05-02","description":"","custom_fields":[{"id":1,"name":"Subdivision","value":"EC"},{"id":4,"name":"Milepost","value":"0.0138"},{"id":17,"name":"Train ID","value":"216-02"},{"id":16,"name":"Locomotive ID","value":"4025"},{"id":130,"name":"Impact","value":""},{"id":150,"name":"Time of Event (Mountain Time)","value":"19:36:33"},{"id":151,"name":"Denver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1"/>
        <v>start /low /b %USERPROFILE%\Documents\GitHub\eaglep3\Utilities\DownloadLogsFromS3.py --loco 4025 --day 2017-05-02</v>
      </c>
      <c r="AN12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608</v>
      </c>
      <c r="B129" s="7">
        <v>4010</v>
      </c>
      <c r="C129" s="21" t="s">
        <v>211</v>
      </c>
      <c r="D129" s="21" t="s">
        <v>368</v>
      </c>
      <c r="E129" s="13">
        <v>42857.755497685182</v>
      </c>
      <c r="F129" s="13">
        <v>42857.760763888888</v>
      </c>
      <c r="G129" s="7">
        <v>3</v>
      </c>
      <c r="H129" s="21" t="s">
        <v>877</v>
      </c>
      <c r="I129" s="13">
        <v>42857.786273148151</v>
      </c>
      <c r="J129" s="7">
        <v>0</v>
      </c>
      <c r="K129" s="92" t="str">
        <f>IF(ISEVEN(B129),(B129-1)&amp;"/"&amp;B129,B129&amp;"/"&amp;(B129+1))</f>
        <v>4009/4010</v>
      </c>
      <c r="L129" s="21" t="str">
        <f>VLOOKUP(A129,'Trips&amp;Operators'!$C$1:$G$99999,5,FALSE)</f>
        <v>STORY SAMANTHA</v>
      </c>
      <c r="M129" s="6">
        <f>I129-F129</f>
        <v>2.5509259263344575E-2</v>
      </c>
      <c r="N129" s="7">
        <f>24*60*SUM($M129:$M129)</f>
        <v>36.733333339216188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-02T17:07:55-0600',mode:absolute,to:'2017-05-02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4.4900000000000002E-2</v>
      </c>
      <c r="Z129" s="192">
        <f>RIGHT(H129,LEN(H129)-4)/10000</f>
        <v>23.3355</v>
      </c>
      <c r="AA129" s="192">
        <f>ABS(Z129-Y129)</f>
        <v>23.290600000000001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>IF(LEN(A129)=6,"0"&amp;A129,A129)</f>
        <v>0217-02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/stypes="app*4010*20170503*" /stext=" 00:.+((SYSTEM_STATE.+slice.+state.+changed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9"/>
        <v>"%USERPROFILE%\Documents\GitHub\eaglep3\Utilities\RefineRTDCRunTimes.py" --tripid 217-02 --locoid 4010 --swversion DE.1.0.9.0 --startMP 204:449 --initTime 2017-05-02T18:07:55 --startdatetime 2017-05-02T18:15:30 --delay 3 --endMP 204:233355 --enddatetime 2017-05-02T18:52:14 --enforcementcount 0 &gt;&gt;C:\Users\stu\Documents\GitHub\eaglep3-reporting\EC\2017-05-02-refined-times.txt</v>
      </c>
      <c r="AI12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{"issue":{"subject":"","project_id":79,"tracker_id":40,"status_id":1,"priority_id":2,"assigned_to_id":23,"start_date":"2017-05-02","description":"","custom_fields":[{"id":1,"name":"Subdivision","value":"EC"},{"id":4,"name":"Milepost","value":"23.3355"},{"id":17,"name":"Train ID","value":"217-02"},{"id":16,"name":"Locomotive ID","value":"4010"},{"id":130,"name":"Impact","value":""},{"id":150,"name":"Time of Event (Mountain Time)","value":"18:52:14"},{"id":151,"name":"Denver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1"/>
        <v>start /low /b %USERPROFILE%\Documents\GitHub\eaglep3\Utilities\DownloadLogsFromS3.py --loco 4010 --day 2017-05-02</v>
      </c>
      <c r="AN12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785</v>
      </c>
      <c r="B130" s="7">
        <v>4009</v>
      </c>
      <c r="C130" s="21" t="s">
        <v>211</v>
      </c>
      <c r="D130" s="21" t="s">
        <v>878</v>
      </c>
      <c r="E130" s="13">
        <v>42857.794050925928</v>
      </c>
      <c r="F130" s="13">
        <v>42857.799687500003</v>
      </c>
      <c r="G130" s="7">
        <v>1</v>
      </c>
      <c r="H130" s="21" t="s">
        <v>879</v>
      </c>
      <c r="I130" s="13">
        <v>42857.826226851852</v>
      </c>
      <c r="J130" s="7">
        <v>0</v>
      </c>
      <c r="K130" s="92" t="str">
        <f>IF(ISEVEN(B130),(B130-1)&amp;"/"&amp;B130,B130&amp;"/"&amp;(B130+1))</f>
        <v>4009/4010</v>
      </c>
      <c r="L130" s="21" t="str">
        <f>VLOOKUP(A130,'Trips&amp;Operators'!$C$1:$G$99999,5,FALSE)</f>
        <v>STORY SAMANTHA</v>
      </c>
      <c r="M130" s="6">
        <f>I130-F130</f>
        <v>2.6539351849351078E-2</v>
      </c>
      <c r="N130" s="7">
        <f>24*60*SUM($M130:$M130)</f>
        <v>38.216666663065553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-02T18:03:26-0600',mode:absolute,to:'2017-05-02T20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23.3002</v>
      </c>
      <c r="Z130" s="192">
        <f>RIGHT(H130,LEN(H130)-4)/10000</f>
        <v>3.49E-2</v>
      </c>
      <c r="AA130" s="192">
        <f>ABS(Z130-Y130)</f>
        <v>23.2653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0218-02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/stypes="app*4009*20170503*" /stext=" 01:.+((SYSTEM_STATE.+slice.+state.+changed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9"/>
        <v>"%USERPROFILE%\Documents\GitHub\eaglep3\Utilities\RefineRTDCRunTimes.py" --tripid 218-02 --locoid 4009 --swversion DE.1.0.9.0 --startMP 204:233002 --initTime 2017-05-02T19:03:26 --startdatetime 2017-05-02T19:11:33 --delay 1 --endMP 204:349 --enddatetime 2017-05-02T19:49:46 --enforcementcount 0 &gt;&gt;C:\Users\stu\Documents\GitHub\eaglep3-reporting\EC\2017-05-02-refined-times.txt</v>
      </c>
      <c r="AI13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{"issue":{"subject":"","project_id":79,"tracker_id":40,"status_id":1,"priority_id":2,"assigned_to_id":23,"start_date":"2017-05-02","description":"","custom_fields":[{"id":1,"name":"Subdivision","value":"EC"},{"id":4,"name":"Milepost","value":"0.0349"},{"id":17,"name":"Train ID","value":"218-02"},{"id":16,"name":"Locomotive ID","value":"4009"},{"id":130,"name":"Impact","value":""},{"id":150,"name":"Time of Event (Mountain Time)","value":"19:49:46"},{"id":151,"name":"Denver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1"/>
        <v>start /low /b %USERPROFILE%\Documents\GitHub\eaglep3\Utilities\DownloadLogsFromS3.py --loco 4009 --day 2017-05-02</v>
      </c>
      <c r="AN13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779</v>
      </c>
      <c r="B131" s="7">
        <v>4022</v>
      </c>
      <c r="C131" s="21" t="s">
        <v>211</v>
      </c>
      <c r="D131" s="21" t="s">
        <v>390</v>
      </c>
      <c r="E131" s="13">
        <v>42857.768495370372</v>
      </c>
      <c r="F131" s="13">
        <v>42857.771365740744</v>
      </c>
      <c r="G131" s="7">
        <v>1</v>
      </c>
      <c r="H131" s="21" t="s">
        <v>490</v>
      </c>
      <c r="I131" s="13">
        <v>42857.796180555553</v>
      </c>
      <c r="J131" s="7">
        <v>0</v>
      </c>
      <c r="K131" s="92" t="str">
        <f>IF(ISEVEN(B131),(B131-1)&amp;"/"&amp;B131,B131&amp;"/"&amp;(B131+1))</f>
        <v>4021/4022</v>
      </c>
      <c r="L131" s="21" t="str">
        <f>VLOOKUP(A131,'Trips&amp;Operators'!$C$1:$G$99999,5,FALSE)</f>
        <v>STAMBAUGH JAMES</v>
      </c>
      <c r="M131" s="6">
        <f>I131-F131</f>
        <v>2.4814814809360541E-2</v>
      </c>
      <c r="N131" s="7">
        <f>24*60*SUM($M131:$M131)</f>
        <v>35.73333332547918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-02T17:26:38-0600',mode:absolute,to:'2017-05-02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4.58E-2</v>
      </c>
      <c r="Z131" s="192">
        <f>RIGHT(H131,LEN(H131)-4)/10000</f>
        <v>23.334099999999999</v>
      </c>
      <c r="AA131" s="192">
        <f>ABS(Z131-Y131)</f>
        <v>23.2883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0219-02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/stypes="app*4022*20170503*"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9"/>
        <v>"%USERPROFILE%\Documents\GitHub\eaglep3\Utilities\RefineRTDCRunTimes.py" --tripid 219-02 --locoid 4022 --swversion DE.1.0.9.0 --startMP 204:458 --initTime 2017-05-02T18:26:38 --startdatetime 2017-05-02T18:30:46 --delay 1 --endMP 204:233341 --enddatetime 2017-05-02T19:06:30 --enforcementcount 0 &gt;&gt;C:\Users\stu\Documents\GitHub\eaglep3-reporting\EC\2017-05-02-refined-times.txt</v>
      </c>
      <c r="AI131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{"issue":{"subject":"","project_id":79,"tracker_id":40,"status_id":1,"priority_id":2,"assigned_to_id":23,"start_date":"2017-05-02","description":"","custom_fields":[{"id":1,"name":"Subdivision","value":"EC"},{"id":4,"name":"Milepost","value":"23.3341"},{"id":17,"name":"Train ID","value":"219-02"},{"id":16,"name":"Locomotive ID","value":"4022"},{"id":130,"name":"Impact","value":""},{"id":150,"name":"Time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1"/>
        <v>start /low /b %USERPROFILE%\Documents\GitHub\eaglep3\Utilities\DownloadLogsFromS3.py --loco 4022 --day 2017-05-02</v>
      </c>
      <c r="AN131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787</v>
      </c>
      <c r="B132" s="7">
        <v>4021</v>
      </c>
      <c r="C132" s="21" t="s">
        <v>211</v>
      </c>
      <c r="D132" s="21" t="s">
        <v>880</v>
      </c>
      <c r="E132" s="13">
        <v>42857.803206018521</v>
      </c>
      <c r="F132" s="13">
        <v>42857.810104166667</v>
      </c>
      <c r="G132" s="7">
        <v>2</v>
      </c>
      <c r="H132" s="21" t="s">
        <v>459</v>
      </c>
      <c r="I132" s="13">
        <v>42857.837835648148</v>
      </c>
      <c r="J132" s="7">
        <v>0</v>
      </c>
      <c r="K132" s="92" t="str">
        <f>IF(ISEVEN(B132),(B132-1)&amp;"/"&amp;B132,B132&amp;"/"&amp;(B132+1))</f>
        <v>4021/4022</v>
      </c>
      <c r="L132" s="21" t="str">
        <f>VLOOKUP(A132,'Trips&amp;Operators'!$C$1:$G$99999,5,FALSE)</f>
        <v>STAMBAUGH JAMES</v>
      </c>
      <c r="M132" s="6">
        <f>I132-F132</f>
        <v>2.7731481481168885E-2</v>
      </c>
      <c r="N132" s="7">
        <f>24*60*SUM($M132:$M132)</f>
        <v>39.933333332883194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-02T18:16:37-0600',mode:absolute,to:'2017-05-02T21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23.310500000000001</v>
      </c>
      <c r="Z132" s="192">
        <f>RIGHT(H132,LEN(H132)-4)/10000</f>
        <v>1.3899999999999999E-2</v>
      </c>
      <c r="AA132" s="192">
        <f>ABS(Z132-Y132)</f>
        <v>23.296600000000002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0220-02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/stypes="app*4021*20170503*" /stext=" 02:.+((SYSTEM_STATE.+slice.+state.+changed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9"/>
        <v>"%USERPROFILE%\Documents\GitHub\eaglep3\Utilities\RefineRTDCRunTimes.py" --tripid 220-02 --locoid 4021 --swversion DE.1.0.9.0 --startMP 204:233105 --initTime 2017-05-02T19:16:37 --startdatetime 2017-05-02T19:26:33 --delay 2 --endMP 204:139 --enddatetime 2017-05-02T20:06:29 --enforcementcount 0 &gt;&gt;C:\Users\stu\Documents\GitHub\eaglep3-reporting\EC\2017-05-02-refined-times.txt</v>
      </c>
      <c r="AI132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{"issue":{"subject":"","project_id":79,"tracker_id":40,"status_id":1,"priority_id":2,"assigned_to_id":23,"start_date":"2017-05-02","description":"","custom_fields":[{"id":1,"name":"Subdivision","value":"EC"},{"id":4,"name":"Milepost","value":"0.0139"},{"id":17,"name":"Train ID","value":"220-02"},{"id":16,"name":"Locomotive ID","value":"4021"},{"id":130,"name":"Impact","value":""},{"id":150,"name":"Time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1"/>
        <v>start /low /b %USERPROFILE%\Documents\GitHub\eaglep3\Utilities\DownloadLogsFromS3.py --loco 4021 --day 2017-05-02</v>
      </c>
      <c r="AN13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784</v>
      </c>
      <c r="B133" s="7">
        <v>4030</v>
      </c>
      <c r="C133" s="21" t="s">
        <v>211</v>
      </c>
      <c r="D133" s="21" t="s">
        <v>881</v>
      </c>
      <c r="E133" s="13">
        <v>42857.785520833335</v>
      </c>
      <c r="F133" s="13">
        <v>42857.791956018518</v>
      </c>
      <c r="G133" s="7">
        <v>2</v>
      </c>
      <c r="H133" s="21" t="s">
        <v>882</v>
      </c>
      <c r="I133" s="13">
        <v>42857.817766203705</v>
      </c>
      <c r="J133" s="7">
        <v>0</v>
      </c>
      <c r="K133" s="92" t="str">
        <f>IF(ISEVEN(B133),(B133-1)&amp;"/"&amp;B133,B133&amp;"/"&amp;(B133+1))</f>
        <v>4029/4030</v>
      </c>
      <c r="L133" s="21" t="str">
        <f>VLOOKUP(A133,'Trips&amp;Operators'!$C$1:$G$99999,5,FALSE)</f>
        <v>DUNCAN SHEILA</v>
      </c>
      <c r="M133" s="6">
        <f>I133-F133</f>
        <v>2.5810185186855961E-2</v>
      </c>
      <c r="N133" s="7">
        <f>24*60*SUM($M133:$M133)</f>
        <v>37.166666669072583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-02T17:51:09-0600',mode:absolute,to:'2017-05-02T20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0.1135</v>
      </c>
      <c r="Z133" s="192">
        <f>RIGHT(H133,LEN(H133)-4)/10000</f>
        <v>23.338100000000001</v>
      </c>
      <c r="AA133" s="192">
        <f>ABS(Z133-Y133)</f>
        <v>23.224600000000002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0221-02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s3://rtdc.mdm.uploadarchive.raw/RTDC4030/ "%USERPROFILE%\AppData\Local\Temp\OnboardLogs"\RTDC4030\2017-05-02 --exclude "*" --recursive --include "*20170502*" &amp; "%USERPROFILE%\Documents\GitHub\mrs-test-scripts\Headless Mode &amp; Sideloading\WalkAndUnGZ.bat" "%USERPROFILE%\AppData\Local\Temp\OnboardLogs"\RTDC4030\2017-05-02 &amp; 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/stypes="app*4030*20170503*"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9"/>
        <v>"%USERPROFILE%\Documents\GitHub\eaglep3\Utilities\RefineRTDCRunTimes.py" --tripid 221-02 --locoid 4030 --swversion DE.1.0.9.0 --startMP 204:1135 --initTime 2017-05-02T18:51:09 --startdatetime 2017-05-02T19:00:25 --delay 2 --endMP 204:233381 --enddatetime 2017-05-02T19:37:35 --enforcementcount 0 &gt;&gt;C:\Users\stu\Documents\GitHub\eaglep3-reporting\EC\2017-05-02-refined-times.txt</v>
      </c>
      <c r="AI133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{"issue":{"subject":"","project_id":79,"tracker_id":40,"status_id":1,"priority_id":2,"assigned_to_id":23,"start_date":"2017-05-02","description":"","custom_fields":[{"id":1,"name":"Subdivision","value":"EC"},{"id":4,"name":"Milepost","value":"23.3381"},{"id":17,"name":"Train ID","value":"221-02"},{"id":16,"name":"Locomotive ID","value":"4030"},{"id":130,"name":"Impact","value":""},{"id":150,"name":"Time of Event (Mountain Time)","value":"19:37:35"},{"id":151,"name":"Denver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1"/>
        <v>start /low /b %USERPROFILE%\Documents\GitHub\eaglep3\Utilities\DownloadLogsFromS3.py --loco 4030 --day 2017-05-02</v>
      </c>
      <c r="AN13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789</v>
      </c>
      <c r="B134" s="7">
        <v>4029</v>
      </c>
      <c r="C134" s="21" t="s">
        <v>211</v>
      </c>
      <c r="D134" s="21" t="s">
        <v>883</v>
      </c>
      <c r="E134" s="13">
        <v>42857.826886574076</v>
      </c>
      <c r="F134" s="13">
        <v>42857.830729166664</v>
      </c>
      <c r="G134" s="7">
        <v>1</v>
      </c>
      <c r="H134" s="21" t="s">
        <v>884</v>
      </c>
      <c r="I134" s="13">
        <v>42857.857928240737</v>
      </c>
      <c r="J134" s="7">
        <v>0</v>
      </c>
      <c r="K134" s="92" t="str">
        <f>IF(ISEVEN(B134),(B134-1)&amp;"/"&amp;B134,B134&amp;"/"&amp;(B134+1))</f>
        <v>4029/4030</v>
      </c>
      <c r="L134" s="21" t="str">
        <f>VLOOKUP(A134,'Trips&amp;Operators'!$C$1:$G$99999,5,FALSE)</f>
        <v>DUNCAN SHEILA</v>
      </c>
      <c r="M134" s="6">
        <f>I134-F134</f>
        <v>2.7199074072996154E-2</v>
      </c>
      <c r="N134" s="7">
        <f>24*60*SUM($M134:$M134)</f>
        <v>39.166666665114462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-02T18:50:43-0600',mode:absolute,to:'2017-05-02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23.307400000000001</v>
      </c>
      <c r="Z134" s="192">
        <f>RIGHT(H134,LEN(H134)-4)/10000</f>
        <v>0.20069999999999999</v>
      </c>
      <c r="AA134" s="192">
        <f>ABS(Z134-Y134)</f>
        <v>23.1067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0222-02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 &amp; 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/stypes="app*4029*20170503*" /stext=" 02:.+((SYSTEM_STATE.+slice.+state.+changed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9"/>
        <v>"%USERPROFILE%\Documents\GitHub\eaglep3\Utilities\RefineRTDCRunTimes.py" --tripid 222-02 --locoid 4029 --swversion DE.1.0.9.0 --startMP 204:233074 --initTime 2017-05-02T19:50:43 --startdatetime 2017-05-02T19:56:15 --delay 1 --endMP 204:2007 --enddatetime 2017-05-02T20:35:25 --enforcementcount 0 &gt;&gt;C:\Users\stu\Documents\GitHub\eaglep3-reporting\EC\2017-05-02-refined-times.txt</v>
      </c>
      <c r="AI134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{"issue":{"subject":"","project_id":79,"tracker_id":40,"status_id":1,"priority_id":2,"assigned_to_id":23,"start_date":"2017-05-02","description":"","custom_fields":[{"id":1,"name":"Subdivision","value":"EC"},{"id":4,"name":"Milepost","value":"0.2007"},{"id":17,"name":"Train ID","value":"222-02"},{"id":16,"name":"Locomotive ID","value":"4029"},{"id":130,"name":"Impact","value":""},{"id":150,"name":"Time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1"/>
        <v>start /low /b %USERPROFILE%\Documents\GitHub\eaglep3\Utilities\DownloadLogsFromS3.py --loco 4029 --day 2017-05-02</v>
      </c>
      <c r="AN13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610</v>
      </c>
      <c r="B135" s="7">
        <v>4042</v>
      </c>
      <c r="C135" s="21" t="s">
        <v>211</v>
      </c>
      <c r="D135" s="21" t="s">
        <v>368</v>
      </c>
      <c r="E135" s="13">
        <v>42857.805833333332</v>
      </c>
      <c r="F135" s="13">
        <v>42857.812754629631</v>
      </c>
      <c r="G135" s="7">
        <v>1</v>
      </c>
      <c r="H135" s="21" t="s">
        <v>435</v>
      </c>
      <c r="I135" s="13">
        <v>42857.837210648147</v>
      </c>
      <c r="J135" s="7">
        <v>0</v>
      </c>
      <c r="K135" s="92" t="str">
        <f>IF(ISEVEN(B135),(B135-1)&amp;"/"&amp;B135,B135&amp;"/"&amp;(B135+1))</f>
        <v>4041/4042</v>
      </c>
      <c r="L135" s="21" t="str">
        <f>VLOOKUP(A135,'Trips&amp;Operators'!$C$1:$G$99999,5,FALSE)</f>
        <v>NEWELL JAMES</v>
      </c>
      <c r="M135" s="6">
        <f>I135-F135</f>
        <v>2.4456018516502809E-2</v>
      </c>
      <c r="N135" s="7">
        <f>24*60*SUM($M135:$M135)</f>
        <v>35.216666663764045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-02T18:20:24-0600',mode:absolute,to:'2017-05-02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4.4900000000000002E-2</v>
      </c>
      <c r="Z135" s="192">
        <f>RIGHT(H135,LEN(H135)-4)/10000</f>
        <v>23.330300000000001</v>
      </c>
      <c r="AA135" s="192">
        <f>ABS(Z135-Y135)</f>
        <v>23.285400000000003</v>
      </c>
      <c r="AB135" s="57" t="str">
        <f>VLOOKUP(A135,Enforcements!$C$7:$K$13,8,0)</f>
        <v>Speed (6)</v>
      </c>
      <c r="AC135" s="53" t="str">
        <f>VLOOKUP(A135,Enforcements!$C$7:$E$13,3,0)</f>
        <v>PERMANENT SPEED RESTRICTION</v>
      </c>
      <c r="AD135" s="54" t="str">
        <f>IF(LEN(A135)=6,"0"&amp;A135,A135)</f>
        <v>0223-02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/stypes="app*4042*20170503*"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9"/>
        <v>"%USERPROFILE%\Documents\GitHub\eaglep3\Utilities\RefineRTDCRunTimes.py" --tripid 223-02 --locoid 4042 --swversion DE.1.0.9.0 --startMP 204:449 --initTime 2017-05-02T19:20:24 --startdatetime 2017-05-02T19:30:22 --delay 1 --endMP 204:233303 --enddatetime 2017-05-02T20:05:35 --enforcementcount 0 &gt;&gt;C:\Users\stu\Documents\GitHub\eaglep3-reporting\EC\2017-05-02-refined-times.txt</v>
      </c>
      <c r="AI135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{"issue":{"subject":"","project_id":79,"tracker_id":40,"status_id":1,"priority_id":2,"assigned_to_id":23,"start_date":"2017-05-02","description":"","custom_fields":[{"id":1,"name":"Subdivision","value":"EC"},{"id":4,"name":"Milepost","value":"23.3303"},{"id":17,"name":"Train ID","value":"223-02"},{"id":16,"name":"Locomotive ID","value":"4042"},{"id":130,"name":"Impact","value":""},{"id":150,"name":"Time of Event (Mountain Time)","value":"20:05:35"},{"id":151,"name":"Denver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1"/>
        <v>start /low /b %USERPROFILE%\Documents\GitHub\eaglep3\Utilities\DownloadLogsFromS3.py --loco 4042 --day 2017-05-02</v>
      </c>
      <c r="AN13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790</v>
      </c>
      <c r="B136" s="7">
        <v>4041</v>
      </c>
      <c r="C136" s="21" t="s">
        <v>211</v>
      </c>
      <c r="D136" s="21" t="s">
        <v>552</v>
      </c>
      <c r="E136" s="13">
        <v>42857.838263888887</v>
      </c>
      <c r="F136" s="13">
        <v>42857.851539351854</v>
      </c>
      <c r="G136" s="7">
        <v>1</v>
      </c>
      <c r="H136" s="21" t="s">
        <v>426</v>
      </c>
      <c r="I136" s="13">
        <v>42857.87709490741</v>
      </c>
      <c r="J136" s="7">
        <v>0</v>
      </c>
      <c r="K136" s="92" t="str">
        <f>IF(ISEVEN(B136),(B136-1)&amp;"/"&amp;B136,B136&amp;"/"&amp;(B136+1))</f>
        <v>4041/4042</v>
      </c>
      <c r="L136" s="21" t="str">
        <f>VLOOKUP(A136,'Trips&amp;Operators'!$C$1:$G$99999,5,FALSE)</f>
        <v>NEWELL JAMES</v>
      </c>
      <c r="M136" s="6">
        <f>I136-F136</f>
        <v>2.5555555555911269E-2</v>
      </c>
      <c r="N136" s="7">
        <f>24*60*SUM($M136:$M136)</f>
        <v>36.800000000512227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-02T19:07:06-0600',mode:absolute,to:'2017-05-02T22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23.296500000000002</v>
      </c>
      <c r="Z136" s="192">
        <f>RIGHT(H136,LEN(H136)-4)/10000</f>
        <v>1.5599999999999999E-2</v>
      </c>
      <c r="AA136" s="192">
        <f>ABS(Z136-Y136)</f>
        <v>23.280900000000003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0224-02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/stypes="app*4041*20170503*" /stext=" 03:.+((SYSTEM_STATE.+slice.+state.+changed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9"/>
        <v>"%USERPROFILE%\Documents\GitHub\eaglep3\Utilities\RefineRTDCRunTimes.py" --tripid 224-02 --locoid 4041 --swversion DE.1.0.9.0 --startMP 204:232965 --initTime 2017-05-02T20:07:06 --startdatetime 2017-05-02T20:26:13 --delay 1 --endMP 204:156 --enddatetime 2017-05-02T21:03:01 --enforcementcount 0 &gt;&gt;C:\Users\stu\Documents\GitHub\eaglep3-reporting\EC\2017-05-02-refined-times.txt</v>
      </c>
      <c r="AI136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{"issue":{"subject":"","project_id":79,"tracker_id":40,"status_id":1,"priority_id":2,"assigned_to_id":23,"start_date":"2017-05-02","description":"","custom_fields":[{"id":1,"name":"Subdivision","value":"EC"},{"id":4,"name":"Milepost","value":"0.0156"},{"id":17,"name":"Train ID","value":"224-02"},{"id":16,"name":"Locomotive ID","value":"4041"},{"id":130,"name":"Impact","value":""},{"id":150,"name":"Time of Event (Mountain Time)","value":"21:03:01"},{"id":151,"name":"Denver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1"/>
        <v>start /low /b %USERPROFILE%\Documents\GitHub\eaglep3\Utilities\DownloadLogsFromS3.py --loco 4041 --day 2017-05-02</v>
      </c>
      <c r="AN13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613</v>
      </c>
      <c r="B137" s="7">
        <v>4010</v>
      </c>
      <c r="C137" s="21" t="s">
        <v>211</v>
      </c>
      <c r="D137" s="21" t="s">
        <v>580</v>
      </c>
      <c r="E137" s="13">
        <v>42857.828240740739</v>
      </c>
      <c r="F137" s="13">
        <v>42857.833518518521</v>
      </c>
      <c r="G137" s="7">
        <v>1</v>
      </c>
      <c r="H137" s="21" t="s">
        <v>555</v>
      </c>
      <c r="I137" s="13">
        <v>42857.858414351853</v>
      </c>
      <c r="J137" s="7">
        <v>0</v>
      </c>
      <c r="K137" s="92" t="str">
        <f>IF(ISEVEN(B137),(B137-1)&amp;"/"&amp;B137,B137&amp;"/"&amp;(B137+1))</f>
        <v>4009/4010</v>
      </c>
      <c r="L137" s="21" t="str">
        <f>VLOOKUP(A137,'Trips&amp;Operators'!$C$1:$G$99999,5,FALSE)</f>
        <v>STORY SAMANTHA</v>
      </c>
      <c r="M137" s="6">
        <f>I137-F137</f>
        <v>2.4895833332266193E-2</v>
      </c>
      <c r="N137" s="7">
        <f>24*60*SUM($M137:$M137)</f>
        <v>35.849999998463318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-02T18:52:40-0600',mode:absolute,to:'2017-05-02T21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6.4199999999999993E-2</v>
      </c>
      <c r="Z137" s="192">
        <f>RIGHT(H137,LEN(H137)-4)/10000</f>
        <v>23.332899999999999</v>
      </c>
      <c r="AA137" s="192">
        <f>ABS(Z137-Y137)</f>
        <v>23.268699999999999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0225-02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/stypes="app*4010*20170503*"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9"/>
        <v>"%USERPROFILE%\Documents\GitHub\eaglep3\Utilities\RefineRTDCRunTimes.py" --tripid 225-02 --locoid 4010 --swversion DE.1.0.9.0 --startMP 204:642 --initTime 2017-05-02T19:52:40 --startdatetime 2017-05-02T20:00:16 --delay 1 --endMP 204:233329 --enddatetime 2017-05-02T20:36:07 --enforcementcount 0 &gt;&gt;C:\Users\stu\Documents\GitHub\eaglep3-reporting\EC\2017-05-02-refined-times.txt</v>
      </c>
      <c r="AI137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{"issue":{"subject":"","project_id":79,"tracker_id":40,"status_id":1,"priority_id":2,"assigned_to_id":23,"start_date":"2017-05-02","description":"","custom_fields":[{"id":1,"name":"Subdivision","value":"EC"},{"id":4,"name":"Milepost","value":"23.3329"},{"id":17,"name":"Train ID","value":"225-02"},{"id":16,"name":"Locomotive ID","value":"4010"},{"id":130,"name":"Impact","value":""},{"id":150,"name":"Time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1"/>
        <v>start /low /b %USERPROFILE%\Documents\GitHub\eaglep3\Utilities\DownloadLogsFromS3.py --loco 4010 --day 2017-05-02</v>
      </c>
      <c r="AN13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793</v>
      </c>
      <c r="B138" s="7">
        <v>4009</v>
      </c>
      <c r="C138" s="21" t="s">
        <v>211</v>
      </c>
      <c r="D138" s="21" t="s">
        <v>483</v>
      </c>
      <c r="E138" s="13">
        <v>42857.868946759256</v>
      </c>
      <c r="F138" s="13">
        <v>42857.872476851851</v>
      </c>
      <c r="G138" s="7">
        <v>2</v>
      </c>
      <c r="H138" s="21" t="s">
        <v>408</v>
      </c>
      <c r="I138" s="13">
        <v>42857.899259259262</v>
      </c>
      <c r="J138" s="7">
        <v>0</v>
      </c>
      <c r="K138" s="92" t="str">
        <f>IF(ISEVEN(B138),(B138-1)&amp;"/"&amp;B138,B138&amp;"/"&amp;(B138+1))</f>
        <v>4009/4010</v>
      </c>
      <c r="L138" s="21" t="str">
        <f>VLOOKUP(A138,'Trips&amp;Operators'!$C$1:$G$99999,5,FALSE)</f>
        <v>STORY SAMANTHA</v>
      </c>
      <c r="M138" s="6">
        <f>I138-F138</f>
        <v>2.6782407410792075E-2</v>
      </c>
      <c r="N138" s="7">
        <f>24*60*SUM($M138:$M138)</f>
        <v>38.566666671540588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-02T19:51:17-0600',mode:absolute,to:'2017-05-02T22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23.3</v>
      </c>
      <c r="Z138" s="192">
        <f>RIGHT(H138,LEN(H138)-4)/10000</f>
        <v>1.49E-2</v>
      </c>
      <c r="AA138" s="192">
        <f>ABS(Z138-Y138)</f>
        <v>23.2851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>IF(LEN(A138)=6,"0"&amp;A138,A138)</f>
        <v>0226-02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/stypes="app*4009*20170503*" /stext=" 03:.+((SYSTEM_STATE.+slice.+state.+changed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9"/>
        <v>"%USERPROFILE%\Documents\GitHub\eaglep3\Utilities\RefineRTDCRunTimes.py" --tripid 226-02 --locoid 4009 --swversion DE.1.0.9.0 --startMP 204:233000 --initTime 2017-05-02T20:51:17 --startdatetime 2017-05-02T20:56:22 --delay 2 --endMP 204:149 --enddatetime 2017-05-02T21:34:56 --enforcementcount 0 &gt;&gt;C:\Users\stu\Documents\GitHub\eaglep3-reporting\EC\2017-05-02-refined-times.txt</v>
      </c>
      <c r="AI138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ID","value":"226-02"},{"id":16,"name":"Locomotive ID","value":"4009"},{"id":130,"name":"Impact","value":""},{"id":150,"name":"Time of Event (Mountain Time)","value":"21:34:56"},{"id":151,"name":"Denver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1"/>
        <v>start /low /b %USERPROFILE%\Documents\GitHub\eaglep3\Utilities\DownloadLogsFromS3.py --loco 4009 --day 2017-05-02</v>
      </c>
      <c r="AN13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791</v>
      </c>
      <c r="B139" s="7">
        <v>4022</v>
      </c>
      <c r="C139" s="21" t="s">
        <v>211</v>
      </c>
      <c r="D139" s="21" t="s">
        <v>383</v>
      </c>
      <c r="E139" s="13">
        <v>42857.838738425926</v>
      </c>
      <c r="F139" s="13">
        <v>42857.854687500003</v>
      </c>
      <c r="G139" s="7">
        <v>1</v>
      </c>
      <c r="H139" s="21" t="s">
        <v>885</v>
      </c>
      <c r="I139" s="13">
        <v>42857.879606481481</v>
      </c>
      <c r="J139" s="7">
        <v>0</v>
      </c>
      <c r="K139" s="92" t="str">
        <f>IF(ISEVEN(B139),(B139-1)&amp;"/"&amp;B139,B139&amp;"/"&amp;(B139+1))</f>
        <v>4021/4022</v>
      </c>
      <c r="L139" s="21" t="str">
        <f>VLOOKUP(A139,'Trips&amp;Operators'!$C$1:$G$99999,5,FALSE)</f>
        <v>STAMBAUGH JAMES</v>
      </c>
      <c r="M139" s="6">
        <f>I139-F139</f>
        <v>2.491898147854954E-2</v>
      </c>
      <c r="N139" s="7">
        <f>24*60*SUM($M139:$M139)</f>
        <v>35.883333329111338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-02T19:07:47-0600',mode:absolute,to:'2017-05-02T22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4.4600000000000001E-2</v>
      </c>
      <c r="Z139" s="192">
        <f>RIGHT(H139,LEN(H139)-4)/10000</f>
        <v>23.341000000000001</v>
      </c>
      <c r="AA139" s="192">
        <f>ABS(Z139-Y139)</f>
        <v>23.296400000000002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0227-02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/stypes="app*4022*20170503*"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9"/>
        <v>"%USERPROFILE%\Documents\GitHub\eaglep3\Utilities\RefineRTDCRunTimes.py" --tripid 227-02 --locoid 4022 --swversion DE.1.0.9.0 --startMP 204:446 --initTime 2017-05-02T20:07:47 --startdatetime 2017-05-02T20:30:45 --delay 1 --endMP 204:233410 --enddatetime 2017-05-02T21:06:38 --enforcementcount 0 &gt;&gt;C:\Users\stu\Documents\GitHub\eaglep3-reporting\EC\2017-05-02-refined-times.txt</v>
      </c>
      <c r="AI139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{"issue":{"subject":"","project_id":79,"tracker_id":40,"status_id":1,"priority_id":2,"assigned_to_id":23,"start_date":"2017-05-02","description":"","custom_fields":[{"id":1,"name":"Subdivision","value":"EC"},{"id":4,"name":"Milepost","value":"23.341"},{"id":17,"name":"Train ID","value":"227-02"},{"id":16,"name":"Locomotive ID","value":"4022"},{"id":130,"name":"Impact","value":""},{"id":150,"name":"Time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1"/>
        <v>start /low /b %USERPROFILE%\Documents\GitHub\eaglep3\Utilities\DownloadLogsFromS3.py --loco 4022 --day 2017-05-02</v>
      </c>
      <c r="AN13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797</v>
      </c>
      <c r="B140" s="7">
        <v>4021</v>
      </c>
      <c r="C140" s="21" t="s">
        <v>211</v>
      </c>
      <c r="D140" s="21" t="s">
        <v>886</v>
      </c>
      <c r="E140" s="13">
        <v>42857.886550925927</v>
      </c>
      <c r="F140" s="13">
        <v>42857.893425925926</v>
      </c>
      <c r="G140" s="7">
        <v>2</v>
      </c>
      <c r="H140" s="21" t="s">
        <v>855</v>
      </c>
      <c r="I140" s="13">
        <v>42857.919456018521</v>
      </c>
      <c r="J140" s="7">
        <v>0</v>
      </c>
      <c r="K140" s="92" t="str">
        <f>IF(ISEVEN(B140),(B140-1)&amp;"/"&amp;B140,B140&amp;"/"&amp;(B140+1))</f>
        <v>4021/4022</v>
      </c>
      <c r="L140" s="21" t="str">
        <f>VLOOKUP(A140,'Trips&amp;Operators'!$C$1:$G$99999,5,FALSE)</f>
        <v>STAMBAUGH JAMES</v>
      </c>
      <c r="M140" s="6">
        <f>I140-F140</f>
        <v>2.6030092594737653E-2</v>
      </c>
      <c r="N140" s="7">
        <f>24*60*SUM($M140:$M140)</f>
        <v>37.48333333642222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-02T20:16:38-0600',mode:absolute,to:'2017-05-02T23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192">
        <f>RIGHT(D140,LEN(D140)-4)/10000</f>
        <v>23.308399999999999</v>
      </c>
      <c r="Z140" s="192">
        <f>RIGHT(H140,LEN(H140)-4)/10000</f>
        <v>1.2999999999999999E-2</v>
      </c>
      <c r="AA140" s="192">
        <f>ABS(Z140-Y140)</f>
        <v>23.295399999999997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0228-02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/stypes="app*4021*20170503*" /stext=" 04:.+((SYSTEM_STATE.+slice.+state.+changed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9"/>
        <v>"%USERPROFILE%\Documents\GitHub\eaglep3\Utilities\RefineRTDCRunTimes.py" --tripid 228-02 --locoid 4021 --swversion DE.1.0.9.0 --startMP 204:233084 --initTime 2017-05-02T21:16:38 --startdatetime 2017-05-02T21:26:32 --delay 2 --endMP 204:130 --enddatetime 2017-05-02T22:04:01 --enforcementcount 0 &gt;&gt;C:\Users\stu\Documents\GitHub\eaglep3-reporting\EC\2017-05-02-refined-times.txt</v>
      </c>
      <c r="AI140" s="99" t="str">
        <f t="shared" si="10"/>
        <v>echo {"issue":{"subject":"","project_id":79,"tracker_id":40,"status_id":1,"priority_id":2,"assigned_to_id":23,"start_date":"2017-05-02","description":"","custom_fields":[{"id":1,"name":"Subdivision","value":"EC"},{"id":4,"name":"Milepost","value":"0.013"},{"id":17,"name":"Train ID","value":"228-02"},{"id":16,"name":"Locomotive ID","value":"4021"},{"id":130,"name":"Impact","value":""},{"id":150,"name":"Time of Event (Mountain Time)","value":"22:04:01"},{"id":151,"name":"Denver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1"/>
        <v>start /low /b %USERPROFILE%\Documents\GitHub\eaglep3\Utilities\DownloadLogsFromS3.py --loco 4021 --day 2017-05-02</v>
      </c>
      <c r="AN14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04:04:01"},{"id":29,"name":"Sharepoint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794</v>
      </c>
      <c r="B141" s="7">
        <v>4026</v>
      </c>
      <c r="C141" s="21" t="s">
        <v>211</v>
      </c>
      <c r="D141" s="21" t="s">
        <v>887</v>
      </c>
      <c r="E141" s="13">
        <v>42857.873078703706</v>
      </c>
      <c r="F141" s="13">
        <v>42857.875393518516</v>
      </c>
      <c r="G141" s="7">
        <v>2</v>
      </c>
      <c r="H141" s="21" t="s">
        <v>492</v>
      </c>
      <c r="I141" s="13">
        <v>42857.901180555556</v>
      </c>
      <c r="J141" s="7">
        <v>0</v>
      </c>
      <c r="K141" s="92" t="str">
        <f>IF(ISEVEN(B141),(B141-1)&amp;"/"&amp;B141,B141&amp;"/"&amp;(B141+1))</f>
        <v>4025/4026</v>
      </c>
      <c r="L141" s="21" t="str">
        <f>VLOOKUP(A141,'Trips&amp;Operators'!$C$1:$G$99999,5,FALSE)</f>
        <v>CHANDLER KELVIN</v>
      </c>
      <c r="M141" s="6">
        <f>I141-F141</f>
        <v>2.5787037040572613E-2</v>
      </c>
      <c r="N141" s="7">
        <f>24*60*SUM($M141:$M141)</f>
        <v>37.133333338424563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-02T19:57:14-0600',mode:absolute,to:'2017-05-02T22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192">
        <f>RIGHT(D141,LEN(D141)-4)/10000</f>
        <v>3.3599999999999998E-2</v>
      </c>
      <c r="Z141" s="192">
        <f>RIGHT(H141,LEN(H141)-4)/10000</f>
        <v>23.328199999999999</v>
      </c>
      <c r="AA141" s="192">
        <f>ABS(Z141-Y141)</f>
        <v>23.294599999999999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>IF(LEN(A141)=6,"0"&amp;A141,A141)</f>
        <v>0229-02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/stypes="app*4026*20170503*"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ref="AH141:AH205" si="1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229-02 --locoid 4026 --swversion DE.1.0.9.0 --startMP 204:336 --initTime 2017-05-02T20:57:14 --startdatetime 2017-05-02T21:00:34 --delay 2 --endMP 204:233282 --enddatetime 2017-05-02T21:37:42 --enforcementcount 0 &gt;&gt;C:\Users\stu\Documents\GitHub\eaglep3-reporting\EC\2017-05-02-refined-times.txt</v>
      </c>
      <c r="AI141" s="99" t="str">
        <f t="shared" ref="AI141:AI205" si="1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{"issue":{"subject":"","project_id":79,"tracker_id":40,"status_id":1,"priority_id":2,"assigned_to_id":23,"start_date":"2017-05-02","description":"","custom_fields":[{"id":1,"name":"Subdivision","value":"EC"},{"id":4,"name":"Milepost","value":"23.3282"},{"id":17,"name":"Train ID","value":"229-02"},{"id":16,"name":"Locomotive ID","value":"4026"},{"id":130,"name":"Impact","value":""},{"id":150,"name":"Time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5" si="15">"start /low /b "&amp;dls3logs&amp;" --loco "&amp;B141&amp;" --day "&amp;TEXT(F141,"YYYY-MM-DD")</f>
        <v>start /low /b %USERPROFILE%\Documents\GitHub\eaglep3\Utilities\DownloadLogsFromS3.py --loco 4026 --day 2017-05-02</v>
      </c>
      <c r="AN141" s="154" t="str">
        <f t="shared" ref="AN141:AN205" si="1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800</v>
      </c>
      <c r="B142" s="7">
        <v>4025</v>
      </c>
      <c r="C142" s="21" t="s">
        <v>211</v>
      </c>
      <c r="D142" s="21" t="s">
        <v>870</v>
      </c>
      <c r="E142" s="13">
        <v>42857.913194444445</v>
      </c>
      <c r="F142" s="13">
        <v>42857.914456018516</v>
      </c>
      <c r="G142" s="7">
        <v>1</v>
      </c>
      <c r="H142" s="21" t="s">
        <v>480</v>
      </c>
      <c r="I142" s="13">
        <v>42857.942511574074</v>
      </c>
      <c r="J142" s="7">
        <v>0</v>
      </c>
      <c r="K142" s="92" t="str">
        <f>IF(ISEVEN(B142),(B142-1)&amp;"/"&amp;B142,B142&amp;"/"&amp;(B142+1))</f>
        <v>4025/4026</v>
      </c>
      <c r="L142" s="21" t="str">
        <f>VLOOKUP(A142,'Trips&amp;Operators'!$C$1:$G$99999,5,FALSE)</f>
        <v>CHANDLER KELVIN</v>
      </c>
      <c r="M142" s="6">
        <f>I142-F142</f>
        <v>2.8055555558239575E-2</v>
      </c>
      <c r="N142" s="7">
        <f>24*60*SUM($M142:$M142)</f>
        <v>40.400000003864989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-02T20:55:00-0600',mode:absolute,to:'2017-05-02T23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192">
        <f>RIGHT(D142,LEN(D142)-4)/10000</f>
        <v>23.297499999999999</v>
      </c>
      <c r="Z142" s="192">
        <f>RIGHT(H142,LEN(H142)-4)/10000</f>
        <v>1.41E-2</v>
      </c>
      <c r="AA142" s="192">
        <f>ABS(Z142-Y142)</f>
        <v>23.2834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0230-02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/stypes="app*4025*20170503*" /stext=" 04:.+((SYSTEM_STATE.+slice.+state.+changed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3"/>
        <v>"%USERPROFILE%\Documents\GitHub\eaglep3\Utilities\RefineRTDCRunTimes.py" --tripid 230-02 --locoid 4025 --swversion DE.1.0.9.0 --startMP 204:232975 --initTime 2017-05-02T21:55:00 --startdatetime 2017-05-02T21:56:49 --delay 1 --endMP 204:141 --enddatetime 2017-05-02T22:37:13 --enforcementcount 0 &gt;&gt;C:\Users\stu\Documents\GitHub\eaglep3-reporting\EC\2017-05-02-refined-times.txt</v>
      </c>
      <c r="AI142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{"issue":{"subject":"","project_id":79,"tracker_id":40,"status_id":1,"priority_id":2,"assigned_to_id":23,"start_date":"2017-05-02","description":"","custom_fields":[{"id":1,"name":"Subdivision","value":"EC"},{"id":4,"name":"Milepost","value":"0.0141"},{"id":17,"name":"Train ID","value":"230-02"},{"id":16,"name":"Locomotive ID","value":"4025"},{"id":130,"name":"Impact","value":""},{"id":150,"name":"Time of Event (Mountain Time)","value":"22:37:13"},{"id":151,"name":"Denver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5"/>
        <v>start /low /b %USERPROFILE%\Documents\GitHub\eaglep3\Utilities\DownloadLogsFromS3.py --loco 4025 --day 2017-05-02</v>
      </c>
      <c r="AN142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04:37:13"},{"id":29,"name":"Sharepoint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796</v>
      </c>
      <c r="B143" s="7">
        <v>4042</v>
      </c>
      <c r="C143" s="21" t="s">
        <v>211</v>
      </c>
      <c r="D143" s="21" t="s">
        <v>414</v>
      </c>
      <c r="E143" s="13">
        <v>42857.883252314816</v>
      </c>
      <c r="F143" s="13">
        <v>42857.895983796298</v>
      </c>
      <c r="G143" s="7">
        <v>1</v>
      </c>
      <c r="H143" s="21" t="s">
        <v>481</v>
      </c>
      <c r="I143" s="13">
        <v>42857.920856481483</v>
      </c>
      <c r="J143" s="7">
        <v>0</v>
      </c>
      <c r="K143" s="92" t="str">
        <f>IF(ISEVEN(B143),(B143-1)&amp;"/"&amp;B143,B143&amp;"/"&amp;(B143+1))</f>
        <v>4041/4042</v>
      </c>
      <c r="L143" s="21" t="str">
        <f>VLOOKUP(A143,'Trips&amp;Operators'!$C$1:$G$99999,5,FALSE)</f>
        <v>NEWELL JAMES</v>
      </c>
      <c r="M143" s="6">
        <f>I143-F143</f>
        <v>2.4872685185982846E-2</v>
      </c>
      <c r="N143" s="7">
        <f>24*60*SUM($M143:$M143)</f>
        <v>35.816666667815298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-02T20:11:53-0600',mode:absolute,to:'2017-05-02T23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192">
        <f>RIGHT(D143,LEN(D143)-4)/10000</f>
        <v>4.6899999999999997E-2</v>
      </c>
      <c r="Z143" s="192">
        <f>RIGHT(H143,LEN(H143)-4)/10000</f>
        <v>23.331800000000001</v>
      </c>
      <c r="AA143" s="192">
        <f>ABS(Z143-Y143)</f>
        <v>23.2849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0231-02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/stypes="app*4042*20170503*"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3"/>
        <v>"%USERPROFILE%\Documents\GitHub\eaglep3\Utilities\RefineRTDCRunTimes.py" --tripid 231-02 --locoid 4042 --swversion DE.1.0.9.0 --startMP 204:469 --initTime 2017-05-02T21:11:53 --startdatetime 2017-05-02T21:30:13 --delay 1 --endMP 204:233318 --enddatetime 2017-05-02T22:06:02 --enforcementcount 0 &gt;&gt;C:\Users\stu\Documents\GitHub\eaglep3-reporting\EC\2017-05-02-refined-times.txt</v>
      </c>
      <c r="AI143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{"issue":{"subject":"","project_id":79,"tracker_id":40,"status_id":1,"priority_id":2,"assigned_to_id":23,"start_date":"2017-05-02","description":"","custom_fields":[{"id":1,"name":"Subdivision","value":"EC"},{"id":4,"name":"Milepost","value":"23.3318"},{"id":17,"name":"Train ID","value":"231-02"},{"id":16,"name":"Locomotive ID","value":"4042"},{"id":130,"name":"Impact","value":""},{"id":150,"name":"Time of Event (Mountain Time)","value":"22:06:02"},{"id":151,"name":"Denver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5"/>
        <v>start /low /b %USERPROFILE%\Documents\GitHub\eaglep3\Utilities\DownloadLogsFromS3.py --loco 4042 --day 2017-05-02</v>
      </c>
      <c r="AN143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803</v>
      </c>
      <c r="B144" s="7">
        <v>4041</v>
      </c>
      <c r="C144" s="21" t="s">
        <v>211</v>
      </c>
      <c r="D144" s="21" t="s">
        <v>445</v>
      </c>
      <c r="E144" s="13">
        <v>42857.930543981478</v>
      </c>
      <c r="F144" s="13">
        <v>42857.934872685182</v>
      </c>
      <c r="G144" s="7">
        <v>1</v>
      </c>
      <c r="H144" s="21" t="s">
        <v>408</v>
      </c>
      <c r="I144" s="13">
        <v>42857.960601851853</v>
      </c>
      <c r="J144" s="7">
        <v>0</v>
      </c>
      <c r="K144" s="92" t="str">
        <f>IF(ISEVEN(B144),(B144-1)&amp;"/"&amp;B144,B144&amp;"/"&amp;(B144+1))</f>
        <v>4041/4042</v>
      </c>
      <c r="L144" s="21" t="str">
        <f>VLOOKUP(A144,'Trips&amp;Operators'!$C$1:$G$99999,5,FALSE)</f>
        <v>NEWELL JAMES</v>
      </c>
      <c r="M144" s="6">
        <f>I144-F144</f>
        <v>2.5729166671226267E-2</v>
      </c>
      <c r="N144" s="7">
        <f>24*60*SUM($M144:$M144)</f>
        <v>37.050000006565824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-02T21:19:59-0600',mode:absolute,to:'2017-05-03T00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192">
        <f>RIGHT(D144,LEN(D144)-4)/10000</f>
        <v>23.298400000000001</v>
      </c>
      <c r="Z144" s="192">
        <f>RIGHT(H144,LEN(H144)-4)/10000</f>
        <v>1.49E-2</v>
      </c>
      <c r="AA144" s="192">
        <f>ABS(Z144-Y144)</f>
        <v>23.2835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0232-02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s3://rtdc.mdm.uploadarchive.raw/RTDC4041/ "%USERPROFILE%\AppData\Local\Temp\OnboardLogs"\RTDC4041\2017-05-02 --exclude "*" --recursive --include "*20170502*" &amp; "%USERPROFILE%\Documents\GitHub\mrs-test-scripts\Headless Mode &amp; Sideloading\WalkAndUnGZ.bat" "%USERPROFILE%\AppData\Local\Temp\OnboardLogs"\RTDC4041\2017-05-02 &amp; 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/stypes="app*4041*20170503*" /stext=" 05:.+((SYSTEM_STATE.+slice.+state.+changed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3"/>
        <v>"%USERPROFILE%\Documents\GitHub\eaglep3\Utilities\RefineRTDCRunTimes.py" --tripid 232-02 --locoid 4041 --swversion DE.1.0.9.0 --startMP 204:232984 --initTime 2017-05-02T22:19:59 --startdatetime 2017-05-02T22:26:13 --delay 1 --endMP 204:149 --enddatetime 2017-05-02T23:03:16 --enforcementcount 0 &gt;&gt;C:\Users\stu\Documents\GitHub\eaglep3-reporting\EC\2017-05-02-refined-times.txt</v>
      </c>
      <c r="AI144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{"issue":{"subject":"","project_id":79,"tracker_id":40,"status_id":1,"priority_id":2,"assigned_to_id":23,"start_date":"2017-05-02","description":"","custom_fields":[{"id":1,"name":"Subdivision","value":"EC"},{"id":4,"name":"Milepost","value":"0.0149"},{"id":17,"name":"Train ID","value":"232-02"},{"id":16,"name":"Locomotive ID","value":"4041"},{"id":130,"name":"Impact","value":""},{"id":150,"name":"Time of Event (Mountain Time)","value":"23:03:16"},{"id":151,"name":"Denver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5"/>
        <v>start /low /b %USERPROFILE%\Documents\GitHub\eaglep3\Utilities\DownloadLogsFromS3.py --loco 4041 --day 2017-05-02</v>
      </c>
      <c r="AN144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05:03:16"},{"id":29,"name":"Sharepoint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799</v>
      </c>
      <c r="B145" s="7">
        <v>4010</v>
      </c>
      <c r="C145" s="21" t="s">
        <v>211</v>
      </c>
      <c r="D145" s="21" t="s">
        <v>828</v>
      </c>
      <c r="E145" s="13">
        <v>42857.909918981481</v>
      </c>
      <c r="F145" s="13">
        <v>42857.916909722226</v>
      </c>
      <c r="G145" s="7">
        <v>1</v>
      </c>
      <c r="H145" s="21" t="s">
        <v>557</v>
      </c>
      <c r="I145" s="13">
        <v>42857.941759259258</v>
      </c>
      <c r="J145" s="7">
        <v>0</v>
      </c>
      <c r="K145" s="92" t="str">
        <f>IF(ISEVEN(B145),(B145-1)&amp;"/"&amp;B145,B145&amp;"/"&amp;(B145+1))</f>
        <v>4009/4010</v>
      </c>
      <c r="L145" s="21" t="str">
        <f>VLOOKUP(A145,'Trips&amp;Operators'!$C$1:$G$99999,5,FALSE)</f>
        <v>STORY SAMANTHA</v>
      </c>
      <c r="M145" s="6">
        <f>I145-F145</f>
        <v>2.4849537032423541E-2</v>
      </c>
      <c r="N145" s="7">
        <f>24*60*SUM($M145:$M145)</f>
        <v>35.783333326689899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-02T20:50:17-0600',mode:absolute,to:'2017-05-02T23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192">
        <f>RIGHT(D145,LEN(D145)-4)/10000</f>
        <v>4.4200000000000003E-2</v>
      </c>
      <c r="Z145" s="192">
        <f>RIGHT(H145,LEN(H145)-4)/10000</f>
        <v>23.333200000000001</v>
      </c>
      <c r="AA145" s="192">
        <f>ABS(Z145-Y145)</f>
        <v>23.289000000000001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0233-02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/stypes="app*4010*20170503*"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3"/>
        <v>"%USERPROFILE%\Documents\GitHub\eaglep3\Utilities\RefineRTDCRunTimes.py" --tripid 233-02 --locoid 4010 --swversion DE.1.0.9.0 --startMP 204:442 --initTime 2017-05-02T21:50:17 --startdatetime 2017-05-02T22:00:21 --delay 1 --endMP 204:233332 --enddatetime 2017-05-02T22:36:08 --enforcementcount 0 &gt;&gt;C:\Users\stu\Documents\GitHub\eaglep3-reporting\EC\2017-05-02-refined-times.txt</v>
      </c>
      <c r="AI145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{"issue":{"subject":"","project_id":79,"tracker_id":40,"status_id":1,"priority_id":2,"assigned_to_id":23,"start_date":"2017-05-02","description":"","custom_fields":[{"id":1,"name":"Subdivision","value":"EC"},{"id":4,"name":"Milepost","value":"23.3332"},{"id":17,"name":"Train ID","value":"233-02"},{"id":16,"name":"Locomotive ID","value":"4010"},{"id":130,"name":"Impact","value":""},{"id":150,"name":"Time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5"/>
        <v>start /low /b %USERPROFILE%\Documents\GitHub\eaglep3\Utilities\DownloadLogsFromS3.py --loco 4010 --day 2017-05-02</v>
      </c>
      <c r="AN145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615</v>
      </c>
      <c r="B146" s="7">
        <v>4009</v>
      </c>
      <c r="C146" s="21" t="s">
        <v>211</v>
      </c>
      <c r="D146" s="21" t="s">
        <v>888</v>
      </c>
      <c r="E146" s="13">
        <v>42857.949733796297</v>
      </c>
      <c r="F146" s="13">
        <v>42857.955995370372</v>
      </c>
      <c r="G146" s="7">
        <v>1</v>
      </c>
      <c r="H146" s="21" t="s">
        <v>203</v>
      </c>
      <c r="I146" s="13">
        <v>42857.983206018522</v>
      </c>
      <c r="J146" s="7">
        <v>0</v>
      </c>
      <c r="K146" s="92" t="str">
        <f>IF(ISEVEN(B146),(B146-1)&amp;"/"&amp;B146,B146&amp;"/"&amp;(B146+1))</f>
        <v>4009/4010</v>
      </c>
      <c r="L146" s="21" t="str">
        <f>VLOOKUP(A146,'Trips&amp;Operators'!$C$1:$G$99999,5,FALSE)</f>
        <v>STORY SAMANTHA</v>
      </c>
      <c r="M146" s="6">
        <f>I146-F146</f>
        <v>2.7210648149775807E-2</v>
      </c>
      <c r="N146" s="7">
        <f>24*60*SUM($M146:$M146)</f>
        <v>39.183333335677162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-02T21:47:37-0600',mode:absolute,to:'2017-05-03T00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192">
        <f>RIGHT(D146,LEN(D146)-4)/10000</f>
        <v>23.301100000000002</v>
      </c>
      <c r="Z146" s="192">
        <f>RIGHT(H146,LEN(H146)-4)/10000</f>
        <v>1.54E-2</v>
      </c>
      <c r="AA146" s="192">
        <f>ABS(Z146-Y146)</f>
        <v>23.285700000000002</v>
      </c>
      <c r="AB146" s="57" t="str">
        <f>VLOOKUP(A146,Enforcements!$C$7:$K$13,8,0)</f>
        <v>Bulletin (2)</v>
      </c>
      <c r="AC146" s="53" t="str">
        <f>VLOOKUP(A146,Enforcements!$C$7:$E$13,3,0)</f>
        <v>GRADE CROSSING</v>
      </c>
      <c r="AD146" s="54" t="str">
        <f>IF(LEN(A146)=6,"0"&amp;A146,A146)</f>
        <v>0234-02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/stypes="app*4009*20170503*" /stext=" 05:.+((SYSTEM_STATE.+slice.+state.+changed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3"/>
        <v>"%USERPROFILE%\Documents\GitHub\eaglep3\Utilities\RefineRTDCRunTimes.py" --tripid 234-02 --locoid 4009 --swversion DE.1.0.9.0 --startMP 204:233011 --initTime 2017-05-02T22:47:37 --startdatetime 2017-05-02T22:56:38 --delay 1 --endMP 204:154 --enddatetime 2017-05-02T23:35:49 --enforcementcount 0 &gt;&gt;C:\Users\stu\Documents\GitHub\eaglep3-reporting\EC\2017-05-02-refined-times.txt</v>
      </c>
      <c r="AI146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{"issue":{"subject":"","project_id":79,"tracker_id":40,"status_id":1,"priority_id":2,"assigned_to_id":23,"start_date":"2017-05-02","description":"","custom_fields":[{"id":1,"name":"Subdivision","value":"EC"},{"id":4,"name":"Milepost","value":"0.0154"},{"id":17,"name":"Train ID","value":"234-02"},{"id":16,"name":"Locomotive ID","value":"4009"},{"id":130,"name":"Impact","value":""},{"id":150,"name":"Time of Event (Mountain Time)","value":"23:35:49"},{"id":151,"name":"Denver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5"/>
        <v>start /low /b %USERPROFILE%\Documents\GitHub\eaglep3\Utilities\DownloadLogsFromS3.py --loco 4009 --day 2017-05-02</v>
      </c>
      <c r="AN146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05:35:49"},{"id":29,"name":"Sharepoint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802</v>
      </c>
      <c r="B147" s="7">
        <v>4022</v>
      </c>
      <c r="C147" s="21" t="s">
        <v>211</v>
      </c>
      <c r="D147" s="21" t="s">
        <v>860</v>
      </c>
      <c r="E147" s="13">
        <v>42857.920891203707</v>
      </c>
      <c r="F147" s="13">
        <v>42857.937789351854</v>
      </c>
      <c r="G147" s="7">
        <v>1</v>
      </c>
      <c r="H147" s="21" t="s">
        <v>889</v>
      </c>
      <c r="I147" s="13">
        <v>42857.962199074071</v>
      </c>
      <c r="J147" s="7">
        <v>0</v>
      </c>
      <c r="K147" s="92" t="str">
        <f>IF(ISEVEN(B147),(B147-1)&amp;"/"&amp;B147,B147&amp;"/"&amp;(B147+1))</f>
        <v>4021/4022</v>
      </c>
      <c r="L147" s="21" t="str">
        <f>VLOOKUP(A147,'Trips&amp;Operators'!$C$1:$G$99999,5,FALSE)</f>
        <v>STAMBAUGH JAMES</v>
      </c>
      <c r="M147" s="6">
        <f>I147-F147</f>
        <v>2.4409722216660157E-2</v>
      </c>
      <c r="N147" s="7">
        <f>24*60*SUM($M147:$M147)</f>
        <v>35.149999991990626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-02T21:06:05-0600',mode:absolute,to:'2017-05-03T00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192">
        <f>RIGHT(D147,LEN(D147)-4)/10000</f>
        <v>4.2700000000000002E-2</v>
      </c>
      <c r="Z147" s="192">
        <f>RIGHT(H147,LEN(H147)-4)/10000</f>
        <v>23.343499999999999</v>
      </c>
      <c r="AA147" s="192">
        <f>ABS(Z147-Y147)</f>
        <v>23.300799999999999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0235-02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"%USERPROFILE%\AppData\Local\Temp\OnboardLogs"\RTDC4022\2017-05-02 --exclude "*" --recursive --include "*20170502*" &amp; "%USERPROFILE%\Documents\GitHub\mrs-test-scripts\Headless Mode &amp; Sideloading\WalkAndUnGZ.bat" "%USERPROFILE%\AppData\Local\Temp\OnboardLogs"\RTDC4022\2017-05-02 &amp; 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/stypes="app*4022*20170503*"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3"/>
        <v>"%USERPROFILE%\Documents\GitHub\eaglep3\Utilities\RefineRTDCRunTimes.py" --tripid 235-02 --locoid 4022 --swversion DE.1.0.9.0 --startMP 204:427 --initTime 2017-05-02T22:06:05 --startdatetime 2017-05-02T22:30:25 --delay 1 --endMP 204:233435 --enddatetime 2017-05-02T23:05:34 --enforcementcount 0 &gt;&gt;C:\Users\stu\Documents\GitHub\eaglep3-reporting\EC\2017-05-02-refined-times.txt</v>
      </c>
      <c r="AI147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{"issue":{"subject":"","project_id":79,"tracker_id":40,"status_id":1,"priority_id":2,"assigned_to_id":23,"start_date":"2017-05-02","description":"","custom_fields":[{"id":1,"name":"Subdivision","value":"EC"},{"id":4,"name":"Milepost","value":"23.3435"},{"id":17,"name":"Train ID","value":"235-02"},{"id":16,"name":"Locomotive ID","value":"4022"},{"id":130,"name":"Impact","value":""},{"id":150,"name":"Time of Event (Mountain Time)","value":"23:05:34"},{"id":151,"name":"Denver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5"/>
        <v>start /low /b %USERPROFILE%\Documents\GitHub\eaglep3\Utilities\DownloadLogsFromS3.py --loco 4022 --day 2017-05-02</v>
      </c>
      <c r="AN147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807</v>
      </c>
      <c r="B148" s="7">
        <v>4021</v>
      </c>
      <c r="C148" s="21" t="s">
        <v>211</v>
      </c>
      <c r="D148" s="21" t="s">
        <v>890</v>
      </c>
      <c r="E148" s="13">
        <v>42857.973969907405</v>
      </c>
      <c r="F148" s="13">
        <v>42857.976990740739</v>
      </c>
      <c r="G148" s="7">
        <v>4</v>
      </c>
      <c r="H148" s="21" t="s">
        <v>891</v>
      </c>
      <c r="I148" s="13">
        <v>42858.002384259256</v>
      </c>
      <c r="J148" s="7">
        <v>0</v>
      </c>
      <c r="K148" s="92" t="str">
        <f>IF(ISEVEN(B148),(B148-1)&amp;"/"&amp;B148,B148&amp;"/"&amp;(B148+1))</f>
        <v>4021/4022</v>
      </c>
      <c r="L148" s="21" t="str">
        <f>VLOOKUP(A148,'Trips&amp;Operators'!$C$1:$G$99999,5,FALSE)</f>
        <v>STAMBAUGH JAMES</v>
      </c>
      <c r="M148" s="6">
        <f>I148-F148</f>
        <v>2.5393518517375924E-2</v>
      </c>
      <c r="N148" s="7">
        <f>24*60*SUM($M148:$M148)</f>
        <v>36.56666666502133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-02T22:22:31-0600',mode:absolute,to:'2017-05-03T01:03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192">
        <f>RIGHT(D148,LEN(D148)-4)/10000</f>
        <v>23.312799999999999</v>
      </c>
      <c r="Z148" s="192">
        <f>RIGHT(H148,LEN(H148)-4)/10000</f>
        <v>1.0999999999999999E-2</v>
      </c>
      <c r="AA148" s="192">
        <f>ABS(Z148-Y148)</f>
        <v>23.3018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0236-02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/stypes="app*4021*20170503*" /stext=" 06:.+((SYSTEM_STATE.+slice.+state.+changed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3"/>
        <v>"%USERPROFILE%\Documents\GitHub\eaglep3\Utilities\RefineRTDCRunTimes.py" --tripid 236-02 --locoid 4021 --swversion DE.1.0.9.0 --startMP 204:233128 --initTime 2017-05-02T23:22:31 --startdatetime 2017-05-02T23:26:52 --delay 4 --endMP 204:110 --enddatetime 2017-05-03T00:03:26 --enforcementcount 0 &gt;&gt;C:\Users\stu\Documents\GitHub\eaglep3-reporting\EC\2017-05-02-refined-times.txt</v>
      </c>
      <c r="AI148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{"issue":{"subject":"","project_id":79,"tracker_id":40,"status_id":1,"priority_id":2,"assigned_to_id":23,"start_date":"2017-05-03","description":"","custom_fields":[{"id":1,"name":"Subdivision","value":"EC"},{"id":4,"name":"Milepost","value":"0.011"},{"id":17,"name":"Train ID","value":"236-02"},{"id":16,"name":"Locomotive ID","value":"4021"},{"id":130,"name":"Impact","value":""},{"id":150,"name":"Time of Event (Mountain Time)","value":"00:03:26"},{"id":151,"name":"Denver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15"/>
        <v>start /low /b %USERPROFILE%\Documents\GitHub\eaglep3\Utilities\DownloadLogsFromS3.py --loco 4021 --day 2017-05-02</v>
      </c>
      <c r="AN148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06:03:26"},{"id":29,"name":"Sharepoint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805</v>
      </c>
      <c r="B149" s="7">
        <v>4026</v>
      </c>
      <c r="C149" s="21" t="s">
        <v>211</v>
      </c>
      <c r="D149" s="21" t="s">
        <v>390</v>
      </c>
      <c r="E149" s="13">
        <v>42857.95590277778</v>
      </c>
      <c r="F149" s="13">
        <v>42857.958668981482</v>
      </c>
      <c r="G149" s="7">
        <v>1</v>
      </c>
      <c r="H149" s="21" t="s">
        <v>859</v>
      </c>
      <c r="I149" s="13">
        <v>42857.983761574076</v>
      </c>
      <c r="J149" s="7">
        <v>0</v>
      </c>
      <c r="K149" s="92" t="str">
        <f>IF(ISEVEN(B149),(B149-1)&amp;"/"&amp;B149,B149&amp;"/"&amp;(B149+1))</f>
        <v>4025/4026</v>
      </c>
      <c r="L149" s="21" t="str">
        <f>VLOOKUP(A149,'Trips&amp;Operators'!$C$1:$G$99999,5,FALSE)</f>
        <v>CHANDLER KELVIN</v>
      </c>
      <c r="M149" s="6">
        <f>I149-F149</f>
        <v>2.5092592593864538E-2</v>
      </c>
      <c r="N149" s="7">
        <f>24*60*SUM($M149:$M149)</f>
        <v>36.133333335164934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-02T21:56:30-0600',mode:absolute,to:'2017-05-03T00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4.58E-2</v>
      </c>
      <c r="Z149" s="192">
        <f>RIGHT(H149,LEN(H149)-4)/10000</f>
        <v>23.327400000000001</v>
      </c>
      <c r="AA149" s="192">
        <f>ABS(Z149-Y149)</f>
        <v>23.281600000000001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0237-02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s3://rtdc.mdm.uploadarchive.raw/RTDC4026/ "%USERPROFILE%\AppData\Local\Temp\OnboardLogs"\RTDC4026\2017-05-02 --exclude "*" --recursive --include "*20170502*" &amp; "%USERPROFILE%\Documents\GitHub\mrs-test-scripts\Headless Mode &amp; Sideloading\WalkAndUnGZ.bat" "%USERPROFILE%\AppData\Local\Temp\OnboardLogs"\RTDC4026\2017-05-02 &amp; 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/stypes="app*4026*20170503*"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3"/>
        <v>"%USERPROFILE%\Documents\GitHub\eaglep3\Utilities\RefineRTDCRunTimes.py" --tripid 237-02 --locoid 4026 --swversion DE.1.0.9.0 --startMP 204:458 --initTime 2017-05-02T22:56:30 --startdatetime 2017-05-02T23:00:29 --delay 1 --endMP 204:233274 --enddatetime 2017-05-02T23:36:37 --enforcementcount 0 &gt;&gt;C:\Users\stu\Documents\GitHub\eaglep3-reporting\EC\2017-05-02-refined-times.txt</v>
      </c>
      <c r="AI149" s="99" t="str">
        <f t="shared" si="14"/>
        <v>echo {"issue":{"subject":"","project_id":79,"tracker_id":40,"status_id":1,"priority_id":2,"assigned_to_id":23,"start_date":"2017-05-02","description":"","custom_fields":[{"id":1,"name":"Subdivision","value":"EC"},{"id":4,"name":"Milepost","value":"23.3274"},{"id":17,"name":"Train ID","value":"237-02"},{"id":16,"name":"Locomotive ID","value":"4026"},{"id":130,"name":"Impact","value":""},{"id":150,"name":"Time of Event (Mountain Time)","value":"23:36:37"},{"id":151,"name":"Denver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5"/>
        <v>start /low /b %USERPROFILE%\Documents\GitHub\eaglep3\Utilities\DownloadLogsFromS3.py --loco 4026 --day 2017-05-02</v>
      </c>
      <c r="AN149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05:36:37"},{"id":29,"name":"Sharepoint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809</v>
      </c>
      <c r="B150" s="7">
        <v>4025</v>
      </c>
      <c r="C150" s="21" t="s">
        <v>211</v>
      </c>
      <c r="D150" s="21" t="s">
        <v>892</v>
      </c>
      <c r="E150" s="13">
        <v>42857.995868055557</v>
      </c>
      <c r="F150" s="13">
        <v>42857.997465277775</v>
      </c>
      <c r="G150" s="7">
        <v>1</v>
      </c>
      <c r="H150" s="21" t="s">
        <v>198</v>
      </c>
      <c r="I150" s="13">
        <v>42858.025775462964</v>
      </c>
      <c r="J150" s="7">
        <v>0</v>
      </c>
      <c r="K150" s="92" t="str">
        <f>IF(ISEVEN(B150),(B150-1)&amp;"/"&amp;B150,B150&amp;"/"&amp;(B150+1))</f>
        <v>4025/4026</v>
      </c>
      <c r="L150" s="21" t="str">
        <f>VLOOKUP(A150,'Trips&amp;Operators'!$C$1:$G$99999,5,FALSE)</f>
        <v>CHANDLER KELVIN</v>
      </c>
      <c r="M150" s="6">
        <f>I150-F150</f>
        <v>2.8310185189184267E-2</v>
      </c>
      <c r="N150" s="7">
        <f>24*60*SUM($M150:$M150)</f>
        <v>40.766666672425345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-02T22:54:03-0600',mode:absolute,to:'2017-05-03T01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23.295100000000001</v>
      </c>
      <c r="Z150" s="192">
        <f>RIGHT(H150,LEN(H150)-4)/10000</f>
        <v>1.5800000000000002E-2</v>
      </c>
      <c r="AA150" s="192">
        <f>ABS(Z150-Y150)</f>
        <v>23.279300000000003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>IF(LEN(A150)=6,"0"&amp;A150,A150)</f>
        <v>0238-02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/stypes="app*4025*20170503*" /stext=" 06:.+((SYSTEM_STATE.+slice.+state.+changed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3"/>
        <v>"%USERPROFILE%\Documents\GitHub\eaglep3\Utilities\RefineRTDCRunTimes.py" --tripid 238-02 --locoid 4025 --swversion DE.1.0.9.0 --startMP 204:232951 --initTime 2017-05-02T23:54:03 --startdatetime 2017-05-02T23:56:21 --delay 1 --endMP 204:158 --enddatetime 2017-05-03T00:37:07 --enforcementcount 0 &gt;&gt;C:\Users\stu\Documents\GitHub\eaglep3-reporting\EC\2017-05-02-refined-times.txt</v>
      </c>
      <c r="AI150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{"issue":{"subject":"","project_id":79,"tracker_id":40,"status_id":1,"priority_id":2,"assigned_to_id":23,"start_date":"2017-05-03","description":"","custom_fields":[{"id":1,"name":"Subdivision","value":"EC"},{"id":4,"name":"Milepost","value":"0.0158"},{"id":17,"name":"Train ID","value":"238-02"},{"id":16,"name":"Locomotive ID","value":"4025"},{"id":130,"name":"Impact","value":""},{"id":150,"name":"Time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15"/>
        <v>start /low /b %USERPROFILE%\Documents\GitHub\eaglep3\Utilities\DownloadLogsFromS3.py --loco 4025 --day 2017-05-02</v>
      </c>
      <c r="AN150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06:37:07"},{"id":29,"name":"Sharepoint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806</v>
      </c>
      <c r="B151" s="7">
        <v>4042</v>
      </c>
      <c r="C151" s="21" t="s">
        <v>211</v>
      </c>
      <c r="D151" s="21" t="s">
        <v>208</v>
      </c>
      <c r="E151" s="13">
        <v>42857.961724537039</v>
      </c>
      <c r="F151" s="13">
        <v>42857.97929398148</v>
      </c>
      <c r="G151" s="7">
        <v>1</v>
      </c>
      <c r="H151" s="21" t="s">
        <v>851</v>
      </c>
      <c r="I151" s="13">
        <v>42858.004710648151</v>
      </c>
      <c r="J151" s="7">
        <v>0</v>
      </c>
      <c r="K151" s="92" t="str">
        <f>IF(ISEVEN(B151),(B151-1)&amp;"/"&amp;B151,B151&amp;"/"&amp;(B151+1))</f>
        <v>4041/4042</v>
      </c>
      <c r="L151" s="21" t="str">
        <f>VLOOKUP(A151,'Trips&amp;Operators'!$C$1:$G$99999,5,FALSE)</f>
        <v>NEWELL JAMES</v>
      </c>
      <c r="M151" s="6">
        <f>I151-F151</f>
        <v>2.5416666670935228E-2</v>
      </c>
      <c r="N151" s="7">
        <f>24*60*SUM($M151:$M151)</f>
        <v>36.600000006146729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-02T22:04:53-0600',mode:absolute,to:'2017-05-03T01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4.5499999999999999E-2</v>
      </c>
      <c r="Z151" s="192">
        <f>RIGHT(H151,LEN(H151)-4)/10000</f>
        <v>23.327999999999999</v>
      </c>
      <c r="AA151" s="192">
        <f>ABS(Z151-Y151)</f>
        <v>23.282499999999999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0239-02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/stypes="app*4042*20170503*"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3"/>
        <v>"%USERPROFILE%\Documents\GitHub\eaglep3\Utilities\RefineRTDCRunTimes.py" --tripid 239-02 --locoid 4042 --swversion DE.1.0.9.0 --startMP 204:455 --initTime 2017-05-02T23:04:53 --startdatetime 2017-05-02T23:30:11 --delay 1 --endMP 204:233280 --enddatetime 2017-05-03T00:06:47 --enforcementcount 0 &gt;&gt;C:\Users\stu\Documents\GitHub\eaglep3-reporting\EC\2017-05-02-refined-times.txt</v>
      </c>
      <c r="AI151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{"issue":{"subject":"","project_id":79,"tracker_id":40,"status_id":1,"priority_id":2,"assigned_to_id":23,"start_date":"2017-05-03","description":"","custom_fields":[{"id":1,"name":"Subdivision","value":"EC"},{"id":4,"name":"Milepost","value":"23.328"},{"id":17,"name":"Train ID","value":"239-02"},{"id":16,"name":"Locomotive ID","value":"4042"},{"id":130,"name":"Impact","value":""},{"id":150,"name":"Time of Event (Mountain Time)","value":"00:06:47"},{"id":151,"name":"Denver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5"/>
        <v>start /low /b %USERPROFILE%\Documents\GitHub\eaglep3\Utilities\DownloadLogsFromS3.py --loco 4042 --day 2017-05-02</v>
      </c>
      <c r="AN151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06:06:47"},{"id":29,"name":"Sharepoint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811</v>
      </c>
      <c r="B152" s="7">
        <v>4041</v>
      </c>
      <c r="C152" s="21" t="s">
        <v>211</v>
      </c>
      <c r="D152" s="21" t="s">
        <v>446</v>
      </c>
      <c r="E152" s="13">
        <v>42858.015393518515</v>
      </c>
      <c r="F152" s="13">
        <v>42858.018217592595</v>
      </c>
      <c r="G152" s="7">
        <v>1</v>
      </c>
      <c r="H152" s="21" t="s">
        <v>197</v>
      </c>
      <c r="I152" s="13">
        <v>42858.044328703705</v>
      </c>
      <c r="J152" s="7">
        <v>0</v>
      </c>
      <c r="K152" s="92" t="str">
        <f>IF(ISEVEN(B152),(B152-1)&amp;"/"&amp;B152,B152&amp;"/"&amp;(B152+1))</f>
        <v>4041/4042</v>
      </c>
      <c r="L152" s="21" t="str">
        <f>VLOOKUP(A152,'Trips&amp;Operators'!$C$1:$G$99999,5,FALSE)</f>
        <v>NEWELL JAMES</v>
      </c>
      <c r="M152" s="6">
        <f>I152-F152</f>
        <v>2.6111111110367347E-2</v>
      </c>
      <c r="N152" s="7">
        <f>24*60*SUM($M152:$M152)</f>
        <v>37.599999998928979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-02T23:22:10-0600',mode:absolute,to:'2017-05-03T02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23.296700000000001</v>
      </c>
      <c r="Z152" s="192">
        <f>RIGHT(H152,LEN(H152)-4)/10000</f>
        <v>1.52E-2</v>
      </c>
      <c r="AA152" s="192">
        <f>ABS(Z152-Y152)</f>
        <v>23.281500000000001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0240-02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s3://rtdc.mdm.uploadarchive.raw/RTDC4041/ "%USERPROFILE%\AppData\Local\Temp\OnboardLogs"\RTDC4041\2017-05-03 --exclude "*" --recursive --include "*20170503*" &amp; "%USERPROFILE%\Documents\GitHub\mrs-test-scripts\Headless Mode &amp; Sideloading\WalkAndUnGZ.bat" "%USERPROFILE%\AppData\Local\Temp\OnboardLogs"\RTDC4041\2017-05-03 &amp; aws s3 cp s3://rtdc.mdm.uploadarchive.raw/RTDC4041/ "%USERPROFILE%\AppData\Local\Temp\OnboardLogs"\RTDC4041\2017-05-04 --exclude "*" --recursive --include "*20170504*" &amp; "%USERPROFILE%\Documents\GitHub\mrs-test-scripts\Headless Mode &amp; Sideloading\WalkAndUnGZ.bat" "%USERPROFILE%\AppData\Local\Temp\OnboardLogs"\RTDC4041\2017-05-04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/stypes="app*4041*20170503*" /stext=" 07:.+((SYSTEM_STATE.+slice.+state.+changed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3"/>
        <v>"%USERPROFILE%\Documents\GitHub\eaglep3\Utilities\RefineRTDCRunTimes.py" --tripid 240-02 --locoid 4041 --swversion DE.1.0.9.0 --startMP 204:232967 --initTime 2017-05-03T00:22:10 --startdatetime 2017-05-03T00:26:14 --delay 1 --endMP 204:152 --enddatetime 2017-05-03T01:03:50 --enforcementcount 0 &gt;&gt;C:\Users\stu\Documents\GitHub\eaglep3-reporting\EC\2017-05-02-refined-times.txt</v>
      </c>
      <c r="AI152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ID","value":"240-02"},{"id":16,"name":"Locomotive ID","value":"4041"},{"id":130,"name":"Impact","value":""},{"id":150,"name":"Time of Event (Mountain Time)","value":"01:03:50"},{"id":151,"name":"Denver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5"/>
        <v>start /low /b %USERPROFILE%\Documents\GitHub\eaglep3\Utilities\DownloadLogsFromS3.py --loco 4041 --day 2017-05-03</v>
      </c>
      <c r="AN152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808</v>
      </c>
      <c r="B153" s="7">
        <v>4010</v>
      </c>
      <c r="C153" s="21" t="s">
        <v>211</v>
      </c>
      <c r="D153" s="21" t="s">
        <v>457</v>
      </c>
      <c r="E153" s="13">
        <v>42857.99355324074</v>
      </c>
      <c r="F153" s="13">
        <v>42858.000543981485</v>
      </c>
      <c r="G153" s="7">
        <v>2</v>
      </c>
      <c r="H153" s="21" t="s">
        <v>557</v>
      </c>
      <c r="I153" s="13">
        <v>42858.025543981479</v>
      </c>
      <c r="J153" s="7">
        <v>0</v>
      </c>
      <c r="K153" s="92" t="str">
        <f>IF(ISEVEN(B153),(B153-1)&amp;"/"&amp;B153,B153&amp;"/"&amp;(B153+1))</f>
        <v>4009/4010</v>
      </c>
      <c r="L153" s="21" t="str">
        <f>VLOOKUP(A153,'Trips&amp;Operators'!$C$1:$G$99999,5,FALSE)</f>
        <v>STORY SAMANTHA</v>
      </c>
      <c r="M153" s="6">
        <f>I153-F153</f>
        <v>2.4999999994179234E-2</v>
      </c>
      <c r="N153" s="7">
        <f>24*60*SUM($M153:$M153)</f>
        <v>35.999999991618097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-02T22:50:43-0600',mode:absolute,to:'2017-05-03T01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4.4699999999999997E-2</v>
      </c>
      <c r="Z153" s="192">
        <f>RIGHT(H153,LEN(H153)-4)/10000</f>
        <v>23.333200000000001</v>
      </c>
      <c r="AA153" s="192">
        <f>ABS(Z153-Y153)</f>
        <v>23.288500000000003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0241-02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 &amp; 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/stypes="app*4010*20170503*"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3"/>
        <v>"%USERPROFILE%\Documents\GitHub\eaglep3\Utilities\RefineRTDCRunTimes.py" --tripid 241-02 --locoid 4010 --swversion DE.1.0.9.0 --startMP 204:447 --initTime 2017-05-02T23:50:43 --startdatetime 2017-05-03T00:00:47 --delay 2 --endMP 204:233332 --enddatetime 2017-05-03T00:36:47 --enforcementcount 0 &gt;&gt;C:\Users\stu\Documents\GitHub\eaglep3-reporting\EC\2017-05-02-refined-times.txt</v>
      </c>
      <c r="AI153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ID","value":"241-02"},{"id":16,"name":"Locomotive ID","value":"4010"},{"id":130,"name":"Impact","value":""},{"id":150,"name":"Time of Event (Mountain Time)","value":"00:36:47"},{"id":151,"name":"Denver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5"/>
        <v>start /low /b %USERPROFILE%\Documents\GitHub\eaglep3\Utilities\DownloadLogsFromS3.py --loco 4010 --day 2017-05-03</v>
      </c>
      <c r="AN153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616</v>
      </c>
      <c r="B154" s="7">
        <v>4009</v>
      </c>
      <c r="C154" s="21" t="s">
        <v>211</v>
      </c>
      <c r="D154" s="21" t="s">
        <v>876</v>
      </c>
      <c r="E154" s="13">
        <v>42858.036180555559</v>
      </c>
      <c r="F154" s="13">
        <v>42858.039074074077</v>
      </c>
      <c r="G154" s="7">
        <v>1</v>
      </c>
      <c r="H154" s="21" t="s">
        <v>460</v>
      </c>
      <c r="I154" s="13">
        <v>42858.066041666665</v>
      </c>
      <c r="J154" s="7">
        <v>0</v>
      </c>
      <c r="K154" s="92" t="str">
        <f>IF(ISEVEN(B154),(B154-1)&amp;"/"&amp;B154,B154&amp;"/"&amp;(B154+1))</f>
        <v>4009/4010</v>
      </c>
      <c r="L154" s="21" t="str">
        <f>VLOOKUP(A154,'Trips&amp;Operators'!$C$1:$G$99999,5,FALSE)</f>
        <v>STORY SAMANTHA</v>
      </c>
      <c r="M154" s="6">
        <f>I154-F154</f>
        <v>2.696759258833481E-2</v>
      </c>
      <c r="N154" s="7">
        <f>24*60*SUM($M154:$M154)</f>
        <v>38.833333327202126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-02T23:52:06-0600',mode:absolute,to:'2017-05-03T02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192" t="str">
        <f>IF(AA154&lt;IF(AG154="EC",23,5.65),"Y","N")</f>
        <v>N</v>
      </c>
      <c r="X154" s="192">
        <f>VALUE(LEFT(AD154,4))-VALUE(LEFT(AD153,4))</f>
        <v>1</v>
      </c>
      <c r="Y154" s="192">
        <f>RIGHT(D154,LEN(D154)-4)/10000</f>
        <v>23.3017</v>
      </c>
      <c r="Z154" s="192">
        <f>RIGHT(H154,LEN(H154)-4)/10000</f>
        <v>1.6899999999999998E-2</v>
      </c>
      <c r="AA154" s="192">
        <f>ABS(Z154-Y154)</f>
        <v>23.284800000000001</v>
      </c>
      <c r="AB154" s="57" t="str">
        <f>VLOOKUP(A154,Enforcements!$C$7:$K$13,8,0)</f>
        <v>Bulletin (2)</v>
      </c>
      <c r="AC154" s="53" t="str">
        <f>VLOOKUP(A154,Enforcements!$C$7:$E$13,3,0)</f>
        <v>GRADE CROSSING</v>
      </c>
      <c r="AD154" s="54" t="str">
        <f>IF(LEN(A154)=6,"0"&amp;A154,A154)</f>
        <v>0242-02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 &amp; 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/stypes="app*4009*20170503*" /stext=" 07:.+((SYSTEM_STATE.+slice.+state.+changed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3"/>
        <v>"%USERPROFILE%\Documents\GitHub\eaglep3\Utilities\RefineRTDCRunTimes.py" --tripid 242-02 --locoid 4009 --swversion DE.1.0.9.0 --startMP 204:233017 --initTime 2017-05-03T00:52:06 --startdatetime 2017-05-03T00:56:16 --delay 1 --endMP 204:169 --enddatetime 2017-05-03T01:35:06 --enforcementcount 0 &gt;&gt;C:\Users\stu\Documents\GitHub\eaglep3-reporting\EC\2017-05-02-refined-times.txt</v>
      </c>
      <c r="AI154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{"issue":{"subject":"","project_id":79,"tracker_id":40,"status_id":1,"priority_id":2,"assigned_to_id":23,"start_date":"2017-05-03","description":"","custom_fields":[{"id":1,"name":"Subdivision","value":"EC"},{"id":4,"name":"Milepost","value":"0.0169"},{"id":17,"name":"Train ID","value":"242-02"},{"id":16,"name":"Locomotive ID","value":"4009"},{"id":130,"name":"Impact","value":""},{"id":150,"name":"Time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5"/>
        <v>start /low /b %USERPROFILE%\Documents\GitHub\eaglep3\Utilities\DownloadLogsFromS3.py --loco 4009 --day 2017-05-03</v>
      </c>
      <c r="AN154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810</v>
      </c>
      <c r="B155" s="7">
        <v>4022</v>
      </c>
      <c r="C155" s="21" t="s">
        <v>211</v>
      </c>
      <c r="D155" s="21" t="s">
        <v>893</v>
      </c>
      <c r="E155" s="13">
        <v>42858.003842592596</v>
      </c>
      <c r="F155" s="13">
        <v>42858.021238425928</v>
      </c>
      <c r="G155" s="7">
        <v>1</v>
      </c>
      <c r="H155" s="21" t="s">
        <v>894</v>
      </c>
      <c r="I155" s="13">
        <v>42858.045624999999</v>
      </c>
      <c r="J155" s="7">
        <v>0</v>
      </c>
      <c r="K155" s="92" t="str">
        <f>IF(ISEVEN(B155),(B155-1)&amp;"/"&amp;B155,B155&amp;"/"&amp;(B155+1))</f>
        <v>4021/4022</v>
      </c>
      <c r="L155" s="21" t="str">
        <f>VLOOKUP(A155,'Trips&amp;Operators'!$C$1:$G$99999,5,FALSE)</f>
        <v>STAMBAUGH JAMES</v>
      </c>
      <c r="M155" s="6">
        <f>I155-F155</f>
        <v>2.438657407037681E-2</v>
      </c>
      <c r="N155" s="7">
        <f>24*60*SUM($M155:$M155)</f>
        <v>35.116666661342606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-02T23:05:32-0600',mode:absolute,to:'2017-05-03T02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>IF(AA155&lt;IF(AG155="EC",23,5.65),"Y","N")</f>
        <v>N</v>
      </c>
      <c r="X155" s="192">
        <f>VALUE(LEFT(AD155,4))-VALUE(LEFT(AD154,4))</f>
        <v>1</v>
      </c>
      <c r="Y155" s="192">
        <f>RIGHT(D155,LEN(D155)-4)/10000</f>
        <v>4.1300000000000003E-2</v>
      </c>
      <c r="Z155" s="192">
        <f>RIGHT(H155,LEN(H155)-4)/10000</f>
        <v>23.3443</v>
      </c>
      <c r="AA155" s="192">
        <f>ABS(Z155-Y155)</f>
        <v>23.303000000000001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0243-02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 &amp; aws s3 cp s3://rtdc.mdm.uploadarchive.raw/RTDC4022/ "%USERPROFILE%\AppData\Local\Temp\OnboardLogs"\RTDC4022\2017-05-04 --exclude "*" --recursive --include "*20170504*" &amp; "%USERPROFILE%\Documents\GitHub\mrs-test-scripts\Headless Mode &amp; Sideloading\WalkAndUnGZ.bat" "%USERPROFILE%\AppData\Local\Temp\OnboardLogs"\RTDC4022\2017-05-04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/stypes="app*4022*20170503*"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3"/>
        <v>"%USERPROFILE%\Documents\GitHub\eaglep3\Utilities\RefineRTDCRunTimes.py" --tripid 243-02 --locoid 4022 --swversion DE.1.0.9.0 --startMP 204:413 --initTime 2017-05-03T00:05:32 --startdatetime 2017-05-03T00:30:35 --delay 1 --endMP 204:233443 --enddatetime 2017-05-03T01:05:42 --enforcementcount 0 &gt;&gt;C:\Users\stu\Documents\GitHub\eaglep3-reporting\EC\2017-05-02-refined-times.txt</v>
      </c>
      <c r="AI155" s="99" t="str">
        <f t="shared" si="14"/>
        <v>echo {"issue":{"subject":"","project_id":79,"tracker_id":40,"status_id":1,"priority_id":2,"assigned_to_id":23,"start_date":"2017-05-03","description":"","custom_fields":[{"id":1,"name":"Subdivision","value":"EC"},{"id":4,"name":"Milepost","value":"23.3443"},{"id":17,"name":"Train ID","value":"243-02"},{"id":16,"name":"Locomotive ID","value":"4022"},{"id":130,"name":"Impact","value":""},{"id":150,"name":"Time of Event (Mountain Time)","value":"01:05:42"},{"id":151,"name":"Denver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15"/>
        <v>start /low /b %USERPROFILE%\Documents\GitHub\eaglep3\Utilities\DownloadLogsFromS3.py --loco 4022 --day 2017-05-03</v>
      </c>
      <c r="AN155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814</v>
      </c>
      <c r="B156" s="7">
        <v>4021</v>
      </c>
      <c r="C156" s="21" t="s">
        <v>211</v>
      </c>
      <c r="D156" s="21" t="s">
        <v>893</v>
      </c>
      <c r="E156" s="13">
        <v>42858.003842592596</v>
      </c>
      <c r="F156" s="13">
        <v>42858.058576388888</v>
      </c>
      <c r="G156" s="7">
        <v>1</v>
      </c>
      <c r="H156" s="21" t="s">
        <v>894</v>
      </c>
      <c r="I156" s="13">
        <v>42858.059027777781</v>
      </c>
      <c r="J156" s="7">
        <v>0</v>
      </c>
      <c r="K156" s="92" t="str">
        <f>IF(ISEVEN(B156),(B156-1)&amp;"/"&amp;B156,B156&amp;"/"&amp;(B156+1))</f>
        <v>4021/4022</v>
      </c>
      <c r="L156" s="21" t="str">
        <f>VLOOKUP(A156,'Trips&amp;Operators'!$C$1:$G$99999,5,FALSE)</f>
        <v>STAMBAUGH JAMES</v>
      </c>
      <c r="M156" s="6">
        <f>I156-F156</f>
        <v>4.5138889254303649E-4</v>
      </c>
      <c r="N156" s="7"/>
      <c r="O156" s="7"/>
      <c r="P156" s="7">
        <v>1</v>
      </c>
      <c r="Q156" s="22"/>
      <c r="R156" s="190" t="s">
        <v>585</v>
      </c>
      <c r="S156" s="196">
        <f>SUM(U156:U156)/IF(AG156="EC",12,1)</f>
        <v>0</v>
      </c>
      <c r="T156" s="190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-02T23:05:32-0600',mode:absolute,to:'2017-05-03T02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>IF(AA156&lt;IF(AG156="EC",23,5.65),"Y","N")</f>
        <v>N</v>
      </c>
      <c r="X156" s="192">
        <f>VALUE(LEFT(AD156,4))-VALUE(LEFT(AD155,4))</f>
        <v>1</v>
      </c>
      <c r="Y156" s="192">
        <f>RIGHT(D156,LEN(D156)-4)/10000</f>
        <v>4.1300000000000003E-2</v>
      </c>
      <c r="Z156" s="192">
        <f>RIGHT(H156,LEN(H156)-4)/10000</f>
        <v>23.3443</v>
      </c>
      <c r="AA156" s="192">
        <f>ABS(Z156-Y156)</f>
        <v>23.303000000000001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0244-02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 &amp; aws s3 cp s3://rtdc.mdm.uploadarchive.raw/RTDC4021/ "%USERPROFILE%\AppData\Local\Temp\OnboardLogs"\RTDC4021\2017-05-04 --exclude "*" --recursive --include "*20170504*" &amp; "%USERPROFILE%\Documents\GitHub\mrs-test-scripts\Headless Mode &amp; Sideloading\WalkAndUnGZ.bat" "%USERPROFILE%\AppData\Local\Temp\OnboardLogs"\RTDC4021\2017-05-04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/stypes="app*4021*20170503*" /stext=" 07:.+((SYSTEM_STATE.+slice.+state.+changed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ref="AH156" si="17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244-02 --locoid 4021 --swversion DE.1.0.9.0 --startMP 204:413 --initTime 2017-05-03T00:05:32 --startdatetime 2017-05-03T01:24:21 --delay 1 --endMP 204:233443 --enddatetime 2017-05-03T01:25:00 --enforcementcount 0 &gt;&gt;C:\Users\stu\Documents\GitHub\eaglep3-reporting\EC\2017-05-02-refined-times.txt</v>
      </c>
      <c r="AI156" s="99" t="str">
        <f t="shared" ref="AI156" si="18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failure","project_id":79,"tracker_id":40,"status_id":1,"priority_id":2,"assigned_to_id":23,"start_date":"2017-05-03","description":"","custom_fields":[{"id":1,"name":"Subdivision","value":"EC"},{"id":4,"name":"Milepost","value":"23.3443"},{"id":17,"name":"Train ID","value":"244-02"},{"id":16,"name":"Locomotive ID","value":"4021"},{"id":130,"name":"Impact","value":""},{"id":150,"name":"Time of Event (Mountain Time)","value":"01:25:00"},{"id":151,"name":"Denver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ref="AM156" si="19">"start /low /b "&amp;dls3logs&amp;" --loco "&amp;B156&amp;" --day "&amp;TEXT(F156,"YYYY-MM-DD")</f>
        <v>start /low /b %USERPROFILE%\Documents\GitHub\eaglep3\Utilities\DownloadLogsFromS3.py --loco 4021 --day 2017-05-03</v>
      </c>
      <c r="AN156" s="154" t="str">
        <f t="shared" ref="AN156" si="20"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633</v>
      </c>
      <c r="B157" s="7">
        <v>4027</v>
      </c>
      <c r="C157" s="21" t="s">
        <v>211</v>
      </c>
      <c r="D157" s="21" t="s">
        <v>461</v>
      </c>
      <c r="E157" s="13">
        <v>42857.213020833333</v>
      </c>
      <c r="F157" s="13">
        <v>42857.216481481482</v>
      </c>
      <c r="G157" s="7">
        <v>1</v>
      </c>
      <c r="H157" s="21" t="s">
        <v>917</v>
      </c>
      <c r="I157" s="13">
        <v>42857.225243055553</v>
      </c>
      <c r="J157" s="7">
        <v>0</v>
      </c>
      <c r="K157" s="92" t="str">
        <f>IF(ISEVEN(B157),(B157-1)&amp;"/"&amp;B157,B157&amp;"/"&amp;(B157+1))</f>
        <v>4027/4028</v>
      </c>
      <c r="L157" s="21" t="str">
        <f>VLOOKUP(A157,'Trips&amp;Operators'!$C$1:$G$99999,5,FALSE)</f>
        <v>YORK EDGAR</v>
      </c>
      <c r="M157" s="6">
        <f>I157-F157</f>
        <v>8.7615740703768097E-3</v>
      </c>
      <c r="N157" s="7">
        <f>24*60*SUM($M157:$M157)</f>
        <v>12.616666661342606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-02T04:06:45-0600',mode:absolute,to:'2017-05-02T06:24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7" s="192" t="str">
        <f>IF(AA157&lt;IF(AG157="EC",23,5.65),"Y","N")</f>
        <v>N</v>
      </c>
      <c r="X157" s="192">
        <f>VALUE(LEFT(AD157,4))-VALUE(LEFT(AD156,4))</f>
        <v>556</v>
      </c>
      <c r="Y157" s="192">
        <f>RIGHT(D157,LEN(D157)-4)/10000</f>
        <v>5.8620999999999999</v>
      </c>
      <c r="Z157" s="192">
        <f>RIGHT(H157,LEN(H157)-4)/10000</f>
        <v>7.4099999999999999E-2</v>
      </c>
      <c r="AA157" s="192">
        <f>ABS(Z157-Y157)</f>
        <v>5.7880000000000003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0800-02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/stypes="app*4027*20170502*" /stext=" 11:.+((SYSTEM_STATE.+slice.+state.+changed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NW</v>
      </c>
      <c r="AH157" s="81" t="str">
        <f t="shared" si="13"/>
        <v>"%USERPROFILE%\Documents\GitHub\eaglep3\Utilities\RefineRTDCRunTimes.py" --tripid 800-02 --locoid 4027 --swversion DE.1.0.9.0 --startMP 300:58621 --initTime 2017-05-02T05:06:45 --startdatetime 2017-05-02T05:11:44 --delay 1 --endMP 204:741 --enddatetime 2017-05-02T05:24:21 --enforcementcount 0 &gt;&gt;C:\Users\stu\Documents\GitHub\eaglep3-reporting\EC\2017-05-02-refined-times.txt</v>
      </c>
      <c r="AI157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{"issue":{"subject":"","project_id":79,"tracker_id":40,"status_id":1,"priority_id":2,"assigned_to_id":23,"start_date":"2017-05-02","description":"","custom_fields":[{"id":1,"name":"Subdivision","value":"NW"},{"id":4,"name":"Milepost","value":"0.0741"},{"id":17,"name":"Train ID","value":"800-02"},{"id":16,"name":"Locomotive ID","value":"4027"},{"id":130,"name":"Impact","value":""},{"id":150,"name":"Time of Event (Mountain Time)","value":"05:24:21"},{"id":151,"name":"Denver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15"/>
        <v>start /low /b %USERPROFILE%\Documents\GitHub\eaglep3\Utilities\DownloadLogsFromS3.py --loco 4027 --day 2017-05-02</v>
      </c>
      <c r="AN157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589</v>
      </c>
      <c r="B158" s="7">
        <v>4028</v>
      </c>
      <c r="C158" s="21" t="s">
        <v>211</v>
      </c>
      <c r="D158" s="21" t="s">
        <v>918</v>
      </c>
      <c r="E158" s="13">
        <v>42857.226574074077</v>
      </c>
      <c r="F158" s="13">
        <v>42857.243946759256</v>
      </c>
      <c r="G158" s="7">
        <v>11</v>
      </c>
      <c r="H158" s="21" t="s">
        <v>919</v>
      </c>
      <c r="I158" s="13">
        <v>42857.253229166665</v>
      </c>
      <c r="J158" s="7">
        <v>0</v>
      </c>
      <c r="K158" s="92" t="str">
        <f>IF(ISEVEN(B158),(B158-1)&amp;"/"&amp;B158,B158&amp;"/"&amp;(B158+1))</f>
        <v>4027/4028</v>
      </c>
      <c r="L158" s="21" t="str">
        <f>VLOOKUP(A158,'Trips&amp;Operators'!$C$1:$G$99999,5,FALSE)</f>
        <v>YORK EDGAR</v>
      </c>
      <c r="M158" s="6">
        <f>I158-F158</f>
        <v>9.2824074090458453E-3</v>
      </c>
      <c r="N158" s="7">
        <f>24*60*SUM($M158:$M158)</f>
        <v>13.366666669026017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-02T04:26:16-0600',mode:absolute,to:'2017-05-02T07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8" s="192" t="str">
        <f>IF(AA158&lt;IF(AG158="EC",23,5.65),"Y","N")</f>
        <v>N</v>
      </c>
      <c r="X158" s="192">
        <f>VALUE(LEFT(AD158,4))-VALUE(LEFT(AD157,4))</f>
        <v>1</v>
      </c>
      <c r="Y158" s="192">
        <f>RIGHT(D158,LEN(D158)-4)/10000</f>
        <v>0.10249999999999999</v>
      </c>
      <c r="Z158" s="192">
        <f>RIGHT(H158,LEN(H158)-4)/10000</f>
        <v>5.8928000000000003</v>
      </c>
      <c r="AA158" s="192">
        <f>ABS(Z158-Y158)</f>
        <v>5.7903000000000002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0801-02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/stypes="app*4028*20170502*" /stext=" 12:.+((SYSTEM_STATE.+slice.+state.+changed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NW</v>
      </c>
      <c r="AH158" s="81" t="str">
        <f t="shared" si="13"/>
        <v>"%USERPROFILE%\Documents\GitHub\eaglep3\Utilities\RefineRTDCRunTimes.py" --tripid 801-02 --locoid 4028 --swversion DE.1.0.9.0 --startMP 204:1025 --initTime 2017-05-02T05:26:16 --startdatetime 2017-05-02T05:51:17 --delay 11 --endMP 300:58928 --enddatetime 2017-05-02T06:04:39 --enforcementcount 0 &gt;&gt;C:\Users\stu\Documents\GitHub\eaglep3-reporting\EC\2017-05-02-refined-times.txt</v>
      </c>
      <c r="AI158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{"issue":{"subject":"","project_id":79,"tracker_id":40,"status_id":1,"priority_id":2,"assigned_to_id":23,"start_date":"2017-05-02","description":"","custom_fields":[{"id":1,"name":"Subdivision","value":"NW"},{"id":4,"name":"Milepost","value":"5.8928"},{"id":17,"name":"Train ID","value":"801-02"},{"id":16,"name":"Locomotive ID","value":"4028"},{"id":130,"name":"Impact","value":""},{"id":150,"name":"Time of Event (Mountain Time)","value":"06:04:39"},{"id":151,"name":"Denver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15"/>
        <v>start /low /b %USERPROFILE%\Documents\GitHub\eaglep3\Utilities\DownloadLogsFromS3.py --loco 4028 --day 2017-05-02</v>
      </c>
      <c r="AN158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648</v>
      </c>
      <c r="B159" s="7">
        <v>4027</v>
      </c>
      <c r="C159" s="21" t="s">
        <v>211</v>
      </c>
      <c r="D159" s="21" t="s">
        <v>920</v>
      </c>
      <c r="E159" s="13">
        <v>42857.254918981482</v>
      </c>
      <c r="F159" s="13">
        <v>42857.257824074077</v>
      </c>
      <c r="G159" s="7">
        <v>1</v>
      </c>
      <c r="H159" s="21" t="s">
        <v>921</v>
      </c>
      <c r="I159" s="13">
        <v>42857.267557870371</v>
      </c>
      <c r="J159" s="7">
        <v>0</v>
      </c>
      <c r="K159" s="92" t="str">
        <f>IF(ISEVEN(B159),(B159-1)&amp;"/"&amp;B159,B159&amp;"/"&amp;(B159+1))</f>
        <v>4027/4028</v>
      </c>
      <c r="L159" s="21" t="str">
        <f>VLOOKUP(A159,'Trips&amp;Operators'!$C$1:$G$99999,5,FALSE)</f>
        <v>YORK EDGAR</v>
      </c>
      <c r="M159" s="6">
        <f>I159-F159</f>
        <v>9.7337962943129241E-3</v>
      </c>
      <c r="N159" s="7">
        <f>24*60*SUM($M159:$M159)</f>
        <v>14.016666663810611</v>
      </c>
      <c r="O159" s="7"/>
      <c r="P159" s="7"/>
      <c r="Q159" s="22"/>
      <c r="R159" s="190"/>
      <c r="S159" s="196">
        <f>SUM(U159:U159)/IF(AG159="EC",12,1)</f>
        <v>1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-02T05:07:05-0600',mode:absolute,to:'2017-05-02T07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9" s="192" t="str">
        <f>IF(AA159&lt;IF(AG159="EC",23,5.65),"Y","N")</f>
        <v>N</v>
      </c>
      <c r="X159" s="192">
        <f>VALUE(LEFT(AD159,4))-VALUE(LEFT(AD158,4))</f>
        <v>1</v>
      </c>
      <c r="Y159" s="192">
        <f>RIGHT(D159,LEN(D159)-4)/10000</f>
        <v>5.8613</v>
      </c>
      <c r="Z159" s="192">
        <f>RIGHT(H159,LEN(H159)-4)/10000</f>
        <v>7.3099999999999998E-2</v>
      </c>
      <c r="AA159" s="192">
        <f>ABS(Z159-Y159)</f>
        <v>5.7881999999999998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0802-02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/stypes="app*4027*20170502*" /stext=" 12:.+((SYSTEM_STATE.+slice.+state.+changed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NW</v>
      </c>
      <c r="AH159" s="81" t="str">
        <f t="shared" si="13"/>
        <v>"%USERPROFILE%\Documents\GitHub\eaglep3\Utilities\RefineRTDCRunTimes.py" --tripid 802-02 --locoid 4027 --swversion DE.1.0.9.0 --startMP 300:58613 --initTime 2017-05-02T06:07:05 --startdatetime 2017-05-02T06:11:16 --delay 1 --endMP 204:731 --enddatetime 2017-05-02T06:25:17 --enforcementcount 0 &gt;&gt;C:\Users\stu\Documents\GitHub\eaglep3-reporting\EC\2017-05-02-refined-times.txt</v>
      </c>
      <c r="AI159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{"issue":{"subject":"","project_id":79,"tracker_id":40,"status_id":1,"priority_id":2,"assigned_to_id":23,"start_date":"2017-05-02","description":"","custom_fields":[{"id":1,"name":"Subdivision","value":"NW"},{"id":4,"name":"Milepost","value":"0.0731"},{"id":17,"name":"Train ID","value":"802-02"},{"id":16,"name":"Locomotive ID","value":"4027"},{"id":130,"name":"Impact","value":""},{"id":150,"name":"Time of Event (Mountain Time)","value":"06:25:17"},{"id":151,"name":"Denver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15"/>
        <v>start /low /b %USERPROFILE%\Documents\GitHub\eaglep3\Utilities\DownloadLogsFromS3.py --loco 4027 --day 2017-05-02</v>
      </c>
      <c r="AN159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649</v>
      </c>
      <c r="B160" s="7">
        <v>4014</v>
      </c>
      <c r="C160" s="21" t="s">
        <v>211</v>
      </c>
      <c r="D160" s="21" t="s">
        <v>581</v>
      </c>
      <c r="E160" s="13">
        <v>42857.257013888891</v>
      </c>
      <c r="F160" s="13">
        <v>42857.264849537038</v>
      </c>
      <c r="G160" s="7">
        <v>1</v>
      </c>
      <c r="H160" s="21" t="s">
        <v>579</v>
      </c>
      <c r="I160" s="13">
        <v>42857.274328703701</v>
      </c>
      <c r="J160" s="7">
        <v>0</v>
      </c>
      <c r="K160" s="92" t="str">
        <f>IF(ISEVEN(B160),(B160-1)&amp;"/"&amp;B160,B160&amp;"/"&amp;(B160+1))</f>
        <v>4013/4014</v>
      </c>
      <c r="L160" s="21" t="str">
        <f>VLOOKUP(A160,'Trips&amp;Operators'!$C$1:$G$99999,5,FALSE)</f>
        <v>BROWN JACOB</v>
      </c>
      <c r="M160" s="6">
        <f>I160-F160</f>
        <v>9.4791666633682325E-3</v>
      </c>
      <c r="N160" s="7">
        <f>24*60*SUM($M160:$M160)</f>
        <v>13.649999995250255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-02T05:10:06-0600',mode:absolute,to:'2017-05-02T07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92" t="str">
        <f>IF(AA160&lt;IF(AG160="EC",23,5.65),"Y","N")</f>
        <v>N</v>
      </c>
      <c r="X160" s="192">
        <f>VALUE(LEFT(AD160,4))-VALUE(LEFT(AD159,4))</f>
        <v>1</v>
      </c>
      <c r="Y160" s="192">
        <f>RIGHT(D160,LEN(D160)-4)/10000</f>
        <v>9.9900000000000003E-2</v>
      </c>
      <c r="Z160" s="192">
        <f>RIGHT(H160,LEN(H160)-4)/10000</f>
        <v>5.8959999999999999</v>
      </c>
      <c r="AA160" s="192">
        <f>ABS(Z160-Y160)</f>
        <v>5.7961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0803-02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/stypes="app*4014*20170502*" /stext=" 12:.+((SYSTEM_STATE.+slice.+state.+changed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3"/>
        <v>"%USERPROFILE%\Documents\GitHub\eaglep3\Utilities\RefineRTDCRunTimes.py" --tripid 803-02 --locoid 4014 --swversion DE.1.0.9.0 --startMP 204:999 --initTime 2017-05-02T06:10:06 --startdatetime 2017-05-02T06:21:23 --delay 1 --endMP 300:58960 --enddatetime 2017-05-02T06:35:02 --enforcementcount 0 &gt;&gt;C:\Users\stu\Documents\GitHub\eaglep3-reporting\EC\2017-05-02-refined-times.txt</v>
      </c>
      <c r="AI160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{"issue":{"subject":"","project_id":79,"tracker_id":40,"status_id":1,"priority_id":2,"assigned_to_id":23,"start_date":"2017-05-02","description":"","custom_fields":[{"id":1,"name":"Subdivision","value":"NW"},{"id":4,"name":"Milepost","value":"5.896"},{"id":17,"name":"Train ID","value":"803-02"},{"id":16,"name":"Locomotive ID","value":"4014"},{"id":130,"name":"Impact","value":""},{"id":150,"name":"Time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5"/>
        <v>start /low /b %USERPROFILE%\Documents\GitHub\eaglep3\Utilities\DownloadLogsFromS3.py --loco 4014 --day 2017-05-02</v>
      </c>
      <c r="AN160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655</v>
      </c>
      <c r="B161" s="7">
        <v>4013</v>
      </c>
      <c r="C161" s="21" t="s">
        <v>211</v>
      </c>
      <c r="D161" s="21" t="s">
        <v>922</v>
      </c>
      <c r="E161" s="13">
        <v>42857.275358796294</v>
      </c>
      <c r="F161" s="13">
        <v>42857.276631944442</v>
      </c>
      <c r="G161" s="7">
        <v>1</v>
      </c>
      <c r="H161" s="21" t="s">
        <v>923</v>
      </c>
      <c r="I161" s="13">
        <v>42857.288668981484</v>
      </c>
      <c r="J161" s="7">
        <v>0</v>
      </c>
      <c r="K161" s="92" t="str">
        <f>IF(ISEVEN(B161),(B161-1)&amp;"/"&amp;B161,B161&amp;"/"&amp;(B161+1))</f>
        <v>4013/4014</v>
      </c>
      <c r="L161" s="21" t="str">
        <f>VLOOKUP(A161,'Trips&amp;Operators'!$C$1:$G$99999,5,FALSE)</f>
        <v>BROWN JACOB</v>
      </c>
      <c r="M161" s="6">
        <f>I161-F161</f>
        <v>1.2037037042318843E-2</v>
      </c>
      <c r="N161" s="7">
        <f>24*60*SUM($M161:$M161)</f>
        <v>17.333333340939134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-02T05:36:31-0600',mode:absolute,to:'2017-05-02T07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192">
        <f>RIGHT(D161,LEN(D161)-4)/10000</f>
        <v>5.8647</v>
      </c>
      <c r="Z161" s="192">
        <f>RIGHT(H161,LEN(H161)-4)/10000</f>
        <v>7.0499999999999993E-2</v>
      </c>
      <c r="AA161" s="192">
        <f>ABS(Z161-Y161)</f>
        <v>5.7942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0804-02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/stypes="app*4013*20170502*"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3"/>
        <v>"%USERPROFILE%\Documents\GitHub\eaglep3\Utilities\RefineRTDCRunTimes.py" --tripid 804-02 --locoid 4013 --swversion DE.1.0.9.0 --startMP 300:58647 --initTime 2017-05-02T06:36:31 --startdatetime 2017-05-02T06:38:21 --delay 1 --endMP 204:705 --enddatetime 2017-05-02T06:55:41 --enforcementcount 0 &gt;&gt;C:\Users\stu\Documents\GitHub\eaglep3-reporting\EC\2017-05-02-refined-times.txt</v>
      </c>
      <c r="AI161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{"issue":{"subject":"","project_id":79,"tracker_id":40,"status_id":1,"priority_id":2,"assigned_to_id":23,"start_date":"2017-05-02","description":"","custom_fields":[{"id":1,"name":"Subdivision","value":"NW"},{"id":4,"name":"Milepost","value":"0.0705"},{"id":17,"name":"Train ID","value":"804-02"},{"id":16,"name":"Locomotive ID","value":"4013"},{"id":130,"name":"Impact","value":""},{"id":150,"name":"Time of Event (Mountain Time)","value":"06:55:41"},{"id":151,"name":"Denver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5"/>
        <v>start /low /b %USERPROFILE%\Documents\GitHub\eaglep3\Utilities\DownloadLogsFromS3.py --loco 4013 --day 2017-05-02</v>
      </c>
      <c r="AN161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653</v>
      </c>
      <c r="B162" s="7">
        <v>4028</v>
      </c>
      <c r="C162" s="21" t="s">
        <v>211</v>
      </c>
      <c r="D162" s="21" t="s">
        <v>924</v>
      </c>
      <c r="E162" s="13">
        <v>42857.26972222222</v>
      </c>
      <c r="F162" s="13">
        <v>42857.28597222222</v>
      </c>
      <c r="G162" s="7">
        <v>0</v>
      </c>
      <c r="H162" s="21" t="s">
        <v>571</v>
      </c>
      <c r="I162" s="13">
        <v>42857.294259259259</v>
      </c>
      <c r="J162" s="7">
        <v>0</v>
      </c>
      <c r="K162" s="92" t="str">
        <f>IF(ISEVEN(B162),(B162-1)&amp;"/"&amp;B162,B162&amp;"/"&amp;(B162+1))</f>
        <v>4027/4028</v>
      </c>
      <c r="L162" s="21" t="str">
        <f>VLOOKUP(A162,'Trips&amp;Operators'!$C$1:$G$99999,5,FALSE)</f>
        <v>YORK EDGAR</v>
      </c>
      <c r="M162" s="6">
        <f>I162-F162</f>
        <v>8.2870370388263837E-3</v>
      </c>
      <c r="N162" s="7">
        <f>24*60*SUM($M162:$M162)</f>
        <v>11.933333335909992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-02T05:28:24-0600',mode:absolute,to:'2017-05-02T08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192">
        <f>RIGHT(D162,LEN(D162)-4)/10000</f>
        <v>0.1018</v>
      </c>
      <c r="Z162" s="192">
        <f>RIGHT(H162,LEN(H162)-4)/10000</f>
        <v>5.8948</v>
      </c>
      <c r="AA162" s="192">
        <f>ABS(Z162-Y162)</f>
        <v>5.7930000000000001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0805-02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/stypes="app*4028*20170502*" /stext=" 13:.+((SYSTEM_STATE.+slice.+state.+changed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3"/>
        <v>"%USERPROFILE%\Documents\GitHub\eaglep3\Utilities\RefineRTDCRunTimes.py" --tripid 805-02 --locoid 4028 --swversion DE.1.0.9.0 --startMP 204:1018 --initTime 2017-05-02T06:28:24 --startdatetime 2017-05-02T06:51:48 --delay 0 --endMP 300:58948 --enddatetime 2017-05-02T07:03:44 --enforcementcount 0 &gt;&gt;C:\Users\stu\Documents\GitHub\eaglep3-reporting\EC\2017-05-02-refined-times.txt</v>
      </c>
      <c r="AI162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{"issue":{"subject":"","project_id":79,"tracker_id":40,"status_id":1,"priority_id":2,"assigned_to_id":23,"start_date":"2017-05-02","description":"","custom_fields":[{"id":1,"name":"Subdivision","value":"NW"},{"id":4,"name":"Milepost","value":"5.8948"},{"id":17,"name":"Train ID","value":"805-02"},{"id":16,"name":"Locomotive ID","value":"4028"},{"id":130,"name":"Impact","value":""},{"id":150,"name":"Time of Event (Mountain Time)","value":"07:03:44"},{"id":151,"name":"Denver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15"/>
        <v>start /low /b %USERPROFILE%\Documents\GitHub\eaglep3\Utilities\DownloadLogsFromS3.py --loco 4028 --day 2017-05-02</v>
      </c>
      <c r="AN162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659</v>
      </c>
      <c r="B163" s="7">
        <v>4027</v>
      </c>
      <c r="C163" s="21" t="s">
        <v>211</v>
      </c>
      <c r="D163" s="21" t="s">
        <v>574</v>
      </c>
      <c r="E163" s="13">
        <v>42857.295636574076</v>
      </c>
      <c r="F163" s="13">
        <v>42857.299525462964</v>
      </c>
      <c r="G163" s="7">
        <v>1</v>
      </c>
      <c r="H163" s="21" t="s">
        <v>917</v>
      </c>
      <c r="I163" s="13">
        <v>42857.308807870373</v>
      </c>
      <c r="J163" s="7">
        <v>0</v>
      </c>
      <c r="K163" s="92" t="str">
        <f>IF(ISEVEN(B163),(B163-1)&amp;"/"&amp;B163,B163&amp;"/"&amp;(B163+1))</f>
        <v>4027/4028</v>
      </c>
      <c r="L163" s="21" t="str">
        <f>VLOOKUP(A163,'Trips&amp;Operators'!$C$1:$G$99999,5,FALSE)</f>
        <v>YORK EDGAR</v>
      </c>
      <c r="M163" s="6">
        <f>I163-F163</f>
        <v>9.2824074090458453E-3</v>
      </c>
      <c r="N163" s="7">
        <f>24*60*SUM($M163:$M163)</f>
        <v>13.366666669026017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-02T06:05:43-0600',mode:absolute,to:'2017-05-02T08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5.8635999999999999</v>
      </c>
      <c r="Z163" s="192">
        <f>RIGHT(H163,LEN(H163)-4)/10000</f>
        <v>7.4099999999999999E-2</v>
      </c>
      <c r="AA163" s="192">
        <f>ABS(Z163-Y163)</f>
        <v>5.7895000000000003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0806-02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/stypes="app*4027*20170502*" /stext=" 13:.+((SYSTEM_STATE.+slice.+state.+changed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3"/>
        <v>"%USERPROFILE%\Documents\GitHub\eaglep3\Utilities\RefineRTDCRunTimes.py" --tripid 806-02 --locoid 4027 --swversion DE.1.0.9.0 --startMP 300:58636 --initTime 2017-05-02T07:05:43 --startdatetime 2017-05-02T07:11:19 --delay 1 --endMP 204:741 --enddatetime 2017-05-02T07:24:41 --enforcementcount 0 &gt;&gt;C:\Users\stu\Documents\GitHub\eaglep3-reporting\EC\2017-05-02-refined-times.txt</v>
      </c>
      <c r="AI163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{"issue":{"subject":"","project_id":79,"tracker_id":40,"status_id":1,"priority_id":2,"assigned_to_id":23,"start_date":"2017-05-02","description":"","custom_fields":[{"id":1,"name":"Subdivision","value":"NW"},{"id":4,"name":"Milepost","value":"0.0741"},{"id":17,"name":"Train ID","value":"806-02"},{"id":16,"name":"Locomotive ID","value":"4027"},{"id":130,"name":"Impact","value":""},{"id":150,"name":"Time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15"/>
        <v>start /low /b %USERPROFILE%\Documents\GitHub\eaglep3\Utilities\DownloadLogsFromS3.py --loco 4027 --day 2017-05-02</v>
      </c>
      <c r="AN163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660</v>
      </c>
      <c r="B164" s="7">
        <v>4014</v>
      </c>
      <c r="C164" s="21" t="s">
        <v>211</v>
      </c>
      <c r="D164" s="21" t="s">
        <v>925</v>
      </c>
      <c r="E164" s="13">
        <v>42857.296793981484</v>
      </c>
      <c r="F164" s="13">
        <v>42857.30641203704</v>
      </c>
      <c r="G164" s="7">
        <v>1</v>
      </c>
      <c r="H164" s="21" t="s">
        <v>486</v>
      </c>
      <c r="I164" s="13">
        <v>42857.315798611111</v>
      </c>
      <c r="J164" s="7">
        <v>0</v>
      </c>
      <c r="K164" s="92" t="str">
        <f>IF(ISEVEN(B164),(B164-1)&amp;"/"&amp;B164,B164&amp;"/"&amp;(B164+1))</f>
        <v>4013/4014</v>
      </c>
      <c r="L164" s="21" t="str">
        <f>VLOOKUP(A164,'Trips&amp;Operators'!$C$1:$G$99999,5,FALSE)</f>
        <v>BROWN JACOB</v>
      </c>
      <c r="M164" s="6">
        <f>I164-F164</f>
        <v>9.3865740709588863E-3</v>
      </c>
      <c r="N164" s="7">
        <f>24*60*SUM($M164:$M164)</f>
        <v>13.516666662180796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-02T06:07:23-0600',mode:absolute,to:'2017-05-02T08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9.8799999999999999E-2</v>
      </c>
      <c r="Z164" s="192">
        <f>RIGHT(H164,LEN(H164)-4)/10000</f>
        <v>5.8943000000000003</v>
      </c>
      <c r="AA164" s="192">
        <f>ABS(Z164-Y164)</f>
        <v>5.7955000000000005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0807-02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/stypes="app*4014*20170502*" /stext=" 13:.+((SYSTEM_STATE.+slice.+state.+changed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3"/>
        <v>"%USERPROFILE%\Documents\GitHub\eaglep3\Utilities\RefineRTDCRunTimes.py" --tripid 807-02 --locoid 4014 --swversion DE.1.0.9.0 --startMP 204:988 --initTime 2017-05-02T07:07:23 --startdatetime 2017-05-02T07:21:14 --delay 1 --endMP 300:58943 --enddatetime 2017-05-02T07:34:45 --enforcementcount 0 &gt;&gt;C:\Users\stu\Documents\GitHub\eaglep3-reporting\EC\2017-05-02-refined-times.txt</v>
      </c>
      <c r="AI164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{"issue":{"subject":"","project_id":79,"tracker_id":40,"status_id":1,"priority_id":2,"assigned_to_id":23,"start_date":"2017-05-02","description":"","custom_fields":[{"id":1,"name":"Subdivision","value":"NW"},{"id":4,"name":"Milepost","value":"5.8943"},{"id":17,"name":"Train ID","value":"807-02"},{"id":16,"name":"Locomotive ID","value":"4014"},{"id":130,"name":"Impact","value":""},{"id":150,"name":"Time of Event (Mountain Time)","value":"07:34:45"},{"id":151,"name":"Denver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15"/>
        <v>start /low /b %USERPROFILE%\Documents\GitHub\eaglep3\Utilities\DownloadLogsFromS3.py --loco 4014 --day 2017-05-02</v>
      </c>
      <c r="AN164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666</v>
      </c>
      <c r="B165" s="7">
        <v>4013</v>
      </c>
      <c r="C165" s="21" t="s">
        <v>211</v>
      </c>
      <c r="D165" s="21" t="s">
        <v>485</v>
      </c>
      <c r="E165" s="13">
        <v>42857.31695601852</v>
      </c>
      <c r="F165" s="13">
        <v>42857.318055555559</v>
      </c>
      <c r="G165" s="7">
        <v>0</v>
      </c>
      <c r="H165" s="21" t="s">
        <v>926</v>
      </c>
      <c r="I165" s="13">
        <v>42857.330185185187</v>
      </c>
      <c r="J165" s="7">
        <v>0</v>
      </c>
      <c r="K165" s="92" t="str">
        <f>IF(ISEVEN(B165),(B165-1)&amp;"/"&amp;B165,B165&amp;"/"&amp;(B165+1))</f>
        <v>4013/4014</v>
      </c>
      <c r="L165" s="21" t="str">
        <f>VLOOKUP(A165,'Trips&amp;Operators'!$C$1:$G$99999,5,FALSE)</f>
        <v>BROWN JACOB</v>
      </c>
      <c r="M165" s="6">
        <f>I165-F165</f>
        <v>1.2129629627452232E-2</v>
      </c>
      <c r="N165" s="7">
        <f>24*60*SUM($M165:$M165)</f>
        <v>17.466666663531214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-02T06:36:25-0600',mode:absolute,to:'2017-05-02T08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5.8625999999999996</v>
      </c>
      <c r="Z165" s="192">
        <f>RIGHT(H165,LEN(H165)-4)/10000</f>
        <v>7.0099999999999996E-2</v>
      </c>
      <c r="AA165" s="192">
        <f>ABS(Z165-Y165)</f>
        <v>5.7924999999999995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0808-02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/stypes="app*4013*20170502*"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3"/>
        <v>"%USERPROFILE%\Documents\GitHub\eaglep3\Utilities\RefineRTDCRunTimes.py" --tripid 808-02 --locoid 4013 --swversion DE.1.0.9.0 --startMP 300:58626 --initTime 2017-05-02T07:36:25 --startdatetime 2017-05-02T07:38:00 --delay 0 --endMP 204:701 --enddatetime 2017-05-02T07:55:28 --enforcementcount 0 &gt;&gt;C:\Users\stu\Documents\GitHub\eaglep3-reporting\EC\2017-05-02-refined-times.txt</v>
      </c>
      <c r="AI165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{"issue":{"subject":"","project_id":79,"tracker_id":40,"status_id":1,"priority_id":2,"assigned_to_id":23,"start_date":"2017-05-02","description":"","custom_fields":[{"id":1,"name":"Subdivision","value":"NW"},{"id":4,"name":"Milepost","value":"0.0701"},{"id":17,"name":"Train ID","value":"808-02"},{"id":16,"name":"Locomotive ID","value":"4013"},{"id":130,"name":"Impact","value":""},{"id":150,"name":"Time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15"/>
        <v>start /low /b %USERPROFILE%\Documents\GitHub\eaglep3\Utilities\DownloadLogsFromS3.py --loco 4013 --day 2017-05-02</v>
      </c>
      <c r="AN165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664</v>
      </c>
      <c r="B166" s="7">
        <v>4028</v>
      </c>
      <c r="C166" s="21" t="s">
        <v>211</v>
      </c>
      <c r="D166" s="21" t="s">
        <v>924</v>
      </c>
      <c r="E166" s="13">
        <v>42857.309756944444</v>
      </c>
      <c r="F166" s="13">
        <v>42857.327314814815</v>
      </c>
      <c r="G166" s="7">
        <v>0</v>
      </c>
      <c r="H166" s="21" t="s">
        <v>570</v>
      </c>
      <c r="I166" s="13">
        <v>42857.336192129631</v>
      </c>
      <c r="J166" s="7">
        <v>0</v>
      </c>
      <c r="K166" s="92" t="str">
        <f>IF(ISEVEN(B166),(B166-1)&amp;"/"&amp;B166,B166&amp;"/"&amp;(B166+1))</f>
        <v>4027/4028</v>
      </c>
      <c r="L166" s="21" t="str">
        <f>VLOOKUP(A166,'Trips&amp;Operators'!$C$1:$G$99999,5,FALSE)</f>
        <v>YORK EDGAR</v>
      </c>
      <c r="M166" s="6">
        <f>I166-F166</f>
        <v>8.8773148163454607E-3</v>
      </c>
      <c r="N166" s="7">
        <f>24*60*SUM($M166:$M166)</f>
        <v>12.783333335537463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-02T06:26:03-0600',mode:absolute,to:'2017-05-02T09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0.1018</v>
      </c>
      <c r="Z166" s="192">
        <f>RIGHT(H166,LEN(H166)-4)/10000</f>
        <v>5.8949999999999996</v>
      </c>
      <c r="AA166" s="192">
        <f>ABS(Z166-Y166)</f>
        <v>5.7931999999999997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0809-02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/stypes="app*4028*20170502*" /stext=" 14:.+((SYSTEM_STATE.+slice.+state.+changed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3"/>
        <v>"%USERPROFILE%\Documents\GitHub\eaglep3\Utilities\RefineRTDCRunTimes.py" --tripid 809-02 --locoid 4028 --swversion DE.1.0.9.0 --startMP 204:1018 --initTime 2017-05-02T07:26:03 --startdatetime 2017-05-02T07:51:20 --delay 0 --endMP 300:58950 --enddatetime 2017-05-02T08:04:07 --enforcementcount 0 &gt;&gt;C:\Users\stu\Documents\GitHub\eaglep3-reporting\EC\2017-05-02-refined-times.txt</v>
      </c>
      <c r="AI166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{"issue":{"subject":"","project_id":79,"tracker_id":40,"status_id":1,"priority_id":2,"assigned_to_id":23,"start_date":"2017-05-02","description":"","custom_fields":[{"id":1,"name":"Subdivision","value":"NW"},{"id":4,"name":"Milepost","value":"5.895"},{"id":17,"name":"Train ID","value":"809-02"},{"id":16,"name":"Locomotive ID","value":"4028"},{"id":130,"name":"Impact","value":""},{"id":150,"name":"Time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15"/>
        <v>start /low /b %USERPROFILE%\Documents\GitHub\eaglep3\Utilities\DownloadLogsFromS3.py --loco 4028 --day 2017-05-02</v>
      </c>
      <c r="AN166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2" t="s">
        <v>670</v>
      </c>
      <c r="B167" s="7">
        <v>4027</v>
      </c>
      <c r="C167" s="21" t="s">
        <v>211</v>
      </c>
      <c r="D167" s="21" t="s">
        <v>488</v>
      </c>
      <c r="E167" s="13">
        <v>42857.337233796294</v>
      </c>
      <c r="F167" s="13">
        <v>42857.341296296298</v>
      </c>
      <c r="G167" s="7">
        <v>0</v>
      </c>
      <c r="H167" s="21" t="s">
        <v>927</v>
      </c>
      <c r="I167" s="13">
        <v>42857.35052083333</v>
      </c>
      <c r="J167" s="7">
        <v>0</v>
      </c>
      <c r="K167" s="92" t="str">
        <f>IF(ISEVEN(B167),(B167-1)&amp;"/"&amp;B167,B167&amp;"/"&amp;(B167+1))</f>
        <v>4027/4028</v>
      </c>
      <c r="L167" s="21" t="str">
        <f>VLOOKUP(A167,'Trips&amp;Operators'!$C$1:$G$99999,5,FALSE)</f>
        <v>YORK EDGAR</v>
      </c>
      <c r="M167" s="6">
        <f>I167-F167</f>
        <v>9.2245370324235409E-3</v>
      </c>
      <c r="N167" s="7">
        <f>24*60*SUM($M167:$M167)</f>
        <v>13.283333326689899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-02T07:05:37-0600',mode:absolute,to:'2017-05-02T09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5.8628</v>
      </c>
      <c r="Z167" s="192">
        <f>RIGHT(H167,LEN(H167)-4)/10000</f>
        <v>8.2000000000000003E-2</v>
      </c>
      <c r="AA167" s="192">
        <f>ABS(Z167-Y167)</f>
        <v>5.7808000000000002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0810-02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/stypes="app*4027*20170502*" /stext=" 14:.+((SYSTEM_STATE.+slice.+state.+changed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3"/>
        <v>"%USERPROFILE%\Documents\GitHub\eaglep3\Utilities\RefineRTDCRunTimes.py" --tripid 810-02 --locoid 4027 --swversion DE.1.0.9.0 --startMP 300:58628 --initTime 2017-05-02T08:05:37 --startdatetime 2017-05-02T08:11:28 --delay 0 --endMP 204:820 --enddatetime 2017-05-02T08:24:45 --enforcementcount 0 &gt;&gt;C:\Users\stu\Documents\GitHub\eaglep3-reporting\EC\2017-05-02-refined-times.txt</v>
      </c>
      <c r="AI167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{"issue":{"subject":"","project_id":79,"tracker_id":40,"status_id":1,"priority_id":2,"assigned_to_id":23,"start_date":"2017-05-02","description":"","custom_fields":[{"id":1,"name":"Subdivision","value":"NW"},{"id":4,"name":"Milepost","value":"0.082"},{"id":17,"name":"Train ID","value":"810-02"},{"id":16,"name":"Locomotive ID","value":"4027"},{"id":130,"name":"Impact","value":""},{"id":150,"name":"Time of Event (Mountain Time)","value":"08:24:45"},{"id":151,"name":"Denver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15"/>
        <v>start /low /b %USERPROFILE%\Documents\GitHub\eaglep3\Utilities\DownloadLogsFromS3.py --loco 4027 --day 2017-05-02</v>
      </c>
      <c r="AN167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2" t="s">
        <v>591</v>
      </c>
      <c r="B168" s="7">
        <v>4014</v>
      </c>
      <c r="C168" s="21" t="s">
        <v>211</v>
      </c>
      <c r="D168" s="21" t="s">
        <v>928</v>
      </c>
      <c r="E168" s="13">
        <v>42857.335381944446</v>
      </c>
      <c r="F168" s="13">
        <v>42857.348055555558</v>
      </c>
      <c r="G168" s="7">
        <v>2</v>
      </c>
      <c r="H168" s="21" t="s">
        <v>929</v>
      </c>
      <c r="I168" s="13">
        <v>42857.357164351852</v>
      </c>
      <c r="J168" s="7">
        <v>0</v>
      </c>
      <c r="K168" s="92" t="str">
        <f>IF(ISEVEN(B168),(B168-1)&amp;"/"&amp;B168,B168&amp;"/"&amp;(B168+1))</f>
        <v>4013/4014</v>
      </c>
      <c r="L168" s="21" t="str">
        <f>VLOOKUP(A168,'Trips&amp;Operators'!$C$1:$G$99999,5,FALSE)</f>
        <v>BROWN JACOB</v>
      </c>
      <c r="M168" s="6">
        <f>I168-F168</f>
        <v>9.1087962937308475E-3</v>
      </c>
      <c r="N168" s="7">
        <f>24*60*SUM($M168:$M168)</f>
        <v>13.11666666297242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-02T07:02:57-0600',mode:absolute,to:'2017-05-02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9.9000000000000005E-2</v>
      </c>
      <c r="Z168" s="192">
        <f>RIGHT(H168,LEN(H168)-4)/10000</f>
        <v>5.8964999999999996</v>
      </c>
      <c r="AA168" s="192">
        <f>ABS(Z168-Y168)</f>
        <v>5.7974999999999994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0811-02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/stypes="app*4014*20170502*" /stext=" 14:.+((SYSTEM_STATE.+slice.+state.+changed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3"/>
        <v>"%USERPROFILE%\Documents\GitHub\eaglep3\Utilities\RefineRTDCRunTimes.py" --tripid 811-02 --locoid 4014 --swversion DE.1.0.9.0 --startMP 204:990 --initTime 2017-05-02T08:02:57 --startdatetime 2017-05-02T08:21:12 --delay 2 --endMP 300:58965 --enddatetime 2017-05-02T08:34:19 --enforcementcount 0 &gt;&gt;C:\Users\stu\Documents\GitHub\eaglep3-reporting\EC\2017-05-02-refined-times.txt</v>
      </c>
      <c r="AI168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{"issue":{"subject":"","project_id":79,"tracker_id":40,"status_id":1,"priority_id":2,"assigned_to_id":23,"start_date":"2017-05-02","description":"","custom_fields":[{"id":1,"name":"Subdivision","value":"NW"},{"id":4,"name":"Milepost","value":"5.8965"},{"id":17,"name":"Train ID","value":"811-02"},{"id":16,"name":"Locomotive ID","value":"4014"},{"id":130,"name":"Impact","value":""},{"id":150,"name":"Time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15"/>
        <v>start /low /b %USERPROFILE%\Documents\GitHub\eaglep3\Utilities\DownloadLogsFromS3.py --loco 4014 --day 2017-05-02</v>
      </c>
      <c r="AN168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592</v>
      </c>
      <c r="B169" s="7">
        <v>4013</v>
      </c>
      <c r="C169" s="21" t="s">
        <v>211</v>
      </c>
      <c r="D169" s="21" t="s">
        <v>577</v>
      </c>
      <c r="E169" s="13">
        <v>42857.358969907407</v>
      </c>
      <c r="F169" s="13">
        <v>42857.36041666667</v>
      </c>
      <c r="G169" s="7">
        <v>1</v>
      </c>
      <c r="H169" s="21" t="s">
        <v>930</v>
      </c>
      <c r="I169" s="13">
        <v>42857.371516203704</v>
      </c>
      <c r="J169" s="7">
        <v>0</v>
      </c>
      <c r="K169" s="92" t="str">
        <f>IF(ISEVEN(B169),(B169-1)&amp;"/"&amp;B169,B169&amp;"/"&amp;(B169+1))</f>
        <v>4013/4014</v>
      </c>
      <c r="L169" s="21" t="str">
        <f>VLOOKUP(A169,'Trips&amp;Operators'!$C$1:$G$99999,5,FALSE)</f>
        <v>BROWN JACOB</v>
      </c>
      <c r="M169" s="6">
        <f>I169-F169</f>
        <v>1.1099537034169771E-2</v>
      </c>
      <c r="N169" s="7">
        <f>24*60*SUM($M169:$M169)</f>
        <v>15.98333332920447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-02T07:36:55-0600',mode:absolute,to:'2017-05-02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5.8651</v>
      </c>
      <c r="Z169" s="192">
        <f>RIGHT(H169,LEN(H169)-4)/10000</f>
        <v>7.4999999999999997E-2</v>
      </c>
      <c r="AA169" s="192">
        <f>ABS(Z169-Y169)</f>
        <v>5.7900999999999998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0812-02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/stypes="app*4013*20170502*"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3"/>
        <v>"%USERPROFILE%\Documents\GitHub\eaglep3\Utilities\RefineRTDCRunTimes.py" --tripid 812-02 --locoid 4013 --swversion DE.1.0.9.0 --startMP 300:58651 --initTime 2017-05-02T08:36:55 --startdatetime 2017-05-02T08:39:00 --delay 1 --endMP 204:750 --enddatetime 2017-05-02T08:54:59 --enforcementcount 0 &gt;&gt;C:\Users\stu\Documents\GitHub\eaglep3-reporting\EC\2017-05-02-refined-times.txt</v>
      </c>
      <c r="AI169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{"issue":{"subject":"","project_id":79,"tracker_id":40,"status_id":1,"priority_id":2,"assigned_to_id":23,"start_date":"2017-05-02","description":"","custom_fields":[{"id":1,"name":"Subdivision","value":"NW"},{"id":4,"name":"Milepost","value":"0.075"},{"id":17,"name":"Train ID","value":"812-02"},{"id":16,"name":"Locomotive ID","value":"4013"},{"id":130,"name":"Impact","value":""},{"id":150,"name":"Time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15"/>
        <v>start /low /b %USERPROFILE%\Documents\GitHub\eaglep3\Utilities\DownloadLogsFromS3.py --loco 4013 --day 2017-05-02</v>
      </c>
      <c r="AN169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681</v>
      </c>
      <c r="B170" s="7">
        <v>4014</v>
      </c>
      <c r="C170" s="21" t="s">
        <v>211</v>
      </c>
      <c r="D170" s="21" t="s">
        <v>931</v>
      </c>
      <c r="E170" s="13">
        <v>42857.385254629633</v>
      </c>
      <c r="F170" s="13">
        <v>42857.389722222222</v>
      </c>
      <c r="G170" s="7">
        <v>2</v>
      </c>
      <c r="H170" s="21" t="s">
        <v>932</v>
      </c>
      <c r="I170" s="13">
        <v>42857.399282407408</v>
      </c>
      <c r="J170" s="7">
        <v>0</v>
      </c>
      <c r="K170" s="92" t="str">
        <f>IF(ISEVEN(B170),(B170-1)&amp;"/"&amp;B170,B170&amp;"/"&amp;(B170+1))</f>
        <v>4013/4014</v>
      </c>
      <c r="L170" s="21" t="str">
        <f>VLOOKUP(A170,'Trips&amp;Operators'!$C$1:$G$99999,5,FALSE)</f>
        <v>WILLIAMS DONTE</v>
      </c>
      <c r="M170" s="6">
        <f>I170-F170</f>
        <v>9.560185186273884E-3</v>
      </c>
      <c r="N170" s="7">
        <f>24*60*SUM($M170:$M170)</f>
        <v>13.766666668234393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-02T08:14:46-0600',mode:absolute,to:'2017-05-02T10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0.1048</v>
      </c>
      <c r="Z170" s="192">
        <f>RIGHT(H170,LEN(H170)-4)/10000</f>
        <v>5.8935000000000004</v>
      </c>
      <c r="AA170" s="192">
        <f>ABS(Z170-Y170)</f>
        <v>5.7887000000000004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0813-02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/stypes="app*4014*20170502*" /stext=" 15:.+((SYSTEM_STATE.+slice.+state.+changed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3"/>
        <v>"%USERPROFILE%\Documents\GitHub\eaglep3\Utilities\RefineRTDCRunTimes.py" --tripid 813-02 --locoid 4014 --swversion DE.1.0.9.0 --startMP 204:1048 --initTime 2017-05-02T09:14:46 --startdatetime 2017-05-02T09:21:12 --delay 2 --endMP 300:58935 --enddatetime 2017-05-02T09:34:58 --enforcementcount 0 &gt;&gt;C:\Users\stu\Documents\GitHub\eaglep3-reporting\EC\2017-05-02-refined-times.txt</v>
      </c>
      <c r="AI170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{"issue":{"subject":"","project_id":79,"tracker_id":40,"status_id":1,"priority_id":2,"assigned_to_id":23,"start_date":"2017-05-02","description":"","custom_fields":[{"id":1,"name":"Subdivision","value":"NW"},{"id":4,"name":"Milepost","value":"5.8935"},{"id":17,"name":"Train ID","value":"813-02"},{"id":16,"name":"Locomotive ID","value":"4014"},{"id":130,"name":"Impact","value":""},{"id":150,"name":"Time of Event (Mountain Time)","value":"09:34:58"},{"id":151,"name":"Denver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5"/>
        <v>start /low /b %USERPROFILE%\Documents\GitHub\eaglep3\Utilities\DownloadLogsFromS3.py --loco 4014 --day 2017-05-02</v>
      </c>
      <c r="AN170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685</v>
      </c>
      <c r="B171" s="7">
        <v>4013</v>
      </c>
      <c r="C171" s="21" t="s">
        <v>211</v>
      </c>
      <c r="D171" s="21" t="s">
        <v>461</v>
      </c>
      <c r="E171" s="13">
        <v>42857.401192129626</v>
      </c>
      <c r="F171" s="13">
        <v>42857.404050925928</v>
      </c>
      <c r="G171" s="7">
        <v>1</v>
      </c>
      <c r="H171" s="21" t="s">
        <v>582</v>
      </c>
      <c r="I171" s="13">
        <v>42857.413194444445</v>
      </c>
      <c r="J171" s="7">
        <v>0</v>
      </c>
      <c r="K171" s="92" t="str">
        <f>IF(ISEVEN(B171),(B171-1)&amp;"/"&amp;B171,B171&amp;"/"&amp;(B171+1))</f>
        <v>4013/4014</v>
      </c>
      <c r="L171" s="21" t="str">
        <f>VLOOKUP(A171,'Trips&amp;Operators'!$C$1:$G$99999,5,FALSE)</f>
        <v>WILLIAMS DONTE</v>
      </c>
      <c r="M171" s="6">
        <f>I171-F171</f>
        <v>9.1435185167938471E-3</v>
      </c>
      <c r="N171" s="7">
        <f>24*60*SUM($M171:$M171)</f>
        <v>13.16666666418314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-02T08:37:43-0600',mode:absolute,to:'2017-05-02T10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5.8620999999999999</v>
      </c>
      <c r="Z171" s="192">
        <f>RIGHT(H171,LEN(H171)-4)/10000</f>
        <v>6.8900000000000003E-2</v>
      </c>
      <c r="AA171" s="192">
        <f>ABS(Z171-Y171)</f>
        <v>5.7931999999999997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0814-02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/stypes="app*4013*20170502*" /stext=" 15:.+((SYSTEM_STATE.+slice.+state.+changed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3"/>
        <v>"%USERPROFILE%\Documents\GitHub\eaglep3\Utilities\RefineRTDCRunTimes.py" --tripid 814-02 --locoid 4013 --swversion DE.1.0.9.0 --startMP 300:58621 --initTime 2017-05-02T09:37:43 --startdatetime 2017-05-02T09:41:50 --delay 1 --endMP 204:689 --enddatetime 2017-05-02T09:55:00 --enforcementcount 0 &gt;&gt;C:\Users\stu\Documents\GitHub\eaglep3-reporting\EC\2017-05-02-refined-times.txt</v>
      </c>
      <c r="AI171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{"issue":{"subject":"","project_id":79,"tracker_id":40,"status_id":1,"priority_id":2,"assigned_to_id":23,"start_date":"2017-05-02","description":"","custom_fields":[{"id":1,"name":"Subdivision","value":"NW"},{"id":4,"name":"Milepost","value":"0.0689"},{"id":17,"name":"Train ID","value":"814-02"},{"id":16,"name":"Locomotive ID","value":"4013"},{"id":130,"name":"Impact","value":""},{"id":150,"name":"Time of Event (Mountain Time)","value":"09:55:00"},{"id":151,"name":"Denver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15"/>
        <v>start /low /b %USERPROFILE%\Documents\GitHub\eaglep3\Utilities\DownloadLogsFromS3.py --loco 4013 --day 2017-05-02</v>
      </c>
      <c r="AN171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15:55:00"},{"id":29,"name":"Sharepoint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2" t="s">
        <v>690</v>
      </c>
      <c r="B172" s="7">
        <v>4014</v>
      </c>
      <c r="C172" s="21" t="s">
        <v>211</v>
      </c>
      <c r="D172" s="21" t="s">
        <v>928</v>
      </c>
      <c r="E172" s="13">
        <v>42857.419085648151</v>
      </c>
      <c r="F172" s="13">
        <v>42857.431516203702</v>
      </c>
      <c r="G172" s="7">
        <v>15</v>
      </c>
      <c r="H172" s="21" t="s">
        <v>933</v>
      </c>
      <c r="I172" s="13">
        <v>42857.440925925926</v>
      </c>
      <c r="J172" s="7">
        <v>0</v>
      </c>
      <c r="K172" s="92" t="str">
        <f>IF(ISEVEN(B172),(B172-1)&amp;"/"&amp;B172,B172&amp;"/"&amp;(B172+1))</f>
        <v>4013/4014</v>
      </c>
      <c r="L172" s="21" t="str">
        <f>VLOOKUP(A172,'Trips&amp;Operators'!$C$1:$G$99999,5,FALSE)</f>
        <v>BROWN JACOB</v>
      </c>
      <c r="M172" s="6">
        <f>I172-F172</f>
        <v>9.4097222245181911E-3</v>
      </c>
      <c r="N172" s="7">
        <f>24*60*SUM($M172:$M172)</f>
        <v>13.550000003306195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-02T09:03:29-0600',mode:absolute,to:'2017-05-02T11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9.9000000000000005E-2</v>
      </c>
      <c r="Z172" s="192">
        <f>RIGHT(H172,LEN(H172)-4)/10000</f>
        <v>5.8979999999999997</v>
      </c>
      <c r="AA172" s="192">
        <f>ABS(Z172-Y172)</f>
        <v>5.7989999999999995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0815-02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/stypes="app*4014*20170502*" /stext=" 16:.+((SYSTEM_STATE.+slice.+state.+changed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3"/>
        <v>"%USERPROFILE%\Documents\GitHub\eaglep3\Utilities\RefineRTDCRunTimes.py" --tripid 815-02 --locoid 4014 --swversion DE.1.0.9.0 --startMP 204:990 --initTime 2017-05-02T10:03:29 --startdatetime 2017-05-02T10:21:23 --delay 15 --endMP 300:58980 --enddatetime 2017-05-02T10:34:56 --enforcementcount 0 &gt;&gt;C:\Users\stu\Documents\GitHub\eaglep3-reporting\EC\2017-05-02-refined-times.txt</v>
      </c>
      <c r="AI172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{"issue":{"subject":"","project_id":79,"tracker_id":40,"status_id":1,"priority_id":2,"assigned_to_id":23,"start_date":"2017-05-02","description":"","custom_fields":[{"id":1,"name":"Subdivision","value":"NW"},{"id":4,"name":"Milepost","value":"5.898"},{"id":17,"name":"Train ID","value":"815-02"},{"id":16,"name":"Locomotive ID","value":"4014"},{"id":130,"name":"Impact","value":""},{"id":150,"name":"Time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5"/>
        <v>start /low /b %USERPROFILE%\Documents\GitHub\eaglep3\Utilities\DownloadLogsFromS3.py --loco 4014 --day 2017-05-02</v>
      </c>
      <c r="AN172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696</v>
      </c>
      <c r="B173" s="7">
        <v>4013</v>
      </c>
      <c r="C173" s="21" t="s">
        <v>211</v>
      </c>
      <c r="D173" s="21" t="s">
        <v>934</v>
      </c>
      <c r="E173" s="13">
        <v>42857.442002314812</v>
      </c>
      <c r="F173" s="13">
        <v>42857.443402777775</v>
      </c>
      <c r="G173" s="7">
        <v>1</v>
      </c>
      <c r="H173" s="21" t="s">
        <v>935</v>
      </c>
      <c r="I173" s="13">
        <v>42857.455000000002</v>
      </c>
      <c r="J173" s="7">
        <v>0</v>
      </c>
      <c r="K173" s="92" t="str">
        <f>IF(ISEVEN(B173),(B173-1)&amp;"/"&amp;B173,B173&amp;"/"&amp;(B173+1))</f>
        <v>4013/4014</v>
      </c>
      <c r="L173" s="21" t="str">
        <f>VLOOKUP(A173,'Trips&amp;Operators'!$C$1:$G$99999,5,FALSE)</f>
        <v>BROWN JACOB</v>
      </c>
      <c r="M173" s="6">
        <f>I173-F173</f>
        <v>1.1597222226555459E-2</v>
      </c>
      <c r="N173" s="7">
        <f>24*60*SUM($M173:$M173)</f>
        <v>16.700000006239861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-02T09:36:29-0600',mode:absolute,to:'2017-05-02T11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5.8662000000000001</v>
      </c>
      <c r="Z173" s="192">
        <f>RIGHT(H173,LEN(H173)-4)/10000</f>
        <v>7.17E-2</v>
      </c>
      <c r="AA173" s="192">
        <f>ABS(Z173-Y173)</f>
        <v>5.7945000000000002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0816-02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/stypes="app*4013*20170502*" /stext=" 16:.+((SYSTEM_STATE.+slice.+state.+changed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3"/>
        <v>"%USERPROFILE%\Documents\GitHub\eaglep3\Utilities\RefineRTDCRunTimes.py" --tripid 816-02 --locoid 4013 --swversion DE.1.0.9.0 --startMP 300:58662 --initTime 2017-05-02T10:36:29 --startdatetime 2017-05-02T10:38:30 --delay 1 --endMP 204:717 --enddatetime 2017-05-02T10:55:12 --enforcementcount 0 &gt;&gt;C:\Users\stu\Documents\GitHub\eaglep3-reporting\EC\2017-05-02-refined-times.txt</v>
      </c>
      <c r="AI173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{"issue":{"subject":"","project_id":79,"tracker_id":40,"status_id":1,"priority_id":2,"assigned_to_id":23,"start_date":"2017-05-02","description":"","custom_fields":[{"id":1,"name":"Subdivision","value":"NW"},{"id":4,"name":"Milepost","value":"0.0717"},{"id":17,"name":"Train ID","value":"816-02"},{"id":16,"name":"Locomotive ID","value":"4013"},{"id":130,"name":"Impact","value":""},{"id":150,"name":"Time of Event (Mountain Time)","value":"10:55:12"},{"id":151,"name":"Denver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5"/>
        <v>start /low /b %USERPROFILE%\Documents\GitHub\eaglep3\Utilities\DownloadLogsFromS3.py --loco 4013 --day 2017-05-02</v>
      </c>
      <c r="AN173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705</v>
      </c>
      <c r="B174" s="7">
        <v>4014</v>
      </c>
      <c r="C174" s="21" t="s">
        <v>211</v>
      </c>
      <c r="D174" s="21" t="s">
        <v>936</v>
      </c>
      <c r="E174" s="13">
        <v>42857.470231481479</v>
      </c>
      <c r="F174" s="13">
        <v>42857.473171296297</v>
      </c>
      <c r="G174" s="7">
        <v>1</v>
      </c>
      <c r="H174" s="21" t="s">
        <v>937</v>
      </c>
      <c r="I174" s="13">
        <v>42857.482581018521</v>
      </c>
      <c r="J174" s="7">
        <v>0</v>
      </c>
      <c r="K174" s="92" t="str">
        <f>IF(ISEVEN(B174),(B174-1)&amp;"/"&amp;B174,B174&amp;"/"&amp;(B174+1))</f>
        <v>4013/4014</v>
      </c>
      <c r="L174" s="21" t="str">
        <f>VLOOKUP(A174,'Trips&amp;Operators'!$C$1:$G$99999,5,FALSE)</f>
        <v>BROWN JACOB</v>
      </c>
      <c r="M174" s="6">
        <f>I174-F174</f>
        <v>9.4097222245181911E-3</v>
      </c>
      <c r="N174" s="7">
        <f>24*60*SUM($M174:$M174)</f>
        <v>13.550000003306195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-02T10:17:08-0600',mode:absolute,to:'2017-05-02T12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9.9299999999999999E-2</v>
      </c>
      <c r="Z174" s="192">
        <f>RIGHT(H174,LEN(H174)-4)/10000</f>
        <v>5.8975</v>
      </c>
      <c r="AA174" s="192">
        <f>ABS(Z174-Y174)</f>
        <v>5.7981999999999996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0817-02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/stypes="app*4014*20170502*" /stext=" 17:.+((SYSTEM_STATE.+slice.+state.+changed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3"/>
        <v>"%USERPROFILE%\Documents\GitHub\eaglep3\Utilities\RefineRTDCRunTimes.py" --tripid 817-02 --locoid 4014 --swversion DE.1.0.9.0 --startMP 204:993 --initTime 2017-05-02T11:17:08 --startdatetime 2017-05-02T11:21:22 --delay 1 --endMP 300:58975 --enddatetime 2017-05-02T11:34:55 --enforcementcount 0 &gt;&gt;C:\Users\stu\Documents\GitHub\eaglep3-reporting\EC\2017-05-02-refined-times.txt</v>
      </c>
      <c r="AI174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{"issue":{"subject":"","project_id":79,"tracker_id":40,"status_id":1,"priority_id":2,"assigned_to_id":23,"start_date":"2017-05-02","description":"","custom_fields":[{"id":1,"name":"Subdivision","value":"NW"},{"id":4,"name":"Milepost","value":"5.8975"},{"id":17,"name":"Train ID","value":"817-02"},{"id":16,"name":"Locomotive ID","value":"4014"},{"id":130,"name":"Impact","value":""},{"id":150,"name":"Time of Event (Mountain Time)","value":"11:34:55"},{"id":151,"name":"Denver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5"/>
        <v>start /low /b %USERPROFILE%\Documents\GitHub\eaglep3\Utilities\DownloadLogsFromS3.py --loco 4014 --day 2017-05-02</v>
      </c>
      <c r="AN174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708</v>
      </c>
      <c r="B175" s="7">
        <v>4013</v>
      </c>
      <c r="C175" s="21" t="s">
        <v>211</v>
      </c>
      <c r="D175" s="21" t="s">
        <v>938</v>
      </c>
      <c r="E175" s="13">
        <v>42857.483495370368</v>
      </c>
      <c r="F175" s="13">
        <v>42857.485439814816</v>
      </c>
      <c r="G175" s="7">
        <v>2</v>
      </c>
      <c r="H175" s="21" t="s">
        <v>939</v>
      </c>
      <c r="I175" s="13">
        <v>42857.496562499997</v>
      </c>
      <c r="J175" s="7">
        <v>0</v>
      </c>
      <c r="K175" s="92" t="str">
        <f>IF(ISEVEN(B175),(B175-1)&amp;"/"&amp;B175,B175&amp;"/"&amp;(B175+1))</f>
        <v>4013/4014</v>
      </c>
      <c r="L175" s="21" t="str">
        <f>VLOOKUP(A175,'Trips&amp;Operators'!$C$1:$G$99999,5,FALSE)</f>
        <v>BROWN JACOB</v>
      </c>
      <c r="M175" s="6">
        <f>I175-F175</f>
        <v>1.1122685180453118E-2</v>
      </c>
      <c r="N175" s="7">
        <f>24*60*SUM($M175:$M175)</f>
        <v>16.01666665985249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-02T10:36:14-0600',mode:absolute,to:'2017-05-02T12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5.8659999999999997</v>
      </c>
      <c r="Z175" s="192">
        <f>RIGHT(H175,LEN(H175)-4)/10000</f>
        <v>7.1499999999999994E-2</v>
      </c>
      <c r="AA175" s="192">
        <f>ABS(Z175-Y175)</f>
        <v>5.7944999999999993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0818-02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/stypes="app*4013*20170502*" /stext=" 17:.+((SYSTEM_STATE.+slice.+state.+changed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3"/>
        <v>"%USERPROFILE%\Documents\GitHub\eaglep3\Utilities\RefineRTDCRunTimes.py" --tripid 818-02 --locoid 4013 --swversion DE.1.0.9.0 --startMP 300:58660 --initTime 2017-05-02T11:36:14 --startdatetime 2017-05-02T11:39:02 --delay 2 --endMP 204:715 --enddatetime 2017-05-02T11:55:03 --enforcementcount 0 &gt;&gt;C:\Users\stu\Documents\GitHub\eaglep3-reporting\EC\2017-05-02-refined-times.txt</v>
      </c>
      <c r="AI175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{"issue":{"subject":"","project_id":79,"tracker_id":40,"status_id":1,"priority_id":2,"assigned_to_id":23,"start_date":"2017-05-02","description":"","custom_fields":[{"id":1,"name":"Subdivision","value":"NW"},{"id":4,"name":"Milepost","value":"0.0715"},{"id":17,"name":"Train ID","value":"818-02"},{"id":16,"name":"Locomotive ID","value":"4013"},{"id":130,"name":"Impact","value":""},{"id":150,"name":"Time of Event (Mountain Time)","value":"11:55:03"},{"id":151,"name":"Denver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5"/>
        <v>start /low /b %USERPROFILE%\Documents\GitHub\eaglep3\Utilities\DownloadLogsFromS3.py --loco 4013 --day 2017-05-02</v>
      </c>
      <c r="AN175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4014</v>
      </c>
      <c r="C176" s="21" t="s">
        <v>211</v>
      </c>
      <c r="D176" s="21" t="s">
        <v>581</v>
      </c>
      <c r="E176" s="13">
        <v>42857.511087962965</v>
      </c>
      <c r="F176" s="13">
        <v>42857.514722222222</v>
      </c>
      <c r="G176" s="7">
        <v>1</v>
      </c>
      <c r="H176" s="21" t="s">
        <v>940</v>
      </c>
      <c r="I176" s="13">
        <v>42857.524305555555</v>
      </c>
      <c r="J176" s="7">
        <v>0</v>
      </c>
      <c r="K176" s="92" t="str">
        <f>IF(ISEVEN(B176),(B176-1)&amp;"/"&amp;B176,B176&amp;"/"&amp;(B176+1))</f>
        <v>4013/4014</v>
      </c>
      <c r="L176" s="21" t="str">
        <f>VLOOKUP(A176,'Trips&amp;Operators'!$C$1:$G$99999,5,FALSE)</f>
        <v>BROWN JACOB</v>
      </c>
      <c r="M176" s="6">
        <f>I176-F176</f>
        <v>9.5833333325572312E-3</v>
      </c>
      <c r="N176" s="7">
        <f>24*60*SUM($M176:$M176)</f>
        <v>13.799999998882413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-02T11:15:58-0600',mode:absolute,to:'2017-05-02T13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9.9900000000000003E-2</v>
      </c>
      <c r="Z176" s="192">
        <f>RIGHT(H176,LEN(H176)-4)/10000</f>
        <v>5.8973000000000004</v>
      </c>
      <c r="AA176" s="192">
        <f>ABS(Z176-Y176)</f>
        <v>5.7974000000000006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0819-02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/stypes="app*4014*20170502*" /stext=" 18:.+((SYSTEM_STATE.+slice.+state.+changed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3"/>
        <v>"%USERPROFILE%\Documents\GitHub\eaglep3\Utilities\RefineRTDCRunTimes.py" --tripid 819-02 --locoid 4014 --swversion DE.1.0.9.0 --startMP 204:999 --initTime 2017-05-02T12:15:58 --startdatetime 2017-05-02T12:21:12 --delay 1 --endMP 300:58973 --enddatetime 2017-05-02T12:35:00 --enforcementcount 0 &gt;&gt;C:\Users\stu\Documents\GitHub\eaglep3-reporting\EC\2017-05-02-refined-times.txt</v>
      </c>
      <c r="AI176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{"issue":{"subject":"","project_id":79,"tracker_id":40,"status_id":1,"priority_id":2,"assigned_to_id":23,"start_date":"2017-05-02","description":"","custom_fields":[{"id":1,"name":"Subdivision","value":"NW"},{"id":4,"name":"Milepost","value":"5.8973"},{"id":17,"name":"Train ID","value":"819-02"},{"id":16,"name":"Locomotive ID","value":"4014"},{"id":130,"name":"Impact","value":""},{"id":150,"name":"Time of Event (Mountain Time)","value":"12:35:00"},{"id":151,"name":"Denver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5"/>
        <v>start /low /b %USERPROFILE%\Documents\GitHub\eaglep3\Utilities\DownloadLogsFromS3.py --loco 4014 --day 2017-05-02</v>
      </c>
      <c r="AN176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719</v>
      </c>
      <c r="B177" s="7">
        <v>4013</v>
      </c>
      <c r="C177" s="21" t="s">
        <v>211</v>
      </c>
      <c r="D177" s="21" t="s">
        <v>941</v>
      </c>
      <c r="E177" s="13">
        <v>42857.525173611109</v>
      </c>
      <c r="F177" s="13">
        <v>42857.526550925926</v>
      </c>
      <c r="G177" s="7">
        <v>1</v>
      </c>
      <c r="H177" s="21" t="s">
        <v>939</v>
      </c>
      <c r="I177" s="13">
        <v>42857.538425925923</v>
      </c>
      <c r="J177" s="7">
        <v>0</v>
      </c>
      <c r="K177" s="92" t="str">
        <f>IF(ISEVEN(B177),(B177-1)&amp;"/"&amp;B177,B177&amp;"/"&amp;(B177+1))</f>
        <v>4013/4014</v>
      </c>
      <c r="L177" s="21" t="str">
        <f>VLOOKUP(A177,'Trips&amp;Operators'!$C$1:$G$99999,5,FALSE)</f>
        <v>BROWN JACOB</v>
      </c>
      <c r="M177" s="6">
        <f>I177-F177</f>
        <v>1.187499999650754E-2</v>
      </c>
      <c r="N177" s="7">
        <f>24*60*SUM($M177:$M177)</f>
        <v>17.099999994970858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-02T11:36:15-0600',mode:absolute,to:'2017-05-02T13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5.8653000000000004</v>
      </c>
      <c r="Z177" s="192">
        <f>RIGHT(H177,LEN(H177)-4)/10000</f>
        <v>7.1499999999999994E-2</v>
      </c>
      <c r="AA177" s="192">
        <f>ABS(Z177-Y177)</f>
        <v>5.7938000000000001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0820-02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/stypes="app*4013*20170502*" /stext=" 18:.+((SYSTEM_STATE.+slice.+state.+changed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3"/>
        <v>"%USERPROFILE%\Documents\GitHub\eaglep3\Utilities\RefineRTDCRunTimes.py" --tripid 820-02 --locoid 4013 --swversion DE.1.0.9.0 --startMP 300:58653 --initTime 2017-05-02T12:36:15 --startdatetime 2017-05-02T12:38:14 --delay 1 --endMP 204:715 --enddatetime 2017-05-02T12:55:20 --enforcementcount 0 &gt;&gt;C:\Users\stu\Documents\GitHub\eaglep3-reporting\EC\2017-05-02-refined-times.txt</v>
      </c>
      <c r="AI177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{"issue":{"subject":"","project_id":79,"tracker_id":40,"status_id":1,"priority_id":2,"assigned_to_id":23,"start_date":"2017-05-02","description":"","custom_fields":[{"id":1,"name":"Subdivision","value":"NW"},{"id":4,"name":"Milepost","value":"0.0715"},{"id":17,"name":"Train ID","value":"820-02"},{"id":16,"name":"Locomotive ID","value":"4013"},{"id":130,"name":"Impact","value":""},{"id":150,"name":"Time of Event (Mountain Time)","value":"12:55:20"},{"id":151,"name":"Denver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5"/>
        <v>start /low /b %USERPROFILE%\Documents\GitHub\eaglep3\Utilities\DownloadLogsFromS3.py --loco 4013 --day 2017-05-02</v>
      </c>
      <c r="AN177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18:55:20"},{"id":29,"name":"Sharepoint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726</v>
      </c>
      <c r="B178" s="7">
        <v>4014</v>
      </c>
      <c r="C178" s="21" t="s">
        <v>211</v>
      </c>
      <c r="D178" s="21" t="s">
        <v>936</v>
      </c>
      <c r="E178" s="13">
        <v>42857.553587962961</v>
      </c>
      <c r="F178" s="13">
        <v>42857.55641203704</v>
      </c>
      <c r="G178" s="7">
        <v>1</v>
      </c>
      <c r="H178" s="21" t="s">
        <v>942</v>
      </c>
      <c r="I178" s="13">
        <v>42857.565370370372</v>
      </c>
      <c r="J178" s="7">
        <v>0</v>
      </c>
      <c r="K178" s="92" t="str">
        <f>IF(ISEVEN(B178),(B178-1)&amp;"/"&amp;B178,B178&amp;"/"&amp;(B178+1))</f>
        <v>4013/4014</v>
      </c>
      <c r="L178" s="21" t="str">
        <f>VLOOKUP(A178,'Trips&amp;Operators'!$C$1:$G$99999,5,FALSE)</f>
        <v>LEVIN SCOTT</v>
      </c>
      <c r="M178" s="6">
        <f>I178-F178</f>
        <v>8.9583333319751546E-3</v>
      </c>
      <c r="N178" s="7">
        <f>24*60*SUM($M178:$M178)</f>
        <v>12.899999998044223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-02T12:17:10-0600',mode:absolute,to:'2017-05-02T14:34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9.9299999999999999E-2</v>
      </c>
      <c r="Z178" s="192">
        <f>RIGHT(H178,LEN(H178)-4)/10000</f>
        <v>5.8967000000000001</v>
      </c>
      <c r="AA178" s="192">
        <f>ABS(Z178-Y178)</f>
        <v>5.7973999999999997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0821-02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/stypes="app*4014*20170502*" /stext=" 19:.+((SYSTEM_STATE.+slice.+state.+changed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3"/>
        <v>"%USERPROFILE%\Documents\GitHub\eaglep3\Utilities\RefineRTDCRunTimes.py" --tripid 821-02 --locoid 4014 --swversion DE.1.0.9.0 --startMP 204:993 --initTime 2017-05-02T13:17:10 --startdatetime 2017-05-02T13:21:14 --delay 1 --endMP 300:58967 --enddatetime 2017-05-02T13:34:08 --enforcementcount 0 &gt;&gt;C:\Users\stu\Documents\GitHub\eaglep3-reporting\EC\2017-05-02-refined-times.txt</v>
      </c>
      <c r="AI178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{"issue":{"subject":"","project_id":79,"tracker_id":40,"status_id":1,"priority_id":2,"assigned_to_id":23,"start_date":"2017-05-02","description":"","custom_fields":[{"id":1,"name":"Subdivision","value":"NW"},{"id":4,"name":"Milepost","value":"5.8967"},{"id":17,"name":"Train ID","value":"821-02"},{"id":16,"name":"Locomotive ID","value":"4014"},{"id":130,"name":"Impact","value":""},{"id":150,"name":"Time of Event (Mountain Time)","value":"13:34:08"},{"id":151,"name":"Denver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15"/>
        <v>start /low /b %USERPROFILE%\Documents\GitHub\eaglep3\Utilities\DownloadLogsFromS3.py --loco 4014 --day 2017-05-02</v>
      </c>
      <c r="AN178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600</v>
      </c>
      <c r="B179" s="7">
        <v>4013</v>
      </c>
      <c r="C179" s="21" t="s">
        <v>211</v>
      </c>
      <c r="D179" s="21" t="s">
        <v>943</v>
      </c>
      <c r="E179" s="13">
        <v>42857.566643518519</v>
      </c>
      <c r="F179" s="13">
        <v>42857.568229166667</v>
      </c>
      <c r="G179" s="7">
        <v>1</v>
      </c>
      <c r="H179" s="21" t="s">
        <v>575</v>
      </c>
      <c r="I179" s="13">
        <v>42857.579479166663</v>
      </c>
      <c r="J179" s="7">
        <v>0</v>
      </c>
      <c r="K179" s="92" t="str">
        <f>IF(ISEVEN(B179),(B179-1)&amp;"/"&amp;B179,B179&amp;"/"&amp;(B179+1))</f>
        <v>4013/4014</v>
      </c>
      <c r="L179" s="21" t="str">
        <f>VLOOKUP(A179,'Trips&amp;Operators'!$C$1:$G$99999,5,FALSE)</f>
        <v>LEVIN SCOTT</v>
      </c>
      <c r="M179" s="6">
        <f>I179-F179</f>
        <v>1.1249999995925464E-2</v>
      </c>
      <c r="N179" s="7">
        <f>24*60*SUM($M179:$M179)</f>
        <v>16.199999994132668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-02T12:35:58-0600',mode:absolute,to:'2017-05-02T14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5.8658000000000001</v>
      </c>
      <c r="Z179" s="192">
        <f>RIGHT(H179,LEN(H179)-4)/10000</f>
        <v>6.5199999999999994E-2</v>
      </c>
      <c r="AA179" s="192">
        <f>ABS(Z179-Y179)</f>
        <v>5.8006000000000002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0822-02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/stypes="app*4013*20170502*" /stext=" 19:.+((SYSTEM_STATE.+slice.+state.+changed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3"/>
        <v>"%USERPROFILE%\Documents\GitHub\eaglep3\Utilities\RefineRTDCRunTimes.py" --tripid 822-02 --locoid 4013 --swversion DE.1.0.9.0 --startMP 300:58658 --initTime 2017-05-02T13:35:58 --startdatetime 2017-05-02T13:38:15 --delay 1 --endMP 204:652 --enddatetime 2017-05-02T13:54:27 --enforcementcount 0 &gt;&gt;C:\Users\stu\Documents\GitHub\eaglep3-reporting\EC\2017-05-02-refined-times.txt</v>
      </c>
      <c r="AI179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{"issue":{"subject":"","project_id":79,"tracker_id":40,"status_id":1,"priority_id":2,"assigned_to_id":23,"start_date":"2017-05-02","description":"","custom_fields":[{"id":1,"name":"Subdivision","value":"NW"},{"id":4,"name":"Milepost","value":"0.0652"},{"id":17,"name":"Train ID","value":"822-02"},{"id":16,"name":"Locomotive ID","value":"4013"},{"id":130,"name":"Impact","value":""},{"id":150,"name":"Time of Event (Mountain Time)","value":"13:54:27"},{"id":151,"name":"Denver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15"/>
        <v>start /low /b %USERPROFILE%\Documents\GitHub\eaglep3\Utilities\DownloadLogsFromS3.py --loco 4013 --day 2017-05-02</v>
      </c>
      <c r="AN179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19:54:27"},{"id":29,"name":"Sharepoint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2" t="s">
        <v>734</v>
      </c>
      <c r="B180" s="7">
        <v>4014</v>
      </c>
      <c r="C180" s="21" t="s">
        <v>211</v>
      </c>
      <c r="D180" s="21" t="s">
        <v>569</v>
      </c>
      <c r="E180" s="13">
        <v>42857.596041666664</v>
      </c>
      <c r="F180" s="13">
        <v>42857.598101851851</v>
      </c>
      <c r="G180" s="7">
        <v>1</v>
      </c>
      <c r="H180" s="21" t="s">
        <v>944</v>
      </c>
      <c r="I180" s="13">
        <v>42857.607164351852</v>
      </c>
      <c r="J180" s="7">
        <v>0</v>
      </c>
      <c r="K180" s="92" t="str">
        <f>IF(ISEVEN(B180),(B180-1)&amp;"/"&amp;B180,B180&amp;"/"&amp;(B180+1))</f>
        <v>4013/4014</v>
      </c>
      <c r="L180" s="21" t="str">
        <f>VLOOKUP(A180,'Trips&amp;Operators'!$C$1:$G$99999,5,FALSE)</f>
        <v>LEVIN SCOTT</v>
      </c>
      <c r="M180" s="6">
        <f>I180-F180</f>
        <v>9.0625000011641532E-3</v>
      </c>
      <c r="N180" s="7">
        <f>24*60*SUM($M180:$M180)</f>
        <v>13.050000001676381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-02T13:18:18-0600',mode:absolute,to:'2017-05-02T15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9.5000000000000001E-2</v>
      </c>
      <c r="Z180" s="192">
        <f>RIGHT(H180,LEN(H180)-4)/10000</f>
        <v>5.8958000000000004</v>
      </c>
      <c r="AA180" s="192">
        <f>ABS(Z180-Y180)</f>
        <v>5.8008000000000006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0823-02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/stypes="app*4014*20170502*" /stext=" 20:.+((SYSTEM_STATE.+slice.+state.+changed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3"/>
        <v>"%USERPROFILE%\Documents\GitHub\eaglep3\Utilities\RefineRTDCRunTimes.py" --tripid 823-02 --locoid 4014 --swversion DE.1.0.9.0 --startMP 204:950 --initTime 2017-05-02T14:18:18 --startdatetime 2017-05-02T14:21:16 --delay 1 --endMP 300:58958 --enddatetime 2017-05-02T14:34:19 --enforcementcount 0 &gt;&gt;C:\Users\stu\Documents\GitHub\eaglep3-reporting\EC\2017-05-02-refined-times.txt</v>
      </c>
      <c r="AI180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{"issue":{"subject":"","project_id":79,"tracker_id":40,"status_id":1,"priority_id":2,"assigned_to_id":23,"start_date":"2017-05-02","description":"","custom_fields":[{"id":1,"name":"Subdivision","value":"NW"},{"id":4,"name":"Milepost","value":"5.8958"},{"id":17,"name":"Train ID","value":"823-02"},{"id":16,"name":"Locomotive ID","value":"4014"},{"id":130,"name":"Impact","value":""},{"id":150,"name":"Time of Event (Mountain Time)","value":"14:34:19"},{"id":151,"name":"Denver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5" t="str">
        <f t="shared" si="15"/>
        <v>start /low /b %USERPROFILE%\Documents\GitHub\eaglep3\Utilities\DownloadLogsFromS3.py --loco 4014 --day 2017-05-02</v>
      </c>
      <c r="AN180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601</v>
      </c>
      <c r="B181" s="7">
        <v>4013</v>
      </c>
      <c r="C181" s="21" t="s">
        <v>211</v>
      </c>
      <c r="D181" s="21" t="s">
        <v>574</v>
      </c>
      <c r="E181" s="13">
        <v>42857.608506944445</v>
      </c>
      <c r="F181" s="13">
        <v>42857.610555555555</v>
      </c>
      <c r="G181" s="7">
        <v>1</v>
      </c>
      <c r="H181" s="21" t="s">
        <v>945</v>
      </c>
      <c r="I181" s="13">
        <v>42857.62159722222</v>
      </c>
      <c r="J181" s="7">
        <v>0</v>
      </c>
      <c r="K181" s="92" t="str">
        <f>IF(ISEVEN(B181),(B181-1)&amp;"/"&amp;B181,B181&amp;"/"&amp;(B181+1))</f>
        <v>4013/4014</v>
      </c>
      <c r="L181" s="21" t="str">
        <f>VLOOKUP(A181,'Trips&amp;Operators'!$C$1:$G$99999,5,FALSE)</f>
        <v>LEVIN SCOTT</v>
      </c>
      <c r="M181" s="6">
        <f>I181-F181</f>
        <v>1.1041666664823424E-2</v>
      </c>
      <c r="N181" s="7">
        <f>24*60*SUM($M181:$M181)</f>
        <v>15.899999997345731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-02T13:36:15-0600',mode:absolute,to:'2017-05-02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5.8635999999999999</v>
      </c>
      <c r="Z181" s="192">
        <f>RIGHT(H181,LEN(H181)-4)/10000</f>
        <v>6.8699999999999997E-2</v>
      </c>
      <c r="AA181" s="192">
        <f>ABS(Z181-Y181)</f>
        <v>5.7949000000000002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0824-02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/stypes="app*4013*20170502*" /stext=" 20:.+((SYSTEM_STATE.+slice.+state.+changed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3"/>
        <v>"%USERPROFILE%\Documents\GitHub\eaglep3\Utilities\RefineRTDCRunTimes.py" --tripid 824-02 --locoid 4013 --swversion DE.1.0.9.0 --startMP 300:58636 --initTime 2017-05-02T14:36:15 --startdatetime 2017-05-02T14:39:12 --delay 1 --endMP 204:687 --enddatetime 2017-05-02T14:55:06 --enforcementcount 0 &gt;&gt;C:\Users\stu\Documents\GitHub\eaglep3-reporting\EC\2017-05-02-refined-times.txt</v>
      </c>
      <c r="AI181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{"issue":{"subject":"","project_id":79,"tracker_id":40,"status_id":1,"priority_id":2,"assigned_to_id":23,"start_date":"2017-05-02","description":"","custom_fields":[{"id":1,"name":"Subdivision","value":"NW"},{"id":4,"name":"Milepost","value":"0.0687"},{"id":17,"name":"Train ID","value":"824-02"},{"id":16,"name":"Locomotive ID","value":"4013"},{"id":130,"name":"Impact","value":""},{"id":150,"name":"Time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5"/>
        <v>start /low /b %USERPROFILE%\Documents\GitHub\eaglep3\Utilities\DownloadLogsFromS3.py --loco 4013 --day 2017-05-02</v>
      </c>
      <c r="AN181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20:55:06"},{"id":29,"name":"Sharepoint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743</v>
      </c>
      <c r="B182" s="7">
        <v>4014</v>
      </c>
      <c r="C182" s="21" t="s">
        <v>211</v>
      </c>
      <c r="D182" s="21" t="s">
        <v>946</v>
      </c>
      <c r="E182" s="13">
        <v>42857.637280092589</v>
      </c>
      <c r="F182" s="13">
        <v>42857.639733796299</v>
      </c>
      <c r="G182" s="7">
        <v>1</v>
      </c>
      <c r="H182" s="21" t="s">
        <v>576</v>
      </c>
      <c r="I182" s="13">
        <v>42857.649270833332</v>
      </c>
      <c r="J182" s="7">
        <v>0</v>
      </c>
      <c r="K182" s="92" t="str">
        <f>IF(ISEVEN(B182),(B182-1)&amp;"/"&amp;B182,B182&amp;"/"&amp;(B182+1))</f>
        <v>4013/4014</v>
      </c>
      <c r="L182" s="21" t="str">
        <f>VLOOKUP(A182,'Trips&amp;Operators'!$C$1:$G$99999,5,FALSE)</f>
        <v>LEVIN SCOTT</v>
      </c>
      <c r="M182" s="6">
        <f>I182-F182</f>
        <v>9.5370370327145793E-3</v>
      </c>
      <c r="N182" s="7">
        <f>24*60*SUM($M182:$M182)</f>
        <v>13.733333327108994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-02T14:17:41-0600',mode:absolute,to:'2017-05-02T16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9.5699999999999993E-2</v>
      </c>
      <c r="Z182" s="192">
        <f>RIGHT(H182,LEN(H182)-4)/10000</f>
        <v>5.8971</v>
      </c>
      <c r="AA182" s="192">
        <f>ABS(Z182-Y182)</f>
        <v>5.8014000000000001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0825-02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/stypes="app*4014*20170502*" /stext=" 21:.+((SYSTEM_STATE.+slice.+state.+changed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3"/>
        <v>"%USERPROFILE%\Documents\GitHub\eaglep3\Utilities\RefineRTDCRunTimes.py" --tripid 825-02 --locoid 4014 --swversion DE.1.0.9.0 --startMP 204:957 --initTime 2017-05-02T15:17:41 --startdatetime 2017-05-02T15:21:13 --delay 1 --endMP 300:58971 --enddatetime 2017-05-02T15:34:57 --enforcementcount 0 &gt;&gt;C:\Users\stu\Documents\GitHub\eaglep3-reporting\EC\2017-05-02-refined-times.txt</v>
      </c>
      <c r="AI182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{"issue":{"subject":"","project_id":79,"tracker_id":40,"status_id":1,"priority_id":2,"assigned_to_id":23,"start_date":"2017-05-02","description":"","custom_fields":[{"id":1,"name":"Subdivision","value":"NW"},{"id":4,"name":"Milepost","value":"5.8971"},{"id":17,"name":"Train ID","value":"825-02"},{"id":16,"name":"Locomotive ID","value":"4014"},{"id":130,"name":"Impact","value":""},{"id":150,"name":"Time of Event (Mountain Time)","value":"15:34:57"},{"id":151,"name":"Denver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15"/>
        <v>start /low /b %USERPROFILE%\Documents\GitHub\eaglep3\Utilities\DownloadLogsFromS3.py --loco 4014 --day 2017-05-02</v>
      </c>
      <c r="AN182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602</v>
      </c>
      <c r="B183" s="7">
        <v>4013</v>
      </c>
      <c r="C183" s="21" t="s">
        <v>211</v>
      </c>
      <c r="D183" s="21" t="s">
        <v>573</v>
      </c>
      <c r="E183" s="13">
        <v>42857.651238425926</v>
      </c>
      <c r="F183" s="13">
        <v>42857.652511574073</v>
      </c>
      <c r="G183" s="7">
        <v>1</v>
      </c>
      <c r="H183" s="21" t="s">
        <v>947</v>
      </c>
      <c r="I183" s="13">
        <v>42857.663182870368</v>
      </c>
      <c r="J183" s="7">
        <v>0</v>
      </c>
      <c r="K183" s="92" t="str">
        <f>IF(ISEVEN(B183),(B183-1)&amp;"/"&amp;B183,B183&amp;"/"&amp;(B183+1))</f>
        <v>4013/4014</v>
      </c>
      <c r="L183" s="21" t="str">
        <f>VLOOKUP(A183,'Trips&amp;Operators'!$C$1:$G$99999,5,FALSE)</f>
        <v>LEVIN SCOTT</v>
      </c>
      <c r="M183" s="6">
        <f>I183-F183</f>
        <v>1.0671296295186039E-2</v>
      </c>
      <c r="N183" s="7">
        <f>24*60*SUM($M183:$M183)</f>
        <v>15.366666665067896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-02T14:37:47-0600',mode:absolute,to:'2017-05-02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5.8655999999999997</v>
      </c>
      <c r="Z183" s="192">
        <f>RIGHT(H183,LEN(H183)-4)/10000</f>
        <v>7.0800000000000002E-2</v>
      </c>
      <c r="AA183" s="192">
        <f>ABS(Z183-Y183)</f>
        <v>5.7947999999999995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0826-02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/stypes="app*4013*20170502*" /stext=" 21:.+((SYSTEM_STATE.+slice.+state.+changed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3"/>
        <v>"%USERPROFILE%\Documents\GitHub\eaglep3\Utilities\RefineRTDCRunTimes.py" --tripid 826-02 --locoid 4013 --swversion DE.1.0.9.0 --startMP 300:58656 --initTime 2017-05-02T15:37:47 --startdatetime 2017-05-02T15:39:37 --delay 1 --endMP 204:708 --enddatetime 2017-05-02T15:54:59 --enforcementcount 0 &gt;&gt;C:\Users\stu\Documents\GitHub\eaglep3-reporting\EC\2017-05-02-refined-times.txt</v>
      </c>
      <c r="AI183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{"issue":{"subject":"","project_id":79,"tracker_id":40,"status_id":1,"priority_id":2,"assigned_to_id":23,"start_date":"2017-05-02","description":"","custom_fields":[{"id":1,"name":"Subdivision","value":"NW"},{"id":4,"name":"Milepost","value":"0.0708"},{"id":17,"name":"Train ID","value":"826-02"},{"id":16,"name":"Locomotive ID","value":"4013"},{"id":130,"name":"Impact","value":""},{"id":150,"name":"Time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15"/>
        <v>start /low /b %USERPROFILE%\Documents\GitHub\eaglep3\Utilities\DownloadLogsFromS3.py --loco 4013 --day 2017-05-02</v>
      </c>
      <c r="AN183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747</v>
      </c>
      <c r="B184" s="7">
        <v>4028</v>
      </c>
      <c r="C184" s="21" t="s">
        <v>211</v>
      </c>
      <c r="D184" s="21" t="s">
        <v>948</v>
      </c>
      <c r="E184" s="13">
        <v>42857.647800925923</v>
      </c>
      <c r="F184" s="13">
        <v>42857.660613425927</v>
      </c>
      <c r="G184" s="7">
        <v>1</v>
      </c>
      <c r="H184" s="21" t="s">
        <v>487</v>
      </c>
      <c r="I184" s="13">
        <v>42857.670486111114</v>
      </c>
      <c r="J184" s="7">
        <v>0</v>
      </c>
      <c r="K184" s="92" t="str">
        <f>IF(ISEVEN(B184),(B184-1)&amp;"/"&amp;B184,B184&amp;"/"&amp;(B184+1))</f>
        <v>4027/4028</v>
      </c>
      <c r="L184" s="21" t="str">
        <f>VLOOKUP(A184,'Trips&amp;Operators'!$C$1:$G$99999,5,FALSE)</f>
        <v>SWANSON BRYCE</v>
      </c>
      <c r="M184" s="6">
        <f>I184-F184</f>
        <v>9.8726851865649223E-3</v>
      </c>
      <c r="N184" s="7">
        <f>24*60*SUM($M184:$M184)</f>
        <v>14.216666668653488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-02T14:32:50-0600',mode:absolute,to:'2017-05-02T17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9.6199999999999994E-2</v>
      </c>
      <c r="Z184" s="192">
        <f>RIGHT(H184,LEN(H184)-4)/10000</f>
        <v>5.8933</v>
      </c>
      <c r="AA184" s="192">
        <f>ABS(Z184-Y184)</f>
        <v>5.7971000000000004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0827-02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/stypes="app*4028*20170502*" /stext=" 22:.+((SYSTEM_STATE.+slice.+state.+changed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3"/>
        <v>"%USERPROFILE%\Documents\GitHub\eaglep3\Utilities\RefineRTDCRunTimes.py" --tripid 827-02 --locoid 4028 --swversion DE.1.0.9.0 --startMP 204:962 --initTime 2017-05-02T15:32:50 --startdatetime 2017-05-02T15:51:17 --delay 1 --endMP 300:58933 --enddatetime 2017-05-02T16:05:30 --enforcementcount 0 &gt;&gt;C:\Users\stu\Documents\GitHub\eaglep3-reporting\EC\2017-05-02-refined-times.txt</v>
      </c>
      <c r="AI184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{"issue":{"subject":"","project_id":79,"tracker_id":40,"status_id":1,"priority_id":2,"assigned_to_id":23,"start_date":"2017-05-02","description":"","custom_fields":[{"id":1,"name":"Subdivision","value":"NW"},{"id":4,"name":"Milepost","value":"5.8933"},{"id":17,"name":"Train ID","value":"827-02"},{"id":16,"name":"Locomotive ID","value":"4028"},{"id":130,"name":"Impact","value":""},{"id":150,"name":"Time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5"/>
        <v>start /low /b %USERPROFILE%\Documents\GitHub\eaglep3\Utilities\DownloadLogsFromS3.py --loco 4028 --day 2017-05-02</v>
      </c>
      <c r="AN184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753</v>
      </c>
      <c r="B185" s="7">
        <v>4027</v>
      </c>
      <c r="C185" s="21" t="s">
        <v>211</v>
      </c>
      <c r="D185" s="21" t="s">
        <v>578</v>
      </c>
      <c r="E185" s="13">
        <v>42857.671574074076</v>
      </c>
      <c r="F185" s="13">
        <v>42857.672997685186</v>
      </c>
      <c r="G185" s="7">
        <v>1</v>
      </c>
      <c r="H185" s="21" t="s">
        <v>949</v>
      </c>
      <c r="I185" s="13">
        <v>42857.684444444443</v>
      </c>
      <c r="J185" s="7">
        <v>0</v>
      </c>
      <c r="K185" s="92" t="str">
        <f>IF(ISEVEN(B185),(B185-1)&amp;"/"&amp;B185,B185&amp;"/"&amp;(B185+1))</f>
        <v>4027/4028</v>
      </c>
      <c r="L185" s="21" t="str">
        <f>VLOOKUP(A185,'Trips&amp;Operators'!$C$1:$G$99999,5,FALSE)</f>
        <v>SWANSON BRYCE</v>
      </c>
      <c r="M185" s="6">
        <f>I185-F185</f>
        <v>1.1446759257523809E-2</v>
      </c>
      <c r="N185" s="7">
        <f>24*60*SUM($M185:$M185)</f>
        <v>16.483333330834284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-02T15:07:04-0600',mode:absolute,to:'2017-05-02T17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5.8619000000000003</v>
      </c>
      <c r="Z185" s="192">
        <f>RIGHT(H185,LEN(H185)-4)/10000</f>
        <v>6.8000000000000005E-2</v>
      </c>
      <c r="AA185" s="192">
        <f>ABS(Z185-Y185)</f>
        <v>5.7939000000000007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0828-02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/stypes="app*4027*20170502*" /stext=" 22:.+((SYSTEM_STATE.+slice.+state.+changed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3"/>
        <v>"%USERPROFILE%\Documents\GitHub\eaglep3\Utilities\RefineRTDCRunTimes.py" --tripid 828-02 --locoid 4027 --swversion DE.1.0.9.0 --startMP 300:58619 --initTime 2017-05-02T16:07:04 --startdatetime 2017-05-02T16:09:07 --delay 1 --endMP 204:680 --enddatetime 2017-05-02T16:25:36 --enforcementcount 0 &gt;&gt;C:\Users\stu\Documents\GitHub\eaglep3-reporting\EC\2017-05-02-refined-times.txt</v>
      </c>
      <c r="AI185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{"issue":{"subject":"","project_id":79,"tracker_id":40,"status_id":1,"priority_id":2,"assigned_to_id":23,"start_date":"2017-05-02","description":"","custom_fields":[{"id":1,"name":"Subdivision","value":"NW"},{"id":4,"name":"Milepost","value":"0.068"},{"id":17,"name":"Train ID","value":"828-02"},{"id":16,"name":"Locomotive ID","value":"4027"},{"id":130,"name":"Impact","value":""},{"id":150,"name":"Time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5"/>
        <v>start /low /b %USERPROFILE%\Documents\GitHub\eaglep3\Utilities\DownloadLogsFromS3.py --loco 4027 --day 2017-05-02</v>
      </c>
      <c r="AN185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756</v>
      </c>
      <c r="B186" s="7">
        <v>4014</v>
      </c>
      <c r="C186" s="21" t="s">
        <v>211</v>
      </c>
      <c r="D186" s="21" t="s">
        <v>950</v>
      </c>
      <c r="E186" s="13">
        <v>42857.678993055553</v>
      </c>
      <c r="F186" s="13">
        <v>42857.681435185186</v>
      </c>
      <c r="G186" s="7">
        <v>1</v>
      </c>
      <c r="H186" s="21" t="s">
        <v>937</v>
      </c>
      <c r="I186" s="13">
        <v>42857.690717592595</v>
      </c>
      <c r="J186" s="7">
        <v>0</v>
      </c>
      <c r="K186" s="92" t="str">
        <f>IF(ISEVEN(B186),(B186-1)&amp;"/"&amp;B186,B186&amp;"/"&amp;(B186+1))</f>
        <v>4013/4014</v>
      </c>
      <c r="L186" s="21" t="str">
        <f>VLOOKUP(A186,'Trips&amp;Operators'!$C$1:$G$99999,5,FALSE)</f>
        <v>LEVIN SCOTT</v>
      </c>
      <c r="M186" s="6">
        <f>I186-F186</f>
        <v>9.2824074090458453E-3</v>
      </c>
      <c r="N186" s="7">
        <f>24*60*SUM($M186:$M186)</f>
        <v>13.366666669026017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-02T15:17:45-0600',mode:absolute,to:'2017-05-02T17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0.1009</v>
      </c>
      <c r="Z186" s="192">
        <f>RIGHT(H186,LEN(H186)-4)/10000</f>
        <v>5.8975</v>
      </c>
      <c r="AA186" s="192">
        <f>ABS(Z186-Y186)</f>
        <v>5.7965999999999998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0829-02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/stypes="app*4014*20170502*" /stext=" 22:.+((SYSTEM_STATE.+slice.+state.+changed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3"/>
        <v>"%USERPROFILE%\Documents\GitHub\eaglep3\Utilities\RefineRTDCRunTimes.py" --tripid 829-02 --locoid 4014 --swversion DE.1.0.9.0 --startMP 204:1009 --initTime 2017-05-02T16:17:45 --startdatetime 2017-05-02T16:21:16 --delay 1 --endMP 300:58975 --enddatetime 2017-05-02T16:34:38 --enforcementcount 0 &gt;&gt;C:\Users\stu\Documents\GitHub\eaglep3-reporting\EC\2017-05-02-refined-times.txt</v>
      </c>
      <c r="AI186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{"issue":{"subject":"","project_id":79,"tracker_id":40,"status_id":1,"priority_id":2,"assigned_to_id":23,"start_date":"2017-05-02","description":"","custom_fields":[{"id":1,"name":"Subdivision","value":"NW"},{"id":4,"name":"Milepost","value":"5.8975"},{"id":17,"name":"Train ID","value":"829-02"},{"id":16,"name":"Locomotive ID","value":"4014"},{"id":130,"name":"Impact","value":""},{"id":150,"name":"Time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5"/>
        <v>start /low /b %USERPROFILE%\Documents\GitHub\eaglep3\Utilities\DownloadLogsFromS3.py --loco 4014 --day 2017-05-02</v>
      </c>
      <c r="AN186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603</v>
      </c>
      <c r="B187" s="7">
        <v>4013</v>
      </c>
      <c r="C187" s="21" t="s">
        <v>211</v>
      </c>
      <c r="D187" s="21" t="s">
        <v>938</v>
      </c>
      <c r="E187" s="13">
        <v>42857.692152777781</v>
      </c>
      <c r="F187" s="13">
        <v>42857.693437499998</v>
      </c>
      <c r="G187" s="7">
        <v>1</v>
      </c>
      <c r="H187" s="21" t="s">
        <v>951</v>
      </c>
      <c r="I187" s="13">
        <v>42857.704965277779</v>
      </c>
      <c r="J187" s="7">
        <v>0</v>
      </c>
      <c r="K187" s="92" t="str">
        <f>IF(ISEVEN(B187),(B187-1)&amp;"/"&amp;B187,B187&amp;"/"&amp;(B187+1))</f>
        <v>4013/4014</v>
      </c>
      <c r="L187" s="21" t="str">
        <f>VLOOKUP(A187,'Trips&amp;Operators'!$C$1:$G$99999,5,FALSE)</f>
        <v>LEVIN SCOTT</v>
      </c>
      <c r="M187" s="6">
        <f>I187-F187</f>
        <v>1.152777778042946E-2</v>
      </c>
      <c r="N187" s="7">
        <f>24*60*SUM($M187:$M187)</f>
        <v>16.600000003818423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-02T15:36:42-0600',mode:absolute,to:'2017-05-02T17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5.8659999999999997</v>
      </c>
      <c r="Z187" s="192">
        <f>RIGHT(H187,LEN(H187)-4)/10000</f>
        <v>6.2899999999999998E-2</v>
      </c>
      <c r="AA187" s="192">
        <f>ABS(Z187-Y187)</f>
        <v>5.8030999999999997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0830-02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/stypes="app*4013*20170502*"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3"/>
        <v>"%USERPROFILE%\Documents\GitHub\eaglep3\Utilities\RefineRTDCRunTimes.py" --tripid 830-02 --locoid 4013 --swversion DE.1.0.9.0 --startMP 300:58660 --initTime 2017-05-02T16:36:42 --startdatetime 2017-05-02T16:38:33 --delay 1 --endMP 204:629 --enddatetime 2017-05-02T16:55:09 --enforcementcount 0 &gt;&gt;C:\Users\stu\Documents\GitHub\eaglep3-reporting\EC\2017-05-02-refined-times.txt</v>
      </c>
      <c r="AI187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{"issue":{"subject":"","project_id":79,"tracker_id":40,"status_id":1,"priority_id":2,"assigned_to_id":23,"start_date":"2017-05-02","description":"","custom_fields":[{"id":1,"name":"Subdivision","value":"NW"},{"id":4,"name":"Milepost","value":"0.0629"},{"id":17,"name":"Train ID","value":"830-02"},{"id":16,"name":"Locomotive ID","value":"4013"},{"id":130,"name":"Impact","value":""},{"id":150,"name":"Time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5"/>
        <v>start /low /b %USERPROFILE%\Documents\GitHub\eaglep3\Utilities\DownloadLogsFromS3.py --loco 4013 --day 2017-05-02</v>
      </c>
      <c r="AN187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758</v>
      </c>
      <c r="B188" s="7">
        <v>4028</v>
      </c>
      <c r="C188" s="21" t="s">
        <v>211</v>
      </c>
      <c r="D188" s="21" t="s">
        <v>952</v>
      </c>
      <c r="E188" s="13">
        <v>42857.68577546296</v>
      </c>
      <c r="F188" s="13">
        <v>42857.702291666668</v>
      </c>
      <c r="G188" s="7">
        <v>1</v>
      </c>
      <c r="H188" s="21" t="s">
        <v>953</v>
      </c>
      <c r="I188" s="13">
        <v>42857.712048611109</v>
      </c>
      <c r="J188" s="7">
        <v>0</v>
      </c>
      <c r="K188" s="92" t="str">
        <f>IF(ISEVEN(B188),(B188-1)&amp;"/"&amp;B188,B188&amp;"/"&amp;(B188+1))</f>
        <v>4027/4028</v>
      </c>
      <c r="L188" s="21" t="str">
        <f>VLOOKUP(A188,'Trips&amp;Operators'!$C$1:$G$99999,5,FALSE)</f>
        <v>SWANSON BRYCE</v>
      </c>
      <c r="M188" s="6">
        <f>I188-F188</f>
        <v>9.7569444405962713E-3</v>
      </c>
      <c r="N188" s="7">
        <f>24*60*SUM($M188:$M188)</f>
        <v>14.049999994458631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-02T15:27:31-0600',mode:absolute,to:'2017-05-02T18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192">
        <f>RIGHT(D188,LEN(D188)-4)/10000</f>
        <v>9.69E-2</v>
      </c>
      <c r="Z188" s="192">
        <f>RIGHT(H188,LEN(H188)-4)/10000</f>
        <v>5.8944000000000001</v>
      </c>
      <c r="AA188" s="192">
        <f>ABS(Z188-Y188)</f>
        <v>5.7975000000000003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0831-02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/stypes="app*4028*20170502*" /stext=" 23:.+((SYSTEM_STATE.+slice.+state.+changed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3"/>
        <v>"%USERPROFILE%\Documents\GitHub\eaglep3\Utilities\RefineRTDCRunTimes.py" --tripid 831-02 --locoid 4028 --swversion DE.1.0.9.0 --startMP 204:969 --initTime 2017-05-02T16:27:31 --startdatetime 2017-05-02T16:51:18 --delay 1 --endMP 300:58944 --enddatetime 2017-05-02T17:05:21 --enforcementcount 0 &gt;&gt;C:\Users\stu\Documents\GitHub\eaglep3-reporting\EC\2017-05-02-refined-times.txt</v>
      </c>
      <c r="AI188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{"issue":{"subject":"","project_id":79,"tracker_id":40,"status_id":1,"priority_id":2,"assigned_to_id":23,"start_date":"2017-05-02","description":"","custom_fields":[{"id":1,"name":"Subdivision","value":"NW"},{"id":4,"name":"Milepost","value":"5.8944"},{"id":17,"name":"Train ID","value":"831-02"},{"id":16,"name":"Locomotive ID","value":"4028"},{"id":130,"name":"Impact","value":""},{"id":150,"name":"Time of Event (Mountain Time)","value":"17:05:21"},{"id":151,"name":"Denver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5"/>
        <v>start /low /b %USERPROFILE%\Documents\GitHub\eaglep3\Utilities\DownloadLogsFromS3.py --loco 4028 --day 2017-05-02</v>
      </c>
      <c r="AN188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604</v>
      </c>
      <c r="B189" s="7">
        <v>4027</v>
      </c>
      <c r="C189" s="21" t="s">
        <v>211</v>
      </c>
      <c r="D189" s="21" t="s">
        <v>489</v>
      </c>
      <c r="E189" s="13">
        <v>42857.71303240741</v>
      </c>
      <c r="F189" s="13">
        <v>42857.714467592596</v>
      </c>
      <c r="G189" s="7">
        <v>1</v>
      </c>
      <c r="H189" s="21" t="s">
        <v>954</v>
      </c>
      <c r="I189" s="13">
        <v>42857.726018518515</v>
      </c>
      <c r="J189" s="7">
        <v>0</v>
      </c>
      <c r="K189" s="92" t="str">
        <f>IF(ISEVEN(B189),(B189-1)&amp;"/"&amp;B189,B189&amp;"/"&amp;(B189+1))</f>
        <v>4027/4028</v>
      </c>
      <c r="L189" s="21" t="str">
        <f>VLOOKUP(A189,'Trips&amp;Operators'!$C$1:$G$99999,5,FALSE)</f>
        <v>SWANSON BRYCE</v>
      </c>
      <c r="M189" s="6">
        <f>I189-F189</f>
        <v>1.155092591943685E-2</v>
      </c>
      <c r="N189" s="7">
        <f>24*60*SUM($M189:$M189)</f>
        <v>16.633333323989064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-02T16:06:46-0600',mode:absolute,to:'2017-05-02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5.8630000000000004</v>
      </c>
      <c r="Z189" s="192">
        <f>RIGHT(H189,LEN(H189)-4)/10000</f>
        <v>7.0599999999999996E-2</v>
      </c>
      <c r="AA189" s="192">
        <f>ABS(Z189-Y189)</f>
        <v>5.7924000000000007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0832-02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/stypes="app*4027*20170502*" /stext=" 23:.+((SYSTEM_STATE.+slice.+state.+changed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3"/>
        <v>"%USERPROFILE%\Documents\GitHub\eaglep3\Utilities\RefineRTDCRunTimes.py" --tripid 832-02 --locoid 4027 --swversion DE.1.0.9.0 --startMP 300:58630 --initTime 2017-05-02T17:06:46 --startdatetime 2017-05-02T17:08:50 --delay 1 --endMP 204:706 --enddatetime 2017-05-02T17:25:28 --enforcementcount 0 &gt;&gt;C:\Users\stu\Documents\GitHub\eaglep3-reporting\EC\2017-05-02-refined-times.txt</v>
      </c>
      <c r="AI189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{"issue":{"subject":"","project_id":79,"tracker_id":40,"status_id":1,"priority_id":2,"assigned_to_id":23,"start_date":"2017-05-02","description":"","custom_fields":[{"id":1,"name":"Subdivision","value":"NW"},{"id":4,"name":"Milepost","value":"0.0706"},{"id":17,"name":"Train ID","value":"832-02"},{"id":16,"name":"Locomotive ID","value":"4027"},{"id":130,"name":"Impact","value":""},{"id":150,"name":"Time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5"/>
        <v>start /low /b %USERPROFILE%\Documents\GitHub\eaglep3\Utilities\DownloadLogsFromS3.py --loco 4027 --day 2017-05-02</v>
      </c>
      <c r="AN189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765</v>
      </c>
      <c r="B190" s="7">
        <v>4014</v>
      </c>
      <c r="C190" s="21" t="s">
        <v>211</v>
      </c>
      <c r="D190" s="21" t="s">
        <v>955</v>
      </c>
      <c r="E190" s="13">
        <v>42857.715081018519</v>
      </c>
      <c r="F190" s="13">
        <v>42857.723067129627</v>
      </c>
      <c r="G190" s="7">
        <v>1</v>
      </c>
      <c r="H190" s="21" t="s">
        <v>956</v>
      </c>
      <c r="I190" s="13">
        <v>42857.732314814813</v>
      </c>
      <c r="J190" s="7">
        <v>0</v>
      </c>
      <c r="K190" s="92" t="str">
        <f>IF(ISEVEN(B190),(B190-1)&amp;"/"&amp;B190,B190&amp;"/"&amp;(B190+1))</f>
        <v>4013/4014</v>
      </c>
      <c r="L190" s="21" t="str">
        <f>VLOOKUP(A190,'Trips&amp;Operators'!$C$1:$G$99999,5,FALSE)</f>
        <v>LEVIN SCOTT</v>
      </c>
      <c r="M190" s="6">
        <f>I190-F190</f>
        <v>9.2476851859828457E-3</v>
      </c>
      <c r="N190" s="7">
        <f>24*60*SUM($M190:$M190)</f>
        <v>13.316666667815298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-02T16:09:43-0600',mode:absolute,to:'2017-05-02T18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9.2499999999999999E-2</v>
      </c>
      <c r="Z190" s="192">
        <f>RIGHT(H190,LEN(H190)-4)/10000</f>
        <v>5.899</v>
      </c>
      <c r="AA190" s="192">
        <f>ABS(Z190-Y190)</f>
        <v>5.8064999999999998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0833-02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/stypes="app*4014*20170502*" /stext=" 23:.+((SYSTEM_STATE.+slice.+state.+changed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3"/>
        <v>"%USERPROFILE%\Documents\GitHub\eaglep3\Utilities\RefineRTDCRunTimes.py" --tripid 833-02 --locoid 4014 --swversion DE.1.0.9.0 --startMP 204:925 --initTime 2017-05-02T17:09:43 --startdatetime 2017-05-02T17:21:13 --delay 1 --endMP 300:58990 --enddatetime 2017-05-02T17:34:32 --enforcementcount 0 &gt;&gt;C:\Users\stu\Documents\GitHub\eaglep3-reporting\EC\2017-05-02-refined-times.txt</v>
      </c>
      <c r="AI190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{"issue":{"subject":"","project_id":79,"tracker_id":40,"status_id":1,"priority_id":2,"assigned_to_id":23,"start_date":"2017-05-02","description":"","custom_fields":[{"id":1,"name":"Subdivision","value":"NW"},{"id":4,"name":"Milepost","value":"5.899"},{"id":17,"name":"Train ID","value":"833-02"},{"id":16,"name":"Locomotive ID","value":"4014"},{"id":130,"name":"Impact","value":""},{"id":150,"name":"Time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5"/>
        <v>start /low /b %USERPROFILE%\Documents\GitHub\eaglep3\Utilities\DownloadLogsFromS3.py --loco 4014 --day 2017-05-02</v>
      </c>
      <c r="AN190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605</v>
      </c>
      <c r="B191" s="7">
        <v>4013</v>
      </c>
      <c r="C191" s="21" t="s">
        <v>211</v>
      </c>
      <c r="D191" s="21" t="s">
        <v>957</v>
      </c>
      <c r="E191" s="13">
        <v>42857.734224537038</v>
      </c>
      <c r="F191" s="13">
        <v>42857.735625000001</v>
      </c>
      <c r="G191" s="7">
        <v>1</v>
      </c>
      <c r="H191" s="21" t="s">
        <v>958</v>
      </c>
      <c r="I191" s="13">
        <v>42857.747083333335</v>
      </c>
      <c r="J191" s="7">
        <v>0</v>
      </c>
      <c r="K191" s="92" t="str">
        <f>IF(ISEVEN(B191),(B191-1)&amp;"/"&amp;B191,B191&amp;"/"&amp;(B191+1))</f>
        <v>4013/4014</v>
      </c>
      <c r="L191" s="21" t="str">
        <f>VLOOKUP(A191,'Trips&amp;Operators'!$C$1:$G$99999,5,FALSE)</f>
        <v>LEVIN SCOTT</v>
      </c>
      <c r="M191" s="6">
        <f>I191-F191</f>
        <v>1.1458333334303461E-2</v>
      </c>
      <c r="N191" s="7">
        <f>24*60*SUM($M191:$M191)</f>
        <v>16.500000001396984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-02T16:37:17-0600',mode:absolute,to:'2017-05-02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192" t="str">
        <f>IF(AA191&lt;IF(AG191="EC",23,5.65),"Y","N")</f>
        <v>N</v>
      </c>
      <c r="X191" s="192">
        <f>VALUE(LEFT(AD191,4))-VALUE(LEFT(AD190,4))</f>
        <v>1</v>
      </c>
      <c r="Y191" s="192">
        <f>RIGHT(D191,LEN(D191)-4)/10000</f>
        <v>5.8674999999999997</v>
      </c>
      <c r="Z191" s="192">
        <f>RIGHT(H191,LEN(H191)-4)/10000</f>
        <v>6.54E-2</v>
      </c>
      <c r="AA191" s="192">
        <f>ABS(Z191-Y191)</f>
        <v>5.8020999999999994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0834-02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/stypes="app*4013*20170502*"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3"/>
        <v>"%USERPROFILE%\Documents\GitHub\eaglep3\Utilities\RefineRTDCRunTimes.py" --tripid 834-02 --locoid 4013 --swversion DE.1.0.9.0 --startMP 300:58675 --initTime 2017-05-02T17:37:17 --startdatetime 2017-05-02T17:39:18 --delay 1 --endMP 204:654 --enddatetime 2017-05-02T17:55:48 --enforcementcount 0 &gt;&gt;C:\Users\stu\Documents\GitHub\eaglep3-reporting\EC\2017-05-02-refined-times.txt</v>
      </c>
      <c r="AI191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{"issue":{"subject":"","project_id":79,"tracker_id":40,"status_id":1,"priority_id":2,"assigned_to_id":23,"start_date":"2017-05-02","description":"","custom_fields":[{"id":1,"name":"Subdivision","value":"NW"},{"id":4,"name":"Milepost","value":"0.0654"},{"id":17,"name":"Train ID","value":"834-02"},{"id":16,"name":"Locomotive ID","value":"4013"},{"id":130,"name":"Impact","value":""},{"id":150,"name":"Time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5"/>
        <v>start /low /b %USERPROFILE%\Documents\GitHub\eaglep3\Utilities\DownloadLogsFromS3.py --loco 4013 --day 2017-05-02</v>
      </c>
      <c r="AN191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607</v>
      </c>
      <c r="B192" s="7">
        <v>4028</v>
      </c>
      <c r="C192" s="21" t="s">
        <v>211</v>
      </c>
      <c r="D192" s="21" t="s">
        <v>959</v>
      </c>
      <c r="E192" s="13">
        <v>42857.727268518516</v>
      </c>
      <c r="F192" s="13">
        <v>42857.743969907409</v>
      </c>
      <c r="G192" s="7">
        <v>1</v>
      </c>
      <c r="H192" s="21" t="s">
        <v>960</v>
      </c>
      <c r="I192" s="13">
        <v>42857.754016203704</v>
      </c>
      <c r="J192" s="7">
        <v>0</v>
      </c>
      <c r="K192" s="92" t="str">
        <f>IF(ISEVEN(B192),(B192-1)&amp;"/"&amp;B192,B192&amp;"/"&amp;(B192+1))</f>
        <v>4027/4028</v>
      </c>
      <c r="L192" s="21" t="str">
        <f>VLOOKUP(A192,'Trips&amp;Operators'!$C$1:$G$99999,5,FALSE)</f>
        <v>SWANSON BRYCE</v>
      </c>
      <c r="M192" s="6">
        <f>I192-F192</f>
        <v>1.0046296294603962E-2</v>
      </c>
      <c r="N192" s="7">
        <f>24*60*SUM($M192:$M192)</f>
        <v>14.466666664229706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-02T16:27:16-0600',mode:absolute,to:'2017-05-02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2" s="192" t="str">
        <f>IF(AA192&lt;IF(AG192="EC",23,5.65),"Y","N")</f>
        <v>N</v>
      </c>
      <c r="X192" s="192">
        <f>VALUE(LEFT(AD192,4))-VALUE(LEFT(AD191,4))</f>
        <v>1</v>
      </c>
      <c r="Y192" s="192">
        <f>RIGHT(D192,LEN(D192)-4)/10000</f>
        <v>9.8500000000000004E-2</v>
      </c>
      <c r="Z192" s="192">
        <f>RIGHT(H192,LEN(H192)-4)/10000</f>
        <v>5.8925999999999998</v>
      </c>
      <c r="AA192" s="192">
        <f>ABS(Z192-Y192)</f>
        <v>5.7941000000000003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0835-02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/stypes="app*4028*20170503*" /stext=" 00:.+((SYSTEM_STATE.+slice.+state.+changed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3"/>
        <v>"%USERPROFILE%\Documents\GitHub\eaglep3\Utilities\RefineRTDCRunTimes.py" --tripid 835-02 --locoid 4028 --swversion DE.1.0.9.0 --startMP 204:985 --initTime 2017-05-02T17:27:16 --startdatetime 2017-05-02T17:51:19 --delay 1 --endMP 300:58926 --enddatetime 2017-05-02T18:05:47 --enforcementcount 0 &gt;&gt;C:\Users\stu\Documents\GitHub\eaglep3-reporting\EC\2017-05-02-refined-times.txt</v>
      </c>
      <c r="AI192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{"issue":{"subject":"","project_id":79,"tracker_id":40,"status_id":1,"priority_id":2,"assigned_to_id":23,"start_date":"2017-05-02","description":"","custom_fields":[{"id":1,"name":"Subdivision","value":"NW"},{"id":4,"name":"Milepost","value":"5.8926"},{"id":17,"name":"Train ID","value":"835-02"},{"id":16,"name":"Locomotive ID","value":"4028"},{"id":130,"name":"Impact","value":""},{"id":150,"name":"Time of Event (Mountain Time)","value":"18:05:47"},{"id":151,"name":"Denver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15"/>
        <v>start /low /b %USERPROFILE%\Documents\GitHub\eaglep3\Utilities\DownloadLogsFromS3.py --loco 4028 --day 2017-05-02</v>
      </c>
      <c r="AN192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s="20" customFormat="1" x14ac:dyDescent="0.25">
      <c r="A193" s="32" t="s">
        <v>775</v>
      </c>
      <c r="B193" s="7">
        <v>4027</v>
      </c>
      <c r="C193" s="21" t="s">
        <v>211</v>
      </c>
      <c r="D193" s="21" t="s">
        <v>961</v>
      </c>
      <c r="E193" s="13">
        <v>42857.755567129629</v>
      </c>
      <c r="F193" s="13">
        <v>42857.757071759261</v>
      </c>
      <c r="G193" s="7">
        <v>1</v>
      </c>
      <c r="H193" s="21" t="s">
        <v>962</v>
      </c>
      <c r="I193" s="13">
        <v>42857.768009259256</v>
      </c>
      <c r="J193" s="7">
        <v>0</v>
      </c>
      <c r="K193" s="92" t="str">
        <f>IF(ISEVEN(B193),(B193-1)&amp;"/"&amp;B193,B193&amp;"/"&amp;(B193+1))</f>
        <v>4027/4028</v>
      </c>
      <c r="L193" s="21" t="str">
        <f>VLOOKUP(A193,'Trips&amp;Operators'!$C$1:$G$99999,5,FALSE)</f>
        <v>SWANSON BRYCE</v>
      </c>
      <c r="M193" s="6">
        <f>I193-F193</f>
        <v>1.0937499995634425E-2</v>
      </c>
      <c r="N193" s="7">
        <f>24*60*SUM($M193:$M193)</f>
        <v>15.749999993713573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-02T17:08:01-0600',mode:absolute,to:'2017-05-02T19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3" s="192" t="str">
        <f>IF(AA193&lt;IF(AG193="EC",23,5.65),"Y","N")</f>
        <v>N</v>
      </c>
      <c r="X193" s="192">
        <f>VALUE(LEFT(AD193,4))-VALUE(LEFT(AD192,4))</f>
        <v>1</v>
      </c>
      <c r="Y193" s="192">
        <f>RIGHT(D193,LEN(D193)-4)/10000</f>
        <v>5.8609</v>
      </c>
      <c r="Z193" s="192">
        <f>RIGHT(H193,LEN(H193)-4)/10000</f>
        <v>6.2600000000000003E-2</v>
      </c>
      <c r="AA193" s="192">
        <f>ABS(Z193-Y193)</f>
        <v>5.7983000000000002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0836-02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/stypes="app*4027*20170503*" /stext=" 00:.+((SYSTEM_STATE.+slice.+state.+changed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3"/>
        <v>"%USERPROFILE%\Documents\GitHub\eaglep3\Utilities\RefineRTDCRunTimes.py" --tripid 836-02 --locoid 4027 --swversion DE.1.0.9.0 --startMP 300:58609 --initTime 2017-05-02T18:08:01 --startdatetime 2017-05-02T18:10:11 --delay 1 --endMP 204:626 --enddatetime 2017-05-02T18:25:56 --enforcementcount 0 &gt;&gt;C:\Users\stu\Documents\GitHub\eaglep3-reporting\EC\2017-05-02-refined-times.txt</v>
      </c>
      <c r="AI193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{"issue":{"subject":"","project_id":79,"tracker_id":40,"status_id":1,"priority_id":2,"assigned_to_id":23,"start_date":"2017-05-02","description":"","custom_fields":[{"id":1,"name":"Subdivision","value":"NW"},{"id":4,"name":"Milepost","value":"0.0626"},{"id":17,"name":"Train ID","value":"836-02"},{"id":16,"name":"Locomotive ID","value":"4027"},{"id":130,"name":"Impact","value":""},{"id":150,"name":"Time of Event (Mountain Time)","value":"18:25:56"},{"id":151,"name":"Denver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15"/>
        <v>start /low /b %USERPROFILE%\Documents\GitHub\eaglep3\Utilities\DownloadLogsFromS3.py --loco 4027 --day 2017-05-02</v>
      </c>
      <c r="AN193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777</v>
      </c>
      <c r="B194" s="7">
        <v>4014</v>
      </c>
      <c r="C194" s="21" t="s">
        <v>211</v>
      </c>
      <c r="D194" s="21" t="s">
        <v>560</v>
      </c>
      <c r="E194" s="13">
        <v>42857.760717592595</v>
      </c>
      <c r="F194" s="13">
        <v>42857.764745370368</v>
      </c>
      <c r="G194" s="7">
        <v>1</v>
      </c>
      <c r="H194" s="21" t="s">
        <v>942</v>
      </c>
      <c r="I194" s="13">
        <v>42857.773819444446</v>
      </c>
      <c r="J194" s="7">
        <v>0</v>
      </c>
      <c r="K194" s="92" t="str">
        <f>IF(ISEVEN(B194),(B194-1)&amp;"/"&amp;B194,B194&amp;"/"&amp;(B194+1))</f>
        <v>4013/4014</v>
      </c>
      <c r="L194" s="21" t="str">
        <f>VLOOKUP(A194,'Trips&amp;Operators'!$C$1:$G$99999,5,FALSE)</f>
        <v>LEVIN SCOTT</v>
      </c>
      <c r="M194" s="6">
        <f>I194-F194</f>
        <v>9.0740740779438056E-3</v>
      </c>
      <c r="N194" s="7">
        <f>24*60*SUM($M194:$M194)</f>
        <v>13.06666667223908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-02T17:15:26-0600',mode:absolute,to:'2017-05-02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192" t="str">
        <f>IF(AA194&lt;IF(AG194="EC",23,5.65),"Y","N")</f>
        <v>N</v>
      </c>
      <c r="X194" s="192">
        <f>VALUE(LEFT(AD194,4))-VALUE(LEFT(AD193,4))</f>
        <v>1</v>
      </c>
      <c r="Y194" s="192">
        <f>RIGHT(D194,LEN(D194)-4)/10000</f>
        <v>9.5799999999999996E-2</v>
      </c>
      <c r="Z194" s="192">
        <f>RIGHT(H194,LEN(H194)-4)/10000</f>
        <v>5.8967000000000001</v>
      </c>
      <c r="AA194" s="192">
        <f>ABS(Z194-Y194)</f>
        <v>5.8009000000000004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0837-02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/stypes="app*4014*20170503*" /stext=" 00:.+((SYSTEM_STATE.+slice.+state.+changed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3"/>
        <v>"%USERPROFILE%\Documents\GitHub\eaglep3\Utilities\RefineRTDCRunTimes.py" --tripid 837-02 --locoid 4014 --swversion DE.1.0.9.0 --startMP 204:958 --initTime 2017-05-02T18:15:26 --startdatetime 2017-05-02T18:21:14 --delay 1 --endMP 300:58967 --enddatetime 2017-05-02T18:34:18 --enforcementcount 0 &gt;&gt;C:\Users\stu\Documents\GitHub\eaglep3-reporting\EC\2017-05-02-refined-times.txt</v>
      </c>
      <c r="AI194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{"issue":{"subject":"","project_id":79,"tracker_id":40,"status_id":1,"priority_id":2,"assigned_to_id":23,"start_date":"2017-05-02","description":"","custom_fields":[{"id":1,"name":"Subdivision","value":"NW"},{"id":4,"name":"Milepost","value":"5.8967"},{"id":17,"name":"Train ID","value":"837-02"},{"id":16,"name":"Locomotive ID","value":"4014"},{"id":130,"name":"Impact","value":""},{"id":150,"name":"Time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5"/>
        <v>start /low /b %USERPROFILE%\Documents\GitHub\eaglep3\Utilities\DownloadLogsFromS3.py --loco 4014 --day 2017-05-02</v>
      </c>
      <c r="AN194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609</v>
      </c>
      <c r="B195" s="7">
        <v>4013</v>
      </c>
      <c r="C195" s="21" t="s">
        <v>211</v>
      </c>
      <c r="D195" s="21" t="s">
        <v>573</v>
      </c>
      <c r="E195" s="13">
        <v>42857.776388888888</v>
      </c>
      <c r="F195" s="13">
        <v>42857.777905092589</v>
      </c>
      <c r="G195" s="7">
        <v>1</v>
      </c>
      <c r="H195" s="21" t="s">
        <v>963</v>
      </c>
      <c r="I195" s="13">
        <v>42857.790393518517</v>
      </c>
      <c r="J195" s="7">
        <v>0</v>
      </c>
      <c r="K195" s="92" t="str">
        <f>IF(ISEVEN(B195),(B195-1)&amp;"/"&amp;B195,B195&amp;"/"&amp;(B195+1))</f>
        <v>4013/4014</v>
      </c>
      <c r="L195" s="21" t="str">
        <f>VLOOKUP(A195,'Trips&amp;Operators'!$C$1:$G$99999,5,FALSE)</f>
        <v>LEVIN SCOTT</v>
      </c>
      <c r="M195" s="6">
        <f>I195-F195</f>
        <v>1.2488425927585922E-2</v>
      </c>
      <c r="N195" s="7">
        <f>24*60*SUM($M195:$M195)</f>
        <v>17.983333335723728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-02T17:38:00-0600',mode:absolute,to:'2017-05-02T19:58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92" t="str">
        <f>IF(AA195&lt;IF(AG195="EC",23,5.65),"Y","N")</f>
        <v>N</v>
      </c>
      <c r="X195" s="192">
        <f>VALUE(LEFT(AD195,4))-VALUE(LEFT(AD194,4))</f>
        <v>1</v>
      </c>
      <c r="Y195" s="192">
        <f>RIGHT(D195,LEN(D195)-4)/10000</f>
        <v>5.8655999999999997</v>
      </c>
      <c r="Z195" s="192">
        <f>RIGHT(H195,LEN(H195)-4)/10000</f>
        <v>6.8199999999999997E-2</v>
      </c>
      <c r="AA195" s="192">
        <f>ABS(Z195-Y195)</f>
        <v>5.7973999999999997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0838-02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/stypes="app*4013*20170503*"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3"/>
        <v>"%USERPROFILE%\Documents\GitHub\eaglep3\Utilities\RefineRTDCRunTimes.py" --tripid 838-02 --locoid 4013 --swversion DE.1.0.9.0 --startMP 300:58656 --initTime 2017-05-02T18:38:00 --startdatetime 2017-05-02T18:40:11 --delay 1 --endMP 204:682 --enddatetime 2017-05-02T18:58:10 --enforcementcount 0 &gt;&gt;C:\Users\stu\Documents\GitHub\eaglep3-reporting\EC\2017-05-02-refined-times.txt</v>
      </c>
      <c r="AI195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{"issue":{"subject":"","project_id":79,"tracker_id":40,"status_id":1,"priority_id":2,"assigned_to_id":23,"start_date":"2017-05-02","description":"","custom_fields":[{"id":1,"name":"Subdivision","value":"NW"},{"id":4,"name":"Milepost","value":"0.0682"},{"id":17,"name":"Train ID","value":"838-02"},{"id":16,"name":"Locomotive ID","value":"4013"},{"id":130,"name":"Impact","value":""},{"id":150,"name":"Time of Event (Mountain Time)","value":"18:58:10"},{"id":151,"name":"Denver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15"/>
        <v>start /low /b %USERPROFILE%\Documents\GitHub\eaglep3\Utilities\DownloadLogsFromS3.py --loco 4013 --day 2017-05-02</v>
      </c>
      <c r="AN195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00:58:10"},{"id":29,"name":"Sharepoint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2" t="s">
        <v>780</v>
      </c>
      <c r="B196" s="7">
        <v>4028</v>
      </c>
      <c r="C196" s="21" t="s">
        <v>211</v>
      </c>
      <c r="D196" s="21" t="s">
        <v>964</v>
      </c>
      <c r="E196" s="13">
        <v>42857.769085648149</v>
      </c>
      <c r="F196" s="13">
        <v>42857.785578703704</v>
      </c>
      <c r="G196" s="7">
        <v>1</v>
      </c>
      <c r="H196" s="21" t="s">
        <v>919</v>
      </c>
      <c r="I196" s="13">
        <v>42857.795428240737</v>
      </c>
      <c r="J196" s="7">
        <v>0</v>
      </c>
      <c r="K196" s="92" t="str">
        <f>IF(ISEVEN(B196),(B196-1)&amp;"/"&amp;B196,B196&amp;"/"&amp;(B196+1))</f>
        <v>4027/4028</v>
      </c>
      <c r="L196" s="21" t="str">
        <f>VLOOKUP(A196,'Trips&amp;Operators'!$C$1:$G$99999,5,FALSE)</f>
        <v>SWANSON BRYCE</v>
      </c>
      <c r="M196" s="6">
        <f>I196-F196</f>
        <v>9.8495370330056176E-3</v>
      </c>
      <c r="N196" s="7">
        <f>24*60*SUM($M196:$M196)</f>
        <v>14.183333327528089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-02T17:27:29-0600',mode:absolute,to:'2017-05-02T20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6" s="192" t="str">
        <f>IF(AA196&lt;IF(AG196="EC",23,5.65),"Y","N")</f>
        <v>N</v>
      </c>
      <c r="X196" s="192">
        <f>VALUE(LEFT(AD196,4))-VALUE(LEFT(AD195,4))</f>
        <v>1</v>
      </c>
      <c r="Y196" s="192">
        <f>RIGHT(D196,LEN(D196)-4)/10000</f>
        <v>8.9700000000000002E-2</v>
      </c>
      <c r="Z196" s="192">
        <f>RIGHT(H196,LEN(H196)-4)/10000</f>
        <v>5.8928000000000003</v>
      </c>
      <c r="AA196" s="192">
        <f>ABS(Z196-Y196)</f>
        <v>5.8031000000000006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0839-02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/stypes="app*4028*20170503*" /stext=" 01:.+((SYSTEM_STATE.+slice.+state.+changed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3"/>
        <v>"%USERPROFILE%\Documents\GitHub\eaglep3\Utilities\RefineRTDCRunTimes.py" --tripid 839-02 --locoid 4028 --swversion DE.1.0.9.0 --startMP 204:897 --initTime 2017-05-02T18:27:29 --startdatetime 2017-05-02T18:51:14 --delay 1 --endMP 300:58928 --enddatetime 2017-05-02T19:05:25 --enforcementcount 0 &gt;&gt;C:\Users\stu\Documents\GitHub\eaglep3-reporting\EC\2017-05-02-refined-times.txt</v>
      </c>
      <c r="AI196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{"issue":{"subject":"","project_id":79,"tracker_id":40,"status_id":1,"priority_id":2,"assigned_to_id":23,"start_date":"2017-05-02","description":"","custom_fields":[{"id":1,"name":"Subdivision","value":"NW"},{"id":4,"name":"Milepost","value":"5.8928"},{"id":17,"name":"Train ID","value":"839-02"},{"id":16,"name":"Locomotive ID","value":"4028"},{"id":130,"name":"Impact","value":""},{"id":150,"name":"Time of Event (Mountain Time)","value":"19:05:25"},{"id":151,"name":"Denver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5"/>
        <v>start /low /b %USERPROFILE%\Documents\GitHub\eaglep3\Utilities\DownloadLogsFromS3.py --loco 4028 --day 2017-05-02</v>
      </c>
      <c r="AN196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612</v>
      </c>
      <c r="B197" s="7">
        <v>4013</v>
      </c>
      <c r="C197" s="21" t="s">
        <v>211</v>
      </c>
      <c r="D197" s="21" t="s">
        <v>568</v>
      </c>
      <c r="E197" s="13">
        <v>42857.818194444444</v>
      </c>
      <c r="F197" s="13">
        <v>42857.819814814815</v>
      </c>
      <c r="G197" s="7">
        <v>1</v>
      </c>
      <c r="H197" s="21" t="s">
        <v>899</v>
      </c>
      <c r="I197" s="13">
        <v>42857.829456018517</v>
      </c>
      <c r="J197" s="7">
        <v>0</v>
      </c>
      <c r="K197" s="92" t="str">
        <f>IF(ISEVEN(B197),(B197-1)&amp;"/"&amp;B197,B197&amp;"/"&amp;(B197+1))</f>
        <v>4013/4014</v>
      </c>
      <c r="L197" s="21" t="str">
        <f>VLOOKUP(A197,'Trips&amp;Operators'!$C$1:$G$99999,5,FALSE)</f>
        <v>LEVIN SCOTT</v>
      </c>
      <c r="M197" s="6">
        <f>I197-F197</f>
        <v>9.6412037019035779E-3</v>
      </c>
      <c r="N197" s="7">
        <f>24*60*SUM($M197:$M197)</f>
        <v>13.883333330741152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-02T18:38:12-0600',mode:absolute,to:'2017-05-02T20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192">
        <f>RIGHT(D197,LEN(D197)-4)/10000</f>
        <v>5.87</v>
      </c>
      <c r="Z197" s="192">
        <f>RIGHT(H197,LEN(H197)-4)/10000</f>
        <v>6.6100000000000006E-2</v>
      </c>
      <c r="AA197" s="192">
        <f>ABS(Z197-Y197)</f>
        <v>5.8039000000000005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0840-02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/stypes="app*4013*20170503*" /stext=" 01:.+((SYSTEM_STATE.+slice.+state.+changed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3"/>
        <v>"%USERPROFILE%\Documents\GitHub\eaglep3\Utilities\RefineRTDCRunTimes.py" --tripid 840-02 --locoid 4013 --swversion DE.1.0.9.0 --startMP 300:58700 --initTime 2017-05-02T19:38:12 --startdatetime 2017-05-02T19:40:32 --delay 1 --endMP 204:661 --enddatetime 2017-05-02T19:54:25 --enforcementcount 0 &gt;&gt;C:\Users\stu\Documents\GitHub\eaglep3-reporting\EC\2017-05-02-refined-times.txt</v>
      </c>
      <c r="AI197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{"issue":{"subject":"","project_id":79,"tracker_id":40,"status_id":1,"priority_id":2,"assigned_to_id":23,"start_date":"2017-05-02","description":"","custom_fields":[{"id":1,"name":"Subdivision","value":"NW"},{"id":4,"name":"Milepost","value":"0.0661"},{"id":17,"name":"Train ID","value":"840-02"},{"id":16,"name":"Locomotive ID","value":"4013"},{"id":130,"name":"Impact","value":""},{"id":150,"name":"Time of Event (Mountain Time)","value":"19:54:25"},{"id":151,"name":"Denver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5"/>
        <v>start /low /b %USERPROFILE%\Documents\GitHub\eaglep3\Utilities\DownloadLogsFromS3.py --loco 4013 --day 2017-05-02</v>
      </c>
      <c r="AN197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611</v>
      </c>
      <c r="B198" s="7">
        <v>4014</v>
      </c>
      <c r="C198" s="21" t="s">
        <v>211</v>
      </c>
      <c r="D198" s="21" t="s">
        <v>946</v>
      </c>
      <c r="E198" s="13">
        <v>42857.804050925923</v>
      </c>
      <c r="F198" s="13">
        <v>42857.806631944448</v>
      </c>
      <c r="G198" s="7">
        <v>1</v>
      </c>
      <c r="H198" s="21" t="s">
        <v>965</v>
      </c>
      <c r="I198" s="13">
        <v>42857.815671296295</v>
      </c>
      <c r="J198" s="7">
        <v>0</v>
      </c>
      <c r="K198" s="92" t="str">
        <f>IF(ISEVEN(B198),(B198-1)&amp;"/"&amp;B198,B198&amp;"/"&amp;(B198+1))</f>
        <v>4013/4014</v>
      </c>
      <c r="L198" s="21" t="str">
        <f>VLOOKUP(A198,'Trips&amp;Operators'!$C$1:$G$99999,5,FALSE)</f>
        <v>LEVIN SCOTT</v>
      </c>
      <c r="M198" s="6">
        <f>I198-F198</f>
        <v>9.0393518476048484E-3</v>
      </c>
      <c r="N198" s="7">
        <f>24*60*SUM($M198:$M198)</f>
        <v>13.016666660550982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-02T18:17:50-0600',mode:absolute,to:'2017-05-02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192">
        <f>RIGHT(D198,LEN(D198)-4)/10000</f>
        <v>9.5699999999999993E-2</v>
      </c>
      <c r="Z198" s="192">
        <f>RIGHT(H198,LEN(H198)-4)/10000</f>
        <v>5.8323999999999998</v>
      </c>
      <c r="AA198" s="192">
        <f>ABS(Z198-Y198)</f>
        <v>5.7366999999999999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0841-02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/stypes="app*4014*20170503*" /stext=" 01:.+((SYSTEM_STATE.+slice.+state.+changed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3"/>
        <v>"%USERPROFILE%\Documents\GitHub\eaglep3\Utilities\RefineRTDCRunTimes.py" --tripid 841-02 --locoid 4014 --swversion DE.1.0.9.0 --startMP 204:957 --initTime 2017-05-02T19:17:50 --startdatetime 2017-05-02T19:21:33 --delay 1 --endMP 300:58324 --enddatetime 2017-05-02T19:34:34 --enforcementcount 0 &gt;&gt;C:\Users\stu\Documents\GitHub\eaglep3-reporting\EC\2017-05-02-refined-times.txt</v>
      </c>
      <c r="AI198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{"issue":{"subject":"","project_id":79,"tracker_id":40,"status_id":1,"priority_id":2,"assigned_to_id":23,"start_date":"2017-05-02","description":"","custom_fields":[{"id":1,"name":"Subdivision","value":"NW"},{"id":4,"name":"Milepost","value":"5.8324"},{"id":17,"name":"Train ID","value":"841-02"},{"id":16,"name":"Locomotive ID","value":"4014"},{"id":130,"name":"Impact","value":""},{"id":150,"name":"Time of Event (Mountain Time)","value":"19:34:34"},{"id":151,"name":"Denver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5"/>
        <v>start /low /b %USERPROFILE%\Documents\GitHub\eaglep3\Utilities\DownloadLogsFromS3.py --loco 4014 --day 2017-05-02</v>
      </c>
      <c r="AN198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614</v>
      </c>
      <c r="B199" s="7">
        <v>4013</v>
      </c>
      <c r="C199" s="21" t="s">
        <v>211</v>
      </c>
      <c r="D199" s="21" t="s">
        <v>485</v>
      </c>
      <c r="E199" s="13">
        <v>42857.859027777777</v>
      </c>
      <c r="F199" s="13">
        <v>42857.860960648148</v>
      </c>
      <c r="G199" s="7">
        <v>2</v>
      </c>
      <c r="H199" s="21" t="s">
        <v>966</v>
      </c>
      <c r="I199" s="13">
        <v>42857.871192129627</v>
      </c>
      <c r="J199" s="7">
        <v>0</v>
      </c>
      <c r="K199" s="92" t="str">
        <f>IF(ISEVEN(B199),(B199-1)&amp;"/"&amp;B199,B199&amp;"/"&amp;(B199+1))</f>
        <v>4013/4014</v>
      </c>
      <c r="L199" s="21" t="str">
        <f>VLOOKUP(A199,'Trips&amp;Operators'!$C$1:$G$99999,5,FALSE)</f>
        <v>LEVIN SCOTT</v>
      </c>
      <c r="M199" s="6">
        <f>I199-F199</f>
        <v>1.0231481479422655E-2</v>
      </c>
      <c r="N199" s="7">
        <f>24*60*SUM($M199:$M199)</f>
        <v>14.733333330368623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-02T19:37:00-0600',mode:absolute,to:'2017-05-02T21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192">
        <f>RIGHT(D199,LEN(D199)-4)/10000</f>
        <v>5.8625999999999996</v>
      </c>
      <c r="Z199" s="192">
        <f>RIGHT(H199,LEN(H199)-4)/10000</f>
        <v>6.8400000000000002E-2</v>
      </c>
      <c r="AA199" s="192">
        <f>ABS(Z199-Y199)</f>
        <v>5.7942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0842-02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/stypes="app*4013*20170503*" /stext=" 02:.+((SYSTEM_STATE.+slice.+state.+changed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3"/>
        <v>"%USERPROFILE%\Documents\GitHub\eaglep3\Utilities\RefineRTDCRunTimes.py" --tripid 842-02 --locoid 4013 --swversion DE.1.0.9.0 --startMP 300:58626 --initTime 2017-05-02T20:37:00 --startdatetime 2017-05-02T20:39:47 --delay 2 --endMP 204:684 --enddatetime 2017-05-02T20:54:31 --enforcementcount 0 &gt;&gt;C:\Users\stu\Documents\GitHub\eaglep3-reporting\EC\2017-05-02-refined-times.txt</v>
      </c>
      <c r="AI199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{"issue":{"subject":"","project_id":79,"tracker_id":40,"status_id":1,"priority_id":2,"assigned_to_id":23,"start_date":"2017-05-02","description":"","custom_fields":[{"id":1,"name":"Subdivision","value":"NW"},{"id":4,"name":"Milepost","value":"0.0684"},{"id":17,"name":"Train ID","value":"842-02"},{"id":16,"name":"Locomotive ID","value":"4013"},{"id":130,"name":"Impact","value":""},{"id":150,"name":"Time of Event (Mountain Time)","value":"20:54:31"},{"id":151,"name":"Denver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5"/>
        <v>start /low /b %USERPROFILE%\Documents\GitHub\eaglep3\Utilities\DownloadLogsFromS3.py --loco 4013 --day 2017-05-02</v>
      </c>
      <c r="AN199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792</v>
      </c>
      <c r="B200" s="7">
        <v>4014</v>
      </c>
      <c r="C200" s="21" t="s">
        <v>211</v>
      </c>
      <c r="D200" s="21" t="s">
        <v>967</v>
      </c>
      <c r="E200" s="13">
        <v>42857.842951388891</v>
      </c>
      <c r="F200" s="13">
        <v>42857.848229166666</v>
      </c>
      <c r="G200" s="7">
        <v>0</v>
      </c>
      <c r="H200" s="21" t="s">
        <v>968</v>
      </c>
      <c r="I200" s="13">
        <v>42857.857523148145</v>
      </c>
      <c r="J200" s="7">
        <v>0</v>
      </c>
      <c r="K200" s="92" t="str">
        <f>IF(ISEVEN(B200),(B200-1)&amp;"/"&amp;B200,B200&amp;"/"&amp;(B200+1))</f>
        <v>4013/4014</v>
      </c>
      <c r="L200" s="21" t="str">
        <f>VLOOKUP(A200,'Trips&amp;Operators'!$C$1:$G$99999,5,FALSE)</f>
        <v>LEVIN SCOTT</v>
      </c>
      <c r="M200" s="6">
        <f>I200-F200</f>
        <v>9.29398147854954E-3</v>
      </c>
      <c r="N200" s="7">
        <f>24*60*SUM($M200:$M200)</f>
        <v>13.383333329111338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-02T19:13:51-0600',mode:absolute,to:'2017-05-02T21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192">
        <f>RIGHT(D200,LEN(D200)-4)/10000</f>
        <v>9.4299999999999995E-2</v>
      </c>
      <c r="Z200" s="192">
        <f>RIGHT(H200,LEN(H200)-4)/10000</f>
        <v>5.8956</v>
      </c>
      <c r="AA200" s="192">
        <f>ABS(Z200-Y200)</f>
        <v>5.8013000000000003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0843-02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/stypes="app*4014*20170503*" /stext=" 02:.+((SYSTEM_STATE.+slice.+state.+changed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3"/>
        <v>"%USERPROFILE%\Documents\GitHub\eaglep3\Utilities\RefineRTDCRunTimes.py" --tripid 843-02 --locoid 4014 --swversion DE.1.0.9.0 --startMP 204:943 --initTime 2017-05-02T20:13:51 --startdatetime 2017-05-02T20:21:27 --delay 0 --endMP 300:58956 --enddatetime 2017-05-02T20:34:50 --enforcementcount 0 &gt;&gt;C:\Users\stu\Documents\GitHub\eaglep3-reporting\EC\2017-05-02-refined-times.txt</v>
      </c>
      <c r="AI200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{"issue":{"subject":"","project_id":79,"tracker_id":40,"status_id":1,"priority_id":2,"assigned_to_id":23,"start_date":"2017-05-02","description":"","custom_fields":[{"id":1,"name":"Subdivision","value":"NW"},{"id":4,"name":"Milepost","value":"5.8956"},{"id":17,"name":"Train ID","value":"843-02"},{"id":16,"name":"Locomotive ID","value":"4014"},{"id":130,"name":"Impact","value":""},{"id":150,"name":"Time of Event (Mountain Time)","value":"20:34:50"},{"id":151,"name":"Denver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5"/>
        <v>start /low /b %USERPROFILE%\Documents\GitHub\eaglep3\Utilities\DownloadLogsFromS3.py --loco 4014 --day 2017-05-02</v>
      </c>
      <c r="AN200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798</v>
      </c>
      <c r="B201" s="7">
        <v>4013</v>
      </c>
      <c r="C201" s="21" t="s">
        <v>211</v>
      </c>
      <c r="D201" s="21" t="s">
        <v>449</v>
      </c>
      <c r="E201" s="13">
        <v>42857.900949074072</v>
      </c>
      <c r="F201" s="13">
        <v>42857.902291666665</v>
      </c>
      <c r="G201" s="7">
        <v>1</v>
      </c>
      <c r="H201" s="21" t="s">
        <v>583</v>
      </c>
      <c r="I201" s="13">
        <v>42857.913634259261</v>
      </c>
      <c r="J201" s="7">
        <v>0</v>
      </c>
      <c r="K201" s="92" t="str">
        <f>IF(ISEVEN(B201),(B201-1)&amp;"/"&amp;B201,B201&amp;"/"&amp;(B201+1))</f>
        <v>4013/4014</v>
      </c>
      <c r="L201" s="21" t="str">
        <f>VLOOKUP(A201,'Trips&amp;Operators'!$C$1:$G$99999,5,FALSE)</f>
        <v>SWANSON BRYCE</v>
      </c>
      <c r="M201" s="6">
        <f>I201-F201</f>
        <v>1.1342592595610768E-2</v>
      </c>
      <c r="N201" s="7">
        <f>24*60*SUM($M201:$M201)</f>
        <v>16.333333337679505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-02T20:37:22-0600',mode:absolute,to:'2017-05-02T22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192">
        <f>RIGHT(D201,LEN(D201)-4)/10000</f>
        <v>5.8623000000000003</v>
      </c>
      <c r="Z201" s="192">
        <f>RIGHT(H201,LEN(H201)-4)/10000</f>
        <v>6.7500000000000004E-2</v>
      </c>
      <c r="AA201" s="192">
        <f>ABS(Z201-Y201)</f>
        <v>5.7948000000000004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0844-02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/stypes="app*4013*20170503*" /stext=" 03:.+((SYSTEM_STATE.+slice.+state.+changed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3"/>
        <v>"%USERPROFILE%\Documents\GitHub\eaglep3\Utilities\RefineRTDCRunTimes.py" --tripid 844-02 --locoid 4013 --swversion DE.1.0.9.0 --startMP 300:58623 --initTime 2017-05-02T21:37:22 --startdatetime 2017-05-02T21:39:18 --delay 1 --endMP 204:675 --enddatetime 2017-05-02T21:55:38 --enforcementcount 0 &gt;&gt;C:\Users\stu\Documents\GitHub\eaglep3-reporting\EC\2017-05-02-refined-times.txt</v>
      </c>
      <c r="AI201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{"issue":{"subject":"","project_id":79,"tracker_id":40,"status_id":1,"priority_id":2,"assigned_to_id":23,"start_date":"2017-05-02","description":"","custom_fields":[{"id":1,"name":"Subdivision","value":"NW"},{"id":4,"name":"Milepost","value":"0.0675"},{"id":17,"name":"Train ID","value":"844-02"},{"id":16,"name":"Locomotive ID","value":"4013"},{"id":130,"name":"Impact","value":""},{"id":150,"name":"Time of Event (Mountain Time)","value":"21:55:38"},{"id":151,"name":"Denver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5"/>
        <v>start /low /b %USERPROFILE%\Documents\GitHub\eaglep3\Utilities\DownloadLogsFromS3.py --loco 4013 --day 2017-05-02</v>
      </c>
      <c r="AN201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795</v>
      </c>
      <c r="B202" s="7">
        <v>4014</v>
      </c>
      <c r="C202" s="21" t="s">
        <v>211</v>
      </c>
      <c r="D202" s="21" t="s">
        <v>925</v>
      </c>
      <c r="E202" s="13">
        <v>42857.873761574076</v>
      </c>
      <c r="F202" s="13">
        <v>42857.890150462961</v>
      </c>
      <c r="G202" s="7">
        <v>2</v>
      </c>
      <c r="H202" s="21" t="s">
        <v>487</v>
      </c>
      <c r="I202" s="13">
        <v>42857.900127314817</v>
      </c>
      <c r="J202" s="7">
        <v>0</v>
      </c>
      <c r="K202" s="92" t="str">
        <f>IF(ISEVEN(B202),(B202-1)&amp;"/"&amp;B202,B202&amp;"/"&amp;(B202+1))</f>
        <v>4013/4014</v>
      </c>
      <c r="L202" s="21" t="str">
        <f>VLOOKUP(A202,'Trips&amp;Operators'!$C$1:$G$99999,5,FALSE)</f>
        <v>SWANSON BRYCE</v>
      </c>
      <c r="M202" s="6">
        <f>I202-F202</f>
        <v>9.976851855753921E-3</v>
      </c>
      <c r="N202" s="7">
        <f>24*60*SUM($M202:$M202)</f>
        <v>14.366666672285646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-02T19:58:13-0600',mode:absolute,to:'2017-05-02T22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192" t="str">
        <f>IF(AA202&lt;IF(AG202="EC",23,5.65),"Y","N")</f>
        <v>N</v>
      </c>
      <c r="X202" s="192">
        <f>VALUE(LEFT(AD202,4))-VALUE(LEFT(AD201,4))</f>
        <v>1</v>
      </c>
      <c r="Y202" s="192">
        <f>RIGHT(D202,LEN(D202)-4)/10000</f>
        <v>9.8799999999999999E-2</v>
      </c>
      <c r="Z202" s="192">
        <f>RIGHT(H202,LEN(H202)-4)/10000</f>
        <v>5.8933</v>
      </c>
      <c r="AA202" s="192">
        <f>ABS(Z202-Y202)</f>
        <v>5.7945000000000002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0845-02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/stypes="app*4014*20170503*" /stext=" 03:.+((SYSTEM_STATE.+slice.+state.+changed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3"/>
        <v>"%USERPROFILE%\Documents\GitHub\eaglep3\Utilities\RefineRTDCRunTimes.py" --tripid 845-02 --locoid 4014 --swversion DE.1.0.9.0 --startMP 204:988 --initTime 2017-05-02T20:58:13 --startdatetime 2017-05-02T21:21:49 --delay 2 --endMP 300:58933 --enddatetime 2017-05-02T21:36:11 --enforcementcount 0 &gt;&gt;C:\Users\stu\Documents\GitHub\eaglep3-reporting\EC\2017-05-02-refined-times.txt</v>
      </c>
      <c r="AI202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{"issue":{"subject":"","project_id":79,"tracker_id":40,"status_id":1,"priority_id":2,"assigned_to_id":23,"start_date":"2017-05-02","description":"","custom_fields":[{"id":1,"name":"Subdivision","value":"NW"},{"id":4,"name":"Milepost","value":"5.8933"},{"id":17,"name":"Train ID","value":"845-02"},{"id":16,"name":"Locomotive ID","value":"4014"},{"id":130,"name":"Impact","value":""},{"id":150,"name":"Time of Event (Mountain Time)","value":"21:36:11"},{"id":151,"name":"Denver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5"/>
        <v>start /low /b %USERPROFILE%\Documents\GitHub\eaglep3\Utilities\DownloadLogsFromS3.py --loco 4014 --day 2017-05-02</v>
      </c>
      <c r="AN202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03:36:11"},{"id":29,"name":"Sharepoint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801</v>
      </c>
      <c r="B203" s="7">
        <v>4014</v>
      </c>
      <c r="C203" s="21" t="s">
        <v>211</v>
      </c>
      <c r="D203" s="21" t="s">
        <v>572</v>
      </c>
      <c r="E203" s="13">
        <v>42857.914525462962</v>
      </c>
      <c r="F203" s="13">
        <v>42857.931481481479</v>
      </c>
      <c r="G203" s="7">
        <v>1</v>
      </c>
      <c r="H203" s="21" t="s">
        <v>969</v>
      </c>
      <c r="I203" s="13">
        <v>42857.941076388888</v>
      </c>
      <c r="J203" s="7">
        <v>0</v>
      </c>
      <c r="K203" s="92" t="str">
        <f>IF(ISEVEN(B203),(B203-1)&amp;"/"&amp;B203,B203&amp;"/"&amp;(B203+1))</f>
        <v>4013/4014</v>
      </c>
      <c r="L203" s="21" t="str">
        <f>VLOOKUP(A203,'Trips&amp;Operators'!$C$1:$G$99999,5,FALSE)</f>
        <v>SWANSON BRYCE</v>
      </c>
      <c r="M203" s="6">
        <f>I203-F203</f>
        <v>9.5949074093368836E-3</v>
      </c>
      <c r="N203" s="7">
        <f>24*60*SUM($M203:$M203)</f>
        <v>13.816666669445112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-02T20:56:55-0600',mode:absolute,to:'2017-05-02T23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3" s="192" t="str">
        <f>IF(AA203&lt;IF(AG203="EC",23,5.65),"Y","N")</f>
        <v>N</v>
      </c>
      <c r="X203" s="192">
        <f>VALUE(LEFT(AD203,4))-VALUE(LEFT(AD202,4))</f>
        <v>2</v>
      </c>
      <c r="Y203" s="192">
        <f>RIGHT(D203,LEN(D203)-4)/10000</f>
        <v>9.5299999999999996E-2</v>
      </c>
      <c r="Z203" s="192">
        <f>RIGHT(H203,LEN(H203)-4)/10000</f>
        <v>5.891</v>
      </c>
      <c r="AA203" s="192">
        <f>ABS(Z203-Y203)</f>
        <v>5.7957000000000001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0847-02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/stypes="app*4014*20170503*" /stext=" 04:.+((SYSTEM_STATE.+slice.+state.+changed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3"/>
        <v>"%USERPROFILE%\Documents\GitHub\eaglep3\Utilities\RefineRTDCRunTimes.py" --tripid 847-02 --locoid 4014 --swversion DE.1.0.9.0 --startMP 204:953 --initTime 2017-05-02T21:56:55 --startdatetime 2017-05-02T22:21:20 --delay 1 --endMP 300:58910 --enddatetime 2017-05-02T22:35:09 --enforcementcount 0 &gt;&gt;C:\Users\stu\Documents\GitHub\eaglep3-reporting\EC\2017-05-02-refined-times.txt</v>
      </c>
      <c r="AI203" s="99" t="str">
        <f t="shared" si="14"/>
        <v>echo {"issue":{"subject":"","project_id":79,"tracker_id":40,"status_id":1,"priority_id":2,"assigned_to_id":23,"start_date":"2017-05-02","description":"","custom_fields":[{"id":1,"name":"Subdivision","value":"NW"},{"id":4,"name":"Milepost","value":"5.891"},{"id":17,"name":"Train ID","value":"847-02"},{"id":16,"name":"Locomotive ID","value":"4014"},{"id":130,"name":"Impact","value":""},{"id":150,"name":"Time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5"/>
        <v>start /low /b %USERPROFILE%\Documents\GitHub\eaglep3\Utilities\DownloadLogsFromS3.py --loco 4014 --day 2017-05-02</v>
      </c>
      <c r="AN203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04:35:09"},{"id":29,"name":"Sharepoint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588</v>
      </c>
      <c r="B204" s="7">
        <v>4003</v>
      </c>
      <c r="C204" s="21" t="s">
        <v>211</v>
      </c>
      <c r="D204" s="21" t="s">
        <v>895</v>
      </c>
      <c r="E204" s="13">
        <v>42857.119062500002</v>
      </c>
      <c r="F204" s="13">
        <v>42857.125879629632</v>
      </c>
      <c r="G204" s="7">
        <v>9</v>
      </c>
      <c r="H204" s="21" t="s">
        <v>896</v>
      </c>
      <c r="I204" s="13">
        <v>42857.129907407405</v>
      </c>
      <c r="J204" s="7">
        <v>0</v>
      </c>
      <c r="K204" s="92" t="str">
        <f>IF(ISEVEN(B204),(B204-1)&amp;"/"&amp;B204,B204&amp;"/"&amp;(B204+1))</f>
        <v>4003/4004</v>
      </c>
      <c r="L204" s="21" t="str">
        <f>VLOOKUP(A204,'Trips&amp;Operators'!$C$1:$G$99999,5,FALSE)</f>
        <v>SANTIZO D. EDY</v>
      </c>
      <c r="M204" s="6">
        <f>I204-F204</f>
        <v>4.0277777734445408E-3</v>
      </c>
      <c r="N204" s="7">
        <f>24*60*SUM($M204:$M204)</f>
        <v>5.7999999937601388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-02T01:51:27-0600',mode:absolute,to:'2017-05-02T04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4" s="192" t="str">
        <f>IF(AA204&lt;IF(AG204="EC",23,5.65),"Y","N")</f>
        <v>Y</v>
      </c>
      <c r="X204" s="192">
        <f>VALUE(LEFT(AD204,4))-VALUE(LEFT(AD203,4))</f>
        <v>-545</v>
      </c>
      <c r="Y204" s="192">
        <f>RIGHT(D204,LEN(D204)-4)/10000</f>
        <v>1.9492</v>
      </c>
      <c r="Z204" s="192">
        <f>RIGHT(H204,LEN(H204)-4)/10000</f>
        <v>2.01E-2</v>
      </c>
      <c r="AA204" s="192">
        <f>ABS(Z204-Y204)</f>
        <v>1.9291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0302-02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/stypes="app*4003*20170502*" /stext=" 09:.+((SYSTEM_STATE.+slice.+state.+changed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Other</v>
      </c>
      <c r="AH204" s="81" t="str">
        <f t="shared" si="13"/>
        <v>"%USERPROFILE%\Documents\GitHub\eaglep3\Utilities\RefineRTDCRunTimes.py" --tripid 302-02 --locoid 4003 --swversion DE.1.0.9.0 --startMP 300:19492 --initTime 2017-05-02T02:51:27 --startdatetime 2017-05-02T03:01:16 --delay 9 --endMP 204:201 --enddatetime 2017-05-02T03:07:04 --enforcementcount 0 &gt;&gt;C:\Users\stu\Documents\GitHub\eaglep3-reporting\EC\2017-05-02-refined-times.txt</v>
      </c>
      <c r="AI204" s="99" t="str">
        <f t="shared" si="14"/>
        <v>echo {"issue":{"subject":"","project_id":79,"tracker_id":40,"status_id":1,"priority_id":2,"assigned_to_id":23,"start_date":"2017-05-02","description":"","custom_fields":[{"id":1,"name":"Subdivision","value":"Other"},{"id":4,"name":"Milepost","value":"0.0201"},{"id":17,"name":"Train ID","value":"302-02"},{"id":16,"name":"Locomotive ID","value":"4003"},{"id":130,"name":"Impact","value":""},{"id":150,"name":"Time of Event (Mountain Time)","value":"03:07:04"},{"id":151,"name":"Denver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5"/>
        <v>start /low /b %USERPROFILE%\Documents\GitHub\eaglep3\Utilities\DownloadLogsFromS3.py --loco 4003 --day 2017-05-02</v>
      </c>
      <c r="AN204" s="154" t="str">
        <f t="shared" si="16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09:07:04"},{"id":29,"name":"Sharepoint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782</v>
      </c>
      <c r="B205" s="7">
        <v>4018</v>
      </c>
      <c r="C205" s="21" t="s">
        <v>211</v>
      </c>
      <c r="D205" s="21" t="s">
        <v>897</v>
      </c>
      <c r="E205" s="13">
        <v>42857.778379629628</v>
      </c>
      <c r="F205" s="13">
        <v>42857.77983796296</v>
      </c>
      <c r="G205" s="7">
        <v>1</v>
      </c>
      <c r="H205" s="21" t="s">
        <v>418</v>
      </c>
      <c r="I205" s="13">
        <v>42857.787928240738</v>
      </c>
      <c r="J205" s="7">
        <v>0</v>
      </c>
      <c r="K205" s="92" t="str">
        <f>IF(ISEVEN(B205),(B205-1)&amp;"/"&amp;B205,B205&amp;"/"&amp;(B205+1))</f>
        <v>4017/4018</v>
      </c>
      <c r="L205" s="21" t="str">
        <f>VLOOKUP(A205,'Trips&amp;Operators'!$C$1:$G$99999,5,FALSE)</f>
        <v>CLARK KATHLEEN</v>
      </c>
      <c r="M205" s="6">
        <f>I205-F205</f>
        <v>8.0902777772280388E-3</v>
      </c>
      <c r="N205" s="7">
        <f>24*60*SUM($M205:$M205)</f>
        <v>11.649999999208376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-02T17:40:52-0600',mode:absolute,to:'2017-05-02T19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5" s="192" t="str">
        <f>IF(AA205&lt;IF(AG205="EC",23,5.65),"Y","N")</f>
        <v>Y</v>
      </c>
      <c r="X205" s="192">
        <f>VALUE(LEFT(AD205,4))-VALUE(LEFT(AD204,4))</f>
        <v>1</v>
      </c>
      <c r="Y205" s="192">
        <f>RIGHT(D205,LEN(D205)-4)/10000</f>
        <v>5.2900000000000003E-2</v>
      </c>
      <c r="Z205" s="192">
        <f>RIGHT(H205,LEN(H205)-4)/10000</f>
        <v>2.3346</v>
      </c>
      <c r="AA205" s="192">
        <f>ABS(Z205-Y205)</f>
        <v>2.2816999999999998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0303-02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s3://rtdc.mdm.uploadarchive.raw/RTDC4018/ "%USERPROFILE%\AppData\Local\Temp\OnboardLogs"\RTDC4018\2017-05-02 --exclude "*" --recursive --include "*20170502*" &amp; "%USERPROFILE%\Documents\GitHub\mrs-test-scripts\Headless Mode &amp; Sideloading\WalkAndUnGZ.bat" "%USERPROFILE%\AppData\Local\Temp\OnboardLogs"\RTDC4018\2017-05-02 &amp; 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/stypes="app*4018*20170503*" /stext=" 00:.+((SYSTEM_STATE.+slice.+state.+changed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Other</v>
      </c>
      <c r="AH205" s="81" t="str">
        <f t="shared" si="13"/>
        <v>"%USERPROFILE%\Documents\GitHub\eaglep3\Utilities\RefineRTDCRunTimes.py" --tripid 303-02 --locoid 4018 --swversion DE.1.0.9.0 --startMP 204:529 --initTime 2017-05-02T18:40:52 --startdatetime 2017-05-02T18:42:58 --delay 1 --endMP 300:23346 --enddatetime 2017-05-02T18:54:37 --enforcementcount 0 &gt;&gt;C:\Users\stu\Documents\GitHub\eaglep3-reporting\EC\2017-05-02-refined-times.txt</v>
      </c>
      <c r="AI205" s="99" t="str">
        <f t="shared" si="14"/>
        <v>echo {"issue":{"subject":"","project_id":79,"tracker_id":40,"status_id":1,"priority_id":2,"assigned_to_id":23,"start_date":"2017-05-02","description":"","custom_fields":[{"id":1,"name":"Subdivision","value":"Other"},{"id":4,"name":"Milepost","value":"2.3346"},{"id":17,"name":"Train ID","value":"303-02"},{"id":16,"name":"Locomotive ID","value":"4018"},{"id":130,"name":"Impact","value":""},{"id":150,"name":"Time of Event (Mountain Time)","value":"18:54:37"},{"id":151,"name":"Denver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5"/>
        <v>start /low /b %USERPROFILE%\Documents\GitHub\eaglep3\Utilities\DownloadLogsFromS3.py --loco 4018 --day 2017-05-02</v>
      </c>
      <c r="AN205" s="154" t="str">
        <f t="shared" si="16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619</v>
      </c>
      <c r="B206" s="7">
        <v>4025</v>
      </c>
      <c r="C206" s="21" t="s">
        <v>211</v>
      </c>
      <c r="D206" s="21" t="s">
        <v>898</v>
      </c>
      <c r="E206" s="13">
        <v>42857.136550925927</v>
      </c>
      <c r="F206" s="13">
        <v>42857.145798611113</v>
      </c>
      <c r="G206" s="7">
        <v>13</v>
      </c>
      <c r="H206" s="21" t="s">
        <v>480</v>
      </c>
      <c r="I206" s="13">
        <v>42857.151331018518</v>
      </c>
      <c r="J206" s="7">
        <v>0</v>
      </c>
      <c r="K206" s="92" t="str">
        <f>IF(ISEVEN(B206),(B206-1)&amp;"/"&amp;B206,B206&amp;"/"&amp;(B206+1))</f>
        <v>4025/4026</v>
      </c>
      <c r="L206" s="21" t="str">
        <f>VLOOKUP(A206,'Trips&amp;Operators'!$C$1:$G$99999,5,FALSE)</f>
        <v>MAELZER KURT</v>
      </c>
      <c r="M206" s="6">
        <f>I206-F206</f>
        <v>5.5324074055533856E-3</v>
      </c>
      <c r="N206" s="7">
        <f>24*60*SUM($M206:$M206)</f>
        <v>7.9666666639968753</v>
      </c>
      <c r="O206" s="7"/>
      <c r="P206" s="7"/>
      <c r="Q206" s="22"/>
      <c r="R206" s="190"/>
      <c r="S206" s="196">
        <f>SUM(U206:U206)/IF(AG206="EC",12,1)</f>
        <v>1</v>
      </c>
      <c r="T206" s="190" t="str">
        <f>IF(ISEVEN(LEFT(AD206,4)),"Southbound","NorthBound")</f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-02T02:16:38-0600',mode:absolute,to:'2017-05-02T04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192" t="str">
        <f>IF(AA206&lt;IF(AG206="EC",23,5.65),"Y","N")</f>
        <v>Y</v>
      </c>
      <c r="X206" s="192">
        <f>VALUE(LEFT(AD206,4))-VALUE(LEFT(AD205,4))</f>
        <v>1</v>
      </c>
      <c r="Y206" s="192">
        <f>RIGHT(D206,LEN(D206)-4)/10000</f>
        <v>2.2887</v>
      </c>
      <c r="Z206" s="192">
        <f>RIGHT(H206,LEN(H206)-4)/10000</f>
        <v>1.41E-2</v>
      </c>
      <c r="AA206" s="192">
        <f>ABS(Z206-Y206)</f>
        <v>2.2746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0304-02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s3://rtdc.mdm.uploadarchive.raw/RTDC4025/ "%USERPROFILE%\AppData\Local\Temp\OnboardLogs"\RTDC4025\2017-05-02 --exclude "*" --recursive --include "*20170502*" &amp; "%USERPROFILE%\Documents\GitHub\mrs-test-scripts\Headless Mode &amp; Sideloading\WalkAndUnGZ.bat" "%USERPROFILE%\AppData\Local\Temp\OnboardLogs"\RTDC4025\2017-05-02 &amp; aws s3 cp s3://rtdc.mdm.uploadarchive.raw/RTDC4025/ "%USERPROFILE%\AppData\Local\Temp\OnboardLogs"\RTDC4025\2017-05-03 --exclude "*" --recursive --include "*20170503*" &amp; "%USERPROFILE%\Documents\GitHub\mrs-test-scripts\Headless Mode &amp; Sideloading\WalkAndUnGZ.bat" "%USERPROFILE%\AppData\Local\Temp\OnboardLogs"\RTDC4025\2017-05-03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/stypes="app*4025*20170502*" /stext=" 09:.+((SYSTEM_STATE.+slice.+state.+changed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Other</v>
      </c>
      <c r="AH206" s="81" t="str">
        <f t="shared" ref="AH206:AH230" si="21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304-02 --locoid 4025 --swversion DE.1.0.9.0 --startMP 300:22887 --initTime 2017-05-02T03:16:38 --startdatetime 2017-05-02T03:29:57 --delay 13 --endMP 204:141 --enddatetime 2017-05-02T03:37:55 --enforcementcount 0 &gt;&gt;C:\Users\stu\Documents\GitHub\eaglep3-reporting\EC\2017-05-02-refined-times.txt</v>
      </c>
      <c r="AI206" s="99" t="str">
        <f t="shared" ref="AI206:AI230" si="22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{"issue":{"subject":"","project_id":79,"tracker_id":40,"status_id":1,"priority_id":2,"assigned_to_id":23,"start_date":"2017-05-02","description":"","custom_fields":[{"id":1,"name":"Subdivision","value":"Other"},{"id":4,"name":"Milepost","value":"0.0141"},{"id":17,"name":"Train ID","value":"304-02"},{"id":16,"name":"Locomotive ID","value":"4025"},{"id":130,"name":"Impact","value":""},{"id":150,"name":"Time of Event (Mountain Time)","value":"03:37:55"},{"id":151,"name":"Denver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ref="AM206:AM230" si="23">"start /low /b "&amp;dls3logs&amp;" --loco "&amp;B206&amp;" --day "&amp;TEXT(F206,"YYYY-MM-DD")</f>
        <v>start /low /b %USERPROFILE%\Documents\GitHub\eaglep3\Utilities\DownloadLogsFromS3.py --loco 4025 --day 2017-05-02</v>
      </c>
      <c r="AN206" s="154" t="str">
        <f t="shared" ref="AN206:AN230" si="24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09:37:55"},{"id":29,"name":"Sharepoint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788</v>
      </c>
      <c r="B207" s="7">
        <v>4004</v>
      </c>
      <c r="C207" s="21" t="s">
        <v>211</v>
      </c>
      <c r="D207" s="21" t="s">
        <v>899</v>
      </c>
      <c r="E207" s="13">
        <v>42857.825358796297</v>
      </c>
      <c r="F207" s="13">
        <v>42857.835034722222</v>
      </c>
      <c r="G207" s="7">
        <v>2</v>
      </c>
      <c r="H207" s="21" t="s">
        <v>428</v>
      </c>
      <c r="I207" s="13">
        <v>42857.841689814813</v>
      </c>
      <c r="J207" s="7">
        <v>0</v>
      </c>
      <c r="K207" s="92" t="str">
        <f>IF(ISEVEN(B207),(B207-1)&amp;"/"&amp;B207,B207&amp;"/"&amp;(B207+1))</f>
        <v>4003/4004</v>
      </c>
      <c r="L207" s="21" t="str">
        <f>VLOOKUP(A207,'Trips&amp;Operators'!$C$1:$G$99999,5,FALSE)</f>
        <v>SAFIEF AEIMEN</v>
      </c>
      <c r="M207" s="6">
        <f>I207-F207</f>
        <v>6.655092591245193E-3</v>
      </c>
      <c r="N207" s="7">
        <f>24*60*SUM($M207:$M207)</f>
        <v>9.583333331393078</v>
      </c>
      <c r="O207" s="7"/>
      <c r="P207" s="7"/>
      <c r="Q207" s="22"/>
      <c r="R207" s="190"/>
      <c r="S207" s="196">
        <f>SUM(U207:U207)/IF(AG207="EC",12,1)</f>
        <v>1</v>
      </c>
      <c r="T207" s="190" t="str">
        <f>IF(ISEVEN(LEFT(AD207,4)),"Southbound","NorthBound")</f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-02T18:48:31-0600',mode:absolute,to:'2017-05-02T21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192">
        <f>RIGHT(D207,LEN(D207)-4)/10000</f>
        <v>6.6100000000000006E-2</v>
      </c>
      <c r="Z207" s="192">
        <f>RIGHT(H207,LEN(H207)-4)/10000</f>
        <v>2.3302</v>
      </c>
      <c r="AA207" s="192">
        <f>ABS(Z207-Y207)</f>
        <v>2.2641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0305-02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s3://rtdc.mdm.uploadarchive.raw/RTDC4004/ "%USERPROFILE%\AppData\Local\Temp\OnboardLogs"\RTDC4004\2017-05-02 --exclude "*" --recursive --include "*20170502*" &amp; "%USERPROFILE%\Documents\GitHub\mrs-test-scripts\Headless Mode &amp; Sideloading\WalkAndUnGZ.bat" "%USERPROFILE%\AppData\Local\Temp\OnboardLogs"\RTDC4004\2017-05-02 &amp; aws s3 cp s3://rtdc.mdm.uploadarchive.raw/RTDC4004/ "%USERPROFILE%\AppData\Local\Temp\OnboardLogs"\RTDC4004\2017-05-03 --exclude "*" --recursive --include "*20170503*" &amp; "%USERPROFILE%\Documents\GitHub\mrs-test-scripts\Headless Mode &amp; Sideloading\WalkAndUnGZ.bat" "%USERPROFILE%\AppData\Local\Temp\OnboardLogs"\RTDC4004\2017-05-03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/stypes="app*4004*20170503*" /stext=" 02:.+((SYSTEM_STATE.+slice.+state.+changed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1"/>
        <v>"%USERPROFILE%\Documents\GitHub\eaglep3\Utilities\RefineRTDCRunTimes.py" --tripid 305-02 --locoid 4004 --swversion DE.1.0.9.0 --startMP 204:661 --initTime 2017-05-02T19:48:31 --startdatetime 2017-05-02T20:02:27 --delay 2 --endMP 300:23302 --enddatetime 2017-05-02T20:12:02 --enforcementcount 0 &gt;&gt;C:\Users\stu\Documents\GitHub\eaglep3-reporting\EC\2017-05-02-refined-times.txt</v>
      </c>
      <c r="AI207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{"issue":{"subject":"","project_id":79,"tracker_id":40,"status_id":1,"priority_id":2,"assigned_to_id":23,"start_date":"2017-05-02","description":"","custom_fields":[{"id":1,"name":"Subdivision","value":"Other"},{"id":4,"name":"Milepost","value":"2.3302"},{"id":17,"name":"Train ID","value":"305-02"},{"id":16,"name":"Locomotive ID","value":"4004"},{"id":130,"name":"Impact","value":""},{"id":150,"name":"Time of Event (Mountain Time)","value":"20:12:02"},{"id":151,"name":"Denver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3"/>
        <v>start /low /b %USERPROFILE%\Documents\GitHub\eaglep3\Utilities\DownloadLogsFromS3.py --loco 4004 --day 2017-05-02</v>
      </c>
      <c r="AN207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02:12:02"},{"id":29,"name":"Sharepoint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621</v>
      </c>
      <c r="B208" s="7">
        <v>4045</v>
      </c>
      <c r="C208" s="21" t="s">
        <v>211</v>
      </c>
      <c r="D208" s="21" t="s">
        <v>900</v>
      </c>
      <c r="E208" s="13">
        <v>42857.160370370373</v>
      </c>
      <c r="F208" s="13">
        <v>42857.16479166667</v>
      </c>
      <c r="G208" s="7">
        <v>2</v>
      </c>
      <c r="H208" s="21" t="s">
        <v>459</v>
      </c>
      <c r="I208" s="13">
        <v>42857.170069444444</v>
      </c>
      <c r="J208" s="7">
        <v>0</v>
      </c>
      <c r="K208" s="92" t="str">
        <f>IF(ISEVEN(B208),(B208-1)&amp;"/"&amp;B208,B208&amp;"/"&amp;(B208+1))</f>
        <v>4045/4046</v>
      </c>
      <c r="L208" s="21" t="str">
        <f>VLOOKUP(A208,'Trips&amp;Operators'!$C$1:$G$99999,5,FALSE)</f>
        <v>STARKS ANGELINA</v>
      </c>
      <c r="M208" s="6">
        <f>I208-F208</f>
        <v>5.277777774608694E-3</v>
      </c>
      <c r="N208" s="7">
        <f>24*60*SUM($M208:$M208)</f>
        <v>7.5999999954365194</v>
      </c>
      <c r="O208" s="7"/>
      <c r="P208" s="7"/>
      <c r="Q208" s="22"/>
      <c r="R208" s="190"/>
      <c r="S208" s="196">
        <f>SUM(U208:U208)/IF(AG208="EC",12,1)</f>
        <v>1</v>
      </c>
      <c r="T208" s="190" t="str">
        <f>IF(ISEVEN(LEFT(AD208,4)),"Southbound","NorthBound")</f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-02T02:50:56-0600',mode:absolute,to:'2017-05-02T05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192" t="str">
        <f>IF(AA208&lt;IF(AG208="EC",23,5.65),"Y","N")</f>
        <v>Y</v>
      </c>
      <c r="X208" s="192">
        <f>VALUE(LEFT(AD208,4))-VALUE(LEFT(AD207,4))</f>
        <v>1</v>
      </c>
      <c r="Y208" s="192">
        <f>RIGHT(D208,LEN(D208)-4)/10000</f>
        <v>2.5122</v>
      </c>
      <c r="Z208" s="192">
        <f>RIGHT(H208,LEN(H208)-4)/10000</f>
        <v>1.3899999999999999E-2</v>
      </c>
      <c r="AA208" s="192">
        <f>ABS(Z208-Y208)</f>
        <v>2.4983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0306-02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s3://rtdc.mdm.uploadarchive.raw/RTDC4045/ "%USERPROFILE%\AppData\Local\Temp\OnboardLogs"\RTDC4045\2017-05-02 --exclude "*" --recursive --include "*20170502*" &amp; "%USERPROFILE%\Documents\GitHub\mrs-test-scripts\Headless Mode &amp; Sideloading\WalkAndUnGZ.bat" "%USERPROFILE%\AppData\Local\Temp\OnboardLogs"\RTDC4045\2017-05-02 &amp; aws s3 cp s3://rtdc.mdm.uploadarchive.raw/RTDC4045/ "%USERPROFILE%\AppData\Local\Temp\OnboardLogs"\RTDC4045\2017-05-03 --exclude "*" --recursive --include "*20170503*" &amp; "%USERPROFILE%\Documents\GitHub\mrs-test-scripts\Headless Mode &amp; Sideloading\WalkAndUnGZ.bat" "%USERPROFILE%\AppData\Local\Temp\OnboardLogs"\RTDC4045\2017-05-03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/stypes="app*4045*20170502*" /stext=" 10:.+((SYSTEM_STATE.+slice.+state.+changed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1"/>
        <v>"%USERPROFILE%\Documents\GitHub\eaglep3\Utilities\RefineRTDCRunTimes.py" --tripid 306-02 --locoid 4045 --swversion DE.1.0.9.0 --startMP 300:25122 --initTime 2017-05-02T03:50:56 --startdatetime 2017-05-02T03:57:18 --delay 2 --endMP 204:139 --enddatetime 2017-05-02T04:04:54 --enforcementcount 0 &gt;&gt;C:\Users\stu\Documents\GitHub\eaglep3-reporting\EC\2017-05-02-refined-times.txt</v>
      </c>
      <c r="AI208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{"issue":{"subject":"","project_id":79,"tracker_id":40,"status_id":1,"priority_id":2,"assigned_to_id":23,"start_date":"2017-05-02","description":"","custom_fields":[{"id":1,"name":"Subdivision","value":"Other"},{"id":4,"name":"Milepost","value":"0.0139"},{"id":17,"name":"Train ID","value":"306-02"},{"id":16,"name":"Locomotive ID","value":"4045"},{"id":130,"name":"Impact","value":""},{"id":150,"name":"Time of Event (Mountain Time)","value":"04:04:54"},{"id":151,"name":"Denver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3"/>
        <v>start /low /b %USERPROFILE%\Documents\GitHub\eaglep3\Utilities\DownloadLogsFromS3.py --loco 4045 --day 2017-05-02</v>
      </c>
      <c r="AN208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623</v>
      </c>
      <c r="B209" s="7">
        <v>4021</v>
      </c>
      <c r="C209" s="21" t="s">
        <v>211</v>
      </c>
      <c r="D209" s="21" t="s">
        <v>901</v>
      </c>
      <c r="E209" s="13">
        <v>42857.167557870373</v>
      </c>
      <c r="F209" s="13">
        <v>42857.171469907407</v>
      </c>
      <c r="G209" s="7">
        <v>5</v>
      </c>
      <c r="H209" s="21" t="s">
        <v>544</v>
      </c>
      <c r="I209" s="13">
        <v>42857.177511574075</v>
      </c>
      <c r="J209" s="7">
        <v>0</v>
      </c>
      <c r="K209" s="92" t="str">
        <f>IF(ISEVEN(B209),(B209-1)&amp;"/"&amp;B209,B209&amp;"/"&amp;(B209+1))</f>
        <v>4021/4022</v>
      </c>
      <c r="L209" s="21" t="str">
        <f>VLOOKUP(A209,'Trips&amp;Operators'!$C$1:$G$99999,5,FALSE)</f>
        <v>THOMPSON LESTER</v>
      </c>
      <c r="M209" s="6">
        <f>I209-F209</f>
        <v>6.0416666674427688E-3</v>
      </c>
      <c r="N209" s="7">
        <f>24*60*SUM($M209:$M209)</f>
        <v>8.7000000011175871</v>
      </c>
      <c r="O209" s="7"/>
      <c r="P209" s="7"/>
      <c r="Q209" s="22"/>
      <c r="R209" s="190"/>
      <c r="S209" s="196">
        <f>SUM(U209:U209)/IF(AG209="EC",12,1)</f>
        <v>1</v>
      </c>
      <c r="T209" s="190" t="str">
        <f>IF(ISEVEN(LEFT(AD209,4)),"Southbound","NorthBound")</f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-02T03:01:17-0600',mode:absolute,to:'2017-05-02T05:15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9" s="192" t="str">
        <f>IF(AA209&lt;IF(AG209="EC",23,5.65),"Y","N")</f>
        <v>Y</v>
      </c>
      <c r="X209" s="192">
        <f>VALUE(LEFT(AD209,4))-VALUE(LEFT(AD208,4))</f>
        <v>2</v>
      </c>
      <c r="Y209" s="192">
        <f>RIGHT(D209,LEN(D209)-4)/10000</f>
        <v>2.3496999999999999</v>
      </c>
      <c r="Z209" s="192">
        <f>RIGHT(H209,LEN(H209)-4)/10000</f>
        <v>1.47E-2</v>
      </c>
      <c r="AA209" s="192">
        <f>ABS(Z209-Y209)</f>
        <v>2.335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0308-02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/stypes="app*4021*20170502*" /stext=" 10:.+((SYSTEM_STATE.+slice.+state.+changed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1"/>
        <v>"%USERPROFILE%\Documents\GitHub\eaglep3\Utilities\RefineRTDCRunTimes.py" --tripid 308-02 --locoid 4021 --swversion DE.1.0.9.0 --startMP 300:23497 --initTime 2017-05-02T04:01:17 --startdatetime 2017-05-02T04:06:55 --delay 5 --endMP 204:147 --enddatetime 2017-05-02T04:15:37 --enforcementcount 0 &gt;&gt;C:\Users\stu\Documents\GitHub\eaglep3-reporting\EC\2017-05-02-refined-times.txt</v>
      </c>
      <c r="AI209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{"issue":{"subject":"","project_id":79,"tracker_id":40,"status_id":1,"priority_id":2,"assigned_to_id":23,"start_date":"2017-05-02","description":"","custom_fields":[{"id":1,"name":"Subdivision","value":"Other"},{"id":4,"name":"Milepost","value":"0.0147"},{"id":17,"name":"Train ID","value":"308-02"},{"id":16,"name":"Locomotive ID","value":"4021"},{"id":130,"name":"Impact","value":""},{"id":150,"name":"Time of Event (Mountain Time)","value":"04:15:37"},{"id":151,"name":"Denver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3"/>
        <v>start /low /b %USERPROFILE%\Documents\GitHub\eaglep3\Utilities\DownloadLogsFromS3.py --loco 4021 --day 2017-05-02</v>
      </c>
      <c r="AN209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10:15:37"},{"id":29,"name":"Sharepoint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813</v>
      </c>
      <c r="B210" s="7">
        <v>4042</v>
      </c>
      <c r="C210" s="21" t="s">
        <v>211</v>
      </c>
      <c r="D210" s="21" t="s">
        <v>550</v>
      </c>
      <c r="E210" s="13">
        <v>42858.047025462962</v>
      </c>
      <c r="F210" s="13">
        <v>42858.048495370371</v>
      </c>
      <c r="G210" s="7">
        <v>1</v>
      </c>
      <c r="H210" s="21" t="s">
        <v>902</v>
      </c>
      <c r="I210" s="13">
        <v>42858.055277777778</v>
      </c>
      <c r="J210" s="7">
        <v>0</v>
      </c>
      <c r="K210" s="92" t="str">
        <f>IF(ISEVEN(B210),(B210-1)&amp;"/"&amp;B210,B210&amp;"/"&amp;(B210+1))</f>
        <v>4041/4042</v>
      </c>
      <c r="L210" s="21" t="str">
        <f>VLOOKUP(A210,'Trips&amp;Operators'!$C$1:$G$99999,5,FALSE)</f>
        <v>NEWELL JAMES</v>
      </c>
      <c r="M210" s="6">
        <f>I210-F210</f>
        <v>6.7824074067175388E-3</v>
      </c>
      <c r="N210" s="7">
        <f>24*60*SUM($M210:$M210)</f>
        <v>9.7666666656732559</v>
      </c>
      <c r="O210" s="7"/>
      <c r="P210" s="7"/>
      <c r="Q210" s="22"/>
      <c r="R210" s="190"/>
      <c r="S210" s="196">
        <f>SUM(U210:U210)/IF(AG210="EC",12,1)</f>
        <v>1</v>
      </c>
      <c r="T210" s="190" t="str">
        <f>IF(ISEVEN(LEFT(AD210,4)),"Southbound","NorthBound")</f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-03T00:07:43-0600',mode:absolute,to:'2017-05-03T02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0" s="192" t="str">
        <f>IF(AA210&lt;IF(AG210="EC",23,5.65),"Y","N")</f>
        <v>Y</v>
      </c>
      <c r="X210" s="192">
        <f>VALUE(LEFT(AD210,4))-VALUE(LEFT(AD209,4))</f>
        <v>1</v>
      </c>
      <c r="Y210" s="192">
        <f>RIGHT(D210,LEN(D210)-4)/10000</f>
        <v>4.8399999999999999E-2</v>
      </c>
      <c r="Z210" s="192">
        <f>RIGHT(H210,LEN(H210)-4)/10000</f>
        <v>2.3311999999999999</v>
      </c>
      <c r="AA210" s="192">
        <f>ABS(Z210-Y210)</f>
        <v>2.2827999999999999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0309-02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 &amp; aws s3 cp s3://rtdc.mdm.uploadarchive.raw/RTDC4042/ "%USERPROFILE%\AppData\Local\Temp\OnboardLogs"\RTDC4042\2017-05-04 --exclude "*" --recursive --include "*20170504*" &amp; "%USERPROFILE%\Documents\GitHub\mrs-test-scripts\Headless Mode &amp; Sideloading\WalkAndUnGZ.bat" "%USERPROFILE%\AppData\Local\Temp\OnboardLogs"\RTDC4042\2017-05-04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/stypes="app*4042*20170503*" /stext=" 07:.+((SYSTEM_STATE.+slice.+state.+changed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1"/>
        <v>"%USERPROFILE%\Documents\GitHub\eaglep3\Utilities\RefineRTDCRunTimes.py" --tripid 309-02 --locoid 4042 --swversion DE.1.0.9.0 --startMP 204:484 --initTime 2017-05-03T01:07:43 --startdatetime 2017-05-03T01:09:50 --delay 1 --endMP 300:23312 --enddatetime 2017-05-03T01:19:36 --enforcementcount 0 &gt;&gt;C:\Users\stu\Documents\GitHub\eaglep3-reporting\EC\2017-05-02-refined-times.txt</v>
      </c>
      <c r="AI210" s="99" t="str">
        <f t="shared" si="22"/>
        <v>echo {"issue":{"subject":"","project_id":79,"tracker_id":40,"status_id":1,"priority_id":2,"assigned_to_id":23,"start_date":"2017-05-03","description":"","custom_fields":[{"id":1,"name":"Subdivision","value":"Other"},{"id":4,"name":"Milepost","value":"2.3312"},{"id":17,"name":"Train ID","value":"309-02"},{"id":16,"name":"Locomotive ID","value":"4042"},{"id":130,"name":"Impact","value":""},{"id":150,"name":"Time of Event (Mountain Time)","value":"01:19:36"},{"id":151,"name":"Denver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3"/>
        <v>start /low /b %USERPROFILE%\Documents\GitHub\eaglep3\Utilities\DownloadLogsFromS3.py --loco 4042 --day 2017-05-03</v>
      </c>
      <c r="AN210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626</v>
      </c>
      <c r="B211" s="7">
        <v>4017</v>
      </c>
      <c r="C211" s="21" t="s">
        <v>211</v>
      </c>
      <c r="D211" s="21" t="s">
        <v>903</v>
      </c>
      <c r="E211" s="13">
        <v>42857.180127314816</v>
      </c>
      <c r="F211" s="13">
        <v>42857.183599537035</v>
      </c>
      <c r="G211" s="7">
        <v>4</v>
      </c>
      <c r="H211" s="21" t="s">
        <v>460</v>
      </c>
      <c r="I211" s="13">
        <v>42857.190995370373</v>
      </c>
      <c r="J211" s="7">
        <v>0</v>
      </c>
      <c r="K211" s="92" t="str">
        <f>IF(ISEVEN(B211),(B211-1)&amp;"/"&amp;B211,B211&amp;"/"&amp;(B211+1))</f>
        <v>4017/4018</v>
      </c>
      <c r="L211" s="21" t="str">
        <f>VLOOKUP(A211,'Trips&amp;Operators'!$C$1:$G$99999,5,FALSE)</f>
        <v>DAVIS WENDY</v>
      </c>
      <c r="M211" s="6">
        <f>I211-F211</f>
        <v>7.3958333377959207E-3</v>
      </c>
      <c r="N211" s="7">
        <f>24*60*SUM($M211:$M211)</f>
        <v>10.650000006426126</v>
      </c>
      <c r="O211" s="7"/>
      <c r="P211" s="7"/>
      <c r="Q211" s="22"/>
      <c r="R211" s="190"/>
      <c r="S211" s="196">
        <f>SUM(U211:U211)/IF(AG211="EC",12,1)</f>
        <v>1</v>
      </c>
      <c r="T211" s="190" t="str">
        <f>IF(ISEVEN(LEFT(AD211,4)),"Southbound","NorthBound")</f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-02T03:19:23-0600',mode:absolute,to:'2017-05-02T05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92" t="str">
        <f>IF(AA211&lt;IF(AG211="EC",23,5.65),"Y","N")</f>
        <v>Y</v>
      </c>
      <c r="X211" s="192">
        <f>VALUE(LEFT(AD211,4))-VALUE(LEFT(AD210,4))</f>
        <v>1</v>
      </c>
      <c r="Y211" s="192">
        <f>RIGHT(D211,LEN(D211)-4)/10000</f>
        <v>2.3631000000000002</v>
      </c>
      <c r="Z211" s="192">
        <f>RIGHT(H211,LEN(H211)-4)/10000</f>
        <v>1.6899999999999998E-2</v>
      </c>
      <c r="AA211" s="192">
        <f>ABS(Z211-Y211)</f>
        <v>2.3462000000000001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0310-02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s3://rtdc.mdm.uploadarchive.raw/RTDC4017/ "%USERPROFILE%\AppData\Local\Temp\OnboardLogs"\RTDC4017\2017-05-02 --exclude "*" --recursive --include "*20170502*" &amp; "%USERPROFILE%\Documents\GitHub\mrs-test-scripts\Headless Mode &amp; Sideloading\WalkAndUnGZ.bat" "%USERPROFILE%\AppData\Local\Temp\OnboardLogs"\RTDC4017\2017-05-02 &amp; 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/stypes="app*4017*20170502*" /stext=" 10:.+((SYSTEM_STATE.+slice.+state.+changed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1"/>
        <v>"%USERPROFILE%\Documents\GitHub\eaglep3\Utilities\RefineRTDCRunTimes.py" --tripid 310-02 --locoid 4017 --swversion DE.1.0.9.0 --startMP 300:23631 --initTime 2017-05-02T04:19:23 --startdatetime 2017-05-02T04:24:23 --delay 4 --endMP 204:169 --enddatetime 2017-05-02T04:35:02 --enforcementcount 0 &gt;&gt;C:\Users\stu\Documents\GitHub\eaglep3-reporting\EC\2017-05-02-refined-times.txt</v>
      </c>
      <c r="AI211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{"issue":{"subject":"","project_id":79,"tracker_id":40,"status_id":1,"priority_id":2,"assigned_to_id":23,"start_date":"2017-05-02","description":"","custom_fields":[{"id":1,"name":"Subdivision","value":"Other"},{"id":4,"name":"Milepost","value":"0.0169"},{"id":17,"name":"Train ID","value":"310-02"},{"id":16,"name":"Locomotive ID","value":"4017"},{"id":130,"name":"Impact","value":""},{"id":150,"name":"Time of Event (Mountain Time)","value":"04:35:02"},{"id":151,"name":"Denver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3"/>
        <v>start /low /b %USERPROFILE%\Documents\GitHub\eaglep3\Utilities\DownloadLogsFromS3.py --loco 4017 --day 2017-05-02</v>
      </c>
      <c r="AN211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815</v>
      </c>
      <c r="B212" s="7">
        <v>4010</v>
      </c>
      <c r="C212" s="21" t="s">
        <v>211</v>
      </c>
      <c r="D212" s="21" t="s">
        <v>904</v>
      </c>
      <c r="E212" s="13">
        <v>42858.067777777775</v>
      </c>
      <c r="F212" s="13">
        <v>42858.06894675926</v>
      </c>
      <c r="G212" s="7">
        <v>1</v>
      </c>
      <c r="H212" s="21" t="s">
        <v>428</v>
      </c>
      <c r="I212" s="13">
        <v>42858.075671296298</v>
      </c>
      <c r="J212" s="7">
        <v>0</v>
      </c>
      <c r="K212" s="92" t="str">
        <f>IF(ISEVEN(B212),(B212-1)&amp;"/"&amp;B212,B212&amp;"/"&amp;(B212+1))</f>
        <v>4009/4010</v>
      </c>
      <c r="L212" s="21" t="str">
        <f>VLOOKUP(A212,'Trips&amp;Operators'!$C$1:$G$99999,5,FALSE)</f>
        <v>STORY SAMANTHA</v>
      </c>
      <c r="M212" s="6">
        <f>I212-F212</f>
        <v>6.7245370373711921E-3</v>
      </c>
      <c r="N212" s="7">
        <f>24*60*SUM($M212:$M212)</f>
        <v>9.6833333338145167</v>
      </c>
      <c r="O212" s="7"/>
      <c r="P212" s="7"/>
      <c r="Q212" s="22"/>
      <c r="R212" s="190"/>
      <c r="S212" s="196">
        <f>SUM(U212:U212)/IF(AG212="EC",12,1)</f>
        <v>1</v>
      </c>
      <c r="T212" s="190" t="str">
        <f>IF(ISEVEN(LEFT(AD212,4)),"Southbound","NorthBound")</f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-03T00:37:36-0600',mode:absolute,to:'2017-05-03T02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92" t="str">
        <f>IF(AA212&lt;IF(AG212="EC",23,5.65),"Y","N")</f>
        <v>Y</v>
      </c>
      <c r="X212" s="192">
        <f>VALUE(LEFT(AD212,4))-VALUE(LEFT(AD211,4))</f>
        <v>1</v>
      </c>
      <c r="Y212" s="192">
        <f>RIGHT(D212,LEN(D212)-4)/10000</f>
        <v>5.0900000000000001E-2</v>
      </c>
      <c r="Z212" s="192">
        <f>RIGHT(H212,LEN(H212)-4)/10000</f>
        <v>2.3302</v>
      </c>
      <c r="AA212" s="192">
        <f>ABS(Z212-Y212)</f>
        <v>2.2793000000000001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0311-02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 &amp; aws s3 cp s3://rtdc.mdm.uploadarchive.raw/RTDC4010/ "%USERPROFILE%\AppData\Local\Temp\OnboardLogs"\RTDC4010\2017-05-04 --exclude "*" --recursive --include "*20170504*" &amp; "%USERPROFILE%\Documents\GitHub\mrs-test-scripts\Headless Mode &amp; Sideloading\WalkAndUnGZ.bat" "%USERPROFILE%\AppData\Local\Temp\OnboardLogs"\RTDC4010\2017-05-04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/stypes="app*4010*20170503*" /stext=" 07:.+((SYSTEM_STATE.+slice.+state.+changed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1"/>
        <v>"%USERPROFILE%\Documents\GitHub\eaglep3\Utilities\RefineRTDCRunTimes.py" --tripid 311-02 --locoid 4010 --swversion DE.1.0.9.0 --startMP 204:509 --initTime 2017-05-03T01:37:36 --startdatetime 2017-05-03T01:39:17 --delay 1 --endMP 300:23302 --enddatetime 2017-05-03T01:48:58 --enforcementcount 0 &gt;&gt;C:\Users\stu\Documents\GitHub\eaglep3-reporting\EC\2017-05-02-refined-times.txt</v>
      </c>
      <c r="AI212" s="99" t="str">
        <f t="shared" si="22"/>
        <v>echo {"issue":{"subject":"","project_id":79,"tracker_id":40,"status_id":1,"priority_id":2,"assigned_to_id":23,"start_date":"2017-05-03","description":"","custom_fields":[{"id":1,"name":"Subdivision","value":"Other"},{"id":4,"name":"Milepost","value":"2.3302"},{"id":17,"name":"Train ID","value":"311-02"},{"id":16,"name":"Locomotive ID","value":"4010"},{"id":130,"name":"Impact","value":""},{"id":150,"name":"Time of Event (Mountain Time)","value":"01:48:58"},{"id":151,"name":"Denver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23"/>
        <v>start /low /b %USERPROFILE%\Documents\GitHub\eaglep3\Utilities\DownloadLogsFromS3.py --loco 4010 --day 2017-05-03</v>
      </c>
      <c r="AN212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07:48:58"},{"id":29,"name":"Sharepoint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s="20" customFormat="1" x14ac:dyDescent="0.25">
      <c r="A213" s="32" t="s">
        <v>541</v>
      </c>
      <c r="B213" s="7">
        <v>4054</v>
      </c>
      <c r="C213" s="21" t="s">
        <v>211</v>
      </c>
      <c r="D213" s="21" t="s">
        <v>204</v>
      </c>
      <c r="E213" s="13">
        <v>42857.092442129629</v>
      </c>
      <c r="F213" s="13">
        <v>42857.094293981485</v>
      </c>
      <c r="G213" s="7">
        <v>2</v>
      </c>
      <c r="H213" s="21" t="s">
        <v>448</v>
      </c>
      <c r="I213" s="13">
        <v>42857.101446759261</v>
      </c>
      <c r="J213" s="7">
        <v>0</v>
      </c>
      <c r="K213" s="92" t="str">
        <f>IF(ISEVEN(B213),(B213-1)&amp;"/"&amp;B213,B213&amp;"/"&amp;(B213+1))</f>
        <v>4053/4054</v>
      </c>
      <c r="L213" s="21" t="str">
        <f>VLOOKUP(A213,'Trips&amp;Operators'!$C$1:$G$99999,5,FALSE)</f>
        <v>STORY SAMANTHA</v>
      </c>
      <c r="M213" s="6">
        <f>I213-F213</f>
        <v>7.1527777763549238E-3</v>
      </c>
      <c r="N213" s="7">
        <f>24*60*SUM($M213:$M213)</f>
        <v>10.29999999795109</v>
      </c>
      <c r="O213" s="7"/>
      <c r="P213" s="7"/>
      <c r="Q213" s="22"/>
      <c r="R213" s="190"/>
      <c r="S213" s="196">
        <f>SUM(U213:U213)/IF(AG213="EC",12,1)</f>
        <v>1</v>
      </c>
      <c r="T213" s="190" t="str">
        <f>IF(ISEVEN(LEFT(AD213,4)),"Southbound","NorthBound")</f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-02T01:13:07-0600',mode:absolute,to:'2017-05-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192" t="str">
        <f>IF(AA213&lt;IF(AG213="EC",23,5.65),"Y","N")</f>
        <v>Y</v>
      </c>
      <c r="X213" s="192">
        <f>VALUE(LEFT(AD213,4))-VALUE(LEFT(AD212,4))</f>
        <v>2</v>
      </c>
      <c r="Y213" s="192">
        <f>RIGHT(D213,LEN(D213)-4)/10000</f>
        <v>4.5699999999999998E-2</v>
      </c>
      <c r="Z213" s="192">
        <f>RIGHT(H213,LEN(H213)-4)/10000</f>
        <v>2.3304</v>
      </c>
      <c r="AA213" s="192">
        <f>ABS(Z213-Y213)</f>
        <v>2.2847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0313-01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s3://rtdc.mdm.uploadarchive.raw/RTDC4054/ "%USERPROFILE%\AppData\Local\Temp\OnboardLogs"\RTDC4054\2017-05-02 --exclude "*" --recursive --include "*20170502*" &amp; "%USERPROFILE%\Documents\GitHub\mrs-test-scripts\Headless Mode &amp; Sideloading\WalkAndUnGZ.bat" "%USERPROFILE%\AppData\Local\Temp\OnboardLogs"\RTDC4054\2017-05-02 &amp; 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/stypes="app*4054*20170502*" /stext=" 08:.+((SYSTEM_STATE.+slice.+state.+changed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1"/>
        <v>"%USERPROFILE%\Documents\GitHub\eaglep3\Utilities\RefineRTDCRunTimes.py" --tripid 313-01 --locoid 4054 --swversion DE.1.0.9.0 --startMP 204:457 --initTime 2017-05-02T02:13:07 --startdatetime 2017-05-02T02:15:47 --delay 2 --endMP 300:23304 --enddatetime 2017-05-02T02:26:05 --enforcementcount 0 &gt;&gt;C:\Users\stu\Documents\GitHub\eaglep3-reporting\EC\2017-05-02-refined-times.txt</v>
      </c>
      <c r="AI213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{"issue":{"subject":"","project_id":79,"tracker_id":40,"status_id":1,"priority_id":2,"assigned_to_id":23,"start_date":"2017-05-02","description":"","custom_fields":[{"id":1,"name":"Subdivision","value":"Other"},{"id":4,"name":"Milepost","value":"2.3304"},{"id":17,"name":"Train ID","value":"313-01"},{"id":16,"name":"Locomotive ID","value":"4054"},{"id":130,"name":"Impact","value":""},{"id":150,"name":"Time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23"/>
        <v>start /low /b %USERPROFILE%\Documents\GitHub\eaglep3\Utilities\DownloadLogsFromS3.py --loco 4054 --day 2017-05-02</v>
      </c>
      <c r="AN213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816</v>
      </c>
      <c r="B214" s="7">
        <v>4022</v>
      </c>
      <c r="C214" s="21" t="s">
        <v>211</v>
      </c>
      <c r="D214" s="21" t="s">
        <v>847</v>
      </c>
      <c r="E214" s="13">
        <v>42858.091932870368</v>
      </c>
      <c r="F214" s="13">
        <v>42858.093101851853</v>
      </c>
      <c r="G214" s="7">
        <v>1</v>
      </c>
      <c r="H214" s="21" t="s">
        <v>902</v>
      </c>
      <c r="I214" s="13">
        <v>42858.108831018515</v>
      </c>
      <c r="J214" s="7">
        <v>0</v>
      </c>
      <c r="K214" s="92" t="str">
        <f>IF(ISEVEN(B214),(B214-1)&amp;"/"&amp;B214,B214&amp;"/"&amp;(B214+1))</f>
        <v>4021/4022</v>
      </c>
      <c r="L214" s="21" t="str">
        <f>VLOOKUP(A214,'Trips&amp;Operators'!$C$1:$G$99999,5,FALSE)</f>
        <v>STAMBAUGH JAMES</v>
      </c>
      <c r="M214" s="6">
        <f>I214-F214</f>
        <v>1.5729166661913041E-2</v>
      </c>
      <c r="N214" s="7">
        <f>24*60*SUM($M214:$M214)</f>
        <v>22.649999993154779</v>
      </c>
      <c r="O214" s="7"/>
      <c r="P214" s="7"/>
      <c r="Q214" s="22"/>
      <c r="R214" s="190"/>
      <c r="S214" s="196">
        <f>SUM(U214:U214)/IF(AG214="EC",12,1)</f>
        <v>1</v>
      </c>
      <c r="T214" s="190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-03T01:12:23-0600',mode:absolute,to:'2017-05-03T03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4" s="192" t="str">
        <f>IF(AA214&lt;IF(AG214="EC",23,5.65),"Y","N")</f>
        <v>Y</v>
      </c>
      <c r="X214" s="192">
        <f>VALUE(LEFT(AD214,4))-VALUE(LEFT(AD213,4))</f>
        <v>0</v>
      </c>
      <c r="Y214" s="192">
        <f>RIGHT(D214,LEN(D214)-4)/10000</f>
        <v>4.7300000000000002E-2</v>
      </c>
      <c r="Z214" s="192">
        <f>RIGHT(H214,LEN(H214)-4)/10000</f>
        <v>2.3311999999999999</v>
      </c>
      <c r="AA214" s="192">
        <f>ABS(Z214-Y214)</f>
        <v>2.2839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0313-02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 &amp; aws s3 cp s3://rtdc.mdm.uploadarchive.raw/RTDC4022/ "%USERPROFILE%\AppData\Local\Temp\OnboardLogs"\RTDC4022\2017-05-04 --exclude "*" --recursive --include "*20170504*" &amp; "%USERPROFILE%\Documents\GitHub\mrs-test-scripts\Headless Mode &amp; Sideloading\WalkAndUnGZ.bat" "%USERPROFILE%\AppData\Local\Temp\OnboardLogs"\RTDC4022\2017-05-04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/stypes="app*4022*20170503*" /stext=" 08:.+((SYSTEM_STATE.+slice.+state.+changed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1"/>
        <v>"%USERPROFILE%\Documents\GitHub\eaglep3\Utilities\RefineRTDCRunTimes.py" --tripid 313-02 --locoid 4022 --swversion DE.1.0.9.0 --startMP 204:473 --initTime 2017-05-03T02:12:23 --startdatetime 2017-05-03T02:14:04 --delay 1 --endMP 300:23312 --enddatetime 2017-05-03T02:36:43 --enforcementcount 0 &gt;&gt;C:\Users\stu\Documents\GitHub\eaglep3-reporting\EC\2017-05-02-refined-times.txt</v>
      </c>
      <c r="AI214" s="99" t="str">
        <f t="shared" si="22"/>
        <v>echo {"issue":{"subject":"","project_id":79,"tracker_id":40,"status_id":1,"priority_id":2,"assigned_to_id":23,"start_date":"2017-05-03","description":"","custom_fields":[{"id":1,"name":"Subdivision","value":"Other"},{"id":4,"name":"Milepost","value":"2.3312"},{"id":17,"name":"Train ID","value":"313-02"},{"id":16,"name":"Locomotive ID","value":"4022"},{"id":130,"name":"Impact","value":""},{"id":150,"name":"Time of Event (Mountain Time)","value":"02:36:43"},{"id":151,"name":"Denver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3"/>
        <v>start /low /b %USERPROFILE%\Documents\GitHub\eaglep3\Utilities\DownloadLogsFromS3.py --loco 4022 --day 2017-05-03</v>
      </c>
      <c r="AN214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812</v>
      </c>
      <c r="B215" s="7">
        <v>4026</v>
      </c>
      <c r="C215" s="21" t="s">
        <v>211</v>
      </c>
      <c r="D215" s="21" t="s">
        <v>404</v>
      </c>
      <c r="E215" s="13">
        <v>42858.028356481482</v>
      </c>
      <c r="F215" s="13">
        <v>42858.029409722221</v>
      </c>
      <c r="G215" s="7">
        <v>1</v>
      </c>
      <c r="H215" s="21" t="s">
        <v>905</v>
      </c>
      <c r="I215" s="13">
        <v>42858.035254629627</v>
      </c>
      <c r="J215" s="7">
        <v>0</v>
      </c>
      <c r="K215" s="92" t="str">
        <f>IF(ISEVEN(B215),(B215-1)&amp;"/"&amp;B215,B215&amp;"/"&amp;(B215+1))</f>
        <v>4025/4026</v>
      </c>
      <c r="L215" s="21" t="str">
        <f>VLOOKUP(A215,'Trips&amp;Operators'!$C$1:$G$99999,5,FALSE)</f>
        <v>CHANDLER KELVIN</v>
      </c>
      <c r="M215" s="6">
        <f>I215-F215</f>
        <v>5.8449074058444239E-3</v>
      </c>
      <c r="N215" s="7">
        <f>24*60*SUM($M215:$M215)</f>
        <v>8.4166666644159704</v>
      </c>
      <c r="O215" s="7"/>
      <c r="P215" s="7"/>
      <c r="Q215" s="22"/>
      <c r="R215" s="190"/>
      <c r="S215" s="196">
        <f>SUM(U215:U215)/IF(AG215="EC",12,1)</f>
        <v>1</v>
      </c>
      <c r="T215" s="190" t="str">
        <f>IF(ISEVEN(LEFT(AD215,4)),"Southbound","NorthBound")</f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-02T23:40:50-0600',mode:absolute,to:'2017-05-03T01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5" s="192" t="str">
        <f>IF(AA215&lt;IF(AG215="EC",23,5.65),"Y","N")</f>
        <v>Y</v>
      </c>
      <c r="X215" s="192">
        <f>VALUE(LEFT(AD215,4))-VALUE(LEFT(AD214,4))</f>
        <v>2</v>
      </c>
      <c r="Y215" s="192">
        <f>RIGHT(D215,LEN(D215)-4)/10000</f>
        <v>4.6699999999999998E-2</v>
      </c>
      <c r="Z215" s="192">
        <f>RIGHT(H215,LEN(H215)-4)/10000</f>
        <v>2.2955999999999999</v>
      </c>
      <c r="AA215" s="192">
        <f>ABS(Z215-Y215)</f>
        <v>2.2488999999999999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0315-02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s3://rtdc.mdm.uploadarchive.raw/RTDC4026/ "%USERPROFILE%\AppData\Local\Temp\OnboardLogs"\RTDC4026\2017-05-03 --exclude "*" --recursive --include "*20170503*" &amp; "%USERPROFILE%\Documents\GitHub\mrs-test-scripts\Headless Mode &amp; Sideloading\WalkAndUnGZ.bat" "%USERPROFILE%\AppData\Local\Temp\OnboardLogs"\RTDC4026\2017-05-03 &amp; aws s3 cp s3://rtdc.mdm.uploadarchive.raw/RTDC4026/ "%USERPROFILE%\AppData\Local\Temp\OnboardLogs"\RTDC4026\2017-05-04 --exclude "*" --recursive --include "*20170504*" &amp; "%USERPROFILE%\Documents\GitHub\mrs-test-scripts\Headless Mode &amp; Sideloading\WalkAndUnGZ.bat" "%USERPROFILE%\AppData\Local\Temp\OnboardLogs"\RTDC4026\2017-05-04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/stypes="app*4026*20170503*" /stext=" 06:.+((SYSTEM_STATE.+slice.+state.+changed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1"/>
        <v>"%USERPROFILE%\Documents\GitHub\eaglep3\Utilities\RefineRTDCRunTimes.py" --tripid 315-02 --locoid 4026 --swversion DE.1.0.9.0 --startMP 204:467 --initTime 2017-05-03T00:40:50 --startdatetime 2017-05-03T00:42:21 --delay 1 --endMP 300:22956 --enddatetime 2017-05-03T00:50:46 --enforcementcount 0 &gt;&gt;C:\Users\stu\Documents\GitHub\eaglep3-reporting\EC\2017-05-02-refined-times.txt</v>
      </c>
      <c r="AI215" s="99" t="str">
        <f t="shared" si="22"/>
        <v>echo {"issue":{"subject":"","project_id":79,"tracker_id":40,"status_id":1,"priority_id":2,"assigned_to_id":23,"start_date":"2017-05-03","description":"","custom_fields":[{"id":1,"name":"Subdivision","value":"Other"},{"id":4,"name":"Milepost","value":"2.2956"},{"id":17,"name":"Train ID","value":"315-02"},{"id":16,"name":"Locomotive ID","value":"4026"},{"id":130,"name":"Impact","value":""},{"id":150,"name":"Time of Event (Mountain Time)","value":"00:50:46"},{"id":151,"name":"Denver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3"/>
        <v>start /low /b %USERPROFILE%\Documents\GitHub\eaglep3\Utilities\DownloadLogsFromS3.py --loco 4026 --day 2017-05-03</v>
      </c>
      <c r="AN215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06:50:46"},{"id":29,"name":"Sharepoint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629</v>
      </c>
      <c r="B216" s="7">
        <v>4028</v>
      </c>
      <c r="C216" s="21" t="s">
        <v>211</v>
      </c>
      <c r="D216" s="21" t="s">
        <v>970</v>
      </c>
      <c r="E216" s="13">
        <v>42857.200648148151</v>
      </c>
      <c r="F216" s="13">
        <v>42857.206805555557</v>
      </c>
      <c r="G216" s="7">
        <v>8</v>
      </c>
      <c r="H216" s="21" t="s">
        <v>971</v>
      </c>
      <c r="I216" s="13">
        <v>42857.211863425924</v>
      </c>
      <c r="J216" s="7">
        <v>0</v>
      </c>
      <c r="K216" s="92" t="str">
        <f>IF(ISEVEN(B216),(B216-1)&amp;"/"&amp;B216,B216&amp;"/"&amp;(B216+1))</f>
        <v>4027/4028</v>
      </c>
      <c r="L216" s="21" t="str">
        <f>VLOOKUP(A216,'Trips&amp;Operators'!$C$1:$G$99999,5,FALSE)</f>
        <v>YORK EDGAR</v>
      </c>
      <c r="M216" s="6">
        <f>I216-F216</f>
        <v>5.057870366727002E-3</v>
      </c>
      <c r="N216" s="7">
        <f>24*60*SUM($M216:$M216)</f>
        <v>7.2833333280868828</v>
      </c>
      <c r="O216" s="7"/>
      <c r="P216" s="7"/>
      <c r="Q216" s="22"/>
      <c r="R216" s="190"/>
      <c r="S216" s="196">
        <f>SUM(U216:U216)/IF(AG216="EC",12,1)</f>
        <v>0</v>
      </c>
      <c r="T216" s="190" t="str">
        <f>IF(ISEVEN(LEFT(AD216,4)),"Southbound","NorthBound")</f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-02T03:48:56-0600',mode:absolute,to:'2017-05-02T06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92" t="str">
        <f>IF(AA216&lt;IF(AG216="EC",23,5.65),"Y","N")</f>
        <v>Y</v>
      </c>
      <c r="X216" s="192">
        <f>VALUE(LEFT(AD216,4))-VALUE(LEFT(AD215,4))</f>
        <v>586</v>
      </c>
      <c r="Y216" s="192">
        <f>RIGHT(D216,LEN(D216)-4)/10000</f>
        <v>3.0156999999999998</v>
      </c>
      <c r="Z216" s="192">
        <f>RIGHT(H216,LEN(H216)-4)/10000</f>
        <v>5.8939000000000004</v>
      </c>
      <c r="AA216" s="192">
        <f>ABS(Z216-Y216)</f>
        <v>2.8782000000000005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0901-02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/stypes="app*4028*20170502*" /stext=" 11:.+((SYSTEM_STATE.+slice.+state.+changed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1"/>
        <v>"%USERPROFILE%\Documents\GitHub\eaglep3\Utilities\RefineRTDCRunTimes.py" --tripid 901-02 --locoid 4028 --swversion DE.1.0.9.0 --startMP 300:30157 --initTime 2017-05-02T04:48:56 --startdatetime 2017-05-02T04:57:48 --delay 8 --endMP 300:58939 --enddatetime 2017-05-02T05:05:05 --enforcementcount 0 &gt;&gt;C:\Users\stu\Documents\GitHub\eaglep3-reporting\EC\2017-05-02-refined-times.txt</v>
      </c>
      <c r="AI216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{"issue":{"subject":"","project_id":79,"tracker_id":40,"status_id":1,"priority_id":2,"assigned_to_id":23,"start_date":"2017-05-02","description":"","custom_fields":[{"id":1,"name":"Subdivision","value":"Other"},{"id":4,"name":"Milepost","value":"5.8939"},{"id":17,"name":"Train ID","value":"901-02"},{"id":16,"name":"Locomotive ID","value":"4028"},{"id":130,"name":"Impact","value":""},{"id":150,"name":"Time of Event (Mountain Time)","value":"05:05:05"},{"id":151,"name":"Denver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3"/>
        <v>start /low /b %USERPROFILE%\Documents\GitHub\eaglep3\Utilities\DownloadLogsFromS3.py --loco 4028 --day 2017-05-02</v>
      </c>
      <c r="AN216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640</v>
      </c>
      <c r="B217" s="7">
        <v>4013</v>
      </c>
      <c r="C217" s="21" t="s">
        <v>211</v>
      </c>
      <c r="D217" s="21" t="s">
        <v>972</v>
      </c>
      <c r="E217" s="13">
        <v>42857.241076388891</v>
      </c>
      <c r="F217" s="13">
        <v>42857.243645833332</v>
      </c>
      <c r="G217" s="7">
        <v>3</v>
      </c>
      <c r="H217" s="21" t="s">
        <v>973</v>
      </c>
      <c r="I217" s="13">
        <v>42857.248935185184</v>
      </c>
      <c r="J217" s="7">
        <v>0</v>
      </c>
      <c r="K217" s="92" t="str">
        <f>IF(ISEVEN(B217),(B217-1)&amp;"/"&amp;B217,B217&amp;"/"&amp;(B217+1))</f>
        <v>4013/4014</v>
      </c>
      <c r="L217" s="21" t="str">
        <f>VLOOKUP(A217,'Trips&amp;Operators'!$C$1:$G$99999,5,FALSE)</f>
        <v>BROWN JACOB</v>
      </c>
      <c r="M217" s="6">
        <f>I217-F217</f>
        <v>5.2893518513883464E-3</v>
      </c>
      <c r="N217" s="7">
        <f>24*60*SUM($M217:$M217)</f>
        <v>7.6166666659992188</v>
      </c>
      <c r="O217" s="7"/>
      <c r="P217" s="7"/>
      <c r="Q217" s="22"/>
      <c r="R217" s="190"/>
      <c r="S217" s="196">
        <f>SUM(U217:U217)/IF(AG217="EC",12,1)</f>
        <v>1</v>
      </c>
      <c r="T217" s="190" t="str">
        <f>IF(ISEVEN(LEFT(AD217,4)),"Southbound","NorthBound")</f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-02T04:47:09-0600',mode:absolute,to:'2017-05-02T06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7" s="192" t="str">
        <f>IF(AA217&lt;IF(AG217="EC",23,5.65),"Y","N")</f>
        <v>Y</v>
      </c>
      <c r="X217" s="192">
        <f>VALUE(LEFT(AD217,4))-VALUE(LEFT(AD216,4))</f>
        <v>1</v>
      </c>
      <c r="Y217" s="192">
        <f>RIGHT(D217,LEN(D217)-4)/10000</f>
        <v>2.3172999999999999</v>
      </c>
      <c r="Z217" s="192">
        <f>RIGHT(H217,LEN(H217)-4)/10000</f>
        <v>7.2599999999999998E-2</v>
      </c>
      <c r="AA217" s="192">
        <f>ABS(Z217-Y217)</f>
        <v>2.2446999999999999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0902-02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/stypes="app*4013*20170502*" /stext=" 11:.+((SYSTEM_STATE.+slice.+state.+changed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1"/>
        <v>"%USERPROFILE%\Documents\GitHub\eaglep3\Utilities\RefineRTDCRunTimes.py" --tripid 902-02 --locoid 4013 --swversion DE.1.0.9.0 --startMP 300:23173 --initTime 2017-05-02T05:47:09 --startdatetime 2017-05-02T05:50:51 --delay 3 --endMP 204:726 --enddatetime 2017-05-02T05:58:28 --enforcementcount 0 &gt;&gt;C:\Users\stu\Documents\GitHub\eaglep3-reporting\EC\2017-05-02-refined-times.txt</v>
      </c>
      <c r="AI217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{"issue":{"subject":"","project_id":79,"tracker_id":40,"status_id":1,"priority_id":2,"assigned_to_id":23,"start_date":"2017-05-02","description":"","custom_fields":[{"id":1,"name":"Subdivision","value":"Other"},{"id":4,"name":"Milepost","value":"0.0726"},{"id":17,"name":"Train ID","value":"902-02"},{"id":16,"name":"Locomotive ID","value":"4013"},{"id":130,"name":"Impact","value":""},{"id":150,"name":"Time of Event (Mountain Time)","value":"05:58:28"},{"id":151,"name":"Denver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3"/>
        <v>start /low /b %USERPROFILE%\Documents\GitHub\eaglep3\Utilities\DownloadLogsFromS3.py --loco 4013 --day 2017-05-02</v>
      </c>
      <c r="AN217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11:58:28"},{"id":29,"name":"Sharepoint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675</v>
      </c>
      <c r="B218" s="7">
        <v>4028</v>
      </c>
      <c r="C218" s="21" t="s">
        <v>211</v>
      </c>
      <c r="D218" s="21" t="s">
        <v>974</v>
      </c>
      <c r="E218" s="13">
        <v>42857.351736111108</v>
      </c>
      <c r="F218" s="13">
        <v>42857.352847222224</v>
      </c>
      <c r="G218" s="7">
        <v>1</v>
      </c>
      <c r="H218" s="21" t="s">
        <v>975</v>
      </c>
      <c r="I218" s="13">
        <v>42857.357928240737</v>
      </c>
      <c r="J218" s="7">
        <v>0</v>
      </c>
      <c r="K218" s="92" t="str">
        <f>IF(ISEVEN(B218),(B218-1)&amp;"/"&amp;B218,B218&amp;"/"&amp;(B218+1))</f>
        <v>4027/4028</v>
      </c>
      <c r="L218" s="21" t="str">
        <f>VLOOKUP(A218,'Trips&amp;Operators'!$C$1:$G$99999,5,FALSE)</f>
        <v>YORK EDGAR</v>
      </c>
      <c r="M218" s="6">
        <f>I218-F218</f>
        <v>5.0810185130103491E-3</v>
      </c>
      <c r="N218" s="7">
        <f>24*60*SUM($M218:$M218)</f>
        <v>7.3166666587349027</v>
      </c>
      <c r="O218" s="7"/>
      <c r="P218" s="7"/>
      <c r="Q218" s="22"/>
      <c r="R218" s="190"/>
      <c r="S218" s="196">
        <f>SUM(U218:U218)/IF(AG218="EC",12,1)</f>
        <v>1</v>
      </c>
      <c r="T218" s="190" t="str">
        <f>IF(ISEVEN(LEFT(AD218,4)),"Southbound","NorthBound")</f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-02T07:26:30-0600',mode:absolute,to:'2017-05-02T09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8" s="192" t="str">
        <f>IF(AA218&lt;IF(AG218="EC",23,5.65),"Y","N")</f>
        <v>Y</v>
      </c>
      <c r="X218" s="192">
        <f>VALUE(LEFT(AD218,4))-VALUE(LEFT(AD217,4))</f>
        <v>1</v>
      </c>
      <c r="Y218" s="192">
        <f>RIGHT(D218,LEN(D218)-4)/10000</f>
        <v>0.10979999999999999</v>
      </c>
      <c r="Z218" s="192">
        <f>RIGHT(H218,LEN(H218)-4)/10000</f>
        <v>2.4203000000000001</v>
      </c>
      <c r="AA218" s="192">
        <f>ABS(Z218-Y218)</f>
        <v>2.3105000000000002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0903-02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/stypes="app*4028*20170502*" /stext=" 14:.+((SYSTEM_STATE.+slice.+state.+changed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1"/>
        <v>"%USERPROFILE%\Documents\GitHub\eaglep3\Utilities\RefineRTDCRunTimes.py" --tripid 903-02 --locoid 4028 --swversion DE.1.0.9.0 --startMP 204:1098 --initTime 2017-05-02T08:26:30 --startdatetime 2017-05-02T08:28:06 --delay 1 --endMP 300:24203 --enddatetime 2017-05-02T08:35:25 --enforcementcount 0 &gt;&gt;C:\Users\stu\Documents\GitHub\eaglep3-reporting\EC\2017-05-02-refined-times.txt</v>
      </c>
      <c r="AI218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{"issue":{"subject":"","project_id":79,"tracker_id":40,"status_id":1,"priority_id":2,"assigned_to_id":23,"start_date":"2017-05-02","description":"","custom_fields":[{"id":1,"name":"Subdivision","value":"Other"},{"id":4,"name":"Milepost","value":"2.4203"},{"id":17,"name":"Train ID","value":"903-02"},{"id":16,"name":"Locomotive ID","value":"4028"},{"id":130,"name":"Impact","value":""},{"id":150,"name":"Time of Event (Mountain Time)","value":"08:35:25"},{"id":151,"name":"Denver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3"/>
        <v>start /low /b %USERPROFILE%\Documents\GitHub\eaglep3\Utilities\DownloadLogsFromS3.py --loco 4028 --day 2017-05-02</v>
      </c>
      <c r="AN218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14:35:25"},{"id":29,"name":"Sharepoint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744</v>
      </c>
      <c r="B219" s="7">
        <v>4027</v>
      </c>
      <c r="C219" s="21" t="s">
        <v>211</v>
      </c>
      <c r="D219" s="21" t="s">
        <v>976</v>
      </c>
      <c r="E219" s="13">
        <v>42857.63857638889</v>
      </c>
      <c r="F219" s="13">
        <v>42857.640868055554</v>
      </c>
      <c r="G219" s="7">
        <v>3</v>
      </c>
      <c r="H219" s="21" t="s">
        <v>945</v>
      </c>
      <c r="I219" s="13">
        <v>42857.646412037036</v>
      </c>
      <c r="J219" s="7">
        <v>0</v>
      </c>
      <c r="K219" s="92" t="str">
        <f>IF(ISEVEN(B219),(B219-1)&amp;"/"&amp;B219,B219&amp;"/"&amp;(B219+1))</f>
        <v>4027/4028</v>
      </c>
      <c r="L219" s="21" t="str">
        <f>VLOOKUP(A219,'Trips&amp;Operators'!$C$1:$G$99999,5,FALSE)</f>
        <v>SWANSON BRYCE</v>
      </c>
      <c r="M219" s="6">
        <f>I219-F219</f>
        <v>5.543981482333038E-3</v>
      </c>
      <c r="N219" s="7">
        <f>24*60*SUM($M219:$M219)</f>
        <v>7.9833333345595747</v>
      </c>
      <c r="O219" s="7"/>
      <c r="P219" s="7"/>
      <c r="Q219" s="22"/>
      <c r="R219" s="190"/>
      <c r="S219" s="196">
        <f>SUM(U219:U219)/IF(AG219="EC",12,1)</f>
        <v>1</v>
      </c>
      <c r="T219" s="190" t="str">
        <f>IF(ISEVEN(LEFT(AD219,4)),"Southbound","NorthBound")</f>
        <v>Southbound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-02T14:19:33-0600',mode:absolute,to:'2017-05-02T16:30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9" s="192" t="str">
        <f>IF(AA219&lt;IF(AG219="EC",23,5.65),"Y","N")</f>
        <v>Y</v>
      </c>
      <c r="X219" s="192">
        <f>VALUE(LEFT(AD219,4))-VALUE(LEFT(AD218,4))</f>
        <v>1</v>
      </c>
      <c r="Y219" s="192">
        <f>RIGHT(D219,LEN(D219)-4)/10000</f>
        <v>2.3285</v>
      </c>
      <c r="Z219" s="192">
        <f>RIGHT(H219,LEN(H219)-4)/10000</f>
        <v>6.8699999999999997E-2</v>
      </c>
      <c r="AA219" s="192">
        <f>ABS(Z219-Y219)</f>
        <v>2.2597999999999998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0904-02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/stypes="app*4027*20170502*" /stext=" 21:.+((SYSTEM_STATE.+slice.+state.+changed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1"/>
        <v>"%USERPROFILE%\Documents\GitHub\eaglep3\Utilities\RefineRTDCRunTimes.py" --tripid 904-02 --locoid 4027 --swversion DE.1.0.9.0 --startMP 300:23285 --initTime 2017-05-02T15:19:33 --startdatetime 2017-05-02T15:22:51 --delay 3 --endMP 204:687 --enddatetime 2017-05-02T15:30:50 --enforcementcount 0 &gt;&gt;C:\Users\stu\Documents\GitHub\eaglep3-reporting\EC\2017-05-02-refined-times.txt</v>
      </c>
      <c r="AI219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{"issue":{"subject":"","project_id":79,"tracker_id":40,"status_id":1,"priority_id":2,"assigned_to_id":23,"start_date":"2017-05-02","description":"","custom_fields":[{"id":1,"name":"Subdivision","value":"Other"},{"id":4,"name":"Milepost","value":"0.0687"},{"id":17,"name":"Train ID","value":"904-02"},{"id":16,"name":"Locomotive ID","value":"4027"},{"id":130,"name":"Impact","value":""},{"id":150,"name":"Time of Event (Mountain Time)","value":"15:30:50"},{"id":151,"name":"Denver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3"/>
        <v>start /low /b %USERPROFILE%\Documents\GitHub\eaglep3\Utilities\DownloadLogsFromS3.py --loco 4027 --day 2017-05-02</v>
      </c>
      <c r="AN219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21:30:50"},{"id":29,"name":"Sharepoint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786</v>
      </c>
      <c r="B220" s="7">
        <v>4027</v>
      </c>
      <c r="C220" s="21" t="s">
        <v>211</v>
      </c>
      <c r="D220" s="21" t="s">
        <v>920</v>
      </c>
      <c r="E220" s="13">
        <v>42857.796689814815</v>
      </c>
      <c r="F220" s="13">
        <v>42857.798298611109</v>
      </c>
      <c r="G220" s="7">
        <v>1</v>
      </c>
      <c r="H220" s="21" t="s">
        <v>977</v>
      </c>
      <c r="I220" s="13">
        <v>42857.807442129626</v>
      </c>
      <c r="J220" s="7">
        <v>0</v>
      </c>
      <c r="K220" s="92" t="str">
        <f>IF(ISEVEN(B220),(B220-1)&amp;"/"&amp;B220,B220&amp;"/"&amp;(B220+1))</f>
        <v>4027/4028</v>
      </c>
      <c r="L220" s="21" t="str">
        <f>VLOOKUP(A220,'Trips&amp;Operators'!$C$1:$G$99999,5,FALSE)</f>
        <v>SWANSON BRYCE</v>
      </c>
      <c r="M220" s="6">
        <f>I220-F220</f>
        <v>9.1435185167938471E-3</v>
      </c>
      <c r="N220" s="7">
        <f>24*60*SUM($M220:$M220)</f>
        <v>13.16666666418314</v>
      </c>
      <c r="O220" s="7"/>
      <c r="P220" s="7"/>
      <c r="Q220" s="22"/>
      <c r="R220" s="190"/>
      <c r="S220" s="196">
        <f>SUM(U220:U220)/IF(AG220="EC",12,1)</f>
        <v>0</v>
      </c>
      <c r="T220" s="190" t="str">
        <f>IF(ISEVEN(LEFT(AD220,4)),"Southbound","NorthBound")</f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-02T18:07:14-0600',mode:absolute,to:'2017-05-02T20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0" s="192" t="str">
        <f>IF(AA220&lt;IF(AG220="EC",23,5.65),"Y","N")</f>
        <v>Y</v>
      </c>
      <c r="X220" s="192">
        <f>VALUE(LEFT(AD220,4))-VALUE(LEFT(AD219,4))</f>
        <v>2</v>
      </c>
      <c r="Y220" s="192">
        <f>RIGHT(D220,LEN(D220)-4)/10000</f>
        <v>5.8613</v>
      </c>
      <c r="Z220" s="192">
        <f>RIGHT(H220,LEN(H220)-4)/10000</f>
        <v>2.8788</v>
      </c>
      <c r="AA220" s="192">
        <f>ABS(Z220-Y220)</f>
        <v>2.9824999999999999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0906-02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s3://rtdc.mdm.uploadarchive.raw/RTDC4027/ "%USERPROFILE%\AppData\Local\Temp\OnboardLogs"\RTDC4027\2017-05-02 --exclude "*" --recursive --include "*20170502*" &amp; "%USERPROFILE%\Documents\GitHub\mrs-test-scripts\Headless Mode &amp; Sideloading\WalkAndUnGZ.bat" "%USERPROFILE%\AppData\Local\Temp\OnboardLogs"\RTDC4027\2017-05-02 &amp; 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/stypes="app*4027*20170503*" /stext=" 01:.+((SYSTEM_STATE.+slice.+state.+changed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21"/>
        <v>"%USERPROFILE%\Documents\GitHub\eaglep3\Utilities\RefineRTDCRunTimes.py" --tripid 906-02 --locoid 4027 --swversion DE.1.0.9.0 --startMP 300:58613 --initTime 2017-05-02T19:07:14 --startdatetime 2017-05-02T19:09:33 --delay 1 --endMP 300:28788 --enddatetime 2017-05-02T19:22:43 --enforcementcount 0 &gt;&gt;C:\Users\stu\Documents\GitHub\eaglep3-reporting\EC\2017-05-02-refined-times.txt</v>
      </c>
      <c r="AI220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{"issue":{"subject":"","project_id":79,"tracker_id":40,"status_id":1,"priority_id":2,"assigned_to_id":23,"start_date":"2017-05-02","description":"","custom_fields":[{"id":1,"name":"Subdivision","value":"Other"},{"id":4,"name":"Milepost","value":"2.8788"},{"id":17,"name":"Train ID","value":"906-02"},{"id":16,"name":"Locomotive ID","value":"4027"},{"id":130,"name":"Impact","value":""},{"id":150,"name":"Time of Event (Mountain Time)","value":"19:22:43"},{"id":151,"name":"Denver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3"/>
        <v>start /low /b %USERPROFILE%\Documents\GitHub\eaglep3\Utilities\DownloadLogsFromS3.py --loco 4027 --day 2017-05-02</v>
      </c>
      <c r="AN220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804</v>
      </c>
      <c r="B221" s="7">
        <v>4013</v>
      </c>
      <c r="C221" s="21" t="s">
        <v>211</v>
      </c>
      <c r="D221" s="21" t="s">
        <v>978</v>
      </c>
      <c r="E221" s="13">
        <v>42857.942013888889</v>
      </c>
      <c r="F221" s="13">
        <v>42857.951481481483</v>
      </c>
      <c r="G221" s="7">
        <v>1</v>
      </c>
      <c r="H221" s="21" t="s">
        <v>979</v>
      </c>
      <c r="I221" s="13">
        <v>25568.708333333332</v>
      </c>
      <c r="J221" s="7">
        <v>0</v>
      </c>
      <c r="K221" s="92" t="str">
        <f>IF(ISEVEN(B221),(B221-1)&amp;"/"&amp;B221,B221&amp;"/"&amp;(B221+1))</f>
        <v>4013/4014</v>
      </c>
      <c r="L221" s="21" t="str">
        <f>VLOOKUP(A221,'Trips&amp;Operators'!$C$1:$G$99999,5,FALSE)</f>
        <v>SWANSON BRYCE</v>
      </c>
      <c r="M221" s="6">
        <f>I221-F221</f>
        <v>-17289.243148148151</v>
      </c>
      <c r="N221" s="7">
        <f>24*60*SUM($M221:$M221)</f>
        <v>-24896510.133333337</v>
      </c>
      <c r="O221" s="7"/>
      <c r="P221" s="7"/>
      <c r="Q221" s="22"/>
      <c r="R221" s="190"/>
      <c r="S221" s="196">
        <f>SUM(U221:U221)/IF(AG221="EC",12,1)</f>
        <v>0</v>
      </c>
      <c r="T221" s="190" t="str">
        <f>IF(ISEVEN(LEFT(AD221,4)),"Southbound","NorthBound")</f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-02T21:36:30-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92" t="str">
        <f>IF(AA221&lt;IF(AG221="EC",23,5.65),"Y","N")</f>
        <v>Y</v>
      </c>
      <c r="X221" s="192">
        <f>VALUE(LEFT(AD221,4))-VALUE(LEFT(AD220,4))</f>
        <v>2</v>
      </c>
      <c r="Y221" s="192">
        <f>RIGHT(D221,LEN(D221)-4)/10000</f>
        <v>5.8597999999999999</v>
      </c>
      <c r="Z221" s="192">
        <f>RIGHT(H221,LEN(H221)-4)/10000</f>
        <v>2.1379000000000001</v>
      </c>
      <c r="AA221" s="192">
        <f>ABS(Z221-Y221)</f>
        <v>3.7218999999999998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0908-02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s3://rtdc.mdm.uploadarchive.raw/RTDC4013/ "%USERPROFILE%\AppData\Local\Temp\OnboardLogs"\RTDC4013\2017-05-02 --exclude "*" --recursive --include "*20170502*" &amp; "%USERPROFILE%\Documents\GitHub\mrs-test-scripts\Headless Mode &amp; Sideloading\WalkAndUnGZ.bat" "%USERPROFILE%\AppData\Local\Temp\OnboardLogs"\RTDC4013\2017-05-02 &amp; 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/stypes="app*4013*19691231*" /stext=" 23:.+((SYSTEM_STATE.+slice.+state.+changed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21"/>
        <v>"%USERPROFILE%\Documents\GitHub\eaglep3\Utilities\RefineRTDCRunTimes.py" --tripid 908-02 --locoid 4013 --swversion DE.1.0.9.0 --startMP 300:58598 --initTime 2017-05-02T22:36:30 --startdatetime 2017-05-02T22:50:08 --delay 1 --endMP 300:21379 --enddatetime 1969-12-31T17:00:00 --enforcementcount 0 &gt;&gt;C:\Users\stu\Documents\GitHub\eaglep3-reporting\EC\2017-05-02-refined-times.txt</v>
      </c>
      <c r="AI221" s="9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{"issue":{"subject":"","project_id":79,"tracker_id":40,"status_id":1,"priority_id":2,"assigned_to_id":23,"start_date":"1969-12-31","description":"","custom_fields":[{"id":1,"name":"Subdivision","value":"Other"},{"id":4,"name":"Milepost","value":"2.1379"},{"id":17,"name":"Train ID","value":"908-02"},{"id":16,"name":"Locomotive ID","value":"4013"},{"id":130,"name":"Impact","value":""},{"id":150,"name":"Time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3"/>
        <v>start /low /b %USERPROFILE%\Documents\GitHub\eaglep3\Utilities\DownloadLogsFromS3.py --loco 4013 --day 2017-05-02</v>
      </c>
      <c r="AN221" s="154" t="str">
        <f t="shared" si="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804</v>
      </c>
      <c r="B222" s="7">
        <v>4014</v>
      </c>
      <c r="C222" s="21" t="s">
        <v>211</v>
      </c>
      <c r="D222" s="21" t="s">
        <v>980</v>
      </c>
      <c r="E222" s="13">
        <v>42857.950462962966</v>
      </c>
      <c r="F222" s="13">
        <v>42857.951481481483</v>
      </c>
      <c r="G222" s="7">
        <v>1</v>
      </c>
      <c r="H222" s="21" t="s">
        <v>981</v>
      </c>
      <c r="I222" s="13">
        <v>25568.708333333332</v>
      </c>
      <c r="J222" s="7">
        <v>0</v>
      </c>
      <c r="K222" s="92" t="str">
        <f>IF(ISEVEN(B222),(B222-1)&amp;"/"&amp;B222,B222&amp;"/"&amp;(B222+1))</f>
        <v>4013/4014</v>
      </c>
      <c r="L222" s="21" t="str">
        <f>VLOOKUP(A222,'Trips&amp;Operators'!$C$1:$G$99999,5,FALSE)</f>
        <v>SWANSON BRYCE</v>
      </c>
      <c r="M222" s="6">
        <f>I222-F222</f>
        <v>-17289.243148148151</v>
      </c>
      <c r="N222" s="7">
        <f>24*60*SUM($M222:$M222)</f>
        <v>-24896510.133333337</v>
      </c>
      <c r="O222" s="7"/>
      <c r="P222" s="7"/>
      <c r="Q222" s="22"/>
      <c r="R222" s="190"/>
      <c r="S222" s="196">
        <f>SUM(U222:U222)/IF(AG222="EC",12,1)</f>
        <v>0</v>
      </c>
      <c r="T222" s="190" t="str">
        <f>IF(ISEVEN(LEFT(AD222,4)),"Southbound","NorthBound")</f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-02T21:48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2" s="192" t="str">
        <f>IF(AA222&lt;IF(AG222="EC",23,5.65),"Y","N")</f>
        <v>Y</v>
      </c>
      <c r="X222" s="192">
        <f>VALUE(LEFT(AD222,4))-VALUE(LEFT(AD221,4))</f>
        <v>0</v>
      </c>
      <c r="Y222" s="192">
        <f>RIGHT(D222,LEN(D222)-4)/10000</f>
        <v>2.1657000000000002</v>
      </c>
      <c r="Z222" s="192">
        <f>RIGHT(H222,LEN(H222)-4)/10000</f>
        <v>2.3313999999999999</v>
      </c>
      <c r="AA222" s="192">
        <f>ABS(Z222-Y222)</f>
        <v>0.16569999999999974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0908-02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s3://rtdc.mdm.uploadarchive.raw/RTDC4014/ "%USERPROFILE%\AppData\Local\Temp\OnboardLogs"\RTDC4014\2017-05-02 --exclude "*" --recursive --include "*20170502*" &amp; "%USERPROFILE%\Documents\GitHub\mrs-test-scripts\Headless Mode &amp; Sideloading\WalkAndUnGZ.bat" "%USERPROFILE%\AppData\Local\Temp\OnboardLogs"\RTDC4014\2017-05-02 &amp; aws s3 cp s3://rtdc.mdm.uploadarchive.raw/RTDC4014/ "%USERPROFILE%\AppData\Local\Temp\OnboardLogs"\RTDC4014\2017-05-03 --exclude "*" --recursive --include "*20170503*" &amp; "%USERPROFILE%\Documents\GitHub\mrs-test-scripts\Headless Mode &amp; Sideloading\WalkAndUnGZ.bat" "%USERPROFILE%\AppData\Local\Temp\OnboardLogs"\RTDC4014\2017-05-03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21"/>
        <v>"%USERPROFILE%\Documents\GitHub\eaglep3\Utilities\RefineRTDCRunTimes.py" --tripid 908-02 --locoid 4014 --swversion DE.1.0.9.0 --startMP 300:21657 --initTime 2017-05-02T22:48:40 --startdatetime 2017-05-02T22:50:08 --delay 1 --endMP 300:23314 --enddatetime 1969-12-31T17:00:00 --enforcementcount 0 &gt;&gt;C:\Users\stu\Documents\GitHub\eaglep3-reporting\EC\2017-05-02-refined-times.txt</v>
      </c>
      <c r="AI222" s="9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ID","value":"908-02"},{"id":16,"name":"Locomotive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3"/>
        <v>start /low /b %USERPROFILE%\Documents\GitHub\eaglep3\Utilities\DownloadLogsFromS3.py --loco 4014 --day 2017-05-02</v>
      </c>
      <c r="AN222" s="154" t="str">
        <f t="shared" si="2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646</v>
      </c>
      <c r="B223" s="7">
        <v>4045</v>
      </c>
      <c r="C223" s="21" t="s">
        <v>211</v>
      </c>
      <c r="D223" s="21" t="s">
        <v>906</v>
      </c>
      <c r="E223" s="13">
        <v>42857.257141203707</v>
      </c>
      <c r="F223" s="13">
        <v>42857.258576388886</v>
      </c>
      <c r="G223" s="7">
        <v>1</v>
      </c>
      <c r="H223" s="21" t="s">
        <v>907</v>
      </c>
      <c r="I223" s="13">
        <v>42857.259629629632</v>
      </c>
      <c r="J223" s="7">
        <v>0</v>
      </c>
      <c r="K223" s="92" t="str">
        <f>IF(ISEVEN(B223),(B223-1)&amp;"/"&amp;B223,B223&amp;"/"&amp;(B223+1))</f>
        <v>4045/4046</v>
      </c>
      <c r="L223" s="21" t="str">
        <f>VLOOKUP(A223,'Trips&amp;Operators'!$C$1:$G$99999,5,FALSE)</f>
        <v>SPECTOR MICHAEL</v>
      </c>
      <c r="M223" s="6">
        <f>I223-F223</f>
        <v>1.0532407468417659E-3</v>
      </c>
      <c r="N223" s="7">
        <f>24*60*SUM($M223:$M223)</f>
        <v>1.516666675452143</v>
      </c>
      <c r="O223" s="7"/>
      <c r="P223" s="7"/>
      <c r="Q223" s="22"/>
      <c r="R223" s="190"/>
      <c r="S223" s="196">
        <f>SUM(U223:U223)/IF(AG223="EC",12,1)</f>
        <v>0</v>
      </c>
      <c r="T223" s="190" t="e">
        <f>IF(ISEVEN(LEFT(AD223,4)),"Southbound","NorthBound")</f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-02T05:10:17-0600',mode:absolute,to:'2017-05-02T07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3" s="192" t="str">
        <f>IF(AA223&lt;IF(AG223="EC",23,5.65),"Y","N")</f>
        <v>Y</v>
      </c>
      <c r="X223" s="192" t="e">
        <f>VALUE(LEFT(AD223,4))-VALUE(LEFT(AD222,4))</f>
        <v>#VALUE!</v>
      </c>
      <c r="Y223" s="192">
        <f>RIGHT(D223,LEN(D223)-4)/10000</f>
        <v>0.32400000000000001</v>
      </c>
      <c r="Z223" s="192">
        <f>RIGHT(H223,LEN(H223)-4)/10000</f>
        <v>0.11600000000000001</v>
      </c>
      <c r="AA223" s="192">
        <f>ABS(Z223-Y223)</f>
        <v>0.20800000000000002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50-02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s3://rtdc.mdm.uploadarchive.raw/RTDC4045/ "%USERPROFILE%\AppData\Local\Temp\OnboardLogs"\RTDC4045\2017-05-02 --exclude "*" --recursive --include "*20170502*" &amp; "%USERPROFILE%\Documents\GitHub\mrs-test-scripts\Headless Mode &amp; Sideloading\WalkAndUnGZ.bat" "%USERPROFILE%\AppData\Local\Temp\OnboardLogs"\RTDC4045\2017-05-02 &amp; aws s3 cp s3://rtdc.mdm.uploadarchive.raw/RTDC4045/ "%USERPROFILE%\AppData\Local\Temp\OnboardLogs"\RTDC4045\2017-05-03 --exclude "*" --recursive --include "*20170503*" &amp; "%USERPROFILE%\Documents\GitHub\mrs-test-scripts\Headless Mode &amp; Sideloading\WalkAndUnGZ.bat" "%USERPROFILE%\AppData\Local\Temp\OnboardLogs"\RTDC4045\2017-05-03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/stypes="app*4045*20170502*" /stext=" 12:.+((SYSTEM_STATE.+slice.+state.+changed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21"/>
        <v>"%USERPROFILE%\Documents\GitHub\eaglep3\Utilities\RefineRTDCRunTimes.py" --tripid 50-02 --locoid 4045 --swversion DE.1.0.9.0 --startMP 204:3240 --initTime 2017-05-02T06:10:17 --startdatetime 2017-05-02T06:12:21 --delay 1 --endMP 204:1160 --enddatetime 2017-05-02T06:13:52 --enforcementcount 0 &gt;&gt;C:\Users\stu\Documents\GitHub\eaglep3-reporting\EC\2017-05-02-refined-times.txt</v>
      </c>
      <c r="AI223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{"issue":{"subject":"","project_id":79,"tracker_id":40,"status_id":1,"priority_id":2,"assigned_to_id":23,"start_date":"2017-05-02","description":"","custom_fields":[{"id":1,"name":"Subdivision","value":"Other"},{"id":4,"name":"Milepost","value":"0.116"},{"id":17,"name":"Train ID","value":"50-02"},{"id":16,"name":"Locomotive ID","value":"4045"},{"id":130,"name":"Impact","value":""},{"id":150,"name":"Time of Event (Mountain Time)","value":"06:13:52"},{"id":151,"name":"Denver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3"/>
        <v>start /low /b %USERPROFILE%\Documents\GitHub\eaglep3\Utilities\DownloadLogsFromS3.py --loco 4045 --day 2017-05-02</v>
      </c>
      <c r="AN223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646</v>
      </c>
      <c r="B224" s="7">
        <v>4046</v>
      </c>
      <c r="C224" s="21" t="s">
        <v>211</v>
      </c>
      <c r="D224" s="21" t="s">
        <v>457</v>
      </c>
      <c r="E224" s="13">
        <v>42857.246319444443</v>
      </c>
      <c r="F224" s="13">
        <v>42857.258576388886</v>
      </c>
      <c r="G224" s="7">
        <v>1</v>
      </c>
      <c r="H224" s="21" t="s">
        <v>908</v>
      </c>
      <c r="I224" s="13">
        <v>42857.259629629632</v>
      </c>
      <c r="J224" s="7">
        <v>0</v>
      </c>
      <c r="K224" s="92" t="str">
        <f>IF(ISEVEN(B224),(B224-1)&amp;"/"&amp;B224,B224&amp;"/"&amp;(B224+1))</f>
        <v>4045/4046</v>
      </c>
      <c r="L224" s="21" t="str">
        <f>VLOOKUP(A224,'Trips&amp;Operators'!$C$1:$G$99999,5,FALSE)</f>
        <v>SPECTOR MICHAEL</v>
      </c>
      <c r="M224" s="6">
        <f>I224-F224</f>
        <v>1.0532407468417659E-3</v>
      </c>
      <c r="N224" s="7">
        <f>24*60*SUM($M224:$M224)</f>
        <v>1.516666675452143</v>
      </c>
      <c r="O224" s="7"/>
      <c r="P224" s="7"/>
      <c r="Q224" s="22"/>
      <c r="R224" s="190"/>
      <c r="S224" s="196">
        <f>SUM(U224:U224)/IF(AG224="EC",12,1)</f>
        <v>0</v>
      </c>
      <c r="T224" s="190" t="e">
        <f>IF(ISEVEN(LEFT(AD224,4)),"Southbound","NorthBound")</f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-02T04:54:42-0600',mode:absolute,to:'2017-05-02T07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4" s="192" t="str">
        <f>IF(AA224&lt;IF(AG224="EC",23,5.65),"Y","N")</f>
        <v>Y</v>
      </c>
      <c r="X224" s="192" t="e">
        <f>VALUE(LEFT(AD224,4))-VALUE(LEFT(AD223,4))</f>
        <v>#VALUE!</v>
      </c>
      <c r="Y224" s="192">
        <f>RIGHT(D224,LEN(D224)-4)/10000</f>
        <v>4.4699999999999997E-2</v>
      </c>
      <c r="Z224" s="192">
        <f>RIGHT(H224,LEN(H224)-4)/10000</f>
        <v>0.35360000000000003</v>
      </c>
      <c r="AA224" s="192">
        <f>ABS(Z224-Y224)</f>
        <v>0.30890000000000001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50-02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s3://rtdc.mdm.uploadarchive.raw/RTDC4046/ "%USERPROFILE%\AppData\Local\Temp\OnboardLogs"\RTDC4046\2017-05-02 --exclude "*" --recursive --include "*20170502*" &amp; "%USERPROFILE%\Documents\GitHub\mrs-test-scripts\Headless Mode &amp; Sideloading\WalkAndUnGZ.bat" "%USERPROFILE%\AppData\Local\Temp\OnboardLogs"\RTDC4046\2017-05-02 &amp; aws s3 cp s3://rtdc.mdm.uploadarchive.raw/RTDC4046/ "%USERPROFILE%\AppData\Local\Temp\OnboardLogs"\RTDC4046\2017-05-03 --exclude "*" --recursive --include "*20170503*" &amp; "%USERPROFILE%\Documents\GitHub\mrs-test-scripts\Headless Mode &amp; Sideloading\WalkAndUnGZ.bat" "%USERPROFILE%\AppData\Local\Temp\OnboardLogs"\RTDC4046\2017-05-03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/stypes="app*4046*20170502*" /stext=" 12:.+((SYSTEM_STATE.+slice.+state.+changed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21"/>
        <v>"%USERPROFILE%\Documents\GitHub\eaglep3\Utilities\RefineRTDCRunTimes.py" --tripid 50-02 --locoid 4046 --swversion DE.1.0.9.0 --startMP 204:447 --initTime 2017-05-02T05:54:42 --startdatetime 2017-05-02T06:12:21 --delay 1 --endMP 204:3536 --enddatetime 2017-05-02T06:13:52 --enforcementcount 0 &gt;&gt;C:\Users\stu\Documents\GitHub\eaglep3-reporting\EC\2017-05-02-refined-times.txt</v>
      </c>
      <c r="AI224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{"issue":{"subject":"","project_id":79,"tracker_id":40,"status_id":1,"priority_id":2,"assigned_to_id":23,"start_date":"2017-05-02","description":"","custom_fields":[{"id":1,"name":"Subdivision","value":"Other"},{"id":4,"name":"Milepost","value":"0.3536"},{"id":17,"name":"Train ID","value":"50-02"},{"id":16,"name":"Locomotive ID","value":"4046"},{"id":130,"name":"Impact","value":""},{"id":150,"name":"Time of Event (Mountain Time)","value":"06:13:52"},{"id":151,"name":"Denver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3"/>
        <v>start /low /b %USERPROFILE%\Documents\GitHub\eaglep3\Utilities\DownloadLogsFromS3.py --loco 4046 --day 2017-05-02</v>
      </c>
      <c r="AN224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12:13:52"},{"id":29,"name":"Sharepoint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776</v>
      </c>
      <c r="B225" s="7">
        <v>4016</v>
      </c>
      <c r="C225" s="21" t="s">
        <v>211</v>
      </c>
      <c r="D225" s="21" t="s">
        <v>909</v>
      </c>
      <c r="E225" s="13">
        <v>42857.756851851853</v>
      </c>
      <c r="F225" s="13">
        <v>42857.772847222222</v>
      </c>
      <c r="G225" s="7">
        <v>2</v>
      </c>
      <c r="H225" s="21" t="s">
        <v>902</v>
      </c>
      <c r="I225" s="13">
        <v>42857.780717592592</v>
      </c>
      <c r="J225" s="7">
        <v>0</v>
      </c>
      <c r="K225" s="92" t="str">
        <f>IF(ISEVEN(B225),(B225-1)&amp;"/"&amp;B225,B225&amp;"/"&amp;(B225+1))</f>
        <v>4015/4016</v>
      </c>
      <c r="L225" s="21" t="str">
        <f>VLOOKUP(A225,'Trips&amp;Operators'!$C$1:$G$99999,5,FALSE)</f>
        <v>DE LA ROSA ALEX</v>
      </c>
      <c r="M225" s="6">
        <f>I225-F225</f>
        <v>7.8703703693463467E-3</v>
      </c>
      <c r="N225" s="7">
        <f>24*60*SUM($M225:$M225)</f>
        <v>11.333333331858739</v>
      </c>
      <c r="O225" s="7"/>
      <c r="P225" s="7"/>
      <c r="Q225" s="22"/>
      <c r="R225" s="190"/>
      <c r="S225" s="196">
        <f>SUM(U225:U225)/IF(AG225="EC",12,1)</f>
        <v>0</v>
      </c>
      <c r="T225" s="190" t="e">
        <f>IF(ISEVEN(LEFT(AD225,4)),"Southbound","NorthBound")</f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-02T17:09:52-0600',mode:absolute,to:'2017-05-02T19:44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192" t="str">
        <f>IF(AA225&lt;IF(AG225="EC",23,5.65),"Y","N")</f>
        <v>Y</v>
      </c>
      <c r="X225" s="192" t="e">
        <f>VALUE(LEFT(AD225,4))-VALUE(LEFT(AD224,4))</f>
        <v>#VALUE!</v>
      </c>
      <c r="Y225" s="192">
        <f>RIGHT(D225,LEN(D225)-4)/10000</f>
        <v>3.6799999999999999E-2</v>
      </c>
      <c r="Z225" s="192">
        <f>RIGHT(H225,LEN(H225)-4)/10000</f>
        <v>2.3311999999999999</v>
      </c>
      <c r="AA225" s="192">
        <f>ABS(Z225-Y225)</f>
        <v>2.2944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51-02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s3://rtdc.mdm.uploadarchive.raw/RTDC4016/ "%USERPROFILE%\AppData\Local\Temp\OnboardLogs"\RTDC4016\2017-05-02 --exclude "*" --recursive --include "*20170502*" &amp; "%USERPROFILE%\Documents\GitHub\mrs-test-scripts\Headless Mode &amp; Sideloading\WalkAndUnGZ.bat" "%USERPROFILE%\AppData\Local\Temp\OnboardLogs"\RTDC4016\2017-05-02 &amp; 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/stypes="app*4016*20170503*" /stext=" 00:.+((SYSTEM_STATE.+slice.+state.+changed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21"/>
        <v>"%USERPROFILE%\Documents\GitHub\eaglep3\Utilities\RefineRTDCRunTimes.py" --tripid 51-02 --locoid 4016 --swversion DE.1.0.9.0 --startMP 204:368 --initTime 2017-05-02T18:09:52 --startdatetime 2017-05-02T18:32:54 --delay 2 --endMP 300:23312 --enddatetime 2017-05-02T18:44:14 --enforcementcount 0 &gt;&gt;C:\Users\stu\Documents\GitHub\eaglep3-reporting\EC\2017-05-02-refined-times.txt</v>
      </c>
      <c r="AI225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{"issue":{"subject":"","project_id":79,"tracker_id":40,"status_id":1,"priority_id":2,"assigned_to_id":23,"start_date":"2017-05-02","description":"","custom_fields":[{"id":1,"name":"Subdivision","value":"Other"},{"id":4,"name":"Milepost","value":"2.3312"},{"id":17,"name":"Train ID","value":"51-02"},{"id":16,"name":"Locomotive ID","value":"4016"},{"id":130,"name":"Impact","value":""},{"id":150,"name":"Time of Event (Mountain Time)","value":"18:44:14"},{"id":151,"name":"Denver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3"/>
        <v>start /low /b %USERPROFILE%\Documents\GitHub\eaglep3\Utilities\DownloadLogsFromS3.py --loco 4016 --day 2017-05-02</v>
      </c>
      <c r="AN225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00:44:14"},{"id":29,"name":"Sharepoint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606</v>
      </c>
      <c r="B226" s="7">
        <v>4015</v>
      </c>
      <c r="C226" s="21" t="s">
        <v>211</v>
      </c>
      <c r="D226" s="21" t="s">
        <v>910</v>
      </c>
      <c r="E226" s="13">
        <v>42857.742361111108</v>
      </c>
      <c r="F226" s="13">
        <v>42857.74523148148</v>
      </c>
      <c r="G226" s="7">
        <v>4</v>
      </c>
      <c r="H226" s="21" t="s">
        <v>911</v>
      </c>
      <c r="I226" s="13">
        <v>42857.75037037037</v>
      </c>
      <c r="J226" s="7">
        <v>0</v>
      </c>
      <c r="K226" s="92" t="str">
        <f>IF(ISEVEN(B226),(B226-1)&amp;"/"&amp;B226,B226&amp;"/"&amp;(B226+1))</f>
        <v>4015/4016</v>
      </c>
      <c r="L226" s="21" t="str">
        <f>VLOOKUP(A226,'Trips&amp;Operators'!$C$1:$G$99999,5,FALSE)</f>
        <v>STORY SAMANTHA</v>
      </c>
      <c r="M226" s="6">
        <f>I226-F226</f>
        <v>5.1388888896326534E-3</v>
      </c>
      <c r="N226" s="7">
        <f>24*60*SUM($M226:$M226)</f>
        <v>7.400000001071021</v>
      </c>
      <c r="O226" s="7"/>
      <c r="P226" s="7"/>
      <c r="Q226" s="22"/>
      <c r="R226" s="190"/>
      <c r="S226" s="196">
        <f>SUM(U226:U226)/IF(AG226="EC",12,1)</f>
        <v>0</v>
      </c>
      <c r="T226" s="190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-02T16:49:00-0600',mode:absolute,to:'2017-05-02T19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192" t="str">
        <f>IF(AA226&lt;IF(AG226="EC",23,5.65),"Y","N")</f>
        <v>Y</v>
      </c>
      <c r="X226" s="192" t="e">
        <f>VALUE(LEFT(AD226,4))-VALUE(LEFT(AD225,4))</f>
        <v>#VALUE!</v>
      </c>
      <c r="Y226" s="192">
        <f>RIGHT(D226,LEN(D226)-4)/10000</f>
        <v>2.3389000000000002</v>
      </c>
      <c r="Z226" s="192">
        <f>RIGHT(H226,LEN(H226)-4)/10000</f>
        <v>6.1000000000000004E-3</v>
      </c>
      <c r="AA226" s="192">
        <f>ABS(Z226-Y226)</f>
        <v>2.3328000000000002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52-02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s3://rtdc.mdm.uploadarchive.raw/RTDC4015/ "%USERPROFILE%\AppData\Local\Temp\OnboardLogs"\RTDC4015\2017-05-02 --exclude "*" --recursive --include "*20170502*" &amp; "%USERPROFILE%\Documents\GitHub\mrs-test-scripts\Headless Mode &amp; Sideloading\WalkAndUnGZ.bat" "%USERPROFILE%\AppData\Local\Temp\OnboardLogs"\RTDC4015\2017-05-02 &amp; 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/stypes="app*4015*20170503*" /stext=" 00:.+((SYSTEM_STATE.+slice.+state.+changed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21"/>
        <v>"%USERPROFILE%\Documents\GitHub\eaglep3\Utilities\RefineRTDCRunTimes.py" --tripid 52-02 --locoid 4015 --swversion DE.1.0.9.0 --startMP 300:23389 --initTime 2017-05-02T17:49:00 --startdatetime 2017-05-02T17:53:08 --delay 4 --endMP 204:61 --enddatetime 2017-05-02T18:00:32 --enforcementcount 0 &gt;&gt;C:\Users\stu\Documents\GitHub\eaglep3-reporting\EC\2017-05-02-refined-times.txt</v>
      </c>
      <c r="AI226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{"issue":{"subject":"","project_id":79,"tracker_id":40,"status_id":1,"priority_id":2,"assigned_to_id":23,"start_date":"2017-05-02","description":"","custom_fields":[{"id":1,"name":"Subdivision","value":"Other"},{"id":4,"name":"Milepost","value":"0.0061"},{"id":17,"name":"Train ID","value":"52-02"},{"id":16,"name":"Locomotive ID","value":"4015"},{"id":130,"name":"Impact","value":""},{"id":150,"name":"Time of Event (Mountain Time)","value":"18:00:32"},{"id":151,"name":"Denver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3"/>
        <v>start /low /b %USERPROFILE%\Documents\GitHub\eaglep3\Utilities\DownloadLogsFromS3.py --loco 4015 --day 2017-05-02</v>
      </c>
      <c r="AN226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00:00:32"},{"id":29,"name":"Sharepoint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595</v>
      </c>
      <c r="B227" s="7">
        <v>4015</v>
      </c>
      <c r="C227" s="21" t="s">
        <v>211</v>
      </c>
      <c r="D227" s="21" t="s">
        <v>912</v>
      </c>
      <c r="E227" s="13">
        <v>42857.427268518521</v>
      </c>
      <c r="F227" s="13">
        <v>42857.430324074077</v>
      </c>
      <c r="G227" s="7">
        <v>4</v>
      </c>
      <c r="H227" s="21" t="s">
        <v>913</v>
      </c>
      <c r="I227" s="13">
        <v>42857.434236111112</v>
      </c>
      <c r="J227" s="7">
        <v>0</v>
      </c>
      <c r="K227" s="92" t="str">
        <f>IF(ISEVEN(B227),(B227-1)&amp;"/"&amp;B227,B227&amp;"/"&amp;(B227+1))</f>
        <v>4015/4016</v>
      </c>
      <c r="L227" s="21" t="str">
        <f>VLOOKUP(A227,'Trips&amp;Operators'!$C$1:$G$99999,5,FALSE)</f>
        <v>BEAM ROSS</v>
      </c>
      <c r="M227" s="6">
        <f>I227-F227</f>
        <v>3.9120370347518474E-3</v>
      </c>
      <c r="N227" s="7">
        <f>24*60*SUM($M227:$M227)</f>
        <v>5.6333333300426602</v>
      </c>
      <c r="O227" s="7"/>
      <c r="P227" s="7"/>
      <c r="Q227" s="22"/>
      <c r="R227" s="190"/>
      <c r="S227" s="196">
        <f>SUM(U227:U227)/IF(AG227="EC",12,1)</f>
        <v>0</v>
      </c>
      <c r="T227" s="190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-02T09:15:16-0600',mode:absolute,to:'2017-05-02T11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2" t="str">
        <f>IF(AA227&lt;IF(AG227="EC",23,5.65),"Y","N")</f>
        <v>Y</v>
      </c>
      <c r="X227" s="192" t="e">
        <f>VALUE(LEFT(AD227,4))-VALUE(LEFT(AD226,4))</f>
        <v>#VALUE!</v>
      </c>
      <c r="Y227" s="192">
        <f>RIGHT(D227,LEN(D227)-4)/10000</f>
        <v>2.0722999999999998</v>
      </c>
      <c r="Z227" s="192">
        <f>RIGHT(H227,LEN(H227)-4)/10000</f>
        <v>9.1700000000000004E-2</v>
      </c>
      <c r="AA227" s="192">
        <f>ABS(Z227-Y227)</f>
        <v>1.9805999999999999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54-02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s3://rtdc.mdm.uploadarchive.raw/RTDC4015/ "%USERPROFILE%\AppData\Local\Temp\OnboardLogs"\RTDC4015\2017-05-02 --exclude "*" --recursive --include "*20170502*" &amp; "%USERPROFILE%\Documents\GitHub\mrs-test-scripts\Headless Mode &amp; Sideloading\WalkAndUnGZ.bat" "%USERPROFILE%\AppData\Local\Temp\OnboardLogs"\RTDC4015\2017-05-02 &amp; 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/stypes="app*4015*20170502*" /stext=" 16:.+((SYSTEM_STATE.+slice.+state.+changed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21"/>
        <v>"%USERPROFILE%\Documents\GitHub\eaglep3\Utilities\RefineRTDCRunTimes.py" --tripid 54-02 --locoid 4015 --swversion DE.1.0.9.0 --startMP 300:20723 --initTime 2017-05-02T10:15:16 --startdatetime 2017-05-02T10:19:40 --delay 4 --endMP 204:917 --enddatetime 2017-05-02T10:25:18 --enforcementcount 0 &gt;&gt;C:\Users\stu\Documents\GitHub\eaglep3-reporting\EC\2017-05-02-refined-times.txt</v>
      </c>
      <c r="AI227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{"issue":{"subject":"","project_id":79,"tracker_id":40,"status_id":1,"priority_id":2,"assigned_to_id":23,"start_date":"2017-05-02","description":"","custom_fields":[{"id":1,"name":"Subdivision","value":"Other"},{"id":4,"name":"Milepost","value":"0.0917"},{"id":17,"name":"Train ID","value":"54-02"},{"id":16,"name":"Locomotive ID","value":"4015"},{"id":130,"name":"Impact","value":""},{"id":150,"name":"Time of Event (Mountain Time)","value":"10:25:18"},{"id":151,"name":"Denver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3"/>
        <v>start /low /b %USERPROFILE%\Documents\GitHub\eaglep3\Utilities\DownloadLogsFromS3.py --loco 4015 --day 2017-05-02</v>
      </c>
      <c r="AN227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16:25:18"},{"id":29,"name":"Sharepoint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704</v>
      </c>
      <c r="B228" s="7">
        <v>4016</v>
      </c>
      <c r="C228" s="21" t="s">
        <v>211</v>
      </c>
      <c r="D228" s="21" t="s">
        <v>566</v>
      </c>
      <c r="E228" s="13">
        <v>42857.468055555553</v>
      </c>
      <c r="F228" s="13">
        <v>42857.470370370371</v>
      </c>
      <c r="G228" s="7">
        <v>1</v>
      </c>
      <c r="H228" s="21" t="s">
        <v>914</v>
      </c>
      <c r="I228" s="13">
        <v>42857.475891203707</v>
      </c>
      <c r="J228" s="7">
        <v>0</v>
      </c>
      <c r="K228" s="92" t="str">
        <f>IF(ISEVEN(B228),(B228-1)&amp;"/"&amp;B228,B228&amp;"/"&amp;(B228+1))</f>
        <v>4015/4016</v>
      </c>
      <c r="L228" s="21" t="str">
        <f>VLOOKUP(A228,'Trips&amp;Operators'!$C$1:$G$99999,5,FALSE)</f>
        <v>MAELZER KURT</v>
      </c>
      <c r="M228" s="6">
        <f>I228-F228</f>
        <v>5.5208333360496908E-3</v>
      </c>
      <c r="N228" s="7">
        <f>24*60*SUM($M228:$M228)</f>
        <v>7.9500000039115548</v>
      </c>
      <c r="O228" s="7"/>
      <c r="P228" s="7"/>
      <c r="Q228" s="22"/>
      <c r="R228" s="190"/>
      <c r="S228" s="196">
        <f>SUM(U228:U228)/IF(AG228="EC",12,1)</f>
        <v>0</v>
      </c>
      <c r="T228" s="190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-02T10:14:00-0600',mode:absolute,to:'2017-05-02T12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192">
        <f>RIGHT(D228,LEN(D228)-4)/10000</f>
        <v>0.1225</v>
      </c>
      <c r="Z228" s="192">
        <f>RIGHT(H228,LEN(H228)-4)/10000</f>
        <v>2.4260000000000002</v>
      </c>
      <c r="AA228" s="192">
        <f>ABS(Z228-Y228)</f>
        <v>2.3035000000000001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55-02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s3://rtdc.mdm.uploadarchive.raw/RTDC4016/ "%USERPROFILE%\AppData\Local\Temp\OnboardLogs"\RTDC4016\2017-05-02 --exclude "*" --recursive --include "*20170502*" &amp; "%USERPROFILE%\Documents\GitHub\mrs-test-scripts\Headless Mode &amp; Sideloading\WalkAndUnGZ.bat" "%USERPROFILE%\AppData\Local\Temp\OnboardLogs"\RTDC4016\2017-05-02 &amp; 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/stypes="app*4016*20170502*" /stext=" 17:.+((SYSTEM_STATE.+slice.+state.+changed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21"/>
        <v>"%USERPROFILE%\Documents\GitHub\eaglep3\Utilities\RefineRTDCRunTimes.py" --tripid 55-02 --locoid 4016 --swversion DE.1.0.9.0 --startMP 204:1225 --initTime 2017-05-02T11:14:00 --startdatetime 2017-05-02T11:17:20 --delay 1 --endMP 300:24260 --enddatetime 2017-05-02T11:25:17 --enforcementcount 0 &gt;&gt;C:\Users\stu\Documents\GitHub\eaglep3-reporting\EC\2017-05-02-refined-times.txt</v>
      </c>
      <c r="AI228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{"issue":{"subject":"","project_id":79,"tracker_id":40,"status_id":1,"priority_id":2,"assigned_to_id":23,"start_date":"2017-05-02","description":"","custom_fields":[{"id":1,"name":"Subdivision","value":"Other"},{"id":4,"name":"Milepost","value":"2.426"},{"id":17,"name":"Train ID","value":"55-02"},{"id":16,"name":"Locomotive ID","value":"4016"},{"id":130,"name":"Impact","value":""},{"id":150,"name":"Time of Event (Mountain Time)","value":"11:25:17"},{"id":151,"name":"Denver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3"/>
        <v>start /low /b %USERPROFILE%\Documents\GitHub\eaglep3\Utilities\DownloadLogsFromS3.py --loco 4016 --day 2017-05-02</v>
      </c>
      <c r="AN228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17:25:17"},{"id":29,"name":"Sharepoint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773</v>
      </c>
      <c r="B229" s="7">
        <v>4029</v>
      </c>
      <c r="C229" s="21" t="s">
        <v>211</v>
      </c>
      <c r="D229" s="21" t="s">
        <v>915</v>
      </c>
      <c r="E229" s="13">
        <v>42857.750057870369</v>
      </c>
      <c r="F229" s="13">
        <v>42857.753969907404</v>
      </c>
      <c r="G229" s="7">
        <v>5</v>
      </c>
      <c r="H229" s="21" t="s">
        <v>916</v>
      </c>
      <c r="I229" s="13">
        <v>42857.758356481485</v>
      </c>
      <c r="J229" s="7">
        <v>0</v>
      </c>
      <c r="K229" s="92" t="str">
        <f>IF(ISEVEN(B229),(B229-1)&amp;"/"&amp;B229,B229&amp;"/"&amp;(B229+1))</f>
        <v>4029/4030</v>
      </c>
      <c r="L229" s="21" t="str">
        <f>VLOOKUP(A229,'Trips&amp;Operators'!$C$1:$G$99999,5,FALSE)</f>
        <v>DUNCAN SHEILA</v>
      </c>
      <c r="M229" s="6">
        <f>I229-F229</f>
        <v>4.3865740808541887E-3</v>
      </c>
      <c r="N229" s="7">
        <f>24*60*SUM($M229:$M229)</f>
        <v>6.3166666764300317</v>
      </c>
      <c r="O229" s="7"/>
      <c r="P229" s="7"/>
      <c r="Q229" s="22"/>
      <c r="R229" s="190"/>
      <c r="S229" s="196">
        <f>SUM(U229:U229)/IF(AG229="EC",12,1)</f>
        <v>0</v>
      </c>
      <c r="T229" s="190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-02T17:00:05-0600',mode:absolute,to:'2017-05-02T19:12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192">
        <f>RIGHT(D229,LEN(D229)-4)/10000</f>
        <v>2.2029999999999998</v>
      </c>
      <c r="Z229" s="192">
        <f>RIGHT(H229,LEN(H229)-4)/10000</f>
        <v>0.20480000000000001</v>
      </c>
      <c r="AA229" s="192">
        <f>ABS(Z229-Y229)</f>
        <v>1.9981999999999998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56-02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s3://rtdc.mdm.uploadarchive.raw/RTDC4029/ "%USERPROFILE%\AppData\Local\Temp\OnboardLogs"\RTDC4029\2017-05-02 --exclude "*" --recursive --include "*20170502*" &amp; "%USERPROFILE%\Documents\GitHub\mrs-test-scripts\Headless Mode &amp; Sideloading\WalkAndUnGZ.bat" "%USERPROFILE%\AppData\Local\Temp\OnboardLogs"\RTDC4029\2017-05-02 &amp; 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/stypes="app*4029*20170503*" /stext=" 00:.+((SYSTEM_STATE.+slice.+state.+changed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21"/>
        <v>"%USERPROFILE%\Documents\GitHub\eaglep3\Utilities\RefineRTDCRunTimes.py" --tripid 56-02 --locoid 4029 --swversion DE.1.0.9.0 --startMP 300:22030 --initTime 2017-05-02T18:00:05 --startdatetime 2017-05-02T18:05:43 --delay 5 --endMP 204:2048 --enddatetime 2017-05-02T18:12:02 --enforcementcount 0 &gt;&gt;C:\Users\stu\Documents\GitHub\eaglep3-reporting\EC\2017-05-02-refined-times.txt</v>
      </c>
      <c r="AI229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{"issue":{"subject":"","project_id":79,"tracker_id":40,"status_id":1,"priority_id":2,"assigned_to_id":23,"start_date":"2017-05-02","description":"","custom_fields":[{"id":1,"name":"Subdivision","value":"Other"},{"id":4,"name":"Milepost","value":"0.2048"},{"id":17,"name":"Train ID","value":"56-02"},{"id":16,"name":"Locomotive ID","value":"4029"},{"id":130,"name":"Impact","value":""},{"id":150,"name":"Time of Event (Mountain Time)","value":"18:12:02"},{"id":151,"name":"Denver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3"/>
        <v>start /low /b %USERPROFILE%\Documents\GitHub\eaglep3\Utilities\DownloadLogsFromS3.py --loco 4029 --day 2017-05-02</v>
      </c>
      <c r="AN229" s="154" t="str">
        <f t="shared" si="24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00:12:02"},{"id":29,"name":"Sharepoint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516</v>
      </c>
      <c r="B230" s="7">
        <v>4060</v>
      </c>
      <c r="C230" s="21" t="s">
        <v>211</v>
      </c>
      <c r="D230" s="21" t="s">
        <v>495</v>
      </c>
      <c r="E230" s="13">
        <v>42857.078136574077</v>
      </c>
      <c r="F230" s="13">
        <v>42857.080231481479</v>
      </c>
      <c r="G230" s="7">
        <v>1</v>
      </c>
      <c r="H230" s="21" t="s">
        <v>567</v>
      </c>
      <c r="I230" s="13">
        <v>42857.090532407405</v>
      </c>
      <c r="J230" s="7">
        <v>0</v>
      </c>
      <c r="K230" s="92" t="str">
        <f>IF(ISEVEN(B230),(B230-1)&amp;"/"&amp;B230,B230&amp;"/"&amp;(B230+1))</f>
        <v>4059/4060</v>
      </c>
      <c r="L230" s="21" t="str">
        <f>VLOOKUP(A230,'Trips&amp;Operators'!$C$1:$G$99999,5,FALSE)</f>
        <v>GUZMAN DANNY</v>
      </c>
      <c r="M230" s="6">
        <f>I230-F230</f>
        <v>1.0300925925548654E-2</v>
      </c>
      <c r="N230" s="7">
        <f>24*60*SUM($M230:$M230)</f>
        <v>14.833333332790062</v>
      </c>
      <c r="O230" s="7"/>
      <c r="P230" s="7"/>
      <c r="Q230" s="22"/>
      <c r="R230" s="190"/>
      <c r="S230" s="196">
        <f>SUM(U230:U230)/IF(AG230="EC",12,1)</f>
        <v>0</v>
      </c>
      <c r="T230" s="190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-02T00:52:31-0600',mode:absolute,to:'2017-05-02T03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0" s="192" t="str">
        <f>IF(AA230&lt;IF(AG230="EC",23,5.65),"Y","N")</f>
        <v>Y</v>
      </c>
      <c r="X230" s="192" t="e">
        <f>VALUE(LEFT(AD230,4))-VALUE(LEFT(AD229,4))</f>
        <v>#VALUE!</v>
      </c>
      <c r="Y230" s="192">
        <f>RIGHT(D230,LEN(D230)-4)/10000</f>
        <v>7.7899999999999997E-2</v>
      </c>
      <c r="Z230" s="192">
        <f>RIGHT(H230,LEN(H230)-4)/10000</f>
        <v>2.3294999999999999</v>
      </c>
      <c r="AA230" s="192">
        <f>ABS(Z230-Y230)</f>
        <v>2.2515999999999998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80-01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s3://rtdc.mdm.uploadarchive.raw/RTDC4060/ "%USERPROFILE%\AppData\Local\Temp\OnboardLogs"\RTDC4060\2017-05-02 --exclude "*" --recursive --include "*20170502*" &amp; "%USERPROFILE%\Documents\GitHub\mrs-test-scripts\Headless Mode &amp; Sideloading\WalkAndUnGZ.bat" "%USERPROFILE%\AppData\Local\Temp\OnboardLogs"\RTDC4060\2017-05-02 &amp; aws s3 cp s3://rtdc.mdm.uploadarchive.raw/RTDC4060/ "%USERPROFILE%\AppData\Local\Temp\OnboardLogs"\RTDC4060\2017-05-03 --exclude "*" --recursive --include "*20170503*" &amp; "%USERPROFILE%\Documents\GitHub\mrs-test-scripts\Headless Mode &amp; Sideloading\WalkAndUnGZ.bat" "%USERPROFILE%\AppData\Local\Temp\OnboardLogs"\RTDC4060\2017-05-03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/stypes="app*4060*20170502*" /stext=" 08:.+((SYSTEM_STATE.+slice.+state.+changed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21"/>
        <v>"%USERPROFILE%\Documents\GitHub\eaglep3\Utilities\RefineRTDCRunTimes.py" --tripid 80-01 --locoid 4060 --swversion DE.1.0.9.0 --startMP 204:779 --initTime 2017-05-02T01:52:31 --startdatetime 2017-05-02T01:55:32 --delay 1 --endMP 300:23295 --enddatetime 2017-05-02T02:10:22 --enforcementcount 0 &gt;&gt;C:\Users\stu\Documents\GitHub\eaglep3-reporting\EC\2017-05-02-refined-times.txt</v>
      </c>
      <c r="AI230" s="99" t="str">
        <f t="shared" si="22"/>
        <v>echo {"issue":{"subject":"","project_id":79,"tracker_id":40,"status_id":1,"priority_id":2,"assigned_to_id":23,"start_date":"2017-05-02","description":"","custom_fields":[{"id":1,"name":"Subdivision","value":"Other"},{"id":4,"name":"Milepost","value":"2.3295"},{"id":17,"name":"Train ID","value":"80-01"},{"id":16,"name":"Locomotive ID","value":"4060"},{"id":130,"name":"Impact","value":""},{"id":150,"name":"Time of Event (Mountain Time)","value":"02:10:22"},{"id":151,"name":"Denver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3"/>
        <v>start /low /b %USERPROFILE%\Documents\GitHub\eaglep3\Utilities\DownloadLogsFromS3.py --loco 4060 --day 2017-05-02</v>
      </c>
      <c r="AN230" s="154" t="str">
        <f t="shared" si="24"/>
        <v>echo {"issue":{"subject":"","project_id":30,"tracker_id":4,"status_id":1,"priority_id":1,"assigned_to_id":10,"start_date":"2017-05-02","description":"","custom_fields":[{"id":30,"name":"Category","value":"Issue"},{"id":3,"name":"Functional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UTC","value":"2017-05-02 08:10:22"},{"id":29,"name":"Sharepoint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</sheetData>
  <autoFilter ref="A12:AG269">
    <sortState ref="A13:AG269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76:X1048576 W13:X230">
    <cfRule type="cellIs" dxfId="10" priority="401" operator="equal">
      <formula>"Y"</formula>
    </cfRule>
  </conditionalFormatting>
  <conditionalFormatting sqref="X276:X1048576 X13:X230">
    <cfRule type="cellIs" dxfId="9" priority="384" operator="greaterThan">
      <formula>1</formula>
    </cfRule>
  </conditionalFormatting>
  <conditionalFormatting sqref="X276:X1048576 X12:X230">
    <cfRule type="cellIs" dxfId="8" priority="381" operator="equal">
      <formula>0</formula>
    </cfRule>
  </conditionalFormatting>
  <conditionalFormatting sqref="A13:S230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31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- 2017-05-02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42857.976446759261</v>
      </c>
      <c r="B7" s="30" t="s">
        <v>384</v>
      </c>
      <c r="C7" s="30" t="s">
        <v>615</v>
      </c>
      <c r="D7" s="30" t="s">
        <v>49</v>
      </c>
      <c r="E7" s="30" t="s">
        <v>191</v>
      </c>
      <c r="F7" s="42">
        <v>0</v>
      </c>
      <c r="G7" s="42">
        <v>186</v>
      </c>
      <c r="H7" s="42">
        <v>33355</v>
      </c>
      <c r="I7" s="42">
        <v>33068</v>
      </c>
      <c r="J7" s="30" t="s">
        <v>192</v>
      </c>
      <c r="K7" s="42">
        <v>33257</v>
      </c>
      <c r="L7" s="134" t="s">
        <v>51</v>
      </c>
      <c r="M7" s="135">
        <f>CONVERT((I7-K7)/10000,"mi","ft")*IF(L7="Increasing Mileposts (1)",-1,1)</f>
        <v>-99.792000000000002</v>
      </c>
      <c r="N7" s="136" t="str">
        <f>VLOOKUP(C7,'Trips&amp;Operators'!$C$1:$G$99999,5,FALSE)</f>
        <v>STORY SAMANTHA</v>
      </c>
      <c r="O7" s="207" t="s">
        <v>184</v>
      </c>
      <c r="P7" s="137" t="s">
        <v>586</v>
      </c>
      <c r="Q7" s="30"/>
      <c r="R7" s="84" t="str">
        <f>IF(VLOOKUP(C7,'Train Runs'!$A$13:$AE$9945,1,1)=C7,VLOOKUP(C7,'Train Runs'!$A$13:$AE$9945,31,1),NA())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S7" s="87" t="str">
        <f>VLOOKUP(C7,'Train Runs'!$A$13:$AE$9945,22,0)</f>
        <v>https://d0f6bd738d7f1b3e5a7ca70fe4ff75f0.us-east-1.aws.found.io/app/kibana#/discover/Steve-Slow-Train-Analysis-(2080s-and-2083s)?_g=(refreshInterval:(display:Off,pause:!f,section:0,value:0),time:(from:'2017-05-02T21:47:37-0600',mode:absolute,to:'2017-05-03T00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/stypes="*4009*201705030*" /stext=" 05:.+((SYSTEM_STATE.+slice.+state.+changed )|(ment ac)|(multiple cpu faults)|(system.+state.+changed )|(\[timeout)|(PRM\|1\|D)|(kpr)|(kdp)|(train st.+moving)|(\|lc)|(penalty))"</v>
      </c>
      <c r="U7" s="9" t="str">
        <f>MID(B7,13,4)</f>
        <v>4009</v>
      </c>
      <c r="V7" s="31">
        <f>A7-utc_offset/24</f>
        <v>42858.226446759261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arrival","project_id":79,"tracker_id":40,"status_id":1,"priority_id":2,"assigned_to_id":23,"start_date":"2017-05-02","description":"","custom_fields":[{"id":1,"name":"Subdivision","value":"EC"},{"id":4,"name":"Milepost","value":"3.3257"},{"id":17,"name":"Train ID","value":"234-02"},{"id":16,"name":"Locomotive ID","value":"4009"},{"id":130,"name":"Impact","value":""},{"id":150,"name":"Time of Event (Mountain Time)","value":"23:26:05"},{"id":151,"name":"Denver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"%USERPROFILE%\AppData\Local\Temp\OnboardLogs"\RTDC4009\*4009*201705030*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"%USERPROFILE%\AppData\Local\Temp\OnboardLogs"\RTDC4009\*4009*201705030* &gt;&gt; 2017-05-02-SliceDisagreementCheck.txt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4009 --day 2017-05-03</v>
      </c>
    </row>
    <row r="8" spans="1:32" s="1" customFormat="1" x14ac:dyDescent="0.25">
      <c r="A8" s="31">
        <v>42857.45207175926</v>
      </c>
      <c r="B8" s="30" t="s">
        <v>384</v>
      </c>
      <c r="C8" s="30" t="s">
        <v>596</v>
      </c>
      <c r="D8" s="30" t="s">
        <v>98</v>
      </c>
      <c r="E8" s="30" t="s">
        <v>191</v>
      </c>
      <c r="F8" s="42">
        <v>0</v>
      </c>
      <c r="G8" s="42">
        <v>76</v>
      </c>
      <c r="H8" s="42">
        <v>63307</v>
      </c>
      <c r="I8" s="42">
        <v>63224</v>
      </c>
      <c r="J8" s="30" t="s">
        <v>192</v>
      </c>
      <c r="K8" s="42">
        <v>63309</v>
      </c>
      <c r="L8" s="134" t="s">
        <v>51</v>
      </c>
      <c r="M8" s="135">
        <f>CONVERT((I8-K8)/10000,"mi","ft")*IF(L8="Increasing Mileposts (1)",-1,1)</f>
        <v>-44.88</v>
      </c>
      <c r="N8" s="136" t="str">
        <f>VLOOKUP(C8,'Trips&amp;Operators'!$C$1:$G$99999,5,FALSE)</f>
        <v>STARKS ANGELINA</v>
      </c>
      <c r="O8" s="207" t="s">
        <v>184</v>
      </c>
      <c r="P8" s="137" t="s">
        <v>586</v>
      </c>
      <c r="Q8" s="30"/>
      <c r="R8" s="84" t="str">
        <f>IF(VLOOKUP(C8,'Train Runs'!$A$13:$AE$9945,1,1)=C8,VLOOKUP(C8,'Train Runs'!$A$13:$AE$9945,31,1),NA())</f>
        <v>aws s3 cp s3://rtdc.mdm.uploadarchive.raw/RTDC4009/ "%USERPROFILE%\AppData\Local\Temp\OnboardLogs"\RTDC4009\2017-05-02 --exclude "*" --recursive --include "*20170502*" &amp; "%USERPROFILE%\Documents\GitHub\mrs-test-scripts\Headless Mode &amp; Sideloading\WalkAndUnGZ.bat" "%USERPROFILE%\AppData\Local\Temp\OnboardLogs"\RTDC4009\2017-05-02 &amp; 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</v>
      </c>
      <c r="S8" s="87" t="str">
        <f>VLOOKUP(C8,'Train Runs'!$A$13:$AE$9945,22,0)</f>
        <v>https://d0f6bd738d7f1b3e5a7ca70fe4ff75f0.us-east-1.aws.found.io/app/kibana#/discover/Steve-Slow-Train-Analysis-(2080s-and-2083s)?_g=(refreshInterval:(display:Off,pause:!f,section:0,value:0),time:(from:'2017-05-02T09:10:12-0600',mode:absolute,to:'2017-05-02T12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/stypes="*4009*201705021*" /stext=" 16:.+((SYSTEM_STATE.+slice.+state.+changed )|(ment ac)|(multiple cpu faults)|(system.+state.+changed )|(\[timeout)|(PRM\|1\|D)|(kpr)|(kdp)|(train st.+moving)|(\|lc)|(penalty))"</v>
      </c>
      <c r="U8" s="9" t="str">
        <f>MID(B8,13,4)</f>
        <v>4009</v>
      </c>
      <c r="V8" s="31">
        <f>A8-utc_offset/24</f>
        <v>42857.70207175926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arrival","project_id":79,"tracker_id":40,"status_id":1,"priority_id":2,"assigned_to_id":23,"start_date":"2017-05-02","description":"","custom_fields":[{"id":1,"name":"Subdivision","value":"EC"},{"id":4,"name":"Milepost","value":"6.3309"},{"id":17,"name":"Train ID","value":"148-02"},{"id":16,"name":"Locomotive ID","value":"4009"},{"id":130,"name":"Impact","value":""},{"id":150,"name":"Time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"%USERPROFILE%\AppData\Local\Temp\OnboardLogs"\RTDC4009\*4009*201705021*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"%USERPROFILE%\AppData\Local\Temp\OnboardLogs"\RTDC4009\*4009*201705021* &gt;&gt; 2017-05-02-SliceDisagreementCheck.txt</v>
      </c>
      <c r="AE8" s="148" t="str">
        <f t="shared" ref="AE8:AE37" si="1">"start /low /b "&amp;dls3logs&amp;" --loco "&amp;U8&amp;" --day "&amp;TEXT(V8,"YYYY-MM-DD")</f>
        <v>start /low /b %USERPROFILE%\Documents\GitHub\eaglep3\Utilities\DownloadLogsFromS3.py --loco 4009 --day 2017-05-02</v>
      </c>
    </row>
    <row r="9" spans="1:32" s="1" customFormat="1" x14ac:dyDescent="0.25">
      <c r="A9" s="31">
        <v>42858.055405092593</v>
      </c>
      <c r="B9" s="30" t="s">
        <v>384</v>
      </c>
      <c r="C9" s="30" t="s">
        <v>616</v>
      </c>
      <c r="D9" s="30" t="s">
        <v>49</v>
      </c>
      <c r="E9" s="30" t="s">
        <v>191</v>
      </c>
      <c r="F9" s="42">
        <v>100</v>
      </c>
      <c r="G9" s="42">
        <v>155</v>
      </c>
      <c r="H9" s="42">
        <v>63868</v>
      </c>
      <c r="I9" s="42">
        <v>63717</v>
      </c>
      <c r="J9" s="30" t="s">
        <v>192</v>
      </c>
      <c r="K9" s="42">
        <v>63309</v>
      </c>
      <c r="L9" s="134" t="s">
        <v>51</v>
      </c>
      <c r="M9" s="135">
        <f>CONVERT((I9-K9)/10000,"mi","ft")*IF(L9="Increasing Mileposts (1)",-1,1)</f>
        <v>215.42400000000001</v>
      </c>
      <c r="N9" s="136" t="str">
        <f>VLOOKUP(C9,'Trips&amp;Operators'!$C$1:$G$99999,5,FALSE)</f>
        <v>STORY SAMANTHA</v>
      </c>
      <c r="O9" s="207" t="s">
        <v>184</v>
      </c>
      <c r="P9" s="137" t="s">
        <v>586</v>
      </c>
      <c r="Q9" s="30"/>
      <c r="R9" s="84" t="str">
        <f>IF(VLOOKUP(C9,'Train Runs'!$A$13:$AE$9945,1,1)=C9,VLOOKUP(C9,'Train Runs'!$A$13:$AE$9945,31,1),NA())</f>
        <v>aws s3 cp s3://rtdc.mdm.uploadarchive.raw/RTDC4009/ "%USERPROFILE%\AppData\Local\Temp\OnboardLogs"\RTDC4009\2017-05-03 --exclude "*" --recursive --include "*20170503*" &amp; "%USERPROFILE%\Documents\GitHub\mrs-test-scripts\Headless Mode &amp; Sideloading\WalkAndUnGZ.bat" "%USERPROFILE%\AppData\Local\Temp\OnboardLogs"\RTDC4009\2017-05-03 &amp; aws s3 cp s3://rtdc.mdm.uploadarchive.raw/RTDC4009/ "%USERPROFILE%\AppData\Local\Temp\OnboardLogs"\RTDC4009\2017-05-04 --exclude "*" --recursive --include "*20170504*" &amp; "%USERPROFILE%\Documents\GitHub\mrs-test-scripts\Headless Mode &amp; Sideloading\WalkAndUnGZ.bat" "%USERPROFILE%\AppData\Local\Temp\OnboardLogs"\RTDC4009\2017-05-04</v>
      </c>
      <c r="S9" s="87" t="str">
        <f>VLOOKUP(C9,'Train Runs'!$A$13:$AE$9945,22,0)</f>
        <v>https://d0f6bd738d7f1b3e5a7ca70fe4ff75f0.us-east-1.aws.found.io/app/kibana#/discover/Steve-Slow-Train-Analysis-(2080s-and-2083s)?_g=(refreshInterval:(display:Off,pause:!f,section:0,value:0),time:(from:'2017-05-02T23:52:06-0600',mode:absolute,to:'2017-05-03T02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/stypes="*4009*201705030*" /stext=" 07:.+((SYSTEM_STATE.+slice.+state.+changed )|(ment ac)|(multiple cpu faults)|(system.+state.+changed )|(\[timeout)|(PRM\|1\|D)|(kpr)|(kdp)|(train st.+moving)|(\|lc)|(penalty))"</v>
      </c>
      <c r="U9" s="9" t="str">
        <f>MID(B9,13,4)</f>
        <v>4009</v>
      </c>
      <c r="V9" s="31">
        <f>A9-utc_offset/24</f>
        <v>42858.305405092593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arrival","project_id":79,"tracker_id":40,"status_id":1,"priority_id":2,"assigned_to_id":23,"start_date":"2017-05-03","description":"","custom_fields":[{"id":1,"name":"Subdivision","value":"EC"},{"id":4,"name":"Milepost","value":"6.3309"},{"id":17,"name":"Train ID","value":"242-02"},{"id":16,"name":"Locomotive ID","value":"4009"},{"id":130,"name":"Impact","value":""},{"id":150,"name":"Time of Event (Mountain Time)","value":"01:19:47"},{"id":151,"name":"Denver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"%USERPROFILE%\AppData\Local\Temp\OnboardLogs"\RTDC4009\*4009*201705030*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"%USERPROFILE%\AppData\Local\Temp\OnboardLogs"\RTDC4009\*4009*201705030* &gt;&gt; 2017-05-02-SliceDisagreementCheck.txt</v>
      </c>
      <c r="AE9" s="148" t="str">
        <f t="shared" si="1"/>
        <v>start /low /b %USERPROFILE%\Documents\GitHub\eaglep3\Utilities\DownloadLogsFromS3.py --loco 4009 --day 2017-05-03</v>
      </c>
    </row>
    <row r="10" spans="1:32" s="1" customFormat="1" x14ac:dyDescent="0.25">
      <c r="A10" s="31">
        <v>42857.462557870371</v>
      </c>
      <c r="B10" s="30" t="s">
        <v>462</v>
      </c>
      <c r="C10" s="30" t="s">
        <v>597</v>
      </c>
      <c r="D10" s="30" t="s">
        <v>49</v>
      </c>
      <c r="E10" s="30" t="s">
        <v>191</v>
      </c>
      <c r="F10" s="42">
        <v>660</v>
      </c>
      <c r="G10" s="42">
        <v>776</v>
      </c>
      <c r="H10" s="42">
        <v>107040</v>
      </c>
      <c r="I10" s="42">
        <v>110811</v>
      </c>
      <c r="J10" s="30" t="s">
        <v>192</v>
      </c>
      <c r="K10" s="42">
        <v>108954</v>
      </c>
      <c r="L10" s="134" t="s">
        <v>50</v>
      </c>
      <c r="M10" s="135">
        <f>CONVERT((I10-K10)/10000,"mi","ft")*IF(L10="Increasing Mileposts (1)",-1,1)</f>
        <v>-980.49599999999998</v>
      </c>
      <c r="N10" s="136" t="str">
        <f>VLOOKUP(C10,'Trips&amp;Operators'!$C$1:$G$99999,5,FALSE)</f>
        <v>LAMAR NEKESHA</v>
      </c>
      <c r="O10" s="207" t="s">
        <v>184</v>
      </c>
      <c r="P10" s="137" t="s">
        <v>586</v>
      </c>
      <c r="Q10" s="30"/>
      <c r="R10" s="84" t="str">
        <f>IF(VLOOKUP(C10,'Train Runs'!$A$13:$AE$9945,1,1)=C10,VLOOKUP(C10,'Train Runs'!$A$13:$AE$9945,31,1),NA())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S10" s="87" t="str">
        <f>VLOOKUP(C10,'Train Runs'!$A$13:$AE$9945,22,0)</f>
        <v>https://d0f6bd738d7f1b3e5a7ca70fe4ff75f0.us-east-1.aws.found.io/app/kibana#/discover/Steve-Slow-Train-Analysis-(2080s-and-2083s)?_g=(refreshInterval:(display:Off,pause:!f,section:0,value:0),time:(from:'2017-05-02T09:38:42-0600',mode:absolute,to:'2017-05-02T12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/stypes="*4042*201705021*" /stext=" 17:.+((SYSTEM_STATE.+slice.+state.+changed )|(ment ac)|(multiple cpu faults)|(system.+state.+changed )|(\[timeout)|(PRM\|1\|D)|(kpr)|(kdp)|(train st.+moving)|(\|lc)|(penalty))"</v>
      </c>
      <c r="U10" s="9" t="str">
        <f>MID(B10,13,4)</f>
        <v>4042</v>
      </c>
      <c r="V10" s="31">
        <f>A10-utc_offset/24</f>
        <v>42857.712557870371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arrival","project_id":79,"tracker_id":40,"status_id":1,"priority_id":2,"assigned_to_id":23,"start_date":"2017-05-02","description":"","custom_fields":[{"id":1,"name":"Subdivision","value":"EC"},{"id":4,"name":"Milepost","value":"10.8954"},{"id":17,"name":"Train ID","value":"157-02"},{"id":16,"name":"Locomotive ID","value":"4042"},{"id":130,"name":"Impact","value":""},{"id":150,"name":"Time of Event (Mountain Time)","value":"11:06:05"},{"id":151,"name":"Denver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"%USERPROFILE%\AppData\Local\Temp\OnboardLogs"\RTDC4042\*4042*201705021*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"%USERPROFILE%\AppData\Local\Temp\OnboardLogs"\RTDC4042\*4042*201705021* &gt;&gt; 2017-05-02-SliceDisagreementCheck.txt</v>
      </c>
      <c r="AE10" s="148" t="str">
        <f t="shared" si="1"/>
        <v>start /low /b %USERPROFILE%\Documents\GitHub\eaglep3\Utilities\DownloadLogsFromS3.py --loco 4042 --day 2017-05-02</v>
      </c>
    </row>
    <row r="11" spans="1:32" s="1" customFormat="1" x14ac:dyDescent="0.25">
      <c r="A11" s="31">
        <v>42857.384432870371</v>
      </c>
      <c r="B11" s="30" t="s">
        <v>356</v>
      </c>
      <c r="C11" s="30" t="s">
        <v>593</v>
      </c>
      <c r="D11" s="30" t="s">
        <v>49</v>
      </c>
      <c r="E11" s="30" t="s">
        <v>191</v>
      </c>
      <c r="F11" s="42">
        <v>0</v>
      </c>
      <c r="G11" s="42">
        <v>401</v>
      </c>
      <c r="H11" s="42">
        <v>109648</v>
      </c>
      <c r="I11" s="42">
        <v>109000</v>
      </c>
      <c r="J11" s="30" t="s">
        <v>192</v>
      </c>
      <c r="K11" s="42">
        <v>109135</v>
      </c>
      <c r="L11" s="134" t="s">
        <v>51</v>
      </c>
      <c r="M11" s="135">
        <f>CONVERT((I11-K11)/10000,"mi","ft")*IF(L11="Increasing Mileposts (1)",-1,1)</f>
        <v>-71.28</v>
      </c>
      <c r="N11" s="136" t="str">
        <f>VLOOKUP(C11,'Trips&amp;Operators'!$C$1:$G$99999,5,FALSE)</f>
        <v>THOMPSON LESTER</v>
      </c>
      <c r="O11" s="207" t="s">
        <v>184</v>
      </c>
      <c r="P11" s="137" t="s">
        <v>586</v>
      </c>
      <c r="Q11" s="30"/>
      <c r="R11" s="84" t="str">
        <f>IF(VLOOKUP(C11,'Train Runs'!$A$13:$AE$9945,1,1)=C11,VLOOKUP(C11,'Train Runs'!$A$13:$AE$9945,31,1),NA())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S11" s="87" t="str">
        <f>VLOOKUP(C11,'Train Runs'!$A$13:$AE$9945,22,0)</f>
        <v>https://d0f6bd738d7f1b3e5a7ca70fe4ff75f0.us-east-1.aws.found.io/app/kibana#/discover/Steve-Slow-Train-Analysis-(2080s-and-2083s)?_g=(refreshInterval:(display:Off,pause:!f,section:0,value:0),time:(from:'2017-05-02T07:53:35-0600',mode:absolute,to:'2017-05-02T10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/stypes="*4021*201705021*" /stext=" 15:.+((SYSTEM_STATE.+slice.+state.+changed )|(ment ac)|(multiple cpu faults)|(system.+state.+changed )|(\[timeout)|(PRM\|1\|D)|(kpr)|(kdp)|(train st.+moving)|(\|lc)|(penalty))"</v>
      </c>
      <c r="U11" s="9" t="str">
        <f>MID(B11,13,4)</f>
        <v>4021</v>
      </c>
      <c r="V11" s="31">
        <f>A11-utc_offset/24</f>
        <v>42857.634432870371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arrival","project_id":79,"tracker_id":40,"status_id":1,"priority_id":2,"assigned_to_id":23,"start_date":"2017-05-02","description":"","custom_fields":[{"id":1,"name":"Subdivision","value":"EC"},{"id":4,"name":"Milepost","value":"10.9135"},{"id":17,"name":"Train ID","value":"136-02"},{"id":16,"name":"Locomotive ID","value":"4021"},{"id":130,"name":"Impact","value":""},{"id":150,"name":"Time of Event (Mountain Time)","value":"09:13:35"},{"id":151,"name":"Denver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"%USERPROFILE%\AppData\Local\Temp\OnboardLogs"\RTDC4021\*4021*201705021*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"%USERPROFILE%\AppData\Local\Temp\OnboardLogs"\RTDC4021\*4021*201705021* &gt;&gt; 2017-05-02-SliceDisagreementCheck.txt</v>
      </c>
      <c r="AE11" s="148" t="str">
        <f t="shared" si="1"/>
        <v>start /low /b %USERPROFILE%\Documents\GitHub\eaglep3\Utilities\DownloadLogsFromS3.py --loco 4021 --day 2017-05-02</v>
      </c>
    </row>
    <row r="12" spans="1:32" s="1" customFormat="1" x14ac:dyDescent="0.25">
      <c r="A12" s="31">
        <v>42857.343310185184</v>
      </c>
      <c r="B12" s="30" t="s">
        <v>392</v>
      </c>
      <c r="C12" s="30" t="s">
        <v>590</v>
      </c>
      <c r="D12" s="30" t="s">
        <v>49</v>
      </c>
      <c r="E12" s="30" t="s">
        <v>191</v>
      </c>
      <c r="F12" s="42">
        <v>370</v>
      </c>
      <c r="G12" s="42">
        <v>422</v>
      </c>
      <c r="H12" s="42">
        <v>110182</v>
      </c>
      <c r="I12" s="42">
        <v>109048</v>
      </c>
      <c r="J12" s="30" t="s">
        <v>192</v>
      </c>
      <c r="K12" s="42">
        <v>109135</v>
      </c>
      <c r="L12" s="134" t="s">
        <v>51</v>
      </c>
      <c r="M12" s="135">
        <f>CONVERT((I12-K12)/10000,"mi","ft")*IF(L12="Increasing Mileposts (1)",-1,1)</f>
        <v>-45.936</v>
      </c>
      <c r="N12" s="136" t="str">
        <f>VLOOKUP(C12,'Trips&amp;Operators'!$C$1:$G$99999,5,FALSE)</f>
        <v>SANTIZO D. EDY</v>
      </c>
      <c r="O12" s="207" t="s">
        <v>184</v>
      </c>
      <c r="P12" s="137" t="s">
        <v>586</v>
      </c>
      <c r="Q12" s="30"/>
      <c r="R12" s="84" t="str">
        <f>IF(VLOOKUP(C12,'Train Runs'!$A$13:$AE$9945,1,1)=C12,VLOOKUP(C12,'Train Runs'!$A$13:$AE$9945,31,1),NA())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S12" s="87" t="str">
        <f>VLOOKUP(C12,'Train Runs'!$A$13:$AE$9945,22,0)</f>
        <v>https://d0f6bd738d7f1b3e5a7ca70fe4ff75f0.us-east-1.aws.found.io/app/kibana#/discover/Steve-Slow-Train-Analysis-(2080s-and-2083s)?_g=(refreshInterval:(display:Off,pause:!f,section:0,value:0),time:(from:'2017-05-02T06:37:33-0600',mode:absolute,to:'2017-05-02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/stypes="*4003*201705021*" /stext=" 14:.+((SYSTEM_STATE.+slice.+state.+changed )|(ment ac)|(multiple cpu faults)|(system.+state.+changed )|(\[timeout)|(PRM\|1\|D)|(kpr)|(kdp)|(train st.+moving)|(\|lc)|(penalty))"</v>
      </c>
      <c r="U12" s="9" t="str">
        <f>MID(B12,13,4)</f>
        <v>4003</v>
      </c>
      <c r="V12" s="31">
        <f>A12-utc_offset/24</f>
        <v>42857.593310185184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arrival","project_id":79,"tracker_id":40,"status_id":1,"priority_id":2,"assigned_to_id":23,"start_date":"2017-05-02","description":"","custom_fields":[{"id":1,"name":"Subdivision","value":"EC"},{"id":4,"name":"Milepost","value":"10.9135"},{"id":17,"name":"Train ID","value":"128-02"},{"id":16,"name":"Locomotive ID","value":"4003"},{"id":130,"name":"Impact","value":""},{"id":150,"name":"Time of Event (Mountain Time)","value":"08:14:22"},{"id":151,"name":"Denver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"%USERPROFILE%\AppData\Local\Temp\OnboardLogs"\RTDC4003\*4003*201705021*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"%USERPROFILE%\AppData\Local\Temp\OnboardLogs"\RTDC4003\*4003*201705021* &gt;&gt; 2017-05-02-SliceDisagreementCheck.txt</v>
      </c>
      <c r="AE12" s="148" t="str">
        <f t="shared" si="1"/>
        <v>start /low /b %USERPROFILE%\Documents\GitHub\eaglep3\Utilities\DownloadLogsFromS3.py --loco 4003 --day 2017-05-02</v>
      </c>
    </row>
    <row r="13" spans="1:32" s="1" customFormat="1" x14ac:dyDescent="0.25">
      <c r="A13" s="31">
        <v>42857.814409722225</v>
      </c>
      <c r="B13" s="30" t="s">
        <v>462</v>
      </c>
      <c r="C13" s="30" t="s">
        <v>610</v>
      </c>
      <c r="D13" s="30" t="s">
        <v>98</v>
      </c>
      <c r="E13" s="30" t="s">
        <v>209</v>
      </c>
      <c r="F13" s="42">
        <v>200</v>
      </c>
      <c r="G13" s="42">
        <v>250</v>
      </c>
      <c r="H13" s="42">
        <v>5145</v>
      </c>
      <c r="I13" s="42">
        <v>5539</v>
      </c>
      <c r="J13" s="30" t="s">
        <v>210</v>
      </c>
      <c r="K13" s="42">
        <v>4677</v>
      </c>
      <c r="L13" s="134" t="s">
        <v>50</v>
      </c>
      <c r="M13" s="135">
        <f>CONVERT((I13-K13)/10000,"mi","ft")*IF(L13="Increasing Mileposts (1)",-1,1)</f>
        <v>-455.13600000000002</v>
      </c>
      <c r="N13" s="136" t="str">
        <f>VLOOKUP(C13,'Trips&amp;Operators'!$C$1:$G$99999,5,FALSE)</f>
        <v>NEWELL JAMES</v>
      </c>
      <c r="O13" s="207" t="s">
        <v>184</v>
      </c>
      <c r="P13" s="137"/>
      <c r="Q13" s="30"/>
      <c r="R13" s="84" t="str">
        <f>IF(VLOOKUP(C13,'Train Runs'!$A$13:$AE$9945,1,1)=C13,VLOOKUP(C13,'Train Runs'!$A$13:$AE$9945,31,1),NA())</f>
        <v>aws s3 cp s3://rtdc.mdm.uploadarchive.raw/RTDC4042/ "%USERPROFILE%\AppData\Local\Temp\OnboardLogs"\RTDC4042\2017-05-02 --exclude "*" --recursive --include "*20170502*" &amp; "%USERPROFILE%\Documents\GitHub\mrs-test-scripts\Headless Mode &amp; Sideloading\WalkAndUnGZ.bat" "%USERPROFILE%\AppData\Local\Temp\OnboardLogs"\RTDC4042\2017-05-02 &amp; aws s3 cp s3://rtdc.mdm.uploadarchive.raw/RTDC4042/ "%USERPROFILE%\AppData\Local\Temp\OnboardLogs"\RTDC4042\2017-05-03 --exclude "*" --recursive --include "*20170503*" &amp; "%USERPROFILE%\Documents\GitHub\mrs-test-scripts\Headless Mode &amp; Sideloading\WalkAndUnGZ.bat" "%USERPROFILE%\AppData\Local\Temp\OnboardLogs"\RTDC4042\2017-05-03</v>
      </c>
      <c r="S13" s="87" t="str">
        <f>VLOOKUP(C13,'Train Runs'!$A$13:$AE$9945,22,0)</f>
        <v>https://d0f6bd738d7f1b3e5a7ca70fe4ff75f0.us-east-1.aws.found.io/app/kibana#/discover/Steve-Slow-Train-Analysis-(2080s-and-2083s)?_g=(refreshInterval:(display:Off,pause:!f,section:0,value:0),time:(from:'2017-05-02T18:20:24-0600',mode:absolute,to:'2017-05-02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/stypes="*4042*201705030*" /stext=" 01:.+((SYSTEM_STATE.+slice.+state.+changed )|(ment ac)|(multiple cpu faults)|(system.+state.+changed )|(\[timeout)|(PRM\|1\|D)|(kpr)|(kdp)|(train st.+moving)|(\|lc)|(penalty))"</v>
      </c>
      <c r="U13" s="9" t="str">
        <f>MID(B13,13,4)</f>
        <v>4042</v>
      </c>
      <c r="V13" s="31">
        <f>A13-utc_offset/24</f>
        <v>42858.064409722225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{"issue":{"subject":"","project_id":79,"tracker_id":40,"status_id":1,"priority_id":2,"assigned_to_id":23,"start_date":"2017-05-02","description":"","custom_fields":[{"id":1,"name":"Subdivision","value":"EC"},{"id":4,"name":"Milepost","value":"0.4677"},{"id":17,"name":"Train ID","value":"223-02"},{"id":16,"name":"Locomotive ID","value":"4042"},{"id":130,"name":"Impact","value":""},{"id":150,"name":"Time of Event (Mountain Time)","value":"19:32:45"},{"id":151,"name":"Denver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"%USERPROFILE%\AppData\Local\Temp\OnboardLogs"\RTDC4042\*4042*201705030*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"%USERPROFILE%\AppData\Local\Temp\OnboardLogs"\RTDC4042\*4042*201705030* &gt;&gt; 2017-05-02-SliceDisagreementCheck.txt</v>
      </c>
      <c r="AE13" s="148" t="str">
        <f t="shared" si="1"/>
        <v>start /low /b %USERPROFILE%\Documents\GitHub\eaglep3\Utilities\DownloadLogsFromS3.py --loco 4042 --day 2017-05-03</v>
      </c>
    </row>
    <row r="14" spans="1:32" x14ac:dyDescent="0.25">
      <c r="A14" s="31">
        <v>42857.77511574074</v>
      </c>
      <c r="B14" s="30" t="s">
        <v>381</v>
      </c>
      <c r="C14" s="30" t="s">
        <v>608</v>
      </c>
      <c r="D14" s="30" t="s">
        <v>49</v>
      </c>
      <c r="E14" s="30" t="s">
        <v>209</v>
      </c>
      <c r="F14" s="42">
        <v>400</v>
      </c>
      <c r="G14" s="42">
        <v>625</v>
      </c>
      <c r="H14" s="42">
        <v>113933</v>
      </c>
      <c r="I14" s="42">
        <v>116440</v>
      </c>
      <c r="J14" s="30" t="s">
        <v>210</v>
      </c>
      <c r="K14" s="42">
        <v>116838</v>
      </c>
      <c r="L14" s="134" t="s">
        <v>50</v>
      </c>
      <c r="M14" s="135">
        <f>CONVERT((I14-K14)/10000,"mi","ft")*IF(L14="Increasing Mileposts (1)",-1,1)</f>
        <v>210.14400000000001</v>
      </c>
      <c r="N14" s="136" t="str">
        <f>VLOOKUP(C14,'Trips&amp;Operators'!$C$1:$G$99999,5,FALSE)</f>
        <v>STORY SAMANTHA</v>
      </c>
      <c r="O14" s="207" t="s">
        <v>184</v>
      </c>
      <c r="P14" s="137"/>
      <c r="Q14" s="30"/>
      <c r="R14" s="84" t="str">
        <f>IF(VLOOKUP(C14,'Train Runs'!$A$13:$AE$9945,1,1)=C14,VLOOKUP(C14,'Train Runs'!$A$13:$AE$9945,31,1),NA())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S14" s="87" t="str">
        <f>VLOOKUP(C14,'Train Runs'!$A$13:$AE$9945,22,0)</f>
        <v>https://d0f6bd738d7f1b3e5a7ca70fe4ff75f0.us-east-1.aws.found.io/app/kibana#/discover/Steve-Slow-Train-Analysis-(2080s-and-2083s)?_g=(refreshInterval:(display:Off,pause:!f,section:0,value:0),time:(from:'2017-05-02T17:07:55-0600',mode:absolute,to:'2017-05-02T19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/stypes="*4010*201705030*" /stext=" 00:.+((SYSTEM_STATE.+slice.+state.+changed )|(ment ac)|(multiple cpu faults)|(system.+state.+changed )|(\[timeout)|(PRM\|1\|D)|(kpr)|(kdp)|(train st.+moving)|(\|lc)|(penalty))"</v>
      </c>
      <c r="U14" s="9" t="str">
        <f>MID(B14,13,4)</f>
        <v>4010</v>
      </c>
      <c r="V14" s="31">
        <f>A14-utc_offset/24</f>
        <v>42858.02511574074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{"issue":{"subject":"","project_id":79,"tracker_id":40,"status_id":1,"priority_id":2,"assigned_to_id":23,"start_date":"2017-05-02","description":"","custom_fields":[{"id":1,"name":"Subdivision","value":"EC"},{"id":4,"name":"Milepost","value":"11.6838"},{"id":17,"name":"Train ID","value":"217-02"},{"id":16,"name":"Locomotive ID","value":"4010"},{"id":130,"name":"Impact","value":""},{"id":150,"name":"Time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"%USERPROFILE%\AppData\Local\Temp\OnboardLogs"\RTDC4010\*4010*201705030*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"%USERPROFILE%\AppData\Local\Temp\OnboardLogs"\RTDC4010\*4010*201705030* &gt;&gt; 2017-05-02-SliceDisagreementCheck.txt</v>
      </c>
      <c r="AE14" s="148" t="str">
        <f t="shared" si="1"/>
        <v>start /low /b %USERPROFILE%\Documents\GitHub\eaglep3\Utilities\DownloadLogsFromS3.py --loco 4010 --day 2017-05-03</v>
      </c>
      <c r="AF14" s="1"/>
    </row>
    <row r="15" spans="1:32" x14ac:dyDescent="0.25">
      <c r="A15" s="31">
        <v>42857.523877314816</v>
      </c>
      <c r="B15" s="30" t="s">
        <v>356</v>
      </c>
      <c r="C15" s="30" t="s">
        <v>599</v>
      </c>
      <c r="D15" s="30" t="s">
        <v>98</v>
      </c>
      <c r="E15" s="30" t="s">
        <v>209</v>
      </c>
      <c r="F15" s="42">
        <v>700</v>
      </c>
      <c r="G15" s="42">
        <v>750</v>
      </c>
      <c r="H15" s="42">
        <v>179696</v>
      </c>
      <c r="I15" s="42">
        <v>176231</v>
      </c>
      <c r="J15" s="30" t="s">
        <v>210</v>
      </c>
      <c r="K15" s="42">
        <v>183829</v>
      </c>
      <c r="L15" s="134" t="s">
        <v>51</v>
      </c>
      <c r="M15" s="135">
        <f>CONVERT((I15-K15)/10000,"mi","ft")*IF(L15="Increasing Mileposts (1)",-1,1)</f>
        <v>-4011.7440000000001</v>
      </c>
      <c r="N15" s="136" t="str">
        <f>VLOOKUP(C15,'Trips&amp;Operators'!$C$1:$G$99999,5,FALSE)</f>
        <v>ZEWDU DEREJE</v>
      </c>
      <c r="O15" s="207" t="s">
        <v>184</v>
      </c>
      <c r="P15" s="137"/>
      <c r="Q15" s="30"/>
      <c r="R15" s="84" t="str">
        <f>IF(VLOOKUP(C15,'Train Runs'!$A$13:$AE$9945,1,1)=C15,VLOOKUP(C15,'Train Runs'!$A$13:$AE$9945,31,1),NA())</f>
        <v>aws s3 cp s3://rtdc.mdm.uploadarchive.raw/RTDC4021/ "%USERPROFILE%\AppData\Local\Temp\OnboardLogs"\RTDC4021\2017-05-02 --exclude "*" --recursive --include "*20170502*" &amp; "%USERPROFILE%\Documents\GitHub\mrs-test-scripts\Headless Mode &amp; Sideloading\WalkAndUnGZ.bat" "%USERPROFILE%\AppData\Local\Temp\OnboardLogs"\RTDC4021\2017-05-02 &amp; aws s3 cp s3://rtdc.mdm.uploadarchive.raw/RTDC4021/ "%USERPROFILE%\AppData\Local\Temp\OnboardLogs"\RTDC4021\2017-05-03 --exclude "*" --recursive --include "*20170503*" &amp; "%USERPROFILE%\Documents\GitHub\mrs-test-scripts\Headless Mode &amp; Sideloading\WalkAndUnGZ.bat" "%USERPROFILE%\AppData\Local\Temp\OnboardLogs"\RTDC4021\2017-05-03</v>
      </c>
      <c r="S15" s="87" t="str">
        <f>VLOOKUP(C15,'Train Runs'!$A$13:$AE$9945,22,0)</f>
        <v>https://d0f6bd738d7f1b3e5a7ca70fe4ff75f0.us-east-1.aws.found.io/app/kibana#/discover/Steve-Slow-Train-Analysis-(2080s-and-2083s)?_g=(refreshInterval:(display:Off,pause:!f,section:0,value:0),time:(from:'2017-05-02T11:09:30-0600',mode:absolute,to:'2017-05-02T14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/stypes="*4021*201705021*"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4021</v>
      </c>
      <c r="V15" s="31">
        <f>A15-utc_offset/24</f>
        <v>42857.773877314816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{"issue":{"subject":"","project_id":79,"tracker_id":40,"status_id":1,"priority_id":2,"assigned_to_id":23,"start_date":"2017-05-02","description":"","custom_fields":[{"id":1,"name":"Subdivision","value":"EC"},{"id":4,"name":"Milepost","value":"18.3829"},{"id":17,"name":"Train ID","value":"164-02"},{"id":16,"name":"Locomotive ID","value":"4021"},{"id":130,"name":"Impact","value":""},{"id":150,"name":"Time of Event (Mountain Time)","value":"12:34:23"},{"id":151,"name":"Denver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"%USERPROFILE%\AppData\Local\Temp\OnboardLogs"\RTDC4021\*4021*201705021*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"%USERPROFILE%\AppData\Local\Temp\OnboardLogs"\RTDC4021\*4021*201705021* &gt;&gt; 2017-05-02-SliceDisagreementCheck.txt</v>
      </c>
      <c r="AE15" s="148" t="str">
        <f t="shared" si="1"/>
        <v>start /low /b %USERPROFILE%\Documents\GitHub\eaglep3\Utilities\DownloadLogsFromS3.py --loco 4021 --day 2017-05-02</v>
      </c>
      <c r="AF15" s="1"/>
    </row>
    <row r="16" spans="1:32" x14ac:dyDescent="0.25">
      <c r="A16" s="31">
        <v>42857.503877314812</v>
      </c>
      <c r="B16" s="30" t="s">
        <v>392</v>
      </c>
      <c r="C16" s="30" t="s">
        <v>598</v>
      </c>
      <c r="D16" s="30" t="s">
        <v>49</v>
      </c>
      <c r="E16" s="30" t="s">
        <v>185</v>
      </c>
      <c r="F16" s="42">
        <v>0</v>
      </c>
      <c r="G16" s="42">
        <v>41</v>
      </c>
      <c r="H16" s="42">
        <v>149</v>
      </c>
      <c r="I16" s="42">
        <v>125</v>
      </c>
      <c r="J16" s="30" t="s">
        <v>186</v>
      </c>
      <c r="K16" s="42">
        <v>1</v>
      </c>
      <c r="L16" s="134" t="s">
        <v>51</v>
      </c>
      <c r="M16" s="135">
        <f>CONVERT((I16-K16)/10000,"mi","ft")*IF(L16="Increasing Mileposts (1)",-1,1)</f>
        <v>65.471999999999994</v>
      </c>
      <c r="N16" s="136" t="str">
        <f>VLOOKUP(C16,'Trips&amp;Operators'!$C$1:$G$99999,5,FALSE)</f>
        <v>YORK EDGAR</v>
      </c>
      <c r="O16" s="207" t="s">
        <v>184</v>
      </c>
      <c r="P16" s="137"/>
      <c r="Q16" s="30"/>
      <c r="R16" s="84" t="str">
        <f>IF(VLOOKUP(C16,'Train Runs'!$A$13:$AE$9945,1,1)=C16,VLOOKUP(C16,'Train Runs'!$A$13:$AE$9945,31,1),NA())</f>
        <v>aws s3 cp s3://rtdc.mdm.uploadarchive.raw/RTDC4003/ "%USERPROFILE%\AppData\Local\Temp\OnboardLogs"\RTDC4003\2017-05-02 --exclude "*" --recursive --include "*20170502*" &amp; "%USERPROFILE%\Documents\GitHub\mrs-test-scripts\Headless Mode &amp; Sideloading\WalkAndUnGZ.bat" "%USERPROFILE%\AppData\Local\Temp\OnboardLogs"\RTDC4003\2017-05-02 &amp; aws s3 cp s3://rtdc.mdm.uploadarchive.raw/RTDC4003/ "%USERPROFILE%\AppData\Local\Temp\OnboardLogs"\RTDC4003\2017-05-03 --exclude "*" --recursive --include "*20170503*" &amp; "%USERPROFILE%\Documents\GitHub\mrs-test-scripts\Headless Mode &amp; Sideloading\WalkAndUnGZ.bat" "%USERPROFILE%\AppData\Local\Temp\OnboardLogs"\RTDC4003\2017-05-03</v>
      </c>
      <c r="S16" s="87" t="str">
        <f>VLOOKUP(C16,'Train Runs'!$A$13:$AE$9945,22,0)</f>
        <v>https://d0f6bd738d7f1b3e5a7ca70fe4ff75f0.us-east-1.aws.found.io/app/kibana#/discover/Steve-Slow-Train-Analysis-(2080s-and-2083s)?_g=(refreshInterval:(display:Off,pause:!f,section:0,value:0),time:(from:'2017-05-02T10:06:17-0600',mode:absolute,to:'2017-05-02T13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/stypes="*4003*201705021*" /stext=" 18:.+((SYSTEM_STATE.+slice.+state.+changed )|(ment ac)|(multiple cpu faults)|(system.+state.+changed )|(\[timeout)|(PRM\|1\|D)|(kpr)|(kdp)|(train st.+moving)|(\|lc)|(penalty))"</v>
      </c>
      <c r="U16" s="9" t="str">
        <f>MID(B16,13,4)</f>
        <v>4003</v>
      </c>
      <c r="V16" s="31">
        <f>A16-utc_offset/24</f>
        <v>42857.753877314812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{"issue":{"subject":"","project_id":79,"tracker_id":40,"status_id":1,"priority_id":2,"assigned_to_id":23,"start_date":"2017-05-02","description":"","custom_fields":[{"id":1,"name":"Subdivision","value":"EC"},{"id":4,"name":"Milepost","value":"0.0001"},{"id":17,"name":"Train ID","value":"156-02"},{"id":16,"name":"Locomotive ID","value":"4003"},{"id":130,"name":"Impact","value":""},{"id":150,"name":"Time of Event (Mountain Time)","value":"12:05:35"},{"id":151,"name":"Denver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"%USERPROFILE%\AppData\Local\Temp\OnboardLogs"\RTDC4003\*4003*201705021*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"%USERPROFILE%\AppData\Local\Temp\OnboardLogs"\RTDC4003\*4003*201705021* &gt;&gt; 2017-05-02-SliceDisagreementCheck.txt</v>
      </c>
      <c r="AE16" s="148" t="str">
        <f t="shared" si="1"/>
        <v>start /low /b %USERPROFILE%\Documents\GitHub\eaglep3\Utilities\DownloadLogsFromS3.py --loco 4003 --day 2017-05-02</v>
      </c>
      <c r="AF16" s="1"/>
    </row>
    <row r="17" spans="1:32" x14ac:dyDescent="0.25">
      <c r="A17" s="31">
        <v>42857.858425925922</v>
      </c>
      <c r="B17" s="30" t="s">
        <v>381</v>
      </c>
      <c r="C17" s="30" t="s">
        <v>613</v>
      </c>
      <c r="D17" s="30" t="s">
        <v>49</v>
      </c>
      <c r="E17" s="30" t="s">
        <v>185</v>
      </c>
      <c r="F17" s="42">
        <v>0</v>
      </c>
      <c r="G17" s="42">
        <v>52</v>
      </c>
      <c r="H17" s="42">
        <v>233304</v>
      </c>
      <c r="I17" s="42">
        <v>233359</v>
      </c>
      <c r="J17" s="30" t="s">
        <v>186</v>
      </c>
      <c r="K17" s="42">
        <v>233491</v>
      </c>
      <c r="L17" s="134" t="s">
        <v>50</v>
      </c>
      <c r="M17" s="135">
        <f>CONVERT((I17-K17)/10000,"mi","ft")*IF(L17="Increasing Mileposts (1)",-1,1)</f>
        <v>69.695999999999998</v>
      </c>
      <c r="N17" s="136" t="str">
        <f>VLOOKUP(C17,'Trips&amp;Operators'!$C$1:$G$99999,5,FALSE)</f>
        <v>STORY SAMANTHA</v>
      </c>
      <c r="O17" s="207" t="s">
        <v>184</v>
      </c>
      <c r="P17" s="137"/>
      <c r="Q17" s="30"/>
      <c r="R17" s="84" t="str">
        <f>IF(VLOOKUP(C17,'Train Runs'!$A$13:$AE$9945,1,1)=C17,VLOOKUP(C17,'Train Runs'!$A$13:$AE$9945,31,1),NA())</f>
        <v>aws s3 cp s3://rtdc.mdm.uploadarchive.raw/RTDC4010/ "%USERPROFILE%\AppData\Local\Temp\OnboardLogs"\RTDC4010\2017-05-02 --exclude "*" --recursive --include "*20170502*" &amp; "%USERPROFILE%\Documents\GitHub\mrs-test-scripts\Headless Mode &amp; Sideloading\WalkAndUnGZ.bat" "%USERPROFILE%\AppData\Local\Temp\OnboardLogs"\RTDC4010\2017-05-02 &amp; aws s3 cp s3://rtdc.mdm.uploadarchive.raw/RTDC4010/ "%USERPROFILE%\AppData\Local\Temp\OnboardLogs"\RTDC4010\2017-05-03 --exclude "*" --recursive --include "*20170503*" &amp; "%USERPROFILE%\Documents\GitHub\mrs-test-scripts\Headless Mode &amp; Sideloading\WalkAndUnGZ.bat" "%USERPROFILE%\AppData\Local\Temp\OnboardLogs"\RTDC4010\2017-05-03</v>
      </c>
      <c r="S17" s="87" t="str">
        <f>VLOOKUP(C17,'Train Runs'!$A$13:$AE$9945,22,0)</f>
        <v>https://d0f6bd738d7f1b3e5a7ca70fe4ff75f0.us-east-1.aws.found.io/app/kibana#/discover/Steve-Slow-Train-Analysis-(2080s-and-2083s)?_g=(refreshInterval:(display:Off,pause:!f,section:0,value:0),time:(from:'2017-05-02T18:52:40-0600',mode:absolute,to:'2017-05-02T21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/stypes="*4010*201705030*" /stext=" 02:.+((SYSTEM_STATE.+slice.+state.+changed )|(ment ac)|(multiple cpu faults)|(system.+state.+changed )|(\[timeout)|(PRM\|1\|D)|(kpr)|(kdp)|(train st.+moving)|(\|lc)|(penalty))"</v>
      </c>
      <c r="U17" s="9" t="str">
        <f>MID(B17,13,4)</f>
        <v>4010</v>
      </c>
      <c r="V17" s="31">
        <f>A17-utc_offset/24</f>
        <v>42858.108425925922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{"issue":{"subject":"","project_id":79,"tracker_id":40,"status_id":1,"priority_id":2,"assigned_to_id":23,"start_date":"2017-05-02","description":"","custom_fields":[{"id":1,"name":"Subdivision","value":"EC"},{"id":4,"name":"Milepost","value":"23.3491"},{"id":17,"name":"Train ID","value":"225-02"},{"id":16,"name":"Locomotive ID","value":"4010"},{"id":130,"name":"Impact","value":""},{"id":150,"name":"Time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"%USERPROFILE%\AppData\Local\Temp\OnboardLogs"\RTDC4010\*4010*201705030*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"%USERPROFILE%\AppData\Local\Temp\OnboardLogs"\RTDC4010\*4010*201705030* &gt;&gt; 2017-05-02-SliceDisagreementCheck.txt</v>
      </c>
      <c r="AE17" s="148" t="str">
        <f t="shared" si="1"/>
        <v>start /low /b %USERPROFILE%\Documents\GitHub\eaglep3\Utilities\DownloadLogsFromS3.py --loco 4010 --day 2017-05-03</v>
      </c>
      <c r="AF17" s="1"/>
    </row>
    <row r="18" spans="1:32" x14ac:dyDescent="0.25">
      <c r="A18" s="31">
        <v>42857.247129629628</v>
      </c>
      <c r="B18" s="30" t="s">
        <v>351</v>
      </c>
      <c r="C18" s="30" t="s">
        <v>589</v>
      </c>
      <c r="D18" s="30" t="s">
        <v>49</v>
      </c>
      <c r="E18" s="30" t="s">
        <v>209</v>
      </c>
      <c r="F18" s="42">
        <v>300</v>
      </c>
      <c r="G18" s="42">
        <v>353</v>
      </c>
      <c r="H18" s="42">
        <v>20869</v>
      </c>
      <c r="I18" s="42">
        <v>21814</v>
      </c>
      <c r="J18" s="30" t="s">
        <v>210</v>
      </c>
      <c r="K18" s="42">
        <v>21299</v>
      </c>
      <c r="L18" s="134" t="s">
        <v>50</v>
      </c>
      <c r="M18" s="135">
        <f>CONVERT((I18-K18)/10000,"mi","ft")*IF(L18="Increasing Mileposts (1)",-1,1)</f>
        <v>-271.92</v>
      </c>
      <c r="N18" s="136" t="str">
        <f>VLOOKUP(C18,'Trips&amp;Operators'!$C$1:$G$99999,5,FALSE)</f>
        <v>YORK EDGAR</v>
      </c>
      <c r="O18" s="207" t="s">
        <v>184</v>
      </c>
      <c r="P18" s="137"/>
      <c r="Q18" s="30"/>
      <c r="R18" s="84" t="str">
        <f>IF(VLOOKUP(C18,'Train Runs'!$A$13:$AE$9945,1,1)=C18,VLOOKUP(C18,'Train Runs'!$A$13:$AE$9945,31,1),NA())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S18" s="87" t="str">
        <f>VLOOKUP(C18,'Train Runs'!$A$13:$AE$9945,22,0)</f>
        <v>https://d0f6bd738d7f1b3e5a7ca70fe4ff75f0.us-east-1.aws.found.io/app/kibana#/discover/Steve-Slow-Train-Analysis-(2080s-and-2083s)?_g=(refreshInterval:(display:Off,pause:!f,section:0,value:0),time:(from:'2017-05-02T04:26:16-0600',mode:absolute,to:'2017-05-02T07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/stypes="*4028*201705021*" /stext=" 11:.+((SYSTEM_STATE.+slice.+state.+changed )|(ment ac)|(multiple cpu faults)|(system.+state.+changed )|(\[timeout)|(PRM\|1\|D)|(kpr)|(kdp)|(train st.+moving)|(\|lc)|(penalty))"</v>
      </c>
      <c r="U18" s="9" t="str">
        <f>MID(B18,13,4)</f>
        <v>4028</v>
      </c>
      <c r="V18" s="31">
        <f>A18-utc_offset/24</f>
        <v>42857.497129629628</v>
      </c>
      <c r="W18" s="45" t="str">
        <f>IFERROR(IF(VALUE(LEFT(IF(LEN(C18)=6,"0"&amp;C18,C18),2))&lt;=2,"EC",IF(OR(VALUE(LEFT(IF(LEN(C18)=6,"0"&amp;C18,C18),2))=8,VALUE(LEFT(IF(LEN(C18)=6,"0"&amp;C18,C18),2))=18),"NW","Other")),"Other")</f>
        <v>NW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{"issue":{"subject":"","project_id":79,"tracker_id":40,"status_id":1,"priority_id":2,"assigned_to_id":23,"start_date":"2017-05-02","description":"","custom_fields":[{"id":1,"name":"Subdivision","value":"NW"},{"id":4,"name":"Milepost","value":"2.1299"},{"id":17,"name":"Train ID","value":"801-02"},{"id":16,"name":"Locomotive ID","value":"4028"},{"id":130,"name":"Impact","value":""},{"id":150,"name":"Time of Event (Mountain Time)","value":"05:55:52"},{"id":151,"name":"Denver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"%USERPROFILE%\AppData\Local\Temp\OnboardLogs"\RTDC4028\*4028*201705021*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"%USERPROFILE%\AppData\Local\Temp\OnboardLogs"\RTDC4028\*4028*201705021* &gt;&gt; 2017-05-02-SliceDisagreementCheck.txt</v>
      </c>
      <c r="AE18" s="148" t="str">
        <f t="shared" si="1"/>
        <v>start /low /b %USERPROFILE%\Documents\GitHub\eaglep3\Utilities\DownloadLogsFromS3.py --loco 4028 --day 2017-05-02</v>
      </c>
      <c r="AF18" s="1"/>
    </row>
    <row r="19" spans="1:32" x14ac:dyDescent="0.25">
      <c r="A19" s="31">
        <v>42857.617511574077</v>
      </c>
      <c r="B19" s="30" t="s">
        <v>376</v>
      </c>
      <c r="C19" s="30" t="s">
        <v>601</v>
      </c>
      <c r="D19" s="30" t="s">
        <v>98</v>
      </c>
      <c r="E19" s="30" t="s">
        <v>209</v>
      </c>
      <c r="F19" s="42">
        <v>300</v>
      </c>
      <c r="G19" s="42">
        <v>351</v>
      </c>
      <c r="H19" s="42">
        <v>21004</v>
      </c>
      <c r="I19" s="42">
        <v>20165</v>
      </c>
      <c r="J19" s="30" t="s">
        <v>210</v>
      </c>
      <c r="K19" s="42">
        <v>23561</v>
      </c>
      <c r="L19" s="134" t="s">
        <v>51</v>
      </c>
      <c r="M19" s="135">
        <f>CONVERT((I19-K19)/10000,"mi","ft")*IF(L19="Increasing Mileposts (1)",-1,1)</f>
        <v>-1793.088</v>
      </c>
      <c r="N19" s="136" t="str">
        <f>VLOOKUP(C19,'Trips&amp;Operators'!$C$1:$G$99999,5,FALSE)</f>
        <v>LEVIN SCOTT</v>
      </c>
      <c r="O19" s="207" t="s">
        <v>184</v>
      </c>
      <c r="P19" s="137"/>
      <c r="Q19" s="30"/>
      <c r="R19" s="84" t="e">
        <f>IF(VLOOKUP(C19,'Train Runs'!$A$13:$AE$9945,1,1)=C19,VLOOKUP(C19,'Train Runs'!$A$13:$AE$9945,31,1),NA())</f>
        <v>#N/A</v>
      </c>
      <c r="S19" s="87" t="str">
        <f>VLOOKUP(C19,'Train Runs'!$A$13:$AE$9945,22,0)</f>
        <v>https://d0f6bd738d7f1b3e5a7ca70fe4ff75f0.us-east-1.aws.found.io/app/kibana#/discover/Steve-Slow-Train-Analysis-(2080s-and-2083s)?_g=(refreshInterval:(display:Off,pause:!f,section:0,value:0),time:(from:'2017-05-02T13:36:15-0600',mode:absolute,to:'2017-05-02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/stypes="*4013*201705022*" /stext=" 20:.+((SYSTEM_STATE.+slice.+state.+changed )|(ment ac)|(multiple cpu faults)|(system.+state.+changed )|(\[timeout)|(PRM\|1\|D)|(kpr)|(kdp)|(train st.+moving)|(\|lc)|(penalty))"</v>
      </c>
      <c r="U19" s="9" t="str">
        <f>MID(B19,13,4)</f>
        <v>4013</v>
      </c>
      <c r="V19" s="31">
        <f>A19-utc_offset/24</f>
        <v>42857.867511574077</v>
      </c>
      <c r="W19" s="45" t="str">
        <f>IFERROR(IF(VALUE(LEFT(IF(LEN(C19)=6,"0"&amp;C19,C19),2))&lt;=2,"EC",IF(OR(VALUE(LEFT(IF(LEN(C19)=6,"0"&amp;C19,C19),2))=8,VALUE(LEFT(IF(LEN(C19)=6,"0"&amp;C19,C19),2))=18),"NW","Other")),"Other")</f>
        <v>NW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{"issue":{"subject":"","project_id":79,"tracker_id":40,"status_id":1,"priority_id":2,"assigned_to_id":23,"start_date":"2017-05-02","description":"","custom_fields":[{"id":1,"name":"Subdivision","value":"NW"},{"id":4,"name":"Milepost","value":"2.3561"},{"id":17,"name":"Train ID","value":"824-02"},{"id":16,"name":"Locomotive ID","value":"4013"},{"id":130,"name":"Impact","value":""},{"id":150,"name":"Time of Event (Mountain Time)","value":"14:49:13"},{"id":151,"name":"Denver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"%USERPROFILE%\AppData\Local\Temp\OnboardLogs"\RTDC4013\*4013*201705022*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"%USERPROFILE%\AppData\Local\Temp\OnboardLogs"\RTDC4013\*4013*201705022* &gt;&gt; 2017-05-02-SliceDisagreementCheck.txt</v>
      </c>
      <c r="AE19" s="148" t="str">
        <f t="shared" si="1"/>
        <v>start /low /b %USERPROFILE%\Documents\GitHub\eaglep3\Utilities\DownloadLogsFromS3.py --loco 4013 --day 2017-05-02</v>
      </c>
      <c r="AF19" s="1"/>
    </row>
    <row r="20" spans="1:32" x14ac:dyDescent="0.25">
      <c r="A20" s="31">
        <v>42857.371516203704</v>
      </c>
      <c r="B20" s="30" t="s">
        <v>376</v>
      </c>
      <c r="C20" s="30" t="s">
        <v>592</v>
      </c>
      <c r="D20" s="30" t="s">
        <v>49</v>
      </c>
      <c r="E20" s="30" t="s">
        <v>185</v>
      </c>
      <c r="F20" s="42">
        <v>0</v>
      </c>
      <c r="G20" s="42">
        <v>83</v>
      </c>
      <c r="H20" s="42">
        <v>820</v>
      </c>
      <c r="I20" s="42">
        <v>727</v>
      </c>
      <c r="J20" s="30" t="s">
        <v>186</v>
      </c>
      <c r="K20" s="42">
        <v>575</v>
      </c>
      <c r="L20" s="134" t="s">
        <v>51</v>
      </c>
      <c r="M20" s="135">
        <f>CONVERT((I20-K20)/10000,"mi","ft")*IF(L20="Increasing Mileposts (1)",-1,1)</f>
        <v>80.256</v>
      </c>
      <c r="N20" s="136" t="str">
        <f>VLOOKUP(C20,'Trips&amp;Operators'!$C$1:$G$99999,5,FALSE)</f>
        <v>BROWN JACOB</v>
      </c>
      <c r="O20" s="207" t="s">
        <v>184</v>
      </c>
      <c r="P20" s="137"/>
      <c r="Q20" s="30"/>
      <c r="R20" s="84" t="e">
        <f>IF(VLOOKUP(C20,'Train Runs'!$A$13:$AE$9945,1,1)=C20,VLOOKUP(C20,'Train Runs'!$A$13:$AE$9945,31,1),NA())</f>
        <v>#N/A</v>
      </c>
      <c r="S20" s="87" t="str">
        <f>VLOOKUP(C20,'Train Runs'!$A$13:$AE$9945,22,0)</f>
        <v>https://d0f6bd738d7f1b3e5a7ca70fe4ff75f0.us-east-1.aws.found.io/app/kibana#/discover/Steve-Slow-Train-Analysis-(2080s-and-2083s)?_g=(refreshInterval:(display:Off,pause:!f,section:0,value:0),time:(from:'2017-05-02T07:36:55-0600',mode:absolute,to:'2017-05-02T09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/stypes="*4013*201705021*" /stext=" 14:.+((SYSTEM_STATE.+slice.+state.+changed )|(ment ac)|(multiple cpu faults)|(system.+state.+changed )|(\[timeout)|(PRM\|1\|D)|(kpr)|(kdp)|(train st.+moving)|(\|lc)|(penalty))"</v>
      </c>
      <c r="U20" s="9" t="str">
        <f>MID(B20,13,4)</f>
        <v>4013</v>
      </c>
      <c r="V20" s="31">
        <f>A20-utc_offset/24</f>
        <v>42857.621516203704</v>
      </c>
      <c r="W20" s="45" t="str">
        <f>IFERROR(IF(VALUE(LEFT(IF(LEN(C20)=6,"0"&amp;C20,C20),2))&lt;=2,"EC",IF(OR(VALUE(LEFT(IF(LEN(C20)=6,"0"&amp;C20,C20),2))=8,VALUE(LEFT(IF(LEN(C20)=6,"0"&amp;C20,C20),2))=18),"NW","Other")),"Other")</f>
        <v>NW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ID","value":"812-02"},{"id":16,"name":"Locomotive ID","value":"4013"},{"id":130,"name":"Impact","value":""},{"id":150,"name":"Time of Event (Mountain Time)","value":"08:54:59"},{"id":151,"name":"Denver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"%USERPROFILE%\AppData\Local\Temp\OnboardLogs"\RTDC4013\*4013*201705021*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"%USERPROFILE%\AppData\Local\Temp\OnboardLogs"\RTDC4013\*4013*201705021* &gt;&gt; 2017-05-02-SliceDisagreementCheck.txt</v>
      </c>
      <c r="AE20" s="148" t="str">
        <f t="shared" si="1"/>
        <v>start /low /b %USERPROFILE%\Documents\GitHub\eaglep3\Utilities\DownloadLogsFromS3.py --loco 4013 --day 2017-05-02</v>
      </c>
      <c r="AF20" s="1"/>
    </row>
    <row r="21" spans="1:32" x14ac:dyDescent="0.25">
      <c r="A21" s="31">
        <v>42857.579479166663</v>
      </c>
      <c r="B21" s="30" t="s">
        <v>376</v>
      </c>
      <c r="C21" s="30" t="s">
        <v>600</v>
      </c>
      <c r="D21" s="30" t="s">
        <v>49</v>
      </c>
      <c r="E21" s="30" t="s">
        <v>185</v>
      </c>
      <c r="F21" s="42">
        <v>0</v>
      </c>
      <c r="G21" s="42">
        <v>33</v>
      </c>
      <c r="H21" s="42">
        <v>654</v>
      </c>
      <c r="I21" s="42">
        <v>626</v>
      </c>
      <c r="J21" s="30" t="s">
        <v>186</v>
      </c>
      <c r="K21" s="42">
        <v>575</v>
      </c>
      <c r="L21" s="134" t="s">
        <v>51</v>
      </c>
      <c r="M21" s="135">
        <f>CONVERT((I21-K21)/10000,"mi","ft")*IF(L21="Increasing Mileposts (1)",-1,1)</f>
        <v>26.928000000000001</v>
      </c>
      <c r="N21" s="136" t="str">
        <f>VLOOKUP(C21,'Trips&amp;Operators'!$C$1:$G$99999,5,FALSE)</f>
        <v>LEVIN SCOTT</v>
      </c>
      <c r="O21" s="207" t="s">
        <v>184</v>
      </c>
      <c r="P21" s="137"/>
      <c r="Q21" s="30"/>
      <c r="R21" s="84" t="e">
        <f>IF(VLOOKUP(C21,'Train Runs'!$A$13:$AE$9945,1,1)=C21,VLOOKUP(C21,'Train Runs'!$A$13:$AE$9945,31,1),NA())</f>
        <v>#N/A</v>
      </c>
      <c r="S21" s="87" t="str">
        <f>VLOOKUP(C21,'Train Runs'!$A$13:$AE$9945,22,0)</f>
        <v>https://d0f6bd738d7f1b3e5a7ca70fe4ff75f0.us-east-1.aws.found.io/app/kibana#/discover/Steve-Slow-Train-Analysis-(2080s-and-2083s)?_g=(refreshInterval:(display:Off,pause:!f,section:0,value:0),time:(from:'2017-05-02T12:35:58-0600',mode:absolute,to:'2017-05-02T14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/stypes="*4013*201705021*" /stext=" 19:.+((SYSTEM_STATE.+slice.+state.+changed )|(ment ac)|(multiple cpu faults)|(system.+state.+changed )|(\[timeout)|(PRM\|1\|D)|(kpr)|(kdp)|(train st.+moving)|(\|lc)|(penalty))"</v>
      </c>
      <c r="U21" s="9" t="str">
        <f>MID(B21,13,4)</f>
        <v>4013</v>
      </c>
      <c r="V21" s="31">
        <f>A21-utc_offset/24</f>
        <v>42857.829479166663</v>
      </c>
      <c r="W21" s="45" t="str">
        <f>IFERROR(IF(VALUE(LEFT(IF(LEN(C21)=6,"0"&amp;C21,C21),2))&lt;=2,"EC",IF(OR(VALUE(LEFT(IF(LEN(C21)=6,"0"&amp;C21,C21),2))=8,VALUE(LEFT(IF(LEN(C21)=6,"0"&amp;C21,C21),2))=18),"NW","Other")),"Other")</f>
        <v>NW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ID","value":"822-02"},{"id":16,"name":"Locomotive ID","value":"4013"},{"id":130,"name":"Impact","value":""},{"id":150,"name":"Time of Event (Mountain Time)","value":"13:54:27"},{"id":151,"name":"Denver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"%USERPROFILE%\AppData\Local\Temp\OnboardLogs"\RTDC4013\*4013*201705021*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"%USERPROFILE%\AppData\Local\Temp\OnboardLogs"\RTDC4013\*4013*201705021* &gt;&gt; 2017-05-02-SliceDisagreementCheck.txt</v>
      </c>
      <c r="AE21" s="148" t="str">
        <f t="shared" si="1"/>
        <v>start /low /b %USERPROFILE%\Documents\GitHub\eaglep3\Utilities\DownloadLogsFromS3.py --loco 4013 --day 2017-05-02</v>
      </c>
      <c r="AF21" s="1"/>
    </row>
    <row r="22" spans="1:32" x14ac:dyDescent="0.25">
      <c r="A22" s="31">
        <v>42857.62159722222</v>
      </c>
      <c r="B22" s="30" t="s">
        <v>376</v>
      </c>
      <c r="C22" s="30" t="s">
        <v>601</v>
      </c>
      <c r="D22" s="30" t="s">
        <v>49</v>
      </c>
      <c r="E22" s="30" t="s">
        <v>185</v>
      </c>
      <c r="F22" s="42">
        <v>0</v>
      </c>
      <c r="G22" s="42">
        <v>36</v>
      </c>
      <c r="H22" s="42">
        <v>687</v>
      </c>
      <c r="I22" s="42">
        <v>656</v>
      </c>
      <c r="J22" s="30" t="s">
        <v>186</v>
      </c>
      <c r="K22" s="42">
        <v>575</v>
      </c>
      <c r="L22" s="134" t="s">
        <v>51</v>
      </c>
      <c r="M22" s="135">
        <f>CONVERT((I22-K22)/10000,"mi","ft")*IF(L22="Increasing Mileposts (1)",-1,1)</f>
        <v>42.768000000000001</v>
      </c>
      <c r="N22" s="136" t="str">
        <f>VLOOKUP(C22,'Trips&amp;Operators'!$C$1:$G$99999,5,FALSE)</f>
        <v>LEVIN SCOTT</v>
      </c>
      <c r="O22" s="207" t="s">
        <v>184</v>
      </c>
      <c r="P22" s="137"/>
      <c r="Q22" s="30"/>
      <c r="R22" s="84" t="e">
        <f>IF(VLOOKUP(C22,'Train Runs'!$A$13:$AE$9945,1,1)=C22,VLOOKUP(C22,'Train Runs'!$A$13:$AE$9945,31,1),NA())</f>
        <v>#N/A</v>
      </c>
      <c r="S22" s="87" t="str">
        <f>VLOOKUP(C22,'Train Runs'!$A$13:$AE$9945,22,0)</f>
        <v>https://d0f6bd738d7f1b3e5a7ca70fe4ff75f0.us-east-1.aws.found.io/app/kibana#/discover/Steve-Slow-Train-Analysis-(2080s-and-2083s)?_g=(refreshInterval:(display:Off,pause:!f,section:0,value:0),time:(from:'2017-05-02T13:36:15-0600',mode:absolute,to:'2017-05-02T15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/stypes="*4013*201705022*" /stext=" 20:.+((SYSTEM_STATE.+slice.+state.+changed )|(ment ac)|(multiple cpu faults)|(system.+state.+changed )|(\[timeout)|(PRM\|1\|D)|(kpr)|(kdp)|(train st.+moving)|(\|lc)|(penalty))"</v>
      </c>
      <c r="U22" s="9" t="str">
        <f>MID(B22,13,4)</f>
        <v>4013</v>
      </c>
      <c r="V22" s="31">
        <f>A22-utc_offset/24</f>
        <v>42857.87159722222</v>
      </c>
      <c r="W22" s="45" t="str">
        <f>IFERROR(IF(VALUE(LEFT(IF(LEN(C22)=6,"0"&amp;C22,C22),2))&lt;=2,"EC",IF(OR(VALUE(LEFT(IF(LEN(C22)=6,"0"&amp;C22,C22),2))=8,VALUE(LEFT(IF(LEN(C22)=6,"0"&amp;C22,C22),2))=18),"NW","Other")),"Other")</f>
        <v>NW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ID","value":"824-02"},{"id":16,"name":"Locomotive ID","value":"4013"},{"id":130,"name":"Impact","value":""},{"id":150,"name":"Time of Event (Mountain Time)","value":"14:55:06"},{"id":151,"name":"Denver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"%USERPROFILE%\AppData\Local\Temp\OnboardLogs"\RTDC4013\*4013*201705022*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"%USERPROFILE%\AppData\Local\Temp\OnboardLogs"\RTDC4013\*4013*201705022* &gt;&gt; 2017-05-02-SliceDisagreementCheck.txt</v>
      </c>
      <c r="AE22" s="148" t="str">
        <f t="shared" si="1"/>
        <v>start /low /b %USERPROFILE%\Documents\GitHub\eaglep3\Utilities\DownloadLogsFromS3.py --loco 4013 --day 2017-05-02</v>
      </c>
      <c r="AF22" s="1"/>
    </row>
    <row r="23" spans="1:32" x14ac:dyDescent="0.25">
      <c r="A23" s="31">
        <v>42857.663182870368</v>
      </c>
      <c r="B23" s="30" t="s">
        <v>376</v>
      </c>
      <c r="C23" s="30" t="s">
        <v>602</v>
      </c>
      <c r="D23" s="30" t="s">
        <v>49</v>
      </c>
      <c r="E23" s="30" t="s">
        <v>185</v>
      </c>
      <c r="F23" s="42">
        <v>0</v>
      </c>
      <c r="G23" s="42">
        <v>46</v>
      </c>
      <c r="H23" s="42">
        <v>722</v>
      </c>
      <c r="I23" s="42">
        <v>680</v>
      </c>
      <c r="J23" s="30" t="s">
        <v>186</v>
      </c>
      <c r="K23" s="42">
        <v>575</v>
      </c>
      <c r="L23" s="134" t="s">
        <v>51</v>
      </c>
      <c r="M23" s="135">
        <f>CONVERT((I23-K23)/10000,"mi","ft")*IF(L23="Increasing Mileposts (1)",-1,1)</f>
        <v>55.44</v>
      </c>
      <c r="N23" s="136" t="str">
        <f>VLOOKUP(C23,'Trips&amp;Operators'!$C$1:$G$99999,5,FALSE)</f>
        <v>LEVIN SCOTT</v>
      </c>
      <c r="O23" s="207" t="s">
        <v>184</v>
      </c>
      <c r="P23" s="137"/>
      <c r="Q23" s="30"/>
      <c r="R23" s="84" t="e">
        <f>IF(VLOOKUP(C23,'Train Runs'!$A$13:$AE$9945,1,1)=C23,VLOOKUP(C23,'Train Runs'!$A$13:$AE$9945,31,1),NA())</f>
        <v>#N/A</v>
      </c>
      <c r="S23" s="87" t="str">
        <f>VLOOKUP(C23,'Train Runs'!$A$13:$AE$9945,22,0)</f>
        <v>https://d0f6bd738d7f1b3e5a7ca70fe4ff75f0.us-east-1.aws.found.io/app/kibana#/discover/Steve-Slow-Train-Analysis-(2080s-and-2083s)?_g=(refreshInterval:(display:Off,pause:!f,section:0,value:0),time:(from:'2017-05-02T14:37:47-0600',mode:absolute,to:'2017-05-02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/stypes="*4013*201705022*" /stext=" 21:.+((SYSTEM_STATE.+slice.+state.+changed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42857.913182870368</v>
      </c>
      <c r="W23" s="45" t="str">
        <f>IFERROR(IF(VALUE(LEFT(IF(LEN(C23)=6,"0"&amp;C23,C23),2))&lt;=2,"EC",IF(OR(VALUE(LEFT(IF(LEN(C23)=6,"0"&amp;C23,C23),2))=8,VALUE(LEFT(IF(LEN(C23)=6,"0"&amp;C23,C23),2))=18),"NW","Other")),"Other")</f>
        <v>NW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ID","value":"826-02"},{"id":16,"name":"Locomotive ID","value":"4013"},{"id":130,"name":"Impact","value":""},{"id":150,"name":"Time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"%USERPROFILE%\AppData\Local\Temp\OnboardLogs"\RTDC4013\*4013*201705022*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"%USERPROFILE%\AppData\Local\Temp\OnboardLogs"\RTDC4013\*4013*201705022* &gt;&gt; 2017-05-02-SliceDisagreementCheck.txt</v>
      </c>
      <c r="AE23" s="148" t="str">
        <f t="shared" si="1"/>
        <v>start /low /b %USERPROFILE%\Documents\GitHub\eaglep3\Utilities\DownloadLogsFromS3.py --loco 4013 --day 2017-05-02</v>
      </c>
      <c r="AF23" s="1"/>
    </row>
    <row r="24" spans="1:32" x14ac:dyDescent="0.25">
      <c r="A24" s="31">
        <v>42857.704965277779</v>
      </c>
      <c r="B24" s="30" t="s">
        <v>376</v>
      </c>
      <c r="C24" s="30" t="s">
        <v>603</v>
      </c>
      <c r="D24" s="30" t="s">
        <v>49</v>
      </c>
      <c r="E24" s="30" t="s">
        <v>185</v>
      </c>
      <c r="F24" s="42">
        <v>0</v>
      </c>
      <c r="G24" s="42">
        <v>22</v>
      </c>
      <c r="H24" s="42">
        <v>619</v>
      </c>
      <c r="I24" s="42">
        <v>607</v>
      </c>
      <c r="J24" s="30" t="s">
        <v>186</v>
      </c>
      <c r="K24" s="42">
        <v>575</v>
      </c>
      <c r="L24" s="134" t="s">
        <v>51</v>
      </c>
      <c r="M24" s="135">
        <f>CONVERT((I24-K24)/10000,"mi","ft")*IF(L24="Increasing Mileposts (1)",-1,1)</f>
        <v>16.896000000000001</v>
      </c>
      <c r="N24" s="136" t="str">
        <f>VLOOKUP(C24,'Trips&amp;Operators'!$C$1:$G$99999,5,FALSE)</f>
        <v>LEVIN SCOTT</v>
      </c>
      <c r="O24" s="207" t="s">
        <v>184</v>
      </c>
      <c r="P24" s="137"/>
      <c r="Q24" s="30"/>
      <c r="R24" s="84" t="e">
        <f>IF(VLOOKUP(C24,'Train Runs'!$A$13:$AE$9945,1,1)=C24,VLOOKUP(C24,'Train Runs'!$A$13:$AE$9945,31,1),NA())</f>
        <v>#N/A</v>
      </c>
      <c r="S24" s="87" t="str">
        <f>VLOOKUP(C24,'Train Runs'!$A$13:$AE$9945,22,0)</f>
        <v>https://d0f6bd738d7f1b3e5a7ca70fe4ff75f0.us-east-1.aws.found.io/app/kibana#/discover/Steve-Slow-Train-Analysis-(2080s-and-2083s)?_g=(refreshInterval:(display:Off,pause:!f,section:0,value:0),time:(from:'2017-05-02T15:36:42-0600',mode:absolute,to:'2017-05-02T17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/stypes="*4013*201705022*" /stext=" 22:.+((SYSTEM_STATE.+slice.+state.+changed )|(ment ac)|(multiple cpu faults)|(system.+state.+changed )|(\[timeout)|(PRM\|1\|D)|(kpr)|(kdp)|(train st.+moving)|(\|lc)|(penalty))"</v>
      </c>
      <c r="U24" s="9" t="str">
        <f>MID(B24,13,4)</f>
        <v>4013</v>
      </c>
      <c r="V24" s="31">
        <f>A24-utc_offset/24</f>
        <v>42857.954965277779</v>
      </c>
      <c r="W24" s="45" t="str">
        <f>IFERROR(IF(VALUE(LEFT(IF(LEN(C24)=6,"0"&amp;C24,C24),2))&lt;=2,"EC",IF(OR(VALUE(LEFT(IF(LEN(C24)=6,"0"&amp;C24,C24),2))=8,VALUE(LEFT(IF(LEN(C24)=6,"0"&amp;C24,C24),2))=18),"NW","Other")),"Other")</f>
        <v>NW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ID","value":"830-02"},{"id":16,"name":"Locomotive ID","value":"4013"},{"id":130,"name":"Impact","value":""},{"id":150,"name":"Time of Event (Mountain Time)","value":"16:55:09"},{"id":151,"name":"Denver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"%USERPROFILE%\AppData\Local\Temp\OnboardLogs"\RTDC4013\*4013*201705022*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"%USERPROFILE%\AppData\Local\Temp\OnboardLogs"\RTDC4013\*4013*201705022* &gt;&gt; 2017-05-02-SliceDisagreementCheck.txt</v>
      </c>
      <c r="AE24" s="148" t="str">
        <f t="shared" si="1"/>
        <v>start /low /b %USERPROFILE%\Documents\GitHub\eaglep3\Utilities\DownloadLogsFromS3.py --loco 4013 --day 2017-05-02</v>
      </c>
      <c r="AF24" s="1"/>
    </row>
    <row r="25" spans="1:32" x14ac:dyDescent="0.25">
      <c r="A25" s="31">
        <v>42857.726018518515</v>
      </c>
      <c r="B25" s="30" t="s">
        <v>352</v>
      </c>
      <c r="C25" s="30" t="s">
        <v>604</v>
      </c>
      <c r="D25" s="30" t="s">
        <v>49</v>
      </c>
      <c r="E25" s="30" t="s">
        <v>185</v>
      </c>
      <c r="F25" s="42">
        <v>0</v>
      </c>
      <c r="G25" s="42">
        <v>44</v>
      </c>
      <c r="H25" s="42">
        <v>710</v>
      </c>
      <c r="I25" s="42">
        <v>675</v>
      </c>
      <c r="J25" s="30" t="s">
        <v>186</v>
      </c>
      <c r="K25" s="42">
        <v>575</v>
      </c>
      <c r="L25" s="134" t="s">
        <v>51</v>
      </c>
      <c r="M25" s="135">
        <f>CONVERT((I25-K25)/10000,"mi","ft")*IF(L25="Increasing Mileposts (1)",-1,1)</f>
        <v>52.8</v>
      </c>
      <c r="N25" s="136" t="str">
        <f>VLOOKUP(C25,'Trips&amp;Operators'!$C$1:$G$99999,5,FALSE)</f>
        <v>SWANSON BRYCE</v>
      </c>
      <c r="O25" s="207" t="s">
        <v>184</v>
      </c>
      <c r="P25" s="137"/>
      <c r="Q25" s="30"/>
      <c r="R25" s="84" t="e">
        <f>IF(VLOOKUP(C25,'Train Runs'!$A$13:$AE$9945,1,1)=C25,VLOOKUP(C25,'Train Runs'!$A$13:$AE$9945,31,1),NA())</f>
        <v>#N/A</v>
      </c>
      <c r="S25" s="87" t="str">
        <f>VLOOKUP(C25,'Train Runs'!$A$13:$AE$9945,22,0)</f>
        <v>https://d0f6bd738d7f1b3e5a7ca70fe4ff75f0.us-east-1.aws.found.io/app/kibana#/discover/Steve-Slow-Train-Analysis-(2080s-and-2083s)?_g=(refreshInterval:(display:Off,pause:!f,section:0,value:0),time:(from:'2017-05-02T16:06:46-0600',mode:absolute,to:'2017-05-02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/stypes="*4027*201705022*" /stext=" 23:.+((SYSTEM_STATE.+slice.+state.+changed )|(ment ac)|(multiple cpu faults)|(system.+state.+changed )|(\[timeout)|(PRM\|1\|D)|(kpr)|(kdp)|(train st.+moving)|(\|lc)|(penalty))"</v>
      </c>
      <c r="U25" s="9" t="str">
        <f>MID(B25,13,4)</f>
        <v>4027</v>
      </c>
      <c r="V25" s="31">
        <f>A25-utc_offset/24</f>
        <v>42857.976018518515</v>
      </c>
      <c r="W25" s="45" t="str">
        <f>IFERROR(IF(VALUE(LEFT(IF(LEN(C25)=6,"0"&amp;C25,C25),2))&lt;=2,"EC",IF(OR(VALUE(LEFT(IF(LEN(C25)=6,"0"&amp;C25,C25),2))=8,VALUE(LEFT(IF(LEN(C25)=6,"0"&amp;C25,C25),2))=18),"NW","Other")),"Other")</f>
        <v>NW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ID","value":"832-02"},{"id":16,"name":"Locomotive ID","value":"4027"},{"id":130,"name":"Impact","value":""},{"id":150,"name":"Time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"%USERPROFILE%\AppData\Local\Temp\OnboardLogs"\RTDC4027\*4027*201705022*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"%USERPROFILE%\AppData\Local\Temp\OnboardLogs"\RTDC4027\*4027*201705022* &gt;&gt; 2017-05-02-SliceDisagreementCheck.txt</v>
      </c>
      <c r="AE25" s="148" t="str">
        <f t="shared" si="1"/>
        <v>start /low /b %USERPROFILE%\Documents\GitHub\eaglep3\Utilities\DownloadLogsFromS3.py --loco 4027 --day 2017-05-02</v>
      </c>
      <c r="AF25" s="1"/>
    </row>
    <row r="26" spans="1:32" x14ac:dyDescent="0.25">
      <c r="A26" s="31">
        <v>42857.747083333335</v>
      </c>
      <c r="B26" s="30" t="s">
        <v>376</v>
      </c>
      <c r="C26" s="30" t="s">
        <v>605</v>
      </c>
      <c r="D26" s="30" t="s">
        <v>49</v>
      </c>
      <c r="E26" s="30" t="s">
        <v>185</v>
      </c>
      <c r="F26" s="42">
        <v>0</v>
      </c>
      <c r="G26" s="42">
        <v>32</v>
      </c>
      <c r="H26" s="42">
        <v>661</v>
      </c>
      <c r="I26" s="42">
        <v>633</v>
      </c>
      <c r="J26" s="30" t="s">
        <v>186</v>
      </c>
      <c r="K26" s="42">
        <v>575</v>
      </c>
      <c r="L26" s="134" t="s">
        <v>51</v>
      </c>
      <c r="M26" s="135">
        <f>CONVERT((I26-K26)/10000,"mi","ft")*IF(L26="Increasing Mileposts (1)",-1,1)</f>
        <v>30.623999999999999</v>
      </c>
      <c r="N26" s="136" t="str">
        <f>VLOOKUP(C26,'Trips&amp;Operators'!$C$1:$G$99999,5,FALSE)</f>
        <v>LEVIN SCOTT</v>
      </c>
      <c r="O26" s="207" t="s">
        <v>184</v>
      </c>
      <c r="P26" s="137"/>
      <c r="Q26" s="30"/>
      <c r="R26" s="84" t="e">
        <f>IF(VLOOKUP(C26,'Train Runs'!$A$13:$AE$9945,1,1)=C26,VLOOKUP(C26,'Train Runs'!$A$13:$AE$9945,31,1),NA())</f>
        <v>#N/A</v>
      </c>
      <c r="S26" s="87" t="str">
        <f>VLOOKUP(C26,'Train Runs'!$A$13:$AE$9945,22,0)</f>
        <v>https://d0f6bd738d7f1b3e5a7ca70fe4ff75f0.us-east-1.aws.found.io/app/kibana#/discover/Steve-Slow-Train-Analysis-(2080s-and-2083s)?_g=(refreshInterval:(display:Off,pause:!f,section:0,value:0),time:(from:'2017-05-02T16:37:17-0600',mode:absolute,to:'2017-05-02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/stypes="*4013*201705022*" /stext=" 23:.+((SYSTEM_STATE.+slice.+state.+changed )|(ment ac)|(multiple cpu faults)|(system.+state.+changed )|(\[timeout)|(PRM\|1\|D)|(kpr)|(kdp)|(train st.+moving)|(\|lc)|(penalty))"</v>
      </c>
      <c r="U26" s="9" t="str">
        <f>MID(B26,13,4)</f>
        <v>4013</v>
      </c>
      <c r="V26" s="31">
        <f>A26-utc_offset/24</f>
        <v>42857.997083333335</v>
      </c>
      <c r="W26" s="45" t="str">
        <f>IFERROR(IF(VALUE(LEFT(IF(LEN(C26)=6,"0"&amp;C26,C26),2))&lt;=2,"EC",IF(OR(VALUE(LEFT(IF(LEN(C26)=6,"0"&amp;C26,C26),2))=8,VALUE(LEFT(IF(LEN(C26)=6,"0"&amp;C26,C26),2))=18),"NW","Other")),"Other")</f>
        <v>NW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ID","value":"834-02"},{"id":16,"name":"Locomotive ID","value":"4013"},{"id":130,"name":"Impact","value":""},{"id":150,"name":"Time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"%USERPROFILE%\AppData\Local\Temp\OnboardLogs"\RTDC4013\*4013*201705022*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"%USERPROFILE%\AppData\Local\Temp\OnboardLogs"\RTDC4013\*4013*201705022* &gt;&gt; 2017-05-02-SliceDisagreementCheck.txt</v>
      </c>
      <c r="AE26" s="148" t="str">
        <f t="shared" si="1"/>
        <v>start /low /b %USERPROFILE%\Documents\GitHub\eaglep3\Utilities\DownloadLogsFromS3.py --loco 4013 --day 2017-05-02</v>
      </c>
      <c r="AF26" s="1"/>
    </row>
    <row r="27" spans="1:32" x14ac:dyDescent="0.25">
      <c r="A27" s="31">
        <v>42857.790393518517</v>
      </c>
      <c r="B27" s="30" t="s">
        <v>376</v>
      </c>
      <c r="C27" s="30" t="s">
        <v>609</v>
      </c>
      <c r="D27" s="30" t="s">
        <v>49</v>
      </c>
      <c r="E27" s="30" t="s">
        <v>185</v>
      </c>
      <c r="F27" s="42">
        <v>0</v>
      </c>
      <c r="G27" s="42">
        <v>35</v>
      </c>
      <c r="H27" s="42">
        <v>685</v>
      </c>
      <c r="I27" s="42">
        <v>656</v>
      </c>
      <c r="J27" s="30" t="s">
        <v>186</v>
      </c>
      <c r="K27" s="42">
        <v>575</v>
      </c>
      <c r="L27" s="134" t="s">
        <v>51</v>
      </c>
      <c r="M27" s="135">
        <f>CONVERT((I27-K27)/10000,"mi","ft")*IF(L27="Increasing Mileposts (1)",-1,1)</f>
        <v>42.768000000000001</v>
      </c>
      <c r="N27" s="136" t="str">
        <f>VLOOKUP(C27,'Trips&amp;Operators'!$C$1:$G$99999,5,FALSE)</f>
        <v>LEVIN SCOTT</v>
      </c>
      <c r="O27" s="207" t="s">
        <v>184</v>
      </c>
      <c r="P27" s="137"/>
      <c r="Q27" s="30"/>
      <c r="R27" s="84" t="e">
        <f>IF(VLOOKUP(C27,'Train Runs'!$A$13:$AE$9945,1,1)=C27,VLOOKUP(C27,'Train Runs'!$A$13:$AE$9945,31,1),NA())</f>
        <v>#N/A</v>
      </c>
      <c r="S27" s="87" t="str">
        <f>VLOOKUP(C27,'Train Runs'!$A$13:$AE$9945,22,0)</f>
        <v>https://d0f6bd738d7f1b3e5a7ca70fe4ff75f0.us-east-1.aws.found.io/app/kibana#/discover/Steve-Slow-Train-Analysis-(2080s-and-2083s)?_g=(refreshInterval:(display:Off,pause:!f,section:0,value:0),time:(from:'2017-05-02T17:38:00-0600',mode:absolute,to:'2017-05-02T19:58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/stypes="*4013*201705030*" /stext=" 00:.+((SYSTEM_STATE.+slice.+state.+changed )|(ment ac)|(multiple cpu faults)|(system.+state.+changed )|(\[timeout)|(PRM\|1\|D)|(kpr)|(kdp)|(train st.+moving)|(\|lc)|(penalty))"</v>
      </c>
      <c r="U27" s="9" t="str">
        <f>MID(B27,13,4)</f>
        <v>4013</v>
      </c>
      <c r="V27" s="31">
        <f>A27-utc_offset/24</f>
        <v>42858.040393518517</v>
      </c>
      <c r="W27" s="45" t="str">
        <f>IFERROR(IF(VALUE(LEFT(IF(LEN(C27)=6,"0"&amp;C27,C27),2))&lt;=2,"EC",IF(OR(VALUE(LEFT(IF(LEN(C27)=6,"0"&amp;C27,C27),2))=8,VALUE(LEFT(IF(LEN(C27)=6,"0"&amp;C27,C27),2))=18),"NW","Other")),"Other")</f>
        <v>NW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ID","value":"838-02"},{"id":16,"name":"Locomotive ID","value":"4013"},{"id":130,"name":"Impact","value":""},{"id":150,"name":"Time of Event (Mountain Time)","value":"18:58:10"},{"id":151,"name":"Denver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"%USERPROFILE%\AppData\Local\Temp\OnboardLogs"\RTDC4013\*4013*201705030*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"%USERPROFILE%\AppData\Local\Temp\OnboardLogs"\RTDC4013\*4013*201705030* &gt;&gt; 2017-05-02-SliceDisagreementCheck.txt</v>
      </c>
      <c r="AE27" s="148" t="str">
        <f t="shared" si="1"/>
        <v>start /low /b %USERPROFILE%\Documents\GitHub\eaglep3\Utilities\DownloadLogsFromS3.py --loco 4013 --day 2017-05-03</v>
      </c>
      <c r="AF27" s="1"/>
    </row>
    <row r="28" spans="1:32" x14ac:dyDescent="0.25">
      <c r="A28" s="31">
        <v>42857.829467592594</v>
      </c>
      <c r="B28" s="30" t="s">
        <v>376</v>
      </c>
      <c r="C28" s="30" t="s">
        <v>612</v>
      </c>
      <c r="D28" s="30" t="s">
        <v>49</v>
      </c>
      <c r="E28" s="30" t="s">
        <v>185</v>
      </c>
      <c r="F28" s="42">
        <v>0</v>
      </c>
      <c r="G28" s="42">
        <v>28</v>
      </c>
      <c r="H28" s="42">
        <v>642</v>
      </c>
      <c r="I28" s="42">
        <v>619</v>
      </c>
      <c r="J28" s="30" t="s">
        <v>186</v>
      </c>
      <c r="K28" s="42">
        <v>575</v>
      </c>
      <c r="L28" s="134" t="s">
        <v>51</v>
      </c>
      <c r="M28" s="135">
        <f>CONVERT((I28-K28)/10000,"mi","ft")*IF(L28="Increasing Mileposts (1)",-1,1)</f>
        <v>23.231999999999999</v>
      </c>
      <c r="N28" s="136" t="str">
        <f>VLOOKUP(C28,'Trips&amp;Operators'!$C$1:$G$99999,5,FALSE)</f>
        <v>LEVIN SCOTT</v>
      </c>
      <c r="O28" s="207" t="s">
        <v>184</v>
      </c>
      <c r="P28" s="137"/>
      <c r="Q28" s="30"/>
      <c r="R28" s="84" t="e">
        <f>IF(VLOOKUP(C28,'Train Runs'!$A$13:$AE$9945,1,1)=C28,VLOOKUP(C28,'Train Runs'!$A$13:$AE$9945,31,1),NA())</f>
        <v>#N/A</v>
      </c>
      <c r="S28" s="87" t="str">
        <f>VLOOKUP(C28,'Train Runs'!$A$13:$AE$9945,22,0)</f>
        <v>https://d0f6bd738d7f1b3e5a7ca70fe4ff75f0.us-east-1.aws.found.io/app/kibana#/discover/Steve-Slow-Train-Analysis-(2080s-and-2083s)?_g=(refreshInterval:(display:Off,pause:!f,section:0,value:0),time:(from:'2017-05-02T18:38:12-0600',mode:absolute,to:'2017-05-02T20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/stypes="*4013*201705030*" /stext=" 01:.+((SYSTEM_STATE.+slice.+state.+changed )|(ment ac)|(multiple cpu faults)|(system.+state.+changed )|(\[timeout)|(PRM\|1\|D)|(kpr)|(kdp)|(train st.+moving)|(\|lc)|(penalty))"</v>
      </c>
      <c r="U28" s="9" t="str">
        <f>MID(B28,13,4)</f>
        <v>4013</v>
      </c>
      <c r="V28" s="31">
        <f>A28-utc_offset/24</f>
        <v>42858.079467592594</v>
      </c>
      <c r="W28" s="45" t="str">
        <f>IFERROR(IF(VALUE(LEFT(IF(LEN(C28)=6,"0"&amp;C28,C28),2))&lt;=2,"EC",IF(OR(VALUE(LEFT(IF(LEN(C28)=6,"0"&amp;C28,C28),2))=8,VALUE(LEFT(IF(LEN(C28)=6,"0"&amp;C28,C28),2))=18),"NW","Other")),"Other")</f>
        <v>NW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ID","value":"840-02"},{"id":16,"name":"Locomotive ID","value":"4013"},{"id":130,"name":"Impact","value":""},{"id":150,"name":"Time of Event (Mountain Time)","value":"19:54:26"},{"id":151,"name":"Denver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"%USERPROFILE%\AppData\Local\Temp\OnboardLogs"\RTDC4013\*4013*201705030*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"%USERPROFILE%\AppData\Local\Temp\OnboardLogs"\RTDC4013\*4013*201705030* &gt;&gt; 2017-05-02-SliceDisagreementCheck.txt</v>
      </c>
      <c r="AE28" s="148" t="str">
        <f t="shared" si="1"/>
        <v>start /low /b %USERPROFILE%\Documents\GitHub\eaglep3\Utilities\DownloadLogsFromS3.py --loco 4013 --day 2017-05-03</v>
      </c>
      <c r="AF28" s="1"/>
    </row>
    <row r="29" spans="1:32" x14ac:dyDescent="0.25">
      <c r="A29" s="31">
        <v>42857.871192129627</v>
      </c>
      <c r="B29" s="30" t="s">
        <v>376</v>
      </c>
      <c r="C29" s="30" t="s">
        <v>614</v>
      </c>
      <c r="D29" s="30" t="s">
        <v>49</v>
      </c>
      <c r="E29" s="30" t="s">
        <v>185</v>
      </c>
      <c r="F29" s="42">
        <v>0</v>
      </c>
      <c r="G29" s="42">
        <v>38</v>
      </c>
      <c r="H29" s="42">
        <v>696</v>
      </c>
      <c r="I29" s="42">
        <v>668</v>
      </c>
      <c r="J29" s="30" t="s">
        <v>186</v>
      </c>
      <c r="K29" s="42">
        <v>575</v>
      </c>
      <c r="L29" s="134" t="s">
        <v>51</v>
      </c>
      <c r="M29" s="135">
        <f>CONVERT((I29-K29)/10000,"mi","ft")*IF(L29="Increasing Mileposts (1)",-1,1)</f>
        <v>49.103999999999999</v>
      </c>
      <c r="N29" s="136" t="str">
        <f>VLOOKUP(C29,'Trips&amp;Operators'!$C$1:$G$99999,5,FALSE)</f>
        <v>LEVIN SCOTT</v>
      </c>
      <c r="O29" s="207" t="s">
        <v>184</v>
      </c>
      <c r="P29" s="137"/>
      <c r="Q29" s="30"/>
      <c r="R29" s="84" t="e">
        <f>IF(VLOOKUP(C29,'Train Runs'!$A$13:$AE$9945,1,1)=C29,VLOOKUP(C29,'Train Runs'!$A$13:$AE$9945,31,1),NA())</f>
        <v>#N/A</v>
      </c>
      <c r="S29" s="87" t="str">
        <f>VLOOKUP(C29,'Train Runs'!$A$13:$AE$9945,22,0)</f>
        <v>https://d0f6bd738d7f1b3e5a7ca70fe4ff75f0.us-east-1.aws.found.io/app/kibana#/discover/Steve-Slow-Train-Analysis-(2080s-and-2083s)?_g=(refreshInterval:(display:Off,pause:!f,section:0,value:0),time:(from:'2017-05-02T19:37:00-0600',mode:absolute,to:'2017-05-02T21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/stypes="*4013*201705030*" /stext=" 02:.+((SYSTEM_STATE.+slice.+state.+changed )|(ment ac)|(multiple cpu faults)|(system.+state.+changed )|(\[timeout)|(PRM\|1\|D)|(kpr)|(kdp)|(train st.+moving)|(\|lc)|(penalty))"</v>
      </c>
      <c r="U29" s="9" t="str">
        <f>MID(B29,13,4)</f>
        <v>4013</v>
      </c>
      <c r="V29" s="31">
        <f>A29-utc_offset/24</f>
        <v>42858.121192129627</v>
      </c>
      <c r="W29" s="45" t="str">
        <f>IFERROR(IF(VALUE(LEFT(IF(LEN(C29)=6,"0"&amp;C29,C29),2))&lt;=2,"EC",IF(OR(VALUE(LEFT(IF(LEN(C29)=6,"0"&amp;C29,C29),2))=8,VALUE(LEFT(IF(LEN(C29)=6,"0"&amp;C29,C29),2))=18),"NW","Other")),"Other")</f>
        <v>NW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{"issue":{"subject":"","project_id":79,"tracker_id":40,"status_id":1,"priority_id":2,"assigned_to_id":23,"start_date":"2017-05-02","description":"","custom_fields":[{"id":1,"name":"Subdivision","value":"NW"},{"id":4,"name":"Milepost","value":"0.0575"},{"id":17,"name":"Train ID","value":"842-02"},{"id":16,"name":"Locomotive ID","value":"4013"},{"id":130,"name":"Impact","value":""},{"id":150,"name":"Time of Event (Mountain Time)","value":"20:54:31"},{"id":151,"name":"Denver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"%USERPROFILE%\AppData\Local\Temp\OnboardLogs"\RTDC4013\*4013*201705030*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"%USERPROFILE%\AppData\Local\Temp\OnboardLogs"\RTDC4013\*4013*201705030* &gt;&gt; 2017-05-02-SliceDisagreementCheck.txt</v>
      </c>
      <c r="AE29" s="148" t="str">
        <f t="shared" si="1"/>
        <v>start /low /b %USERPROFILE%\Documents\GitHub\eaglep3\Utilities\DownloadLogsFromS3.py --loco 4013 --day 2017-05-03</v>
      </c>
      <c r="AF29" s="1"/>
    </row>
    <row r="30" spans="1:32" x14ac:dyDescent="0.25">
      <c r="A30" s="31">
        <v>42857.253229166665</v>
      </c>
      <c r="B30" s="30" t="s">
        <v>351</v>
      </c>
      <c r="C30" s="30" t="s">
        <v>589</v>
      </c>
      <c r="D30" s="30" t="s">
        <v>49</v>
      </c>
      <c r="E30" s="30" t="s">
        <v>185</v>
      </c>
      <c r="F30" s="42">
        <v>0</v>
      </c>
      <c r="G30" s="42">
        <v>48</v>
      </c>
      <c r="H30" s="42">
        <v>58905</v>
      </c>
      <c r="I30" s="42">
        <v>58960</v>
      </c>
      <c r="J30" s="30" t="s">
        <v>186</v>
      </c>
      <c r="K30" s="42">
        <v>59048</v>
      </c>
      <c r="L30" s="134" t="s">
        <v>50</v>
      </c>
      <c r="M30" s="135">
        <f>CONVERT((I30-K30)/10000,"mi","ft")*IF(L30="Increasing Mileposts (1)",-1,1)</f>
        <v>46.463999999999999</v>
      </c>
      <c r="N30" s="136" t="str">
        <f>VLOOKUP(C30,'Trips&amp;Operators'!$C$1:$G$99999,5,FALSE)</f>
        <v>YORK EDGAR</v>
      </c>
      <c r="O30" s="207" t="s">
        <v>184</v>
      </c>
      <c r="P30" s="137"/>
      <c r="Q30" s="30"/>
      <c r="R30" s="84" t="str">
        <f>IF(VLOOKUP(C30,'Train Runs'!$A$13:$AE$9945,1,1)=C30,VLOOKUP(C30,'Train Runs'!$A$13:$AE$9945,31,1),NA())</f>
        <v>aws s3 cp s3://rtdc.mdm.uploadarchive.raw/RTDC4028/ "%USERPROFILE%\AppData\Local\Temp\OnboardLogs"\RTDC4028\2017-05-02 --exclude "*" --recursive --include "*20170502*" &amp; "%USERPROFILE%\Documents\GitHub\mrs-test-scripts\Headless Mode &amp; Sideloading\WalkAndUnGZ.bat" "%USERPROFILE%\AppData\Local\Temp\OnboardLogs"\RTDC4028\2017-05-02 &amp; 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</v>
      </c>
      <c r="S30" s="87" t="str">
        <f>VLOOKUP(C30,'Train Runs'!$A$13:$AE$9945,22,0)</f>
        <v>https://d0f6bd738d7f1b3e5a7ca70fe4ff75f0.us-east-1.aws.found.io/app/kibana#/discover/Steve-Slow-Train-Analysis-(2080s-and-2083s)?_g=(refreshInterval:(display:Off,pause:!f,section:0,value:0),time:(from:'2017-05-02T04:26:16-0600',mode:absolute,to:'2017-05-02T07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/stypes="*4028*201705021*" /stext=" 12:.+((SYSTEM_STATE.+slice.+state.+changed )|(ment ac)|(multiple cpu faults)|(system.+state.+changed )|(\[timeout)|(PRM\|1\|D)|(kpr)|(kdp)|(train st.+moving)|(\|lc)|(penalty))"</v>
      </c>
      <c r="U30" s="9" t="str">
        <f>MID(B30,13,4)</f>
        <v>4028</v>
      </c>
      <c r="V30" s="31">
        <f>A30-utc_offset/24</f>
        <v>42857.503229166665</v>
      </c>
      <c r="W30" s="45" t="str">
        <f>IFERROR(IF(VALUE(LEFT(IF(LEN(C30)=6,"0"&amp;C30,C30),2))&lt;=2,"EC",IF(OR(VALUE(LEFT(IF(LEN(C30)=6,"0"&amp;C30,C30),2))=8,VALUE(LEFT(IF(LEN(C30)=6,"0"&amp;C30,C30),2))=18),"NW","Other")),"Other")</f>
        <v>NW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{"issue":{"subject":"","project_id":79,"tracker_id":40,"status_id":1,"priority_id":2,"assigned_to_id":23,"start_date":"2017-05-02","description":"","custom_fields":[{"id":1,"name":"Subdivision","value":"NW"},{"id":4,"name":"Milepost","value":"5.9048"},{"id":17,"name":"Train ID","value":"801-02"},{"id":16,"name":"Locomotive ID","value":"4028"},{"id":130,"name":"Impact","value":""},{"id":150,"name":"Time of Event (Mountain Time)","value":"06:04:39"},{"id":151,"name":"Denver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"%USERPROFILE%\AppData\Local\Temp\OnboardLogs"\RTDC4028\*4028*201705021*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"%USERPROFILE%\AppData\Local\Temp\OnboardLogs"\RTDC4028\*4028*201705021* &gt;&gt; 2017-05-02-SliceDisagreementCheck.txt</v>
      </c>
      <c r="AE30" s="148" t="str">
        <f t="shared" si="1"/>
        <v>start /low /b %USERPROFILE%\Documents\GitHub\eaglep3\Utilities\DownloadLogsFromS3.py --loco 4028 --day 2017-05-02</v>
      </c>
      <c r="AF30" s="1"/>
    </row>
    <row r="31" spans="1:32" x14ac:dyDescent="0.25">
      <c r="A31" s="31">
        <v>42857.357164351852</v>
      </c>
      <c r="B31" s="30" t="s">
        <v>375</v>
      </c>
      <c r="C31" s="30" t="s">
        <v>591</v>
      </c>
      <c r="D31" s="30" t="s">
        <v>49</v>
      </c>
      <c r="E31" s="30" t="s">
        <v>185</v>
      </c>
      <c r="F31" s="42">
        <v>0</v>
      </c>
      <c r="G31" s="42">
        <v>135</v>
      </c>
      <c r="H31" s="42">
        <v>58493</v>
      </c>
      <c r="I31" s="42">
        <v>58630</v>
      </c>
      <c r="J31" s="30" t="s">
        <v>186</v>
      </c>
      <c r="K31" s="42">
        <v>59048</v>
      </c>
      <c r="L31" s="134" t="s">
        <v>50</v>
      </c>
      <c r="M31" s="135">
        <f>CONVERT((I31-K31)/10000,"mi","ft")*IF(L31="Increasing Mileposts (1)",-1,1)</f>
        <v>220.70400000000001</v>
      </c>
      <c r="N31" s="136" t="str">
        <f>VLOOKUP(C31,'Trips&amp;Operators'!$C$1:$G$99999,5,FALSE)</f>
        <v>BROWN JACOB</v>
      </c>
      <c r="O31" s="207" t="s">
        <v>184</v>
      </c>
      <c r="P31" s="137"/>
      <c r="Q31" s="30"/>
      <c r="R31" s="84" t="e">
        <f>IF(VLOOKUP(C31,'Train Runs'!$A$13:$AE$9945,1,1)=C31,VLOOKUP(C31,'Train Runs'!$A$13:$AE$9945,31,1),NA())</f>
        <v>#N/A</v>
      </c>
      <c r="S31" s="87" t="str">
        <f>VLOOKUP(C31,'Train Runs'!$A$13:$AE$9945,22,0)</f>
        <v>https://d0f6bd738d7f1b3e5a7ca70fe4ff75f0.us-east-1.aws.found.io/app/kibana#/discover/Steve-Slow-Train-Analysis-(2080s-and-2083s)?_g=(refreshInterval:(display:Off,pause:!f,section:0,value:0),time:(from:'2017-05-02T07:02:57-0600',mode:absolute,to:'2017-05-02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/stypes="*4014*201705021*" /stext=" 14:.+((SYSTEM_STATE.+slice.+state.+changed )|(ment ac)|(multiple cpu faults)|(system.+state.+changed )|(\[timeout)|(PRM\|1\|D)|(kpr)|(kdp)|(train st.+moving)|(\|lc)|(penalty))"</v>
      </c>
      <c r="U31" s="9" t="str">
        <f>MID(B31,13,4)</f>
        <v>4014</v>
      </c>
      <c r="V31" s="31">
        <f>A31-utc_offset/24</f>
        <v>42857.607164351852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{"issue":{"subject":"","project_id":79,"tracker_id":40,"status_id":1,"priority_id":2,"assigned_to_id":23,"start_date":"2017-05-02","description":"","custom_fields":[{"id":1,"name":"Subdivision","value":"NW"},{"id":4,"name":"Milepost","value":"5.9048"},{"id":17,"name":"Train ID","value":"811-02"},{"id":16,"name":"Locomotive ID","value":"4014"},{"id":130,"name":"Impact","value":""},{"id":150,"name":"Time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"%USERPROFILE%\AppData\Local\Temp\OnboardLogs"\RTDC4014\*4014*201705021*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"%USERPROFILE%\AppData\Local\Temp\OnboardLogs"\RTDC4014\*4014*201705021* &gt;&gt; 2017-05-02-SliceDisagreementCheck.txt</v>
      </c>
      <c r="AE31" s="148" t="str">
        <f t="shared" si="1"/>
        <v>start /low /b %USERPROFILE%\Documents\GitHub\eaglep3\Utilities\DownloadLogsFromS3.py --loco 4014 --day 2017-05-02</v>
      </c>
      <c r="AF31" s="1"/>
    </row>
    <row r="32" spans="1:32" x14ac:dyDescent="0.25">
      <c r="A32" s="31">
        <v>42857.754004629627</v>
      </c>
      <c r="B32" s="30" t="s">
        <v>351</v>
      </c>
      <c r="C32" s="30" t="s">
        <v>607</v>
      </c>
      <c r="D32" s="30" t="s">
        <v>49</v>
      </c>
      <c r="E32" s="30" t="s">
        <v>185</v>
      </c>
      <c r="F32" s="42">
        <v>0</v>
      </c>
      <c r="G32" s="42">
        <v>61</v>
      </c>
      <c r="H32" s="42">
        <v>58864</v>
      </c>
      <c r="I32" s="42">
        <v>58911</v>
      </c>
      <c r="J32" s="30" t="s">
        <v>186</v>
      </c>
      <c r="K32" s="42">
        <v>59048</v>
      </c>
      <c r="L32" s="134" t="s">
        <v>50</v>
      </c>
      <c r="M32" s="135">
        <f>CONVERT((I32-K32)/10000,"mi","ft")*IF(L32="Increasing Mileposts (1)",-1,1)</f>
        <v>72.335999999999999</v>
      </c>
      <c r="N32" s="136" t="str">
        <f>VLOOKUP(C32,'Trips&amp;Operators'!$C$1:$G$99999,5,FALSE)</f>
        <v>SWANSON BRYCE</v>
      </c>
      <c r="O32" s="207" t="s">
        <v>184</v>
      </c>
      <c r="P32" s="137"/>
      <c r="Q32" s="30"/>
      <c r="R32" s="84" t="e">
        <f>IF(VLOOKUP(C32,'Train Runs'!$A$13:$AE$9945,1,1)=C32,VLOOKUP(C32,'Train Runs'!$A$13:$AE$9945,31,1),NA())</f>
        <v>#N/A</v>
      </c>
      <c r="S32" s="87" t="str">
        <f>VLOOKUP(C32,'Train Runs'!$A$13:$AE$9945,22,0)</f>
        <v>https://d0f6bd738d7f1b3e5a7ca70fe4ff75f0.us-east-1.aws.found.io/app/kibana#/discover/Steve-Slow-Train-Analysis-(2080s-and-2083s)?_g=(refreshInterval:(display:Off,pause:!f,section:0,value:0),time:(from:'2017-05-02T16:27:16-0600',mode:absolute,to:'2017-05-02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/stypes="*4028*201705030*" /stext=" 00:.+((SYSTEM_STATE.+slice.+state.+changed )|(ment ac)|(multiple cpu faults)|(system.+state.+changed )|(\[timeout)|(PRM\|1\|D)|(kpr)|(kdp)|(train st.+moving)|(\|lc)|(penalty))"</v>
      </c>
      <c r="U32" s="9" t="str">
        <f>MID(B32,13,4)</f>
        <v>4028</v>
      </c>
      <c r="V32" s="31">
        <f>A32-utc_offset/24</f>
        <v>42858.004004629627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{"issue":{"subject":"","project_id":79,"tracker_id":40,"status_id":1,"priority_id":2,"assigned_to_id":23,"start_date":"2017-05-02","description":"","custom_fields":[{"id":1,"name":"Subdivision","value":"NW"},{"id":4,"name":"Milepost","value":"5.9048"},{"id":17,"name":"Train ID","value":"835-02"},{"id":16,"name":"Locomotive ID","value":"4028"},{"id":130,"name":"Impact","value":""},{"id":150,"name":"Time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"%USERPROFILE%\AppData\Local\Temp\OnboardLogs"\RTDC4028\*4028*201705030*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"%USERPROFILE%\AppData\Local\Temp\OnboardLogs"\RTDC4028\*4028*201705030* &gt;&gt; 2017-05-02-SliceDisagreementCheck.txt</v>
      </c>
      <c r="AE32" s="148" t="str">
        <f t="shared" si="1"/>
        <v>start /low /b %USERPROFILE%\Documents\GitHub\eaglep3\Utilities\DownloadLogsFromS3.py --loco 4028 --day 2017-05-03</v>
      </c>
      <c r="AF32" s="1"/>
    </row>
    <row r="33" spans="1:32" x14ac:dyDescent="0.25">
      <c r="A33" s="31">
        <v>42857.815659722219</v>
      </c>
      <c r="B33" s="30" t="s">
        <v>375</v>
      </c>
      <c r="C33" s="30" t="s">
        <v>611</v>
      </c>
      <c r="D33" s="30" t="s">
        <v>98</v>
      </c>
      <c r="E33" s="30" t="s">
        <v>185</v>
      </c>
      <c r="F33" s="42">
        <v>0</v>
      </c>
      <c r="G33" s="42">
        <v>8</v>
      </c>
      <c r="H33" s="42">
        <v>59048</v>
      </c>
      <c r="I33" s="42">
        <v>0</v>
      </c>
      <c r="J33" s="30" t="s">
        <v>186</v>
      </c>
      <c r="K33" s="42">
        <v>59048</v>
      </c>
      <c r="L33" s="134" t="s">
        <v>50</v>
      </c>
      <c r="M33" s="135">
        <f>CONVERT((I33-K33)/10000,"mi","ft")*IF(L33="Increasing Mileposts (1)",-1,1)</f>
        <v>31177.344000000001</v>
      </c>
      <c r="N33" s="136" t="str">
        <f>VLOOKUP(C33,'Trips&amp;Operators'!$C$1:$G$99999,5,FALSE)</f>
        <v>LEVIN SCOTT</v>
      </c>
      <c r="O33" s="207" t="s">
        <v>184</v>
      </c>
      <c r="P33" s="137"/>
      <c r="Q33" s="30"/>
      <c r="R33" s="84" t="e">
        <f>IF(VLOOKUP(C33,'Train Runs'!$A$13:$AE$9945,1,1)=C33,VLOOKUP(C33,'Train Runs'!$A$13:$AE$9945,31,1),NA())</f>
        <v>#N/A</v>
      </c>
      <c r="S33" s="87" t="str">
        <f>VLOOKUP(C33,'Train Runs'!$A$13:$AE$9945,22,0)</f>
        <v>https://d0f6bd738d7f1b3e5a7ca70fe4ff75f0.us-east-1.aws.found.io/app/kibana#/discover/Steve-Slow-Train-Analysis-(2080s-and-2083s)?_g=(refreshInterval:(display:Off,pause:!f,section:0,value:0),time:(from:'2017-05-02T18:17:50-0600',mode:absolute,to:'2017-05-02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/stypes="*4014*201705030*" /stext=" 01:.+((SYSTEM_STATE.+slice.+state.+changed )|(ment ac)|(multiple cpu faults)|(system.+state.+changed )|(\[timeout)|(PRM\|1\|D)|(kpr)|(kdp)|(train st.+moving)|(\|lc)|(penalty))"</v>
      </c>
      <c r="U33" s="9" t="str">
        <f>MID(B33,13,4)</f>
        <v>4014</v>
      </c>
      <c r="V33" s="31">
        <f>A33-utc_offset/24</f>
        <v>42858.065659722219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OMIT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{"issue":{"subject":"","project_id":79,"tracker_id":40,"status_id":1,"priority_id":2,"assigned_to_id":23,"start_date":"2017-05-02","description":"","custom_fields":[{"id":1,"name":"Subdivision","value":"NW"},{"id":4,"name":"Milepost","value":"5.9048"},{"id":17,"name":"Train ID","value":"841-02"},{"id":16,"name":"Locomotive ID","value":"4014"},{"id":130,"name":"Impact","value":""},{"id":150,"name":"Time of Event (Mountain Time)","value":"19:34:33"},{"id":151,"name":"Denver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"%USERPROFILE%\AppData\Local\Temp\OnboardLogs"\RTDC4014\*4014*201705030*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"%USERPROFILE%\AppData\Local\Temp\OnboardLogs"\RTDC4014\*4014*201705030* &gt;&gt; 2017-05-02-SliceDisagreementCheck.txt</v>
      </c>
      <c r="AE33" s="148" t="str">
        <f t="shared" si="1"/>
        <v>start /low /b %USERPROFILE%\Documents\GitHub\eaglep3\Utilities\DownloadLogsFromS3.py --loco 4014 --day 2017-05-03</v>
      </c>
      <c r="AF33" s="1"/>
    </row>
    <row r="34" spans="1:32" x14ac:dyDescent="0.25">
      <c r="A34" s="31">
        <v>42857.129918981482</v>
      </c>
      <c r="B34" s="30" t="s">
        <v>392</v>
      </c>
      <c r="C34" s="30" t="s">
        <v>588</v>
      </c>
      <c r="D34" s="30" t="s">
        <v>49</v>
      </c>
      <c r="E34" s="30" t="s">
        <v>185</v>
      </c>
      <c r="F34" s="42">
        <v>0</v>
      </c>
      <c r="G34" s="42">
        <v>59</v>
      </c>
      <c r="H34" s="42">
        <v>223</v>
      </c>
      <c r="I34" s="42">
        <v>174</v>
      </c>
      <c r="J34" s="30" t="s">
        <v>186</v>
      </c>
      <c r="K34" s="42">
        <v>1</v>
      </c>
      <c r="L34" s="134" t="s">
        <v>51</v>
      </c>
      <c r="M34" s="135">
        <f>CONVERT((I34-K34)/10000,"mi","ft")*IF(L34="Increasing Mileposts (1)",-1,1)</f>
        <v>91.343999999999994</v>
      </c>
      <c r="N34" s="136" t="str">
        <f>VLOOKUP(C34,'Trips&amp;Operators'!$C$1:$G$99999,5,FALSE)</f>
        <v>SANTIZO D. EDY</v>
      </c>
      <c r="O34" s="207" t="s">
        <v>184</v>
      </c>
      <c r="P34" s="137"/>
      <c r="Q34" s="30"/>
      <c r="R34" s="84" t="e">
        <f>IF(VLOOKUP(C34,'Train Runs'!$A$13:$AE$9945,1,1)=C34,VLOOKUP(C34,'Train Runs'!$A$13:$AE$9945,31,1),NA())</f>
        <v>#N/A</v>
      </c>
      <c r="S34" s="87" t="str">
        <f>VLOOKUP(C34,'Train Runs'!$A$13:$AE$9945,22,0)</f>
        <v>https://d0f6bd738d7f1b3e5a7ca70fe4ff75f0.us-east-1.aws.found.io/app/kibana#/discover/Steve-Slow-Train-Analysis-(2080s-and-2083s)?_g=(refreshInterval:(display:Off,pause:!f,section:0,value:0),time:(from:'2017-05-02T01:51:27-0600',mode:absolute,to:'2017-05-02T04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/stypes="*4003*201705020*" /stext=" 09:.+((SYSTEM_STATE.+slice.+state.+changed )|(ment ac)|(multiple cpu faults)|(system.+state.+changed )|(\[timeout)|(PRM\|1\|D)|(kpr)|(kdp)|(train st.+moving)|(\|lc)|(penalty))"</v>
      </c>
      <c r="U34" s="9" t="str">
        <f>MID(B34,13,4)</f>
        <v>4003</v>
      </c>
      <c r="V34" s="31">
        <f>A34-utc_offset/24</f>
        <v>42857.379918981482</v>
      </c>
      <c r="W34" s="45" t="str">
        <f>IFERROR(IF(VALUE(LEFT(IF(LEN(C34)=6,"0"&amp;C34,C34),2))&lt;=2,"EC",IF(OR(VALUE(LEFT(IF(LEN(C34)=6,"0"&amp;C34,C34),2))=8,VALUE(LEFT(IF(LEN(C34)=6,"0"&amp;C34,C34),2))=18),"NW","Other")),"Other")</f>
        <v>Other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{"issue":{"subject":"","project_id":79,"tracker_id":40,"status_id":1,"priority_id":2,"assigned_to_id":23,"start_date":"2017-05-02","description":"","custom_fields":[{"id":1,"name":"Subdivision","value":"Other"},{"id":4,"name":"Milepost","value":"0.0001"},{"id":17,"name":"Train ID","value":"302-02"},{"id":16,"name":"Locomotive ID","value":"4003"},{"id":130,"name":"Impact","value":""},{"id":150,"name":"Time of Event (Mountain Time)","value":"03:07:05"},{"id":151,"name":"Denver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"%USERPROFILE%\AppData\Local\Temp\OnboardLogs"\RTDC4003\*4003*201705020*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"%USERPROFILE%\AppData\Local\Temp\OnboardLogs"\RTDC4003\*4003*201705020* &gt;&gt; 2017-05-02-SliceDisagreementCheck.txt</v>
      </c>
      <c r="AE34" s="148" t="str">
        <f t="shared" si="1"/>
        <v>start /low /b %USERPROFILE%\Documents\GitHub\eaglep3\Utilities\DownloadLogsFromS3.py --loco 4003 --day 2017-05-02</v>
      </c>
      <c r="AF34" s="1"/>
    </row>
    <row r="35" spans="1:32" x14ac:dyDescent="0.25">
      <c r="A35" s="31">
        <v>42857.750358796293</v>
      </c>
      <c r="B35" s="30" t="s">
        <v>594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80</v>
      </c>
      <c r="H35" s="42">
        <v>292</v>
      </c>
      <c r="I35" s="42">
        <v>218</v>
      </c>
      <c r="J35" s="30" t="s">
        <v>186</v>
      </c>
      <c r="K35" s="42">
        <v>1</v>
      </c>
      <c r="L35" s="134" t="s">
        <v>51</v>
      </c>
      <c r="M35" s="135">
        <f>CONVERT((I35-K35)/10000,"mi","ft")*IF(L35="Increasing Mileposts (1)",-1,1)</f>
        <v>114.57599999999999</v>
      </c>
      <c r="N35" s="136" t="str">
        <f>VLOOKUP(C35,'Trips&amp;Operators'!$C$1:$G$99999,5,FALSE)</f>
        <v>STORY SAMANTHA</v>
      </c>
      <c r="O35" s="207" t="s">
        <v>184</v>
      </c>
      <c r="P35" s="137"/>
      <c r="Q35" s="30"/>
      <c r="R35" s="84" t="e">
        <f>IF(VLOOKUP(C35,'Train Runs'!$A$13:$AE$9945,1,1)=C35,VLOOKUP(C35,'Train Runs'!$A$13:$AE$9945,31,1),NA())</f>
        <v>#N/A</v>
      </c>
      <c r="S35" s="87" t="str">
        <f>VLOOKUP(C35,'Train Runs'!$A$13:$AE$9945,22,0)</f>
        <v>https://d0f6bd738d7f1b3e5a7ca70fe4ff75f0.us-east-1.aws.found.io/app/kibana#/discover/Steve-Slow-Train-Analysis-(2080s-and-2083s)?_g=(refreshInterval:(display:Off,pause:!f,section:0,value:0),time:(from:'2017-05-02T16:49:00-0600',mode:absolute,to:'2017-05-02T19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/stypes="*4015*201705030*" /stext=" 00:.+((SYSTEM_STATE.+slice.+state.+changed )|(ment ac)|(multiple cpu faults)|(system.+state.+changed )|(\[timeout)|(PRM\|1\|D)|(kpr)|(kdp)|(train st.+moving)|(\|lc)|(penalty))"</v>
      </c>
      <c r="U35" s="9" t="str">
        <f>MID(B35,13,4)</f>
        <v>4015</v>
      </c>
      <c r="V35" s="31">
        <f>A35-utc_offset/24</f>
        <v>42858.000358796293</v>
      </c>
      <c r="W35" s="45" t="str">
        <f>IFERROR(IF(VALUE(LEFT(IF(LEN(C35)=6,"0"&amp;C35,C35),2))&lt;=2,"EC",IF(OR(VALUE(LEFT(IF(LEN(C35)=6,"0"&amp;C35,C35),2))=8,VALUE(LEFT(IF(LEN(C35)=6,"0"&amp;C35,C35),2))=18),"NW","Other")),"Other")</f>
        <v>Other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{"issue":{"subject":"","project_id":79,"tracker_id":40,"status_id":1,"priority_id":2,"assigned_to_id":23,"start_date":"2017-05-02","description":"","custom_fields":[{"id":1,"name":"Subdivision","value":"Other"},{"id":4,"name":"Milepost","value":"0.0001"},{"id":17,"name":"Train ID","value":"52-02"},{"id":16,"name":"Locomotive ID","value":"4015"},{"id":130,"name":"Impact","value":""},{"id":150,"name":"Time of Event (Mountain Time)","value":"18:00:31"},{"id":151,"name":"Denver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"%USERPROFILE%\AppData\Local\Temp\OnboardLogs"\RTDC4015\*4015*201705030*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"%USERPROFILE%\AppData\Local\Temp\OnboardLogs"\RTDC4015\*4015*201705030* &gt;&gt; 2017-05-02-SliceDisagreementCheck.txt</v>
      </c>
      <c r="AE35" s="148" t="str">
        <f t="shared" si="1"/>
        <v>start /low /b %USERPROFILE%\Documents\GitHub\eaglep3\Utilities\DownloadLogsFromS3.py --loco 4015 --day 2017-05-03</v>
      </c>
      <c r="AF35" s="1"/>
    </row>
    <row r="36" spans="1:32" x14ac:dyDescent="0.25">
      <c r="A36" s="31">
        <v>42857.750937500001</v>
      </c>
      <c r="B36" s="30" t="s">
        <v>594</v>
      </c>
      <c r="C36" s="30" t="s">
        <v>606</v>
      </c>
      <c r="D36" s="30" t="s">
        <v>49</v>
      </c>
      <c r="E36" s="30" t="s">
        <v>185</v>
      </c>
      <c r="F36" s="42">
        <v>0</v>
      </c>
      <c r="G36" s="42">
        <v>27</v>
      </c>
      <c r="H36" s="42">
        <v>57</v>
      </c>
      <c r="I36" s="42">
        <v>28</v>
      </c>
      <c r="J36" s="30" t="s">
        <v>186</v>
      </c>
      <c r="K36" s="42">
        <v>1</v>
      </c>
      <c r="L36" s="134" t="s">
        <v>51</v>
      </c>
      <c r="M36" s="135">
        <f>CONVERT((I36-K36)/10000,"mi","ft")*IF(L36="Increasing Mileposts (1)",-1,1)</f>
        <v>14.256</v>
      </c>
      <c r="N36" s="136" t="str">
        <f>VLOOKUP(C36,'Trips&amp;Operators'!$C$1:$G$99999,5,FALSE)</f>
        <v>STORY SAMANTHA</v>
      </c>
      <c r="O36" s="207" t="s">
        <v>184</v>
      </c>
      <c r="P36" s="137"/>
      <c r="Q36" s="30"/>
      <c r="R36" s="84" t="e">
        <f>IF(VLOOKUP(C36,'Train Runs'!$A$13:$AE$9945,1,1)=C36,VLOOKUP(C36,'Train Runs'!$A$13:$AE$9945,31,1),NA())</f>
        <v>#N/A</v>
      </c>
      <c r="S36" s="87" t="str">
        <f>VLOOKUP(C36,'Train Runs'!$A$13:$AE$9945,22,0)</f>
        <v>https://d0f6bd738d7f1b3e5a7ca70fe4ff75f0.us-east-1.aws.found.io/app/kibana#/discover/Steve-Slow-Train-Analysis-(2080s-and-2083s)?_g=(refreshInterval:(display:Off,pause:!f,section:0,value:0),time:(from:'2017-05-02T16:49:00-0600',mode:absolute,to:'2017-05-02T19:00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/stypes="*4015*201705030*" /stext=" 00:.+((SYSTEM_STATE.+slice.+state.+changed )|(ment ac)|(multiple cpu faults)|(system.+state.+changed )|(\[timeout)|(PRM\|1\|D)|(kpr)|(kdp)|(train st.+moving)|(\|lc)|(penalty))"</v>
      </c>
      <c r="U36" s="9" t="str">
        <f>MID(B36,13,4)</f>
        <v>4015</v>
      </c>
      <c r="V36" s="31">
        <f>A36-utc_offset/24</f>
        <v>42858.000937500001</v>
      </c>
      <c r="W36" s="45" t="str">
        <f>IFERROR(IF(VALUE(LEFT(IF(LEN(C36)=6,"0"&amp;C36,C36),2))&lt;=2,"EC",IF(OR(VALUE(LEFT(IF(LEN(C36)=6,"0"&amp;C36,C36),2))=8,VALUE(LEFT(IF(LEN(C36)=6,"0"&amp;C36,C36),2))=18),"NW","Other")),"Other")</f>
        <v>Other</v>
      </c>
      <c r="X36" s="45" t="str">
        <f>IF(AND(E36="TRACK WARRANT AUTHORITY",G36&lt;10),"OMIT","KEEP")</f>
        <v>KEEP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{"issue":{"subject":"","project_id":79,"tracker_id":40,"status_id":1,"priority_id":2,"assigned_to_id":23,"start_date":"2017-05-02","description":"","custom_fields":[{"id":1,"name":"Subdivision","value":"Other"},{"id":4,"name":"Milepost","value":"0.0001"},{"id":17,"name":"Train ID","value":"52-02"},{"id":16,"name":"Locomotive ID","value":"4015"},{"id":130,"name":"Impact","value":""},{"id":150,"name":"Time of Event (Mountain Time)","value":"18:01:21"},{"id":151,"name":"Denver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"%USERPROFILE%\AppData\Local\Temp\OnboardLogs"\RTDC4015\*4015*201705030*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"%USERPROFILE%\AppData\Local\Temp\OnboardLogs"\RTDC4015\*4015*201705030* &gt;&gt; 2017-05-02-SliceDisagreementCheck.txt</v>
      </c>
      <c r="AE36" s="148" t="str">
        <f t="shared" si="1"/>
        <v>start /low /b %USERPROFILE%\Documents\GitHub\eaglep3\Utilities\DownloadLogsFromS3.py --loco 4015 --day 2017-05-03</v>
      </c>
      <c r="AF36" s="1"/>
    </row>
    <row r="37" spans="1:32" x14ac:dyDescent="0.25">
      <c r="A37" s="31">
        <v>42857.434930555559</v>
      </c>
      <c r="B37" s="30" t="s">
        <v>594</v>
      </c>
      <c r="C37" s="30" t="s">
        <v>595</v>
      </c>
      <c r="D37" s="30" t="s">
        <v>49</v>
      </c>
      <c r="E37" s="30" t="s">
        <v>185</v>
      </c>
      <c r="F37" s="42">
        <v>0</v>
      </c>
      <c r="G37" s="42">
        <v>24</v>
      </c>
      <c r="H37" s="42">
        <v>898</v>
      </c>
      <c r="I37" s="42">
        <v>885</v>
      </c>
      <c r="J37" s="30" t="s">
        <v>186</v>
      </c>
      <c r="K37" s="42">
        <v>826</v>
      </c>
      <c r="L37" s="134" t="s">
        <v>51</v>
      </c>
      <c r="M37" s="135">
        <f>CONVERT((I37-K37)/10000,"mi","ft")*IF(L37="Increasing Mileposts (1)",-1,1)</f>
        <v>31.152000000000001</v>
      </c>
      <c r="N37" s="136" t="str">
        <f>VLOOKUP(C37,'Trips&amp;Operators'!$C$1:$G$99999,5,FALSE)</f>
        <v>BEAM ROSS</v>
      </c>
      <c r="O37" s="207" t="s">
        <v>184</v>
      </c>
      <c r="P37" s="137"/>
      <c r="Q37" s="30"/>
      <c r="R37" s="84" t="e">
        <f>IF(VLOOKUP(C37,'Train Runs'!$A$13:$AE$9945,1,1)=C37,VLOOKUP(C37,'Train Runs'!$A$13:$AE$9945,31,1),NA())</f>
        <v>#N/A</v>
      </c>
      <c r="S37" s="87" t="str">
        <f>VLOOKUP(C37,'Train Runs'!$A$13:$AE$9945,22,0)</f>
        <v>https://d0f6bd738d7f1b3e5a7ca70fe4ff75f0.us-east-1.aws.found.io/app/kibana#/discover/Steve-Slow-Train-Analysis-(2080s-and-2083s)?_g=(refreshInterval:(display:Off,pause:!f,section:0,value:0),time:(from:'2017-05-02T09:15:16-0600',mode:absolute,to:'2017-05-02T11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/stypes="*4015*201705021*" /stext=" 16:.+((SYSTEM_STATE.+slice.+state.+changed )|(ment ac)|(multiple cpu faults)|(system.+state.+changed )|(\[timeout)|(PRM\|1\|D)|(kpr)|(kdp)|(train st.+moving)|(\|lc)|(penalty))"</v>
      </c>
      <c r="U37" s="9" t="str">
        <f>MID(B37,13,4)</f>
        <v>4015</v>
      </c>
      <c r="V37" s="31">
        <f>A37-utc_offset/24</f>
        <v>42857.684930555559</v>
      </c>
      <c r="W37" s="45" t="str">
        <f>IFERROR(IF(VALUE(LEFT(IF(LEN(C37)=6,"0"&amp;C37,C37),2))&lt;=2,"EC",IF(OR(VALUE(LEFT(IF(LEN(C37)=6,"0"&amp;C37,C37),2))=8,VALUE(LEFT(IF(LEN(C37)=6,"0"&amp;C37,C37),2))=18),"NW","Other")),"Other")</f>
        <v>Other</v>
      </c>
      <c r="X37" s="45" t="str">
        <f>IF(AND(E37="TRACK WARRANT AUTHORITY",G37&lt;10),"OMIT","KEEP")</f>
        <v>KEEP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{"issue":{"subject":"","project_id":79,"tracker_id":40,"status_id":1,"priority_id":2,"assigned_to_id":23,"start_date":"2017-05-02","description":"","custom_fields":[{"id":1,"name":"Subdivision","value":"Other"},{"id":4,"name":"Milepost","value":"0.0826"},{"id":17,"name":"Train ID","value":"54-02"},{"id":16,"name":"Locomotive ID","value":"4015"},{"id":130,"name":"Impact","value":""},{"id":150,"name":"Time of Event (Mountain Time)","value":"10:26:18"},{"id":151,"name":"Denver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"%USERPROFILE%\AppData\Local\Temp\OnboardLogs"\RTDC4015\*4015*201705021*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"%USERPROFILE%\AppData\Local\Temp\OnboardLogs"\RTDC4015\*4015*201705021* &gt;&gt; 2017-05-02-SliceDisagreementCheck.txt</v>
      </c>
      <c r="AE37" s="148" t="str">
        <f t="shared" si="1"/>
        <v>start /low /b %USERPROFILE%\Documents\GitHub\eaglep3\Utilities\DownloadLogsFromS3.py --loco 4015 --day 2017-05-02</v>
      </c>
      <c r="AF37" s="1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>
    <sortState ref="A7:AC66">
      <sortCondition ref="W7:W37"/>
      <sortCondition ref="E7:E37"/>
      <sortCondition ref="K7:K37"/>
      <sortCondition ref="F7:F3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3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AA7:AA37</xm:sqref>
        </x14:dataValidation>
        <x14:dataValidation type="list" allowBlank="1" showInputMessage="1" showErrorMessage="1">
          <x14:formula1>
            <xm:f>'Redmine List Values'!$C$2:$C$15</xm:f>
          </x14:formula1>
          <xm:sqref>AB7:AB37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2017-05-02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-02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Runs'!$A$13:$A$99942,1,FALSE)</f>
        <v>#N/A</v>
      </c>
    </row>
    <row r="4" spans="1:10" x14ac:dyDescent="0.25">
      <c r="A4" s="190"/>
      <c r="B4" s="42" t="str">
        <f>A4&amp;"-"&amp;IF(DAY(Variables!$A$2)&lt;10,0,"")&amp;DAY(Variables!$A$2)</f>
        <v>-02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Runs'!$A$13:$A$99942,1,FALSE)</f>
        <v>#N/A</v>
      </c>
    </row>
    <row r="5" spans="1:10" x14ac:dyDescent="0.25">
      <c r="A5" s="190"/>
      <c r="B5" s="42" t="str">
        <f>A5&amp;"-"&amp;IF(DAY(Variables!$A$2)&lt;10,0,"")&amp;DAY(Variables!$A$2)</f>
        <v>-02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Runs'!$A$13:$A$99942,1,FALSE)</f>
        <v>#N/A</v>
      </c>
    </row>
    <row r="6" spans="1:10" x14ac:dyDescent="0.25">
      <c r="A6" s="190"/>
      <c r="B6" s="42" t="str">
        <f>A6&amp;"-"&amp;IF(DAY(Variables!$A$2)&lt;10,0,"")&amp;DAY(Variables!$A$2)</f>
        <v>-02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Runs'!$A$13:$A$99942,1,FALSE)</f>
        <v>#N/A</v>
      </c>
    </row>
    <row r="7" spans="1:10" x14ac:dyDescent="0.25">
      <c r="A7" s="190"/>
      <c r="B7" s="42" t="str">
        <f>A7&amp;"-"&amp;IF(DAY(Variables!$A$2)&lt;10,0,"")&amp;DAY(Variables!$A$2)</f>
        <v>-02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Runs'!$A$13:$A$99942,1,FALSE)</f>
        <v>#N/A</v>
      </c>
    </row>
    <row r="8" spans="1:10" x14ac:dyDescent="0.25">
      <c r="A8" s="190"/>
      <c r="B8" s="42" t="str">
        <f>A8&amp;"-"&amp;IF(DAY(Variables!$A$2)&lt;10,0,"")&amp;DAY(Variables!$A$2)</f>
        <v>-02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Runs'!$A$13:$A$99942,1,FALSE)</f>
        <v>#N/A</v>
      </c>
    </row>
    <row r="9" spans="1:10" x14ac:dyDescent="0.25">
      <c r="A9" s="190"/>
      <c r="B9" s="42" t="str">
        <f>A9&amp;"-"&amp;IF(DAY(Variables!$A$2)&lt;10,0,"")&amp;DAY(Variables!$A$2)</f>
        <v>-02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Runs'!$A$13:$A$99942,1,FALSE)</f>
        <v>#N/A</v>
      </c>
    </row>
    <row r="10" spans="1:10" x14ac:dyDescent="0.25">
      <c r="A10" s="190"/>
      <c r="B10" s="42" t="str">
        <f>A10&amp;"-"&amp;IF(DAY(Variables!$A$2)&lt;10,0,"")&amp;DAY(Variables!$A$2)</f>
        <v>-02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Runs'!$A$13:$A$99942,1,FALSE)</f>
        <v>#N/A</v>
      </c>
    </row>
    <row r="11" spans="1:10" x14ac:dyDescent="0.25">
      <c r="A11" s="190"/>
      <c r="B11" s="42" t="str">
        <f>A11&amp;"-"&amp;IF(DAY(Variables!$A$2)&lt;10,0,"")&amp;DAY(Variables!$A$2)</f>
        <v>-02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Runs'!$A$13:$A$99942,1,FALSE)</f>
        <v>#N/A</v>
      </c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 t="str">
        <f>A73&amp;"-"&amp;IF(DAY(Variables!$A$2)&lt;10,0,"")&amp;DAY(Variables!$A$2)</f>
        <v>-02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ref="I73:I8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3" s="30" t="e">
        <f>VLOOKUP(B73,'Train Runs'!$A$13:$A$99942,1,FALSE)</f>
        <v>#N/A</v>
      </c>
    </row>
    <row r="74" spans="1:10" x14ac:dyDescent="0.25">
      <c r="A74" s="190"/>
      <c r="B74" s="42" t="str">
        <f>A74&amp;"-"&amp;IF(DAY(Variables!$A$2)&lt;10,0,"")&amp;DAY(Variables!$A$2)</f>
        <v>-02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4" s="30" t="e">
        <f>VLOOKUP(B74,'Train Runs'!$A$13:$A$99942,1,FALSE)</f>
        <v>#N/A</v>
      </c>
    </row>
    <row r="75" spans="1:10" x14ac:dyDescent="0.25">
      <c r="A75" s="190"/>
      <c r="B75" s="42" t="str">
        <f>A75&amp;"-"&amp;IF(DAY(Variables!$A$2)&lt;10,0,"")&amp;DAY(Variables!$A$2)</f>
        <v>-02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5" s="30" t="e">
        <f>VLOOKUP(B75,'Train Runs'!$A$13:$A$99942,1,FALSE)</f>
        <v>#N/A</v>
      </c>
    </row>
    <row r="76" spans="1:10" x14ac:dyDescent="0.25">
      <c r="A76" s="190"/>
      <c r="B76" s="42" t="str">
        <f>A76&amp;"-"&amp;IF(DAY(Variables!$A$2)&lt;10,0,"")&amp;DAY(Variables!$A$2)</f>
        <v>-02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6" s="30" t="e">
        <f>VLOOKUP(B76,'Train Runs'!$A$13:$A$99942,1,FALSE)</f>
        <v>#N/A</v>
      </c>
    </row>
    <row r="77" spans="1:10" x14ac:dyDescent="0.25">
      <c r="A77" s="190"/>
      <c r="B77" s="42" t="str">
        <f>A77&amp;"-"&amp;IF(DAY(Variables!$A$2)&lt;10,0,"")&amp;DAY(Variables!$A$2)</f>
        <v>-02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7" s="30" t="e">
        <f>VLOOKUP(B77,'Train Runs'!$A$13:$A$99942,1,FALSE)</f>
        <v>#N/A</v>
      </c>
    </row>
    <row r="78" spans="1:10" x14ac:dyDescent="0.25">
      <c r="A78" s="190"/>
      <c r="B78" s="42" t="str">
        <f>A78&amp;"-"&amp;IF(DAY(Variables!$A$2)&lt;10,0,"")&amp;DAY(Variables!$A$2)</f>
        <v>-02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8" s="30" t="e">
        <f>VLOOKUP(B78,'Train Runs'!$A$13:$A$99942,1,FALSE)</f>
        <v>#N/A</v>
      </c>
    </row>
    <row r="79" spans="1:10" x14ac:dyDescent="0.25">
      <c r="A79" s="190"/>
      <c r="B79" s="42" t="str">
        <f>A79&amp;"-"&amp;IF(DAY(Variables!$A$2)&lt;10,0,"")&amp;DAY(Variables!$A$2)</f>
        <v>-02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9" s="30" t="e">
        <f>VLOOKUP(B79,'Train Runs'!$A$13:$A$99942,1,FALSE)</f>
        <v>#N/A</v>
      </c>
    </row>
    <row r="80" spans="1:10" x14ac:dyDescent="0.25">
      <c r="A80" s="190"/>
      <c r="B80" s="42" t="str">
        <f>A80&amp;"-"&amp;IF(DAY(Variables!$A$2)&lt;10,0,"")&amp;DAY(Variables!$A$2)</f>
        <v>-02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0" s="30" t="e">
        <f>VLOOKUP(B80,'Train Runs'!$A$13:$A$99942,1,FALSE)</f>
        <v>#N/A</v>
      </c>
    </row>
    <row r="81" spans="1:10" x14ac:dyDescent="0.25">
      <c r="A81" s="190"/>
      <c r="B81" s="42" t="str">
        <f>A81&amp;"-"&amp;IF(DAY(Variables!$A$2)&lt;10,0,"")&amp;DAY(Variables!$A$2)</f>
        <v>-02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1" s="30" t="e">
        <f>VLOOKUP(B81,'Train Runs'!$A$13:$A$99942,1,FALSE)</f>
        <v>#N/A</v>
      </c>
    </row>
    <row r="82" spans="1:10" x14ac:dyDescent="0.25">
      <c r="A82" s="190"/>
      <c r="B82" s="42" t="str">
        <f>A82&amp;"-"&amp;IF(DAY(Variables!$A$2)&lt;10,0,"")&amp;DAY(Variables!$A$2)</f>
        <v>-02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2" s="30" t="e">
        <f>VLOOKUP(B82,'Train Runs'!$A$13:$A$99942,1,FALSE)</f>
        <v>#N/A</v>
      </c>
    </row>
  </sheetData>
  <autoFilter ref="A2:J8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42857.036377314813</v>
      </c>
      <c r="B2" s="20" t="s">
        <v>360</v>
      </c>
      <c r="C2" s="20" t="s">
        <v>537</v>
      </c>
      <c r="D2" s="141">
        <v>2000000</v>
      </c>
      <c r="E2" s="20" t="s">
        <v>353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42857.036574074074</v>
      </c>
      <c r="B3" s="20" t="s">
        <v>463</v>
      </c>
      <c r="C3" s="20" t="s">
        <v>516</v>
      </c>
      <c r="D3" s="141">
        <v>2970000</v>
      </c>
      <c r="E3" s="20" t="s">
        <v>393</v>
      </c>
      <c r="F3" s="20" t="s">
        <v>394</v>
      </c>
      <c r="G3" s="8" t="str">
        <f t="shared" ref="G3:G66" si="0">E3&amp;" "&amp;F3</f>
        <v>GUZMAN DANNY</v>
      </c>
    </row>
    <row r="4" spans="1:7" x14ac:dyDescent="0.25">
      <c r="A4" s="8">
        <v>42857.037870370368</v>
      </c>
      <c r="B4" s="20" t="s">
        <v>463</v>
      </c>
      <c r="C4" s="20" t="s">
        <v>516</v>
      </c>
      <c r="D4" s="141">
        <v>2970000</v>
      </c>
      <c r="E4" s="20" t="s">
        <v>393</v>
      </c>
      <c r="F4" s="20" t="s">
        <v>394</v>
      </c>
      <c r="G4" s="8" t="str">
        <f t="shared" si="0"/>
        <v>GUZMAN DANNY</v>
      </c>
    </row>
    <row r="5" spans="1:7" x14ac:dyDescent="0.25">
      <c r="A5" s="8">
        <v>42857.039456018516</v>
      </c>
      <c r="B5" s="20" t="s">
        <v>463</v>
      </c>
      <c r="C5" s="20" t="s">
        <v>516</v>
      </c>
      <c r="D5" s="141">
        <v>2970000</v>
      </c>
      <c r="E5" s="20" t="s">
        <v>393</v>
      </c>
      <c r="F5" s="20" t="s">
        <v>394</v>
      </c>
      <c r="G5" s="8" t="str">
        <f t="shared" si="0"/>
        <v>GUZMAN DANNY</v>
      </c>
    </row>
    <row r="6" spans="1:7" x14ac:dyDescent="0.25">
      <c r="A6" s="8">
        <v>42857.048935185187</v>
      </c>
      <c r="B6" s="20" t="s">
        <v>416</v>
      </c>
      <c r="C6" s="20" t="s">
        <v>538</v>
      </c>
      <c r="D6" s="141">
        <v>2230000</v>
      </c>
      <c r="E6" s="20" t="s">
        <v>358</v>
      </c>
      <c r="F6" s="20" t="s">
        <v>196</v>
      </c>
      <c r="G6" s="8" t="str">
        <f t="shared" si="0"/>
        <v>SMITH MICHAEL</v>
      </c>
    </row>
    <row r="7" spans="1:7" x14ac:dyDescent="0.25">
      <c r="A7" s="8">
        <v>42857.056030092594</v>
      </c>
      <c r="B7" s="20" t="s">
        <v>425</v>
      </c>
      <c r="C7" s="20" t="s">
        <v>539</v>
      </c>
      <c r="D7" s="141">
        <v>1740000</v>
      </c>
      <c r="E7" s="20" t="s">
        <v>372</v>
      </c>
      <c r="F7" s="20" t="s">
        <v>373</v>
      </c>
      <c r="G7" s="8" t="str">
        <f t="shared" si="0"/>
        <v>STORY SAMANTHA</v>
      </c>
    </row>
    <row r="8" spans="1:7" x14ac:dyDescent="0.25">
      <c r="A8" s="8">
        <v>42857.056967592594</v>
      </c>
      <c r="B8" s="20" t="s">
        <v>451</v>
      </c>
      <c r="C8" s="20" t="s">
        <v>516</v>
      </c>
      <c r="D8" s="141">
        <v>2970000</v>
      </c>
      <c r="E8" s="20" t="s">
        <v>393</v>
      </c>
      <c r="F8" s="20" t="s">
        <v>394</v>
      </c>
      <c r="G8" s="8" t="str">
        <f t="shared" si="0"/>
        <v>GUZMAN DANNY</v>
      </c>
    </row>
    <row r="9" spans="1:7" ht="15.75" thickBot="1" x14ac:dyDescent="0.3">
      <c r="A9" s="24">
        <v>42857.066562499997</v>
      </c>
      <c r="B9" s="20" t="s">
        <v>199</v>
      </c>
      <c r="C9" s="20" t="s">
        <v>540</v>
      </c>
      <c r="D9" s="141">
        <v>2000000</v>
      </c>
      <c r="E9" s="20" t="s">
        <v>353</v>
      </c>
      <c r="F9" s="20" t="s">
        <v>193</v>
      </c>
      <c r="G9" s="8" t="str">
        <f t="shared" si="0"/>
        <v>STAMBAUGH JAMES</v>
      </c>
    </row>
    <row r="10" spans="1:7" x14ac:dyDescent="0.25">
      <c r="A10" s="8">
        <v>42857.078900462962</v>
      </c>
      <c r="B10" s="20" t="s">
        <v>463</v>
      </c>
      <c r="C10" s="20" t="s">
        <v>516</v>
      </c>
      <c r="D10" s="141">
        <v>2970000</v>
      </c>
      <c r="E10" s="20" t="s">
        <v>393</v>
      </c>
      <c r="F10" s="20" t="s">
        <v>394</v>
      </c>
      <c r="G10" s="8" t="str">
        <f t="shared" si="0"/>
        <v>GUZMAN DANNY</v>
      </c>
    </row>
    <row r="11" spans="1:7" x14ac:dyDescent="0.25">
      <c r="A11" s="8">
        <v>42857.092858796299</v>
      </c>
      <c r="B11" s="20" t="s">
        <v>405</v>
      </c>
      <c r="C11" s="20" t="s">
        <v>541</v>
      </c>
      <c r="D11" s="141">
        <v>1740000</v>
      </c>
      <c r="E11" s="20" t="s">
        <v>372</v>
      </c>
      <c r="F11" s="20" t="s">
        <v>373</v>
      </c>
      <c r="G11" s="8" t="str">
        <f t="shared" si="0"/>
        <v>STORY SAMANTHA</v>
      </c>
    </row>
    <row r="12" spans="1:7" x14ac:dyDescent="0.25">
      <c r="A12" s="8">
        <v>42857.117094907408</v>
      </c>
      <c r="B12" s="20" t="s">
        <v>392</v>
      </c>
      <c r="C12" s="20" t="s">
        <v>588</v>
      </c>
      <c r="D12" s="141">
        <v>1360000</v>
      </c>
      <c r="E12" s="20" t="s">
        <v>464</v>
      </c>
      <c r="F12" s="20" t="s">
        <v>465</v>
      </c>
      <c r="G12" s="8" t="str">
        <f t="shared" si="0"/>
        <v>SANTIZO D. EDY</v>
      </c>
    </row>
    <row r="13" spans="1:7" x14ac:dyDescent="0.25">
      <c r="A13" s="8">
        <v>42857.11959490741</v>
      </c>
      <c r="B13" s="20" t="s">
        <v>392</v>
      </c>
      <c r="C13" s="20" t="s">
        <v>588</v>
      </c>
      <c r="D13" s="141">
        <v>1360000</v>
      </c>
      <c r="E13" s="20" t="s">
        <v>464</v>
      </c>
      <c r="F13" s="20" t="s">
        <v>465</v>
      </c>
      <c r="G13" s="8" t="str">
        <f t="shared" si="0"/>
        <v>SANTIZO D. EDY</v>
      </c>
    </row>
    <row r="14" spans="1:7" x14ac:dyDescent="0.25">
      <c r="A14" s="8">
        <v>42857.134328703702</v>
      </c>
      <c r="B14" s="20" t="s">
        <v>617</v>
      </c>
      <c r="C14" s="20" t="s">
        <v>618</v>
      </c>
      <c r="D14" s="141">
        <v>1360000</v>
      </c>
      <c r="E14" s="20" t="s">
        <v>464</v>
      </c>
      <c r="F14" s="20" t="s">
        <v>465</v>
      </c>
      <c r="G14" s="8" t="str">
        <f t="shared" si="0"/>
        <v>SANTIZO D. EDY</v>
      </c>
    </row>
    <row r="15" spans="1:7" x14ac:dyDescent="0.25">
      <c r="A15" s="8">
        <v>42857.137546296297</v>
      </c>
      <c r="B15" s="20" t="s">
        <v>411</v>
      </c>
      <c r="C15" s="20" t="s">
        <v>619</v>
      </c>
      <c r="D15" s="141">
        <v>2010000</v>
      </c>
      <c r="E15" s="20" t="s">
        <v>466</v>
      </c>
      <c r="F15" s="20" t="s">
        <v>467</v>
      </c>
      <c r="G15" s="8" t="str">
        <f t="shared" si="0"/>
        <v>MAELZER KURT</v>
      </c>
    </row>
    <row r="16" spans="1:7" x14ac:dyDescent="0.25">
      <c r="A16" s="8">
        <v>42857.153738425928</v>
      </c>
      <c r="B16" s="20" t="s">
        <v>462</v>
      </c>
      <c r="C16" s="20" t="s">
        <v>620</v>
      </c>
      <c r="D16" s="141">
        <v>2010000</v>
      </c>
      <c r="E16" s="20" t="s">
        <v>466</v>
      </c>
      <c r="F16" s="20" t="s">
        <v>467</v>
      </c>
      <c r="G16" s="8" t="str">
        <f t="shared" si="0"/>
        <v>MAELZER KURT</v>
      </c>
    </row>
    <row r="17" spans="1:7" x14ac:dyDescent="0.25">
      <c r="A17" s="8">
        <v>42857.161574074074</v>
      </c>
      <c r="B17" s="20" t="s">
        <v>385</v>
      </c>
      <c r="C17" s="20" t="s">
        <v>621</v>
      </c>
      <c r="D17" s="141">
        <v>1110000</v>
      </c>
      <c r="E17" s="20" t="s">
        <v>500</v>
      </c>
      <c r="F17" s="20" t="s">
        <v>501</v>
      </c>
      <c r="G17" s="8" t="str">
        <f t="shared" si="0"/>
        <v>STARKS ANGELINA</v>
      </c>
    </row>
    <row r="18" spans="1:7" x14ac:dyDescent="0.25">
      <c r="A18" s="8">
        <v>42857.164942129632</v>
      </c>
      <c r="B18" s="20" t="s">
        <v>392</v>
      </c>
      <c r="C18" s="20" t="s">
        <v>622</v>
      </c>
      <c r="D18" s="141">
        <v>1360000</v>
      </c>
      <c r="E18" s="20" t="s">
        <v>464</v>
      </c>
      <c r="F18" s="20" t="s">
        <v>465</v>
      </c>
      <c r="G18" s="8" t="str">
        <f t="shared" si="0"/>
        <v>SANTIZO D. EDY</v>
      </c>
    </row>
    <row r="19" spans="1:7" x14ac:dyDescent="0.25">
      <c r="A19" s="8">
        <v>42857.16815972222</v>
      </c>
      <c r="B19" s="20" t="s">
        <v>356</v>
      </c>
      <c r="C19" s="20" t="s">
        <v>623</v>
      </c>
      <c r="D19" s="141">
        <v>3120000</v>
      </c>
      <c r="E19" s="20" t="s">
        <v>502</v>
      </c>
      <c r="F19" s="20" t="s">
        <v>503</v>
      </c>
      <c r="G19" s="8" t="str">
        <f t="shared" si="0"/>
        <v>THOMPSON LESTER</v>
      </c>
    </row>
    <row r="20" spans="1:7" x14ac:dyDescent="0.25">
      <c r="A20" s="8">
        <v>42857.174618055556</v>
      </c>
      <c r="B20" s="20" t="s">
        <v>381</v>
      </c>
      <c r="C20" s="20" t="s">
        <v>624</v>
      </c>
      <c r="D20" s="141">
        <v>1110000</v>
      </c>
      <c r="E20" s="20" t="s">
        <v>500</v>
      </c>
      <c r="F20" s="20" t="s">
        <v>501</v>
      </c>
      <c r="G20" s="8" t="str">
        <f t="shared" si="0"/>
        <v>STARKS ANGELINA</v>
      </c>
    </row>
    <row r="21" spans="1:7" x14ac:dyDescent="0.25">
      <c r="A21" s="8">
        <v>42857.18037037037</v>
      </c>
      <c r="B21" s="20" t="s">
        <v>357</v>
      </c>
      <c r="C21" s="20" t="s">
        <v>625</v>
      </c>
      <c r="D21" s="141">
        <v>3120000</v>
      </c>
      <c r="E21" s="20" t="s">
        <v>502</v>
      </c>
      <c r="F21" s="20" t="s">
        <v>503</v>
      </c>
      <c r="G21" s="8" t="str">
        <f t="shared" si="0"/>
        <v>THOMPSON LESTER</v>
      </c>
    </row>
    <row r="22" spans="1:7" x14ac:dyDescent="0.25">
      <c r="A22" s="26">
        <v>42857.180787037039</v>
      </c>
      <c r="B22" s="20" t="s">
        <v>430</v>
      </c>
      <c r="C22" s="20" t="s">
        <v>626</v>
      </c>
      <c r="D22" s="141">
        <v>1990000</v>
      </c>
      <c r="E22" s="20" t="s">
        <v>468</v>
      </c>
      <c r="F22" s="20" t="s">
        <v>469</v>
      </c>
      <c r="G22" s="8" t="str">
        <f t="shared" si="0"/>
        <v>DAVIS WENDY</v>
      </c>
    </row>
    <row r="23" spans="1:7" x14ac:dyDescent="0.25">
      <c r="A23" s="8">
        <v>42857.187002314815</v>
      </c>
      <c r="B23" s="20" t="s">
        <v>411</v>
      </c>
      <c r="C23" s="20" t="s">
        <v>627</v>
      </c>
      <c r="D23" s="141">
        <v>2010000</v>
      </c>
      <c r="E23" s="20" t="s">
        <v>466</v>
      </c>
      <c r="F23" s="20" t="s">
        <v>467</v>
      </c>
      <c r="G23" s="8" t="str">
        <f t="shared" si="0"/>
        <v>MAELZER KURT</v>
      </c>
    </row>
    <row r="24" spans="1:7" x14ac:dyDescent="0.25">
      <c r="A24" s="8">
        <v>42857.194050925929</v>
      </c>
      <c r="B24" s="20" t="s">
        <v>419</v>
      </c>
      <c r="C24" s="20" t="s">
        <v>628</v>
      </c>
      <c r="D24" s="141">
        <v>1990000</v>
      </c>
      <c r="E24" s="20" t="s">
        <v>468</v>
      </c>
      <c r="F24" s="20" t="s">
        <v>469</v>
      </c>
      <c r="G24" s="8" t="str">
        <f t="shared" si="0"/>
        <v>DAVIS WENDY</v>
      </c>
    </row>
    <row r="25" spans="1:7" x14ac:dyDescent="0.25">
      <c r="A25" s="8">
        <v>42857.201261574075</v>
      </c>
      <c r="B25" s="20" t="s">
        <v>351</v>
      </c>
      <c r="C25" s="20" t="s">
        <v>629</v>
      </c>
      <c r="D25" s="141">
        <v>1830000</v>
      </c>
      <c r="E25" s="20" t="s">
        <v>452</v>
      </c>
      <c r="F25" s="20" t="s">
        <v>453</v>
      </c>
      <c r="G25" s="8" t="str">
        <f t="shared" si="0"/>
        <v>YORK EDGAR</v>
      </c>
    </row>
    <row r="26" spans="1:7" x14ac:dyDescent="0.25">
      <c r="A26" s="8">
        <v>42857.206643518519</v>
      </c>
      <c r="B26" s="20" t="s">
        <v>617</v>
      </c>
      <c r="C26" s="20" t="s">
        <v>630</v>
      </c>
      <c r="D26" s="141">
        <v>890000</v>
      </c>
      <c r="E26" s="20" t="s">
        <v>631</v>
      </c>
      <c r="F26" s="20" t="s">
        <v>632</v>
      </c>
      <c r="G26" s="8" t="str">
        <f t="shared" si="0"/>
        <v>LOZA FIDEL</v>
      </c>
    </row>
    <row r="27" spans="1:7" x14ac:dyDescent="0.25">
      <c r="A27" s="8">
        <v>42857.213506944441</v>
      </c>
      <c r="B27" s="20" t="s">
        <v>352</v>
      </c>
      <c r="C27" s="20" t="s">
        <v>633</v>
      </c>
      <c r="D27" s="141">
        <v>1830000</v>
      </c>
      <c r="E27" s="20" t="s">
        <v>452</v>
      </c>
      <c r="F27" s="20" t="s">
        <v>453</v>
      </c>
      <c r="G27" s="8" t="str">
        <f t="shared" si="0"/>
        <v>YORK EDGAR</v>
      </c>
    </row>
    <row r="28" spans="1:7" x14ac:dyDescent="0.25">
      <c r="A28" s="8">
        <v>42857.214131944442</v>
      </c>
      <c r="B28" s="20" t="s">
        <v>391</v>
      </c>
      <c r="C28" s="20" t="s">
        <v>634</v>
      </c>
      <c r="D28" s="141">
        <v>1360000</v>
      </c>
      <c r="E28" s="20" t="s">
        <v>464</v>
      </c>
      <c r="F28" s="20" t="s">
        <v>465</v>
      </c>
      <c r="G28" s="8" t="str">
        <f t="shared" si="0"/>
        <v>SANTIZO D. EDY</v>
      </c>
    </row>
    <row r="29" spans="1:7" x14ac:dyDescent="0.25">
      <c r="A29" s="8">
        <v>42857.214930555558</v>
      </c>
      <c r="B29" s="20" t="s">
        <v>385</v>
      </c>
      <c r="C29" s="20" t="s">
        <v>635</v>
      </c>
      <c r="D29" s="141">
        <v>1110000</v>
      </c>
      <c r="E29" s="20" t="s">
        <v>500</v>
      </c>
      <c r="F29" s="20" t="s">
        <v>501</v>
      </c>
      <c r="G29" s="8" t="str">
        <f t="shared" si="0"/>
        <v>STARKS ANGELINA</v>
      </c>
    </row>
    <row r="30" spans="1:7" x14ac:dyDescent="0.25">
      <c r="A30" s="8">
        <v>42857.222488425927</v>
      </c>
      <c r="B30" s="20" t="s">
        <v>356</v>
      </c>
      <c r="C30" s="20" t="s">
        <v>636</v>
      </c>
      <c r="D30" s="141">
        <v>3120000</v>
      </c>
      <c r="E30" s="20" t="s">
        <v>502</v>
      </c>
      <c r="F30" s="20" t="s">
        <v>503</v>
      </c>
      <c r="G30" s="8" t="str">
        <f t="shared" si="0"/>
        <v>THOMPSON LESTER</v>
      </c>
    </row>
    <row r="31" spans="1:7" x14ac:dyDescent="0.25">
      <c r="A31" s="8">
        <v>42857.225775462961</v>
      </c>
      <c r="B31" s="20" t="s">
        <v>462</v>
      </c>
      <c r="C31" s="20" t="s">
        <v>637</v>
      </c>
      <c r="D31" s="141">
        <v>3090000</v>
      </c>
      <c r="E31" s="20" t="s">
        <v>506</v>
      </c>
      <c r="F31" s="20" t="s">
        <v>507</v>
      </c>
      <c r="G31" s="8" t="str">
        <f t="shared" si="0"/>
        <v>LAMAR NEKESHA</v>
      </c>
    </row>
    <row r="32" spans="1:7" x14ac:dyDescent="0.25">
      <c r="A32" s="8">
        <v>42857.2262962963</v>
      </c>
      <c r="B32" s="20" t="s">
        <v>410</v>
      </c>
      <c r="C32" s="20" t="s">
        <v>638</v>
      </c>
      <c r="D32" s="141">
        <v>2010000</v>
      </c>
      <c r="E32" s="20" t="s">
        <v>466</v>
      </c>
      <c r="F32" s="20" t="s">
        <v>467</v>
      </c>
      <c r="G32" s="8" t="str">
        <f t="shared" si="0"/>
        <v>MAELZER KURT</v>
      </c>
    </row>
    <row r="33" spans="1:7" x14ac:dyDescent="0.25">
      <c r="A33" s="8">
        <v>42857.227314814816</v>
      </c>
      <c r="B33" s="20" t="s">
        <v>351</v>
      </c>
      <c r="C33" s="20" t="s">
        <v>589</v>
      </c>
      <c r="D33" s="141">
        <v>1830000</v>
      </c>
      <c r="E33" s="20" t="s">
        <v>452</v>
      </c>
      <c r="F33" s="20" t="s">
        <v>453</v>
      </c>
      <c r="G33" s="8" t="str">
        <f t="shared" si="0"/>
        <v>YORK EDGAR</v>
      </c>
    </row>
    <row r="34" spans="1:7" x14ac:dyDescent="0.25">
      <c r="A34" s="8">
        <v>42857.234386574077</v>
      </c>
      <c r="B34" s="20" t="s">
        <v>430</v>
      </c>
      <c r="C34" s="20" t="s">
        <v>639</v>
      </c>
      <c r="D34" s="141">
        <v>1990000</v>
      </c>
      <c r="E34" s="20" t="s">
        <v>468</v>
      </c>
      <c r="F34" s="20" t="s">
        <v>469</v>
      </c>
      <c r="G34" s="8" t="str">
        <f t="shared" si="0"/>
        <v>DAVIS WENDY</v>
      </c>
    </row>
    <row r="35" spans="1:7" x14ac:dyDescent="0.25">
      <c r="A35" s="8">
        <v>42857.24082175926</v>
      </c>
      <c r="B35" s="20" t="s">
        <v>376</v>
      </c>
      <c r="C35" s="20" t="s">
        <v>640</v>
      </c>
      <c r="D35" s="141">
        <v>2270000</v>
      </c>
      <c r="E35" s="20" t="s">
        <v>206</v>
      </c>
      <c r="F35" s="20" t="s">
        <v>207</v>
      </c>
      <c r="G35" s="8" t="str">
        <f t="shared" si="0"/>
        <v>BROWN JACOB</v>
      </c>
    </row>
    <row r="36" spans="1:7" x14ac:dyDescent="0.25">
      <c r="A36" s="8">
        <v>42857.241550925923</v>
      </c>
      <c r="B36" s="20" t="s">
        <v>376</v>
      </c>
      <c r="C36" s="20" t="s">
        <v>640</v>
      </c>
      <c r="D36" s="141">
        <v>2270000</v>
      </c>
      <c r="E36" s="20" t="s">
        <v>206</v>
      </c>
      <c r="F36" s="20" t="s">
        <v>207</v>
      </c>
      <c r="G36" s="8" t="str">
        <f t="shared" si="0"/>
        <v>BROWN JACOB</v>
      </c>
    </row>
    <row r="37" spans="1:7" x14ac:dyDescent="0.25">
      <c r="A37" s="8">
        <v>42857.246481481481</v>
      </c>
      <c r="B37" s="20" t="s">
        <v>392</v>
      </c>
      <c r="C37" s="20" t="s">
        <v>641</v>
      </c>
      <c r="D37" s="141">
        <v>0</v>
      </c>
      <c r="E37" s="20" t="s">
        <v>642</v>
      </c>
      <c r="F37" s="20" t="s">
        <v>643</v>
      </c>
      <c r="G37" s="8" t="str">
        <f t="shared" si="0"/>
        <v>HAUSER FRANK</v>
      </c>
    </row>
    <row r="38" spans="1:7" x14ac:dyDescent="0.25">
      <c r="A38" s="8">
        <v>42857.247118055559</v>
      </c>
      <c r="B38" s="20" t="s">
        <v>644</v>
      </c>
      <c r="C38" s="20" t="s">
        <v>645</v>
      </c>
      <c r="D38" s="141">
        <v>890000</v>
      </c>
      <c r="E38" s="20" t="s">
        <v>631</v>
      </c>
      <c r="F38" s="20" t="s">
        <v>632</v>
      </c>
      <c r="G38" s="8" t="str">
        <f t="shared" si="0"/>
        <v>LOZA FIDEL</v>
      </c>
    </row>
    <row r="39" spans="1:7" x14ac:dyDescent="0.25">
      <c r="A39" s="8">
        <v>42857.247152777774</v>
      </c>
      <c r="B39" s="20" t="s">
        <v>355</v>
      </c>
      <c r="C39" s="20" t="s">
        <v>646</v>
      </c>
      <c r="D39" s="141">
        <v>1090000</v>
      </c>
      <c r="E39" s="20" t="s">
        <v>508</v>
      </c>
      <c r="F39" s="20" t="s">
        <v>196</v>
      </c>
      <c r="G39" s="8" t="str">
        <f t="shared" si="0"/>
        <v>SPECTOR MICHAEL</v>
      </c>
    </row>
    <row r="40" spans="1:7" x14ac:dyDescent="0.25">
      <c r="A40" s="8">
        <v>42857.247337962966</v>
      </c>
      <c r="B40" s="25" t="s">
        <v>381</v>
      </c>
      <c r="C40" s="20" t="s">
        <v>647</v>
      </c>
      <c r="D40" s="141">
        <v>1110000</v>
      </c>
      <c r="E40" s="20" t="s">
        <v>500</v>
      </c>
      <c r="F40" s="20" t="s">
        <v>501</v>
      </c>
      <c r="G40" s="8" t="str">
        <f t="shared" si="0"/>
        <v>STARKS ANGELINA</v>
      </c>
    </row>
    <row r="41" spans="1:7" x14ac:dyDescent="0.25">
      <c r="A41" s="8">
        <v>42857.255219907405</v>
      </c>
      <c r="B41" s="20" t="s">
        <v>352</v>
      </c>
      <c r="C41" s="20" t="s">
        <v>648</v>
      </c>
      <c r="D41" s="141">
        <v>1830000</v>
      </c>
      <c r="E41" s="20" t="s">
        <v>452</v>
      </c>
      <c r="F41" s="20" t="s">
        <v>453</v>
      </c>
      <c r="G41" s="8" t="str">
        <f t="shared" si="0"/>
        <v>YORK EDGAR</v>
      </c>
    </row>
    <row r="42" spans="1:7" x14ac:dyDescent="0.25">
      <c r="A42" s="8">
        <v>42857.256226851852</v>
      </c>
      <c r="B42" s="20" t="s">
        <v>375</v>
      </c>
      <c r="C42" s="20" t="s">
        <v>649</v>
      </c>
      <c r="D42" s="141">
        <v>2270000</v>
      </c>
      <c r="E42" s="20" t="s">
        <v>206</v>
      </c>
      <c r="F42" s="20" t="s">
        <v>207</v>
      </c>
      <c r="G42" s="8" t="str">
        <f t="shared" si="0"/>
        <v>BROWN JACOB</v>
      </c>
    </row>
    <row r="43" spans="1:7" x14ac:dyDescent="0.25">
      <c r="A43" s="8">
        <v>42857.257349537038</v>
      </c>
      <c r="B43" s="20" t="s">
        <v>357</v>
      </c>
      <c r="C43" s="20" t="s">
        <v>650</v>
      </c>
      <c r="D43" s="141">
        <v>3120000</v>
      </c>
      <c r="E43" s="20" t="s">
        <v>502</v>
      </c>
      <c r="F43" s="20" t="s">
        <v>503</v>
      </c>
      <c r="G43" s="8" t="str">
        <f t="shared" si="0"/>
        <v>THOMPSON LESTER</v>
      </c>
    </row>
    <row r="44" spans="1:7" x14ac:dyDescent="0.25">
      <c r="A44" s="8">
        <v>42857.257465277777</v>
      </c>
      <c r="B44" s="20" t="s">
        <v>375</v>
      </c>
      <c r="C44" s="20" t="s">
        <v>649</v>
      </c>
      <c r="D44" s="141">
        <v>2270000</v>
      </c>
      <c r="E44" s="20" t="s">
        <v>206</v>
      </c>
      <c r="F44" s="20" t="s">
        <v>207</v>
      </c>
      <c r="G44" s="8" t="str">
        <f t="shared" si="0"/>
        <v>BROWN JACOB</v>
      </c>
    </row>
    <row r="45" spans="1:7" x14ac:dyDescent="0.25">
      <c r="A45" s="8">
        <v>42857.257615740738</v>
      </c>
      <c r="B45" s="20" t="s">
        <v>385</v>
      </c>
      <c r="C45" s="20" t="s">
        <v>646</v>
      </c>
      <c r="D45" s="141">
        <v>1090000</v>
      </c>
      <c r="E45" s="20" t="s">
        <v>508</v>
      </c>
      <c r="F45" s="20" t="s">
        <v>196</v>
      </c>
      <c r="G45" s="8" t="str">
        <f t="shared" si="0"/>
        <v>SPECTOR MICHAEL</v>
      </c>
    </row>
    <row r="46" spans="1:7" x14ac:dyDescent="0.25">
      <c r="A46" s="8">
        <v>42857.265833333331</v>
      </c>
      <c r="B46" s="20" t="s">
        <v>470</v>
      </c>
      <c r="C46" s="20" t="s">
        <v>651</v>
      </c>
      <c r="D46" s="141">
        <v>3090000</v>
      </c>
      <c r="E46" s="20" t="s">
        <v>506</v>
      </c>
      <c r="F46" s="20" t="s">
        <v>507</v>
      </c>
      <c r="G46" s="8" t="str">
        <f t="shared" si="0"/>
        <v>LAMAR NEKESHA</v>
      </c>
    </row>
    <row r="47" spans="1:7" x14ac:dyDescent="0.25">
      <c r="A47" s="8">
        <v>42857.266701388886</v>
      </c>
      <c r="B47" s="20" t="s">
        <v>419</v>
      </c>
      <c r="C47" s="20" t="s">
        <v>652</v>
      </c>
      <c r="D47" s="141">
        <v>1990000</v>
      </c>
      <c r="E47" s="20" t="s">
        <v>468</v>
      </c>
      <c r="F47" s="20" t="s">
        <v>469</v>
      </c>
      <c r="G47" s="8" t="str">
        <f t="shared" si="0"/>
        <v>DAVIS WENDY</v>
      </c>
    </row>
    <row r="48" spans="1:7" x14ac:dyDescent="0.25">
      <c r="A48" s="8">
        <v>42857.270057870373</v>
      </c>
      <c r="B48" s="20" t="s">
        <v>351</v>
      </c>
      <c r="C48" s="20" t="s">
        <v>653</v>
      </c>
      <c r="D48" s="141">
        <v>1830000</v>
      </c>
      <c r="E48" s="20" t="s">
        <v>452</v>
      </c>
      <c r="F48" s="20" t="s">
        <v>453</v>
      </c>
      <c r="G48" s="8" t="str">
        <f t="shared" si="0"/>
        <v>YORK EDGAR</v>
      </c>
    </row>
    <row r="49" spans="1:7" x14ac:dyDescent="0.25">
      <c r="A49" s="8">
        <v>42857.273472222223</v>
      </c>
      <c r="B49" s="20" t="s">
        <v>411</v>
      </c>
      <c r="C49" s="20" t="s">
        <v>654</v>
      </c>
      <c r="D49" s="141">
        <v>2010000</v>
      </c>
      <c r="E49" s="20" t="s">
        <v>466</v>
      </c>
      <c r="F49" s="20" t="s">
        <v>467</v>
      </c>
      <c r="G49" s="8" t="str">
        <f t="shared" si="0"/>
        <v>MAELZER KURT</v>
      </c>
    </row>
    <row r="50" spans="1:7" x14ac:dyDescent="0.25">
      <c r="A50" s="8">
        <v>42857.275717592594</v>
      </c>
      <c r="B50" s="20" t="s">
        <v>376</v>
      </c>
      <c r="C50" s="20" t="s">
        <v>655</v>
      </c>
      <c r="D50" s="141">
        <v>2270000</v>
      </c>
      <c r="E50" s="20" t="s">
        <v>206</v>
      </c>
      <c r="F50" s="20" t="s">
        <v>207</v>
      </c>
      <c r="G50" s="8" t="str">
        <f t="shared" si="0"/>
        <v>BROWN JACOB</v>
      </c>
    </row>
    <row r="51" spans="1:7" x14ac:dyDescent="0.25">
      <c r="A51" s="8">
        <v>42857.279097222221</v>
      </c>
      <c r="B51" s="20" t="s">
        <v>617</v>
      </c>
      <c r="C51" s="20" t="s">
        <v>656</v>
      </c>
      <c r="D51" s="141">
        <v>890000</v>
      </c>
      <c r="E51" s="20" t="s">
        <v>631</v>
      </c>
      <c r="F51" s="20" t="s">
        <v>632</v>
      </c>
      <c r="G51" s="8" t="str">
        <f t="shared" si="0"/>
        <v>LOZA FIDEL</v>
      </c>
    </row>
    <row r="52" spans="1:7" x14ac:dyDescent="0.25">
      <c r="A52" s="8">
        <v>42857.285960648151</v>
      </c>
      <c r="B52" s="20" t="s">
        <v>391</v>
      </c>
      <c r="C52" s="20" t="s">
        <v>657</v>
      </c>
      <c r="D52" s="141">
        <v>1360000</v>
      </c>
      <c r="E52" s="20" t="s">
        <v>464</v>
      </c>
      <c r="F52" s="20" t="s">
        <v>465</v>
      </c>
      <c r="G52" s="8" t="str">
        <f t="shared" si="0"/>
        <v>SANTIZO D. EDY</v>
      </c>
    </row>
    <row r="53" spans="1:7" x14ac:dyDescent="0.25">
      <c r="A53" s="8">
        <v>42857.288391203707</v>
      </c>
      <c r="B53" s="20" t="s">
        <v>384</v>
      </c>
      <c r="C53" s="20" t="s">
        <v>658</v>
      </c>
      <c r="D53" s="141">
        <v>1110000</v>
      </c>
      <c r="E53" s="20" t="s">
        <v>500</v>
      </c>
      <c r="F53" s="20" t="s">
        <v>501</v>
      </c>
      <c r="G53" s="8" t="str">
        <f t="shared" si="0"/>
        <v>STARKS ANGELINA</v>
      </c>
    </row>
    <row r="54" spans="1:7" x14ac:dyDescent="0.25">
      <c r="A54" s="8">
        <v>42857.290393518517</v>
      </c>
      <c r="B54" s="20" t="s">
        <v>391</v>
      </c>
      <c r="C54" s="20" t="s">
        <v>657</v>
      </c>
      <c r="D54" s="141">
        <v>1360000</v>
      </c>
      <c r="E54" s="20" t="s">
        <v>464</v>
      </c>
      <c r="F54" s="20" t="s">
        <v>465</v>
      </c>
      <c r="G54" s="8" t="str">
        <f t="shared" si="0"/>
        <v>SANTIZO D. EDY</v>
      </c>
    </row>
    <row r="55" spans="1:7" x14ac:dyDescent="0.25">
      <c r="A55" s="8">
        <v>42857.295925925922</v>
      </c>
      <c r="B55" s="20" t="s">
        <v>352</v>
      </c>
      <c r="C55" s="20" t="s">
        <v>659</v>
      </c>
      <c r="D55" s="141">
        <v>1830000</v>
      </c>
      <c r="E55" s="20" t="s">
        <v>452</v>
      </c>
      <c r="F55" s="20" t="s">
        <v>453</v>
      </c>
      <c r="G55" s="8" t="str">
        <f t="shared" si="0"/>
        <v>YORK EDGAR</v>
      </c>
    </row>
    <row r="56" spans="1:7" x14ac:dyDescent="0.25">
      <c r="A56" s="8">
        <v>42857.297152777777</v>
      </c>
      <c r="B56" s="20" t="s">
        <v>375</v>
      </c>
      <c r="C56" s="20" t="s">
        <v>660</v>
      </c>
      <c r="D56" s="141">
        <v>2270000</v>
      </c>
      <c r="E56" s="20" t="s">
        <v>206</v>
      </c>
      <c r="F56" s="20" t="s">
        <v>207</v>
      </c>
      <c r="G56" s="8" t="str">
        <f t="shared" si="0"/>
        <v>BROWN JACOB</v>
      </c>
    </row>
    <row r="57" spans="1:7" x14ac:dyDescent="0.25">
      <c r="A57" s="8">
        <v>42857.297488425924</v>
      </c>
      <c r="B57" s="20" t="s">
        <v>356</v>
      </c>
      <c r="C57" s="20" t="s">
        <v>661</v>
      </c>
      <c r="D57" s="141">
        <v>3120000</v>
      </c>
      <c r="E57" s="20" t="s">
        <v>502</v>
      </c>
      <c r="F57" s="20" t="s">
        <v>503</v>
      </c>
      <c r="G57" s="8" t="str">
        <f t="shared" si="0"/>
        <v>THOMPSON LESTER</v>
      </c>
    </row>
    <row r="58" spans="1:7" x14ac:dyDescent="0.25">
      <c r="A58" s="8">
        <v>42857.298356481479</v>
      </c>
      <c r="B58" s="20" t="s">
        <v>462</v>
      </c>
      <c r="C58" s="20" t="s">
        <v>662</v>
      </c>
      <c r="D58" s="141">
        <v>3090000</v>
      </c>
      <c r="E58" s="20" t="s">
        <v>506</v>
      </c>
      <c r="F58" s="20" t="s">
        <v>507</v>
      </c>
      <c r="G58" s="8" t="str">
        <f t="shared" si="0"/>
        <v>LAMAR NEKESHA</v>
      </c>
    </row>
    <row r="59" spans="1:7" x14ac:dyDescent="0.25">
      <c r="A59" s="8">
        <v>42857.307326388887</v>
      </c>
      <c r="B59" s="20" t="s">
        <v>430</v>
      </c>
      <c r="C59" s="20" t="s">
        <v>663</v>
      </c>
      <c r="D59" s="141">
        <v>1990000</v>
      </c>
      <c r="E59" s="20" t="s">
        <v>468</v>
      </c>
      <c r="F59" s="20" t="s">
        <v>469</v>
      </c>
      <c r="G59" s="8" t="str">
        <f t="shared" si="0"/>
        <v>DAVIS WENDY</v>
      </c>
    </row>
    <row r="60" spans="1:7" x14ac:dyDescent="0.25">
      <c r="A60" s="8">
        <v>42857.310023148151</v>
      </c>
      <c r="B60" s="20" t="s">
        <v>351</v>
      </c>
      <c r="C60" s="20" t="s">
        <v>664</v>
      </c>
      <c r="D60" s="141">
        <v>1830000</v>
      </c>
      <c r="E60" s="20" t="s">
        <v>452</v>
      </c>
      <c r="F60" s="20" t="s">
        <v>453</v>
      </c>
      <c r="G60" s="8" t="str">
        <f t="shared" si="0"/>
        <v>YORK EDGAR</v>
      </c>
    </row>
    <row r="61" spans="1:7" x14ac:dyDescent="0.25">
      <c r="A61" s="8">
        <v>42857.313298611109</v>
      </c>
      <c r="B61" s="20" t="s">
        <v>410</v>
      </c>
      <c r="C61" s="20" t="s">
        <v>665</v>
      </c>
      <c r="D61" s="141">
        <v>3040000</v>
      </c>
      <c r="E61" s="20" t="s">
        <v>504</v>
      </c>
      <c r="F61" s="20" t="s">
        <v>505</v>
      </c>
      <c r="G61" s="8" t="str">
        <f t="shared" si="0"/>
        <v>WILLIAMS DONTE</v>
      </c>
    </row>
    <row r="62" spans="1:7" x14ac:dyDescent="0.25">
      <c r="A62" s="8">
        <v>42857.317280092589</v>
      </c>
      <c r="B62" s="20" t="s">
        <v>376</v>
      </c>
      <c r="C62" s="20" t="s">
        <v>666</v>
      </c>
      <c r="D62" s="141">
        <v>2270000</v>
      </c>
      <c r="E62" s="20" t="s">
        <v>206</v>
      </c>
      <c r="F62" s="20" t="s">
        <v>207</v>
      </c>
      <c r="G62" s="8" t="str">
        <f t="shared" si="0"/>
        <v>BROWN JACOB</v>
      </c>
    </row>
    <row r="63" spans="1:7" x14ac:dyDescent="0.25">
      <c r="A63" s="8">
        <v>42857.317418981482</v>
      </c>
      <c r="B63" s="20" t="s">
        <v>644</v>
      </c>
      <c r="C63" s="20" t="s">
        <v>667</v>
      </c>
      <c r="D63" s="141">
        <v>890000</v>
      </c>
      <c r="E63" s="20" t="s">
        <v>631</v>
      </c>
      <c r="F63" s="20" t="s">
        <v>632</v>
      </c>
      <c r="G63" s="8" t="str">
        <f t="shared" si="0"/>
        <v>LOZA FIDEL</v>
      </c>
    </row>
    <row r="64" spans="1:7" x14ac:dyDescent="0.25">
      <c r="A64" s="26">
        <v>42857.318159722221</v>
      </c>
      <c r="B64" s="20" t="s">
        <v>392</v>
      </c>
      <c r="C64" s="20" t="s">
        <v>590</v>
      </c>
      <c r="D64" s="141">
        <v>1360000</v>
      </c>
      <c r="E64" s="20" t="s">
        <v>464</v>
      </c>
      <c r="F64" s="20" t="s">
        <v>465</v>
      </c>
      <c r="G64" s="8" t="str">
        <f t="shared" si="0"/>
        <v>SANTIZO D. EDY</v>
      </c>
    </row>
    <row r="65" spans="1:7" x14ac:dyDescent="0.25">
      <c r="A65" s="8">
        <v>42857.32</v>
      </c>
      <c r="B65" s="20" t="s">
        <v>381</v>
      </c>
      <c r="C65" s="20" t="s">
        <v>668</v>
      </c>
      <c r="D65" s="141">
        <v>1110000</v>
      </c>
      <c r="E65" s="20" t="s">
        <v>500</v>
      </c>
      <c r="F65" s="20" t="s">
        <v>501</v>
      </c>
      <c r="G65" s="8" t="str">
        <f t="shared" si="0"/>
        <v>STARKS ANGELINA</v>
      </c>
    </row>
    <row r="66" spans="1:7" x14ac:dyDescent="0.25">
      <c r="A66" s="8">
        <v>42857.330324074072</v>
      </c>
      <c r="B66" s="20" t="s">
        <v>357</v>
      </c>
      <c r="C66" s="20" t="s">
        <v>669</v>
      </c>
      <c r="D66" s="141">
        <v>3120000</v>
      </c>
      <c r="E66" s="20" t="s">
        <v>502</v>
      </c>
      <c r="F66" s="20" t="s">
        <v>503</v>
      </c>
      <c r="G66" s="8" t="str">
        <f t="shared" si="0"/>
        <v>THOMPSON LESTER</v>
      </c>
    </row>
    <row r="67" spans="1:7" x14ac:dyDescent="0.25">
      <c r="A67" s="8">
        <v>42857.336157407408</v>
      </c>
      <c r="B67" s="20" t="s">
        <v>375</v>
      </c>
      <c r="C67" s="20" t="s">
        <v>591</v>
      </c>
      <c r="D67" s="141">
        <v>2270000</v>
      </c>
      <c r="E67" s="20" t="s">
        <v>206</v>
      </c>
      <c r="F67" s="20" t="s">
        <v>207</v>
      </c>
      <c r="G67" s="8" t="str">
        <f t="shared" ref="G67:G130" si="1">E67&amp;" "&amp;F67</f>
        <v>BROWN JACOB</v>
      </c>
    </row>
    <row r="68" spans="1:7" x14ac:dyDescent="0.25">
      <c r="A68" s="8">
        <v>42857.337476851855</v>
      </c>
      <c r="B68" s="20" t="s">
        <v>352</v>
      </c>
      <c r="C68" s="20" t="s">
        <v>670</v>
      </c>
      <c r="D68" s="141">
        <v>1830000</v>
      </c>
      <c r="E68" s="20" t="s">
        <v>452</v>
      </c>
      <c r="F68" s="20" t="s">
        <v>453</v>
      </c>
      <c r="G68" s="8" t="str">
        <f t="shared" si="1"/>
        <v>YORK EDGAR</v>
      </c>
    </row>
    <row r="69" spans="1:7" x14ac:dyDescent="0.25">
      <c r="A69" s="8">
        <v>42857.338460648149</v>
      </c>
      <c r="B69" s="20" t="s">
        <v>470</v>
      </c>
      <c r="C69" s="20" t="s">
        <v>671</v>
      </c>
      <c r="D69" s="141">
        <v>3090000</v>
      </c>
      <c r="E69" s="20" t="s">
        <v>506</v>
      </c>
      <c r="F69" s="20" t="s">
        <v>507</v>
      </c>
      <c r="G69" s="8" t="str">
        <f t="shared" si="1"/>
        <v>LAMAR NEKESHA</v>
      </c>
    </row>
    <row r="70" spans="1:7" x14ac:dyDescent="0.25">
      <c r="A70" s="8">
        <v>42857.340405092589</v>
      </c>
      <c r="B70" s="20" t="s">
        <v>419</v>
      </c>
      <c r="C70" s="20" t="s">
        <v>672</v>
      </c>
      <c r="D70" s="141">
        <v>1990000</v>
      </c>
      <c r="E70" s="20" t="s">
        <v>468</v>
      </c>
      <c r="F70" s="20" t="s">
        <v>469</v>
      </c>
      <c r="G70" s="8" t="str">
        <f t="shared" si="1"/>
        <v>DAVIS WENDY</v>
      </c>
    </row>
    <row r="71" spans="1:7" x14ac:dyDescent="0.25">
      <c r="A71" s="8">
        <v>42857.342280092591</v>
      </c>
      <c r="B71" s="20" t="s">
        <v>411</v>
      </c>
      <c r="C71" s="20" t="s">
        <v>673</v>
      </c>
      <c r="D71" s="141">
        <v>3040000</v>
      </c>
      <c r="E71" s="20" t="s">
        <v>504</v>
      </c>
      <c r="F71" s="20" t="s">
        <v>505</v>
      </c>
      <c r="G71" s="8" t="str">
        <f t="shared" si="1"/>
        <v>WILLIAMS DONTE</v>
      </c>
    </row>
    <row r="72" spans="1:7" x14ac:dyDescent="0.25">
      <c r="A72" s="8">
        <v>42857.352048611108</v>
      </c>
      <c r="B72" s="20" t="s">
        <v>617</v>
      </c>
      <c r="C72" s="20" t="s">
        <v>674</v>
      </c>
      <c r="D72" s="141">
        <v>890000</v>
      </c>
      <c r="E72" s="20" t="s">
        <v>631</v>
      </c>
      <c r="F72" s="20" t="s">
        <v>632</v>
      </c>
      <c r="G72" s="8" t="str">
        <f t="shared" si="1"/>
        <v>LOZA FIDEL</v>
      </c>
    </row>
    <row r="73" spans="1:7" x14ac:dyDescent="0.25">
      <c r="A73" s="8">
        <v>42857.352118055554</v>
      </c>
      <c r="B73" s="20" t="s">
        <v>351</v>
      </c>
      <c r="C73" s="20" t="s">
        <v>675</v>
      </c>
      <c r="D73" s="141">
        <v>1830000</v>
      </c>
      <c r="E73" s="20" t="s">
        <v>452</v>
      </c>
      <c r="F73" s="20" t="s">
        <v>453</v>
      </c>
      <c r="G73" s="8" t="str">
        <f t="shared" si="1"/>
        <v>YORK EDGAR</v>
      </c>
    </row>
    <row r="74" spans="1:7" x14ac:dyDescent="0.25">
      <c r="A74" s="8">
        <v>42857.359502314815</v>
      </c>
      <c r="B74" s="20" t="s">
        <v>376</v>
      </c>
      <c r="C74" s="20" t="s">
        <v>592</v>
      </c>
      <c r="D74" s="141">
        <v>2270000</v>
      </c>
      <c r="E74" s="20" t="s">
        <v>206</v>
      </c>
      <c r="F74" s="20" t="s">
        <v>207</v>
      </c>
      <c r="G74" s="8" t="str">
        <f t="shared" si="1"/>
        <v>BROWN JACOB</v>
      </c>
    </row>
    <row r="75" spans="1:7" x14ac:dyDescent="0.25">
      <c r="A75" s="8">
        <v>42857.359594907408</v>
      </c>
      <c r="B75" s="20" t="s">
        <v>384</v>
      </c>
      <c r="C75" s="20" t="s">
        <v>676</v>
      </c>
      <c r="D75" s="141">
        <v>1110000</v>
      </c>
      <c r="E75" s="20" t="s">
        <v>500</v>
      </c>
      <c r="F75" s="20" t="s">
        <v>501</v>
      </c>
      <c r="G75" s="8" t="str">
        <f t="shared" si="1"/>
        <v>STARKS ANGELINA</v>
      </c>
    </row>
    <row r="76" spans="1:7" x14ac:dyDescent="0.25">
      <c r="A76" s="8">
        <v>42857.359837962962</v>
      </c>
      <c r="B76" s="20" t="s">
        <v>391</v>
      </c>
      <c r="C76" s="20" t="s">
        <v>677</v>
      </c>
      <c r="D76" s="141">
        <v>1360000</v>
      </c>
      <c r="E76" s="20" t="s">
        <v>464</v>
      </c>
      <c r="F76" s="20" t="s">
        <v>465</v>
      </c>
      <c r="G76" s="8" t="str">
        <f t="shared" si="1"/>
        <v>SANTIZO D. EDY</v>
      </c>
    </row>
    <row r="77" spans="1:7" x14ac:dyDescent="0.25">
      <c r="A77" s="8">
        <v>42857.370254629626</v>
      </c>
      <c r="B77" s="20" t="s">
        <v>356</v>
      </c>
      <c r="C77" s="20" t="s">
        <v>669</v>
      </c>
      <c r="D77" s="141">
        <v>3120000</v>
      </c>
      <c r="E77" s="20" t="s">
        <v>502</v>
      </c>
      <c r="F77" s="20" t="s">
        <v>503</v>
      </c>
      <c r="G77" s="8" t="str">
        <f t="shared" si="1"/>
        <v>THOMPSON LESTER</v>
      </c>
    </row>
    <row r="78" spans="1:7" x14ac:dyDescent="0.25">
      <c r="A78" s="8">
        <v>42857.370868055557</v>
      </c>
      <c r="B78" s="20" t="s">
        <v>356</v>
      </c>
      <c r="C78" s="20" t="s">
        <v>593</v>
      </c>
      <c r="D78" s="141">
        <v>3120000</v>
      </c>
      <c r="E78" s="20" t="s">
        <v>502</v>
      </c>
      <c r="F78" s="20" t="s">
        <v>503</v>
      </c>
      <c r="G78" s="8" t="str">
        <f t="shared" si="1"/>
        <v>THOMPSON LESTER</v>
      </c>
    </row>
    <row r="79" spans="1:7" x14ac:dyDescent="0.25">
      <c r="A79" s="8">
        <v>42857.373564814814</v>
      </c>
      <c r="B79" s="20" t="s">
        <v>462</v>
      </c>
      <c r="C79" s="20" t="s">
        <v>678</v>
      </c>
      <c r="D79" s="141">
        <v>3090000</v>
      </c>
      <c r="E79" s="20" t="s">
        <v>506</v>
      </c>
      <c r="F79" s="20" t="s">
        <v>507</v>
      </c>
      <c r="G79" s="8" t="str">
        <f t="shared" si="1"/>
        <v>LAMAR NEKESHA</v>
      </c>
    </row>
    <row r="80" spans="1:7" x14ac:dyDescent="0.25">
      <c r="A80" s="8">
        <v>42857.381296296298</v>
      </c>
      <c r="B80" s="20" t="s">
        <v>430</v>
      </c>
      <c r="C80" s="20" t="s">
        <v>679</v>
      </c>
      <c r="D80" s="141">
        <v>1990000</v>
      </c>
      <c r="E80" s="20" t="s">
        <v>468</v>
      </c>
      <c r="F80" s="20" t="s">
        <v>469</v>
      </c>
      <c r="G80" s="8" t="str">
        <f t="shared" si="1"/>
        <v>DAVIS WENDY</v>
      </c>
    </row>
    <row r="81" spans="1:7" x14ac:dyDescent="0.25">
      <c r="A81" s="8">
        <v>42857.381956018522</v>
      </c>
      <c r="B81" s="20" t="s">
        <v>410</v>
      </c>
      <c r="C81" s="20" t="s">
        <v>680</v>
      </c>
      <c r="D81" s="141">
        <v>2010000</v>
      </c>
      <c r="E81" s="20" t="s">
        <v>466</v>
      </c>
      <c r="F81" s="20" t="s">
        <v>467</v>
      </c>
      <c r="G81" s="8" t="str">
        <f t="shared" si="1"/>
        <v>MAELZER KURT</v>
      </c>
    </row>
    <row r="82" spans="1:7" x14ac:dyDescent="0.25">
      <c r="A82" s="8">
        <v>42857.385995370372</v>
      </c>
      <c r="B82" s="20" t="s">
        <v>375</v>
      </c>
      <c r="C82" s="20" t="s">
        <v>681</v>
      </c>
      <c r="D82" s="141">
        <v>3040000</v>
      </c>
      <c r="E82" s="20" t="s">
        <v>504</v>
      </c>
      <c r="F82" s="20" t="s">
        <v>505</v>
      </c>
      <c r="G82" s="8" t="str">
        <f t="shared" si="1"/>
        <v>WILLIAMS DONTE</v>
      </c>
    </row>
    <row r="83" spans="1:7" x14ac:dyDescent="0.25">
      <c r="A83" s="8">
        <v>42857.390821759262</v>
      </c>
      <c r="B83" s="20" t="s">
        <v>392</v>
      </c>
      <c r="C83" s="20" t="s">
        <v>682</v>
      </c>
      <c r="D83" s="141">
        <v>1360000</v>
      </c>
      <c r="E83" s="20" t="s">
        <v>464</v>
      </c>
      <c r="F83" s="20" t="s">
        <v>465</v>
      </c>
      <c r="G83" s="8" t="str">
        <f t="shared" si="1"/>
        <v>SANTIZO D. EDY</v>
      </c>
    </row>
    <row r="84" spans="1:7" x14ac:dyDescent="0.25">
      <c r="A84" s="8">
        <v>42857.391006944446</v>
      </c>
      <c r="B84" s="20" t="s">
        <v>644</v>
      </c>
      <c r="C84" s="20" t="s">
        <v>683</v>
      </c>
      <c r="D84" s="141">
        <v>890000</v>
      </c>
      <c r="E84" s="20" t="s">
        <v>631</v>
      </c>
      <c r="F84" s="20" t="s">
        <v>632</v>
      </c>
      <c r="G84" s="8" t="str">
        <f t="shared" si="1"/>
        <v>LOZA FIDEL</v>
      </c>
    </row>
    <row r="85" spans="1:7" x14ac:dyDescent="0.25">
      <c r="A85" s="8">
        <v>42857.394097222219</v>
      </c>
      <c r="B85" s="20" t="s">
        <v>381</v>
      </c>
      <c r="C85" s="20" t="s">
        <v>684</v>
      </c>
      <c r="D85" s="141">
        <v>1110000</v>
      </c>
      <c r="E85" s="20" t="s">
        <v>500</v>
      </c>
      <c r="F85" s="20" t="s">
        <v>501</v>
      </c>
      <c r="G85" s="8" t="str">
        <f t="shared" si="1"/>
        <v>STARKS ANGELINA</v>
      </c>
    </row>
    <row r="86" spans="1:7" x14ac:dyDescent="0.25">
      <c r="A86" s="8">
        <v>42857.401759259257</v>
      </c>
      <c r="B86" s="20" t="s">
        <v>376</v>
      </c>
      <c r="C86" s="20" t="s">
        <v>685</v>
      </c>
      <c r="D86" s="141">
        <v>3040000</v>
      </c>
      <c r="E86" s="20" t="s">
        <v>504</v>
      </c>
      <c r="F86" s="20" t="s">
        <v>505</v>
      </c>
      <c r="G86" s="8" t="str">
        <f t="shared" si="1"/>
        <v>WILLIAMS DONTE</v>
      </c>
    </row>
    <row r="87" spans="1:7" x14ac:dyDescent="0.25">
      <c r="A87" s="8">
        <v>42857.403414351851</v>
      </c>
      <c r="B87" s="20" t="s">
        <v>357</v>
      </c>
      <c r="C87" s="20" t="s">
        <v>686</v>
      </c>
      <c r="D87" s="141">
        <v>3120000</v>
      </c>
      <c r="E87" s="20" t="s">
        <v>502</v>
      </c>
      <c r="F87" s="20" t="s">
        <v>503</v>
      </c>
      <c r="G87" s="8" t="str">
        <f t="shared" si="1"/>
        <v>THOMPSON LESTER</v>
      </c>
    </row>
    <row r="88" spans="1:7" x14ac:dyDescent="0.25">
      <c r="A88" s="8">
        <v>42857.410451388889</v>
      </c>
      <c r="B88" s="20" t="s">
        <v>470</v>
      </c>
      <c r="C88" s="20" t="s">
        <v>687</v>
      </c>
      <c r="D88" s="141">
        <v>3090000</v>
      </c>
      <c r="E88" s="20" t="s">
        <v>506</v>
      </c>
      <c r="F88" s="20" t="s">
        <v>507</v>
      </c>
      <c r="G88" s="8" t="str">
        <f t="shared" si="1"/>
        <v>LAMAR NEKESHA</v>
      </c>
    </row>
    <row r="89" spans="1:7" x14ac:dyDescent="0.25">
      <c r="A89" s="8">
        <v>42857.413414351853</v>
      </c>
      <c r="B89" s="20" t="s">
        <v>419</v>
      </c>
      <c r="C89" s="20" t="s">
        <v>688</v>
      </c>
      <c r="D89" s="141">
        <v>1990000</v>
      </c>
      <c r="E89" s="20" t="s">
        <v>468</v>
      </c>
      <c r="F89" s="20" t="s">
        <v>469</v>
      </c>
      <c r="G89" s="8" t="str">
        <f t="shared" si="1"/>
        <v>DAVIS WENDY</v>
      </c>
    </row>
    <row r="90" spans="1:7" x14ac:dyDescent="0.25">
      <c r="A90" s="8">
        <v>42857.416435185187</v>
      </c>
      <c r="B90" s="20" t="s">
        <v>411</v>
      </c>
      <c r="C90" s="20" t="s">
        <v>689</v>
      </c>
      <c r="D90" s="141">
        <v>2010000</v>
      </c>
      <c r="E90" s="20" t="s">
        <v>466</v>
      </c>
      <c r="F90" s="20" t="s">
        <v>467</v>
      </c>
      <c r="G90" s="8" t="str">
        <f t="shared" si="1"/>
        <v>MAELZER KURT</v>
      </c>
    </row>
    <row r="91" spans="1:7" x14ac:dyDescent="0.25">
      <c r="A91" s="8">
        <v>42857.419594907406</v>
      </c>
      <c r="B91" s="20" t="s">
        <v>375</v>
      </c>
      <c r="C91" s="20" t="s">
        <v>690</v>
      </c>
      <c r="D91" s="141">
        <v>2270000</v>
      </c>
      <c r="E91" s="20" t="s">
        <v>206</v>
      </c>
      <c r="F91" s="20" t="s">
        <v>207</v>
      </c>
      <c r="G91" s="8" t="str">
        <f t="shared" si="1"/>
        <v>BROWN JACOB</v>
      </c>
    </row>
    <row r="92" spans="1:7" x14ac:dyDescent="0.25">
      <c r="A92" s="8">
        <v>42857.422465277778</v>
      </c>
      <c r="B92" s="20" t="s">
        <v>617</v>
      </c>
      <c r="C92" s="20" t="s">
        <v>691</v>
      </c>
      <c r="D92" s="141">
        <v>890000</v>
      </c>
      <c r="E92" s="20" t="s">
        <v>631</v>
      </c>
      <c r="F92" s="20" t="s">
        <v>632</v>
      </c>
      <c r="G92" s="8" t="str">
        <f t="shared" si="1"/>
        <v>LOZA FIDEL</v>
      </c>
    </row>
    <row r="93" spans="1:7" x14ac:dyDescent="0.25">
      <c r="A93" s="8">
        <v>42857.424178240741</v>
      </c>
      <c r="B93" s="20" t="s">
        <v>384</v>
      </c>
      <c r="C93" s="20" t="s">
        <v>596</v>
      </c>
      <c r="D93" s="141">
        <v>1110000</v>
      </c>
      <c r="E93" s="20" t="s">
        <v>500</v>
      </c>
      <c r="F93" s="20" t="s">
        <v>501</v>
      </c>
      <c r="G93" s="8" t="str">
        <f t="shared" si="1"/>
        <v>STARKS ANGELINA</v>
      </c>
    </row>
    <row r="94" spans="1:7" x14ac:dyDescent="0.25">
      <c r="A94" s="8">
        <v>42857.427777777775</v>
      </c>
      <c r="B94" s="20" t="s">
        <v>594</v>
      </c>
      <c r="C94" s="20" t="s">
        <v>595</v>
      </c>
      <c r="D94" s="141">
        <v>1340000</v>
      </c>
      <c r="E94" s="20" t="s">
        <v>692</v>
      </c>
      <c r="F94" s="20" t="s">
        <v>693</v>
      </c>
      <c r="G94" s="8" t="str">
        <f t="shared" si="1"/>
        <v>BEAM ROSS</v>
      </c>
    </row>
    <row r="95" spans="1:7" x14ac:dyDescent="0.25">
      <c r="A95" s="8">
        <v>42857.431747685187</v>
      </c>
      <c r="B95" s="20" t="s">
        <v>391</v>
      </c>
      <c r="C95" s="20" t="s">
        <v>694</v>
      </c>
      <c r="D95" s="141">
        <v>1830000</v>
      </c>
      <c r="E95" s="20" t="s">
        <v>452</v>
      </c>
      <c r="F95" s="20" t="s">
        <v>453</v>
      </c>
      <c r="G95" s="8" t="str">
        <f t="shared" si="1"/>
        <v>YORK EDGAR</v>
      </c>
    </row>
    <row r="96" spans="1:7" x14ac:dyDescent="0.25">
      <c r="A96" s="8">
        <v>42857.442337962966</v>
      </c>
      <c r="B96" s="20" t="s">
        <v>356</v>
      </c>
      <c r="C96" s="20" t="s">
        <v>695</v>
      </c>
      <c r="D96" s="141">
        <v>3120000</v>
      </c>
      <c r="E96" s="20" t="s">
        <v>502</v>
      </c>
      <c r="F96" s="20" t="s">
        <v>503</v>
      </c>
      <c r="G96" s="8" t="str">
        <f t="shared" si="1"/>
        <v>THOMPSON LESTER</v>
      </c>
    </row>
    <row r="97" spans="1:7" x14ac:dyDescent="0.25">
      <c r="A97" s="8">
        <v>42857.44258101852</v>
      </c>
      <c r="B97" s="20" t="s">
        <v>376</v>
      </c>
      <c r="C97" s="20" t="s">
        <v>696</v>
      </c>
      <c r="D97" s="141">
        <v>2270000</v>
      </c>
      <c r="E97" s="20" t="s">
        <v>206</v>
      </c>
      <c r="F97" s="20" t="s">
        <v>207</v>
      </c>
      <c r="G97" s="8" t="str">
        <f t="shared" si="1"/>
        <v>BROWN JACOB</v>
      </c>
    </row>
    <row r="98" spans="1:7" x14ac:dyDescent="0.25">
      <c r="A98" s="8">
        <v>42857.444027777776</v>
      </c>
      <c r="B98" s="20" t="s">
        <v>462</v>
      </c>
      <c r="C98" s="20" t="s">
        <v>597</v>
      </c>
      <c r="D98" s="141">
        <v>3090000</v>
      </c>
      <c r="E98" s="20" t="s">
        <v>506</v>
      </c>
      <c r="F98" s="20" t="s">
        <v>507</v>
      </c>
      <c r="G98" s="8" t="str">
        <f t="shared" si="1"/>
        <v>LAMAR NEKESHA</v>
      </c>
    </row>
    <row r="99" spans="1:7" x14ac:dyDescent="0.25">
      <c r="A99" s="8">
        <v>42857.453113425923</v>
      </c>
      <c r="B99" s="20" t="s">
        <v>430</v>
      </c>
      <c r="C99" s="20" t="s">
        <v>697</v>
      </c>
      <c r="D99" s="141">
        <v>1990000</v>
      </c>
      <c r="E99" s="20" t="s">
        <v>468</v>
      </c>
      <c r="F99" s="20" t="s">
        <v>469</v>
      </c>
      <c r="G99" s="8" t="str">
        <f t="shared" si="1"/>
        <v>DAVIS WENDY</v>
      </c>
    </row>
    <row r="100" spans="1:7" x14ac:dyDescent="0.25">
      <c r="A100" s="8">
        <v>42857.455185185187</v>
      </c>
      <c r="B100" s="20" t="s">
        <v>410</v>
      </c>
      <c r="C100" s="20" t="s">
        <v>698</v>
      </c>
      <c r="D100" s="141">
        <v>920000</v>
      </c>
      <c r="E100" s="20" t="s">
        <v>468</v>
      </c>
      <c r="F100" s="20" t="s">
        <v>196</v>
      </c>
      <c r="G100" s="8" t="str">
        <f t="shared" si="1"/>
        <v>DAVIS MICHAEL</v>
      </c>
    </row>
    <row r="101" spans="1:7" x14ac:dyDescent="0.25">
      <c r="A101" s="8">
        <v>42857.462766203702</v>
      </c>
      <c r="B101" s="20" t="s">
        <v>644</v>
      </c>
      <c r="C101" s="20" t="s">
        <v>699</v>
      </c>
      <c r="D101" s="141">
        <v>890000</v>
      </c>
      <c r="E101" s="20" t="s">
        <v>631</v>
      </c>
      <c r="F101" s="20" t="s">
        <v>632</v>
      </c>
      <c r="G101" s="8" t="str">
        <f t="shared" si="1"/>
        <v>LOZA FIDEL</v>
      </c>
    </row>
    <row r="102" spans="1:7" x14ac:dyDescent="0.25">
      <c r="A102" s="8">
        <v>42857.463067129633</v>
      </c>
      <c r="B102" s="20" t="s">
        <v>392</v>
      </c>
      <c r="C102" s="20" t="s">
        <v>598</v>
      </c>
      <c r="D102" s="141">
        <v>1830000</v>
      </c>
      <c r="E102" s="20" t="s">
        <v>452</v>
      </c>
      <c r="F102" s="20" t="s">
        <v>453</v>
      </c>
      <c r="G102" s="8" t="str">
        <f t="shared" si="1"/>
        <v>YORK EDGAR</v>
      </c>
    </row>
    <row r="103" spans="1:7" x14ac:dyDescent="0.25">
      <c r="A103" s="8">
        <v>42857.465787037036</v>
      </c>
      <c r="B103" s="20" t="s">
        <v>381</v>
      </c>
      <c r="C103" s="20" t="s">
        <v>700</v>
      </c>
      <c r="D103" s="141">
        <v>1780000</v>
      </c>
      <c r="E103" s="20" t="s">
        <v>701</v>
      </c>
      <c r="F103" s="20" t="s">
        <v>702</v>
      </c>
      <c r="G103" s="8" t="str">
        <f t="shared" si="1"/>
        <v>DE LA ROSA ALEX</v>
      </c>
    </row>
    <row r="104" spans="1:7" x14ac:dyDescent="0.25">
      <c r="A104" s="8">
        <v>42857.468414351853</v>
      </c>
      <c r="B104" s="20" t="s">
        <v>703</v>
      </c>
      <c r="C104" s="20" t="s">
        <v>704</v>
      </c>
      <c r="D104" s="141">
        <v>2010000</v>
      </c>
      <c r="E104" s="20" t="s">
        <v>466</v>
      </c>
      <c r="F104" s="20" t="s">
        <v>467</v>
      </c>
      <c r="G104" s="8" t="str">
        <f t="shared" si="1"/>
        <v>MAELZER KURT</v>
      </c>
    </row>
    <row r="105" spans="1:7" x14ac:dyDescent="0.25">
      <c r="A105" s="8">
        <v>42857.470578703702</v>
      </c>
      <c r="B105" s="20" t="s">
        <v>375</v>
      </c>
      <c r="C105" s="20" t="s">
        <v>705</v>
      </c>
      <c r="D105" s="141">
        <v>2270000</v>
      </c>
      <c r="E105" s="20" t="s">
        <v>206</v>
      </c>
      <c r="F105" s="20" t="s">
        <v>207</v>
      </c>
      <c r="G105" s="8" t="str">
        <f t="shared" si="1"/>
        <v>BROWN JACOB</v>
      </c>
    </row>
    <row r="106" spans="1:7" x14ac:dyDescent="0.25">
      <c r="A106" s="8">
        <v>42857.47761574074</v>
      </c>
      <c r="B106" s="20" t="s">
        <v>357</v>
      </c>
      <c r="C106" s="20" t="s">
        <v>706</v>
      </c>
      <c r="D106" s="141">
        <v>3130000</v>
      </c>
      <c r="E106" s="20" t="s">
        <v>512</v>
      </c>
      <c r="F106" s="20" t="s">
        <v>513</v>
      </c>
      <c r="G106" s="8" t="str">
        <f t="shared" si="1"/>
        <v>ZEWDU DEREJE</v>
      </c>
    </row>
    <row r="107" spans="1:7" x14ac:dyDescent="0.25">
      <c r="A107" s="8">
        <v>42857.483206018522</v>
      </c>
      <c r="B107" s="20" t="s">
        <v>470</v>
      </c>
      <c r="C107" s="20" t="s">
        <v>707</v>
      </c>
      <c r="D107" s="141">
        <v>3090000</v>
      </c>
      <c r="E107" s="20" t="s">
        <v>506</v>
      </c>
      <c r="F107" s="20" t="s">
        <v>507</v>
      </c>
      <c r="G107" s="8" t="str">
        <f t="shared" si="1"/>
        <v>LAMAR NEKESHA</v>
      </c>
    </row>
    <row r="108" spans="1:7" x14ac:dyDescent="0.25">
      <c r="A108" s="8">
        <v>42857.483807870369</v>
      </c>
      <c r="B108" s="20" t="s">
        <v>376</v>
      </c>
      <c r="C108" s="20" t="s">
        <v>708</v>
      </c>
      <c r="D108" s="141">
        <v>2270000</v>
      </c>
      <c r="E108" s="20" t="s">
        <v>206</v>
      </c>
      <c r="F108" s="20" t="s">
        <v>207</v>
      </c>
      <c r="G108" s="8" t="str">
        <f t="shared" si="1"/>
        <v>BROWN JACOB</v>
      </c>
    </row>
    <row r="109" spans="1:7" x14ac:dyDescent="0.25">
      <c r="A109" s="8">
        <v>42857.486192129632</v>
      </c>
      <c r="B109" s="20" t="s">
        <v>419</v>
      </c>
      <c r="C109" s="20" t="s">
        <v>709</v>
      </c>
      <c r="D109" s="141">
        <v>930000</v>
      </c>
      <c r="E109" s="20" t="s">
        <v>509</v>
      </c>
      <c r="F109" s="20" t="s">
        <v>510</v>
      </c>
      <c r="G109" s="8" t="str">
        <f t="shared" si="1"/>
        <v>CLARK KATHLEEN</v>
      </c>
    </row>
    <row r="110" spans="1:7" x14ac:dyDescent="0.25">
      <c r="A110" s="8">
        <v>42857.495937500003</v>
      </c>
      <c r="B110" s="20" t="s">
        <v>411</v>
      </c>
      <c r="C110" s="20" t="s">
        <v>710</v>
      </c>
      <c r="D110" s="141">
        <v>920000</v>
      </c>
      <c r="E110" s="20" t="s">
        <v>468</v>
      </c>
      <c r="F110" s="20" t="s">
        <v>196</v>
      </c>
      <c r="G110" s="8" t="str">
        <f t="shared" si="1"/>
        <v>DAVIS MICHAEL</v>
      </c>
    </row>
    <row r="111" spans="1:7" x14ac:dyDescent="0.25">
      <c r="A111" s="8">
        <v>42857.498101851852</v>
      </c>
      <c r="B111" s="20" t="s">
        <v>617</v>
      </c>
      <c r="C111" s="20" t="s">
        <v>711</v>
      </c>
      <c r="D111" s="141">
        <v>2530000</v>
      </c>
      <c r="E111" s="20" t="s">
        <v>473</v>
      </c>
      <c r="F111" s="20" t="s">
        <v>474</v>
      </c>
      <c r="G111" s="8" t="str">
        <f t="shared" si="1"/>
        <v>LALONDE GREGORY</v>
      </c>
    </row>
    <row r="112" spans="1:7" x14ac:dyDescent="0.25">
      <c r="A112" s="8">
        <v>42857.504328703704</v>
      </c>
      <c r="B112" s="20" t="s">
        <v>384</v>
      </c>
      <c r="C112" s="20" t="s">
        <v>712</v>
      </c>
      <c r="D112" s="141">
        <v>1780000</v>
      </c>
      <c r="E112" s="20" t="s">
        <v>701</v>
      </c>
      <c r="F112" s="20" t="s">
        <v>702</v>
      </c>
      <c r="G112" s="8" t="str">
        <f t="shared" si="1"/>
        <v>DE LA ROSA ALEX</v>
      </c>
    </row>
    <row r="113" spans="1:7" x14ac:dyDescent="0.25">
      <c r="A113" s="8">
        <v>42857.507025462961</v>
      </c>
      <c r="B113" s="20" t="s">
        <v>391</v>
      </c>
      <c r="C113" s="20" t="s">
        <v>713</v>
      </c>
      <c r="D113" s="141">
        <v>2470000</v>
      </c>
      <c r="E113" s="20" t="s">
        <v>714</v>
      </c>
      <c r="F113" s="20" t="s">
        <v>715</v>
      </c>
      <c r="G113" s="8" t="str">
        <f t="shared" si="1"/>
        <v>ROMERO CHAD</v>
      </c>
    </row>
    <row r="114" spans="1:7" x14ac:dyDescent="0.25">
      <c r="A114" s="8">
        <v>42857.507430555554</v>
      </c>
      <c r="B114" s="20" t="s">
        <v>356</v>
      </c>
      <c r="C114" s="20" t="s">
        <v>599</v>
      </c>
      <c r="D114" s="141">
        <v>3130000</v>
      </c>
      <c r="E114" s="20" t="s">
        <v>512</v>
      </c>
      <c r="F114" s="20" t="s">
        <v>513</v>
      </c>
      <c r="G114" s="8" t="str">
        <f t="shared" si="1"/>
        <v>ZEWDU DEREJE</v>
      </c>
    </row>
    <row r="115" spans="1:7" x14ac:dyDescent="0.25">
      <c r="A115" s="8">
        <v>42857.51158564815</v>
      </c>
      <c r="B115" s="20" t="s">
        <v>375</v>
      </c>
      <c r="C115" s="20" t="s">
        <v>716</v>
      </c>
      <c r="D115" s="141">
        <v>2270000</v>
      </c>
      <c r="E115" s="20" t="s">
        <v>206</v>
      </c>
      <c r="F115" s="20" t="s">
        <v>207</v>
      </c>
      <c r="G115" s="8" t="str">
        <f t="shared" si="1"/>
        <v>BROWN JACOB</v>
      </c>
    </row>
    <row r="116" spans="1:7" x14ac:dyDescent="0.25">
      <c r="A116" s="8">
        <v>42857.517604166664</v>
      </c>
      <c r="B116" s="20" t="s">
        <v>462</v>
      </c>
      <c r="C116" s="20" t="s">
        <v>717</v>
      </c>
      <c r="D116" s="141">
        <v>3030000</v>
      </c>
      <c r="E116" s="20" t="s">
        <v>511</v>
      </c>
      <c r="F116" s="20" t="s">
        <v>421</v>
      </c>
      <c r="G116" s="8" t="str">
        <f t="shared" si="1"/>
        <v>BIRENBAUM THOMAS</v>
      </c>
    </row>
    <row r="117" spans="1:7" x14ac:dyDescent="0.25">
      <c r="A117" s="8">
        <v>42857.525300925925</v>
      </c>
      <c r="B117" s="20" t="s">
        <v>430</v>
      </c>
      <c r="C117" s="20" t="s">
        <v>718</v>
      </c>
      <c r="D117" s="141">
        <v>930000</v>
      </c>
      <c r="E117" s="20" t="s">
        <v>509</v>
      </c>
      <c r="F117" s="20" t="s">
        <v>510</v>
      </c>
      <c r="G117" s="8" t="str">
        <f t="shared" si="1"/>
        <v>CLARK KATHLEEN</v>
      </c>
    </row>
    <row r="118" spans="1:7" x14ac:dyDescent="0.25">
      <c r="A118" s="8">
        <v>42857.525636574072</v>
      </c>
      <c r="B118" s="20" t="s">
        <v>376</v>
      </c>
      <c r="C118" s="20" t="s">
        <v>719</v>
      </c>
      <c r="D118" s="141">
        <v>2270000</v>
      </c>
      <c r="E118" s="20" t="s">
        <v>206</v>
      </c>
      <c r="F118" s="20" t="s">
        <v>207</v>
      </c>
      <c r="G118" s="8" t="str">
        <f t="shared" si="1"/>
        <v>BROWN JACOB</v>
      </c>
    </row>
    <row r="119" spans="1:7" x14ac:dyDescent="0.25">
      <c r="A119" s="8">
        <v>42857.527997685182</v>
      </c>
      <c r="B119" s="20" t="s">
        <v>644</v>
      </c>
      <c r="C119" s="20" t="s">
        <v>720</v>
      </c>
      <c r="D119" s="141">
        <v>2530000</v>
      </c>
      <c r="E119" s="20" t="s">
        <v>473</v>
      </c>
      <c r="F119" s="20" t="s">
        <v>474</v>
      </c>
      <c r="G119" s="8" t="str">
        <f t="shared" si="1"/>
        <v>LALONDE GREGORY</v>
      </c>
    </row>
    <row r="120" spans="1:7" x14ac:dyDescent="0.25">
      <c r="A120" s="8">
        <v>42857.529803240737</v>
      </c>
      <c r="B120" s="20" t="s">
        <v>410</v>
      </c>
      <c r="C120" s="20" t="s">
        <v>721</v>
      </c>
      <c r="D120" s="141">
        <v>920000</v>
      </c>
      <c r="E120" s="20" t="s">
        <v>468</v>
      </c>
      <c r="F120" s="20" t="s">
        <v>196</v>
      </c>
      <c r="G120" s="8" t="str">
        <f t="shared" si="1"/>
        <v>DAVIS MICHAEL</v>
      </c>
    </row>
    <row r="121" spans="1:7" x14ac:dyDescent="0.25">
      <c r="A121" s="8">
        <v>42857.537268518521</v>
      </c>
      <c r="B121" s="20" t="s">
        <v>392</v>
      </c>
      <c r="C121" s="20" t="s">
        <v>722</v>
      </c>
      <c r="D121" s="141">
        <v>2470000</v>
      </c>
      <c r="E121" s="20" t="s">
        <v>714</v>
      </c>
      <c r="F121" s="20" t="s">
        <v>715</v>
      </c>
      <c r="G121" s="8" t="str">
        <f t="shared" si="1"/>
        <v>ROMERO CHAD</v>
      </c>
    </row>
    <row r="122" spans="1:7" x14ac:dyDescent="0.25">
      <c r="A122" s="8">
        <v>42857.538877314815</v>
      </c>
      <c r="B122" s="25" t="s">
        <v>381</v>
      </c>
      <c r="C122" s="20" t="s">
        <v>723</v>
      </c>
      <c r="D122" s="141">
        <v>1780000</v>
      </c>
      <c r="E122" s="20" t="s">
        <v>701</v>
      </c>
      <c r="F122" s="20" t="s">
        <v>702</v>
      </c>
      <c r="G122" s="8" t="str">
        <f t="shared" si="1"/>
        <v>DE LA ROSA ALEX</v>
      </c>
    </row>
    <row r="123" spans="1:7" x14ac:dyDescent="0.25">
      <c r="A123" s="8">
        <v>42857.54855324074</v>
      </c>
      <c r="B123" s="20" t="s">
        <v>470</v>
      </c>
      <c r="C123" s="20" t="s">
        <v>724</v>
      </c>
      <c r="D123" s="141">
        <v>3030000</v>
      </c>
      <c r="E123" s="20" t="s">
        <v>511</v>
      </c>
      <c r="F123" s="20" t="s">
        <v>421</v>
      </c>
      <c r="G123" s="8" t="str">
        <f t="shared" si="1"/>
        <v>BIRENBAUM THOMAS</v>
      </c>
    </row>
    <row r="124" spans="1:7" x14ac:dyDescent="0.25">
      <c r="A124" s="8">
        <v>42857.549259259256</v>
      </c>
      <c r="B124" s="20" t="s">
        <v>357</v>
      </c>
      <c r="C124" s="20" t="s">
        <v>725</v>
      </c>
      <c r="D124" s="141">
        <v>3130000</v>
      </c>
      <c r="E124" s="20" t="s">
        <v>512</v>
      </c>
      <c r="F124" s="20" t="s">
        <v>513</v>
      </c>
      <c r="G124" s="8" t="str">
        <f t="shared" si="1"/>
        <v>ZEWDU DEREJE</v>
      </c>
    </row>
    <row r="125" spans="1:7" x14ac:dyDescent="0.25">
      <c r="A125" s="8">
        <v>42857.554502314815</v>
      </c>
      <c r="B125" s="20" t="s">
        <v>375</v>
      </c>
      <c r="C125" s="20" t="s">
        <v>726</v>
      </c>
      <c r="D125" s="141">
        <v>1300000</v>
      </c>
      <c r="E125" s="20" t="s">
        <v>471</v>
      </c>
      <c r="F125" s="20" t="s">
        <v>472</v>
      </c>
      <c r="G125" s="8" t="str">
        <f t="shared" si="1"/>
        <v>LEVIN SCOTT</v>
      </c>
    </row>
    <row r="126" spans="1:7" x14ac:dyDescent="0.25">
      <c r="A126" s="8">
        <v>42857.559618055559</v>
      </c>
      <c r="B126" s="20" t="s">
        <v>419</v>
      </c>
      <c r="C126" s="20" t="s">
        <v>727</v>
      </c>
      <c r="D126" s="141">
        <v>930000</v>
      </c>
      <c r="E126" s="20" t="s">
        <v>509</v>
      </c>
      <c r="F126" s="20" t="s">
        <v>510</v>
      </c>
      <c r="G126" s="8" t="str">
        <f t="shared" si="1"/>
        <v>CLARK KATHLEEN</v>
      </c>
    </row>
    <row r="127" spans="1:7" x14ac:dyDescent="0.25">
      <c r="A127" s="8">
        <v>42857.567083333335</v>
      </c>
      <c r="B127" s="20" t="s">
        <v>376</v>
      </c>
      <c r="C127" s="20" t="s">
        <v>600</v>
      </c>
      <c r="D127" s="141">
        <v>1300000</v>
      </c>
      <c r="E127" s="20" t="s">
        <v>471</v>
      </c>
      <c r="F127" s="20" t="s">
        <v>472</v>
      </c>
      <c r="G127" s="8" t="str">
        <f t="shared" si="1"/>
        <v>LEVIN SCOTT</v>
      </c>
    </row>
    <row r="128" spans="1:7" x14ac:dyDescent="0.25">
      <c r="A128" s="8">
        <v>42857.568182870367</v>
      </c>
      <c r="B128" s="20" t="s">
        <v>411</v>
      </c>
      <c r="C128" s="20" t="s">
        <v>728</v>
      </c>
      <c r="D128" s="141">
        <v>920000</v>
      </c>
      <c r="E128" s="20" t="s">
        <v>468</v>
      </c>
      <c r="F128" s="20" t="s">
        <v>196</v>
      </c>
      <c r="G128" s="8" t="str">
        <f t="shared" si="1"/>
        <v>DAVIS MICHAEL</v>
      </c>
    </row>
    <row r="129" spans="1:7" x14ac:dyDescent="0.25">
      <c r="A129" s="8">
        <v>42857.568483796298</v>
      </c>
      <c r="B129" s="20" t="s">
        <v>617</v>
      </c>
      <c r="C129" s="20" t="s">
        <v>729</v>
      </c>
      <c r="D129" s="141">
        <v>2530000</v>
      </c>
      <c r="E129" s="20" t="s">
        <v>473</v>
      </c>
      <c r="F129" s="20" t="s">
        <v>474</v>
      </c>
      <c r="G129" s="8" t="str">
        <f t="shared" si="1"/>
        <v>LALONDE GREGORY</v>
      </c>
    </row>
    <row r="130" spans="1:7" x14ac:dyDescent="0.25">
      <c r="A130" s="8">
        <v>42857.577546296299</v>
      </c>
      <c r="B130" s="20" t="s">
        <v>391</v>
      </c>
      <c r="C130" s="20" t="s">
        <v>730</v>
      </c>
      <c r="D130" s="141">
        <v>2470000</v>
      </c>
      <c r="E130" s="20" t="s">
        <v>714</v>
      </c>
      <c r="F130" s="20" t="s">
        <v>715</v>
      </c>
      <c r="G130" s="8" t="str">
        <f t="shared" si="1"/>
        <v>ROMERO CHAD</v>
      </c>
    </row>
    <row r="131" spans="1:7" x14ac:dyDescent="0.25">
      <c r="A131" s="8">
        <v>42857.577627314815</v>
      </c>
      <c r="B131" s="20" t="s">
        <v>384</v>
      </c>
      <c r="C131" s="20" t="s">
        <v>731</v>
      </c>
      <c r="D131" s="141">
        <v>1780000</v>
      </c>
      <c r="E131" s="20" t="s">
        <v>701</v>
      </c>
      <c r="F131" s="20" t="s">
        <v>702</v>
      </c>
      <c r="G131" s="8" t="str">
        <f t="shared" ref="G131:G194" si="2">E131&amp;" "&amp;F131</f>
        <v>DE LA ROSA ALEX</v>
      </c>
    </row>
    <row r="132" spans="1:7" x14ac:dyDescent="0.25">
      <c r="A132" s="8">
        <v>42857.585694444446</v>
      </c>
      <c r="B132" s="20" t="s">
        <v>356</v>
      </c>
      <c r="C132" s="20" t="s">
        <v>732</v>
      </c>
      <c r="D132" s="141">
        <v>3130000</v>
      </c>
      <c r="E132" s="20" t="s">
        <v>512</v>
      </c>
      <c r="F132" s="20" t="s">
        <v>513</v>
      </c>
      <c r="G132" s="8" t="str">
        <f t="shared" si="2"/>
        <v>ZEWDU DEREJE</v>
      </c>
    </row>
    <row r="133" spans="1:7" x14ac:dyDescent="0.25">
      <c r="A133" s="8">
        <v>42857.588263888887</v>
      </c>
      <c r="B133" s="20" t="s">
        <v>462</v>
      </c>
      <c r="C133" s="20" t="s">
        <v>733</v>
      </c>
      <c r="D133" s="141">
        <v>3030000</v>
      </c>
      <c r="E133" s="20" t="s">
        <v>511</v>
      </c>
      <c r="F133" s="20" t="s">
        <v>421</v>
      </c>
      <c r="G133" s="8" t="str">
        <f t="shared" si="2"/>
        <v>BIRENBAUM THOMAS</v>
      </c>
    </row>
    <row r="134" spans="1:7" x14ac:dyDescent="0.25">
      <c r="A134" s="8">
        <v>42857.596400462964</v>
      </c>
      <c r="B134" s="20" t="s">
        <v>375</v>
      </c>
      <c r="C134" s="20" t="s">
        <v>734</v>
      </c>
      <c r="D134" s="141">
        <v>1300000</v>
      </c>
      <c r="E134" s="20" t="s">
        <v>471</v>
      </c>
      <c r="F134" s="20" t="s">
        <v>472</v>
      </c>
      <c r="G134" s="8" t="str">
        <f t="shared" si="2"/>
        <v>LEVIN SCOTT</v>
      </c>
    </row>
    <row r="135" spans="1:7" x14ac:dyDescent="0.25">
      <c r="A135" s="8">
        <v>42857.597013888888</v>
      </c>
      <c r="B135" s="20" t="s">
        <v>430</v>
      </c>
      <c r="C135" s="20" t="s">
        <v>735</v>
      </c>
      <c r="D135" s="141">
        <v>930000</v>
      </c>
      <c r="E135" s="20" t="s">
        <v>509</v>
      </c>
      <c r="F135" s="20" t="s">
        <v>510</v>
      </c>
      <c r="G135" s="8" t="str">
        <f t="shared" si="2"/>
        <v>CLARK KATHLEEN</v>
      </c>
    </row>
    <row r="136" spans="1:7" x14ac:dyDescent="0.25">
      <c r="A136" s="8">
        <v>42857.599988425929</v>
      </c>
      <c r="B136" s="20" t="s">
        <v>644</v>
      </c>
      <c r="C136" s="20" t="s">
        <v>736</v>
      </c>
      <c r="D136" s="141">
        <v>2530000</v>
      </c>
      <c r="E136" s="20" t="s">
        <v>473</v>
      </c>
      <c r="F136" s="20" t="s">
        <v>474</v>
      </c>
      <c r="G136" s="8" t="str">
        <f t="shared" si="2"/>
        <v>LALONDE GREGORY</v>
      </c>
    </row>
    <row r="137" spans="1:7" x14ac:dyDescent="0.25">
      <c r="A137" s="8">
        <v>42857.601712962962</v>
      </c>
      <c r="B137" s="20" t="s">
        <v>410</v>
      </c>
      <c r="C137" s="20" t="s">
        <v>737</v>
      </c>
      <c r="D137" s="141">
        <v>920000</v>
      </c>
      <c r="E137" s="20" t="s">
        <v>468</v>
      </c>
      <c r="F137" s="20" t="s">
        <v>196</v>
      </c>
      <c r="G137" s="8" t="str">
        <f t="shared" si="2"/>
        <v>DAVIS MICHAEL</v>
      </c>
    </row>
    <row r="138" spans="1:7" x14ac:dyDescent="0.25">
      <c r="A138" s="8">
        <v>42857.608912037038</v>
      </c>
      <c r="B138" s="20" t="s">
        <v>376</v>
      </c>
      <c r="C138" s="20" t="s">
        <v>601</v>
      </c>
      <c r="D138" s="141">
        <v>1300000</v>
      </c>
      <c r="E138" s="20" t="s">
        <v>471</v>
      </c>
      <c r="F138" s="20" t="s">
        <v>472</v>
      </c>
      <c r="G138" s="8" t="str">
        <f t="shared" si="2"/>
        <v>LEVIN SCOTT</v>
      </c>
    </row>
    <row r="139" spans="1:7" x14ac:dyDescent="0.25">
      <c r="A139" s="8">
        <v>42857.611516203702</v>
      </c>
      <c r="B139" s="20" t="s">
        <v>381</v>
      </c>
      <c r="C139" s="20" t="s">
        <v>738</v>
      </c>
      <c r="D139" s="141">
        <v>1780000</v>
      </c>
      <c r="E139" s="20" t="s">
        <v>701</v>
      </c>
      <c r="F139" s="20" t="s">
        <v>702</v>
      </c>
      <c r="G139" s="8" t="str">
        <f t="shared" si="2"/>
        <v>DE LA ROSA ALEX</v>
      </c>
    </row>
    <row r="140" spans="1:7" x14ac:dyDescent="0.25">
      <c r="A140" s="8">
        <v>42857.61954861111</v>
      </c>
      <c r="B140" s="20" t="s">
        <v>392</v>
      </c>
      <c r="C140" s="20" t="s">
        <v>739</v>
      </c>
      <c r="D140" s="141">
        <v>2470000</v>
      </c>
      <c r="E140" s="20" t="s">
        <v>714</v>
      </c>
      <c r="F140" s="20" t="s">
        <v>715</v>
      </c>
      <c r="G140" s="8" t="str">
        <f t="shared" si="2"/>
        <v>ROMERO CHAD</v>
      </c>
    </row>
    <row r="141" spans="1:7" x14ac:dyDescent="0.25">
      <c r="A141" s="8">
        <v>42857.620208333334</v>
      </c>
      <c r="B141" s="20" t="s">
        <v>357</v>
      </c>
      <c r="C141" s="20" t="s">
        <v>740</v>
      </c>
      <c r="D141" s="141">
        <v>3130000</v>
      </c>
      <c r="E141" s="20" t="s">
        <v>512</v>
      </c>
      <c r="F141" s="20" t="s">
        <v>513</v>
      </c>
      <c r="G141" s="8" t="str">
        <f t="shared" si="2"/>
        <v>ZEWDU DEREJE</v>
      </c>
    </row>
    <row r="142" spans="1:7" x14ac:dyDescent="0.25">
      <c r="A142" s="8">
        <v>42857.627800925926</v>
      </c>
      <c r="B142" s="20" t="s">
        <v>470</v>
      </c>
      <c r="C142" s="20" t="s">
        <v>741</v>
      </c>
      <c r="D142" s="141">
        <v>3030000</v>
      </c>
      <c r="E142" s="20" t="s">
        <v>511</v>
      </c>
      <c r="F142" s="20" t="s">
        <v>421</v>
      </c>
      <c r="G142" s="8" t="str">
        <f t="shared" si="2"/>
        <v>BIRENBAUM THOMAS</v>
      </c>
    </row>
    <row r="143" spans="1:7" x14ac:dyDescent="0.25">
      <c r="A143" s="8">
        <v>42857.632048611114</v>
      </c>
      <c r="B143" s="20" t="s">
        <v>419</v>
      </c>
      <c r="C143" s="20" t="s">
        <v>742</v>
      </c>
      <c r="D143" s="141">
        <v>930000</v>
      </c>
      <c r="E143" s="20" t="s">
        <v>509</v>
      </c>
      <c r="F143" s="20" t="s">
        <v>510</v>
      </c>
      <c r="G143" s="8" t="str">
        <f t="shared" si="2"/>
        <v>CLARK KATHLEEN</v>
      </c>
    </row>
    <row r="144" spans="1:7" x14ac:dyDescent="0.25">
      <c r="A144" s="8">
        <v>42857.637604166666</v>
      </c>
      <c r="B144" s="20" t="s">
        <v>375</v>
      </c>
      <c r="C144" s="20" t="s">
        <v>743</v>
      </c>
      <c r="D144" s="141">
        <v>1300000</v>
      </c>
      <c r="E144" s="20" t="s">
        <v>471</v>
      </c>
      <c r="F144" s="20" t="s">
        <v>472</v>
      </c>
      <c r="G144" s="8" t="str">
        <f t="shared" si="2"/>
        <v>LEVIN SCOTT</v>
      </c>
    </row>
    <row r="145" spans="1:7" x14ac:dyDescent="0.25">
      <c r="A145" s="8">
        <v>42857.63789351852</v>
      </c>
      <c r="B145" s="20" t="s">
        <v>352</v>
      </c>
      <c r="C145" s="20" t="s">
        <v>744</v>
      </c>
      <c r="D145" s="141">
        <v>2150000</v>
      </c>
      <c r="E145" s="20" t="s">
        <v>349</v>
      </c>
      <c r="F145" s="20" t="s">
        <v>350</v>
      </c>
      <c r="G145" s="8" t="str">
        <f t="shared" si="2"/>
        <v>SWANSON BRYCE</v>
      </c>
    </row>
    <row r="146" spans="1:7" x14ac:dyDescent="0.25">
      <c r="A146" s="8">
        <v>42857.639027777775</v>
      </c>
      <c r="B146" s="20" t="s">
        <v>352</v>
      </c>
      <c r="C146" s="20" t="s">
        <v>744</v>
      </c>
      <c r="D146" s="141">
        <v>2150000</v>
      </c>
      <c r="E146" s="20" t="s">
        <v>349</v>
      </c>
      <c r="F146" s="20" t="s">
        <v>350</v>
      </c>
      <c r="G146" s="8" t="str">
        <f t="shared" si="2"/>
        <v>SWANSON BRYCE</v>
      </c>
    </row>
    <row r="147" spans="1:7" x14ac:dyDescent="0.25">
      <c r="A147" s="8">
        <v>42857.640162037038</v>
      </c>
      <c r="B147" s="20" t="s">
        <v>617</v>
      </c>
      <c r="C147" s="20" t="s">
        <v>745</v>
      </c>
      <c r="D147" s="141">
        <v>2530000</v>
      </c>
      <c r="E147" s="20" t="s">
        <v>473</v>
      </c>
      <c r="F147" s="20" t="s">
        <v>474</v>
      </c>
      <c r="G147" s="8" t="str">
        <f t="shared" si="2"/>
        <v>LALONDE GREGORY</v>
      </c>
    </row>
    <row r="148" spans="1:7" x14ac:dyDescent="0.25">
      <c r="A148" s="8">
        <v>42857.641099537039</v>
      </c>
      <c r="B148" s="20" t="s">
        <v>411</v>
      </c>
      <c r="C148" s="20" t="s">
        <v>746</v>
      </c>
      <c r="D148" s="141">
        <v>920000</v>
      </c>
      <c r="E148" s="20" t="s">
        <v>468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42857.648425925923</v>
      </c>
      <c r="B149" s="20" t="s">
        <v>351</v>
      </c>
      <c r="C149" s="20" t="s">
        <v>747</v>
      </c>
      <c r="D149" s="141">
        <v>2150000</v>
      </c>
      <c r="E149" s="20" t="s">
        <v>349</v>
      </c>
      <c r="F149" s="20" t="s">
        <v>350</v>
      </c>
      <c r="G149" s="8" t="str">
        <f t="shared" si="2"/>
        <v>SWANSON BRYCE</v>
      </c>
    </row>
    <row r="150" spans="1:7" x14ac:dyDescent="0.25">
      <c r="A150" s="8">
        <v>42857.650879629633</v>
      </c>
      <c r="B150" s="20" t="s">
        <v>384</v>
      </c>
      <c r="C150" s="20" t="s">
        <v>748</v>
      </c>
      <c r="D150" s="141">
        <v>1780000</v>
      </c>
      <c r="E150" s="20" t="s">
        <v>701</v>
      </c>
      <c r="F150" s="20" t="s">
        <v>702</v>
      </c>
      <c r="G150" s="8" t="str">
        <f t="shared" si="2"/>
        <v>DE LA ROSA ALEX</v>
      </c>
    </row>
    <row r="151" spans="1:7" x14ac:dyDescent="0.25">
      <c r="A151" s="8">
        <v>42857.651608796295</v>
      </c>
      <c r="B151" s="20" t="s">
        <v>376</v>
      </c>
      <c r="C151" s="20" t="s">
        <v>602</v>
      </c>
      <c r="D151" s="141">
        <v>1300000</v>
      </c>
      <c r="E151" s="20" t="s">
        <v>471</v>
      </c>
      <c r="F151" s="20" t="s">
        <v>472</v>
      </c>
      <c r="G151" s="8" t="str">
        <f t="shared" si="2"/>
        <v>LEVIN SCOTT</v>
      </c>
    </row>
    <row r="152" spans="1:7" x14ac:dyDescent="0.25">
      <c r="A152" s="8">
        <v>42857.651886574073</v>
      </c>
      <c r="B152" s="20" t="s">
        <v>391</v>
      </c>
      <c r="C152" s="20" t="s">
        <v>749</v>
      </c>
      <c r="D152" s="141">
        <v>2470000</v>
      </c>
      <c r="E152" s="20" t="s">
        <v>714</v>
      </c>
      <c r="F152" s="20" t="s">
        <v>715</v>
      </c>
      <c r="G152" s="8" t="str">
        <f t="shared" si="2"/>
        <v>ROMERO CHAD</v>
      </c>
    </row>
    <row r="153" spans="1:7" x14ac:dyDescent="0.25">
      <c r="A153" s="8">
        <v>42857.654166666667</v>
      </c>
      <c r="B153" s="20" t="s">
        <v>356</v>
      </c>
      <c r="C153" s="20" t="s">
        <v>750</v>
      </c>
      <c r="D153" s="141">
        <v>3130000</v>
      </c>
      <c r="E153" s="20" t="s">
        <v>512</v>
      </c>
      <c r="F153" s="20" t="s">
        <v>513</v>
      </c>
      <c r="G153" s="8" t="str">
        <f t="shared" si="2"/>
        <v>ZEWDU DEREJE</v>
      </c>
    </row>
    <row r="154" spans="1:7" x14ac:dyDescent="0.25">
      <c r="A154" s="8">
        <v>42857.663587962961</v>
      </c>
      <c r="B154" s="20" t="s">
        <v>462</v>
      </c>
      <c r="C154" s="20" t="s">
        <v>751</v>
      </c>
      <c r="D154" s="141">
        <v>3030000</v>
      </c>
      <c r="E154" s="20" t="s">
        <v>511</v>
      </c>
      <c r="F154" s="20" t="s">
        <v>421</v>
      </c>
      <c r="G154" s="8" t="str">
        <f t="shared" si="2"/>
        <v>BIRENBAUM THOMAS</v>
      </c>
    </row>
    <row r="155" spans="1:7" x14ac:dyDescent="0.25">
      <c r="A155" s="8">
        <v>42857.669930555552</v>
      </c>
      <c r="B155" s="20" t="s">
        <v>430</v>
      </c>
      <c r="C155" s="20" t="s">
        <v>752</v>
      </c>
      <c r="D155" s="141">
        <v>930000</v>
      </c>
      <c r="E155" s="20" t="s">
        <v>509</v>
      </c>
      <c r="F155" s="20" t="s">
        <v>510</v>
      </c>
      <c r="G155" s="8" t="str">
        <f t="shared" si="2"/>
        <v>CLARK KATHLEEN</v>
      </c>
    </row>
    <row r="156" spans="1:7" x14ac:dyDescent="0.25">
      <c r="A156" s="8">
        <v>42857.672037037039</v>
      </c>
      <c r="B156" s="20" t="s">
        <v>352</v>
      </c>
      <c r="C156" s="20" t="s">
        <v>753</v>
      </c>
      <c r="D156" s="141">
        <v>2150000</v>
      </c>
      <c r="E156" s="20" t="s">
        <v>349</v>
      </c>
      <c r="F156" s="20" t="s">
        <v>350</v>
      </c>
      <c r="G156" s="8" t="str">
        <f t="shared" si="2"/>
        <v>SWANSON BRYCE</v>
      </c>
    </row>
    <row r="157" spans="1:7" x14ac:dyDescent="0.25">
      <c r="A157" s="8">
        <v>42857.674143518518</v>
      </c>
      <c r="B157" s="20" t="s">
        <v>644</v>
      </c>
      <c r="C157" s="20" t="s">
        <v>754</v>
      </c>
      <c r="D157" s="141">
        <v>2530000</v>
      </c>
      <c r="E157" s="20" t="s">
        <v>473</v>
      </c>
      <c r="F157" s="20" t="s">
        <v>474</v>
      </c>
      <c r="G157" s="8" t="str">
        <f t="shared" si="2"/>
        <v>LALONDE GREGORY</v>
      </c>
    </row>
    <row r="158" spans="1:7" x14ac:dyDescent="0.25">
      <c r="A158" s="8">
        <v>42857.674421296295</v>
      </c>
      <c r="B158" s="20" t="s">
        <v>410</v>
      </c>
      <c r="C158" s="20" t="s">
        <v>755</v>
      </c>
      <c r="D158" s="141">
        <v>920000</v>
      </c>
      <c r="E158" s="20" t="s">
        <v>468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42857.679409722223</v>
      </c>
      <c r="B159" s="20" t="s">
        <v>375</v>
      </c>
      <c r="C159" s="20" t="s">
        <v>756</v>
      </c>
      <c r="D159" s="141">
        <v>1300000</v>
      </c>
      <c r="E159" s="20" t="s">
        <v>471</v>
      </c>
      <c r="F159" s="20" t="s">
        <v>472</v>
      </c>
      <c r="G159" s="8" t="str">
        <f t="shared" si="2"/>
        <v>LEVIN SCOTT</v>
      </c>
    </row>
    <row r="160" spans="1:7" x14ac:dyDescent="0.25">
      <c r="A160" s="8">
        <v>42857.683761574073</v>
      </c>
      <c r="B160" s="20" t="s">
        <v>381</v>
      </c>
      <c r="C160" s="20" t="s">
        <v>757</v>
      </c>
      <c r="D160" s="141">
        <v>1780000</v>
      </c>
      <c r="E160" s="20" t="s">
        <v>701</v>
      </c>
      <c r="F160" s="20" t="s">
        <v>702</v>
      </c>
      <c r="G160" s="8" t="str">
        <f t="shared" si="2"/>
        <v>DE LA ROSA ALEX</v>
      </c>
    </row>
    <row r="161" spans="1:7" x14ac:dyDescent="0.25">
      <c r="A161" s="8">
        <v>42857.686122685183</v>
      </c>
      <c r="B161" s="20" t="s">
        <v>351</v>
      </c>
      <c r="C161" s="20" t="s">
        <v>758</v>
      </c>
      <c r="D161" s="141">
        <v>2150000</v>
      </c>
      <c r="E161" s="20" t="s">
        <v>349</v>
      </c>
      <c r="F161" s="20" t="s">
        <v>350</v>
      </c>
      <c r="G161" s="8" t="str">
        <f t="shared" si="2"/>
        <v>SWANSON BRYCE</v>
      </c>
    </row>
    <row r="162" spans="1:7" x14ac:dyDescent="0.25">
      <c r="A162" s="8">
        <v>42857.692210648151</v>
      </c>
      <c r="B162" s="20" t="s">
        <v>392</v>
      </c>
      <c r="C162" s="20" t="s">
        <v>759</v>
      </c>
      <c r="D162" s="141">
        <v>2470000</v>
      </c>
      <c r="E162" s="20" t="s">
        <v>714</v>
      </c>
      <c r="F162" s="20" t="s">
        <v>715</v>
      </c>
      <c r="G162" s="8" t="str">
        <f t="shared" si="2"/>
        <v>ROMERO CHAD</v>
      </c>
    </row>
    <row r="163" spans="1:7" x14ac:dyDescent="0.25">
      <c r="A163" s="8">
        <v>42857.692569444444</v>
      </c>
      <c r="B163" s="20" t="s">
        <v>376</v>
      </c>
      <c r="C163" s="20" t="s">
        <v>603</v>
      </c>
      <c r="D163" s="141">
        <v>1300000</v>
      </c>
      <c r="E163" s="20" t="s">
        <v>471</v>
      </c>
      <c r="F163" s="20" t="s">
        <v>472</v>
      </c>
      <c r="G163" s="8" t="str">
        <f t="shared" si="2"/>
        <v>LEVIN SCOTT</v>
      </c>
    </row>
    <row r="164" spans="1:7" x14ac:dyDescent="0.25">
      <c r="A164" s="8">
        <v>42857.694699074076</v>
      </c>
      <c r="B164" s="20" t="s">
        <v>357</v>
      </c>
      <c r="C164" s="20" t="s">
        <v>760</v>
      </c>
      <c r="D164" s="141">
        <v>3130000</v>
      </c>
      <c r="E164" s="20" t="s">
        <v>512</v>
      </c>
      <c r="F164" s="20" t="s">
        <v>513</v>
      </c>
      <c r="G164" s="8" t="str">
        <f t="shared" si="2"/>
        <v>ZEWDU DEREJE</v>
      </c>
    </row>
    <row r="165" spans="1:7" x14ac:dyDescent="0.25">
      <c r="A165" s="8">
        <v>42857.702905092592</v>
      </c>
      <c r="B165" s="20" t="s">
        <v>470</v>
      </c>
      <c r="C165" s="20" t="s">
        <v>761</v>
      </c>
      <c r="D165" s="141">
        <v>3030000</v>
      </c>
      <c r="E165" s="20" t="s">
        <v>511</v>
      </c>
      <c r="F165" s="20" t="s">
        <v>421</v>
      </c>
      <c r="G165" s="8" t="str">
        <f t="shared" si="2"/>
        <v>BIRENBAUM THOMAS</v>
      </c>
    </row>
    <row r="166" spans="1:7" x14ac:dyDescent="0.25">
      <c r="A166" s="8">
        <v>42857.705578703702</v>
      </c>
      <c r="B166" s="20" t="s">
        <v>419</v>
      </c>
      <c r="C166" s="20" t="s">
        <v>762</v>
      </c>
      <c r="D166" s="141">
        <v>930000</v>
      </c>
      <c r="E166" s="20" t="s">
        <v>509</v>
      </c>
      <c r="F166" s="20" t="s">
        <v>510</v>
      </c>
      <c r="G166" s="8" t="str">
        <f t="shared" si="2"/>
        <v>CLARK KATHLEEN</v>
      </c>
    </row>
    <row r="167" spans="1:7" x14ac:dyDescent="0.25">
      <c r="A167" s="8">
        <v>42857.713414351849</v>
      </c>
      <c r="B167" s="20" t="s">
        <v>352</v>
      </c>
      <c r="C167" s="20" t="s">
        <v>604</v>
      </c>
      <c r="D167" s="141">
        <v>2150000</v>
      </c>
      <c r="E167" s="20" t="s">
        <v>349</v>
      </c>
      <c r="F167" s="20" t="s">
        <v>350</v>
      </c>
      <c r="G167" s="8" t="str">
        <f t="shared" si="2"/>
        <v>SWANSON BRYCE</v>
      </c>
    </row>
    <row r="168" spans="1:7" x14ac:dyDescent="0.25">
      <c r="A168" s="8">
        <v>42857.713750000003</v>
      </c>
      <c r="B168" s="20" t="s">
        <v>411</v>
      </c>
      <c r="C168" s="20" t="s">
        <v>763</v>
      </c>
      <c r="D168" s="141">
        <v>920000</v>
      </c>
      <c r="E168" s="20" t="s">
        <v>468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42857.714837962965</v>
      </c>
      <c r="B169" s="20" t="s">
        <v>384</v>
      </c>
      <c r="C169" s="20" t="s">
        <v>764</v>
      </c>
      <c r="D169" s="141">
        <v>1780000</v>
      </c>
      <c r="E169" s="20" t="s">
        <v>701</v>
      </c>
      <c r="F169" s="20" t="s">
        <v>702</v>
      </c>
      <c r="G169" s="8" t="str">
        <f t="shared" si="2"/>
        <v>DE LA ROSA ALEX</v>
      </c>
    </row>
    <row r="170" spans="1:7" x14ac:dyDescent="0.25">
      <c r="A170" s="8">
        <v>42857.715416666666</v>
      </c>
      <c r="B170" s="20" t="s">
        <v>375</v>
      </c>
      <c r="C170" s="20" t="s">
        <v>765</v>
      </c>
      <c r="D170" s="141">
        <v>1300000</v>
      </c>
      <c r="E170" s="20" t="s">
        <v>471</v>
      </c>
      <c r="F170" s="20" t="s">
        <v>472</v>
      </c>
      <c r="G170" s="8" t="str">
        <f t="shared" si="2"/>
        <v>LEVIN SCOTT</v>
      </c>
    </row>
    <row r="171" spans="1:7" x14ac:dyDescent="0.25">
      <c r="A171" s="8">
        <v>42857.716469907406</v>
      </c>
      <c r="B171" s="20" t="s">
        <v>617</v>
      </c>
      <c r="C171" s="20" t="s">
        <v>766</v>
      </c>
      <c r="D171" s="141">
        <v>1800000</v>
      </c>
      <c r="E171" s="20" t="s">
        <v>369</v>
      </c>
      <c r="F171" s="20" t="s">
        <v>370</v>
      </c>
      <c r="G171" s="8" t="str">
        <f t="shared" si="2"/>
        <v>CHANDLER KELVIN</v>
      </c>
    </row>
    <row r="172" spans="1:7" x14ac:dyDescent="0.25">
      <c r="A172" s="8">
        <v>42857.725219907406</v>
      </c>
      <c r="B172" s="20" t="s">
        <v>391</v>
      </c>
      <c r="C172" s="20" t="s">
        <v>767</v>
      </c>
      <c r="D172" s="141">
        <v>2530000</v>
      </c>
      <c r="E172" s="20" t="s">
        <v>473</v>
      </c>
      <c r="F172" s="20" t="s">
        <v>474</v>
      </c>
      <c r="G172" s="8" t="str">
        <f t="shared" si="2"/>
        <v>LALONDE GREGORY</v>
      </c>
    </row>
    <row r="173" spans="1:7" x14ac:dyDescent="0.25">
      <c r="A173" s="8">
        <v>42857.727175925924</v>
      </c>
      <c r="B173" s="20" t="s">
        <v>356</v>
      </c>
      <c r="C173" s="20" t="s">
        <v>768</v>
      </c>
      <c r="D173" s="141">
        <v>3130000</v>
      </c>
      <c r="E173" s="20" t="s">
        <v>512</v>
      </c>
      <c r="F173" s="20" t="s">
        <v>513</v>
      </c>
      <c r="G173" s="8" t="str">
        <f t="shared" si="2"/>
        <v>ZEWDU DEREJE</v>
      </c>
    </row>
    <row r="174" spans="1:7" x14ac:dyDescent="0.25">
      <c r="A174" s="8">
        <v>42857.727638888886</v>
      </c>
      <c r="B174" s="20" t="s">
        <v>351</v>
      </c>
      <c r="C174" s="20" t="s">
        <v>607</v>
      </c>
      <c r="D174" s="141">
        <v>2150000</v>
      </c>
      <c r="E174" s="20" t="s">
        <v>349</v>
      </c>
      <c r="F174" s="20" t="s">
        <v>350</v>
      </c>
      <c r="G174" s="8" t="str">
        <f t="shared" si="2"/>
        <v>SWANSON BRYCE</v>
      </c>
    </row>
    <row r="175" spans="1:7" x14ac:dyDescent="0.25">
      <c r="A175" s="8">
        <v>42857.728564814817</v>
      </c>
      <c r="B175" s="20" t="s">
        <v>356</v>
      </c>
      <c r="C175" s="20" t="s">
        <v>768</v>
      </c>
      <c r="D175" s="141">
        <v>3130000</v>
      </c>
      <c r="E175" s="20" t="s">
        <v>512</v>
      </c>
      <c r="F175" s="20" t="s">
        <v>513</v>
      </c>
      <c r="G175" s="8" t="str">
        <f t="shared" si="2"/>
        <v>ZEWDU DEREJE</v>
      </c>
    </row>
    <row r="176" spans="1:7" x14ac:dyDescent="0.25">
      <c r="A176" s="8">
        <v>42857.730729166666</v>
      </c>
      <c r="B176" s="20" t="s">
        <v>355</v>
      </c>
      <c r="C176" s="20" t="s">
        <v>769</v>
      </c>
      <c r="D176" s="141">
        <v>1340000</v>
      </c>
      <c r="E176" s="20" t="s">
        <v>692</v>
      </c>
      <c r="F176" s="20" t="s">
        <v>693</v>
      </c>
      <c r="G176" s="8" t="str">
        <f t="shared" si="2"/>
        <v>BEAM ROSS</v>
      </c>
    </row>
    <row r="177" spans="1:7" x14ac:dyDescent="0.25">
      <c r="A177" s="8">
        <v>42857.734548611108</v>
      </c>
      <c r="B177" s="20" t="s">
        <v>376</v>
      </c>
      <c r="C177" s="20" t="s">
        <v>605</v>
      </c>
      <c r="D177" s="141">
        <v>1300000</v>
      </c>
      <c r="E177" s="20" t="s">
        <v>471</v>
      </c>
      <c r="F177" s="20" t="s">
        <v>472</v>
      </c>
      <c r="G177" s="8" t="str">
        <f t="shared" si="2"/>
        <v>LEVIN SCOTT</v>
      </c>
    </row>
    <row r="178" spans="1:7" x14ac:dyDescent="0.25">
      <c r="A178" s="8">
        <v>42857.735034722224</v>
      </c>
      <c r="B178" s="20" t="s">
        <v>462</v>
      </c>
      <c r="C178" s="20" t="s">
        <v>770</v>
      </c>
      <c r="D178" s="141">
        <v>1810000</v>
      </c>
      <c r="E178" s="20" t="s">
        <v>371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42857.741469907407</v>
      </c>
      <c r="B179" s="20" t="s">
        <v>594</v>
      </c>
      <c r="C179" s="20" t="s">
        <v>608</v>
      </c>
      <c r="D179" s="141">
        <v>1740000</v>
      </c>
      <c r="E179" s="20" t="s">
        <v>372</v>
      </c>
      <c r="F179" s="20" t="s">
        <v>373</v>
      </c>
      <c r="G179" s="8" t="str">
        <f t="shared" si="2"/>
        <v>STORY SAMANTHA</v>
      </c>
    </row>
    <row r="180" spans="1:7" x14ac:dyDescent="0.25">
      <c r="A180" s="8">
        <v>42857.742476851854</v>
      </c>
      <c r="B180" s="20" t="s">
        <v>430</v>
      </c>
      <c r="C180" s="20" t="s">
        <v>771</v>
      </c>
      <c r="D180" s="141">
        <v>930000</v>
      </c>
      <c r="E180" s="20" t="s">
        <v>509</v>
      </c>
      <c r="F180" s="20" t="s">
        <v>510</v>
      </c>
      <c r="G180" s="8" t="str">
        <f t="shared" si="2"/>
        <v>CLARK KATHLEEN</v>
      </c>
    </row>
    <row r="181" spans="1:7" x14ac:dyDescent="0.25">
      <c r="A181" s="8">
        <v>42857.742951388886</v>
      </c>
      <c r="B181" s="20" t="s">
        <v>594</v>
      </c>
      <c r="C181" s="20" t="s">
        <v>606</v>
      </c>
      <c r="D181" s="141">
        <v>1740000</v>
      </c>
      <c r="E181" s="20" t="s">
        <v>372</v>
      </c>
      <c r="F181" s="20" t="s">
        <v>373</v>
      </c>
      <c r="G181" s="8" t="str">
        <f t="shared" si="2"/>
        <v>STORY SAMANTHA</v>
      </c>
    </row>
    <row r="182" spans="1:7" x14ac:dyDescent="0.25">
      <c r="A182" s="8">
        <v>42857.748032407406</v>
      </c>
      <c r="B182" s="20" t="s">
        <v>410</v>
      </c>
      <c r="C182" s="20" t="s">
        <v>772</v>
      </c>
      <c r="D182" s="141">
        <v>3030000</v>
      </c>
      <c r="E182" s="20" t="s">
        <v>511</v>
      </c>
      <c r="F182" s="20" t="s">
        <v>421</v>
      </c>
      <c r="G182" s="8" t="str">
        <f t="shared" si="2"/>
        <v>BIRENBAUM THOMAS</v>
      </c>
    </row>
    <row r="183" spans="1:7" x14ac:dyDescent="0.25">
      <c r="A183" s="8">
        <v>42857.750717592593</v>
      </c>
      <c r="B183" s="20" t="s">
        <v>360</v>
      </c>
      <c r="C183" s="20" t="s">
        <v>773</v>
      </c>
      <c r="D183" s="141">
        <v>2680000</v>
      </c>
      <c r="E183" s="20" t="s">
        <v>388</v>
      </c>
      <c r="F183" s="20" t="s">
        <v>389</v>
      </c>
      <c r="G183" s="8" t="str">
        <f t="shared" si="2"/>
        <v>DUNCAN SHEILA</v>
      </c>
    </row>
    <row r="184" spans="1:7" x14ac:dyDescent="0.25">
      <c r="A184" s="8">
        <v>42857.755613425928</v>
      </c>
      <c r="B184" s="20" t="s">
        <v>644</v>
      </c>
      <c r="C184" s="20" t="s">
        <v>774</v>
      </c>
      <c r="D184" s="141">
        <v>1800000</v>
      </c>
      <c r="E184" s="20" t="s">
        <v>369</v>
      </c>
      <c r="F184" s="20" t="s">
        <v>370</v>
      </c>
      <c r="G184" s="8" t="str">
        <f t="shared" si="2"/>
        <v>CHANDLER KELVIN</v>
      </c>
    </row>
    <row r="185" spans="1:7" x14ac:dyDescent="0.25">
      <c r="A185" s="8">
        <v>42857.755995370368</v>
      </c>
      <c r="B185" s="20" t="s">
        <v>352</v>
      </c>
      <c r="C185" s="20" t="s">
        <v>775</v>
      </c>
      <c r="D185" s="141">
        <v>2150000</v>
      </c>
      <c r="E185" s="20" t="s">
        <v>349</v>
      </c>
      <c r="F185" s="20" t="s">
        <v>350</v>
      </c>
      <c r="G185" s="8" t="str">
        <f t="shared" si="2"/>
        <v>SWANSON BRYCE</v>
      </c>
    </row>
    <row r="186" spans="1:7" x14ac:dyDescent="0.25">
      <c r="A186" s="8">
        <v>42857.756168981483</v>
      </c>
      <c r="B186" s="20" t="s">
        <v>381</v>
      </c>
      <c r="C186" s="20" t="s">
        <v>608</v>
      </c>
      <c r="D186" s="141">
        <v>1740000</v>
      </c>
      <c r="E186" s="20" t="s">
        <v>372</v>
      </c>
      <c r="F186" s="20" t="s">
        <v>373</v>
      </c>
      <c r="G186" s="8" t="str">
        <f t="shared" si="2"/>
        <v>STORY SAMANTHA</v>
      </c>
    </row>
    <row r="187" spans="1:7" x14ac:dyDescent="0.25">
      <c r="A187" s="8">
        <v>42857.758032407408</v>
      </c>
      <c r="B187" s="20" t="s">
        <v>703</v>
      </c>
      <c r="C187" s="20" t="s">
        <v>776</v>
      </c>
      <c r="D187" s="141">
        <v>1780000</v>
      </c>
      <c r="E187" s="20" t="s">
        <v>701</v>
      </c>
      <c r="F187" s="20" t="s">
        <v>702</v>
      </c>
      <c r="G187" s="8" t="str">
        <f t="shared" si="2"/>
        <v>DE LA ROSA ALEX</v>
      </c>
    </row>
    <row r="188" spans="1:7" x14ac:dyDescent="0.25">
      <c r="A188" s="8">
        <v>42857.761076388888</v>
      </c>
      <c r="B188" s="20" t="s">
        <v>375</v>
      </c>
      <c r="C188" s="20" t="s">
        <v>777</v>
      </c>
      <c r="D188" s="141">
        <v>1300000</v>
      </c>
      <c r="E188" s="20" t="s">
        <v>471</v>
      </c>
      <c r="F188" s="20" t="s">
        <v>472</v>
      </c>
      <c r="G188" s="8" t="str">
        <f t="shared" si="2"/>
        <v>LEVIN SCOTT</v>
      </c>
    </row>
    <row r="189" spans="1:7" x14ac:dyDescent="0.25">
      <c r="A189" s="8">
        <v>42857.762465277781</v>
      </c>
      <c r="B189" s="20" t="s">
        <v>392</v>
      </c>
      <c r="C189" s="20" t="s">
        <v>778</v>
      </c>
      <c r="D189" s="141">
        <v>2530000</v>
      </c>
      <c r="E189" s="20" t="s">
        <v>473</v>
      </c>
      <c r="F189" s="20" t="s">
        <v>474</v>
      </c>
      <c r="G189" s="8" t="str">
        <f t="shared" si="2"/>
        <v>LALONDE GREGORY</v>
      </c>
    </row>
    <row r="190" spans="1:7" x14ac:dyDescent="0.25">
      <c r="A190" s="8">
        <v>42857.768993055557</v>
      </c>
      <c r="B190" s="20" t="s">
        <v>357</v>
      </c>
      <c r="C190" s="20" t="s">
        <v>779</v>
      </c>
      <c r="D190" s="141">
        <v>2000000</v>
      </c>
      <c r="E190" s="20" t="s">
        <v>353</v>
      </c>
      <c r="F190" s="20" t="s">
        <v>193</v>
      </c>
      <c r="G190" s="8" t="str">
        <f t="shared" si="2"/>
        <v>STAMBAUGH JAMES</v>
      </c>
    </row>
    <row r="191" spans="1:7" x14ac:dyDescent="0.25">
      <c r="A191" s="8">
        <v>42857.769467592596</v>
      </c>
      <c r="B191" s="20" t="s">
        <v>351</v>
      </c>
      <c r="C191" s="20" t="s">
        <v>780</v>
      </c>
      <c r="D191" s="141">
        <v>2150000</v>
      </c>
      <c r="E191" s="20" t="s">
        <v>349</v>
      </c>
      <c r="F191" s="20" t="s">
        <v>350</v>
      </c>
      <c r="G191" s="8" t="str">
        <f t="shared" si="2"/>
        <v>SWANSON BRYCE</v>
      </c>
    </row>
    <row r="192" spans="1:7" x14ac:dyDescent="0.25">
      <c r="A192" s="8">
        <v>42857.771423611113</v>
      </c>
      <c r="B192" s="20" t="s">
        <v>470</v>
      </c>
      <c r="C192" s="20" t="s">
        <v>781</v>
      </c>
      <c r="D192" s="141">
        <v>1810000</v>
      </c>
      <c r="E192" s="20" t="s">
        <v>371</v>
      </c>
      <c r="F192" s="20" t="s">
        <v>193</v>
      </c>
      <c r="G192" s="8" t="str">
        <f t="shared" si="2"/>
        <v>NEWELL JAMES</v>
      </c>
    </row>
    <row r="193" spans="1:7" x14ac:dyDescent="0.25">
      <c r="A193" s="8">
        <v>42857.776712962965</v>
      </c>
      <c r="B193" s="20" t="s">
        <v>376</v>
      </c>
      <c r="C193" s="20" t="s">
        <v>609</v>
      </c>
      <c r="D193" s="141">
        <v>1300000</v>
      </c>
      <c r="E193" s="20" t="s">
        <v>471</v>
      </c>
      <c r="F193" s="20" t="s">
        <v>472</v>
      </c>
      <c r="G193" s="8" t="str">
        <f t="shared" si="2"/>
        <v>LEVIN SCOTT</v>
      </c>
    </row>
    <row r="194" spans="1:7" x14ac:dyDescent="0.25">
      <c r="A194" s="8">
        <v>42857.778761574074</v>
      </c>
      <c r="B194" s="20" t="s">
        <v>419</v>
      </c>
      <c r="C194" s="20" t="s">
        <v>782</v>
      </c>
      <c r="D194" s="141">
        <v>930000</v>
      </c>
      <c r="E194" s="20" t="s">
        <v>509</v>
      </c>
      <c r="F194" s="20" t="s">
        <v>510</v>
      </c>
      <c r="G194" s="8" t="str">
        <f t="shared" si="2"/>
        <v>CLARK KATHLEEN</v>
      </c>
    </row>
    <row r="195" spans="1:7" x14ac:dyDescent="0.25">
      <c r="A195" s="8">
        <v>42857.784537037034</v>
      </c>
      <c r="B195" s="20" t="s">
        <v>411</v>
      </c>
      <c r="C195" s="20" t="s">
        <v>783</v>
      </c>
      <c r="D195" s="141">
        <v>3030000</v>
      </c>
      <c r="E195" s="20" t="s">
        <v>511</v>
      </c>
      <c r="F195" s="20" t="s">
        <v>421</v>
      </c>
      <c r="G195" s="8" t="str">
        <f t="shared" ref="G195:G258" si="3">E195&amp;" "&amp;F195</f>
        <v>BIRENBAUM THOMAS</v>
      </c>
    </row>
    <row r="196" spans="1:7" x14ac:dyDescent="0.25">
      <c r="A196" s="8">
        <v>42857.78670138889</v>
      </c>
      <c r="B196" s="20" t="s">
        <v>199</v>
      </c>
      <c r="C196" s="20" t="s">
        <v>784</v>
      </c>
      <c r="D196" s="141">
        <v>2680000</v>
      </c>
      <c r="E196" s="20" t="s">
        <v>388</v>
      </c>
      <c r="F196" s="20" t="s">
        <v>389</v>
      </c>
      <c r="G196" s="8" t="str">
        <f t="shared" si="3"/>
        <v>DUNCAN SHEILA</v>
      </c>
    </row>
    <row r="197" spans="1:7" x14ac:dyDescent="0.25">
      <c r="A197" s="8">
        <v>42857.794490740744</v>
      </c>
      <c r="B197" s="20" t="s">
        <v>384</v>
      </c>
      <c r="C197" s="20" t="s">
        <v>785</v>
      </c>
      <c r="D197" s="141">
        <v>1740000</v>
      </c>
      <c r="E197" s="20" t="s">
        <v>372</v>
      </c>
      <c r="F197" s="20" t="s">
        <v>373</v>
      </c>
      <c r="G197" s="8" t="str">
        <f t="shared" si="3"/>
        <v>STORY SAMANTHA</v>
      </c>
    </row>
    <row r="198" spans="1:7" x14ac:dyDescent="0.25">
      <c r="A198" s="8">
        <v>42857.797025462962</v>
      </c>
      <c r="B198" s="20" t="s">
        <v>352</v>
      </c>
      <c r="C198" s="20" t="s">
        <v>786</v>
      </c>
      <c r="D198" s="141">
        <v>2150000</v>
      </c>
      <c r="E198" s="20" t="s">
        <v>349</v>
      </c>
      <c r="F198" s="20" t="s">
        <v>350</v>
      </c>
      <c r="G198" s="8" t="str">
        <f t="shared" si="3"/>
        <v>SWANSON BRYCE</v>
      </c>
    </row>
    <row r="199" spans="1:7" x14ac:dyDescent="0.25">
      <c r="A199" s="8">
        <v>42857.804074074076</v>
      </c>
      <c r="B199" s="20" t="s">
        <v>356</v>
      </c>
      <c r="C199" s="20" t="s">
        <v>787</v>
      </c>
      <c r="D199" s="141">
        <v>2000000</v>
      </c>
      <c r="E199" s="20" t="s">
        <v>353</v>
      </c>
      <c r="F199" s="20" t="s">
        <v>193</v>
      </c>
      <c r="G199" s="8" t="str">
        <f t="shared" si="3"/>
        <v>STAMBAUGH JAMES</v>
      </c>
    </row>
    <row r="200" spans="1:7" x14ac:dyDescent="0.25">
      <c r="A200" s="8">
        <v>42857.804467592592</v>
      </c>
      <c r="B200" s="20" t="s">
        <v>375</v>
      </c>
      <c r="C200" s="20" t="s">
        <v>611</v>
      </c>
      <c r="D200" s="141">
        <v>1300000</v>
      </c>
      <c r="E200" s="20" t="s">
        <v>471</v>
      </c>
      <c r="F200" s="20" t="s">
        <v>472</v>
      </c>
      <c r="G200" s="8" t="str">
        <f t="shared" si="3"/>
        <v>LEVIN SCOTT</v>
      </c>
    </row>
    <row r="201" spans="1:7" x14ac:dyDescent="0.25">
      <c r="A201" s="8">
        <v>42857.806157407409</v>
      </c>
      <c r="B201" s="20" t="s">
        <v>462</v>
      </c>
      <c r="C201" s="20" t="s">
        <v>610</v>
      </c>
      <c r="D201" s="141">
        <v>1810000</v>
      </c>
      <c r="E201" s="20" t="s">
        <v>371</v>
      </c>
      <c r="F201" s="20" t="s">
        <v>193</v>
      </c>
      <c r="G201" s="8" t="str">
        <f t="shared" si="3"/>
        <v>NEWELL JAMES</v>
      </c>
    </row>
    <row r="202" spans="1:7" x14ac:dyDescent="0.25">
      <c r="A202" s="26">
        <v>42857.818553240744</v>
      </c>
      <c r="B202" s="20" t="s">
        <v>376</v>
      </c>
      <c r="C202" s="20" t="s">
        <v>612</v>
      </c>
      <c r="D202" s="141">
        <v>1300000</v>
      </c>
      <c r="E202" s="20" t="s">
        <v>471</v>
      </c>
      <c r="F202" s="20" t="s">
        <v>472</v>
      </c>
      <c r="G202" s="8" t="str">
        <f t="shared" si="3"/>
        <v>LEVIN SCOTT</v>
      </c>
    </row>
    <row r="203" spans="1:7" x14ac:dyDescent="0.25">
      <c r="A203" s="8">
        <v>42857.826041666667</v>
      </c>
      <c r="B203" s="20" t="s">
        <v>391</v>
      </c>
      <c r="C203" s="20" t="s">
        <v>788</v>
      </c>
      <c r="D203" s="141">
        <v>2630000</v>
      </c>
      <c r="E203" s="20" t="s">
        <v>475</v>
      </c>
      <c r="F203" s="20" t="s">
        <v>476</v>
      </c>
      <c r="G203" s="8" t="str">
        <f t="shared" si="3"/>
        <v>SAFIEF AEIMEN</v>
      </c>
    </row>
    <row r="204" spans="1:7" x14ac:dyDescent="0.25">
      <c r="A204" s="8">
        <v>42857.827210648145</v>
      </c>
      <c r="B204" s="20" t="s">
        <v>360</v>
      </c>
      <c r="C204" s="20" t="s">
        <v>789</v>
      </c>
      <c r="D204" s="141">
        <v>2680000</v>
      </c>
      <c r="E204" s="20" t="s">
        <v>388</v>
      </c>
      <c r="F204" s="20" t="s">
        <v>389</v>
      </c>
      <c r="G204" s="8" t="str">
        <f t="shared" si="3"/>
        <v>DUNCAN SHEILA</v>
      </c>
    </row>
    <row r="205" spans="1:7" x14ac:dyDescent="0.25">
      <c r="A205" s="8">
        <v>42857.828761574077</v>
      </c>
      <c r="B205" s="20" t="s">
        <v>381</v>
      </c>
      <c r="C205" s="20" t="s">
        <v>613</v>
      </c>
      <c r="D205" s="141">
        <v>1740000</v>
      </c>
      <c r="E205" s="20" t="s">
        <v>372</v>
      </c>
      <c r="F205" s="20" t="s">
        <v>373</v>
      </c>
      <c r="G205" s="8" t="str">
        <f t="shared" si="3"/>
        <v>STORY SAMANTHA</v>
      </c>
    </row>
    <row r="206" spans="1:7" x14ac:dyDescent="0.25">
      <c r="A206" s="8">
        <v>42857.838564814818</v>
      </c>
      <c r="B206" s="20" t="s">
        <v>470</v>
      </c>
      <c r="C206" s="20" t="s">
        <v>790</v>
      </c>
      <c r="D206" s="141">
        <v>1810000</v>
      </c>
      <c r="E206" s="20" t="s">
        <v>371</v>
      </c>
      <c r="F206" s="20" t="s">
        <v>193</v>
      </c>
      <c r="G206" s="8" t="str">
        <f t="shared" si="3"/>
        <v>NEWELL JAMES</v>
      </c>
    </row>
    <row r="207" spans="1:7" x14ac:dyDescent="0.25">
      <c r="A207" s="8">
        <v>42857.839212962965</v>
      </c>
      <c r="B207" s="20" t="s">
        <v>357</v>
      </c>
      <c r="C207" s="20" t="s">
        <v>791</v>
      </c>
      <c r="D207" s="141">
        <v>2000000</v>
      </c>
      <c r="E207" s="20" t="s">
        <v>353</v>
      </c>
      <c r="F207" s="20" t="s">
        <v>193</v>
      </c>
      <c r="G207" s="8" t="str">
        <f t="shared" si="3"/>
        <v>STAMBAUGH JAMES</v>
      </c>
    </row>
    <row r="208" spans="1:7" x14ac:dyDescent="0.25">
      <c r="A208" s="8">
        <v>42857.843321759261</v>
      </c>
      <c r="B208" s="20" t="s">
        <v>375</v>
      </c>
      <c r="C208" s="20" t="s">
        <v>792</v>
      </c>
      <c r="D208" s="141">
        <v>1300000</v>
      </c>
      <c r="E208" s="20" t="s">
        <v>471</v>
      </c>
      <c r="F208" s="20" t="s">
        <v>472</v>
      </c>
      <c r="G208" s="8" t="str">
        <f t="shared" si="3"/>
        <v>LEVIN SCOTT</v>
      </c>
    </row>
    <row r="209" spans="1:7" x14ac:dyDescent="0.25">
      <c r="A209" s="8">
        <v>42857.860138888886</v>
      </c>
      <c r="B209" s="20" t="s">
        <v>376</v>
      </c>
      <c r="C209" s="20" t="s">
        <v>614</v>
      </c>
      <c r="D209" s="141">
        <v>1300000</v>
      </c>
      <c r="E209" s="20" t="s">
        <v>471</v>
      </c>
      <c r="F209" s="20" t="s">
        <v>472</v>
      </c>
      <c r="G209" s="8" t="str">
        <f t="shared" si="3"/>
        <v>LEVIN SCOTT</v>
      </c>
    </row>
    <row r="210" spans="1:7" x14ac:dyDescent="0.25">
      <c r="A210" s="8">
        <v>42857.869375000002</v>
      </c>
      <c r="B210" s="20" t="s">
        <v>384</v>
      </c>
      <c r="C210" s="20" t="s">
        <v>793</v>
      </c>
      <c r="D210" s="141">
        <v>1740000</v>
      </c>
      <c r="E210" s="20" t="s">
        <v>372</v>
      </c>
      <c r="F210" s="20" t="s">
        <v>373</v>
      </c>
      <c r="G210" s="8" t="str">
        <f t="shared" si="3"/>
        <v>STORY SAMANTHA</v>
      </c>
    </row>
    <row r="211" spans="1:7" x14ac:dyDescent="0.25">
      <c r="A211" s="8">
        <v>42857.874293981484</v>
      </c>
      <c r="B211" s="20" t="s">
        <v>410</v>
      </c>
      <c r="C211" s="20" t="s">
        <v>794</v>
      </c>
      <c r="D211" s="141">
        <v>1800000</v>
      </c>
      <c r="E211" s="20" t="s">
        <v>369</v>
      </c>
      <c r="F211" s="20" t="s">
        <v>370</v>
      </c>
      <c r="G211" s="8" t="str">
        <f t="shared" si="3"/>
        <v>CHANDLER KELVIN</v>
      </c>
    </row>
    <row r="212" spans="1:7" x14ac:dyDescent="0.25">
      <c r="A212" s="8">
        <v>42857.874351851853</v>
      </c>
      <c r="B212" s="20" t="s">
        <v>375</v>
      </c>
      <c r="C212" s="20" t="s">
        <v>795</v>
      </c>
      <c r="D212" s="141">
        <v>2150000</v>
      </c>
      <c r="E212" s="20" t="s">
        <v>349</v>
      </c>
      <c r="F212" s="20" t="s">
        <v>350</v>
      </c>
      <c r="G212" s="8" t="str">
        <f t="shared" si="3"/>
        <v>SWANSON BRYCE</v>
      </c>
    </row>
    <row r="213" spans="1:7" x14ac:dyDescent="0.25">
      <c r="A213" s="8">
        <v>42857.883726851855</v>
      </c>
      <c r="B213" s="20" t="s">
        <v>462</v>
      </c>
      <c r="C213" s="20" t="s">
        <v>796</v>
      </c>
      <c r="D213" s="141">
        <v>1810000</v>
      </c>
      <c r="E213" s="20" t="s">
        <v>371</v>
      </c>
      <c r="F213" s="20" t="s">
        <v>193</v>
      </c>
      <c r="G213" s="8" t="str">
        <f t="shared" si="3"/>
        <v>NEWELL JAMES</v>
      </c>
    </row>
    <row r="214" spans="1:7" x14ac:dyDescent="0.25">
      <c r="A214" s="8">
        <v>42857.886921296296</v>
      </c>
      <c r="B214" s="20" t="s">
        <v>356</v>
      </c>
      <c r="C214" s="20" t="s">
        <v>797</v>
      </c>
      <c r="D214" s="141">
        <v>2000000</v>
      </c>
      <c r="E214" s="20" t="s">
        <v>353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42857.901423611111</v>
      </c>
      <c r="B215" s="20" t="s">
        <v>376</v>
      </c>
      <c r="C215" s="20" t="s">
        <v>798</v>
      </c>
      <c r="D215" s="141">
        <v>2150000</v>
      </c>
      <c r="E215" s="20" t="s">
        <v>349</v>
      </c>
      <c r="F215" s="20" t="s">
        <v>350</v>
      </c>
      <c r="G215" s="8" t="str">
        <f t="shared" si="3"/>
        <v>SWANSON BRYCE</v>
      </c>
    </row>
    <row r="216" spans="1:7" x14ac:dyDescent="0.25">
      <c r="A216" s="8">
        <v>42857.910509259258</v>
      </c>
      <c r="B216" s="20" t="s">
        <v>381</v>
      </c>
      <c r="C216" s="20" t="s">
        <v>799</v>
      </c>
      <c r="D216" s="141">
        <v>1740000</v>
      </c>
      <c r="E216" s="20" t="s">
        <v>372</v>
      </c>
      <c r="F216" s="20" t="s">
        <v>373</v>
      </c>
      <c r="G216" s="8" t="str">
        <f t="shared" si="3"/>
        <v>STORY SAMANTHA</v>
      </c>
    </row>
    <row r="217" spans="1:7" x14ac:dyDescent="0.25">
      <c r="A217" s="8">
        <v>42857.913622685184</v>
      </c>
      <c r="B217" s="20" t="s">
        <v>411</v>
      </c>
      <c r="C217" s="20" t="s">
        <v>800</v>
      </c>
      <c r="D217" s="141">
        <v>1800000</v>
      </c>
      <c r="E217" s="20" t="s">
        <v>369</v>
      </c>
      <c r="F217" s="20" t="s">
        <v>370</v>
      </c>
      <c r="G217" s="8" t="str">
        <f t="shared" si="3"/>
        <v>CHANDLER KELVIN</v>
      </c>
    </row>
    <row r="218" spans="1:7" x14ac:dyDescent="0.25">
      <c r="A218" s="8">
        <v>42857.914988425924</v>
      </c>
      <c r="B218" s="20" t="s">
        <v>375</v>
      </c>
      <c r="C218" s="20" t="s">
        <v>801</v>
      </c>
      <c r="D218" s="141">
        <v>2150000</v>
      </c>
      <c r="E218" s="20" t="s">
        <v>349</v>
      </c>
      <c r="F218" s="20" t="s">
        <v>350</v>
      </c>
      <c r="G218" s="8" t="str">
        <f t="shared" si="3"/>
        <v>SWANSON BRYCE</v>
      </c>
    </row>
    <row r="219" spans="1:7" x14ac:dyDescent="0.25">
      <c r="A219" s="8">
        <v>42857.921342592592</v>
      </c>
      <c r="B219" s="20" t="s">
        <v>357</v>
      </c>
      <c r="C219" s="20" t="s">
        <v>802</v>
      </c>
      <c r="D219" s="141">
        <v>2000000</v>
      </c>
      <c r="E219" s="20" t="s">
        <v>353</v>
      </c>
      <c r="F219" s="20" t="s">
        <v>193</v>
      </c>
      <c r="G219" s="8" t="str">
        <f t="shared" si="3"/>
        <v>STAMBAUGH JAMES</v>
      </c>
    </row>
    <row r="220" spans="1:7" x14ac:dyDescent="0.25">
      <c r="A220" s="8">
        <v>42857.930844907409</v>
      </c>
      <c r="B220" s="20" t="s">
        <v>470</v>
      </c>
      <c r="C220" s="20" t="s">
        <v>803</v>
      </c>
      <c r="D220" s="141">
        <v>1810000</v>
      </c>
      <c r="E220" s="20" t="s">
        <v>371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42857.942361111112</v>
      </c>
      <c r="B221" s="20" t="s">
        <v>376</v>
      </c>
      <c r="C221" s="20" t="s">
        <v>804</v>
      </c>
      <c r="D221" s="141">
        <v>2150000</v>
      </c>
      <c r="E221" s="20" t="s">
        <v>349</v>
      </c>
      <c r="F221" s="20" t="s">
        <v>350</v>
      </c>
      <c r="G221" s="8" t="str">
        <f t="shared" si="3"/>
        <v>SWANSON BRYCE</v>
      </c>
    </row>
    <row r="222" spans="1:7" x14ac:dyDescent="0.25">
      <c r="A222" s="8">
        <v>42857.949247685188</v>
      </c>
      <c r="B222" s="20" t="s">
        <v>375</v>
      </c>
      <c r="C222" s="20" t="s">
        <v>804</v>
      </c>
      <c r="D222" s="141">
        <v>2150000</v>
      </c>
      <c r="E222" s="20" t="s">
        <v>349</v>
      </c>
      <c r="F222" s="20" t="s">
        <v>350</v>
      </c>
      <c r="G222" s="8" t="str">
        <f t="shared" si="3"/>
        <v>SWANSON BRYCE</v>
      </c>
    </row>
    <row r="223" spans="1:7" x14ac:dyDescent="0.25">
      <c r="A223" s="8">
        <v>42857.950057870374</v>
      </c>
      <c r="B223" s="20" t="s">
        <v>384</v>
      </c>
      <c r="C223" s="20" t="s">
        <v>615</v>
      </c>
      <c r="D223" s="141">
        <v>1740000</v>
      </c>
      <c r="E223" s="20" t="s">
        <v>372</v>
      </c>
      <c r="F223" s="20" t="s">
        <v>373</v>
      </c>
      <c r="G223" s="8" t="str">
        <f t="shared" si="3"/>
        <v>STORY SAMANTHA</v>
      </c>
    </row>
    <row r="224" spans="1:7" x14ac:dyDescent="0.25">
      <c r="A224" s="8">
        <v>42857.950844907406</v>
      </c>
      <c r="B224" t="s">
        <v>375</v>
      </c>
      <c r="C224" t="s">
        <v>804</v>
      </c>
      <c r="D224" s="141">
        <v>2150000</v>
      </c>
      <c r="E224" t="s">
        <v>349</v>
      </c>
      <c r="F224" s="20" t="s">
        <v>350</v>
      </c>
      <c r="G224" s="8" t="str">
        <f t="shared" si="3"/>
        <v>SWANSON BRYCE</v>
      </c>
    </row>
    <row r="225" spans="1:7" x14ac:dyDescent="0.25">
      <c r="A225" s="8">
        <v>42857.956226851849</v>
      </c>
      <c r="B225" t="s">
        <v>410</v>
      </c>
      <c r="C225" t="s">
        <v>805</v>
      </c>
      <c r="D225" s="141">
        <v>1800000</v>
      </c>
      <c r="E225" t="s">
        <v>369</v>
      </c>
      <c r="F225" s="20" t="s">
        <v>370</v>
      </c>
      <c r="G225" s="8" t="str">
        <f t="shared" si="3"/>
        <v>CHANDLER KELVIN</v>
      </c>
    </row>
    <row r="226" spans="1:7" x14ac:dyDescent="0.25">
      <c r="A226" s="8">
        <v>42857.962048611109</v>
      </c>
      <c r="B226" t="s">
        <v>462</v>
      </c>
      <c r="C226" t="s">
        <v>806</v>
      </c>
      <c r="D226" s="141">
        <v>1810000</v>
      </c>
      <c r="E226" t="s">
        <v>371</v>
      </c>
      <c r="F226" s="20" t="s">
        <v>193</v>
      </c>
      <c r="G226" s="8" t="str">
        <f t="shared" si="3"/>
        <v>NEWELL JAMES</v>
      </c>
    </row>
    <row r="227" spans="1:7" x14ac:dyDescent="0.25">
      <c r="A227" s="8">
        <v>42857.974537037036</v>
      </c>
      <c r="B227" t="s">
        <v>356</v>
      </c>
      <c r="C227" t="s">
        <v>807</v>
      </c>
      <c r="D227" s="141">
        <v>2000000</v>
      </c>
      <c r="E227" t="s">
        <v>353</v>
      </c>
      <c r="F227" s="20" t="s">
        <v>193</v>
      </c>
      <c r="G227" s="8" t="str">
        <f t="shared" si="3"/>
        <v>STAMBAUGH JAMES</v>
      </c>
    </row>
    <row r="228" spans="1:7" x14ac:dyDescent="0.25">
      <c r="A228" s="8">
        <v>42857.993981481479</v>
      </c>
      <c r="B228" t="s">
        <v>381</v>
      </c>
      <c r="C228" t="s">
        <v>808</v>
      </c>
      <c r="D228" s="141">
        <v>1740000</v>
      </c>
      <c r="E228" t="s">
        <v>372</v>
      </c>
      <c r="F228" s="20" t="s">
        <v>373</v>
      </c>
      <c r="G228" s="8" t="str">
        <f t="shared" si="3"/>
        <v>STORY SAMANTHA</v>
      </c>
    </row>
    <row r="229" spans="1:7" x14ac:dyDescent="0.25">
      <c r="A229" s="8">
        <v>42857.996192129627</v>
      </c>
      <c r="B229" t="s">
        <v>411</v>
      </c>
      <c r="C229" t="s">
        <v>809</v>
      </c>
      <c r="D229" s="141">
        <v>1800000</v>
      </c>
      <c r="E229" t="s">
        <v>369</v>
      </c>
      <c r="F229" s="20" t="s">
        <v>370</v>
      </c>
      <c r="G229" s="8" t="str">
        <f t="shared" si="3"/>
        <v>CHANDLER KELVIN</v>
      </c>
    </row>
    <row r="230" spans="1:7" x14ac:dyDescent="0.25">
      <c r="A230" s="8">
        <v>42858.004259259258</v>
      </c>
      <c r="B230" t="s">
        <v>357</v>
      </c>
      <c r="C230" t="s">
        <v>810</v>
      </c>
      <c r="D230" s="141">
        <v>2000000</v>
      </c>
      <c r="E230" t="s">
        <v>353</v>
      </c>
      <c r="F230" s="20" t="s">
        <v>193</v>
      </c>
      <c r="G230" s="8" t="str">
        <f t="shared" si="3"/>
        <v>STAMBAUGH JAMES</v>
      </c>
    </row>
    <row r="231" spans="1:7" x14ac:dyDescent="0.25">
      <c r="A231" s="8">
        <v>42858.015717592592</v>
      </c>
      <c r="B231" t="s">
        <v>470</v>
      </c>
      <c r="C231" t="s">
        <v>811</v>
      </c>
      <c r="D231" s="141">
        <v>1810000</v>
      </c>
      <c r="E231" t="s">
        <v>371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42858.028645833336</v>
      </c>
      <c r="B232" t="s">
        <v>410</v>
      </c>
      <c r="C232" t="s">
        <v>812</v>
      </c>
      <c r="D232" s="141">
        <v>1800000</v>
      </c>
      <c r="E232" t="s">
        <v>369</v>
      </c>
      <c r="F232" s="20" t="s">
        <v>370</v>
      </c>
      <c r="G232" s="8" t="str">
        <f t="shared" si="3"/>
        <v>CHANDLER KELVIN</v>
      </c>
    </row>
    <row r="233" spans="1:7" x14ac:dyDescent="0.25">
      <c r="A233" s="8">
        <v>42858.036493055559</v>
      </c>
      <c r="B233" t="s">
        <v>384</v>
      </c>
      <c r="C233" t="s">
        <v>616</v>
      </c>
      <c r="D233" s="141">
        <v>1740000</v>
      </c>
      <c r="E233" t="s">
        <v>372</v>
      </c>
      <c r="F233" s="20" t="s">
        <v>373</v>
      </c>
      <c r="G233" s="8" t="str">
        <f t="shared" si="3"/>
        <v>STORY SAMANTHA</v>
      </c>
    </row>
    <row r="234" spans="1:7" x14ac:dyDescent="0.25">
      <c r="A234" s="8">
        <v>42858.047592592593</v>
      </c>
      <c r="B234" t="s">
        <v>462</v>
      </c>
      <c r="C234" t="s">
        <v>813</v>
      </c>
      <c r="D234" s="141">
        <v>1810000</v>
      </c>
      <c r="E234" t="s">
        <v>371</v>
      </c>
      <c r="F234" s="20" t="s">
        <v>193</v>
      </c>
      <c r="G234" s="8" t="str">
        <f t="shared" si="3"/>
        <v>NEWELL JAMES</v>
      </c>
    </row>
    <row r="235" spans="1:7" x14ac:dyDescent="0.25">
      <c r="A235" s="8">
        <v>42858.058576388888</v>
      </c>
      <c r="B235" t="s">
        <v>356</v>
      </c>
      <c r="C235" t="s">
        <v>814</v>
      </c>
      <c r="D235" s="141">
        <v>2000000</v>
      </c>
      <c r="E235" t="s">
        <v>353</v>
      </c>
      <c r="F235" s="20" t="s">
        <v>193</v>
      </c>
      <c r="G235" s="8" t="str">
        <f t="shared" si="3"/>
        <v>STAMBAUGH JAMES</v>
      </c>
    </row>
    <row r="236" spans="1:7" x14ac:dyDescent="0.25">
      <c r="A236" s="8">
        <v>42858.068043981482</v>
      </c>
      <c r="B236" t="s">
        <v>381</v>
      </c>
      <c r="C236" t="s">
        <v>815</v>
      </c>
      <c r="D236" s="141">
        <v>1740000</v>
      </c>
      <c r="E236" t="s">
        <v>372</v>
      </c>
      <c r="F236" s="20" t="s">
        <v>373</v>
      </c>
      <c r="G236" s="8" t="str">
        <f t="shared" si="3"/>
        <v>STORY SAMANTHA</v>
      </c>
    </row>
    <row r="237" spans="1:7" x14ac:dyDescent="0.25">
      <c r="A237" s="8">
        <v>42858.092361111114</v>
      </c>
      <c r="B237" t="s">
        <v>357</v>
      </c>
      <c r="C237" t="s">
        <v>816</v>
      </c>
      <c r="D237" s="141">
        <v>2000000</v>
      </c>
      <c r="E237" t="s">
        <v>353</v>
      </c>
      <c r="F237" s="20" t="s">
        <v>193</v>
      </c>
      <c r="G237" s="8" t="str">
        <f t="shared" si="3"/>
        <v>STAMBAUGH JAMES</v>
      </c>
    </row>
    <row r="238" spans="1:7" x14ac:dyDescent="0.25">
      <c r="A238" s="8">
        <v>42856.859826388885</v>
      </c>
      <c r="B238" t="s">
        <v>430</v>
      </c>
      <c r="C238" t="s">
        <v>517</v>
      </c>
      <c r="D238" s="141">
        <v>1300000</v>
      </c>
      <c r="E238" t="s">
        <v>471</v>
      </c>
      <c r="F238" s="20" t="s">
        <v>472</v>
      </c>
      <c r="G238" s="8" t="str">
        <f t="shared" si="3"/>
        <v>LEVIN SCOTT</v>
      </c>
    </row>
    <row r="239" spans="1:7" x14ac:dyDescent="0.25">
      <c r="A239" s="8">
        <v>42856.865752314814</v>
      </c>
      <c r="B239" t="s">
        <v>360</v>
      </c>
      <c r="C239" t="s">
        <v>497</v>
      </c>
      <c r="D239" s="141">
        <v>2000000</v>
      </c>
      <c r="E239" t="s">
        <v>353</v>
      </c>
      <c r="F239" s="20" t="s">
        <v>193</v>
      </c>
      <c r="G239" s="8" t="str">
        <f t="shared" si="3"/>
        <v>STAMBAUGH JAMES</v>
      </c>
    </row>
    <row r="240" spans="1:7" x14ac:dyDescent="0.25">
      <c r="A240" s="8">
        <v>42856.86824074074</v>
      </c>
      <c r="B240" t="s">
        <v>463</v>
      </c>
      <c r="C240" t="s">
        <v>518</v>
      </c>
      <c r="D240" s="141">
        <v>2970000</v>
      </c>
      <c r="E240" t="s">
        <v>393</v>
      </c>
      <c r="F240" s="20" t="s">
        <v>394</v>
      </c>
      <c r="G240" s="8" t="str">
        <f t="shared" si="3"/>
        <v>GUZMAN DANNY</v>
      </c>
    </row>
    <row r="241" spans="1:7" x14ac:dyDescent="0.25">
      <c r="A241" s="8">
        <v>42856.874155092592</v>
      </c>
      <c r="B241" t="s">
        <v>450</v>
      </c>
      <c r="C241" t="s">
        <v>519</v>
      </c>
      <c r="D241" s="141">
        <v>1800000</v>
      </c>
      <c r="E241" t="s">
        <v>369</v>
      </c>
      <c r="F241" s="20" t="s">
        <v>370</v>
      </c>
      <c r="G241" s="8" t="str">
        <f t="shared" si="3"/>
        <v>CHANDLER KELVIN</v>
      </c>
    </row>
    <row r="242" spans="1:7" x14ac:dyDescent="0.25">
      <c r="A242" s="8">
        <v>42856.877384259256</v>
      </c>
      <c r="B242" t="s">
        <v>419</v>
      </c>
      <c r="C242" t="s">
        <v>520</v>
      </c>
      <c r="D242" s="141">
        <v>3010000</v>
      </c>
      <c r="E242" t="s">
        <v>514</v>
      </c>
      <c r="F242" s="20" t="s">
        <v>515</v>
      </c>
      <c r="G242" s="8" t="str">
        <f t="shared" si="3"/>
        <v>SULLIVAN BRANDON</v>
      </c>
    </row>
    <row r="243" spans="1:7" x14ac:dyDescent="0.25">
      <c r="A243" s="8">
        <v>42856.885381944441</v>
      </c>
      <c r="B243" t="s">
        <v>425</v>
      </c>
      <c r="C243" t="s">
        <v>521</v>
      </c>
      <c r="D243" s="141">
        <v>1740000</v>
      </c>
      <c r="E243" t="s">
        <v>372</v>
      </c>
      <c r="F243" s="20" t="s">
        <v>373</v>
      </c>
      <c r="G243" s="8" t="str">
        <f t="shared" si="3"/>
        <v>STORY SAMANTHA</v>
      </c>
    </row>
    <row r="244" spans="1:7" x14ac:dyDescent="0.25">
      <c r="A244" s="8">
        <v>42856.889502314814</v>
      </c>
      <c r="B244" t="s">
        <v>416</v>
      </c>
      <c r="C244" t="s">
        <v>522</v>
      </c>
      <c r="D244" s="141">
        <v>2230000</v>
      </c>
      <c r="E244" t="s">
        <v>358</v>
      </c>
      <c r="F244" s="20" t="s">
        <v>196</v>
      </c>
      <c r="G244" s="8" t="str">
        <f t="shared" si="3"/>
        <v>SMITH MICHAEL</v>
      </c>
    </row>
    <row r="245" spans="1:7" x14ac:dyDescent="0.25">
      <c r="A245" s="8">
        <v>42856.900312500002</v>
      </c>
      <c r="B245" t="s">
        <v>199</v>
      </c>
      <c r="C245" t="s">
        <v>498</v>
      </c>
      <c r="D245" s="141">
        <v>2000000</v>
      </c>
      <c r="E245" t="s">
        <v>353</v>
      </c>
      <c r="F245" s="20" t="s">
        <v>193</v>
      </c>
      <c r="G245" s="8" t="str">
        <f t="shared" si="3"/>
        <v>STAMBAUGH JAMES</v>
      </c>
    </row>
    <row r="246" spans="1:7" x14ac:dyDescent="0.25">
      <c r="A246" s="8">
        <v>42856.901666666665</v>
      </c>
      <c r="B246" t="s">
        <v>430</v>
      </c>
      <c r="C246" t="s">
        <v>523</v>
      </c>
      <c r="D246" s="141">
        <v>3010000</v>
      </c>
      <c r="E246" t="s">
        <v>514</v>
      </c>
      <c r="F246" s="20" t="s">
        <v>515</v>
      </c>
      <c r="G246" s="8" t="str">
        <f t="shared" si="3"/>
        <v>SULLIVAN BRANDON</v>
      </c>
    </row>
    <row r="247" spans="1:7" x14ac:dyDescent="0.25">
      <c r="A247" s="8">
        <v>42856.902708333335</v>
      </c>
      <c r="B247" t="s">
        <v>451</v>
      </c>
      <c r="C247" t="s">
        <v>516</v>
      </c>
      <c r="D247" s="141">
        <v>2970000</v>
      </c>
      <c r="E247" t="s">
        <v>393</v>
      </c>
      <c r="F247" s="20" t="s">
        <v>394</v>
      </c>
      <c r="G247" s="8" t="str">
        <f t="shared" si="3"/>
        <v>GUZMAN DANNY</v>
      </c>
    </row>
    <row r="248" spans="1:7" x14ac:dyDescent="0.25">
      <c r="A248" s="8">
        <v>42856.913715277777</v>
      </c>
      <c r="B248" t="s">
        <v>354</v>
      </c>
      <c r="C248" t="s">
        <v>524</v>
      </c>
      <c r="D248" s="141">
        <v>1800000</v>
      </c>
      <c r="E248" t="s">
        <v>369</v>
      </c>
      <c r="F248" s="20" t="s">
        <v>370</v>
      </c>
      <c r="G248" s="8" t="str">
        <f t="shared" si="3"/>
        <v>CHANDLER KELVIN</v>
      </c>
    </row>
    <row r="249" spans="1:7" x14ac:dyDescent="0.25">
      <c r="A249" s="8">
        <v>42856.919016203705</v>
      </c>
      <c r="B249" t="s">
        <v>419</v>
      </c>
      <c r="C249" t="s">
        <v>525</v>
      </c>
      <c r="D249" s="141">
        <v>1810000</v>
      </c>
      <c r="E249" t="s">
        <v>371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42856.923657407409</v>
      </c>
      <c r="B250" t="s">
        <v>405</v>
      </c>
      <c r="C250" t="s">
        <v>526</v>
      </c>
      <c r="D250" s="141">
        <v>2680000</v>
      </c>
      <c r="E250" t="s">
        <v>388</v>
      </c>
      <c r="F250" s="20" t="s">
        <v>389</v>
      </c>
      <c r="G250" s="8" t="str">
        <f t="shared" si="3"/>
        <v>DUNCAN SHEILA</v>
      </c>
    </row>
    <row r="251" spans="1:7" x14ac:dyDescent="0.25">
      <c r="A251" s="8">
        <v>42856.92496527778</v>
      </c>
      <c r="B251" t="s">
        <v>415</v>
      </c>
      <c r="C251" t="s">
        <v>527</v>
      </c>
      <c r="D251" s="141">
        <v>2230000</v>
      </c>
      <c r="E251" t="s">
        <v>358</v>
      </c>
      <c r="F251" s="20" t="s">
        <v>196</v>
      </c>
      <c r="G251" s="8" t="str">
        <f t="shared" si="3"/>
        <v>SMITH MICHAEL</v>
      </c>
    </row>
    <row r="252" spans="1:7" x14ac:dyDescent="0.25">
      <c r="A252" s="8">
        <v>42856.942465277774</v>
      </c>
      <c r="B252" t="s">
        <v>430</v>
      </c>
      <c r="C252" t="s">
        <v>528</v>
      </c>
      <c r="D252" s="141">
        <v>1810000</v>
      </c>
      <c r="E252" t="s">
        <v>371</v>
      </c>
      <c r="F252" s="20" t="s">
        <v>193</v>
      </c>
      <c r="G252" s="8" t="str">
        <f t="shared" si="3"/>
        <v>NEWELL JAMES</v>
      </c>
    </row>
    <row r="253" spans="1:7" x14ac:dyDescent="0.25">
      <c r="A253" s="8">
        <v>42856.953402777777</v>
      </c>
      <c r="B253" t="s">
        <v>450</v>
      </c>
      <c r="C253" t="s">
        <v>529</v>
      </c>
      <c r="D253" s="141">
        <v>1800000</v>
      </c>
      <c r="E253" t="s">
        <v>369</v>
      </c>
      <c r="F253" s="20" t="s">
        <v>370</v>
      </c>
      <c r="G253" s="8" t="str">
        <f t="shared" si="3"/>
        <v>CHANDLER KELVIN</v>
      </c>
    </row>
    <row r="254" spans="1:7" x14ac:dyDescent="0.25">
      <c r="A254" s="8">
        <v>42856.953900462962</v>
      </c>
      <c r="B254" t="s">
        <v>360</v>
      </c>
      <c r="C254" t="s">
        <v>499</v>
      </c>
      <c r="D254" s="141">
        <v>2000000</v>
      </c>
      <c r="E254" t="s">
        <v>353</v>
      </c>
      <c r="F254" s="20" t="s">
        <v>193</v>
      </c>
      <c r="G254" s="8" t="str">
        <f t="shared" si="3"/>
        <v>STAMBAUGH JAMES</v>
      </c>
    </row>
    <row r="255" spans="1:7" x14ac:dyDescent="0.25">
      <c r="A255" s="8">
        <v>42856.957291666666</v>
      </c>
      <c r="B255" t="s">
        <v>463</v>
      </c>
      <c r="C255" t="s">
        <v>518</v>
      </c>
      <c r="D255" s="141">
        <v>2970000</v>
      </c>
      <c r="E255" t="s">
        <v>393</v>
      </c>
      <c r="F255" s="20" t="s">
        <v>394</v>
      </c>
      <c r="G255" s="8" t="str">
        <f t="shared" si="3"/>
        <v>GUZMAN DANNY</v>
      </c>
    </row>
    <row r="256" spans="1:7" x14ac:dyDescent="0.25">
      <c r="A256" s="8">
        <v>42856.965960648151</v>
      </c>
      <c r="B256" t="s">
        <v>416</v>
      </c>
      <c r="C256" t="s">
        <v>530</v>
      </c>
      <c r="D256" s="141">
        <v>2230000</v>
      </c>
      <c r="E256" t="s">
        <v>358</v>
      </c>
      <c r="F256" s="20" t="s">
        <v>196</v>
      </c>
      <c r="G256" s="8" t="str">
        <f t="shared" si="3"/>
        <v>SMITH MICHAEL</v>
      </c>
    </row>
    <row r="257" spans="1:7" x14ac:dyDescent="0.25">
      <c r="A257" s="8">
        <v>42856.971041666664</v>
      </c>
      <c r="B257" t="s">
        <v>425</v>
      </c>
      <c r="C257" t="s">
        <v>531</v>
      </c>
      <c r="D257" s="141">
        <v>2680000</v>
      </c>
      <c r="E257" t="s">
        <v>388</v>
      </c>
      <c r="F257" s="20" t="s">
        <v>389</v>
      </c>
      <c r="G257" s="8" t="str">
        <f t="shared" si="3"/>
        <v>DUNCAN SHEILA</v>
      </c>
    </row>
    <row r="258" spans="1:7" x14ac:dyDescent="0.25">
      <c r="A258" s="8">
        <v>42856.986516203702</v>
      </c>
      <c r="B258" t="s">
        <v>199</v>
      </c>
      <c r="C258" t="s">
        <v>532</v>
      </c>
      <c r="D258" s="141">
        <v>2000000</v>
      </c>
      <c r="E258" t="s">
        <v>353</v>
      </c>
      <c r="F258" s="20" t="s">
        <v>193</v>
      </c>
      <c r="G258" s="8" t="str">
        <f t="shared" si="3"/>
        <v>STAMBAUGH JAMES</v>
      </c>
    </row>
    <row r="259" spans="1:7" x14ac:dyDescent="0.25">
      <c r="A259" s="8">
        <v>42856.995729166665</v>
      </c>
      <c r="B259" t="s">
        <v>354</v>
      </c>
      <c r="C259" t="s">
        <v>533</v>
      </c>
      <c r="D259" s="141">
        <v>1800000</v>
      </c>
      <c r="E259" t="s">
        <v>369</v>
      </c>
      <c r="F259" s="20" t="s">
        <v>370</v>
      </c>
      <c r="G259" s="8" t="str">
        <f t="shared" ref="G259:G322" si="4">E259&amp;" "&amp;F259</f>
        <v>CHANDLER KELVIN</v>
      </c>
    </row>
    <row r="260" spans="1:7" x14ac:dyDescent="0.25">
      <c r="A260" s="8">
        <v>42856.998379629629</v>
      </c>
      <c r="B260" t="s">
        <v>451</v>
      </c>
      <c r="C260" t="s">
        <v>516</v>
      </c>
      <c r="D260" s="141">
        <v>2970000</v>
      </c>
      <c r="E260" t="s">
        <v>393</v>
      </c>
      <c r="F260" s="20" t="s">
        <v>394</v>
      </c>
      <c r="G260" s="8" t="str">
        <f t="shared" si="4"/>
        <v>GUZMAN DANNY</v>
      </c>
    </row>
    <row r="261" spans="1:7" x14ac:dyDescent="0.25">
      <c r="A261" s="8">
        <v>42857.01290509259</v>
      </c>
      <c r="B261" t="s">
        <v>415</v>
      </c>
      <c r="C261" t="s">
        <v>534</v>
      </c>
      <c r="D261" s="141">
        <v>2230000</v>
      </c>
      <c r="E261" t="s">
        <v>358</v>
      </c>
      <c r="F261" s="20" t="s">
        <v>196</v>
      </c>
      <c r="G261" s="8" t="str">
        <f t="shared" si="4"/>
        <v>SMITH MICHAEL</v>
      </c>
    </row>
    <row r="262" spans="1:7" x14ac:dyDescent="0.25">
      <c r="A262" s="8">
        <v>42857.017175925925</v>
      </c>
      <c r="B262" t="s">
        <v>405</v>
      </c>
      <c r="C262" t="s">
        <v>535</v>
      </c>
      <c r="D262" s="141">
        <v>1740000</v>
      </c>
      <c r="E262" t="s">
        <v>372</v>
      </c>
      <c r="F262" s="20" t="s">
        <v>373</v>
      </c>
      <c r="G262" s="8" t="str">
        <f t="shared" si="4"/>
        <v>STORY SAMANTHA</v>
      </c>
    </row>
    <row r="263" spans="1:7" x14ac:dyDescent="0.25">
      <c r="A263" s="8">
        <v>42857.02952546296</v>
      </c>
      <c r="B263" t="s">
        <v>450</v>
      </c>
      <c r="C263" t="s">
        <v>536</v>
      </c>
      <c r="D263" s="141">
        <v>1800000</v>
      </c>
      <c r="E263" t="s">
        <v>369</v>
      </c>
      <c r="F263" s="20" t="s">
        <v>370</v>
      </c>
      <c r="G263" s="8" t="str">
        <f t="shared" si="4"/>
        <v>CHANDLER KELVIN</v>
      </c>
    </row>
    <row r="264" spans="1:7" x14ac:dyDescent="0.25">
      <c r="A264" s="8">
        <v>42857.036377314813</v>
      </c>
      <c r="B264" t="s">
        <v>360</v>
      </c>
      <c r="C264" t="s">
        <v>537</v>
      </c>
      <c r="D264" s="141">
        <v>2000000</v>
      </c>
      <c r="E264" t="s">
        <v>353</v>
      </c>
      <c r="F264" s="20" t="s">
        <v>193</v>
      </c>
      <c r="G264" s="8" t="str">
        <f t="shared" si="4"/>
        <v>STAMBAUGH JAMES</v>
      </c>
    </row>
    <row r="265" spans="1:7" x14ac:dyDescent="0.25">
      <c r="A265" s="8">
        <v>42857.036574074074</v>
      </c>
      <c r="B265" t="s">
        <v>463</v>
      </c>
      <c r="C265" t="s">
        <v>516</v>
      </c>
      <c r="D265" s="141">
        <v>2970000</v>
      </c>
      <c r="E265" t="s">
        <v>393</v>
      </c>
      <c r="F265" s="20" t="s">
        <v>394</v>
      </c>
      <c r="G265" s="8" t="str">
        <f t="shared" si="4"/>
        <v>GUZMAN DANNY</v>
      </c>
    </row>
    <row r="266" spans="1:7" x14ac:dyDescent="0.25">
      <c r="A266" s="8">
        <v>42857.037870370368</v>
      </c>
      <c r="B266" t="s">
        <v>463</v>
      </c>
      <c r="C266" t="s">
        <v>516</v>
      </c>
      <c r="D266" s="141">
        <v>2970000</v>
      </c>
      <c r="E266" t="s">
        <v>393</v>
      </c>
      <c r="F266" s="20" t="s">
        <v>394</v>
      </c>
      <c r="G266" s="8" t="str">
        <f t="shared" si="4"/>
        <v>GUZMAN DANNY</v>
      </c>
    </row>
    <row r="267" spans="1:7" x14ac:dyDescent="0.25">
      <c r="A267" s="8">
        <v>42857.039456018516</v>
      </c>
      <c r="B267" t="s">
        <v>463</v>
      </c>
      <c r="C267" t="s">
        <v>516</v>
      </c>
      <c r="D267" s="141">
        <v>2970000</v>
      </c>
      <c r="E267" t="s">
        <v>393</v>
      </c>
      <c r="F267" s="20" t="s">
        <v>394</v>
      </c>
      <c r="G267" s="8" t="str">
        <f t="shared" si="4"/>
        <v>GUZMAN DANNY</v>
      </c>
    </row>
    <row r="268" spans="1:7" x14ac:dyDescent="0.25">
      <c r="A268" s="8">
        <v>42857.048935185187</v>
      </c>
      <c r="B268" t="s">
        <v>416</v>
      </c>
      <c r="C268" t="s">
        <v>538</v>
      </c>
      <c r="D268" s="141">
        <v>2230000</v>
      </c>
      <c r="E268" t="s">
        <v>358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42857.056030092594</v>
      </c>
      <c r="B269" t="s">
        <v>425</v>
      </c>
      <c r="C269" t="s">
        <v>539</v>
      </c>
      <c r="D269" s="141">
        <v>1740000</v>
      </c>
      <c r="E269" t="s">
        <v>372</v>
      </c>
      <c r="F269" s="20" t="s">
        <v>373</v>
      </c>
      <c r="G269" s="8" t="str">
        <f t="shared" si="4"/>
        <v>STORY SAMANTHA</v>
      </c>
    </row>
    <row r="270" spans="1:7" x14ac:dyDescent="0.25">
      <c r="A270" s="8">
        <v>42857.056967592594</v>
      </c>
      <c r="B270" t="s">
        <v>451</v>
      </c>
      <c r="C270" t="s">
        <v>516</v>
      </c>
      <c r="D270" s="141">
        <v>2970000</v>
      </c>
      <c r="E270" t="s">
        <v>393</v>
      </c>
      <c r="F270" s="20" t="s">
        <v>394</v>
      </c>
      <c r="G270" s="8" t="str">
        <f t="shared" si="4"/>
        <v>GUZMAN DANNY</v>
      </c>
    </row>
    <row r="271" spans="1:7" x14ac:dyDescent="0.25">
      <c r="A271" s="8">
        <v>42857.066562499997</v>
      </c>
      <c r="B271" t="s">
        <v>199</v>
      </c>
      <c r="C271" t="s">
        <v>540</v>
      </c>
      <c r="D271" s="141">
        <v>2000000</v>
      </c>
      <c r="E271" t="s">
        <v>353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42857.078900462962</v>
      </c>
      <c r="B272" t="s">
        <v>463</v>
      </c>
      <c r="C272" t="s">
        <v>516</v>
      </c>
      <c r="D272" s="141">
        <v>2970000</v>
      </c>
      <c r="E272" t="s">
        <v>393</v>
      </c>
      <c r="F272" s="20" t="s">
        <v>394</v>
      </c>
      <c r="G272" s="8" t="str">
        <f t="shared" si="4"/>
        <v>GUZMAN DANNY</v>
      </c>
    </row>
    <row r="273" spans="1:7" x14ac:dyDescent="0.25">
      <c r="A273" s="8">
        <v>42857.092858796299</v>
      </c>
      <c r="B273" t="s">
        <v>405</v>
      </c>
      <c r="C273" t="s">
        <v>541</v>
      </c>
      <c r="D273" s="141">
        <v>1740000</v>
      </c>
      <c r="E273" t="s">
        <v>372</v>
      </c>
      <c r="F273" s="20" t="s">
        <v>373</v>
      </c>
      <c r="G273" s="8" t="str">
        <f t="shared" si="4"/>
        <v>STORY SAMANTHA</v>
      </c>
    </row>
    <row r="274" spans="1:7" x14ac:dyDescent="0.25">
      <c r="A274" s="8">
        <v>42830.014768518522</v>
      </c>
      <c r="B274" t="s">
        <v>357</v>
      </c>
      <c r="C274" t="s">
        <v>395</v>
      </c>
      <c r="D274" s="141">
        <v>2680000</v>
      </c>
      <c r="E274" t="s">
        <v>388</v>
      </c>
      <c r="F274" s="20" t="s">
        <v>389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392</v>
      </c>
      <c r="C275" t="s">
        <v>397</v>
      </c>
      <c r="D275" s="141">
        <v>1810000</v>
      </c>
      <c r="E275" t="s">
        <v>371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356</v>
      </c>
      <c r="C276" t="s">
        <v>396</v>
      </c>
      <c r="D276" s="141">
        <v>2680000</v>
      </c>
      <c r="E276" t="s">
        <v>388</v>
      </c>
      <c r="F276" s="20" t="s">
        <v>389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357</v>
      </c>
      <c r="C277" t="s">
        <v>395</v>
      </c>
      <c r="D277" s="141">
        <v>2680000</v>
      </c>
      <c r="E277" t="s">
        <v>388</v>
      </c>
      <c r="F277" s="20" t="s">
        <v>389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356</v>
      </c>
      <c r="C278" t="s">
        <v>396</v>
      </c>
      <c r="D278" s="141">
        <v>2680000</v>
      </c>
      <c r="E278" t="s">
        <v>388</v>
      </c>
      <c r="F278" s="20" t="s">
        <v>389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375</v>
      </c>
      <c r="C279" t="s">
        <v>398</v>
      </c>
      <c r="D279" s="141">
        <v>1800000</v>
      </c>
      <c r="E279" t="s">
        <v>369</v>
      </c>
      <c r="F279" s="20" t="s">
        <v>370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384</v>
      </c>
      <c r="C280" t="s">
        <v>399</v>
      </c>
      <c r="D280" s="141">
        <v>1740000</v>
      </c>
      <c r="E280" t="s">
        <v>372</v>
      </c>
      <c r="F280" s="20" t="s">
        <v>373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385</v>
      </c>
      <c r="C281" t="s">
        <v>400</v>
      </c>
      <c r="D281" s="141">
        <v>2970000</v>
      </c>
      <c r="E281" t="s">
        <v>393</v>
      </c>
      <c r="F281" s="20" t="s">
        <v>394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391</v>
      </c>
      <c r="C282" t="s">
        <v>401</v>
      </c>
      <c r="D282" s="141">
        <v>1810000</v>
      </c>
      <c r="E282" t="s">
        <v>371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381</v>
      </c>
      <c r="C283" t="s">
        <v>402</v>
      </c>
      <c r="D283" s="141">
        <v>1740000</v>
      </c>
      <c r="E283" t="s">
        <v>372</v>
      </c>
      <c r="F283" s="20" t="s">
        <v>373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357</v>
      </c>
      <c r="C284" t="s">
        <v>395</v>
      </c>
      <c r="D284" s="141">
        <v>2680000</v>
      </c>
      <c r="E284" t="s">
        <v>388</v>
      </c>
      <c r="F284" s="20" t="s">
        <v>389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357</v>
      </c>
      <c r="C285" t="s">
        <v>395</v>
      </c>
      <c r="D285" s="141">
        <v>2680000</v>
      </c>
      <c r="E285" t="s">
        <v>388</v>
      </c>
      <c r="F285" s="20" t="s">
        <v>389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355</v>
      </c>
      <c r="C286" t="s">
        <v>403</v>
      </c>
      <c r="D286" s="141">
        <v>2970000</v>
      </c>
      <c r="E286" t="s">
        <v>393</v>
      </c>
      <c r="F286" s="20" t="s">
        <v>394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361</v>
      </c>
      <c r="D287" s="141">
        <v>2230000</v>
      </c>
      <c r="E287" t="s">
        <v>358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354</v>
      </c>
      <c r="C288" t="s">
        <v>362</v>
      </c>
      <c r="D288" s="141">
        <v>2000000</v>
      </c>
      <c r="E288" t="s">
        <v>353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359</v>
      </c>
      <c r="C289" t="s">
        <v>363</v>
      </c>
      <c r="D289" s="141">
        <v>2150000</v>
      </c>
      <c r="E289" t="s">
        <v>349</v>
      </c>
      <c r="F289" s="20" t="s">
        <v>350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359</v>
      </c>
      <c r="C290" t="s">
        <v>363</v>
      </c>
      <c r="D290" s="141">
        <v>2150000</v>
      </c>
      <c r="E290" t="s">
        <v>349</v>
      </c>
      <c r="F290" s="20" t="s">
        <v>350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359</v>
      </c>
      <c r="C291" t="s">
        <v>363</v>
      </c>
      <c r="D291" s="141">
        <v>2150000</v>
      </c>
      <c r="E291" t="s">
        <v>349</v>
      </c>
      <c r="F291" s="20" t="s">
        <v>350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360</v>
      </c>
      <c r="C292" t="s">
        <v>364</v>
      </c>
      <c r="D292" s="141">
        <v>2230000</v>
      </c>
      <c r="E292" t="s">
        <v>358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351</v>
      </c>
      <c r="C293" t="s">
        <v>365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351</v>
      </c>
      <c r="C294" t="s">
        <v>365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351</v>
      </c>
      <c r="C295" t="s">
        <v>365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357</v>
      </c>
      <c r="C296" t="s">
        <v>366</v>
      </c>
      <c r="D296" s="141">
        <v>2150000</v>
      </c>
      <c r="E296" t="s">
        <v>349</v>
      </c>
      <c r="F296" s="20" t="s">
        <v>350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352</v>
      </c>
      <c r="C297" t="s">
        <v>367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420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46.52</v>
      </c>
      <c r="B2" s="168">
        <v>0.44</v>
      </c>
      <c r="C2" s="168">
        <v>36.17</v>
      </c>
      <c r="D2" s="8">
        <v>42857</v>
      </c>
      <c r="E2" s="168">
        <v>0.67</v>
      </c>
      <c r="F2" s="168" t="s">
        <v>407</v>
      </c>
      <c r="G2" s="168">
        <v>315.95</v>
      </c>
      <c r="H2" s="168">
        <v>0</v>
      </c>
      <c r="I2" s="168">
        <v>0</v>
      </c>
      <c r="J2" s="168"/>
      <c r="K2" s="168">
        <v>1015.98</v>
      </c>
      <c r="L2" s="168" t="s">
        <v>342</v>
      </c>
      <c r="M2" s="168">
        <v>46.52</v>
      </c>
      <c r="N2" s="168">
        <v>1493704800</v>
      </c>
      <c r="O2" s="168">
        <v>3.82</v>
      </c>
      <c r="P2" s="168">
        <v>69</v>
      </c>
      <c r="Q2" s="168">
        <v>2.44</v>
      </c>
      <c r="R2"/>
    </row>
    <row r="3" spans="1:18" x14ac:dyDescent="0.25">
      <c r="A3" s="168">
        <v>46.11</v>
      </c>
      <c r="B3" s="168">
        <v>0.46</v>
      </c>
      <c r="C3" s="168">
        <v>36.19</v>
      </c>
      <c r="D3" s="8">
        <v>42857.041666666664</v>
      </c>
      <c r="E3" s="168">
        <v>0.68</v>
      </c>
      <c r="F3" s="168" t="s">
        <v>407</v>
      </c>
      <c r="G3" s="168">
        <v>316.95</v>
      </c>
      <c r="H3" s="168">
        <v>0</v>
      </c>
      <c r="I3" s="168">
        <v>0</v>
      </c>
      <c r="J3" s="168"/>
      <c r="K3" s="168">
        <v>1016.13</v>
      </c>
      <c r="L3" s="168" t="s">
        <v>342</v>
      </c>
      <c r="M3" s="168">
        <v>46.11</v>
      </c>
      <c r="N3" s="168">
        <v>1493708400</v>
      </c>
      <c r="O3" s="168">
        <v>4.04</v>
      </c>
      <c r="P3" s="168">
        <v>81</v>
      </c>
      <c r="Q3" s="168">
        <v>2.25</v>
      </c>
      <c r="R3"/>
    </row>
    <row r="4" spans="1:18" x14ac:dyDescent="0.25">
      <c r="A4" s="168">
        <v>43.99</v>
      </c>
      <c r="B4" s="168">
        <v>0.51</v>
      </c>
      <c r="C4" s="168">
        <v>35.380000000000003</v>
      </c>
      <c r="D4" s="8">
        <v>42857.083333333336</v>
      </c>
      <c r="E4" s="168">
        <v>0.69</v>
      </c>
      <c r="F4" s="168" t="s">
        <v>407</v>
      </c>
      <c r="G4" s="168">
        <v>317.95</v>
      </c>
      <c r="H4" s="168">
        <v>0</v>
      </c>
      <c r="I4" s="168">
        <v>0</v>
      </c>
      <c r="J4" s="168"/>
      <c r="K4" s="168">
        <v>1016.27</v>
      </c>
      <c r="L4" s="168" t="s">
        <v>342</v>
      </c>
      <c r="M4" s="168">
        <v>44.99</v>
      </c>
      <c r="N4" s="168">
        <v>1493712000</v>
      </c>
      <c r="O4" s="168">
        <v>3.83</v>
      </c>
      <c r="P4" s="168">
        <v>102</v>
      </c>
      <c r="Q4" s="168">
        <v>3.03</v>
      </c>
      <c r="R4"/>
    </row>
    <row r="5" spans="1:18" x14ac:dyDescent="0.25">
      <c r="A5" s="168">
        <v>44.52</v>
      </c>
      <c r="B5" s="168">
        <v>0.54</v>
      </c>
      <c r="C5" s="168">
        <v>35.15</v>
      </c>
      <c r="D5" s="8">
        <v>42857.125</v>
      </c>
      <c r="E5" s="168">
        <v>0.69</v>
      </c>
      <c r="F5" s="168" t="s">
        <v>407</v>
      </c>
      <c r="G5" s="168">
        <v>318.95</v>
      </c>
      <c r="H5" s="168">
        <v>0</v>
      </c>
      <c r="I5" s="168">
        <v>0</v>
      </c>
      <c r="J5" s="168"/>
      <c r="K5" s="168">
        <v>1016.46</v>
      </c>
      <c r="L5" s="168" t="s">
        <v>342</v>
      </c>
      <c r="M5" s="168">
        <v>44.52</v>
      </c>
      <c r="N5" s="168">
        <v>1493715600</v>
      </c>
      <c r="O5" s="168">
        <v>3.8</v>
      </c>
      <c r="P5" s="168">
        <v>122</v>
      </c>
      <c r="Q5" s="168">
        <v>2.5099999999999998</v>
      </c>
      <c r="R5"/>
    </row>
    <row r="6" spans="1:18" x14ac:dyDescent="0.25">
      <c r="A6" s="168">
        <v>43.57</v>
      </c>
      <c r="B6" s="168">
        <v>0.54</v>
      </c>
      <c r="C6" s="168">
        <v>34.89</v>
      </c>
      <c r="D6" s="8">
        <v>42857.166666666664</v>
      </c>
      <c r="E6" s="168">
        <v>0.71</v>
      </c>
      <c r="F6" s="168" t="s">
        <v>407</v>
      </c>
      <c r="G6" s="168">
        <v>320.38</v>
      </c>
      <c r="H6" s="168">
        <v>0</v>
      </c>
      <c r="I6" s="168">
        <v>0</v>
      </c>
      <c r="J6" s="168"/>
      <c r="K6" s="168">
        <v>1016.48</v>
      </c>
      <c r="L6" s="168" t="s">
        <v>342</v>
      </c>
      <c r="M6" s="168">
        <v>43.57</v>
      </c>
      <c r="N6" s="168">
        <v>1493719200</v>
      </c>
      <c r="O6" s="168">
        <v>10</v>
      </c>
      <c r="P6" s="168">
        <v>133</v>
      </c>
      <c r="Q6" s="168">
        <v>1.82</v>
      </c>
      <c r="R6"/>
    </row>
    <row r="7" spans="1:18" x14ac:dyDescent="0.25">
      <c r="A7" s="168">
        <v>42.81</v>
      </c>
      <c r="B7" s="168">
        <v>0.51</v>
      </c>
      <c r="C7" s="168">
        <v>34.69</v>
      </c>
      <c r="D7" s="8">
        <v>42857.208333333336</v>
      </c>
      <c r="E7" s="168">
        <v>0.73</v>
      </c>
      <c r="F7" s="168" t="s">
        <v>407</v>
      </c>
      <c r="G7" s="168">
        <v>321.93</v>
      </c>
      <c r="H7" s="168">
        <v>0</v>
      </c>
      <c r="I7" s="168">
        <v>0</v>
      </c>
      <c r="J7" s="168"/>
      <c r="K7" s="168">
        <v>1016.38</v>
      </c>
      <c r="L7" s="168" t="s">
        <v>342</v>
      </c>
      <c r="M7" s="168">
        <v>42.81</v>
      </c>
      <c r="N7" s="168">
        <v>1493722800</v>
      </c>
      <c r="O7" s="168">
        <v>10</v>
      </c>
      <c r="P7" s="168">
        <v>134</v>
      </c>
      <c r="Q7" s="168">
        <v>2.38</v>
      </c>
      <c r="R7"/>
    </row>
    <row r="8" spans="1:18" x14ac:dyDescent="0.25">
      <c r="A8" s="168">
        <v>40.229999999999997</v>
      </c>
      <c r="B8" s="168">
        <v>0.49</v>
      </c>
      <c r="C8" s="168">
        <v>33.590000000000003</v>
      </c>
      <c r="D8" s="8">
        <v>42857.25</v>
      </c>
      <c r="E8" s="168">
        <v>0.72</v>
      </c>
      <c r="F8" s="168" t="s">
        <v>407</v>
      </c>
      <c r="G8" s="168">
        <v>322.99</v>
      </c>
      <c r="H8" s="168">
        <v>0</v>
      </c>
      <c r="I8" s="168">
        <v>0</v>
      </c>
      <c r="J8" s="168"/>
      <c r="K8" s="168">
        <v>1016.02</v>
      </c>
      <c r="L8" s="168" t="s">
        <v>342</v>
      </c>
      <c r="M8" s="168">
        <v>41.81</v>
      </c>
      <c r="N8" s="168">
        <v>1493726400</v>
      </c>
      <c r="O8" s="168">
        <v>4.38</v>
      </c>
      <c r="P8" s="168">
        <v>133</v>
      </c>
      <c r="Q8" s="168">
        <v>3.16</v>
      </c>
      <c r="R8"/>
    </row>
    <row r="9" spans="1:18" x14ac:dyDescent="0.25">
      <c r="A9" s="168">
        <v>43.17</v>
      </c>
      <c r="B9" s="168">
        <v>0.48</v>
      </c>
      <c r="C9" s="168">
        <v>33.99</v>
      </c>
      <c r="D9" s="8">
        <v>42857.291666666664</v>
      </c>
      <c r="E9" s="168">
        <v>0.7</v>
      </c>
      <c r="F9" s="168" t="s">
        <v>412</v>
      </c>
      <c r="G9" s="168">
        <v>323.29000000000002</v>
      </c>
      <c r="H9" s="168">
        <v>0</v>
      </c>
      <c r="I9" s="168">
        <v>0</v>
      </c>
      <c r="J9" s="168"/>
      <c r="K9" s="168">
        <v>1015.14</v>
      </c>
      <c r="L9" s="168" t="s">
        <v>342</v>
      </c>
      <c r="M9" s="168">
        <v>43.17</v>
      </c>
      <c r="N9" s="168">
        <v>1493730000</v>
      </c>
      <c r="O9" s="168">
        <v>3.51</v>
      </c>
      <c r="P9" s="168">
        <v>141</v>
      </c>
      <c r="Q9" s="168">
        <v>2.04</v>
      </c>
      <c r="R9"/>
    </row>
    <row r="10" spans="1:18" x14ac:dyDescent="0.25">
      <c r="A10" s="168">
        <v>46.16</v>
      </c>
      <c r="B10" s="168">
        <v>0.45</v>
      </c>
      <c r="C10" s="168">
        <v>34.74</v>
      </c>
      <c r="D10" s="8">
        <v>42857.333333333336</v>
      </c>
      <c r="E10" s="168">
        <v>0.64</v>
      </c>
      <c r="F10" s="168" t="s">
        <v>412</v>
      </c>
      <c r="G10" s="168">
        <v>323.08999999999997</v>
      </c>
      <c r="H10" s="168">
        <v>0</v>
      </c>
      <c r="I10" s="168">
        <v>0</v>
      </c>
      <c r="J10" s="168"/>
      <c r="K10" s="168">
        <v>1014.22</v>
      </c>
      <c r="L10" s="168" t="s">
        <v>342</v>
      </c>
      <c r="M10" s="168">
        <v>46.16</v>
      </c>
      <c r="N10" s="168">
        <v>1493733600</v>
      </c>
      <c r="O10" s="168">
        <v>3.13</v>
      </c>
      <c r="P10" s="168">
        <v>119</v>
      </c>
      <c r="Q10" s="168">
        <v>2.75</v>
      </c>
      <c r="R10"/>
    </row>
    <row r="11" spans="1:18" x14ac:dyDescent="0.25">
      <c r="A11" s="168">
        <v>49.81</v>
      </c>
      <c r="B11" s="168">
        <v>0.46</v>
      </c>
      <c r="C11" s="168">
        <v>35.6</v>
      </c>
      <c r="D11" s="8">
        <v>42857.375</v>
      </c>
      <c r="E11" s="168">
        <v>0.57999999999999996</v>
      </c>
      <c r="F11" s="168" t="s">
        <v>412</v>
      </c>
      <c r="G11" s="168">
        <v>322.64999999999998</v>
      </c>
      <c r="H11" s="168">
        <v>0</v>
      </c>
      <c r="I11" s="168">
        <v>0</v>
      </c>
      <c r="J11" s="168"/>
      <c r="K11" s="168">
        <v>1013.37</v>
      </c>
      <c r="L11" s="168" t="s">
        <v>342</v>
      </c>
      <c r="M11" s="168">
        <v>49.81</v>
      </c>
      <c r="N11" s="168">
        <v>1493737200</v>
      </c>
      <c r="O11" s="168">
        <v>2.97</v>
      </c>
      <c r="P11" s="168">
        <v>167</v>
      </c>
      <c r="Q11" s="168">
        <v>1.34</v>
      </c>
      <c r="R11"/>
    </row>
    <row r="12" spans="1:18" x14ac:dyDescent="0.25">
      <c r="A12" s="168">
        <v>52.96</v>
      </c>
      <c r="B12" s="168">
        <v>0.55000000000000004</v>
      </c>
      <c r="C12" s="168">
        <v>36.630000000000003</v>
      </c>
      <c r="D12" s="8">
        <v>42857.416666666664</v>
      </c>
      <c r="E12" s="168">
        <v>0.54</v>
      </c>
      <c r="F12" s="168" t="s">
        <v>412</v>
      </c>
      <c r="G12" s="168">
        <v>321.54000000000002</v>
      </c>
      <c r="H12" s="168">
        <v>0</v>
      </c>
      <c r="I12" s="168">
        <v>0</v>
      </c>
      <c r="J12" s="168"/>
      <c r="K12" s="168">
        <v>1012.72</v>
      </c>
      <c r="L12" s="168" t="s">
        <v>342</v>
      </c>
      <c r="M12" s="168">
        <v>52.96</v>
      </c>
      <c r="N12" s="168">
        <v>1493740800</v>
      </c>
      <c r="O12" s="168">
        <v>2.94</v>
      </c>
      <c r="P12" s="168">
        <v>294</v>
      </c>
      <c r="Q12" s="168">
        <v>0.42</v>
      </c>
      <c r="R12"/>
    </row>
    <row r="13" spans="1:18" x14ac:dyDescent="0.25">
      <c r="A13" s="168">
        <v>55.39</v>
      </c>
      <c r="B13" s="168">
        <v>0.69</v>
      </c>
      <c r="C13" s="168">
        <v>37.11</v>
      </c>
      <c r="D13" s="8">
        <v>42857.458333333336</v>
      </c>
      <c r="E13" s="168">
        <v>0.5</v>
      </c>
      <c r="F13" s="168" t="s">
        <v>412</v>
      </c>
      <c r="G13" s="168">
        <v>320.18</v>
      </c>
      <c r="H13" s="168">
        <v>0</v>
      </c>
      <c r="I13" s="168">
        <v>0</v>
      </c>
      <c r="J13" s="168"/>
      <c r="K13" s="168">
        <v>1012.17</v>
      </c>
      <c r="L13" s="168" t="s">
        <v>543</v>
      </c>
      <c r="M13" s="168">
        <v>55.39</v>
      </c>
      <c r="N13" s="168">
        <v>1493744400</v>
      </c>
      <c r="O13" s="168">
        <v>2.98</v>
      </c>
      <c r="P13" s="168">
        <v>350</v>
      </c>
      <c r="Q13" s="168">
        <v>0.75</v>
      </c>
      <c r="R13"/>
    </row>
    <row r="14" spans="1:18" x14ac:dyDescent="0.25">
      <c r="A14" s="168">
        <v>56.49</v>
      </c>
      <c r="B14" s="168">
        <v>0.75</v>
      </c>
      <c r="C14" s="168">
        <v>36.68</v>
      </c>
      <c r="D14" s="8">
        <v>42857.5</v>
      </c>
      <c r="E14" s="168">
        <v>0.47</v>
      </c>
      <c r="F14" s="168" t="s">
        <v>412</v>
      </c>
      <c r="G14" s="168">
        <v>320.10000000000002</v>
      </c>
      <c r="H14" s="168">
        <v>0</v>
      </c>
      <c r="I14" s="168">
        <v>0</v>
      </c>
      <c r="J14" s="168"/>
      <c r="K14" s="168">
        <v>1011.67</v>
      </c>
      <c r="L14" s="168" t="s">
        <v>543</v>
      </c>
      <c r="M14" s="168">
        <v>56.49</v>
      </c>
      <c r="N14" s="168">
        <v>1493748000</v>
      </c>
      <c r="O14" s="168">
        <v>3.05</v>
      </c>
      <c r="P14" s="168">
        <v>338</v>
      </c>
      <c r="Q14" s="168">
        <v>1.36</v>
      </c>
      <c r="R14"/>
    </row>
    <row r="15" spans="1:18" x14ac:dyDescent="0.25">
      <c r="A15" s="168">
        <v>59.62</v>
      </c>
      <c r="B15" s="168">
        <v>0.74</v>
      </c>
      <c r="C15" s="168">
        <v>37.43</v>
      </c>
      <c r="D15" s="8">
        <v>42857.541666666664</v>
      </c>
      <c r="E15" s="168">
        <v>0.44</v>
      </c>
      <c r="F15" s="168" t="s">
        <v>412</v>
      </c>
      <c r="G15" s="168">
        <v>322</v>
      </c>
      <c r="H15" s="168">
        <v>1.8E-3</v>
      </c>
      <c r="I15" s="168">
        <v>0.04</v>
      </c>
      <c r="J15" s="168" t="s">
        <v>542</v>
      </c>
      <c r="K15" s="168">
        <v>1011.11</v>
      </c>
      <c r="L15" s="168" t="s">
        <v>543</v>
      </c>
      <c r="M15" s="168">
        <v>59.62</v>
      </c>
      <c r="N15" s="168">
        <v>1493751600</v>
      </c>
      <c r="O15" s="168">
        <v>3.09</v>
      </c>
      <c r="P15" s="168">
        <v>9</v>
      </c>
      <c r="Q15" s="168">
        <v>0.69</v>
      </c>
      <c r="R15"/>
    </row>
    <row r="16" spans="1:18" x14ac:dyDescent="0.25">
      <c r="A16" s="168">
        <v>61.57</v>
      </c>
      <c r="B16" s="168">
        <v>0.69</v>
      </c>
      <c r="C16" s="168">
        <v>36.840000000000003</v>
      </c>
      <c r="D16" s="8">
        <v>42857.583333333336</v>
      </c>
      <c r="E16" s="168">
        <v>0.4</v>
      </c>
      <c r="F16" s="168" t="s">
        <v>412</v>
      </c>
      <c r="G16" s="168">
        <v>325.18</v>
      </c>
      <c r="H16" s="168">
        <v>3.8999999999999998E-3</v>
      </c>
      <c r="I16" s="168">
        <v>0.15</v>
      </c>
      <c r="J16" s="168" t="s">
        <v>542</v>
      </c>
      <c r="K16" s="168">
        <v>1010.6</v>
      </c>
      <c r="L16" s="168" t="s">
        <v>543</v>
      </c>
      <c r="M16" s="168">
        <v>61.57</v>
      </c>
      <c r="N16" s="168">
        <v>1493755200</v>
      </c>
      <c r="O16" s="168">
        <v>10</v>
      </c>
      <c r="P16" s="168">
        <v>349</v>
      </c>
      <c r="Q16" s="168">
        <v>4.5</v>
      </c>
      <c r="R16"/>
    </row>
    <row r="17" spans="1:18" x14ac:dyDescent="0.25">
      <c r="A17" s="168">
        <v>61.74</v>
      </c>
      <c r="B17" s="168">
        <v>0.61</v>
      </c>
      <c r="C17" s="168">
        <v>36.299999999999997</v>
      </c>
      <c r="D17" s="8">
        <v>42857.625</v>
      </c>
      <c r="E17" s="168">
        <v>0.39</v>
      </c>
      <c r="F17" s="168" t="s">
        <v>542</v>
      </c>
      <c r="G17" s="168">
        <v>329.01</v>
      </c>
      <c r="H17" s="168">
        <v>5.1999999999999998E-3</v>
      </c>
      <c r="I17" s="168">
        <v>0.22</v>
      </c>
      <c r="J17" s="168" t="s">
        <v>542</v>
      </c>
      <c r="K17" s="168">
        <v>1010.39</v>
      </c>
      <c r="L17" s="168" t="s">
        <v>817</v>
      </c>
      <c r="M17" s="168">
        <v>61.74</v>
      </c>
      <c r="N17" s="168">
        <v>1493758800</v>
      </c>
      <c r="O17" s="168">
        <v>3.01</v>
      </c>
      <c r="P17" s="168">
        <v>322</v>
      </c>
      <c r="Q17" s="168">
        <v>1.7</v>
      </c>
      <c r="R17"/>
    </row>
    <row r="18" spans="1:18" x14ac:dyDescent="0.25">
      <c r="A18" s="168">
        <v>60.97</v>
      </c>
      <c r="B18" s="168">
        <v>0.54</v>
      </c>
      <c r="C18" s="168">
        <v>34.83</v>
      </c>
      <c r="D18" s="8">
        <v>42857.666666666664</v>
      </c>
      <c r="E18" s="168">
        <v>0.37</v>
      </c>
      <c r="F18" s="168" t="s">
        <v>412</v>
      </c>
      <c r="G18" s="168">
        <v>333.92</v>
      </c>
      <c r="H18" s="168">
        <v>4.3E-3</v>
      </c>
      <c r="I18" s="168">
        <v>0.17</v>
      </c>
      <c r="J18" s="168" t="s">
        <v>542</v>
      </c>
      <c r="K18" s="168">
        <v>1010.59</v>
      </c>
      <c r="L18" s="168" t="s">
        <v>342</v>
      </c>
      <c r="M18" s="168">
        <v>60.97</v>
      </c>
      <c r="N18" s="168">
        <v>1493762400</v>
      </c>
      <c r="O18" s="168">
        <v>2.94</v>
      </c>
      <c r="P18" s="168">
        <v>336</v>
      </c>
      <c r="Q18" s="168">
        <v>3.74</v>
      </c>
      <c r="R18"/>
    </row>
    <row r="19" spans="1:18" x14ac:dyDescent="0.25">
      <c r="A19" s="168">
        <v>60.14</v>
      </c>
      <c r="B19" s="168">
        <v>0.59</v>
      </c>
      <c r="C19" s="168">
        <v>34.08</v>
      </c>
      <c r="D19" s="8">
        <v>42857.708333333336</v>
      </c>
      <c r="E19" s="168">
        <v>0.37</v>
      </c>
      <c r="F19" s="168" t="s">
        <v>542</v>
      </c>
      <c r="G19" s="168">
        <v>339.48</v>
      </c>
      <c r="H19" s="168">
        <v>5.8999999999999999E-3</v>
      </c>
      <c r="I19" s="168">
        <v>0.27</v>
      </c>
      <c r="J19" s="168" t="s">
        <v>542</v>
      </c>
      <c r="K19" s="168">
        <v>1011.1</v>
      </c>
      <c r="L19" s="168" t="s">
        <v>817</v>
      </c>
      <c r="M19" s="168">
        <v>60.14</v>
      </c>
      <c r="N19" s="168">
        <v>1493766000</v>
      </c>
      <c r="O19" s="168">
        <v>5.14</v>
      </c>
      <c r="P19" s="168">
        <v>350</v>
      </c>
      <c r="Q19" s="168">
        <v>4.1900000000000004</v>
      </c>
      <c r="R19"/>
    </row>
    <row r="20" spans="1:18" x14ac:dyDescent="0.25">
      <c r="A20" s="168">
        <v>57.65</v>
      </c>
      <c r="B20" s="168">
        <v>0.62</v>
      </c>
      <c r="C20" s="168">
        <v>34.76</v>
      </c>
      <c r="D20" s="8">
        <v>42857.75</v>
      </c>
      <c r="E20" s="168">
        <v>0.42</v>
      </c>
      <c r="F20" s="168" t="s">
        <v>542</v>
      </c>
      <c r="G20" s="168">
        <v>343.78</v>
      </c>
      <c r="H20" s="168">
        <v>5.1000000000000004E-3</v>
      </c>
      <c r="I20" s="168">
        <v>0.22</v>
      </c>
      <c r="J20" s="168" t="s">
        <v>542</v>
      </c>
      <c r="K20" s="168">
        <v>1011.76</v>
      </c>
      <c r="L20" s="168" t="s">
        <v>817</v>
      </c>
      <c r="M20" s="168">
        <v>57.65</v>
      </c>
      <c r="N20" s="168">
        <v>1493769600</v>
      </c>
      <c r="O20" s="168">
        <v>5.31</v>
      </c>
      <c r="P20" s="168">
        <v>359</v>
      </c>
      <c r="Q20" s="168">
        <v>5.65</v>
      </c>
      <c r="R20"/>
    </row>
    <row r="21" spans="1:18" x14ac:dyDescent="0.25">
      <c r="A21" s="168">
        <v>52.18</v>
      </c>
      <c r="B21" s="168">
        <v>0.72</v>
      </c>
      <c r="C21" s="168">
        <v>42.08</v>
      </c>
      <c r="D21" s="8">
        <v>42857.791666666664</v>
      </c>
      <c r="E21" s="168">
        <v>0.68</v>
      </c>
      <c r="F21" s="168" t="s">
        <v>542</v>
      </c>
      <c r="G21" s="168">
        <v>345.59</v>
      </c>
      <c r="H21" s="168">
        <v>1.2500000000000001E-2</v>
      </c>
      <c r="I21" s="168">
        <v>0.54</v>
      </c>
      <c r="J21" s="168" t="s">
        <v>542</v>
      </c>
      <c r="K21" s="168">
        <v>1012.34</v>
      </c>
      <c r="L21" s="168" t="s">
        <v>818</v>
      </c>
      <c r="M21" s="168">
        <v>52.18</v>
      </c>
      <c r="N21" s="168">
        <v>1493773200</v>
      </c>
      <c r="O21" s="168">
        <v>5.74</v>
      </c>
      <c r="P21" s="168">
        <v>22</v>
      </c>
      <c r="Q21" s="168">
        <v>3.42</v>
      </c>
      <c r="R21"/>
    </row>
    <row r="22" spans="1:18" x14ac:dyDescent="0.25">
      <c r="A22" s="168">
        <v>50.53</v>
      </c>
      <c r="B22" s="168">
        <v>0.65</v>
      </c>
      <c r="C22" s="168">
        <v>41.12</v>
      </c>
      <c r="D22" s="8">
        <v>42857.833333333336</v>
      </c>
      <c r="E22" s="168">
        <v>0.7</v>
      </c>
      <c r="F22" s="168" t="s">
        <v>542</v>
      </c>
      <c r="G22" s="168">
        <v>346.13</v>
      </c>
      <c r="H22" s="168">
        <v>8.0000000000000002E-3</v>
      </c>
      <c r="I22" s="168">
        <v>0.41</v>
      </c>
      <c r="J22" s="168" t="s">
        <v>542</v>
      </c>
      <c r="K22" s="168">
        <v>1013.25</v>
      </c>
      <c r="L22" s="168" t="s">
        <v>817</v>
      </c>
      <c r="M22" s="168">
        <v>50.53</v>
      </c>
      <c r="N22" s="168">
        <v>1493776800</v>
      </c>
      <c r="O22" s="168">
        <v>6.46</v>
      </c>
      <c r="P22" s="168">
        <v>70</v>
      </c>
      <c r="Q22" s="168">
        <v>2.93</v>
      </c>
      <c r="R22"/>
    </row>
    <row r="23" spans="1:18" x14ac:dyDescent="0.25">
      <c r="A23" s="168">
        <v>49.37</v>
      </c>
      <c r="B23" s="168">
        <v>0.56999999999999995</v>
      </c>
      <c r="C23" s="168">
        <v>40.15</v>
      </c>
      <c r="D23" s="8">
        <v>42857.875</v>
      </c>
      <c r="E23" s="168">
        <v>0.7</v>
      </c>
      <c r="F23" s="168" t="s">
        <v>542</v>
      </c>
      <c r="G23" s="168">
        <v>347.13</v>
      </c>
      <c r="H23" s="168">
        <v>1.54E-2</v>
      </c>
      <c r="I23" s="168">
        <v>0.56999999999999995</v>
      </c>
      <c r="J23" s="168" t="s">
        <v>542</v>
      </c>
      <c r="K23" s="168">
        <v>1014.19</v>
      </c>
      <c r="L23" s="168" t="s">
        <v>818</v>
      </c>
      <c r="M23" s="168">
        <v>49.37</v>
      </c>
      <c r="N23" s="168">
        <v>1493780400</v>
      </c>
      <c r="O23" s="168">
        <v>6.63</v>
      </c>
      <c r="P23" s="168">
        <v>123</v>
      </c>
      <c r="Q23" s="168">
        <v>2.19</v>
      </c>
      <c r="R23"/>
    </row>
    <row r="24" spans="1:18" x14ac:dyDescent="0.25">
      <c r="A24" s="168">
        <v>48.63</v>
      </c>
      <c r="B24" s="168">
        <v>0.7</v>
      </c>
      <c r="C24" s="168">
        <v>40.71</v>
      </c>
      <c r="D24" s="8">
        <v>42857.916666666664</v>
      </c>
      <c r="E24" s="168">
        <v>0.74</v>
      </c>
      <c r="F24" s="168" t="s">
        <v>542</v>
      </c>
      <c r="G24" s="168">
        <v>349.13</v>
      </c>
      <c r="H24" s="168">
        <v>5.0000000000000001E-3</v>
      </c>
      <c r="I24" s="168">
        <v>0.21</v>
      </c>
      <c r="J24" s="168" t="s">
        <v>542</v>
      </c>
      <c r="K24" s="168">
        <v>1015.07</v>
      </c>
      <c r="L24" s="168" t="s">
        <v>817</v>
      </c>
      <c r="M24" s="168">
        <v>48.63</v>
      </c>
      <c r="N24" s="168">
        <v>1493784000</v>
      </c>
      <c r="O24" s="168">
        <v>5.62</v>
      </c>
      <c r="P24" s="168">
        <v>146</v>
      </c>
      <c r="Q24" s="168">
        <v>2.21</v>
      </c>
      <c r="R24"/>
    </row>
    <row r="25" spans="1:18" x14ac:dyDescent="0.25">
      <c r="A25" s="168">
        <v>47.28</v>
      </c>
      <c r="B25" s="168">
        <v>0.8</v>
      </c>
      <c r="C25" s="168">
        <v>40.22</v>
      </c>
      <c r="D25" s="8">
        <v>42857.958333333336</v>
      </c>
      <c r="E25" s="168">
        <v>0.76</v>
      </c>
      <c r="F25" s="168" t="s">
        <v>542</v>
      </c>
      <c r="G25" s="168">
        <v>351.59</v>
      </c>
      <c r="H25" s="168">
        <v>5.4000000000000003E-3</v>
      </c>
      <c r="I25" s="168">
        <v>0.24</v>
      </c>
      <c r="J25" s="168" t="s">
        <v>542</v>
      </c>
      <c r="K25" s="168">
        <v>1015.9</v>
      </c>
      <c r="L25" s="168" t="s">
        <v>817</v>
      </c>
      <c r="M25" s="168">
        <v>47.28</v>
      </c>
      <c r="N25" s="168">
        <v>1493787600</v>
      </c>
      <c r="O25" s="168">
        <v>5.29</v>
      </c>
      <c r="P25" s="168">
        <v>142</v>
      </c>
      <c r="Q25" s="168">
        <v>1.23</v>
      </c>
      <c r="R25"/>
    </row>
    <row r="26" spans="1:18" x14ac:dyDescent="0.25">
      <c r="A26" s="168">
        <v>45.92</v>
      </c>
      <c r="B26" s="168">
        <v>0.82</v>
      </c>
      <c r="C26" s="168">
        <v>39.69</v>
      </c>
      <c r="D26" s="8">
        <v>42858</v>
      </c>
      <c r="E26" s="168">
        <v>0.79</v>
      </c>
      <c r="F26" s="168" t="s">
        <v>542</v>
      </c>
      <c r="G26" s="168">
        <v>354.58</v>
      </c>
      <c r="H26" s="168">
        <v>3.0700000000000002E-2</v>
      </c>
      <c r="I26" s="168">
        <v>0.66</v>
      </c>
      <c r="J26" s="168" t="s">
        <v>542</v>
      </c>
      <c r="K26" s="168">
        <v>1016.58</v>
      </c>
      <c r="L26" s="168" t="s">
        <v>818</v>
      </c>
      <c r="M26" s="168">
        <v>45.92</v>
      </c>
      <c r="N26" s="168">
        <v>1493791200</v>
      </c>
      <c r="O26" s="168">
        <v>3.11</v>
      </c>
      <c r="P26" s="168">
        <v>57</v>
      </c>
      <c r="Q26" s="168">
        <v>0.76</v>
      </c>
      <c r="R26"/>
    </row>
    <row r="27" spans="1:18" x14ac:dyDescent="0.25">
      <c r="A27" s="168">
        <v>43.1</v>
      </c>
      <c r="B27" s="168">
        <v>0.87</v>
      </c>
      <c r="C27" s="168">
        <v>40.200000000000003</v>
      </c>
      <c r="D27" s="8">
        <v>42858.041666666664</v>
      </c>
      <c r="E27" s="168">
        <v>0.89</v>
      </c>
      <c r="F27" s="168" t="s">
        <v>542</v>
      </c>
      <c r="G27" s="168">
        <v>358.63</v>
      </c>
      <c r="H27" s="168">
        <v>2.6700000000000002E-2</v>
      </c>
      <c r="I27" s="168">
        <v>0.65</v>
      </c>
      <c r="J27" s="168" t="s">
        <v>542</v>
      </c>
      <c r="K27" s="168">
        <v>1016.98</v>
      </c>
      <c r="L27" s="168" t="s">
        <v>818</v>
      </c>
      <c r="M27" s="168">
        <v>43.1</v>
      </c>
      <c r="N27" s="168">
        <v>1493794800</v>
      </c>
      <c r="O27" s="168">
        <v>3.66</v>
      </c>
      <c r="P27" s="168">
        <v>124</v>
      </c>
      <c r="Q27" s="168">
        <v>0.34</v>
      </c>
      <c r="R27"/>
    </row>
    <row r="28" spans="1:18" x14ac:dyDescent="0.25">
      <c r="A28" s="168">
        <v>41.78</v>
      </c>
      <c r="B28" s="168">
        <v>0.89</v>
      </c>
      <c r="C28" s="168">
        <v>39.4</v>
      </c>
      <c r="D28" s="8">
        <v>42858.083333333336</v>
      </c>
      <c r="E28" s="168">
        <v>0.91</v>
      </c>
      <c r="F28" s="168" t="s">
        <v>542</v>
      </c>
      <c r="G28" s="168">
        <v>362.68</v>
      </c>
      <c r="H28" s="168">
        <v>6.8999999999999999E-3</v>
      </c>
      <c r="I28" s="168">
        <v>0.33</v>
      </c>
      <c r="J28" s="168" t="s">
        <v>542</v>
      </c>
      <c r="K28" s="168">
        <v>1017.38</v>
      </c>
      <c r="L28" s="168" t="s">
        <v>817</v>
      </c>
      <c r="M28" s="168">
        <v>41.78</v>
      </c>
      <c r="N28" s="168">
        <v>1493798400</v>
      </c>
      <c r="O28" s="168">
        <v>3.49</v>
      </c>
      <c r="P28" s="168">
        <v>230</v>
      </c>
      <c r="Q28" s="168">
        <v>2.65</v>
      </c>
      <c r="R28"/>
    </row>
    <row r="29" spans="1:18" x14ac:dyDescent="0.25">
      <c r="A29" s="168">
        <v>39.71</v>
      </c>
      <c r="B29" s="168">
        <v>0.88</v>
      </c>
      <c r="C29" s="168">
        <v>39.11</v>
      </c>
      <c r="D29" s="8">
        <v>42858.125</v>
      </c>
      <c r="E29" s="168">
        <v>0.91</v>
      </c>
      <c r="F29" s="168" t="s">
        <v>542</v>
      </c>
      <c r="G29" s="168">
        <v>366.73</v>
      </c>
      <c r="H29" s="168">
        <v>1.06E-2</v>
      </c>
      <c r="I29" s="168">
        <v>0.51</v>
      </c>
      <c r="J29" s="168" t="s">
        <v>542</v>
      </c>
      <c r="K29" s="168">
        <v>1017.77</v>
      </c>
      <c r="L29" s="168" t="s">
        <v>818</v>
      </c>
      <c r="M29" s="168">
        <v>41.43</v>
      </c>
      <c r="N29" s="168">
        <v>1493802000</v>
      </c>
      <c r="O29" s="168">
        <v>2.62</v>
      </c>
      <c r="P29" s="168">
        <v>239</v>
      </c>
      <c r="Q29" s="168">
        <v>3.24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344</v>
      </c>
      <c r="U1" s="159"/>
      <c r="V1" s="159"/>
      <c r="W1" s="159"/>
      <c r="X1" s="159"/>
    </row>
    <row r="2" spans="1:24" ht="15.75" thickBot="1" x14ac:dyDescent="0.3">
      <c r="A2" s="12">
        <v>42857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345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346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347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348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982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983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984</v>
      </c>
      <c r="J20" s="143" t="s">
        <v>87</v>
      </c>
      <c r="M20" s="157" t="s">
        <v>587</v>
      </c>
      <c r="N20" s="157" t="s">
        <v>343</v>
      </c>
      <c r="T20" s="158"/>
      <c r="U20" s="158"/>
      <c r="V20" s="158"/>
      <c r="W20" s="158"/>
      <c r="X20" s="158"/>
    </row>
    <row r="21" spans="3:24" x14ac:dyDescent="0.25">
      <c r="C21" t="s">
        <v>985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584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986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987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988</v>
      </c>
      <c r="J25" s="143" t="s">
        <v>150</v>
      </c>
      <c r="M25" s="157" t="b">
        <v>1</v>
      </c>
    </row>
    <row r="26" spans="3:24" x14ac:dyDescent="0.25">
      <c r="C26" t="s">
        <v>989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C:\Users\stu\Documents\GitHub\eaglep3-reporting\EC\2017-05-02-refined-times.txt</v>
      </c>
    </row>
    <row r="27" spans="3:24" x14ac:dyDescent="0.25">
      <c r="C27" t="s">
        <v>990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C:\Users\stu\Documents\GitHub\eaglep3-reporting\EC\2017-05-02-Enforcements.txt</v>
      </c>
    </row>
    <row r="28" spans="3:24" x14ac:dyDescent="0.25">
      <c r="C28" t="s">
        <v>991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C:\Users\stu\Documents\GitHub\eaglep3-reporting\EC\2017-05-02-Runs-refined.txt</v>
      </c>
    </row>
    <row r="29" spans="3:24" x14ac:dyDescent="0.25">
      <c r="C29" t="s">
        <v>992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C:\Users\stu\Documents\GitHub\eaglep3-reporting\EC\2017-05-02-Trips.txt</v>
      </c>
    </row>
    <row r="30" spans="3:24" x14ac:dyDescent="0.25">
      <c r="C30" t="s">
        <v>993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C:\Users\stu\Documents\GitHub\eaglep3-reporting\EC\2017-05-02-Weather.txt</v>
      </c>
    </row>
    <row r="31" spans="3:24" x14ac:dyDescent="0.25">
      <c r="C31" t="s">
        <v>994</v>
      </c>
      <c r="J31" s="143" t="s">
        <v>201</v>
      </c>
      <c r="M31" s="157" t="s">
        <v>202</v>
      </c>
    </row>
    <row r="32" spans="3:24" x14ac:dyDescent="0.25">
      <c r="C32" t="s">
        <v>995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213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242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243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244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245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246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247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248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249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250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251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252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253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254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255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256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257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258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259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260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261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262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263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264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265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266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267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268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269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270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271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272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273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274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275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276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277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278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279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280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281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282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283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284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285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286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287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288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289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290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291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292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293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294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295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296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297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298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299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300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301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302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303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304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305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306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307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308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309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310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311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312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313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314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315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316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317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318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319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320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321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322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323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324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325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326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327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328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329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330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331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332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333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334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335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336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337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338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339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340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341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2017-05-03T21:48:16Z</dcterms:modified>
</cp:coreProperties>
</file>