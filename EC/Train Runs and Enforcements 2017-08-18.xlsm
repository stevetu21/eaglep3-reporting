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Enforcements!$A$6:$AC$58</definedName>
    <definedName name="_xlnm._FilterDatabase" localSheetId="2" hidden="1">'Missing Trips'!$A$2:$J$31</definedName>
    <definedName name="_xlnm._FilterDatabase" localSheetId="0" hidden="1">'Train Runs'!$A$12:$AG$262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4" i="1" l="1"/>
  <c r="M204" i="1"/>
  <c r="N204" i="1" s="1"/>
  <c r="V204" i="1"/>
  <c r="Y204" i="1"/>
  <c r="Z204" i="1"/>
  <c r="AB204" i="1"/>
  <c r="AC204" i="1"/>
  <c r="AD204" i="1"/>
  <c r="T204" i="1" s="1"/>
  <c r="AE204" i="1"/>
  <c r="AF204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G204" i="1"/>
  <c r="AG203" i="1"/>
  <c r="AA204" i="1" l="1"/>
  <c r="AA203" i="1"/>
  <c r="W203" i="1" s="1"/>
  <c r="U204" i="1"/>
  <c r="S204" i="1" s="1"/>
  <c r="AI204" i="1"/>
  <c r="W204" i="1"/>
  <c r="X204" i="1"/>
  <c r="U203" i="1"/>
  <c r="S203" i="1" s="1"/>
  <c r="AH203" i="1"/>
  <c r="AI203" i="1"/>
  <c r="AM203" i="1"/>
  <c r="AN203" i="1"/>
  <c r="K187" i="1"/>
  <c r="L187" i="1"/>
  <c r="M187" i="1"/>
  <c r="N187" i="1" s="1"/>
  <c r="V187" i="1"/>
  <c r="AA187" i="1"/>
  <c r="AB187" i="1"/>
  <c r="AC187" i="1"/>
  <c r="AD187" i="1"/>
  <c r="T187" i="1" s="1"/>
  <c r="AE187" i="1"/>
  <c r="AF187" i="1"/>
  <c r="AH187" i="1"/>
  <c r="AM187" i="1"/>
  <c r="AN187" i="1"/>
  <c r="K127" i="1"/>
  <c r="L127" i="1"/>
  <c r="M127" i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14" i="1"/>
  <c r="L114" i="1"/>
  <c r="M114" i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S18" i="3" s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S8" i="3" s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S16" i="3" s="1"/>
  <c r="Y35" i="1"/>
  <c r="Z35" i="1"/>
  <c r="AB35" i="1"/>
  <c r="AC35" i="1"/>
  <c r="AD35" i="1"/>
  <c r="T35" i="1" s="1"/>
  <c r="AE35" i="1"/>
  <c r="R16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S9" i="3" s="1"/>
  <c r="Y38" i="1"/>
  <c r="Z38" i="1"/>
  <c r="AB38" i="1"/>
  <c r="AC38" i="1"/>
  <c r="AD38" i="1"/>
  <c r="T38" i="1" s="1"/>
  <c r="AE38" i="1"/>
  <c r="R9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S22" i="3" s="1"/>
  <c r="Y46" i="1"/>
  <c r="Z46" i="1"/>
  <c r="AB46" i="1"/>
  <c r="AC46" i="1"/>
  <c r="AD46" i="1"/>
  <c r="T46" i="1" s="1"/>
  <c r="AE46" i="1"/>
  <c r="R22" i="3" s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R26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R14" i="3" s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P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/>
  <c r="V61" i="1"/>
  <c r="Y61" i="1"/>
  <c r="Z61" i="1"/>
  <c r="AB61" i="1"/>
  <c r="AC61" i="1"/>
  <c r="AD61" i="1"/>
  <c r="X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R27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P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S11" i="3" s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23" i="3" s="1"/>
  <c r="AF82" i="1"/>
  <c r="AH82" i="1"/>
  <c r="AM82" i="1"/>
  <c r="AN82" i="1"/>
  <c r="K83" i="1"/>
  <c r="L83" i="1"/>
  <c r="M83" i="1"/>
  <c r="N83" i="1" s="1"/>
  <c r="V83" i="1"/>
  <c r="S7" i="3" s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R15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P86" i="1" s="1"/>
  <c r="V86" i="1"/>
  <c r="Y86" i="1"/>
  <c r="Z86" i="1"/>
  <c r="AB86" i="1"/>
  <c r="AC86" i="1"/>
  <c r="AD86" i="1"/>
  <c r="T86" i="1" s="1"/>
  <c r="AE86" i="1"/>
  <c r="R21" i="3" s="1"/>
  <c r="AF86" i="1"/>
  <c r="AH86" i="1"/>
  <c r="AM86" i="1"/>
  <c r="AN86" i="1"/>
  <c r="K87" i="1"/>
  <c r="L87" i="1"/>
  <c r="M87" i="1"/>
  <c r="N87" i="1" s="1"/>
  <c r="V87" i="1"/>
  <c r="S12" i="3" s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P100" i="1" s="1"/>
  <c r="V100" i="1"/>
  <c r="S20" i="3" s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S30" i="3" s="1"/>
  <c r="Y101" i="1"/>
  <c r="Z101" i="1"/>
  <c r="AB101" i="1"/>
  <c r="AC101" i="1"/>
  <c r="AD101" i="1"/>
  <c r="AE101" i="1"/>
  <c r="R30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S31" i="3" s="1"/>
  <c r="Y103" i="1"/>
  <c r="Z103" i="1"/>
  <c r="AB103" i="1"/>
  <c r="AC103" i="1"/>
  <c r="AD103" i="1"/>
  <c r="T103" i="1" s="1"/>
  <c r="AE103" i="1"/>
  <c r="R31" i="3" s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S24" i="3" s="1"/>
  <c r="Y108" i="1"/>
  <c r="Z108" i="1"/>
  <c r="AB108" i="1"/>
  <c r="AC108" i="1"/>
  <c r="AD108" i="1"/>
  <c r="T108" i="1" s="1"/>
  <c r="AE108" i="1"/>
  <c r="R24" i="3" s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P120" i="1" s="1"/>
  <c r="V120" i="1"/>
  <c r="Y120" i="1"/>
  <c r="Z120" i="1"/>
  <c r="AB120" i="1"/>
  <c r="AC120" i="1"/>
  <c r="AD120" i="1"/>
  <c r="T120" i="1" s="1"/>
  <c r="AE120" i="1"/>
  <c r="AF120" i="1"/>
  <c r="AH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S25" i="3" s="1"/>
  <c r="Y126" i="1"/>
  <c r="Z126" i="1"/>
  <c r="AB126" i="1"/>
  <c r="AC126" i="1"/>
  <c r="AD126" i="1"/>
  <c r="T126" i="1" s="1"/>
  <c r="AE126" i="1"/>
  <c r="R25" i="3" s="1"/>
  <c r="AF126" i="1"/>
  <c r="AH126" i="1"/>
  <c r="AM126" i="1"/>
  <c r="AN126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S19" i="3" s="1"/>
  <c r="Y129" i="1"/>
  <c r="Z129" i="1"/>
  <c r="AB129" i="1"/>
  <c r="AC129" i="1"/>
  <c r="AD129" i="1"/>
  <c r="T129" i="1" s="1"/>
  <c r="AE129" i="1"/>
  <c r="R19" i="3" s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S17" i="3" s="1"/>
  <c r="Y147" i="1"/>
  <c r="Z147" i="1"/>
  <c r="AB147" i="1"/>
  <c r="AC147" i="1"/>
  <c r="AD147" i="1"/>
  <c r="T147" i="1" s="1"/>
  <c r="AE147" i="1"/>
  <c r="R17" i="3" s="1"/>
  <c r="AF147" i="1"/>
  <c r="AH147" i="1"/>
  <c r="AM147" i="1"/>
  <c r="AN147" i="1"/>
  <c r="K148" i="1"/>
  <c r="L148" i="1"/>
  <c r="M148" i="1"/>
  <c r="N148" i="1" s="1"/>
  <c r="V148" i="1"/>
  <c r="S10" i="3" s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S32" i="3" s="1"/>
  <c r="Y151" i="1"/>
  <c r="Z151" i="1"/>
  <c r="AB151" i="1"/>
  <c r="AC151" i="1"/>
  <c r="AD151" i="1"/>
  <c r="X151" i="1" s="1"/>
  <c r="AE151" i="1"/>
  <c r="R32" i="3" s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R13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P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161" i="1"/>
  <c r="L161" i="1"/>
  <c r="M161" i="1"/>
  <c r="V161" i="1"/>
  <c r="Y161" i="1"/>
  <c r="Z161" i="1"/>
  <c r="AB161" i="1"/>
  <c r="AC161" i="1"/>
  <c r="AD161" i="1"/>
  <c r="T161" i="1" s="1"/>
  <c r="AE161" i="1"/>
  <c r="AF161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2" i="1"/>
  <c r="AM172" i="1"/>
  <c r="AN172" i="1"/>
  <c r="K220" i="1"/>
  <c r="L220" i="1"/>
  <c r="M220" i="1"/>
  <c r="N220" i="1" s="1"/>
  <c r="V220" i="1"/>
  <c r="S47" i="3" s="1"/>
  <c r="Y220" i="1"/>
  <c r="Z220" i="1"/>
  <c r="AB220" i="1"/>
  <c r="AC220" i="1"/>
  <c r="AD220" i="1"/>
  <c r="T220" i="1" s="1"/>
  <c r="AE220" i="1"/>
  <c r="R47" i="3" s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AM174" i="1"/>
  <c r="AN174" i="1"/>
  <c r="K222" i="1"/>
  <c r="L222" i="1"/>
  <c r="M222" i="1"/>
  <c r="N222" i="1" s="1"/>
  <c r="V222" i="1"/>
  <c r="S44" i="3" s="1"/>
  <c r="Y222" i="1"/>
  <c r="Z222" i="1"/>
  <c r="AB222" i="1"/>
  <c r="AC222" i="1"/>
  <c r="AD222" i="1"/>
  <c r="T222" i="1" s="1"/>
  <c r="AE222" i="1"/>
  <c r="R44" i="3" s="1"/>
  <c r="AF222" i="1"/>
  <c r="AH175" i="1"/>
  <c r="AM175" i="1"/>
  <c r="AN175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K236" i="1"/>
  <c r="L236" i="1"/>
  <c r="M236" i="1"/>
  <c r="P236" i="1" s="1"/>
  <c r="V236" i="1"/>
  <c r="S48" i="3" s="1"/>
  <c r="Y236" i="1"/>
  <c r="Z236" i="1"/>
  <c r="AB236" i="1"/>
  <c r="AC236" i="1"/>
  <c r="AD236" i="1"/>
  <c r="AE236" i="1"/>
  <c r="R48" i="3" s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AM183" i="1"/>
  <c r="AN183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R38" i="3" s="1"/>
  <c r="AF162" i="1"/>
  <c r="AH184" i="1"/>
  <c r="AM184" i="1"/>
  <c r="AN184" i="1"/>
  <c r="K163" i="1"/>
  <c r="L163" i="1"/>
  <c r="M163" i="1"/>
  <c r="N163" i="1" s="1"/>
  <c r="V163" i="1"/>
  <c r="S43" i="3" s="1"/>
  <c r="Y163" i="1"/>
  <c r="Z163" i="1"/>
  <c r="AB163" i="1"/>
  <c r="AC163" i="1"/>
  <c r="AD163" i="1"/>
  <c r="T163" i="1" s="1"/>
  <c r="AE163" i="1"/>
  <c r="AF163" i="1"/>
  <c r="AH185" i="1"/>
  <c r="AM185" i="1"/>
  <c r="AN18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6" i="1"/>
  <c r="AM186" i="1"/>
  <c r="AN186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8" i="1"/>
  <c r="AM188" i="1"/>
  <c r="AN188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9" i="1"/>
  <c r="AM189" i="1"/>
  <c r="AN18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0" i="1"/>
  <c r="AM190" i="1"/>
  <c r="AN19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1" i="1"/>
  <c r="AM191" i="1"/>
  <c r="AN191" i="1"/>
  <c r="K169" i="1"/>
  <c r="L169" i="1"/>
  <c r="M169" i="1"/>
  <c r="N169" i="1" s="1"/>
  <c r="V169" i="1"/>
  <c r="S41" i="3" s="1"/>
  <c r="Y169" i="1"/>
  <c r="Z169" i="1"/>
  <c r="AB169" i="1"/>
  <c r="AC169" i="1"/>
  <c r="AD169" i="1"/>
  <c r="AE169" i="1"/>
  <c r="R35" i="3" s="1"/>
  <c r="AF169" i="1"/>
  <c r="AH192" i="1"/>
  <c r="AM192" i="1"/>
  <c r="AN192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3" i="1"/>
  <c r="AM193" i="1"/>
  <c r="AN193" i="1"/>
  <c r="K171" i="1"/>
  <c r="L171" i="1"/>
  <c r="M171" i="1"/>
  <c r="N171" i="1" s="1"/>
  <c r="V171" i="1"/>
  <c r="S42" i="3" s="1"/>
  <c r="Y171" i="1"/>
  <c r="Z171" i="1"/>
  <c r="AB171" i="1"/>
  <c r="AC171" i="1"/>
  <c r="AD171" i="1"/>
  <c r="T171" i="1" s="1"/>
  <c r="AE171" i="1"/>
  <c r="R37" i="3" s="1"/>
  <c r="AF171" i="1"/>
  <c r="AH194" i="1"/>
  <c r="AM194" i="1"/>
  <c r="AN194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5" i="1"/>
  <c r="AM195" i="1"/>
  <c r="AN195" i="1"/>
  <c r="K173" i="1"/>
  <c r="L173" i="1"/>
  <c r="M173" i="1"/>
  <c r="N173" i="1" s="1"/>
  <c r="V173" i="1"/>
  <c r="S34" i="3" s="1"/>
  <c r="Y173" i="1"/>
  <c r="Z173" i="1"/>
  <c r="AB173" i="1"/>
  <c r="AC173" i="1"/>
  <c r="AD173" i="1"/>
  <c r="AE173" i="1"/>
  <c r="AF173" i="1"/>
  <c r="AH196" i="1"/>
  <c r="AM196" i="1"/>
  <c r="AN19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7" i="1"/>
  <c r="AM197" i="1"/>
  <c r="AN197" i="1"/>
  <c r="K175" i="1"/>
  <c r="L175" i="1"/>
  <c r="M175" i="1"/>
  <c r="N175" i="1" s="1"/>
  <c r="V175" i="1"/>
  <c r="S33" i="3" s="1"/>
  <c r="Y175" i="1"/>
  <c r="Z175" i="1"/>
  <c r="AB175" i="1"/>
  <c r="AC175" i="1"/>
  <c r="AD175" i="1"/>
  <c r="T175" i="1" s="1"/>
  <c r="AE175" i="1"/>
  <c r="R33" i="3" s="1"/>
  <c r="AF175" i="1"/>
  <c r="AH198" i="1"/>
  <c r="AM198" i="1"/>
  <c r="AN19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9" i="1"/>
  <c r="AM199" i="1"/>
  <c r="AN19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0" i="1"/>
  <c r="AM200" i="1"/>
  <c r="AN200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1" i="1"/>
  <c r="AM201" i="1"/>
  <c r="AN201" i="1"/>
  <c r="K179" i="1"/>
  <c r="L179" i="1"/>
  <c r="M179" i="1"/>
  <c r="P179" i="1" s="1"/>
  <c r="V179" i="1"/>
  <c r="Y179" i="1"/>
  <c r="Z179" i="1"/>
  <c r="AB179" i="1"/>
  <c r="AC179" i="1"/>
  <c r="AD179" i="1"/>
  <c r="T179" i="1" s="1"/>
  <c r="AE179" i="1"/>
  <c r="AF179" i="1"/>
  <c r="AH202" i="1"/>
  <c r="AM202" i="1"/>
  <c r="AN202" i="1"/>
  <c r="K180" i="1"/>
  <c r="L180" i="1"/>
  <c r="M180" i="1"/>
  <c r="N180" i="1" s="1"/>
  <c r="V180" i="1"/>
  <c r="S39" i="3" s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R36" i="3" s="1"/>
  <c r="AF181" i="1"/>
  <c r="AH205" i="1"/>
  <c r="AM205" i="1"/>
  <c r="AN205" i="1"/>
  <c r="AH206" i="1"/>
  <c r="AM206" i="1"/>
  <c r="AN206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7" i="1"/>
  <c r="AM207" i="1"/>
  <c r="AN20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8" i="1"/>
  <c r="AM208" i="1"/>
  <c r="AN20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9" i="1"/>
  <c r="AM209" i="1"/>
  <c r="AN20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0" i="1"/>
  <c r="AM210" i="1"/>
  <c r="AN21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1" i="1"/>
  <c r="AM211" i="1"/>
  <c r="AN211" i="1"/>
  <c r="K188" i="1"/>
  <c r="L188" i="1"/>
  <c r="M188" i="1"/>
  <c r="N188" i="1" s="1"/>
  <c r="V188" i="1"/>
  <c r="S40" i="3" s="1"/>
  <c r="Y188" i="1"/>
  <c r="Z188" i="1"/>
  <c r="AB188" i="1"/>
  <c r="AC188" i="1"/>
  <c r="AD188" i="1"/>
  <c r="X188" i="1" s="1"/>
  <c r="AE188" i="1"/>
  <c r="R40" i="3" s="1"/>
  <c r="AF188" i="1"/>
  <c r="AH212" i="1"/>
  <c r="AM212" i="1"/>
  <c r="AN21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3" i="1"/>
  <c r="AM213" i="1"/>
  <c r="AN213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4" i="1"/>
  <c r="AM214" i="1"/>
  <c r="AN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5" i="1"/>
  <c r="AM215" i="1"/>
  <c r="AN215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6" i="1"/>
  <c r="AM216" i="1"/>
  <c r="AN21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7" i="1"/>
  <c r="AM217" i="1"/>
  <c r="AN21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8" i="1"/>
  <c r="AM218" i="1"/>
  <c r="AN21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9" i="1"/>
  <c r="AM219" i="1"/>
  <c r="AN21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0" i="1"/>
  <c r="AM220" i="1"/>
  <c r="AN22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1" i="1"/>
  <c r="AM221" i="1"/>
  <c r="AN22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2" i="1"/>
  <c r="AM222" i="1"/>
  <c r="AN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3" i="1"/>
  <c r="AM223" i="1"/>
  <c r="AN223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4" i="1"/>
  <c r="AM224" i="1"/>
  <c r="AN22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5" i="1"/>
  <c r="AM225" i="1"/>
  <c r="AN225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6" i="1"/>
  <c r="AM226" i="1"/>
  <c r="AN226" i="1"/>
  <c r="AH227" i="1"/>
  <c r="AM227" i="1"/>
  <c r="AN227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228" i="1"/>
  <c r="AM228" i="1"/>
  <c r="AN22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9" i="1"/>
  <c r="AM229" i="1"/>
  <c r="AN22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30" i="1"/>
  <c r="AM230" i="1"/>
  <c r="AN23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1" i="1"/>
  <c r="AM231" i="1"/>
  <c r="AN231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2" i="1"/>
  <c r="AM232" i="1"/>
  <c r="AN23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3" i="1"/>
  <c r="AM233" i="1"/>
  <c r="AN233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4" i="1"/>
  <c r="AM234" i="1"/>
  <c r="AN234" i="1"/>
  <c r="K227" i="1"/>
  <c r="L227" i="1"/>
  <c r="M227" i="1"/>
  <c r="N227" i="1" s="1"/>
  <c r="V227" i="1"/>
  <c r="S45" i="3" s="1"/>
  <c r="Y227" i="1"/>
  <c r="Z227" i="1"/>
  <c r="AB227" i="1"/>
  <c r="AC227" i="1"/>
  <c r="AD227" i="1"/>
  <c r="AE227" i="1"/>
  <c r="R45" i="3" s="1"/>
  <c r="AF227" i="1"/>
  <c r="AH235" i="1"/>
  <c r="AM235" i="1"/>
  <c r="AN235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36" i="1"/>
  <c r="AM236" i="1"/>
  <c r="AN236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37" i="1"/>
  <c r="AM237" i="1"/>
  <c r="AN237" i="1"/>
  <c r="M38" i="3"/>
  <c r="S38" i="3"/>
  <c r="U38" i="3"/>
  <c r="T38" i="3" s="1"/>
  <c r="V38" i="3"/>
  <c r="X38" i="3"/>
  <c r="AC38" i="3"/>
  <c r="M44" i="3"/>
  <c r="U44" i="3"/>
  <c r="AD44" i="3" s="1"/>
  <c r="V44" i="3"/>
  <c r="X44" i="3"/>
  <c r="M18" i="3"/>
  <c r="R18" i="3"/>
  <c r="T18" i="3"/>
  <c r="U18" i="3"/>
  <c r="AC18" i="3" s="1"/>
  <c r="V18" i="3"/>
  <c r="AE18" i="3" s="1"/>
  <c r="X18" i="3"/>
  <c r="M43" i="3"/>
  <c r="R43" i="3"/>
  <c r="U43" i="3"/>
  <c r="T43" i="3" s="1"/>
  <c r="V43" i="3"/>
  <c r="X43" i="3"/>
  <c r="M16" i="3"/>
  <c r="U16" i="3"/>
  <c r="T16" i="3" s="1"/>
  <c r="V16" i="3"/>
  <c r="X16" i="3"/>
  <c r="M8" i="3"/>
  <c r="R8" i="3"/>
  <c r="U8" i="3"/>
  <c r="V8" i="3"/>
  <c r="X8" i="3"/>
  <c r="M35" i="3"/>
  <c r="S35" i="3"/>
  <c r="U35" i="3"/>
  <c r="AC35" i="3" s="1"/>
  <c r="V35" i="3"/>
  <c r="X35" i="3"/>
  <c r="M41" i="3"/>
  <c r="R41" i="3"/>
  <c r="U41" i="3"/>
  <c r="T41" i="3" s="1"/>
  <c r="V41" i="3"/>
  <c r="X41" i="3"/>
  <c r="M37" i="3"/>
  <c r="U37" i="3"/>
  <c r="T37" i="3" s="1"/>
  <c r="V37" i="3"/>
  <c r="X37" i="3"/>
  <c r="M42" i="3"/>
  <c r="R42" i="3"/>
  <c r="U42" i="3"/>
  <c r="V42" i="3"/>
  <c r="X42" i="3"/>
  <c r="M9" i="3"/>
  <c r="U9" i="3"/>
  <c r="AC9" i="3" s="1"/>
  <c r="V9" i="3"/>
  <c r="X9" i="3"/>
  <c r="M34" i="3"/>
  <c r="R34" i="3"/>
  <c r="U34" i="3"/>
  <c r="T34" i="3" s="1"/>
  <c r="V34" i="3"/>
  <c r="X34" i="3"/>
  <c r="M14" i="3"/>
  <c r="S14" i="3"/>
  <c r="U14" i="3"/>
  <c r="T14" i="3" s="1"/>
  <c r="V14" i="3"/>
  <c r="X14" i="3"/>
  <c r="M26" i="3"/>
  <c r="S26" i="3"/>
  <c r="U26" i="3"/>
  <c r="V26" i="3"/>
  <c r="X26" i="3"/>
  <c r="M22" i="3"/>
  <c r="U22" i="3"/>
  <c r="AC22" i="3" s="1"/>
  <c r="V22" i="3"/>
  <c r="X22" i="3"/>
  <c r="M33" i="3"/>
  <c r="U33" i="3"/>
  <c r="T33" i="3" s="1"/>
  <c r="V33" i="3"/>
  <c r="X33" i="3"/>
  <c r="M27" i="3"/>
  <c r="S27" i="3"/>
  <c r="U27" i="3"/>
  <c r="T27" i="3" s="1"/>
  <c r="V27" i="3"/>
  <c r="X27" i="3"/>
  <c r="M11" i="3"/>
  <c r="R11" i="3"/>
  <c r="U11" i="3"/>
  <c r="AD11" i="3" s="1"/>
  <c r="V11" i="3"/>
  <c r="X11" i="3"/>
  <c r="M39" i="3"/>
  <c r="R39" i="3"/>
  <c r="U39" i="3"/>
  <c r="AC39" i="3" s="1"/>
  <c r="V39" i="3"/>
  <c r="X39" i="3"/>
  <c r="M7" i="3"/>
  <c r="R7" i="3"/>
  <c r="U7" i="3"/>
  <c r="T7" i="3" s="1"/>
  <c r="V7" i="3"/>
  <c r="X7" i="3"/>
  <c r="M36" i="3"/>
  <c r="S36" i="3"/>
  <c r="U36" i="3"/>
  <c r="T36" i="3" s="1"/>
  <c r="V36" i="3"/>
  <c r="X36" i="3"/>
  <c r="M28" i="3"/>
  <c r="R28" i="3"/>
  <c r="U28" i="3"/>
  <c r="V28" i="3"/>
  <c r="X28" i="3"/>
  <c r="M12" i="3"/>
  <c r="R12" i="3"/>
  <c r="U12" i="3"/>
  <c r="AC12" i="3" s="1"/>
  <c r="V12" i="3"/>
  <c r="X12" i="3"/>
  <c r="M15" i="3"/>
  <c r="S15" i="3"/>
  <c r="U15" i="3"/>
  <c r="T15" i="3" s="1"/>
  <c r="V15" i="3"/>
  <c r="X15" i="3"/>
  <c r="M23" i="3"/>
  <c r="S23" i="3"/>
  <c r="U23" i="3"/>
  <c r="T23" i="3" s="1"/>
  <c r="V23" i="3"/>
  <c r="X23" i="3"/>
  <c r="M21" i="3"/>
  <c r="S21" i="3"/>
  <c r="U21" i="3"/>
  <c r="V21" i="3"/>
  <c r="X21" i="3"/>
  <c r="M29" i="3"/>
  <c r="R29" i="3"/>
  <c r="S29" i="3"/>
  <c r="U29" i="3"/>
  <c r="AC29" i="3" s="1"/>
  <c r="V29" i="3"/>
  <c r="X29" i="3"/>
  <c r="M30" i="3"/>
  <c r="U30" i="3"/>
  <c r="V30" i="3"/>
  <c r="X30" i="3"/>
  <c r="AD35" i="3"/>
  <c r="M31" i="3"/>
  <c r="U31" i="3"/>
  <c r="T31" i="3" s="1"/>
  <c r="V31" i="3"/>
  <c r="X31" i="3"/>
  <c r="AD36" i="3"/>
  <c r="M20" i="3"/>
  <c r="R20" i="3"/>
  <c r="U20" i="3"/>
  <c r="V20" i="3"/>
  <c r="X20" i="3"/>
  <c r="M45" i="3"/>
  <c r="U45" i="3"/>
  <c r="AC45" i="3" s="1"/>
  <c r="V45" i="3"/>
  <c r="X45" i="3"/>
  <c r="M40" i="3"/>
  <c r="T40" i="3"/>
  <c r="U40" i="3"/>
  <c r="V40" i="3"/>
  <c r="X40" i="3"/>
  <c r="AC40" i="3"/>
  <c r="AD39" i="3"/>
  <c r="M48" i="3"/>
  <c r="U48" i="3"/>
  <c r="T48" i="3" s="1"/>
  <c r="V48" i="3"/>
  <c r="X48" i="3"/>
  <c r="AD40" i="3"/>
  <c r="M24" i="3"/>
  <c r="U24" i="3"/>
  <c r="V24" i="3"/>
  <c r="X24" i="3"/>
  <c r="M19" i="3"/>
  <c r="U19" i="3"/>
  <c r="AC19" i="3" s="1"/>
  <c r="V19" i="3"/>
  <c r="X19" i="3"/>
  <c r="M25" i="3"/>
  <c r="U25" i="3"/>
  <c r="T25" i="3" s="1"/>
  <c r="V25" i="3"/>
  <c r="X25" i="3"/>
  <c r="AD43" i="3"/>
  <c r="M17" i="3"/>
  <c r="U17" i="3"/>
  <c r="T17" i="3" s="1"/>
  <c r="V17" i="3"/>
  <c r="X17" i="3"/>
  <c r="M10" i="3"/>
  <c r="R10" i="3"/>
  <c r="U10" i="3"/>
  <c r="V10" i="3"/>
  <c r="X10" i="3"/>
  <c r="M32" i="3"/>
  <c r="U32" i="3"/>
  <c r="AC32" i="3" s="1"/>
  <c r="V32" i="3"/>
  <c r="X32" i="3"/>
  <c r="M13" i="3"/>
  <c r="S13" i="3"/>
  <c r="U13" i="3"/>
  <c r="T13" i="3" s="1"/>
  <c r="V13" i="3"/>
  <c r="X13" i="3"/>
  <c r="M47" i="3"/>
  <c r="U47" i="3"/>
  <c r="T47" i="3" s="1"/>
  <c r="V47" i="3"/>
  <c r="X47" i="3"/>
  <c r="W44" i="3"/>
  <c r="W11" i="3"/>
  <c r="W24" i="3"/>
  <c r="W43" i="3"/>
  <c r="W25" i="3"/>
  <c r="W9" i="3"/>
  <c r="W29" i="3"/>
  <c r="W15" i="3"/>
  <c r="W37" i="3"/>
  <c r="W23" i="3"/>
  <c r="W47" i="3"/>
  <c r="W8" i="3"/>
  <c r="W28" i="3"/>
  <c r="W10" i="3"/>
  <c r="W34" i="3"/>
  <c r="W13" i="3"/>
  <c r="W22" i="3"/>
  <c r="W19" i="3"/>
  <c r="W30" i="3"/>
  <c r="W14" i="3"/>
  <c r="W31" i="3"/>
  <c r="W42" i="3"/>
  <c r="W21" i="3"/>
  <c r="W45" i="3"/>
  <c r="W33" i="3"/>
  <c r="W18" i="3"/>
  <c r="W39" i="3"/>
  <c r="W41" i="3"/>
  <c r="W38" i="3"/>
  <c r="W27" i="3"/>
  <c r="W48" i="3"/>
  <c r="W26" i="3"/>
  <c r="W20" i="3"/>
  <c r="W32" i="3"/>
  <c r="W40" i="3"/>
  <c r="W35" i="3"/>
  <c r="W12" i="3"/>
  <c r="W7" i="3"/>
  <c r="W16" i="3"/>
  <c r="W36" i="3"/>
  <c r="W17" i="3"/>
  <c r="AG187" i="1"/>
  <c r="AG40" i="1"/>
  <c r="AG26" i="1"/>
  <c r="AG52" i="1"/>
  <c r="AG83" i="1"/>
  <c r="AG81" i="1"/>
  <c r="AG103" i="1"/>
  <c r="AG93" i="1"/>
  <c r="AG160" i="1"/>
  <c r="AG147" i="1"/>
  <c r="AG218" i="1"/>
  <c r="AG228" i="1"/>
  <c r="AG216" i="1"/>
  <c r="AG226" i="1"/>
  <c r="AG206" i="1"/>
  <c r="AG39" i="1"/>
  <c r="AG25" i="1"/>
  <c r="AG55" i="1"/>
  <c r="AG85" i="1"/>
  <c r="AG97" i="1"/>
  <c r="AG183" i="1"/>
  <c r="AG193" i="1"/>
  <c r="AG133" i="1"/>
  <c r="AG168" i="1"/>
  <c r="AG16" i="1"/>
  <c r="AG43" i="1"/>
  <c r="AG29" i="1"/>
  <c r="AG59" i="1"/>
  <c r="AG57" i="1"/>
  <c r="AG117" i="1"/>
  <c r="AG106" i="1"/>
  <c r="AG137" i="1"/>
  <c r="AG210" i="1"/>
  <c r="AG146" i="1"/>
  <c r="AG188" i="1"/>
  <c r="AG179" i="1"/>
  <c r="AG170" i="1"/>
  <c r="AG165" i="1"/>
  <c r="AG20" i="1"/>
  <c r="AG47" i="1"/>
  <c r="AG33" i="1"/>
  <c r="AG79" i="1"/>
  <c r="AG77" i="1"/>
  <c r="AG116" i="1"/>
  <c r="AG141" i="1"/>
  <c r="AG134" i="1"/>
  <c r="AG221" i="1"/>
  <c r="AG174" i="1"/>
  <c r="AG227" i="1"/>
  <c r="AG94" i="1"/>
  <c r="AG158" i="1"/>
  <c r="AG182" i="1"/>
  <c r="AG201" i="1"/>
  <c r="AG113" i="1"/>
  <c r="AG200" i="1"/>
  <c r="AG177" i="1"/>
  <c r="AG66" i="1"/>
  <c r="AG140" i="1"/>
  <c r="AG164" i="1"/>
  <c r="AG162" i="1"/>
  <c r="AG28" i="1"/>
  <c r="AG14" i="1"/>
  <c r="AG54" i="1"/>
  <c r="AG159" i="1"/>
  <c r="AG71" i="1"/>
  <c r="AG144" i="1"/>
  <c r="AG32" i="1"/>
  <c r="AG45" i="1"/>
  <c r="AG75" i="1"/>
  <c r="AG95" i="1"/>
  <c r="AG152" i="1"/>
  <c r="AG161" i="1"/>
  <c r="AG205" i="1"/>
  <c r="AG185" i="1"/>
  <c r="AG181" i="1"/>
  <c r="AG22" i="1"/>
  <c r="AG62" i="1"/>
  <c r="AG110" i="1"/>
  <c r="AG149" i="1"/>
  <c r="AG207" i="1"/>
  <c r="AG166" i="1"/>
  <c r="AG214" i="1"/>
  <c r="AG212" i="1"/>
  <c r="AG128" i="1"/>
  <c r="AG225" i="1"/>
  <c r="AG24" i="1"/>
  <c r="AG51" i="1"/>
  <c r="AG37" i="1"/>
  <c r="AG67" i="1"/>
  <c r="AG65" i="1"/>
  <c r="AG87" i="1"/>
  <c r="AG115" i="1"/>
  <c r="AG145" i="1"/>
  <c r="AG131" i="1"/>
  <c r="AG196" i="1"/>
  <c r="AG186" i="1"/>
  <c r="AG194" i="1"/>
  <c r="AG189" i="1"/>
  <c r="AG23" i="1"/>
  <c r="AG46" i="1"/>
  <c r="AG72" i="1"/>
  <c r="AG53" i="1"/>
  <c r="AG222" i="1"/>
  <c r="AG215" i="1"/>
  <c r="AG119" i="1"/>
  <c r="AG237" i="1"/>
  <c r="AG27" i="1"/>
  <c r="AG76" i="1"/>
  <c r="AG100" i="1"/>
  <c r="AG118" i="1"/>
  <c r="AG130" i="1"/>
  <c r="AG127" i="1"/>
  <c r="AG19" i="1"/>
  <c r="AG42" i="1"/>
  <c r="AG68" i="1"/>
  <c r="AG92" i="1"/>
  <c r="AG120" i="1"/>
  <c r="AG109" i="1"/>
  <c r="AG209" i="1"/>
  <c r="AG231" i="1"/>
  <c r="AG233" i="1"/>
  <c r="AG41" i="1"/>
  <c r="AG96" i="1"/>
  <c r="AG235" i="1"/>
  <c r="AG213" i="1"/>
  <c r="AG18" i="1"/>
  <c r="AG73" i="1"/>
  <c r="AG123" i="1"/>
  <c r="AG139" i="1"/>
  <c r="AG195" i="1"/>
  <c r="AG36" i="1"/>
  <c r="AG49" i="1"/>
  <c r="AG104" i="1"/>
  <c r="AG136" i="1"/>
  <c r="AG167" i="1"/>
  <c r="AG105" i="1"/>
  <c r="AG69" i="1"/>
  <c r="AG175" i="1"/>
  <c r="AG153" i="1"/>
  <c r="AG124" i="1"/>
  <c r="AG157" i="1"/>
  <c r="AG50" i="1"/>
  <c r="AG74" i="1"/>
  <c r="AG90" i="1"/>
  <c r="AG148" i="1"/>
  <c r="AG172" i="1"/>
  <c r="AG114" i="1"/>
  <c r="AG35" i="1"/>
  <c r="AG21" i="1"/>
  <c r="AG84" i="1"/>
  <c r="AG82" i="1"/>
  <c r="AG108" i="1"/>
  <c r="AG98" i="1"/>
  <c r="AG129" i="1"/>
  <c r="AG155" i="1"/>
  <c r="AG138" i="1"/>
  <c r="AG180" i="1"/>
  <c r="AG171" i="1"/>
  <c r="AG178" i="1"/>
  <c r="AG173" i="1"/>
  <c r="AG44" i="1"/>
  <c r="AG30" i="1"/>
  <c r="AG56" i="1"/>
  <c r="AG70" i="1"/>
  <c r="AG91" i="1"/>
  <c r="AG125" i="1"/>
  <c r="AG220" i="1"/>
  <c r="AG112" i="1"/>
  <c r="AG150" i="1"/>
  <c r="AG191" i="1"/>
  <c r="AG48" i="1"/>
  <c r="AG34" i="1"/>
  <c r="AG60" i="1"/>
  <c r="AG58" i="1"/>
  <c r="AG86" i="1"/>
  <c r="AG111" i="1"/>
  <c r="AG101" i="1"/>
  <c r="AG132" i="1"/>
  <c r="AG154" i="1"/>
  <c r="AG232" i="1"/>
  <c r="AG217" i="1"/>
  <c r="AG211" i="1"/>
  <c r="AG202" i="1"/>
  <c r="AG197" i="1"/>
  <c r="AG15" i="1"/>
  <c r="AG38" i="1"/>
  <c r="AG80" i="1"/>
  <c r="AG78" i="1"/>
  <c r="AG121" i="1"/>
  <c r="AG89" i="1"/>
  <c r="AG151" i="1"/>
  <c r="AG236" i="1"/>
  <c r="AG199" i="1"/>
  <c r="AG169" i="1"/>
  <c r="AG64" i="1"/>
  <c r="AG156" i="1"/>
  <c r="AG176" i="1"/>
  <c r="AG190" i="1"/>
  <c r="AG107" i="1"/>
  <c r="AG135" i="1"/>
  <c r="AG208" i="1"/>
  <c r="AG230" i="1"/>
  <c r="AG17" i="1"/>
  <c r="AG122" i="1"/>
  <c r="AG184" i="1"/>
  <c r="AG223" i="1"/>
  <c r="AG126" i="1"/>
  <c r="AG163" i="1"/>
  <c r="AG99" i="1"/>
  <c r="AG224" i="1"/>
  <c r="AG219" i="1"/>
  <c r="AG63" i="1"/>
  <c r="AG143" i="1"/>
  <c r="AG88" i="1"/>
  <c r="AG102" i="1"/>
  <c r="AG229" i="1"/>
  <c r="AG61" i="1"/>
  <c r="AG192" i="1"/>
  <c r="AG142" i="1"/>
  <c r="AG31" i="1"/>
  <c r="AG234" i="1"/>
  <c r="AG198" i="1"/>
  <c r="X237" i="1" l="1"/>
  <c r="AA162" i="1"/>
  <c r="X140" i="1"/>
  <c r="AA88" i="1"/>
  <c r="W88" i="1" s="1"/>
  <c r="X202" i="1"/>
  <c r="AA56" i="1"/>
  <c r="X21" i="1"/>
  <c r="X181" i="1"/>
  <c r="AA181" i="1"/>
  <c r="W181" i="1" s="1"/>
  <c r="S37" i="3"/>
  <c r="AA193" i="1"/>
  <c r="X183" i="1"/>
  <c r="X169" i="1"/>
  <c r="T237" i="1"/>
  <c r="X223" i="1"/>
  <c r="AA152" i="1"/>
  <c r="W152" i="1" s="1"/>
  <c r="X101" i="1"/>
  <c r="T37" i="1"/>
  <c r="AA32" i="1"/>
  <c r="AA102" i="1"/>
  <c r="W102" i="1" s="1"/>
  <c r="AA175" i="1"/>
  <c r="W175" i="1" s="1"/>
  <c r="AA173" i="1"/>
  <c r="X164" i="1"/>
  <c r="X155" i="1"/>
  <c r="S28" i="3"/>
  <c r="AA176" i="1"/>
  <c r="X168" i="1"/>
  <c r="AA168" i="1"/>
  <c r="AA164" i="1"/>
  <c r="W164" i="1" s="1"/>
  <c r="AA163" i="1"/>
  <c r="X105" i="1"/>
  <c r="T101" i="1"/>
  <c r="U101" i="1" s="1"/>
  <c r="S101" i="1" s="1"/>
  <c r="AA96" i="1"/>
  <c r="W96" i="1" s="1"/>
  <c r="AA81" i="1"/>
  <c r="AA73" i="1"/>
  <c r="X52" i="1"/>
  <c r="X29" i="1"/>
  <c r="X25" i="1"/>
  <c r="T21" i="1"/>
  <c r="AA16" i="1"/>
  <c r="W16" i="1" s="1"/>
  <c r="AA14" i="1"/>
  <c r="W14" i="1" s="1"/>
  <c r="X182" i="1"/>
  <c r="X203" i="1"/>
  <c r="AA104" i="1"/>
  <c r="W104" i="1" s="1"/>
  <c r="X82" i="1"/>
  <c r="AA24" i="1"/>
  <c r="X148" i="1"/>
  <c r="X214" i="1"/>
  <c r="X97" i="1"/>
  <c r="X93" i="1"/>
  <c r="X89" i="1"/>
  <c r="X87" i="1"/>
  <c r="X78" i="1"/>
  <c r="X74" i="1"/>
  <c r="X66" i="1"/>
  <c r="X17" i="1"/>
  <c r="AI187" i="1"/>
  <c r="U187" i="1"/>
  <c r="S187" i="1" s="1"/>
  <c r="W187" i="1"/>
  <c r="X187" i="1"/>
  <c r="AC13" i="3"/>
  <c r="AC25" i="3"/>
  <c r="AD41" i="3"/>
  <c r="AE35" i="3"/>
  <c r="AA194" i="1"/>
  <c r="W194" i="1" s="1"/>
  <c r="AA186" i="1"/>
  <c r="X185" i="1"/>
  <c r="T223" i="1"/>
  <c r="U223" i="1" s="1"/>
  <c r="S223" i="1" s="1"/>
  <c r="AA218" i="1"/>
  <c r="W218" i="1" s="1"/>
  <c r="AA214" i="1"/>
  <c r="X133" i="1"/>
  <c r="X132" i="1"/>
  <c r="AA130" i="1"/>
  <c r="W130" i="1" s="1"/>
  <c r="AA121" i="1"/>
  <c r="AA119" i="1"/>
  <c r="X118" i="1"/>
  <c r="AA89" i="1"/>
  <c r="W89" i="1" s="1"/>
  <c r="T89" i="1"/>
  <c r="AA83" i="1"/>
  <c r="AA76" i="1"/>
  <c r="W76" i="1" s="1"/>
  <c r="T74" i="1"/>
  <c r="U74" i="1" s="1"/>
  <c r="S74" i="1" s="1"/>
  <c r="AA68" i="1"/>
  <c r="T66" i="1"/>
  <c r="AA38" i="1"/>
  <c r="W38" i="1" s="1"/>
  <c r="AA35" i="1"/>
  <c r="W35" i="1" s="1"/>
  <c r="X149" i="1"/>
  <c r="AC41" i="3"/>
  <c r="AA195" i="1"/>
  <c r="W195" i="1" s="1"/>
  <c r="AA185" i="1"/>
  <c r="W185" i="1" s="1"/>
  <c r="AA221" i="1"/>
  <c r="X141" i="1"/>
  <c r="X137" i="1"/>
  <c r="AA135" i="1"/>
  <c r="W135" i="1" s="1"/>
  <c r="AA132" i="1"/>
  <c r="AA131" i="1"/>
  <c r="AA126" i="1"/>
  <c r="W126" i="1" s="1"/>
  <c r="AA112" i="1"/>
  <c r="W112" i="1" s="1"/>
  <c r="AA92" i="1"/>
  <c r="AA90" i="1"/>
  <c r="AA84" i="1"/>
  <c r="W84" i="1" s="1"/>
  <c r="X81" i="1"/>
  <c r="AA75" i="1"/>
  <c r="AA67" i="1"/>
  <c r="AA49" i="1"/>
  <c r="W49" i="1" s="1"/>
  <c r="AA39" i="1"/>
  <c r="W39" i="1" s="1"/>
  <c r="AA28" i="1"/>
  <c r="X162" i="1"/>
  <c r="X232" i="1"/>
  <c r="X112" i="1"/>
  <c r="X62" i="1"/>
  <c r="X150" i="1"/>
  <c r="X172" i="1"/>
  <c r="X156" i="1"/>
  <c r="AA77" i="1"/>
  <c r="X73" i="1"/>
  <c r="AA69" i="1"/>
  <c r="W69" i="1" s="1"/>
  <c r="X65" i="1"/>
  <c r="AA65" i="1"/>
  <c r="AD45" i="3"/>
  <c r="AD48" i="3"/>
  <c r="AC15" i="3"/>
  <c r="AD29" i="3"/>
  <c r="AC33" i="3"/>
  <c r="AA227" i="1"/>
  <c r="W227" i="1" s="1"/>
  <c r="X226" i="1"/>
  <c r="X207" i="1"/>
  <c r="AA202" i="1"/>
  <c r="W202" i="1" s="1"/>
  <c r="T202" i="1"/>
  <c r="U202" i="1" s="1"/>
  <c r="S202" i="1" s="1"/>
  <c r="AA201" i="1"/>
  <c r="W201" i="1" s="1"/>
  <c r="X194" i="1"/>
  <c r="AA235" i="1"/>
  <c r="W235" i="1" s="1"/>
  <c r="AA233" i="1"/>
  <c r="AA222" i="1"/>
  <c r="W222" i="1" s="1"/>
  <c r="X212" i="1"/>
  <c r="X211" i="1"/>
  <c r="X210" i="1"/>
  <c r="AA161" i="1"/>
  <c r="W161" i="1" s="1"/>
  <c r="T141" i="1"/>
  <c r="AA140" i="1"/>
  <c r="W140" i="1" s="1"/>
  <c r="T140" i="1"/>
  <c r="AA139" i="1"/>
  <c r="W139" i="1" s="1"/>
  <c r="AA123" i="1"/>
  <c r="X122" i="1"/>
  <c r="T105" i="1"/>
  <c r="U105" i="1" s="1"/>
  <c r="S105" i="1" s="1"/>
  <c r="X96" i="1"/>
  <c r="X77" i="1"/>
  <c r="X69" i="1"/>
  <c r="AA43" i="1"/>
  <c r="W43" i="1" s="1"/>
  <c r="X33" i="1"/>
  <c r="AA33" i="1"/>
  <c r="AA31" i="1"/>
  <c r="T29" i="1"/>
  <c r="T25" i="1"/>
  <c r="U25" i="1" s="1"/>
  <c r="S25" i="1" s="1"/>
  <c r="X20" i="1"/>
  <c r="X115" i="1"/>
  <c r="X130" i="1"/>
  <c r="X49" i="1"/>
  <c r="AA127" i="1"/>
  <c r="X129" i="1"/>
  <c r="AE43" i="3"/>
  <c r="AE39" i="3"/>
  <c r="AD37" i="3"/>
  <c r="AC30" i="3"/>
  <c r="T30" i="3"/>
  <c r="AD33" i="3"/>
  <c r="AC7" i="3"/>
  <c r="AE11" i="3"/>
  <c r="AC34" i="3"/>
  <c r="AD16" i="3"/>
  <c r="AA229" i="1"/>
  <c r="X228" i="1"/>
  <c r="AA225" i="1"/>
  <c r="W225" i="1" s="1"/>
  <c r="AA192" i="1"/>
  <c r="W192" i="1" s="1"/>
  <c r="X215" i="1"/>
  <c r="AA213" i="1"/>
  <c r="AA210" i="1"/>
  <c r="W210" i="1" s="1"/>
  <c r="AA209" i="1"/>
  <c r="AA158" i="1"/>
  <c r="W158" i="1" s="1"/>
  <c r="AA145" i="1"/>
  <c r="AA138" i="1"/>
  <c r="AA124" i="1"/>
  <c r="W124" i="1" s="1"/>
  <c r="AA108" i="1"/>
  <c r="W108" i="1" s="1"/>
  <c r="AA106" i="1"/>
  <c r="AA44" i="1"/>
  <c r="W44" i="1" s="1"/>
  <c r="AA40" i="1"/>
  <c r="W40" i="1" s="1"/>
  <c r="X114" i="1"/>
  <c r="X127" i="1"/>
  <c r="X128" i="1"/>
  <c r="AI127" i="1"/>
  <c r="U127" i="1"/>
  <c r="S127" i="1" s="1"/>
  <c r="W127" i="1"/>
  <c r="AI114" i="1"/>
  <c r="U114" i="1"/>
  <c r="S114" i="1" s="1"/>
  <c r="W114" i="1"/>
  <c r="AA228" i="1"/>
  <c r="AA224" i="1"/>
  <c r="W224" i="1" s="1"/>
  <c r="AA189" i="1"/>
  <c r="W189" i="1" s="1"/>
  <c r="AA184" i="1"/>
  <c r="W184" i="1" s="1"/>
  <c r="X180" i="1"/>
  <c r="AA178" i="1"/>
  <c r="W178" i="1" s="1"/>
  <c r="X177" i="1"/>
  <c r="X176" i="1"/>
  <c r="AA172" i="1"/>
  <c r="T172" i="1"/>
  <c r="U172" i="1" s="1"/>
  <c r="S172" i="1" s="1"/>
  <c r="AA171" i="1"/>
  <c r="T169" i="1"/>
  <c r="AA167" i="1"/>
  <c r="AA165" i="1"/>
  <c r="X236" i="1"/>
  <c r="AA236" i="1"/>
  <c r="W236" i="1" s="1"/>
  <c r="AA232" i="1"/>
  <c r="T232" i="1"/>
  <c r="U232" i="1" s="1"/>
  <c r="S232" i="1" s="1"/>
  <c r="AA231" i="1"/>
  <c r="W231" i="1" s="1"/>
  <c r="X222" i="1"/>
  <c r="AA219" i="1"/>
  <c r="AA217" i="1"/>
  <c r="W217" i="1" s="1"/>
  <c r="T215" i="1"/>
  <c r="U215" i="1" s="1"/>
  <c r="S215" i="1" s="1"/>
  <c r="T156" i="1"/>
  <c r="U156" i="1" s="1"/>
  <c r="S156" i="1" s="1"/>
  <c r="AA155" i="1"/>
  <c r="T155" i="1"/>
  <c r="U155" i="1" s="1"/>
  <c r="S155" i="1" s="1"/>
  <c r="AA154" i="1"/>
  <c r="W154" i="1" s="1"/>
  <c r="AA146" i="1"/>
  <c r="X136" i="1"/>
  <c r="AA129" i="1"/>
  <c r="W129" i="1" s="1"/>
  <c r="AA125" i="1"/>
  <c r="W125" i="1" s="1"/>
  <c r="X121" i="1"/>
  <c r="AA117" i="1"/>
  <c r="AA115" i="1"/>
  <c r="W115" i="1" s="1"/>
  <c r="X113" i="1"/>
  <c r="AA110" i="1"/>
  <c r="X109" i="1"/>
  <c r="T97" i="1"/>
  <c r="AA93" i="1"/>
  <c r="W93" i="1" s="1"/>
  <c r="T93" i="1"/>
  <c r="X88" i="1"/>
  <c r="X85" i="1"/>
  <c r="AA80" i="1"/>
  <c r="W80" i="1" s="1"/>
  <c r="T78" i="1"/>
  <c r="AA71" i="1"/>
  <c r="X70" i="1"/>
  <c r="AA64" i="1"/>
  <c r="W64" i="1" s="1"/>
  <c r="T62" i="1"/>
  <c r="AA61" i="1"/>
  <c r="AA58" i="1"/>
  <c r="W58" i="1" s="1"/>
  <c r="X54" i="1"/>
  <c r="X53" i="1"/>
  <c r="AA51" i="1"/>
  <c r="X48" i="1"/>
  <c r="AA46" i="1"/>
  <c r="W46" i="1" s="1"/>
  <c r="X45" i="1"/>
  <c r="X40" i="1"/>
  <c r="AA36" i="1"/>
  <c r="W36" i="1" s="1"/>
  <c r="X24" i="1"/>
  <c r="AA20" i="1"/>
  <c r="AA226" i="1"/>
  <c r="AA200" i="1"/>
  <c r="X152" i="1"/>
  <c r="X32" i="1"/>
  <c r="AA30" i="1"/>
  <c r="T17" i="1"/>
  <c r="U17" i="1" s="1"/>
  <c r="S17" i="1" s="1"/>
  <c r="AA206" i="1"/>
  <c r="W206" i="1" s="1"/>
  <c r="AA183" i="1"/>
  <c r="AA180" i="1"/>
  <c r="AA179" i="1"/>
  <c r="W179" i="1" s="1"/>
  <c r="AA170" i="1"/>
  <c r="W170" i="1" s="1"/>
  <c r="AA230" i="1"/>
  <c r="X218" i="1"/>
  <c r="AA216" i="1"/>
  <c r="W216" i="1" s="1"/>
  <c r="AA160" i="1"/>
  <c r="W160" i="1" s="1"/>
  <c r="AA153" i="1"/>
  <c r="AA150" i="1"/>
  <c r="AA148" i="1"/>
  <c r="W148" i="1" s="1"/>
  <c r="AA147" i="1"/>
  <c r="W147" i="1" s="1"/>
  <c r="AA137" i="1"/>
  <c r="X104" i="1"/>
  <c r="AA100" i="1"/>
  <c r="AA98" i="1"/>
  <c r="W98" i="1" s="1"/>
  <c r="AA94" i="1"/>
  <c r="AA79" i="1"/>
  <c r="AA72" i="1"/>
  <c r="AA63" i="1"/>
  <c r="W63" i="1" s="1"/>
  <c r="AA53" i="1"/>
  <c r="AA52" i="1"/>
  <c r="AA48" i="1"/>
  <c r="AA47" i="1"/>
  <c r="W47" i="1" s="1"/>
  <c r="AA41" i="1"/>
  <c r="AA27" i="1"/>
  <c r="AA23" i="1"/>
  <c r="W23" i="1" s="1"/>
  <c r="AA197" i="1"/>
  <c r="W197" i="1" s="1"/>
  <c r="AA18" i="1"/>
  <c r="T165" i="1"/>
  <c r="X165" i="1"/>
  <c r="X197" i="1"/>
  <c r="X225" i="1"/>
  <c r="AA207" i="1"/>
  <c r="T207" i="1"/>
  <c r="U207" i="1" s="1"/>
  <c r="S207" i="1" s="1"/>
  <c r="AA205" i="1"/>
  <c r="W205" i="1" s="1"/>
  <c r="AA199" i="1"/>
  <c r="X198" i="1"/>
  <c r="X193" i="1"/>
  <c r="T181" i="1"/>
  <c r="U181" i="1" s="1"/>
  <c r="S181" i="1" s="1"/>
  <c r="X173" i="1"/>
  <c r="T173" i="1"/>
  <c r="X233" i="1"/>
  <c r="T233" i="1"/>
  <c r="U233" i="1" s="1"/>
  <c r="S233" i="1" s="1"/>
  <c r="X206" i="1"/>
  <c r="T190" i="1"/>
  <c r="X190" i="1"/>
  <c r="X189" i="1"/>
  <c r="X230" i="1"/>
  <c r="AA208" i="1"/>
  <c r="X201" i="1"/>
  <c r="AA198" i="1"/>
  <c r="W198" i="1" s="1"/>
  <c r="AA196" i="1"/>
  <c r="X234" i="1"/>
  <c r="T234" i="1"/>
  <c r="X219" i="1"/>
  <c r="T219" i="1"/>
  <c r="AA191" i="1"/>
  <c r="X184" i="1"/>
  <c r="AA169" i="1"/>
  <c r="W169" i="1" s="1"/>
  <c r="T168" i="1"/>
  <c r="AA166" i="1"/>
  <c r="W166" i="1" s="1"/>
  <c r="AA237" i="1"/>
  <c r="W237" i="1" s="1"/>
  <c r="T236" i="1"/>
  <c r="U236" i="1" s="1"/>
  <c r="S236" i="1" s="1"/>
  <c r="AA234" i="1"/>
  <c r="AA215" i="1"/>
  <c r="W215" i="1" s="1"/>
  <c r="T214" i="1"/>
  <c r="U214" i="1" s="1"/>
  <c r="S214" i="1" s="1"/>
  <c r="AA212" i="1"/>
  <c r="W212" i="1" s="1"/>
  <c r="AA211" i="1"/>
  <c r="X160" i="1"/>
  <c r="X159" i="1"/>
  <c r="T152" i="1"/>
  <c r="U152" i="1" s="1"/>
  <c r="S152" i="1" s="1"/>
  <c r="AA151" i="1"/>
  <c r="T151" i="1"/>
  <c r="U151" i="1" s="1"/>
  <c r="S151" i="1" s="1"/>
  <c r="AA149" i="1"/>
  <c r="W149" i="1" s="1"/>
  <c r="X145" i="1"/>
  <c r="X144" i="1"/>
  <c r="T137" i="1"/>
  <c r="U137" i="1" s="1"/>
  <c r="S137" i="1" s="1"/>
  <c r="AA136" i="1"/>
  <c r="W136" i="1" s="1"/>
  <c r="T136" i="1"/>
  <c r="U136" i="1" s="1"/>
  <c r="S136" i="1" s="1"/>
  <c r="AA134" i="1"/>
  <c r="AA133" i="1"/>
  <c r="W133" i="1" s="1"/>
  <c r="X126" i="1"/>
  <c r="AA122" i="1"/>
  <c r="W122" i="1" s="1"/>
  <c r="T121" i="1"/>
  <c r="AA120" i="1"/>
  <c r="X117" i="1"/>
  <c r="AA113" i="1"/>
  <c r="W113" i="1" s="1"/>
  <c r="T112" i="1"/>
  <c r="AA111" i="1"/>
  <c r="W111" i="1" s="1"/>
  <c r="X108" i="1"/>
  <c r="AA105" i="1"/>
  <c r="W105" i="1" s="1"/>
  <c r="T104" i="1"/>
  <c r="AA103" i="1"/>
  <c r="X100" i="1"/>
  <c r="AA97" i="1"/>
  <c r="W97" i="1" s="1"/>
  <c r="T96" i="1"/>
  <c r="AA95" i="1"/>
  <c r="W95" i="1" s="1"/>
  <c r="X92" i="1"/>
  <c r="T88" i="1"/>
  <c r="U88" i="1" s="1"/>
  <c r="S88" i="1" s="1"/>
  <c r="AA87" i="1"/>
  <c r="AA86" i="1"/>
  <c r="AA82" i="1"/>
  <c r="T81" i="1"/>
  <c r="U81" i="1" s="1"/>
  <c r="S81" i="1" s="1"/>
  <c r="AA78" i="1"/>
  <c r="T77" i="1"/>
  <c r="AA74" i="1"/>
  <c r="W74" i="1" s="1"/>
  <c r="T73" i="1"/>
  <c r="U73" i="1" s="1"/>
  <c r="AA70" i="1"/>
  <c r="T69" i="1"/>
  <c r="AA66" i="1"/>
  <c r="W66" i="1" s="1"/>
  <c r="T65" i="1"/>
  <c r="U65" i="1" s="1"/>
  <c r="S65" i="1" s="1"/>
  <c r="AA62" i="1"/>
  <c r="T61" i="1"/>
  <c r="T40" i="1"/>
  <c r="U40" i="1" s="1"/>
  <c r="S40" i="1" s="1"/>
  <c r="AA59" i="1"/>
  <c r="W59" i="1" s="1"/>
  <c r="X58" i="1"/>
  <c r="X57" i="1"/>
  <c r="T49" i="1"/>
  <c r="U49" i="1" s="1"/>
  <c r="S49" i="1" s="1"/>
  <c r="AA45" i="1"/>
  <c r="AA42" i="1"/>
  <c r="X41" i="1"/>
  <c r="X36" i="1"/>
  <c r="T33" i="1"/>
  <c r="U33" i="1" s="1"/>
  <c r="S33" i="1" s="1"/>
  <c r="AA29" i="1"/>
  <c r="AA26" i="1"/>
  <c r="W26" i="1" s="1"/>
  <c r="AA25" i="1"/>
  <c r="W25" i="1" s="1"/>
  <c r="T24" i="1"/>
  <c r="U24" i="1" s="1"/>
  <c r="S24" i="1" s="1"/>
  <c r="AA22" i="1"/>
  <c r="AA21" i="1"/>
  <c r="W21" i="1" s="1"/>
  <c r="T20" i="1"/>
  <c r="U20" i="1" s="1"/>
  <c r="S20" i="1" s="1"/>
  <c r="X16" i="1"/>
  <c r="AA190" i="1"/>
  <c r="AA188" i="1"/>
  <c r="W188" i="1" s="1"/>
  <c r="AA182" i="1"/>
  <c r="W182" i="1" s="1"/>
  <c r="AA177" i="1"/>
  <c r="W177" i="1" s="1"/>
  <c r="AA174" i="1"/>
  <c r="AA223" i="1"/>
  <c r="W223" i="1" s="1"/>
  <c r="AA220" i="1"/>
  <c r="W220" i="1" s="1"/>
  <c r="AA159" i="1"/>
  <c r="W159" i="1" s="1"/>
  <c r="AA157" i="1"/>
  <c r="AA156" i="1"/>
  <c r="AA144" i="1"/>
  <c r="W144" i="1" s="1"/>
  <c r="AA142" i="1"/>
  <c r="W142" i="1" s="1"/>
  <c r="AA141" i="1"/>
  <c r="AA128" i="1"/>
  <c r="W128" i="1" s="1"/>
  <c r="AA118" i="1"/>
  <c r="W118" i="1" s="1"/>
  <c r="AA116" i="1"/>
  <c r="W116" i="1" s="1"/>
  <c r="AA109" i="1"/>
  <c r="AA107" i="1"/>
  <c r="W107" i="1" s="1"/>
  <c r="AA101" i="1"/>
  <c r="W101" i="1" s="1"/>
  <c r="AA99" i="1"/>
  <c r="W99" i="1" s="1"/>
  <c r="AA91" i="1"/>
  <c r="AA85" i="1"/>
  <c r="W85" i="1" s="1"/>
  <c r="AA57" i="1"/>
  <c r="W57" i="1" s="1"/>
  <c r="AA55" i="1"/>
  <c r="W55" i="1" s="1"/>
  <c r="AA54" i="1"/>
  <c r="T52" i="1"/>
  <c r="U52" i="1" s="1"/>
  <c r="AA50" i="1"/>
  <c r="W50" i="1" s="1"/>
  <c r="X44" i="1"/>
  <c r="AA37" i="1"/>
  <c r="AA34" i="1"/>
  <c r="X28" i="1"/>
  <c r="AA17" i="1"/>
  <c r="W17" i="1" s="1"/>
  <c r="AI235" i="1"/>
  <c r="U229" i="1"/>
  <c r="S229" i="1" s="1"/>
  <c r="AI237" i="1"/>
  <c r="U225" i="1"/>
  <c r="S225" i="1" s="1"/>
  <c r="AI233" i="1"/>
  <c r="AI229" i="1"/>
  <c r="U206" i="1"/>
  <c r="S206" i="1" s="1"/>
  <c r="AI225" i="1"/>
  <c r="U201" i="1"/>
  <c r="S201" i="1" s="1"/>
  <c r="AI221" i="1"/>
  <c r="U197" i="1"/>
  <c r="S197" i="1" s="1"/>
  <c r="AI217" i="1"/>
  <c r="U193" i="1"/>
  <c r="S193" i="1" s="1"/>
  <c r="AI213" i="1"/>
  <c r="U189" i="1"/>
  <c r="S189" i="1" s="1"/>
  <c r="AI209" i="1"/>
  <c r="U184" i="1"/>
  <c r="S184" i="1" s="1"/>
  <c r="AI205" i="1"/>
  <c r="AI200" i="1"/>
  <c r="U177" i="1"/>
  <c r="S177" i="1" s="1"/>
  <c r="AI196" i="1"/>
  <c r="U173" i="1"/>
  <c r="S173" i="1" s="1"/>
  <c r="AI192" i="1"/>
  <c r="U169" i="1"/>
  <c r="S169" i="1" s="1"/>
  <c r="AI188" i="1"/>
  <c r="U165" i="1"/>
  <c r="S165" i="1" s="1"/>
  <c r="AI183" i="1"/>
  <c r="U237" i="1"/>
  <c r="S237" i="1" s="1"/>
  <c r="AI180" i="1"/>
  <c r="AI176" i="1"/>
  <c r="AI172" i="1"/>
  <c r="U219" i="1"/>
  <c r="S219" i="1" s="1"/>
  <c r="AI168" i="1"/>
  <c r="AI234" i="1"/>
  <c r="U226" i="1"/>
  <c r="S226" i="1" s="1"/>
  <c r="AI230" i="1"/>
  <c r="AI226" i="1"/>
  <c r="AI222" i="1"/>
  <c r="U198" i="1"/>
  <c r="S198" i="1" s="1"/>
  <c r="AI218" i="1"/>
  <c r="U194" i="1"/>
  <c r="S194" i="1" s="1"/>
  <c r="AI214" i="1"/>
  <c r="U190" i="1"/>
  <c r="S190" i="1" s="1"/>
  <c r="AI210" i="1"/>
  <c r="U185" i="1"/>
  <c r="S185" i="1" s="1"/>
  <c r="AI206" i="1"/>
  <c r="AI201" i="1"/>
  <c r="U178" i="1"/>
  <c r="S178" i="1" s="1"/>
  <c r="AI197" i="1"/>
  <c r="U174" i="1"/>
  <c r="S174" i="1" s="1"/>
  <c r="AI193" i="1"/>
  <c r="U170" i="1"/>
  <c r="S170" i="1" s="1"/>
  <c r="AI189" i="1"/>
  <c r="U166" i="1"/>
  <c r="S166" i="1" s="1"/>
  <c r="AI184" i="1"/>
  <c r="U162" i="1"/>
  <c r="S162" i="1" s="1"/>
  <c r="AI181" i="1"/>
  <c r="U234" i="1"/>
  <c r="S234" i="1" s="1"/>
  <c r="AI177" i="1"/>
  <c r="U230" i="1"/>
  <c r="S230" i="1" s="1"/>
  <c r="AI173" i="1"/>
  <c r="U220" i="1"/>
  <c r="S220" i="1" s="1"/>
  <c r="AI169" i="1"/>
  <c r="U216" i="1"/>
  <c r="S216" i="1" s="1"/>
  <c r="AI165" i="1"/>
  <c r="AI164" i="1"/>
  <c r="U211" i="1"/>
  <c r="S211" i="1" s="1"/>
  <c r="U208" i="1"/>
  <c r="S208" i="1" s="1"/>
  <c r="AI231" i="1"/>
  <c r="AI227" i="1"/>
  <c r="U199" i="1"/>
  <c r="S199" i="1" s="1"/>
  <c r="AI223" i="1"/>
  <c r="U195" i="1"/>
  <c r="S195" i="1" s="1"/>
  <c r="AI219" i="1"/>
  <c r="U191" i="1"/>
  <c r="S191" i="1" s="1"/>
  <c r="AI215" i="1"/>
  <c r="U186" i="1"/>
  <c r="S186" i="1" s="1"/>
  <c r="AI211" i="1"/>
  <c r="U182" i="1"/>
  <c r="S182" i="1" s="1"/>
  <c r="AI207" i="1"/>
  <c r="U179" i="1"/>
  <c r="S179" i="1" s="1"/>
  <c r="AI202" i="1"/>
  <c r="U175" i="1"/>
  <c r="S175" i="1" s="1"/>
  <c r="AI198" i="1"/>
  <c r="U171" i="1"/>
  <c r="S171" i="1" s="1"/>
  <c r="AI194" i="1"/>
  <c r="U167" i="1"/>
  <c r="S167" i="1" s="1"/>
  <c r="AI190" i="1"/>
  <c r="U163" i="1"/>
  <c r="S163" i="1" s="1"/>
  <c r="AI185" i="1"/>
  <c r="U235" i="1"/>
  <c r="S235" i="1" s="1"/>
  <c r="U231" i="1"/>
  <c r="S231" i="1" s="1"/>
  <c r="AI178" i="1"/>
  <c r="U221" i="1"/>
  <c r="S221" i="1" s="1"/>
  <c r="AI174" i="1"/>
  <c r="U217" i="1"/>
  <c r="S217" i="1" s="1"/>
  <c r="AI170" i="1"/>
  <c r="U213" i="1"/>
  <c r="S213" i="1" s="1"/>
  <c r="AI166" i="1"/>
  <c r="U228" i="1"/>
  <c r="S228" i="1" s="1"/>
  <c r="AI236" i="1"/>
  <c r="AI232" i="1"/>
  <c r="AI228" i="1"/>
  <c r="AI224" i="1"/>
  <c r="AI220" i="1"/>
  <c r="AI216" i="1"/>
  <c r="AI212" i="1"/>
  <c r="AI208" i="1"/>
  <c r="U180" i="1"/>
  <c r="S180" i="1" s="1"/>
  <c r="U176" i="1"/>
  <c r="S176" i="1" s="1"/>
  <c r="AI199" i="1"/>
  <c r="AI195" i="1"/>
  <c r="U168" i="1"/>
  <c r="S168" i="1" s="1"/>
  <c r="AI191" i="1"/>
  <c r="U164" i="1"/>
  <c r="S164" i="1" s="1"/>
  <c r="AI186" i="1"/>
  <c r="AI182" i="1"/>
  <c r="AI179" i="1"/>
  <c r="U222" i="1"/>
  <c r="S222" i="1" s="1"/>
  <c r="AI175" i="1"/>
  <c r="U218" i="1"/>
  <c r="S218" i="1" s="1"/>
  <c r="AI171" i="1"/>
  <c r="AI167" i="1"/>
  <c r="AI161" i="1"/>
  <c r="U161" i="1"/>
  <c r="AI157" i="1"/>
  <c r="U157" i="1"/>
  <c r="S157" i="1" s="1"/>
  <c r="AI153" i="1"/>
  <c r="U153" i="1"/>
  <c r="S153" i="1" s="1"/>
  <c r="AI149" i="1"/>
  <c r="U149" i="1"/>
  <c r="S149" i="1" s="1"/>
  <c r="AI146" i="1"/>
  <c r="U146" i="1"/>
  <c r="S146" i="1" s="1"/>
  <c r="AI142" i="1"/>
  <c r="U142" i="1"/>
  <c r="S142" i="1" s="1"/>
  <c r="AI138" i="1"/>
  <c r="U138" i="1"/>
  <c r="S138" i="1" s="1"/>
  <c r="AI134" i="1"/>
  <c r="U134" i="1"/>
  <c r="S134" i="1" s="1"/>
  <c r="AI130" i="1"/>
  <c r="U130" i="1"/>
  <c r="S130" i="1" s="1"/>
  <c r="AI125" i="1"/>
  <c r="U209" i="1"/>
  <c r="S209" i="1" s="1"/>
  <c r="AI162" i="1"/>
  <c r="AI158" i="1"/>
  <c r="U158" i="1"/>
  <c r="S158" i="1" s="1"/>
  <c r="AI154" i="1"/>
  <c r="U154" i="1"/>
  <c r="S154" i="1" s="1"/>
  <c r="AI150" i="1"/>
  <c r="U150" i="1"/>
  <c r="S150" i="1" s="1"/>
  <c r="AI147" i="1"/>
  <c r="U147" i="1"/>
  <c r="S147" i="1" s="1"/>
  <c r="AI143" i="1"/>
  <c r="U143" i="1"/>
  <c r="S143" i="1" s="1"/>
  <c r="AI139" i="1"/>
  <c r="U139" i="1"/>
  <c r="S139" i="1" s="1"/>
  <c r="AI135" i="1"/>
  <c r="U135" i="1"/>
  <c r="S135" i="1" s="1"/>
  <c r="AI131" i="1"/>
  <c r="U131" i="1"/>
  <c r="S131" i="1" s="1"/>
  <c r="AI126" i="1"/>
  <c r="U126" i="1"/>
  <c r="S126" i="1" s="1"/>
  <c r="U210" i="1"/>
  <c r="S210" i="1" s="1"/>
  <c r="AI163" i="1"/>
  <c r="U159" i="1"/>
  <c r="S159" i="1" s="1"/>
  <c r="AI159" i="1"/>
  <c r="AI155" i="1"/>
  <c r="AI151" i="1"/>
  <c r="U148" i="1"/>
  <c r="S148" i="1" s="1"/>
  <c r="AI148" i="1"/>
  <c r="U144" i="1"/>
  <c r="S144" i="1" s="1"/>
  <c r="AI144" i="1"/>
  <c r="U140" i="1"/>
  <c r="S140" i="1" s="1"/>
  <c r="AI140" i="1"/>
  <c r="AI136" i="1"/>
  <c r="U132" i="1"/>
  <c r="S132" i="1" s="1"/>
  <c r="AI132" i="1"/>
  <c r="U128" i="1"/>
  <c r="S128" i="1" s="1"/>
  <c r="AI128" i="1"/>
  <c r="U160" i="1"/>
  <c r="S160" i="1" s="1"/>
  <c r="AI160" i="1"/>
  <c r="AI156" i="1"/>
  <c r="AI152" i="1"/>
  <c r="U145" i="1"/>
  <c r="S145" i="1" s="1"/>
  <c r="AI145" i="1"/>
  <c r="U141" i="1"/>
  <c r="S141" i="1" s="1"/>
  <c r="AI141" i="1"/>
  <c r="AI137" i="1"/>
  <c r="U133" i="1"/>
  <c r="S133" i="1" s="1"/>
  <c r="AI133" i="1"/>
  <c r="U129" i="1"/>
  <c r="S129" i="1" s="1"/>
  <c r="AI129" i="1"/>
  <c r="AI122" i="1"/>
  <c r="U122" i="1"/>
  <c r="S122" i="1" s="1"/>
  <c r="AI118" i="1"/>
  <c r="U118" i="1"/>
  <c r="S118" i="1" s="1"/>
  <c r="AI113" i="1"/>
  <c r="U113" i="1"/>
  <c r="S113" i="1" s="1"/>
  <c r="AI109" i="1"/>
  <c r="U109" i="1"/>
  <c r="S109" i="1" s="1"/>
  <c r="AI105" i="1"/>
  <c r="AI101" i="1"/>
  <c r="AI97" i="1"/>
  <c r="U97" i="1"/>
  <c r="S97" i="1" s="1"/>
  <c r="AI93" i="1"/>
  <c r="U93" i="1"/>
  <c r="S93" i="1" s="1"/>
  <c r="AI89" i="1"/>
  <c r="U89" i="1"/>
  <c r="S89" i="1" s="1"/>
  <c r="AI123" i="1"/>
  <c r="U123" i="1"/>
  <c r="S123" i="1" s="1"/>
  <c r="AI119" i="1"/>
  <c r="U119" i="1"/>
  <c r="S119" i="1" s="1"/>
  <c r="AI115" i="1"/>
  <c r="U115" i="1"/>
  <c r="S115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94" i="1"/>
  <c r="U94" i="1"/>
  <c r="S94" i="1" s="1"/>
  <c r="AI90" i="1"/>
  <c r="U90" i="1"/>
  <c r="S90" i="1" s="1"/>
  <c r="AI124" i="1"/>
  <c r="U120" i="1"/>
  <c r="S120" i="1" s="1"/>
  <c r="AI120" i="1"/>
  <c r="U116" i="1"/>
  <c r="S116" i="1" s="1"/>
  <c r="AI116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U91" i="1"/>
  <c r="S91" i="1" s="1"/>
  <c r="AI91" i="1"/>
  <c r="AI87" i="1"/>
  <c r="U121" i="1"/>
  <c r="S121" i="1" s="1"/>
  <c r="AI121" i="1"/>
  <c r="U117" i="1"/>
  <c r="S117" i="1" s="1"/>
  <c r="AI117" i="1"/>
  <c r="U112" i="1"/>
  <c r="S112" i="1" s="1"/>
  <c r="AI112" i="1"/>
  <c r="U108" i="1"/>
  <c r="S108" i="1" s="1"/>
  <c r="AI108" i="1"/>
  <c r="U104" i="1"/>
  <c r="S104" i="1" s="1"/>
  <c r="AI104" i="1"/>
  <c r="U100" i="1"/>
  <c r="S100" i="1" s="1"/>
  <c r="AI100" i="1"/>
  <c r="U96" i="1"/>
  <c r="S96" i="1" s="1"/>
  <c r="AI96" i="1"/>
  <c r="U92" i="1"/>
  <c r="S92" i="1" s="1"/>
  <c r="AI92" i="1"/>
  <c r="AI88" i="1"/>
  <c r="U86" i="1"/>
  <c r="S86" i="1" s="1"/>
  <c r="AI86" i="1"/>
  <c r="AI85" i="1"/>
  <c r="AI81" i="1"/>
  <c r="AI77" i="1"/>
  <c r="U77" i="1"/>
  <c r="S77" i="1" s="1"/>
  <c r="AI73" i="1"/>
  <c r="AI69" i="1"/>
  <c r="U69" i="1"/>
  <c r="S69" i="1" s="1"/>
  <c r="AI65" i="1"/>
  <c r="AI61" i="1"/>
  <c r="U61" i="1"/>
  <c r="S61" i="1" s="1"/>
  <c r="AI57" i="1"/>
  <c r="U57" i="1"/>
  <c r="S57" i="1" s="1"/>
  <c r="AI53" i="1"/>
  <c r="U53" i="1"/>
  <c r="S53" i="1" s="1"/>
  <c r="AI82" i="1"/>
  <c r="U82" i="1"/>
  <c r="S82" i="1" s="1"/>
  <c r="AI78" i="1"/>
  <c r="U78" i="1"/>
  <c r="S78" i="1" s="1"/>
  <c r="AI74" i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AI84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AI52" i="1"/>
  <c r="AI49" i="1"/>
  <c r="AI45" i="1"/>
  <c r="U45" i="1"/>
  <c r="S45" i="1" s="1"/>
  <c r="AI41" i="1"/>
  <c r="U41" i="1"/>
  <c r="S41" i="1" s="1"/>
  <c r="AI37" i="1"/>
  <c r="U37" i="1"/>
  <c r="S37" i="1" s="1"/>
  <c r="AI33" i="1"/>
  <c r="AI29" i="1"/>
  <c r="U29" i="1"/>
  <c r="S29" i="1" s="1"/>
  <c r="AI25" i="1"/>
  <c r="AI21" i="1"/>
  <c r="U21" i="1"/>
  <c r="S21" i="1" s="1"/>
  <c r="AI17" i="1"/>
  <c r="AI50" i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U44" i="1"/>
  <c r="S44" i="1" s="1"/>
  <c r="AI44" i="1"/>
  <c r="AI40" i="1"/>
  <c r="U36" i="1"/>
  <c r="S36" i="1" s="1"/>
  <c r="AI36" i="1"/>
  <c r="U32" i="1"/>
  <c r="S32" i="1" s="1"/>
  <c r="AI32" i="1"/>
  <c r="U28" i="1"/>
  <c r="S28" i="1" s="1"/>
  <c r="AI28" i="1"/>
  <c r="AI24" i="1"/>
  <c r="AI20" i="1"/>
  <c r="U16" i="1"/>
  <c r="S16" i="1" s="1"/>
  <c r="AI16" i="1"/>
  <c r="W228" i="1"/>
  <c r="W229" i="1"/>
  <c r="T227" i="1"/>
  <c r="U227" i="1" s="1"/>
  <c r="S227" i="1" s="1"/>
  <c r="X227" i="1"/>
  <c r="W208" i="1"/>
  <c r="W196" i="1"/>
  <c r="W191" i="1"/>
  <c r="W172" i="1"/>
  <c r="W163" i="1"/>
  <c r="W234" i="1"/>
  <c r="W232" i="1"/>
  <c r="W211" i="1"/>
  <c r="W193" i="1"/>
  <c r="W186" i="1"/>
  <c r="W176" i="1"/>
  <c r="W173" i="1"/>
  <c r="W167" i="1"/>
  <c r="W233" i="1"/>
  <c r="W230" i="1"/>
  <c r="W219" i="1"/>
  <c r="W213" i="1"/>
  <c r="W226" i="1"/>
  <c r="W207" i="1"/>
  <c r="W199" i="1"/>
  <c r="W190" i="1"/>
  <c r="W180" i="1"/>
  <c r="W174" i="1"/>
  <c r="W171" i="1"/>
  <c r="X229" i="1"/>
  <c r="W200" i="1"/>
  <c r="W183" i="1"/>
  <c r="W168" i="1"/>
  <c r="W165" i="1"/>
  <c r="W162" i="1"/>
  <c r="W221" i="1"/>
  <c r="W214" i="1"/>
  <c r="X224" i="1"/>
  <c r="T224" i="1"/>
  <c r="U224" i="1" s="1"/>
  <c r="S224" i="1" s="1"/>
  <c r="T205" i="1"/>
  <c r="U205" i="1" s="1"/>
  <c r="S205" i="1" s="1"/>
  <c r="X200" i="1"/>
  <c r="T200" i="1"/>
  <c r="U200" i="1" s="1"/>
  <c r="S200" i="1" s="1"/>
  <c r="X196" i="1"/>
  <c r="T196" i="1"/>
  <c r="U196" i="1" s="1"/>
  <c r="S196" i="1" s="1"/>
  <c r="X192" i="1"/>
  <c r="T192" i="1"/>
  <c r="U192" i="1" s="1"/>
  <c r="S192" i="1" s="1"/>
  <c r="T188" i="1"/>
  <c r="U188" i="1" s="1"/>
  <c r="S188" i="1" s="1"/>
  <c r="T183" i="1"/>
  <c r="U183" i="1" s="1"/>
  <c r="S183" i="1" s="1"/>
  <c r="T212" i="1"/>
  <c r="U212" i="1" s="1"/>
  <c r="S212" i="1" s="1"/>
  <c r="W209" i="1"/>
  <c r="W151" i="1"/>
  <c r="W134" i="1"/>
  <c r="W131" i="1"/>
  <c r="W155" i="1"/>
  <c r="W153" i="1"/>
  <c r="W150" i="1"/>
  <c r="W138" i="1"/>
  <c r="W137" i="1"/>
  <c r="X178" i="1"/>
  <c r="X174" i="1"/>
  <c r="X170" i="1"/>
  <c r="X166" i="1"/>
  <c r="X220" i="1"/>
  <c r="X216" i="1"/>
  <c r="W157" i="1"/>
  <c r="W156" i="1"/>
  <c r="W141" i="1"/>
  <c r="X208" i="1"/>
  <c r="X199" i="1"/>
  <c r="X195" i="1"/>
  <c r="X191" i="1"/>
  <c r="X186" i="1"/>
  <c r="X179" i="1"/>
  <c r="X175" i="1"/>
  <c r="X171" i="1"/>
  <c r="X167" i="1"/>
  <c r="X163" i="1"/>
  <c r="X235" i="1"/>
  <c r="X231" i="1"/>
  <c r="X221" i="1"/>
  <c r="X217" i="1"/>
  <c r="X213" i="1"/>
  <c r="W146" i="1"/>
  <c r="W145" i="1"/>
  <c r="W143" i="1"/>
  <c r="W132" i="1"/>
  <c r="T124" i="1"/>
  <c r="U124" i="1" s="1"/>
  <c r="S124" i="1" s="1"/>
  <c r="X124" i="1"/>
  <c r="W120" i="1"/>
  <c r="W103" i="1"/>
  <c r="W87" i="1"/>
  <c r="W86" i="1"/>
  <c r="X161" i="1"/>
  <c r="X157" i="1"/>
  <c r="X153" i="1"/>
  <c r="X146" i="1"/>
  <c r="X142" i="1"/>
  <c r="X138" i="1"/>
  <c r="X134" i="1"/>
  <c r="X125" i="1"/>
  <c r="T125" i="1"/>
  <c r="U125" i="1" s="1"/>
  <c r="S125" i="1" s="1"/>
  <c r="W123" i="1"/>
  <c r="W117" i="1"/>
  <c r="W106" i="1"/>
  <c r="W100" i="1"/>
  <c r="W92" i="1"/>
  <c r="W90" i="1"/>
  <c r="X209" i="1"/>
  <c r="X158" i="1"/>
  <c r="X154" i="1"/>
  <c r="X147" i="1"/>
  <c r="X143" i="1"/>
  <c r="X139" i="1"/>
  <c r="X135" i="1"/>
  <c r="X131" i="1"/>
  <c r="W109" i="1"/>
  <c r="W91" i="1"/>
  <c r="W121" i="1"/>
  <c r="W119" i="1"/>
  <c r="W110" i="1"/>
  <c r="W94" i="1"/>
  <c r="X86" i="1"/>
  <c r="T85" i="1"/>
  <c r="U85" i="1" s="1"/>
  <c r="S85" i="1" s="1"/>
  <c r="T84" i="1"/>
  <c r="U84" i="1" s="1"/>
  <c r="S84" i="1" s="1"/>
  <c r="X84" i="1"/>
  <c r="W82" i="1"/>
  <c r="W78" i="1"/>
  <c r="W70" i="1"/>
  <c r="W62" i="1"/>
  <c r="W56" i="1"/>
  <c r="W83" i="1"/>
  <c r="W79" i="1"/>
  <c r="W75" i="1"/>
  <c r="W72" i="1"/>
  <c r="W71" i="1"/>
  <c r="W68" i="1"/>
  <c r="W67" i="1"/>
  <c r="W60" i="1"/>
  <c r="X123" i="1"/>
  <c r="X119" i="1"/>
  <c r="X110" i="1"/>
  <c r="X106" i="1"/>
  <c r="X102" i="1"/>
  <c r="X98" i="1"/>
  <c r="X94" i="1"/>
  <c r="X90" i="1"/>
  <c r="T87" i="1"/>
  <c r="U87" i="1" s="1"/>
  <c r="S87" i="1" s="1"/>
  <c r="W53" i="1"/>
  <c r="X120" i="1"/>
  <c r="X116" i="1"/>
  <c r="X111" i="1"/>
  <c r="X107" i="1"/>
  <c r="X103" i="1"/>
  <c r="X99" i="1"/>
  <c r="X95" i="1"/>
  <c r="X91" i="1"/>
  <c r="W81" i="1"/>
  <c r="W77" i="1"/>
  <c r="W73" i="1"/>
  <c r="W65" i="1"/>
  <c r="W61" i="1"/>
  <c r="W54" i="1"/>
  <c r="W52" i="1"/>
  <c r="W51" i="1"/>
  <c r="X80" i="1"/>
  <c r="X76" i="1"/>
  <c r="X72" i="1"/>
  <c r="X68" i="1"/>
  <c r="X64" i="1"/>
  <c r="X60" i="1"/>
  <c r="X56" i="1"/>
  <c r="T50" i="1"/>
  <c r="U50" i="1" s="1"/>
  <c r="S50" i="1" s="1"/>
  <c r="X50" i="1"/>
  <c r="W41" i="1"/>
  <c r="W28" i="1"/>
  <c r="W24" i="1"/>
  <c r="W20" i="1"/>
  <c r="W18" i="1"/>
  <c r="W48" i="1"/>
  <c r="W45" i="1"/>
  <c r="W42" i="1"/>
  <c r="W32" i="1"/>
  <c r="W29" i="1"/>
  <c r="W27" i="1"/>
  <c r="W22" i="1"/>
  <c r="W19" i="1"/>
  <c r="T51" i="1"/>
  <c r="U51" i="1" s="1"/>
  <c r="S51" i="1" s="1"/>
  <c r="X51" i="1"/>
  <c r="W33" i="1"/>
  <c r="W31" i="1"/>
  <c r="W30" i="1"/>
  <c r="X83" i="1"/>
  <c r="X79" i="1"/>
  <c r="X75" i="1"/>
  <c r="X71" i="1"/>
  <c r="X67" i="1"/>
  <c r="X63" i="1"/>
  <c r="X59" i="1"/>
  <c r="X55" i="1"/>
  <c r="W37" i="1"/>
  <c r="W34" i="1"/>
  <c r="W15" i="1"/>
  <c r="X46" i="1"/>
  <c r="X42" i="1"/>
  <c r="X38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AD47" i="3"/>
  <c r="AE47" i="3"/>
  <c r="AD32" i="3"/>
  <c r="AD31" i="3"/>
  <c r="AE31" i="3"/>
  <c r="AD28" i="3"/>
  <c r="AD27" i="3"/>
  <c r="AE27" i="3"/>
  <c r="AD24" i="3"/>
  <c r="AD23" i="3"/>
  <c r="AE23" i="3"/>
  <c r="AD20" i="3"/>
  <c r="AD19" i="3"/>
  <c r="AE19" i="3"/>
  <c r="AE14" i="3"/>
  <c r="T35" i="3"/>
  <c r="AD12" i="3"/>
  <c r="AD17" i="3"/>
  <c r="T9" i="3"/>
  <c r="AD15" i="3"/>
  <c r="AE15" i="3"/>
  <c r="AC43" i="3"/>
  <c r="AD9" i="3"/>
  <c r="AD25" i="3"/>
  <c r="AD21" i="3"/>
  <c r="AD13" i="3"/>
  <c r="AE10" i="3"/>
  <c r="AD8" i="3"/>
  <c r="AE38" i="3"/>
  <c r="T45" i="3"/>
  <c r="AE34" i="3"/>
  <c r="T29" i="3"/>
  <c r="AE26" i="3"/>
  <c r="T39" i="3"/>
  <c r="AC47" i="3"/>
  <c r="AC17" i="3"/>
  <c r="AC48" i="3"/>
  <c r="AC31" i="3"/>
  <c r="AC23" i="3"/>
  <c r="AC36" i="3"/>
  <c r="AC27" i="3"/>
  <c r="AC14" i="3"/>
  <c r="AC37" i="3"/>
  <c r="AC16" i="3"/>
  <c r="T32" i="3"/>
  <c r="AE42" i="3"/>
  <c r="T19" i="3"/>
  <c r="AE30" i="3"/>
  <c r="T12" i="3"/>
  <c r="AE22" i="3"/>
  <c r="T22" i="3"/>
  <c r="Y47" i="3"/>
  <c r="Y17" i="3"/>
  <c r="Y48" i="3"/>
  <c r="Y31" i="3"/>
  <c r="Y23" i="3"/>
  <c r="Y36" i="3"/>
  <c r="Y27" i="3"/>
  <c r="Y14" i="3"/>
  <c r="Y37" i="3"/>
  <c r="Y16" i="3"/>
  <c r="Y38" i="3"/>
  <c r="Y30" i="3"/>
  <c r="Y15" i="3"/>
  <c r="Y7" i="3"/>
  <c r="Y41" i="3"/>
  <c r="Y19" i="3"/>
  <c r="Y29" i="3"/>
  <c r="Y12" i="3"/>
  <c r="Y39" i="3"/>
  <c r="Y22" i="3"/>
  <c r="Y9" i="3"/>
  <c r="Y35" i="3"/>
  <c r="Y18" i="3"/>
  <c r="Y13" i="3"/>
  <c r="Y25" i="3"/>
  <c r="Y40" i="3"/>
  <c r="Y33" i="3"/>
  <c r="Y34" i="3"/>
  <c r="Y43" i="3"/>
  <c r="Y32" i="3"/>
  <c r="Y45" i="3"/>
  <c r="Y10" i="3"/>
  <c r="Y24" i="3"/>
  <c r="Y20" i="3"/>
  <c r="Y21" i="3"/>
  <c r="Y28" i="3"/>
  <c r="Y11" i="3"/>
  <c r="Y26" i="3"/>
  <c r="Y42" i="3"/>
  <c r="Y8" i="3"/>
  <c r="Y44" i="3"/>
  <c r="AC10" i="3"/>
  <c r="AC24" i="3"/>
  <c r="AC20" i="3"/>
  <c r="AC21" i="3"/>
  <c r="AC28" i="3"/>
  <c r="AC11" i="3"/>
  <c r="AC26" i="3"/>
  <c r="AC42" i="3"/>
  <c r="AC8" i="3"/>
  <c r="AC44" i="3"/>
  <c r="AE45" i="3"/>
  <c r="T10" i="3"/>
  <c r="AD42" i="3"/>
  <c r="AE37" i="3"/>
  <c r="T20" i="3"/>
  <c r="AD34" i="3"/>
  <c r="AE33" i="3"/>
  <c r="AD30" i="3"/>
  <c r="AE29" i="3"/>
  <c r="T28" i="3"/>
  <c r="AD26" i="3"/>
  <c r="AE25" i="3"/>
  <c r="T11" i="3"/>
  <c r="AD22" i="3"/>
  <c r="AE21" i="3"/>
  <c r="T26" i="3"/>
  <c r="AD18" i="3"/>
  <c r="AE17" i="3"/>
  <c r="T42" i="3"/>
  <c r="AD14" i="3"/>
  <c r="AE13" i="3"/>
  <c r="T8" i="3"/>
  <c r="AD10" i="3"/>
  <c r="AE9" i="3"/>
  <c r="T44" i="3"/>
  <c r="AE41" i="3"/>
  <c r="T24" i="3"/>
  <c r="AD38" i="3"/>
  <c r="T21" i="3"/>
  <c r="AE48" i="3"/>
  <c r="AE44" i="3"/>
  <c r="AE40" i="3"/>
  <c r="AE36" i="3"/>
  <c r="AE32" i="3"/>
  <c r="AE28" i="3"/>
  <c r="AE24" i="3"/>
  <c r="AE20" i="3"/>
  <c r="AE16" i="3"/>
  <c r="AE12" i="3"/>
  <c r="AE8" i="3"/>
  <c r="R46" i="3" l="1"/>
  <c r="M46" i="3"/>
  <c r="S46" i="3"/>
  <c r="U46" i="3"/>
  <c r="V46" i="3"/>
  <c r="X46" i="3"/>
  <c r="W46" i="3"/>
  <c r="T46" i="3" l="1"/>
  <c r="AE46" i="3"/>
  <c r="AD46" i="3"/>
  <c r="AC46" i="3"/>
  <c r="Y46" i="3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38" i="3" s="1"/>
  <c r="G24" i="4"/>
  <c r="N18" i="3" s="1"/>
  <c r="G25" i="4"/>
  <c r="G26" i="4"/>
  <c r="G27" i="4"/>
  <c r="N44" i="3" s="1"/>
  <c r="G28" i="4"/>
  <c r="G29" i="4"/>
  <c r="N43" i="3" s="1"/>
  <c r="G30" i="4"/>
  <c r="G31" i="4"/>
  <c r="G32" i="4"/>
  <c r="G33" i="4"/>
  <c r="G34" i="4"/>
  <c r="G35" i="4"/>
  <c r="G36" i="4"/>
  <c r="N46" i="3" s="1"/>
  <c r="G37" i="4"/>
  <c r="G38" i="4"/>
  <c r="G39" i="4"/>
  <c r="G40" i="4"/>
  <c r="N8" i="3" s="1"/>
  <c r="G41" i="4"/>
  <c r="N16" i="3" s="1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N9" i="3" s="1"/>
  <c r="G57" i="4"/>
  <c r="G58" i="4"/>
  <c r="G59" i="4"/>
  <c r="N26" i="3" s="1"/>
  <c r="G60" i="4"/>
  <c r="N34" i="3" s="1"/>
  <c r="G61" i="4"/>
  <c r="G62" i="4"/>
  <c r="G63" i="4"/>
  <c r="G64" i="4"/>
  <c r="N14" i="3" s="1"/>
  <c r="G65" i="4"/>
  <c r="N22" i="3" s="1"/>
  <c r="G66" i="4"/>
  <c r="G67" i="4"/>
  <c r="G68" i="4"/>
  <c r="G69" i="4"/>
  <c r="G70" i="4"/>
  <c r="G71" i="4"/>
  <c r="G72" i="4"/>
  <c r="G73" i="4"/>
  <c r="N33" i="3" s="1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N27" i="3" s="1"/>
  <c r="G93" i="4"/>
  <c r="G94" i="4"/>
  <c r="G95" i="4"/>
  <c r="G96" i="4"/>
  <c r="G97" i="4"/>
  <c r="G98" i="4"/>
  <c r="G99" i="4"/>
  <c r="G100" i="4"/>
  <c r="N11" i="3" s="1"/>
  <c r="G101" i="4"/>
  <c r="G102" i="4"/>
  <c r="G103" i="4"/>
  <c r="N39" i="3" s="1"/>
  <c r="G104" i="4"/>
  <c r="G105" i="4"/>
  <c r="G106" i="4"/>
  <c r="N36" i="3" s="1"/>
  <c r="G107" i="4"/>
  <c r="G108" i="4"/>
  <c r="G109" i="4"/>
  <c r="G110" i="4"/>
  <c r="G111" i="4"/>
  <c r="G112" i="4"/>
  <c r="G113" i="4"/>
  <c r="G114" i="4"/>
  <c r="G115" i="4"/>
  <c r="G116" i="4"/>
  <c r="G117" i="4"/>
  <c r="N23" i="3" s="1"/>
  <c r="G118" i="4"/>
  <c r="N12" i="3" s="1"/>
  <c r="G119" i="4"/>
  <c r="G120" i="4"/>
  <c r="G121" i="4"/>
  <c r="G122" i="4"/>
  <c r="N15" i="3" s="1"/>
  <c r="G123" i="4"/>
  <c r="G124" i="4"/>
  <c r="N21" i="3" s="1"/>
  <c r="G125" i="4"/>
  <c r="G126" i="4"/>
  <c r="G127" i="4"/>
  <c r="G128" i="4"/>
  <c r="G129" i="4"/>
  <c r="G130" i="4"/>
  <c r="N29" i="3" s="1"/>
  <c r="G131" i="4"/>
  <c r="G132" i="4"/>
  <c r="G133" i="4"/>
  <c r="G134" i="4"/>
  <c r="G135" i="4"/>
  <c r="N30" i="3" s="1"/>
  <c r="G136" i="4"/>
  <c r="G137" i="4"/>
  <c r="G138" i="4"/>
  <c r="N31" i="3" s="1"/>
  <c r="G139" i="4"/>
  <c r="G140" i="4"/>
  <c r="G141" i="4"/>
  <c r="G142" i="4"/>
  <c r="N20" i="3" s="1"/>
  <c r="G143" i="4"/>
  <c r="G144" i="4"/>
  <c r="G145" i="4"/>
  <c r="G146" i="4"/>
  <c r="G147" i="4"/>
  <c r="N45" i="3" s="1"/>
  <c r="G148" i="4"/>
  <c r="N40" i="3" s="1"/>
  <c r="G149" i="4"/>
  <c r="G150" i="4"/>
  <c r="G151" i="4"/>
  <c r="G152" i="4"/>
  <c r="G153" i="4"/>
  <c r="G154" i="4"/>
  <c r="G155" i="4"/>
  <c r="N24" i="3" s="1"/>
  <c r="G156" i="4"/>
  <c r="G157" i="4"/>
  <c r="G158" i="4"/>
  <c r="G159" i="4"/>
  <c r="G160" i="4"/>
  <c r="G161" i="4"/>
  <c r="G162" i="4"/>
  <c r="N48" i="3" s="1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19" i="3" s="1"/>
  <c r="G182" i="4"/>
  <c r="G183" i="4"/>
  <c r="G184" i="4"/>
  <c r="G185" i="4"/>
  <c r="G186" i="4"/>
  <c r="N25" i="3" s="1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17" i="3" s="1"/>
  <c r="G215" i="4"/>
  <c r="G216" i="4"/>
  <c r="G217" i="4"/>
  <c r="G218" i="4"/>
  <c r="G219" i="4"/>
  <c r="G220" i="4"/>
  <c r="N10" i="3" s="1"/>
  <c r="G221" i="4"/>
  <c r="G222" i="4"/>
  <c r="G223" i="4"/>
  <c r="N32" i="3" s="1"/>
  <c r="G224" i="4"/>
  <c r="G225" i="4"/>
  <c r="N13" i="3" s="1"/>
  <c r="G226" i="4"/>
  <c r="G227" i="4"/>
  <c r="G228" i="4"/>
  <c r="G229" i="4"/>
  <c r="G230" i="4"/>
  <c r="G231" i="4"/>
  <c r="G232" i="4"/>
  <c r="G233" i="4"/>
  <c r="G234" i="4"/>
  <c r="G235" i="4"/>
  <c r="G236" i="4"/>
  <c r="N47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7" i="3" l="1"/>
  <c r="N42" i="3"/>
  <c r="N41" i="3"/>
  <c r="N35" i="3"/>
  <c r="N7" i="3"/>
  <c r="N2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B3" i="6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" i="6" l="1"/>
  <c r="F4" i="6" s="1"/>
  <c r="F3" i="6"/>
  <c r="G3" i="6"/>
  <c r="I3" i="6"/>
  <c r="H3" i="6"/>
  <c r="J3" i="6"/>
  <c r="J8" i="1"/>
  <c r="J4" i="1"/>
  <c r="S8" i="1"/>
  <c r="S4" i="1"/>
  <c r="J4" i="6" l="1"/>
  <c r="I4" i="6"/>
  <c r="G4" i="6"/>
  <c r="H4" i="6"/>
  <c r="B5" i="6"/>
  <c r="S9" i="1"/>
  <c r="J9" i="1"/>
  <c r="B6" i="6" l="1"/>
  <c r="H5" i="6"/>
  <c r="J5" i="6"/>
  <c r="F5" i="6"/>
  <c r="G5" i="6"/>
  <c r="I5" i="6"/>
  <c r="S11" i="1"/>
  <c r="A11" i="1"/>
  <c r="F6" i="6" l="1"/>
  <c r="I6" i="6"/>
  <c r="J6" i="6"/>
  <c r="G6" i="6"/>
  <c r="H6" i="6"/>
  <c r="B1" i="6"/>
  <c r="A5" i="3"/>
  <c r="B7" i="6" l="1"/>
  <c r="H7" i="6" l="1"/>
  <c r="F7" i="6"/>
  <c r="G7" i="6"/>
  <c r="I7" i="6"/>
  <c r="J7" i="6"/>
  <c r="B8" i="6"/>
  <c r="B9" i="6" l="1"/>
  <c r="G8" i="6"/>
  <c r="H8" i="6"/>
  <c r="I8" i="6"/>
  <c r="J8" i="6"/>
  <c r="F8" i="6"/>
  <c r="B10" i="6" l="1"/>
  <c r="I9" i="6"/>
  <c r="G9" i="6"/>
  <c r="F9" i="6"/>
  <c r="H9" i="6"/>
  <c r="J9" i="6"/>
  <c r="G10" i="6" l="1"/>
  <c r="F10" i="6"/>
  <c r="H10" i="6"/>
  <c r="I10" i="6"/>
  <c r="J10" i="6"/>
  <c r="B11" i="6"/>
  <c r="H11" i="6" l="1"/>
  <c r="J11" i="6"/>
  <c r="F11" i="6"/>
  <c r="G11" i="6"/>
  <c r="I11" i="6"/>
  <c r="B12" i="6"/>
  <c r="B13" i="6" l="1"/>
  <c r="F12" i="6"/>
  <c r="G12" i="6"/>
  <c r="I12" i="6"/>
  <c r="H12" i="6"/>
  <c r="J12" i="6"/>
  <c r="F13" i="6" l="1"/>
  <c r="G13" i="6"/>
  <c r="J13" i="6"/>
  <c r="H13" i="6"/>
  <c r="I13" i="6"/>
  <c r="B14" i="6"/>
  <c r="G14" i="6" l="1"/>
  <c r="J14" i="6"/>
  <c r="F14" i="6"/>
  <c r="H14" i="6"/>
  <c r="I14" i="6"/>
  <c r="B15" i="6"/>
  <c r="B16" i="6" l="1"/>
  <c r="F15" i="6"/>
  <c r="G15" i="6"/>
  <c r="H15" i="6"/>
  <c r="I15" i="6"/>
  <c r="J15" i="6"/>
  <c r="B17" i="6" l="1"/>
  <c r="J16" i="6"/>
  <c r="F16" i="6"/>
  <c r="I16" i="6"/>
  <c r="G16" i="6"/>
  <c r="H16" i="6"/>
  <c r="B18" i="6" l="1"/>
  <c r="G17" i="6"/>
  <c r="H17" i="6"/>
  <c r="F17" i="6"/>
  <c r="I17" i="6"/>
  <c r="J17" i="6"/>
  <c r="G18" i="6" l="1"/>
  <c r="I18" i="6"/>
  <c r="J18" i="6"/>
  <c r="F18" i="6"/>
  <c r="H18" i="6"/>
  <c r="B19" i="6"/>
  <c r="B20" i="6" l="1"/>
  <c r="J19" i="6"/>
  <c r="F19" i="6"/>
  <c r="H19" i="6"/>
  <c r="G19" i="6"/>
  <c r="I19" i="6"/>
  <c r="B21" i="6" l="1"/>
  <c r="H20" i="6"/>
  <c r="F20" i="6"/>
  <c r="I20" i="6"/>
  <c r="J20" i="6"/>
  <c r="G20" i="6"/>
  <c r="B23" i="6" l="1"/>
  <c r="B22" i="6"/>
  <c r="G21" i="6"/>
  <c r="H21" i="6"/>
  <c r="F21" i="6"/>
  <c r="I21" i="6"/>
  <c r="J21" i="6"/>
  <c r="G22" i="6" l="1"/>
  <c r="H22" i="6"/>
  <c r="I22" i="6"/>
  <c r="J22" i="6"/>
  <c r="F22" i="6"/>
  <c r="H23" i="6"/>
  <c r="J23" i="6"/>
  <c r="G23" i="6"/>
  <c r="I23" i="6"/>
  <c r="F2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<sst xmlns="http://schemas.openxmlformats.org/spreadsheetml/2006/main" count="2922" uniqueCount="1068">
  <si>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</si>
  <si>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</si>
  <si>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</si>
  <si>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</si>
  <si>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</si>
  <si>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</si>
  <si>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</si>
  <si>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</si>
  <si>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</si>
  <si>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</si>
  <si>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</si>
  <si>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</si>
  <si>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</si>
  <si>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</si>
  <si>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</si>
  <si>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</si>
  <si>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</si>
  <si>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</si>
  <si>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</si>
  <si>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</si>
  <si>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</si>
  <si>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</si>
  <si>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</si>
  <si>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</si>
  <si>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</si>
  <si>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</si>
  <si>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</si>
  <si>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</si>
  <si>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</si>
  <si>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</si>
  <si>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</si>
  <si>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</si>
  <si>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</si>
  <si>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</si>
  <si>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</si>
  <si>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</si>
  <si>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</si>
  <si>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</si>
  <si>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</si>
  <si>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</si>
  <si>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</si>
  <si>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</si>
  <si>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</si>
  <si>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</si>
  <si>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</si>
  <si>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</si>
  <si>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</si>
  <si>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</si>
  <si>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</si>
  <si>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</si>
  <si>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</si>
  <si>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</si>
  <si>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</si>
  <si>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</si>
  <si>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</si>
  <si>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</si>
  <si>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</si>
  <si>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</si>
  <si>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</si>
  <si>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</si>
  <si>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</si>
  <si>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</si>
  <si>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</si>
  <si>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</si>
  <si>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</si>
  <si>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</si>
  <si>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</si>
  <si>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</si>
  <si>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</si>
  <si>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</si>
  <si>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</si>
  <si>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</si>
  <si>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</si>
  <si>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</si>
  <si>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</si>
  <si>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</si>
  <si>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</si>
  <si>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</si>
  <si>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</si>
  <si>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</si>
  <si>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</si>
  <si>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</si>
  <si>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</si>
  <si>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</si>
  <si>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</si>
  <si>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</si>
  <si>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</si>
  <si>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</si>
  <si>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</si>
  <si>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</si>
  <si>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</si>
  <si>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</si>
  <si>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</si>
  <si>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</si>
  <si>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</si>
  <si>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</si>
  <si>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</si>
  <si>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</si>
  <si>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</si>
  <si>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</si>
  <si>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</si>
  <si>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</si>
  <si>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</si>
  <si>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</si>
  <si>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</si>
  <si>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</si>
  <si>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</si>
  <si>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</si>
  <si>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</si>
  <si>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</si>
  <si>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</si>
  <si>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</si>
  <si>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</si>
  <si>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</si>
  <si>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</si>
  <si>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</si>
  <si>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</si>
  <si>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</si>
  <si>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</si>
  <si>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</si>
  <si>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</si>
  <si>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</si>
  <si>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</si>
  <si>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</si>
  <si>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</si>
  <si>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</si>
  <si>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</si>
  <si>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</si>
  <si>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</si>
  <si>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</si>
  <si>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</si>
  <si>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</si>
  <si>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</si>
  <si>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</si>
  <si>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</si>
  <si>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</si>
  <si>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</si>
  <si>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</si>
  <si>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</si>
  <si>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</si>
  <si>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</si>
  <si>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</si>
  <si>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</si>
  <si>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</si>
  <si>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</si>
  <si>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</si>
  <si>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</si>
  <si>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</si>
  <si>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</si>
  <si>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</si>
  <si>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</si>
  <si>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</si>
  <si>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</si>
  <si>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</si>
  <si>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</si>
  <si>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</si>
  <si>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</si>
  <si>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</si>
  <si>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</si>
  <si>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</si>
  <si>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</si>
  <si>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</si>
  <si>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</si>
  <si>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</si>
  <si>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</si>
  <si>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</si>
  <si>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</si>
  <si>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</si>
  <si>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</si>
  <si>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</si>
  <si>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</si>
  <si>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</si>
  <si>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</si>
  <si>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</si>
  <si>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</si>
  <si>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</si>
  <si>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</si>
  <si>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</si>
  <si>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</si>
  <si>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</si>
  <si>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</si>
  <si>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</si>
  <si>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</si>
  <si>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</si>
  <si>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</si>
  <si>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</si>
  <si>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</si>
  <si>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</si>
  <si>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</si>
  <si>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</si>
  <si>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</si>
  <si>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</si>
  <si>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</si>
  <si>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</si>
  <si>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</si>
  <si>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</si>
  <si>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</si>
  <si>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</si>
  <si>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</si>
  <si>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</si>
  <si>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</si>
  <si>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</si>
  <si>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</si>
  <si>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</si>
  <si>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</si>
  <si>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</si>
  <si>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</si>
  <si>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</si>
  <si>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</si>
  <si>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</si>
  <si>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</si>
  <si>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</si>
  <si>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</si>
  <si>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</si>
  <si>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</si>
  <si>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</si>
  <si>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</si>
  <si>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</si>
  <si>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</si>
  <si>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</si>
  <si>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</si>
  <si>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</si>
  <si>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</si>
  <si>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</si>
  <si>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</si>
  <si>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</si>
  <si>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</si>
  <si>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</si>
  <si>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</si>
  <si>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</si>
  <si>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</si>
  <si>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</si>
  <si>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</si>
  <si>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</si>
  <si>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</si>
  <si>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</si>
  <si>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</si>
  <si>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</si>
  <si>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</si>
  <si>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</si>
  <si>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</si>
  <si>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</si>
  <si>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</si>
  <si>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</si>
  <si>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</si>
  <si>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</si>
  <si>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</si>
  <si>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</si>
  <si>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</si>
  <si>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</si>
  <si>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</si>
  <si>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</si>
  <si>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</si>
  <si>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</si>
  <si>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</si>
  <si>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</si>
  <si>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</si>
  <si>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</si>
  <si>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</si>
  <si>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</si>
  <si>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</si>
  <si>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</si>
  <si>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</si>
  <si>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</si>
  <si>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</si>
  <si>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</si>
  <si>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</si>
  <si>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</si>
  <si>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</si>
  <si>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</si>
  <si>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</si>
  <si>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</si>
  <si>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</si>
  <si>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</si>
  <si>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</si>
  <si>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</si>
  <si>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</si>
  <si>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</si>
  <si>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</si>
  <si>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</si>
  <si>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</si>
  <si>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</si>
  <si>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</si>
  <si>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</si>
  <si>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</si>
  <si>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</si>
  <si>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</si>
  <si>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</si>
  <si>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</si>
  <si>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</si>
  <si>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</si>
  <si>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</si>
  <si>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</si>
  <si>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</si>
  <si>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</si>
  <si>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</si>
  <si>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</si>
  <si>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</si>
  <si>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</si>
  <si>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</si>
  <si>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</si>
  <si>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</si>
  <si>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</si>
  <si>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</si>
  <si>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</si>
  <si>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</si>
  <si>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</si>
  <si>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</si>
  <si>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</si>
  <si>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</si>
  <si>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</si>
  <si>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</si>
  <si>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</si>
  <si>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</si>
  <si>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</si>
  <si>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</si>
  <si>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</si>
  <si>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</si>
  <si>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</si>
  <si>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</si>
  <si>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</si>
  <si>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</si>
  <si>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</si>
  <si>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</si>
  <si>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</si>
  <si>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</si>
  <si>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</si>
  <si>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</si>
  <si>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</si>
  <si>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</si>
  <si>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</si>
  <si>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</si>
  <si>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</si>
  <si>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</si>
  <si>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</si>
  <si>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</si>
  <si>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</si>
  <si>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</si>
  <si>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</si>
  <si>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</si>
  <si>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</si>
  <si>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</si>
  <si>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</si>
  <si>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</si>
  <si>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</si>
  <si>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</si>
  <si>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</si>
  <si>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</si>
  <si>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</si>
  <si>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</si>
  <si>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</si>
  <si>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</si>
  <si>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</si>
  <si>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</si>
  <si>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</si>
  <si>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</si>
  <si>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</si>
  <si>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</si>
  <si>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</si>
  <si>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</si>
  <si>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</si>
  <si>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</si>
  <si>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</si>
  <si>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</si>
  <si>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</si>
  <si>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</si>
  <si>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</si>
  <si>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</si>
  <si>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</si>
  <si>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</si>
  <si>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</si>
  <si>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</si>
  <si>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</si>
  <si>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</si>
  <si>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</si>
  <si>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</si>
  <si>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</si>
  <si>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</si>
  <si>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</si>
  <si>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</si>
  <si>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</si>
  <si>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</si>
  <si>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</si>
  <si>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</si>
  <si>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</si>
  <si>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</si>
  <si>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</si>
  <si>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</si>
  <si>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</si>
  <si>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</si>
  <si>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</si>
  <si>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</si>
  <si>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</si>
  <si>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</si>
  <si>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</si>
  <si>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</si>
  <si>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</si>
  <si>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</si>
  <si>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</si>
  <si>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</si>
  <si>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</si>
  <si>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</si>
  <si>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</si>
  <si>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</si>
  <si>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</si>
  <si>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</si>
  <si>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</si>
  <si>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</si>
  <si>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</si>
  <si>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</si>
  <si>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</si>
  <si>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</si>
  <si>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</si>
  <si>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</si>
  <si>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</si>
  <si>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</si>
  <si>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</si>
  <si>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</si>
  <si>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</si>
  <si>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</si>
  <si>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</si>
  <si>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</si>
  <si>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</si>
  <si>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</si>
  <si>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</si>
  <si>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</si>
  <si>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</si>
  <si>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</si>
  <si>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</si>
  <si>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</si>
  <si>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</si>
  <si>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</si>
  <si>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</si>
  <si>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</si>
  <si>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</si>
  <si>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</si>
  <si>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204:158</t>
  </si>
  <si>
    <t>204:152</t>
  </si>
  <si>
    <t>204:460</t>
  </si>
  <si>
    <t>204:449</t>
  </si>
  <si>
    <t>204:457</t>
  </si>
  <si>
    <t>PAGE</t>
  </si>
  <si>
    <t>MARCUS</t>
  </si>
  <si>
    <t>204:473</t>
  </si>
  <si>
    <t>SIGNAL</t>
  </si>
  <si>
    <t>Signal based authority (5)</t>
  </si>
  <si>
    <t>204:464</t>
  </si>
  <si>
    <t>rtdc.l.rtdc.4030:itc</t>
  </si>
  <si>
    <t>Y</t>
  </si>
  <si>
    <t>LANGERAK</t>
  </si>
  <si>
    <t>WILLIAM</t>
  </si>
  <si>
    <t>204:145</t>
  </si>
  <si>
    <t>204:161</t>
  </si>
  <si>
    <t>204:160</t>
  </si>
  <si>
    <t>204:163</t>
  </si>
  <si>
    <t>204:138</t>
  </si>
  <si>
    <t>204:442</t>
  </si>
  <si>
    <t>clear-day</t>
  </si>
  <si>
    <t>Clear</t>
  </si>
  <si>
    <t>clear-night</t>
  </si>
  <si>
    <t>204:232977</t>
  </si>
  <si>
    <t>204:976</t>
  </si>
  <si>
    <t>rtdc.l.rtdc.4012:itc</t>
  </si>
  <si>
    <t>SWITCH UNKNOWN</t>
  </si>
  <si>
    <t>Track device (7)</t>
  </si>
  <si>
    <t>rtdc.l.rtdc.4015:itc</t>
  </si>
  <si>
    <t>rtdc.l.rtdc.4011:itc</t>
  </si>
  <si>
    <t>rtdc.l.rtdc.4029:itc</t>
  </si>
  <si>
    <t>rtdc.l.rtdc.4020:itc</t>
  </si>
  <si>
    <t>204:444</t>
  </si>
  <si>
    <t>204:471</t>
  </si>
  <si>
    <t>204:466</t>
  </si>
  <si>
    <t>204:233304</t>
  </si>
  <si>
    <t>204:233293</t>
  </si>
  <si>
    <t>Early Arrival</t>
  </si>
  <si>
    <t>BRANDON</t>
  </si>
  <si>
    <t>204:232994</t>
  </si>
  <si>
    <t>rtdc.l.rtdc.4025:itc</t>
  </si>
  <si>
    <t>rtdc.l.rtdc.4016:itc</t>
  </si>
  <si>
    <t>204:233000</t>
  </si>
  <si>
    <t>204:233308</t>
  </si>
  <si>
    <t>204:233302</t>
  </si>
  <si>
    <t>300:23306</t>
  </si>
  <si>
    <t>Wi-MAX data drop</t>
  </si>
  <si>
    <t>CASSIDY</t>
  </si>
  <si>
    <t>GUNTHIER</t>
  </si>
  <si>
    <t>ERIC</t>
  </si>
  <si>
    <t>ELBAUM</t>
  </si>
  <si>
    <t>MIKE</t>
  </si>
  <si>
    <t>BARRON</t>
  </si>
  <si>
    <t>PERLA</t>
  </si>
  <si>
    <t>LOZA</t>
  </si>
  <si>
    <t>FIDEL</t>
  </si>
  <si>
    <t>BIRKHOLZ</t>
  </si>
  <si>
    <t>NADINE</t>
  </si>
  <si>
    <t>WEST</t>
  </si>
  <si>
    <t>BRYAN</t>
  </si>
  <si>
    <t>NICHOLSON</t>
  </si>
  <si>
    <t>WESLEY</t>
  </si>
  <si>
    <t>DUNCAN</t>
  </si>
  <si>
    <t>SHEILA</t>
  </si>
  <si>
    <t>ANDERS</t>
  </si>
  <si>
    <t>STEVEN</t>
  </si>
  <si>
    <t>204:233291</t>
  </si>
  <si>
    <t>204:233303</t>
  </si>
  <si>
    <t>204:475</t>
  </si>
  <si>
    <t>204:156</t>
  </si>
  <si>
    <t>204:469</t>
  </si>
  <si>
    <t>204:233295</t>
  </si>
  <si>
    <t>204:172</t>
  </si>
  <si>
    <t>300:58608</t>
  </si>
  <si>
    <t>300:58922</t>
  </si>
  <si>
    <t>SPECTOR</t>
  </si>
  <si>
    <t>LEVIN</t>
  </si>
  <si>
    <t>SCOTT</t>
  </si>
  <si>
    <t>204:424</t>
  </si>
  <si>
    <t>204:467</t>
  </si>
  <si>
    <t>204:233318</t>
  </si>
  <si>
    <t>204:233321</t>
  </si>
  <si>
    <t>204:233306</t>
  </si>
  <si>
    <t>204:233286</t>
  </si>
  <si>
    <t>300:58623</t>
  </si>
  <si>
    <t>rtdc.l.rtdc.4064:itc</t>
  </si>
  <si>
    <t>rtdc.l.rtdc.4063:itc</t>
  </si>
  <si>
    <t>233-16</t>
  </si>
  <si>
    <t>241-16</t>
  </si>
  <si>
    <t>WENDY</t>
  </si>
  <si>
    <t>rtdc.l.rtdc.4032:itc</t>
  </si>
  <si>
    <t>DE LA ROSA</t>
  </si>
  <si>
    <t>ALEX</t>
  </si>
  <si>
    <t>DELGADO</t>
  </si>
  <si>
    <t>DIANAH</t>
  </si>
  <si>
    <t>230-16</t>
  </si>
  <si>
    <t>847-16</t>
  </si>
  <si>
    <t>232-16</t>
  </si>
  <si>
    <t>235-16</t>
  </si>
  <si>
    <t>908-16</t>
  </si>
  <si>
    <t>237-16</t>
  </si>
  <si>
    <t>RESPASS</t>
  </si>
  <si>
    <t>AARON</t>
  </si>
  <si>
    <t>234-16</t>
  </si>
  <si>
    <t>239-16</t>
  </si>
  <si>
    <t>236-16</t>
  </si>
  <si>
    <t>238-16</t>
  </si>
  <si>
    <t>243-16</t>
  </si>
  <si>
    <t>240-16</t>
  </si>
  <si>
    <t>307-16</t>
  </si>
  <si>
    <t>242-16</t>
  </si>
  <si>
    <t>309-16</t>
  </si>
  <si>
    <t>244-16</t>
  </si>
  <si>
    <t>311-16</t>
  </si>
  <si>
    <t>313-16</t>
  </si>
  <si>
    <t>300-17</t>
  </si>
  <si>
    <t>204:232987</t>
  </si>
  <si>
    <t>204:233004</t>
  </si>
  <si>
    <t>204:233059</t>
  </si>
  <si>
    <t>204:232983</t>
  </si>
  <si>
    <t>204:233397</t>
  </si>
  <si>
    <t>204:232974</t>
  </si>
  <si>
    <t>204:440</t>
  </si>
  <si>
    <t>204:136</t>
  </si>
  <si>
    <t>204:233317</t>
  </si>
  <si>
    <t>204:477</t>
  </si>
  <si>
    <t>204:232968</t>
  </si>
  <si>
    <t>204:233314</t>
  </si>
  <si>
    <t>300:23304</t>
  </si>
  <si>
    <t>300:23308</t>
  </si>
  <si>
    <t>300:58636</t>
  </si>
  <si>
    <t>204:691</t>
  </si>
  <si>
    <t>204:981</t>
  </si>
  <si>
    <t>204:680</t>
  </si>
  <si>
    <t>204:972</t>
  </si>
  <si>
    <t>204:983</t>
  </si>
  <si>
    <t>Onboard in-route failure</t>
  </si>
  <si>
    <t>rtdc.l.rtdc.4019:itc</t>
  </si>
  <si>
    <t>rtdc.l.rtdc.4027:itc</t>
  </si>
  <si>
    <t>rtdc.l.rtdc.4028:itc</t>
  </si>
  <si>
    <t>rtdc.l.rtdc.4044:itc</t>
  </si>
  <si>
    <t>rtdc.l.rtdc.4043:itc</t>
  </si>
  <si>
    <t>STEWART</t>
  </si>
  <si>
    <t>PERKINS</t>
  </si>
  <si>
    <t>DARREN</t>
  </si>
  <si>
    <t>SWANSON</t>
  </si>
  <si>
    <t>BRYCE</t>
  </si>
  <si>
    <t>238-17</t>
  </si>
  <si>
    <t>240-17</t>
  </si>
  <si>
    <t>243-17</t>
  </si>
  <si>
    <t>307-17</t>
  </si>
  <si>
    <t>242-17</t>
  </si>
  <si>
    <t>244-17</t>
  </si>
  <si>
    <t>309-17</t>
  </si>
  <si>
    <t>311-17</t>
  </si>
  <si>
    <t>313-17</t>
  </si>
  <si>
    <t>300-18</t>
  </si>
  <si>
    <t>204:233311</t>
  </si>
  <si>
    <t>204:232959</t>
  </si>
  <si>
    <t>204:232963</t>
  </si>
  <si>
    <t>204:426</t>
  </si>
  <si>
    <t>204:233283</t>
  </si>
  <si>
    <t>204:232980</t>
  </si>
  <si>
    <t>204:233094</t>
  </si>
  <si>
    <t>204:232988</t>
  </si>
  <si>
    <t>204:233002</t>
  </si>
  <si>
    <t>204:233319</t>
  </si>
  <si>
    <t>204:233312</t>
  </si>
  <si>
    <t>204:233402</t>
  </si>
  <si>
    <t>204:233079</t>
  </si>
  <si>
    <t>204:433</t>
  </si>
  <si>
    <t>204:233385</t>
  </si>
  <si>
    <t>204:233305</t>
  </si>
  <si>
    <t>204:233334</t>
  </si>
  <si>
    <t>204:134</t>
  </si>
  <si>
    <t>204:484</t>
  </si>
  <si>
    <t>204:232982</t>
  </si>
  <si>
    <t>204:127867</t>
  </si>
  <si>
    <t>204:233288</t>
  </si>
  <si>
    <t>204:232969</t>
  </si>
  <si>
    <t>204:169</t>
  </si>
  <si>
    <t>204:233278</t>
  </si>
  <si>
    <t>204:232985</t>
  </si>
  <si>
    <t>300:25131</t>
  </si>
  <si>
    <t>300:23302</t>
  </si>
  <si>
    <t>204:482</t>
  </si>
  <si>
    <t>204:478</t>
  </si>
  <si>
    <t>204:2259</t>
  </si>
  <si>
    <t>204:3564</t>
  </si>
  <si>
    <t>300:23297</t>
  </si>
  <si>
    <t>300:58662</t>
  </si>
  <si>
    <t>300:58939</t>
  </si>
  <si>
    <t>204:985</t>
  </si>
  <si>
    <t>300:58613</t>
  </si>
  <si>
    <t>204:1027</t>
  </si>
  <si>
    <t>204:986</t>
  </si>
  <si>
    <t>300:58944</t>
  </si>
  <si>
    <t>300:58918</t>
  </si>
  <si>
    <t>204:678</t>
  </si>
  <si>
    <t>204:969</t>
  </si>
  <si>
    <t>300:58943</t>
  </si>
  <si>
    <t>204:701</t>
  </si>
  <si>
    <t>300:23569</t>
  </si>
  <si>
    <t>204:689</t>
  </si>
  <si>
    <t>304-18</t>
  </si>
  <si>
    <t>rtdc.l.rtdc.4057:itc</t>
  </si>
  <si>
    <t>800-18</t>
  </si>
  <si>
    <t>312-18</t>
  </si>
  <si>
    <t>106-18</t>
  </si>
  <si>
    <t>rtdc.l.rtdc.4058:itc</t>
  </si>
  <si>
    <t>801-18</t>
  </si>
  <si>
    <t>123-18</t>
  </si>
  <si>
    <t>116-18</t>
  </si>
  <si>
    <t>807-18</t>
  </si>
  <si>
    <t>809-18</t>
  </si>
  <si>
    <t>126-18</t>
  </si>
  <si>
    <t>811-18</t>
  </si>
  <si>
    <t>137-18</t>
  </si>
  <si>
    <t>135-18</t>
  </si>
  <si>
    <t>134-18</t>
  </si>
  <si>
    <t>813-18</t>
  </si>
  <si>
    <t>157-18</t>
  </si>
  <si>
    <t>163-18</t>
  </si>
  <si>
    <t>818-18</t>
  </si>
  <si>
    <t>rtdc.l.rtdc.4050:itc</t>
  </si>
  <si>
    <t>169-18</t>
  </si>
  <si>
    <t>819-18</t>
  </si>
  <si>
    <t>173-18</t>
  </si>
  <si>
    <t>rtdc.l.rtdc.4049:itc</t>
  </si>
  <si>
    <t>170-18</t>
  </si>
  <si>
    <t>168-18</t>
  </si>
  <si>
    <t>172-18</t>
  </si>
  <si>
    <t>183-18</t>
  </si>
  <si>
    <t>187-18</t>
  </si>
  <si>
    <t>189-18</t>
  </si>
  <si>
    <t>186-18</t>
  </si>
  <si>
    <t>904-18</t>
  </si>
  <si>
    <t>826-18</t>
  </si>
  <si>
    <t>75-18</t>
  </si>
  <si>
    <t>194-18</t>
  </si>
  <si>
    <t>215-18</t>
  </si>
  <si>
    <t>212-18</t>
  </si>
  <si>
    <t>233-18</t>
  </si>
  <si>
    <t>234-18</t>
  </si>
  <si>
    <t>237-18</t>
  </si>
  <si>
    <t>239-18</t>
  </si>
  <si>
    <t>311-18</t>
  </si>
  <si>
    <t>51-18</t>
  </si>
  <si>
    <t>101-18</t>
  </si>
  <si>
    <t>302-18</t>
  </si>
  <si>
    <t>52-18</t>
  </si>
  <si>
    <t>103-18</t>
  </si>
  <si>
    <t>102-18</t>
  </si>
  <si>
    <t>105-18</t>
  </si>
  <si>
    <t>306-18</t>
  </si>
  <si>
    <t>107-18</t>
  </si>
  <si>
    <t>308-18</t>
  </si>
  <si>
    <t>104-18</t>
  </si>
  <si>
    <t>310-18</t>
  </si>
  <si>
    <t>901-18</t>
  </si>
  <si>
    <t>109-18</t>
  </si>
  <si>
    <t>111-18</t>
  </si>
  <si>
    <t>113-18</t>
  </si>
  <si>
    <t>108-18</t>
  </si>
  <si>
    <t>115-18</t>
  </si>
  <si>
    <t>110-18</t>
  </si>
  <si>
    <t>117-18</t>
  </si>
  <si>
    <t>112-18</t>
  </si>
  <si>
    <t>119-18</t>
  </si>
  <si>
    <t>902-18</t>
  </si>
  <si>
    <t>802-18</t>
  </si>
  <si>
    <t>114-18</t>
  </si>
  <si>
    <t>121-18</t>
  </si>
  <si>
    <t>803-18</t>
  </si>
  <si>
    <t>805-18</t>
  </si>
  <si>
    <t>804-18</t>
  </si>
  <si>
    <t>118-18</t>
  </si>
  <si>
    <t>125-18</t>
  </si>
  <si>
    <t>120-18</t>
  </si>
  <si>
    <t>127-18</t>
  </si>
  <si>
    <t>122-18</t>
  </si>
  <si>
    <t>806-18</t>
  </si>
  <si>
    <t>129-18</t>
  </si>
  <si>
    <t>124-18</t>
  </si>
  <si>
    <t>131-18</t>
  </si>
  <si>
    <t>808-18</t>
  </si>
  <si>
    <t>133-18</t>
  </si>
  <si>
    <t>SANTIZO</t>
  </si>
  <si>
    <t>D. EDY</t>
  </si>
  <si>
    <t>128-18</t>
  </si>
  <si>
    <t>LALONDE</t>
  </si>
  <si>
    <t>GREGORY</t>
  </si>
  <si>
    <t>130-18</t>
  </si>
  <si>
    <t>810-18</t>
  </si>
  <si>
    <t>132-18</t>
  </si>
  <si>
    <t>139-18</t>
  </si>
  <si>
    <t>903-18</t>
  </si>
  <si>
    <t>812-18</t>
  </si>
  <si>
    <t>141-18</t>
  </si>
  <si>
    <t>136-18</t>
  </si>
  <si>
    <t>143-18</t>
  </si>
  <si>
    <t>138-18</t>
  </si>
  <si>
    <t>140-18</t>
  </si>
  <si>
    <t>145-18</t>
  </si>
  <si>
    <t>147-18</t>
  </si>
  <si>
    <t>814-18</t>
  </si>
  <si>
    <t>142-18</t>
  </si>
  <si>
    <t>149-18</t>
  </si>
  <si>
    <t>144-18</t>
  </si>
  <si>
    <t>815-18</t>
  </si>
  <si>
    <t>146-18</t>
  </si>
  <si>
    <t>151-18</t>
  </si>
  <si>
    <t>153-18</t>
  </si>
  <si>
    <t>148-18</t>
  </si>
  <si>
    <t>155-18</t>
  </si>
  <si>
    <t>150-18</t>
  </si>
  <si>
    <t>816-18</t>
  </si>
  <si>
    <t>54-18</t>
  </si>
  <si>
    <t>SULLIVAN</t>
  </si>
  <si>
    <t>154-18</t>
  </si>
  <si>
    <t>152-18</t>
  </si>
  <si>
    <t>159-18</t>
  </si>
  <si>
    <t>156-18</t>
  </si>
  <si>
    <t>161-18</t>
  </si>
  <si>
    <t>THOMPSON</t>
  </si>
  <si>
    <t>LESTER</t>
  </si>
  <si>
    <t>817-18</t>
  </si>
  <si>
    <t>158-18</t>
  </si>
  <si>
    <t>55-18</t>
  </si>
  <si>
    <t>165-18</t>
  </si>
  <si>
    <t>160-18</t>
  </si>
  <si>
    <t>167-18</t>
  </si>
  <si>
    <t>56-18</t>
  </si>
  <si>
    <t>162-18</t>
  </si>
  <si>
    <t>164-18</t>
  </si>
  <si>
    <t>171-18</t>
  </si>
  <si>
    <t>166-18</t>
  </si>
  <si>
    <t>820-18</t>
  </si>
  <si>
    <t>59-18</t>
  </si>
  <si>
    <t>175-18</t>
  </si>
  <si>
    <t>821-18</t>
  </si>
  <si>
    <t>177-18</t>
  </si>
  <si>
    <t>179-18</t>
  </si>
  <si>
    <t>174-18</t>
  </si>
  <si>
    <t>822-18</t>
  </si>
  <si>
    <t>181-18</t>
  </si>
  <si>
    <t>176-18</t>
  </si>
  <si>
    <t>823-18</t>
  </si>
  <si>
    <t>178-18</t>
  </si>
  <si>
    <t>185-18</t>
  </si>
  <si>
    <t>180-18</t>
  </si>
  <si>
    <t>182-18</t>
  </si>
  <si>
    <t>824-18</t>
  </si>
  <si>
    <t>184-18</t>
  </si>
  <si>
    <t>191-18</t>
  </si>
  <si>
    <t>825-18</t>
  </si>
  <si>
    <t>188-18</t>
  </si>
  <si>
    <t>193-18</t>
  </si>
  <si>
    <t>195-18</t>
  </si>
  <si>
    <t>197-18</t>
  </si>
  <si>
    <t>190-18</t>
  </si>
  <si>
    <t>827-18</t>
  </si>
  <si>
    <t>192-18</t>
  </si>
  <si>
    <t>829-18</t>
  </si>
  <si>
    <t>199-18</t>
  </si>
  <si>
    <t>828-18</t>
  </si>
  <si>
    <t>196-18</t>
  </si>
  <si>
    <t>201-18</t>
  </si>
  <si>
    <t>203-18</t>
  </si>
  <si>
    <t>198-18</t>
  </si>
  <si>
    <t>CHANDLER</t>
  </si>
  <si>
    <t>KELVIN</t>
  </si>
  <si>
    <t>831-18</t>
  </si>
  <si>
    <t>MCREYNOLDS</t>
  </si>
  <si>
    <t>KYLE</t>
  </si>
  <si>
    <t>205-18</t>
  </si>
  <si>
    <t>830-18</t>
  </si>
  <si>
    <t>200-18</t>
  </si>
  <si>
    <t>207-18</t>
  </si>
  <si>
    <t>202-18</t>
  </si>
  <si>
    <t>833-18</t>
  </si>
  <si>
    <t>832-18</t>
  </si>
  <si>
    <t>209-18</t>
  </si>
  <si>
    <t>204-18</t>
  </si>
  <si>
    <t>211-18</t>
  </si>
  <si>
    <t>77-18</t>
  </si>
  <si>
    <t>LOPES</t>
  </si>
  <si>
    <t>KIMBERLY</t>
  </si>
  <si>
    <t>835-18</t>
  </si>
  <si>
    <t>206-18</t>
  </si>
  <si>
    <t>834-18</t>
  </si>
  <si>
    <t>213-18</t>
  </si>
  <si>
    <t>50-18</t>
  </si>
  <si>
    <t>208-18</t>
  </si>
  <si>
    <t>210-18</t>
  </si>
  <si>
    <t>837-18</t>
  </si>
  <si>
    <t>836-18</t>
  </si>
  <si>
    <t>217-18</t>
  </si>
  <si>
    <t>214-18</t>
  </si>
  <si>
    <t>219-18</t>
  </si>
  <si>
    <t>839-18</t>
  </si>
  <si>
    <t>838-18</t>
  </si>
  <si>
    <t>301-18</t>
  </si>
  <si>
    <t>216-18</t>
  </si>
  <si>
    <t>221-18</t>
  </si>
  <si>
    <t>218-18</t>
  </si>
  <si>
    <t>841-18</t>
  </si>
  <si>
    <t>303-18</t>
  </si>
  <si>
    <t>906-18</t>
  </si>
  <si>
    <t>220-18</t>
  </si>
  <si>
    <t>223-18</t>
  </si>
  <si>
    <t>840-18</t>
  </si>
  <si>
    <t>305-18</t>
  </si>
  <si>
    <t>222-18</t>
  </si>
  <si>
    <t>225-18</t>
  </si>
  <si>
    <t>843-18</t>
  </si>
  <si>
    <t>227-18</t>
  </si>
  <si>
    <t>224-18</t>
  </si>
  <si>
    <t>226-18</t>
  </si>
  <si>
    <t>229-18</t>
  </si>
  <si>
    <t>845-18</t>
  </si>
  <si>
    <t>228-18</t>
  </si>
  <si>
    <t>231-18</t>
  </si>
  <si>
    <t>844-18</t>
  </si>
  <si>
    <t>230-18</t>
  </si>
  <si>
    <t>847-18</t>
  </si>
  <si>
    <t>235-18</t>
  </si>
  <si>
    <t>232-18</t>
  </si>
  <si>
    <t>908-18</t>
  </si>
  <si>
    <t>236-18</t>
  </si>
  <si>
    <t>241-18</t>
  </si>
  <si>
    <t>238-18</t>
  </si>
  <si>
    <t>243-18</t>
  </si>
  <si>
    <t>240-18</t>
  </si>
  <si>
    <t>245-18</t>
  </si>
  <si>
    <t>242-18</t>
  </si>
  <si>
    <t>244-18</t>
  </si>
  <si>
    <t>307-18</t>
  </si>
  <si>
    <t>HELVIE</t>
  </si>
  <si>
    <t>ADAM</t>
  </si>
  <si>
    <t>309-18</t>
  </si>
  <si>
    <t>246-18</t>
  </si>
  <si>
    <t>204:772</t>
  </si>
  <si>
    <t>204:233347</t>
  </si>
  <si>
    <t>204:233408</t>
  </si>
  <si>
    <t>204:232992</t>
  </si>
  <si>
    <t>204:233340</t>
  </si>
  <si>
    <t>204:233019</t>
  </si>
  <si>
    <t>204:233297</t>
  </si>
  <si>
    <t>204:233329</t>
  </si>
  <si>
    <t>204:232981</t>
  </si>
  <si>
    <t>204:233320</t>
  </si>
  <si>
    <t>204:233001</t>
  </si>
  <si>
    <t>204:233336</t>
  </si>
  <si>
    <t>204:233362</t>
  </si>
  <si>
    <t>204:233049</t>
  </si>
  <si>
    <t>204:180</t>
  </si>
  <si>
    <t>204:233268</t>
  </si>
  <si>
    <t>204:232961</t>
  </si>
  <si>
    <t>204:233285</t>
  </si>
  <si>
    <t>204:232955</t>
  </si>
  <si>
    <t>204:19145</t>
  </si>
  <si>
    <t>204:438</t>
  </si>
  <si>
    <t>204:233255</t>
  </si>
  <si>
    <t>204:232978</t>
  </si>
  <si>
    <t>204:233393</t>
  </si>
  <si>
    <t>204:233085</t>
  </si>
  <si>
    <t>204:488</t>
  </si>
  <si>
    <t>204:232957</t>
  </si>
  <si>
    <t>204:233021</t>
  </si>
  <si>
    <t>204:56744</t>
  </si>
  <si>
    <t>204:64694</t>
  </si>
  <si>
    <t>204:68140</t>
  </si>
  <si>
    <t>204:233434</t>
  </si>
  <si>
    <t>204:233053</t>
  </si>
  <si>
    <t>204:232973</t>
  </si>
  <si>
    <t>204:165</t>
  </si>
  <si>
    <t>204:233280</t>
  </si>
  <si>
    <t>204:233387</t>
  </si>
  <si>
    <t>204:11659</t>
  </si>
  <si>
    <t>204:233366</t>
  </si>
  <si>
    <t>204:233281</t>
  </si>
  <si>
    <t>204:233372</t>
  </si>
  <si>
    <t>204:233062</t>
  </si>
  <si>
    <t>204:86376</t>
  </si>
  <si>
    <t>204:233410</t>
  </si>
  <si>
    <t>204:233065</t>
  </si>
  <si>
    <t>204:233298</t>
  </si>
  <si>
    <t>204:262</t>
  </si>
  <si>
    <t>204:232950</t>
  </si>
  <si>
    <t>204:233102</t>
  </si>
  <si>
    <t>204:233355</t>
  </si>
  <si>
    <t>204:233374</t>
  </si>
  <si>
    <t>204:233382</t>
  </si>
  <si>
    <t>204:233044</t>
  </si>
  <si>
    <t>204:63193</t>
  </si>
  <si>
    <t>204:570</t>
  </si>
  <si>
    <t>204:233103</t>
  </si>
  <si>
    <t>204:170</t>
  </si>
  <si>
    <t>204:233083</t>
  </si>
  <si>
    <t>204:98</t>
  </si>
  <si>
    <t>204:233491</t>
  </si>
  <si>
    <t>204:233086</t>
  </si>
  <si>
    <t>204:233276</t>
  </si>
  <si>
    <t>204:402</t>
  </si>
  <si>
    <t>204:233071</t>
  </si>
  <si>
    <t>204:94</t>
  </si>
  <si>
    <t>204:233125</t>
  </si>
  <si>
    <t>204:116</t>
  </si>
  <si>
    <t>204:233236</t>
  </si>
  <si>
    <t>204:232908</t>
  </si>
  <si>
    <t>204:185</t>
  </si>
  <si>
    <t>204:232976</t>
  </si>
  <si>
    <t>204:406</t>
  </si>
  <si>
    <t>204:233091</t>
  </si>
  <si>
    <t>204:119</t>
  </si>
  <si>
    <t>204:127872</t>
  </si>
  <si>
    <t>300:23239</t>
  </si>
  <si>
    <t>300:22394</t>
  </si>
  <si>
    <t>300:23724</t>
  </si>
  <si>
    <t>300:23293</t>
  </si>
  <si>
    <t>300:22216</t>
  </si>
  <si>
    <t>300:23711</t>
  </si>
  <si>
    <t>204:3356</t>
  </si>
  <si>
    <t>300:4805</t>
  </si>
  <si>
    <t>300:23563</t>
  </si>
  <si>
    <t>300:22404</t>
  </si>
  <si>
    <t>204:1643</t>
  </si>
  <si>
    <t>204:3209</t>
  </si>
  <si>
    <t>204:2085</t>
  </si>
  <si>
    <t>300:23542</t>
  </si>
  <si>
    <t>204:146</t>
  </si>
  <si>
    <t>300:24235</t>
  </si>
  <si>
    <t>204:334</t>
  </si>
  <si>
    <t>300:24205</t>
  </si>
  <si>
    <t>204:1490</t>
  </si>
  <si>
    <t>204:1712</t>
  </si>
  <si>
    <t>204:1156</t>
  </si>
  <si>
    <t>204:715</t>
  </si>
  <si>
    <t>204:992</t>
  </si>
  <si>
    <t>300:58931</t>
  </si>
  <si>
    <t>204:967</t>
  </si>
  <si>
    <t>300:58963</t>
  </si>
  <si>
    <t>300:58660</t>
  </si>
  <si>
    <t>300:58935</t>
  </si>
  <si>
    <t>300:58621</t>
  </si>
  <si>
    <t>300:58969</t>
  </si>
  <si>
    <t>300:58655</t>
  </si>
  <si>
    <t>204:731</t>
  </si>
  <si>
    <t>204:122</t>
  </si>
  <si>
    <t>204:1028</t>
  </si>
  <si>
    <t>300:58961</t>
  </si>
  <si>
    <t>300:58653</t>
  </si>
  <si>
    <t>204:661</t>
  </si>
  <si>
    <t>300:58647</t>
  </si>
  <si>
    <t>204:699</t>
  </si>
  <si>
    <t>300:58965</t>
  </si>
  <si>
    <t>300:58651</t>
  </si>
  <si>
    <t>204:668</t>
  </si>
  <si>
    <t>204:754</t>
  </si>
  <si>
    <t>204:687</t>
  </si>
  <si>
    <t>300:58952</t>
  </si>
  <si>
    <t>300:58640</t>
  </si>
  <si>
    <t>204:649</t>
  </si>
  <si>
    <t>204:932</t>
  </si>
  <si>
    <t>300:58630</t>
  </si>
  <si>
    <t>204:657</t>
  </si>
  <si>
    <t>204:663</t>
  </si>
  <si>
    <t>204:979</t>
  </si>
  <si>
    <t>300:58626</t>
  </si>
  <si>
    <t>204:153</t>
  </si>
  <si>
    <t>204:955</t>
  </si>
  <si>
    <t>204:659</t>
  </si>
  <si>
    <t>300:58941</t>
  </si>
  <si>
    <t>300:58632</t>
  </si>
  <si>
    <t>204:706</t>
  </si>
  <si>
    <t>204:950</t>
  </si>
  <si>
    <t>204:654</t>
  </si>
  <si>
    <t>204:946</t>
  </si>
  <si>
    <t>204:677</t>
  </si>
  <si>
    <t>204:988</t>
  </si>
  <si>
    <t>300:58960</t>
  </si>
  <si>
    <t>204:951</t>
  </si>
  <si>
    <t>204:944</t>
  </si>
  <si>
    <t>204:964</t>
  </si>
  <si>
    <t>300:58946</t>
  </si>
  <si>
    <t>300:58937</t>
  </si>
  <si>
    <t>300:30565</t>
  </si>
  <si>
    <t>300:58927</t>
  </si>
  <si>
    <t>204:423</t>
  </si>
  <si>
    <t>300:24212</t>
  </si>
  <si>
    <t>300:23641</t>
  </si>
  <si>
    <t>204:4442</t>
  </si>
  <si>
    <t>300:58643</t>
  </si>
  <si>
    <t>300:28778</t>
  </si>
  <si>
    <t>300:28774</t>
  </si>
  <si>
    <t>start /low /b %USERPROFILE%\Documents\GitHub\eaglep3\Utilities\DownloadLogsFromS3.py --loco 4040 --day 2017-08-18</t>
  </si>
  <si>
    <t>start /low /b %USERPROFILE%\Documents\GitHub\eaglep3\Utilities\DownloadLogsFromS3.py --loco 4018 --day 2017-08-18</t>
  </si>
  <si>
    <t>start /low /b %USERPROFILE%\Documents\GitHub\eaglep3\Utilities\DownloadLogsFromS3.py --loco 4011 --day 2017-08-18</t>
  </si>
  <si>
    <t>start /low /b %USERPROFILE%\Documents\GitHub\eaglep3\Utilities\DownloadLogsFromS3.py --loco 4027 --day 2017-08-18</t>
  </si>
  <si>
    <t>start /low /b %USERPROFILE%\Documents\GitHub\eaglep3\Utilities\DownloadLogsFromS3.py --loco 4039 --day 2017-08-19</t>
  </si>
  <si>
    <t>start /low /b %USERPROFILE%\Documents\GitHub\eaglep3\Utilities\DownloadLogsFromS3.py --loco 4008 --day 2017-08-18</t>
  </si>
  <si>
    <t>start /low /b %USERPROFILE%\Documents\GitHub\eaglep3\Utilities\DownloadLogsFromS3.py --loco 4050 --day 2017-08-18</t>
  </si>
  <si>
    <t>start /low /b %USERPROFILE%\Documents\GitHub\eaglep3\Utilities\DownloadLogsFromS3.py --loco 4039 --day 2017-08-18</t>
  </si>
  <si>
    <t>start /low /b %USERPROFILE%\Documents\GitHub\eaglep3\Utilities\DownloadLogsFromS3.py --loco 4029 --day 2017-08-19</t>
  </si>
  <si>
    <t>start /low /b %USERPROFILE%\Documents\GitHub\eaglep3\Utilities\DownloadLogsFromS3.py --loco 4028 --day 2017-08-18</t>
  </si>
  <si>
    <t>start /low /b %USERPROFILE%\Documents\GitHub\eaglep3\Utilities\DownloadLogsFromS3.py --loco 4012 --day 2017-08-19</t>
  </si>
  <si>
    <t>start /low /b %USERPROFILE%\Documents\GitHub\eaglep3\Utilities\DownloadLogsFromS3.py --loco 4064 --day 2017-08-18</t>
  </si>
  <si>
    <t>start /low /b %USERPROFILE%\Documents\GitHub\eaglep3\Utilities\DownloadLogsFromS3.py --loco 4049 --day 2017-08-18</t>
  </si>
  <si>
    <t>start /low /b %USERPROFILE%\Documents\GitHub\eaglep3\Utilities\DownloadLogsFromS3.py --loco 4030 --day 2017-08-19</t>
  </si>
  <si>
    <t>start /low /b %USERPROFILE%\Documents\GitHub\eaglep3\Utilities\DownloadLogsFromS3.py --loco 4029 --day 2017-08-18</t>
  </si>
  <si>
    <t>start /low /b %USERPROFILE%\Documents\GitHub\eaglep3\Utilities\DownloadLogsFromS3.py --loco 4018 --day 2017-08-19</t>
  </si>
  <si>
    <t>start /low /b %USERPROFILE%\Documents\GitHub\eaglep3\Utilities\DownloadLogsFromS3.py --loco 4063 --day 2017-08-18</t>
  </si>
  <si>
    <t>start /low /b %USERPROFILE%\Documents\GitHub\eaglep3\Utilities\DownloadLogsFromS3.py --loco 4049 --day 2017-08-19</t>
  </si>
  <si>
    <t>start /low /b %USERPROFILE%\Documents\GitHub\eaglep3\Utilities\DownloadLogsFromS3.py --loco 4012 --day 2017-08-18</t>
  </si>
  <si>
    <t>start /low /b %USERPROFILE%\Documents\GitHub\eaglep3\Utilities\DownloadLogsFromS3.py --loco 4030 --day 2017-08-18</t>
  </si>
  <si>
    <t>start /low /b %USERPROFILE%\Documents\GitHub\eaglep3\Utilities\DownloadLogsFromS3.py --loco 4040 --day 2017-08-19</t>
  </si>
  <si>
    <t>start /low /b %USERPROFILE%\Documents\GitHub\eaglep3\Utilities\DownloadLogsFromS3.py --loco 4058 --day 2017-08-18</t>
  </si>
  <si>
    <t>start /low /b %USERPROFILE%\Documents\GitHub\eaglep3\Utilities\DownloadLogsFromS3.py --loco 4057 --day 2017-08-18</t>
  </si>
  <si>
    <t>start /low /b %USERPROFILE%\Documents\GitHub\eaglep3\Utilities\DownloadLogsFromS3.py --loco 4007 --day 2017-08-18</t>
  </si>
  <si>
    <t>Failed Class 2 test, reset Slot10</t>
  </si>
  <si>
    <t>Cascade from 200-18</t>
  </si>
  <si>
    <t>Poor GPS at DUS</t>
  </si>
  <si>
    <t>842-18</t>
  </si>
  <si>
    <t>DELGADO DIANAH</t>
  </si>
  <si>
    <t>Went active too close to signal</t>
  </si>
  <si>
    <t>Premature downgrade at DUS 28S</t>
  </si>
  <si>
    <t>Wi-MAX data drop observed, no enforcement/cutout</t>
  </si>
  <si>
    <t>Delayed by onboard in-route failure</t>
  </si>
  <si>
    <t>Main 3 departure</t>
  </si>
  <si>
    <t>hsc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</si>
</sst>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7"/>
  <sheetViews>
    <sheetView tabSelected="1" workbookViewId="0">
      <selection activeCell="AF191" sqref="AF19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42965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42965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COUNTIFS($N$13:$N$9310,"&gt;0",$AG$13:$AG$9310,I1)</f>
        <v>138</v>
      </c>
      <c r="K5" s="39"/>
      <c r="L5" s="39"/>
      <c r="M5" s="40">
        <f>AVERAGEIFS($N$13:$N$9310,$AG$13:$AG$9310,I1)</f>
        <v>37.860386473248184</v>
      </c>
      <c r="N5" s="38">
        <f t="array" ref="N5">MIN(IF($AG$13:$AG$9310=I1,IF(ISNUMBER($N$13:$N$9310),IF($N$13:$N$9310&gt;0,$N$13:$N$9310))))</f>
        <v>34.73333333269693</v>
      </c>
      <c r="O5" s="3">
        <f t="array" ref="O5">MAX(IF($AG$13:$AG$9310=I1,IF(ISNUMBER($N$13:$N$9310),IF($N$13:$N$9310&gt;0,$N$13:$N$9310))))</f>
        <v>42.650000005960464</v>
      </c>
      <c r="P5" s="2"/>
      <c r="R5" s="166" t="s">
        <v>17</v>
      </c>
      <c r="S5" s="186">
        <f>COUNTIFS($N$13:$N$9310,"&gt;0",$AG$13:$AG$9310,R1)</f>
        <v>46</v>
      </c>
      <c r="T5" s="187"/>
      <c r="U5" s="187"/>
      <c r="V5" s="183">
        <f>AVERAGEIFS($N$13:$N$9310,$AG$13:$AG$9310,R1)</f>
        <v>15.010507246023854</v>
      </c>
      <c r="W5" s="184">
        <f t="array" ref="W5">MIN(IF($AG$13:$AG$9310=R1,IF(ISNUMBER($N$13:$N$9310),IF($N$13:$N$9310&gt;0,$N$13:$N$9310))))</f>
        <v>11.516666666138917</v>
      </c>
      <c r="X5" s="185">
        <f t="array" ref="X5">MAX(IF($AG$13:$AG$9310=R1,IF(ISNUMBER($N$13:$N$9310),IF($N$13:$N$9310&gt;0,$N$13:$N$9310))))</f>
        <v>21.866666665300727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COUNT($O$13:$O$128)</f>
        <v>0</v>
      </c>
      <c r="K6" s="39"/>
      <c r="L6" s="39"/>
      <c r="M6" s="40">
        <f>IFERROR(AVERAGE($O$13:$O$128),0)</f>
        <v>0</v>
      </c>
      <c r="N6" s="38">
        <f>MIN($O$13:$O$128)</f>
        <v>0</v>
      </c>
      <c r="O6" s="3">
        <f>MAX($O$13:$O$128)</f>
        <v>0</v>
      </c>
      <c r="P6" s="2"/>
      <c r="R6" s="167" t="s">
        <v>43</v>
      </c>
      <c r="S6" s="186">
        <f>COUNT($O$13:$O$128)</f>
        <v>0</v>
      </c>
      <c r="T6" s="187"/>
      <c r="U6" s="187"/>
      <c r="V6" s="183">
        <f>IFERROR(AVERAGE($O$13:$O$128),0)</f>
        <v>0</v>
      </c>
      <c r="W6" s="184">
        <f>MIN($O$13:$O$128)</f>
        <v>0</v>
      </c>
      <c r="X6" s="185">
        <f>MAX($O$13:$O$128)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COUNTIFS($P$13:$P$9310,"&gt;0",$AG$13:$AG$9310,I1)</f>
        <v>8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COUNTIFS($P$13:$P$9310,"&gt;0",$AG$13:$AG$9310,R1)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138</v>
      </c>
      <c r="K8" s="39"/>
      <c r="L8" s="39"/>
      <c r="M8" s="40">
        <f>M5</f>
        <v>37.860386473248184</v>
      </c>
      <c r="N8" s="38">
        <f>N5</f>
        <v>34.73333333269693</v>
      </c>
      <c r="O8" s="3">
        <f>O5</f>
        <v>42.650000005960464</v>
      </c>
      <c r="P8" s="2"/>
      <c r="R8" s="166" t="s">
        <v>16</v>
      </c>
      <c r="S8" s="186">
        <f>S5</f>
        <v>46</v>
      </c>
      <c r="T8" s="187"/>
      <c r="U8" s="187"/>
      <c r="V8" s="183">
        <f>V5</f>
        <v>15.010507246023854</v>
      </c>
      <c r="W8" s="184">
        <f>W5</f>
        <v>11.516666666138917</v>
      </c>
      <c r="X8" s="185">
        <f>X5</f>
        <v>21.866666665300727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0.9452054794520548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- 2017-08-18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AVERAGE(S13:S101)</f>
        <v>0.9846743295019158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685</v>
      </c>
      <c r="B13" s="7">
        <v>4040</v>
      </c>
      <c r="C13" s="21" t="s">
        <v>198</v>
      </c>
      <c r="D13" s="21" t="s">
        <v>879</v>
      </c>
      <c r="E13" s="13">
        <v>42965.127083333333</v>
      </c>
      <c r="F13" s="13">
        <v>42965.135925925926</v>
      </c>
      <c r="G13" s="7">
        <v>1</v>
      </c>
      <c r="H13" s="21" t="s">
        <v>481</v>
      </c>
      <c r="I13" s="13">
        <v>42965.162905092591</v>
      </c>
      <c r="J13" s="7">
        <v>0</v>
      </c>
      <c r="K13" s="89" t="str">
        <f t="shared" ref="K13:K76" si="0">IF(ISEVEN(B13),(B13-1)&amp;"/"&amp;B13,B13&amp;"/"&amp;(B13+1))</f>
        <v>4039/4040</v>
      </c>
      <c r="L13" s="21" t="str">
        <f>VLOOKUP(A13,'Trips&amp;Operators'!$C$1:$G$99999,5,FALSE)</f>
        <v>STARKS ANGELINA</v>
      </c>
      <c r="M13" s="6">
        <f t="shared" ref="M13:M76" si="1">I13-F13</f>
        <v>2.6979166665114462E-2</v>
      </c>
      <c r="N13" s="7">
        <f t="shared" ref="N13:N50" si="2">24*60*SUM($M13:$M13)</f>
        <v>38.849999997764826</v>
      </c>
      <c r="O13" s="7"/>
      <c r="P13" s="7"/>
      <c r="Q13" s="22"/>
      <c r="R13" s="170"/>
      <c r="S13" s="213">
        <f t="shared" ref="S13:S51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-18T02:03:00-0600',mode:absolute,to:'2017-08-18T04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7.7200000000000005E-2</v>
      </c>
      <c r="Z13" s="197">
        <f t="shared" ref="Z13:Z44" si="8">RIGHT(H13,LEN(H13)-4)/10000</f>
        <v>23.330200000000001</v>
      </c>
      <c r="AA13" s="197">
        <f t="shared" ref="AA13:AA76" si="9">ABS(Z13-Y13)</f>
        <v>23.253</v>
      </c>
      <c r="AB13" s="54" t="e">
        <f>VLOOKUP(A13,Enforcements!$C$7:$K$11,8,0)</f>
        <v>#N/A</v>
      </c>
      <c r="AC13" s="51" t="e">
        <f>VLOOKUP(A13,Enforcements!$C$7:$E$11,3,0)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/stypes="app*4040*20170818*"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4040 --swversion DE.1.0.9.0 --startMP 204:772 --initTime 2017-08-18T03:03:00 --startdatetime 2017-08-18T03:15:44 --delay 1 --endMP 204:233302 --enddatetime 2017-08-18T03:54:35 --enforcementcount 0 &gt;&gt;C:\Users\stu\Documents\GitHub\eaglep3-reporting\EC\2017-08-18-refined-times.txt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{"issue":{"subject":"","project_id":79,"tracker_id":40,"status_id":1,"priority_id":2,"assigned_to_id":23,"start_date":"2017-08-18","description":"","custom_fields":[{"id":1,"name":"Subdivision","value":"EC"},{"id":4,"name":"Milepost","value":"23.3302"},{"id":17,"name":"Train ID","value":"101-18"},{"id":16,"name":"Locomotive ID","value":"4040"},{"id":130,"name":"Impact","value":""},{"id":150,"name":"Time of Event (Mountain Time)","value":"03:54:35"},{"id":151,"name":"Denver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4040 --day 2017-08-18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09:54:35"},{"id":29,"name":"Sharepoint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689</v>
      </c>
      <c r="B14" s="7">
        <v>4039</v>
      </c>
      <c r="C14" s="21" t="s">
        <v>198</v>
      </c>
      <c r="D14" s="21" t="s">
        <v>619</v>
      </c>
      <c r="E14" s="13">
        <v>42965.164583333331</v>
      </c>
      <c r="F14" s="13">
        <v>42965.175162037034</v>
      </c>
      <c r="G14" s="7">
        <v>1</v>
      </c>
      <c r="H14" s="21" t="s">
        <v>347</v>
      </c>
      <c r="I14" s="13">
        <v>42965.203356481485</v>
      </c>
      <c r="J14" s="7">
        <v>0</v>
      </c>
      <c r="K14" s="89" t="str">
        <f t="shared" si="0"/>
        <v>4039/4040</v>
      </c>
      <c r="L14" s="21" t="str">
        <f>VLOOKUP(A14,'Trips&amp;Operators'!$C$1:$G$99999,5,FALSE)</f>
        <v>STARKS ANGELINA</v>
      </c>
      <c r="M14" s="6">
        <f t="shared" si="1"/>
        <v>2.8194444450491574E-2</v>
      </c>
      <c r="N14" s="7">
        <f t="shared" si="2"/>
        <v>40.600000008707866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-18T02:57:00-0600',mode:absolute,to:'2017-08-18T05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23.298500000000001</v>
      </c>
      <c r="Z14" s="197">
        <f t="shared" si="8"/>
        <v>1.3899999999999999E-2</v>
      </c>
      <c r="AA14" s="197">
        <f t="shared" si="9"/>
        <v>23.284600000000001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206">
        <f t="shared" si="10"/>
        <v>102</v>
      </c>
      <c r="AE14" s="77" t="str">
        <f t="shared" si="11"/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AF14" s="74" t="str">
        <f t="shared" si="12"/>
        <v>"C:\Program Files (x86)\AstroGrep\AstroGrep.exe" /e /r /s /spath="%USERPROFILE%\AppData\Local\Temp\OnboardLogs" /stypes="app*4039*20170818*"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4039 --swversion DE.1.0.9.0 --startMP 204:232985 --initTime 2017-08-18T03:57:00 --startdatetime 2017-08-18T04:12:14 --delay 1 --endMP 204:139 --enddatetime 2017-08-18T04:52:50 --enforcementcount 0 &gt;&gt;C:\Users\stu\Documents\GitHub\eaglep3-reporting\EC\2017-08-18-refined-times.txt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{"issue":{"subject":"","project_id":79,"tracker_id":40,"status_id":1,"priority_id":2,"assigned_to_id":23,"start_date":"2017-08-18","description":"","custom_fields":[{"id":1,"name":"Subdivision","value":"EC"},{"id":4,"name":"Milepost","value":"0.0139"},{"id":17,"name":"Train ID","value":"102-18"},{"id":16,"name":"Locomotive ID","value":"4039"},{"id":130,"name":"Impact","value":""},{"id":150,"name":"Time of Event (Mountain Time)","value":"04:52:50"},{"id":151,"name":"Denver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4039 --day 2017-08-18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10:52:50"},{"id":29,"name":"Sharepoint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688</v>
      </c>
      <c r="B15" s="7">
        <v>4012</v>
      </c>
      <c r="C15" s="21" t="s">
        <v>198</v>
      </c>
      <c r="D15" s="21" t="s">
        <v>471</v>
      </c>
      <c r="E15" s="13">
        <v>42965.153356481482</v>
      </c>
      <c r="F15" s="13">
        <v>42965.156793981485</v>
      </c>
      <c r="G15" s="7">
        <v>1</v>
      </c>
      <c r="H15" s="21" t="s">
        <v>880</v>
      </c>
      <c r="I15" s="13">
        <v>42965.184247685182</v>
      </c>
      <c r="J15" s="7">
        <v>0</v>
      </c>
      <c r="K15" s="89" t="str">
        <f t="shared" si="0"/>
        <v>4011/4012</v>
      </c>
      <c r="L15" s="21" t="str">
        <f>VLOOKUP(A15,'Trips&amp;Operators'!$C$1:$G$99999,5,FALSE)</f>
        <v>WILLIAMS DONTE</v>
      </c>
      <c r="M15" s="6">
        <f t="shared" si="1"/>
        <v>2.7453703696664888E-2</v>
      </c>
      <c r="N15" s="7">
        <f t="shared" si="2"/>
        <v>39.533333323197439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-18T02:40:50-0600',mode:absolute,to:'2017-08-18T05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4.6600000000000003E-2</v>
      </c>
      <c r="Z15" s="197">
        <f t="shared" si="8"/>
        <v>23.334700000000002</v>
      </c>
      <c r="AA15" s="197">
        <f t="shared" si="9"/>
        <v>23.2881</v>
      </c>
      <c r="AB15" s="54" t="e">
        <f>VLOOKUP(A15,Enforcements!$C$7:$K$11,8,0)</f>
        <v>#N/A</v>
      </c>
      <c r="AC15" s="51" t="e">
        <f>VLOOKUP(A15,Enforcements!$C$7:$E$11,3,0)</f>
        <v>#N/A</v>
      </c>
      <c r="AD15" s="206">
        <f t="shared" si="10"/>
        <v>103</v>
      </c>
      <c r="AE15" s="77" t="str">
        <f t="shared" si="11"/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AF15" s="74" t="str">
        <f t="shared" si="12"/>
        <v>"C:\Program Files (x86)\AstroGrep\AstroGrep.exe" /e /r /s /spath="%USERPROFILE%\AppData\Local\Temp\OnboardLogs" /stypes="app*4012*20170818*"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103-18 --locoid 4012 --swversion DE.1.0.9.0 --startMP 204:466 --initTime 2017-08-18T03:40:50 --startdatetime 2017-08-18T03:45:47 --delay 1 --endMP 204:233347 --enddatetime 2017-08-18T04:25:19 --enforcementcount 0 &gt;&gt;C:\Users\stu\Documents\GitHub\eaglep3-reporting\EC\2017-08-18-refined-times.txt</v>
      </c>
      <c r="AI15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{"issue":{"subject":"","project_id":79,"tracker_id":40,"status_id":1,"priority_id":2,"assigned_to_id":23,"start_date":"2017-08-18","description":"","custom_fields":[{"id":1,"name":"Subdivision","value":"EC"},{"id":4,"name":"Milepost","value":"23.3347"},{"id":17,"name":"Train ID","value":"103-18"},{"id":16,"name":"Locomotive ID","value":"4012"},{"id":130,"name":"Impact","value":""},{"id":150,"name":"Time of Event (Mountain Time)","value":"04:25:19"},{"id":151,"name":"Denver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4012 --day 2017-08-18</v>
      </c>
      <c r="AN15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10:25:19"},{"id":29,"name":"Sharepoint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694</v>
      </c>
      <c r="B16" s="7">
        <v>4011</v>
      </c>
      <c r="C16" s="21" t="s">
        <v>198</v>
      </c>
      <c r="D16" s="21" t="s">
        <v>554</v>
      </c>
      <c r="E16" s="13">
        <v>42965.193055555559</v>
      </c>
      <c r="F16" s="13">
        <v>42965.196250000001</v>
      </c>
      <c r="G16" s="7">
        <v>1</v>
      </c>
      <c r="H16" s="21" t="s">
        <v>617</v>
      </c>
      <c r="I16" s="13">
        <v>42965.223541666666</v>
      </c>
      <c r="J16" s="7">
        <v>0</v>
      </c>
      <c r="K16" s="89" t="str">
        <f t="shared" si="0"/>
        <v>4011/4012</v>
      </c>
      <c r="L16" s="21" t="str">
        <f>VLOOKUP(A16,'Trips&amp;Operators'!$C$1:$G$99999,5,FALSE)</f>
        <v>WILLIAMS DONTE</v>
      </c>
      <c r="M16" s="6">
        <f t="shared" si="1"/>
        <v>2.7291666665405501E-2</v>
      </c>
      <c r="N16" s="7">
        <f t="shared" si="2"/>
        <v>39.299999998183921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-18T03:38:00-0600',mode:absolute,to:'2017-08-18T06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23.3004</v>
      </c>
      <c r="Z16" s="197">
        <f t="shared" si="8"/>
        <v>1.6899999999999998E-2</v>
      </c>
      <c r="AA16" s="197">
        <f t="shared" si="9"/>
        <v>23.2835</v>
      </c>
      <c r="AB16" s="54" t="e">
        <f>VLOOKUP(A16,Enforcements!$C$7:$K$11,8,0)</f>
        <v>#N/A</v>
      </c>
      <c r="AC16" s="51" t="e">
        <f>VLOOKUP(A16,Enforcements!$C$7:$E$11,3,0)</f>
        <v>#N/A</v>
      </c>
      <c r="AD16" s="206">
        <f t="shared" si="10"/>
        <v>104</v>
      </c>
      <c r="AE16" s="77" t="str">
        <f t="shared" si="11"/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AF16" s="74" t="str">
        <f t="shared" si="12"/>
        <v>"C:\Program Files (x86)\AstroGrep\AstroGrep.exe" /e /r /s /spath="%USERPROFILE%\AppData\Local\Temp\OnboardLogs" /stypes="app*4011*20170818*"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104-18 --locoid 4011 --swversion DE.1.0.9.0 --startMP 204:233004 --initTime 2017-08-18T04:38:00 --startdatetime 2017-08-18T04:42:36 --delay 1 --endMP 204:169 --enddatetime 2017-08-18T05:21:54 --enforcementcount 0 &gt;&gt;C:\Users\stu\Documents\GitHub\eaglep3-reporting\EC\2017-08-18-refined-times.txt</v>
      </c>
      <c r="AI16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{"issue":{"subject":"","project_id":79,"tracker_id":40,"status_id":1,"priority_id":2,"assigned_to_id":23,"start_date":"2017-08-18","description":"","custom_fields":[{"id":1,"name":"Subdivision","value":"EC"},{"id":4,"name":"Milepost","value":"0.0169"},{"id":17,"name":"Train ID","value":"104-18"},{"id":16,"name":"Locomotive ID","value":"4011"},{"id":130,"name":"Impact","value":""},{"id":150,"name":"Time of Event (Mountain Time)","value":"05:21:54"},{"id":151,"name":"Denver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4011 --day 2017-08-18</v>
      </c>
      <c r="AN16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11:21:54"},{"id":29,"name":"Sharepoint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690</v>
      </c>
      <c r="B17" s="7">
        <v>4030</v>
      </c>
      <c r="C17" s="21" t="s">
        <v>198</v>
      </c>
      <c r="D17" s="21" t="s">
        <v>515</v>
      </c>
      <c r="E17" s="13">
        <v>42965.168981481482</v>
      </c>
      <c r="F17" s="13">
        <v>42965.177662037036</v>
      </c>
      <c r="G17" s="7">
        <v>1</v>
      </c>
      <c r="H17" s="21" t="s">
        <v>881</v>
      </c>
      <c r="I17" s="13">
        <v>42965.20579861111</v>
      </c>
      <c r="J17" s="7">
        <v>0</v>
      </c>
      <c r="K17" s="89" t="str">
        <f t="shared" si="0"/>
        <v>4029/4030</v>
      </c>
      <c r="L17" s="21" t="str">
        <f>VLOOKUP(A17,'Trips&amp;Operators'!$C$1:$G$99999,5,FALSE)</f>
        <v>GUNTHIER ERIC</v>
      </c>
      <c r="M17" s="6">
        <f t="shared" si="1"/>
        <v>2.8136574073869269E-2</v>
      </c>
      <c r="N17" s="7">
        <f t="shared" si="2"/>
        <v>40.516666666371748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-18T03:03:20-0600',mode:absolute,to:'2017-08-18T05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4.24E-2</v>
      </c>
      <c r="Z17" s="197">
        <f t="shared" si="8"/>
        <v>23.340800000000002</v>
      </c>
      <c r="AA17" s="197">
        <f t="shared" si="9"/>
        <v>23.298400000000001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206">
        <f t="shared" si="10"/>
        <v>105</v>
      </c>
      <c r="AE17" s="77" t="str">
        <f t="shared" si="11"/>
        <v>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 &amp; 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</v>
      </c>
      <c r="AF17" s="74" t="str">
        <f t="shared" si="12"/>
        <v>"C:\Program Files (x86)\AstroGrep\AstroGrep.exe" /e /r /s /spath="%USERPROFILE%\AppData\Local\Temp\OnboardLogs" /stypes="app*4030*20170818*"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105-18 --locoid 4030 --swversion DE.1.0.9.0 --startMP 204:424 --initTime 2017-08-18T04:03:20 --startdatetime 2017-08-18T04:15:50 --delay 1 --endMP 204:233408 --enddatetime 2017-08-18T04:56:21 --enforcementcount 0 &gt;&gt;C:\Users\stu\Documents\GitHub\eaglep3-reporting\EC\2017-08-18-refined-times.txt</v>
      </c>
      <c r="AI17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{"issue":{"subject":"","project_id":79,"tracker_id":40,"status_id":1,"priority_id":2,"assigned_to_id":23,"start_date":"2017-08-18","description":"","custom_fields":[{"id":1,"name":"Subdivision","value":"EC"},{"id":4,"name":"Milepost","value":"23.3408"},{"id":17,"name":"Train ID","value":"105-18"},{"id":16,"name":"Locomotive ID","value":"4030"},{"id":130,"name":"Impact","value":""},{"id":150,"name":"Time of Event (Mountain Time)","value":"04:56:21"},{"id":151,"name":"Denver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4030 --day 2017-08-18</v>
      </c>
      <c r="AN17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10:56:21"},{"id":29,"name":"Sharepoint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645</v>
      </c>
      <c r="B18" s="7">
        <v>4029</v>
      </c>
      <c r="C18" s="21" t="s">
        <v>198</v>
      </c>
      <c r="D18" s="21" t="s">
        <v>600</v>
      </c>
      <c r="E18" s="13">
        <v>42965.210914351854</v>
      </c>
      <c r="F18" s="13">
        <v>42965.216840277775</v>
      </c>
      <c r="G18" s="7">
        <v>1</v>
      </c>
      <c r="H18" s="21" t="s">
        <v>437</v>
      </c>
      <c r="I18" s="13">
        <v>42965.245937500003</v>
      </c>
      <c r="J18" s="7">
        <v>0</v>
      </c>
      <c r="K18" s="89" t="str">
        <f t="shared" si="0"/>
        <v>4029/4030</v>
      </c>
      <c r="L18" s="21" t="str">
        <f>VLOOKUP(A18,'Trips&amp;Operators'!$C$1:$G$99999,5,FALSE)</f>
        <v>GUNTHIER ERIC</v>
      </c>
      <c r="M18" s="6">
        <f t="shared" si="1"/>
        <v>2.9097222228301689E-2</v>
      </c>
      <c r="N18" s="7">
        <f t="shared" si="2"/>
        <v>41.900000008754432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-18T04:03:43-0600',mode:absolute,to:'2017-08-18T06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23.3094</v>
      </c>
      <c r="Z18" s="197">
        <f t="shared" si="8"/>
        <v>1.52E-2</v>
      </c>
      <c r="AA18" s="197">
        <f t="shared" si="9"/>
        <v>23.2942</v>
      </c>
      <c r="AB18" s="54" t="e">
        <f>VLOOKUP(A18,Enforcements!$C$7:$K$11,8,0)</f>
        <v>#N/A</v>
      </c>
      <c r="AC18" s="51" t="e">
        <f>VLOOKUP(A18,Enforcements!$C$7:$E$11,3,0)</f>
        <v>#N/A</v>
      </c>
      <c r="AD18" s="206">
        <f t="shared" si="10"/>
        <v>106</v>
      </c>
      <c r="AE18" s="77" t="str">
        <f t="shared" si="11"/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AF18" s="74" t="str">
        <f t="shared" si="12"/>
        <v>"C:\Program Files (x86)\AstroGrep\AstroGrep.exe" /e /r /s /spath="%USERPROFILE%\AppData\Local\Temp\OnboardLogs" /stypes="app*4029*20170818*"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106-18 --locoid 4029 --swversion DE.1.0.9.0 --startMP 204:233094 --initTime 2017-08-18T05:03:43 --startdatetime 2017-08-18T05:12:15 --delay 1 --endMP 204:152 --enddatetime 2017-08-18T05:54:09 --enforcementcount 0 &gt;&gt;C:\Users\stu\Documents\GitHub\eaglep3-reporting\EC\2017-08-18-refined-times.txt</v>
      </c>
      <c r="AI18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{"issue":{"subject":"","project_id":79,"tracker_id":40,"status_id":1,"priority_id":2,"assigned_to_id":23,"start_date":"2017-08-18","description":"","custom_fields":[{"id":1,"name":"Subdivision","value":"EC"},{"id":4,"name":"Milepost","value":"0.0152"},{"id":17,"name":"Train ID","value":"106-18"},{"id":16,"name":"Locomotive ID","value":"4029"},{"id":130,"name":"Impact","value":""},{"id":150,"name":"Time of Event (Mountain Time)","value":"05:54:09"},{"id":151,"name":"Denver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4029 --day 2017-08-18</v>
      </c>
      <c r="AN18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11:54:09"},{"id":29,"name":"Sharepoint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692</v>
      </c>
      <c r="B19" s="7">
        <v>4028</v>
      </c>
      <c r="C19" s="21" t="s">
        <v>198</v>
      </c>
      <c r="D19" s="21" t="s">
        <v>393</v>
      </c>
      <c r="E19" s="13">
        <v>42965.182476851849</v>
      </c>
      <c r="F19" s="13">
        <v>42965.188356481478</v>
      </c>
      <c r="G19" s="7">
        <v>2</v>
      </c>
      <c r="H19" s="21" t="s">
        <v>609</v>
      </c>
      <c r="I19" s="13">
        <v>42965.213761574072</v>
      </c>
      <c r="J19" s="7">
        <v>0</v>
      </c>
      <c r="K19" s="89" t="str">
        <f t="shared" si="0"/>
        <v>4027/4028</v>
      </c>
      <c r="L19" s="21" t="str">
        <f>VLOOKUP(A19,'Trips&amp;Operators'!$C$1:$G$99999,5,FALSE)</f>
        <v>BARRON PERLA</v>
      </c>
      <c r="M19" s="6">
        <f t="shared" si="1"/>
        <v>2.5405092594155576E-2</v>
      </c>
      <c r="N19" s="7">
        <f t="shared" si="2"/>
        <v>36.58333333558403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-18T03:22:46-0600',mode:absolute,to:'2017-08-18T06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4.5499999999999999E-2</v>
      </c>
      <c r="Z19" s="197">
        <f t="shared" si="8"/>
        <v>23.330500000000001</v>
      </c>
      <c r="AA19" s="197">
        <f t="shared" si="9"/>
        <v>23.285</v>
      </c>
      <c r="AB19" s="54" t="e">
        <f>VLOOKUP(A19,Enforcements!$C$7:$K$11,8,0)</f>
        <v>#N/A</v>
      </c>
      <c r="AC19" s="51" t="e">
        <f>VLOOKUP(A19,Enforcements!$C$7:$E$11,3,0)</f>
        <v>#N/A</v>
      </c>
      <c r="AD19" s="206">
        <f t="shared" si="10"/>
        <v>107</v>
      </c>
      <c r="AE19" s="77" t="str">
        <f t="shared" si="11"/>
        <v>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 &amp; 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</v>
      </c>
      <c r="AF19" s="74" t="str">
        <f t="shared" si="12"/>
        <v>"C:\Program Files (x86)\AstroGrep\AstroGrep.exe" /e /r /s /spath="%USERPROFILE%\AppData\Local\Temp\OnboardLogs" /stypes="app*4028*20170818*"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107-18 --locoid 4028 --swversion DE.1.0.9.0 --startMP 204:455 --initTime 2017-08-18T04:22:46 --startdatetime 2017-08-18T04:31:14 --delay 2 --endMP 204:233305 --enddatetime 2017-08-18T05:07:49 --enforcementcount 0 &gt;&gt;C:\Users\stu\Documents\GitHub\eaglep3-reporting\EC\2017-08-18-refined-times.txt</v>
      </c>
      <c r="AI19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{"issue":{"subject":"","project_id":79,"tracker_id":40,"status_id":1,"priority_id":2,"assigned_to_id":23,"start_date":"2017-08-18","description":"","custom_fields":[{"id":1,"name":"Subdivision","value":"EC"},{"id":4,"name":"Milepost","value":"23.3305"},{"id":17,"name":"Train ID","value":"107-18"},{"id":16,"name":"Locomotive ID","value":"4028"},{"id":130,"name":"Impact","value":""},{"id":150,"name":"Time of Event (Mountain Time)","value":"05:07:49"},{"id":151,"name":"Denver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4028 --day 2017-08-18</v>
      </c>
      <c r="AN19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11:07:49"},{"id":29,"name":"Sharepoint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700</v>
      </c>
      <c r="B20" s="7">
        <v>4027</v>
      </c>
      <c r="C20" s="21" t="s">
        <v>198</v>
      </c>
      <c r="D20" s="21" t="s">
        <v>882</v>
      </c>
      <c r="E20" s="13">
        <v>42965.215208333335</v>
      </c>
      <c r="F20" s="13">
        <v>42965.227326388886</v>
      </c>
      <c r="G20" s="7">
        <v>1</v>
      </c>
      <c r="H20" s="21" t="s">
        <v>375</v>
      </c>
      <c r="I20" s="13">
        <v>42965.254004629627</v>
      </c>
      <c r="J20" s="7">
        <v>0</v>
      </c>
      <c r="K20" s="89" t="str">
        <f t="shared" si="0"/>
        <v>4027/4028</v>
      </c>
      <c r="L20" s="21" t="str">
        <f>VLOOKUP(A20,'Trips&amp;Operators'!$C$1:$G$99999,5,FALSE)</f>
        <v>BARRON PERLA</v>
      </c>
      <c r="M20" s="6">
        <f t="shared" si="1"/>
        <v>2.6678240741603076E-2</v>
      </c>
      <c r="N20" s="7">
        <f t="shared" si="2"/>
        <v>38.41666666790843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-18T04:09:54-0600',mode:absolute,to:'2017-08-18T07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23.299199999999999</v>
      </c>
      <c r="Z20" s="197">
        <f t="shared" si="8"/>
        <v>1.54E-2</v>
      </c>
      <c r="AA20" s="197">
        <f t="shared" si="9"/>
        <v>23.283799999999999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206">
        <f t="shared" si="10"/>
        <v>108</v>
      </c>
      <c r="AE20" s="77" t="str">
        <f t="shared" si="11"/>
        <v>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 &amp; aws s3 cp s3://rtdc.mdm.uploadarchive.raw/RTDC4027/ "%USERPROFILE%\AppData\Local\Temp\OnboardLogs"\RTDC4027\2017-08-19 --exclude "*" --recursive --include "*20170819*" &amp; "%USERPROFILE%\Documents\GitHub\mrs-test-scripts\Headless Mode &amp; Sideloading\WalkAndUnGZ.bat" "%USERPROFILE%\AppData\Local\Temp\OnboardLogs"\RTDC4027\2017-08-19</v>
      </c>
      <c r="AF20" s="74" t="str">
        <f t="shared" si="12"/>
        <v>"C:\Program Files (x86)\AstroGrep\AstroGrep.exe" /e /r /s /spath="%USERPROFILE%\AppData\Local\Temp\OnboardLogs" /stypes="app*4027*20170818*"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108-18 --locoid 4027 --swversion DE.1.0.9.0 --startMP 204:232992 --initTime 2017-08-18T05:09:54 --startdatetime 2017-08-18T05:27:21 --delay 1 --endMP 204:154 --enddatetime 2017-08-18T06:05:46 --enforcementcount 0 &gt;&gt;C:\Users\stu\Documents\GitHub\eaglep3-reporting\EC\2017-08-18-refined-times.txt</v>
      </c>
      <c r="AI20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{"issue":{"subject":"","project_id":79,"tracker_id":40,"status_id":1,"priority_id":2,"assigned_to_id":23,"start_date":"2017-08-18","description":"","custom_fields":[{"id":1,"name":"Subdivision","value":"EC"},{"id":4,"name":"Milepost","value":"0.0154"},{"id":17,"name":"Train ID","value":"108-18"},{"id":16,"name":"Locomotive ID","value":"4027"},{"id":130,"name":"Impact","value":""},{"id":150,"name":"Time of Event (Mountain Time)","value":"06:05:46"},{"id":151,"name":"Denver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4027 --day 2017-08-18</v>
      </c>
      <c r="AN20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12:05:46"},{"id":29,"name":"Sharepoint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697</v>
      </c>
      <c r="B21" s="7">
        <v>4064</v>
      </c>
      <c r="C21" s="21" t="s">
        <v>198</v>
      </c>
      <c r="D21" s="21" t="s">
        <v>456</v>
      </c>
      <c r="E21" s="13">
        <v>42965.194872685184</v>
      </c>
      <c r="F21" s="13">
        <v>42965.198437500003</v>
      </c>
      <c r="G21" s="7">
        <v>1</v>
      </c>
      <c r="H21" s="21" t="s">
        <v>883</v>
      </c>
      <c r="I21" s="13">
        <v>42965.224907407406</v>
      </c>
      <c r="J21" s="7">
        <v>0</v>
      </c>
      <c r="K21" s="89" t="str">
        <f t="shared" si="0"/>
        <v>4063/4064</v>
      </c>
      <c r="L21" s="21" t="str">
        <f>VLOOKUP(A21,'Trips&amp;Operators'!$C$1:$G$99999,5,FALSE)</f>
        <v>DAVIS WENDY</v>
      </c>
      <c r="M21" s="6">
        <f t="shared" si="1"/>
        <v>2.6469907403225079E-2</v>
      </c>
      <c r="N21" s="7">
        <f t="shared" si="2"/>
        <v>38.116666660644114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-18T03:40:37-0600',mode:absolute,to:'2017-08-18T06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4.4200000000000003E-2</v>
      </c>
      <c r="Z21" s="197">
        <f t="shared" si="8"/>
        <v>23.334</v>
      </c>
      <c r="AA21" s="197">
        <f t="shared" si="9"/>
        <v>23.2898</v>
      </c>
      <c r="AB21" s="54" t="e">
        <f>VLOOKUP(A21,Enforcements!$C$7:$K$11,8,0)</f>
        <v>#N/A</v>
      </c>
      <c r="AC21" s="51" t="e">
        <f>VLOOKUP(A21,Enforcements!$C$7:$E$11,3,0)</f>
        <v>#N/A</v>
      </c>
      <c r="AD21" s="206">
        <f t="shared" si="10"/>
        <v>109</v>
      </c>
      <c r="AE21" s="77" t="str">
        <f t="shared" si="11"/>
        <v>aws s3 cp s3://rtdc.mdm.uploadarchive.raw/RTDC4064/ "%USERPROFILE%\AppData\Local\Temp\OnboardLogs"\RTDC4064\2017-08-18 --exclude "*" --recursive --include "*20170818*" &amp; "%USERPROFILE%\Documents\GitHub\mrs-test-scripts\Headless Mode &amp; Sideloading\WalkAndUnGZ.bat" "%USERPROFILE%\AppData\Local\Temp\OnboardLogs"\RTDC4064\2017-08-18 &amp; aws s3 cp s3://rtdc.mdm.uploadarchive.raw/RTDC4064/ "%USERPROFILE%\AppData\Local\Temp\OnboardLogs"\RTDC4064\2017-08-19 --exclude "*" --recursive --include "*20170819*" &amp; "%USERPROFILE%\Documents\GitHub\mrs-test-scripts\Headless Mode &amp; Sideloading\WalkAndUnGZ.bat" "%USERPROFILE%\AppData\Local\Temp\OnboardLogs"\RTDC4064\2017-08-19</v>
      </c>
      <c r="AF21" s="74" t="str">
        <f t="shared" si="12"/>
        <v>"C:\Program Files (x86)\AstroGrep\AstroGrep.exe" /e /r /s /spath="%USERPROFILE%\AppData\Local\Temp\OnboardLogs" /stypes="app*4064*20170818*"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109-18 --locoid 4064 --swversion DE.1.0.9.0 --startMP 204:442 --initTime 2017-08-18T04:40:37 --startdatetime 2017-08-18T04:45:45 --delay 1 --endMP 204:233340 --enddatetime 2017-08-18T05:23:52 --enforcementcount 0 &gt;&gt;C:\Users\stu\Documents\GitHub\eaglep3-reporting\EC\2017-08-18-refined-times.txt</v>
      </c>
      <c r="AI21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{"issue":{"subject":"","project_id":79,"tracker_id":40,"status_id":1,"priority_id":2,"assigned_to_id":23,"start_date":"2017-08-18","description":"","custom_fields":[{"id":1,"name":"Subdivision","value":"EC"},{"id":4,"name":"Milepost","value":"23.334"},{"id":17,"name":"Train ID","value":"109-18"},{"id":16,"name":"Locomotive ID","value":"4064"},{"id":130,"name":"Impact","value":""},{"id":150,"name":"Time of Event (Mountain Time)","value":"05:23:52"},{"id":151,"name":"Denver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4064 --day 2017-08-18</v>
      </c>
      <c r="AN21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11:23:52"},{"id":29,"name":"Sharepoint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702</v>
      </c>
      <c r="B22" s="7">
        <v>4063</v>
      </c>
      <c r="C22" s="21" t="s">
        <v>198</v>
      </c>
      <c r="D22" s="21" t="s">
        <v>884</v>
      </c>
      <c r="E22" s="13">
        <v>42965.234814814816</v>
      </c>
      <c r="F22" s="13">
        <v>42965.237650462965</v>
      </c>
      <c r="G22" s="7">
        <v>0</v>
      </c>
      <c r="H22" s="21" t="s">
        <v>506</v>
      </c>
      <c r="I22" s="13">
        <v>42965.265567129631</v>
      </c>
      <c r="J22" s="7">
        <v>0</v>
      </c>
      <c r="K22" s="89" t="str">
        <f t="shared" si="0"/>
        <v>4063/4064</v>
      </c>
      <c r="L22" s="21" t="str">
        <f>VLOOKUP(A22,'Trips&amp;Operators'!$C$1:$G$99999,5,FALSE)</f>
        <v>DAVIS WENDY</v>
      </c>
      <c r="M22" s="6">
        <f t="shared" si="1"/>
        <v>2.7916666665987577E-2</v>
      </c>
      <c r="N22" s="7">
        <f t="shared" si="2"/>
        <v>40.199999999022111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-18T04:38:08-0600',mode:absolute,to:'2017-08-18T07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23.3019</v>
      </c>
      <c r="Z22" s="197">
        <f t="shared" si="8"/>
        <v>1.5599999999999999E-2</v>
      </c>
      <c r="AA22" s="197">
        <f t="shared" si="9"/>
        <v>23.286300000000001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206">
        <f t="shared" si="10"/>
        <v>110</v>
      </c>
      <c r="AE22" s="77" t="str">
        <f t="shared" si="11"/>
        <v>aws s3 cp s3://rtdc.mdm.uploadarchive.raw/RTDC4063/ "%USERPROFILE%\AppData\Local\Temp\OnboardLogs"\RTDC4063\2017-08-18 --exclude "*" --recursive --include "*20170818*" &amp; "%USERPROFILE%\Documents\GitHub\mrs-test-scripts\Headless Mode &amp; Sideloading\WalkAndUnGZ.bat" "%USERPROFILE%\AppData\Local\Temp\OnboardLogs"\RTDC4063\2017-08-18 &amp; aws s3 cp s3://rtdc.mdm.uploadarchive.raw/RTDC4063/ "%USERPROFILE%\AppData\Local\Temp\OnboardLogs"\RTDC4063\2017-08-19 --exclude "*" --recursive --include "*20170819*" &amp; "%USERPROFILE%\Documents\GitHub\mrs-test-scripts\Headless Mode &amp; Sideloading\WalkAndUnGZ.bat" "%USERPROFILE%\AppData\Local\Temp\OnboardLogs"\RTDC4063\2017-08-19</v>
      </c>
      <c r="AF22" s="74" t="str">
        <f t="shared" si="12"/>
        <v>"C:\Program Files (x86)\AstroGrep\AstroGrep.exe" /e /r /s /spath="%USERPROFILE%\AppData\Local\Temp\OnboardLogs" /stypes="app*4063*20170818*"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110-18 --locoid 4063 --swversion DE.1.0.9.0 --startMP 204:233019 --initTime 2017-08-18T05:38:08 --startdatetime 2017-08-18T05:42:13 --delay 0 --endMP 204:156 --enddatetime 2017-08-18T06:22:25 --enforcementcount 0 &gt;&gt;C:\Users\stu\Documents\GitHub\eaglep3-reporting\EC\2017-08-18-refined-times.txt</v>
      </c>
      <c r="AI22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{"issue":{"subject":"","project_id":79,"tracker_id":40,"status_id":1,"priority_id":2,"assigned_to_id":23,"start_date":"2017-08-18","description":"","custom_fields":[{"id":1,"name":"Subdivision","value":"EC"},{"id":4,"name":"Milepost","value":"0.0156"},{"id":17,"name":"Train ID","value":"110-18"},{"id":16,"name":"Locomotive ID","value":"4063"},{"id":130,"name":"Impact","value":""},{"id":150,"name":"Time of Event (Mountain Time)","value":"06:22:25"},{"id":151,"name":"Denver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4063 --day 2017-08-18</v>
      </c>
      <c r="AN22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12:22:25"},{"id":29,"name":"Sharepoint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698</v>
      </c>
      <c r="B23" s="7">
        <v>4040</v>
      </c>
      <c r="C23" s="21" t="s">
        <v>198</v>
      </c>
      <c r="D23" s="21" t="s">
        <v>340</v>
      </c>
      <c r="E23" s="13">
        <v>42965.205393518518</v>
      </c>
      <c r="F23" s="13">
        <v>42965.208865740744</v>
      </c>
      <c r="G23" s="7">
        <v>1</v>
      </c>
      <c r="H23" s="21" t="s">
        <v>885</v>
      </c>
      <c r="I23" s="13">
        <v>42965.234270833331</v>
      </c>
      <c r="J23" s="7">
        <v>0</v>
      </c>
      <c r="K23" s="89" t="str">
        <f t="shared" si="0"/>
        <v>4039/4040</v>
      </c>
      <c r="L23" s="21" t="str">
        <f>VLOOKUP(A23,'Trips&amp;Operators'!$C$1:$G$99999,5,FALSE)</f>
        <v>STARKS ANGELINA</v>
      </c>
      <c r="M23" s="6">
        <f t="shared" si="1"/>
        <v>2.5405092586879618E-2</v>
      </c>
      <c r="N23" s="7">
        <f t="shared" si="2"/>
        <v>36.583333325106651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-18T03:55:46-0600',mode:absolute,to:'2017-08-18T06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4.4600000000000001E-2</v>
      </c>
      <c r="Z23" s="197">
        <f t="shared" si="8"/>
        <v>23.329699999999999</v>
      </c>
      <c r="AA23" s="197">
        <f t="shared" si="9"/>
        <v>23.2851</v>
      </c>
      <c r="AB23" s="54" t="e">
        <f>VLOOKUP(A23,Enforcements!$C$7:$K$11,8,0)</f>
        <v>#N/A</v>
      </c>
      <c r="AC23" s="51" t="e">
        <f>VLOOKUP(A23,Enforcements!$C$7:$E$11,3,0)</f>
        <v>#N/A</v>
      </c>
      <c r="AD23" s="206">
        <f t="shared" si="10"/>
        <v>111</v>
      </c>
      <c r="AE23" s="77" t="str">
        <f t="shared" si="11"/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AF23" s="74" t="str">
        <f t="shared" si="12"/>
        <v>"C:\Program Files (x86)\AstroGrep\AstroGrep.exe" /e /r /s /spath="%USERPROFILE%\AppData\Local\Temp\OnboardLogs" /stypes="app*4040*20170818*"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111-18 --locoid 4040 --swversion DE.1.0.9.0 --startMP 204:446 --initTime 2017-08-18T04:55:46 --startdatetime 2017-08-18T05:00:46 --delay 1 --endMP 204:233297 --enddatetime 2017-08-18T05:37:21 --enforcementcount 0 &gt;&gt;C:\Users\stu\Documents\GitHub\eaglep3-reporting\EC\2017-08-18-refined-times.txt</v>
      </c>
      <c r="AI23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{"issue":{"subject":"","project_id":79,"tracker_id":40,"status_id":1,"priority_id":2,"assigned_to_id":23,"start_date":"2017-08-18","description":"","custom_fields":[{"id":1,"name":"Subdivision","value":"EC"},{"id":4,"name":"Milepost","value":"23.3297"},{"id":17,"name":"Train ID","value":"111-18"},{"id":16,"name":"Locomotive ID","value":"4040"},{"id":130,"name":"Impact","value":""},{"id":150,"name":"Time of Event (Mountain Time)","value":"05:37:21"},{"id":151,"name":"Denver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4040 --day 2017-08-18</v>
      </c>
      <c r="AN23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11:37:21"},{"id":29,"name":"Sharepoint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704</v>
      </c>
      <c r="B24" s="7">
        <v>4039</v>
      </c>
      <c r="C24" s="21" t="s">
        <v>198</v>
      </c>
      <c r="D24" s="21" t="s">
        <v>460</v>
      </c>
      <c r="E24" s="13">
        <v>42965.243530092594</v>
      </c>
      <c r="F24" s="13">
        <v>42965.248287037037</v>
      </c>
      <c r="G24" s="7">
        <v>2</v>
      </c>
      <c r="H24" s="21" t="s">
        <v>342</v>
      </c>
      <c r="I24" s="13">
        <v>42965.27584490741</v>
      </c>
      <c r="J24" s="7">
        <v>0</v>
      </c>
      <c r="K24" s="89" t="str">
        <f t="shared" si="0"/>
        <v>4039/4040</v>
      </c>
      <c r="L24" s="21" t="str">
        <f>VLOOKUP(A24,'Trips&amp;Operators'!$C$1:$G$99999,5,FALSE)</f>
        <v>STARKS ANGELINA</v>
      </c>
      <c r="M24" s="6">
        <f t="shared" si="1"/>
        <v>2.7557870373129845E-2</v>
      </c>
      <c r="N24" s="7">
        <f t="shared" si="2"/>
        <v>39.683333337306976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-18T04:50:41-0600',mode:absolute,to:'2017-08-18T07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23.297699999999999</v>
      </c>
      <c r="Z24" s="197">
        <f t="shared" si="8"/>
        <v>1.49E-2</v>
      </c>
      <c r="AA24" s="197">
        <f t="shared" si="9"/>
        <v>23.282799999999998</v>
      </c>
      <c r="AB24" s="54" t="e">
        <f>VLOOKUP(A24,Enforcements!$C$7:$K$11,8,0)</f>
        <v>#N/A</v>
      </c>
      <c r="AC24" s="51" t="e">
        <f>VLOOKUP(A24,Enforcements!$C$7:$E$11,3,0)</f>
        <v>#N/A</v>
      </c>
      <c r="AD24" s="206">
        <f t="shared" si="10"/>
        <v>112</v>
      </c>
      <c r="AE24" s="77" t="str">
        <f t="shared" si="11"/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AF24" s="74" t="str">
        <f t="shared" si="12"/>
        <v>"C:\Program Files (x86)\AstroGrep\AstroGrep.exe" /e /r /s /spath="%USERPROFILE%\AppData\Local\Temp\OnboardLogs" /stypes="app*4039*20170818*"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112-18 --locoid 4039 --swversion DE.1.0.9.0 --startMP 204:232977 --initTime 2017-08-18T05:50:41 --startdatetime 2017-08-18T05:57:32 --delay 2 --endMP 204:149 --enddatetime 2017-08-18T06:37:13 --enforcementcount 0 &gt;&gt;C:\Users\stu\Documents\GitHub\eaglep3-reporting\EC\2017-08-18-refined-times.txt</v>
      </c>
      <c r="AI24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{"issue":{"subject":"","project_id":79,"tracker_id":40,"status_id":1,"priority_id":2,"assigned_to_id":23,"start_date":"2017-08-18","description":"","custom_fields":[{"id":1,"name":"Subdivision","value":"EC"},{"id":4,"name":"Milepost","value":"0.0149"},{"id":17,"name":"Train ID","value":"112-18"},{"id":16,"name":"Locomotive ID","value":"4039"},{"id":130,"name":"Impact","value":""},{"id":150,"name":"Time of Event (Mountain Time)","value":"06:37:13"},{"id":151,"name":"Denver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4039 --day 2017-08-18</v>
      </c>
      <c r="AN24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12:37:13"},{"id":29,"name":"Sharepoint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699</v>
      </c>
      <c r="B25" s="7">
        <v>4050</v>
      </c>
      <c r="C25" s="21" t="s">
        <v>198</v>
      </c>
      <c r="D25" s="21" t="s">
        <v>340</v>
      </c>
      <c r="E25" s="13">
        <v>42965.212569444448</v>
      </c>
      <c r="F25" s="13">
        <v>42965.219270833331</v>
      </c>
      <c r="G25" s="7">
        <v>1</v>
      </c>
      <c r="H25" s="21" t="s">
        <v>885</v>
      </c>
      <c r="I25" s="13">
        <v>42965.246828703705</v>
      </c>
      <c r="J25" s="7">
        <v>0</v>
      </c>
      <c r="K25" s="89" t="str">
        <f t="shared" si="0"/>
        <v>4049/4050</v>
      </c>
      <c r="L25" s="21" t="str">
        <f>VLOOKUP(A25,'Trips&amp;Operators'!$C$1:$G$99999,5,FALSE)</f>
        <v>BIRKHOLZ NADINE</v>
      </c>
      <c r="M25" s="6">
        <f t="shared" si="1"/>
        <v>2.7557870373129845E-2</v>
      </c>
      <c r="N25" s="7">
        <f t="shared" si="2"/>
        <v>39.683333337306976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-18T04:06:06-0600',mode:absolute,to:'2017-08-18T06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4.4600000000000001E-2</v>
      </c>
      <c r="Z25" s="197">
        <f t="shared" si="8"/>
        <v>23.329699999999999</v>
      </c>
      <c r="AA25" s="197">
        <f t="shared" si="9"/>
        <v>23.2851</v>
      </c>
      <c r="AB25" s="54" t="e">
        <f>VLOOKUP(A25,Enforcements!$C$7:$K$11,8,0)</f>
        <v>#N/A</v>
      </c>
      <c r="AC25" s="51" t="e">
        <f>VLOOKUP(A25,Enforcements!$C$7:$E$11,3,0)</f>
        <v>#N/A</v>
      </c>
      <c r="AD25" s="206">
        <f t="shared" si="10"/>
        <v>113</v>
      </c>
      <c r="AE25" s="77" t="str">
        <f t="shared" si="11"/>
        <v>aws s3 cp s3://rtdc.mdm.uploadarchive.raw/RTDC4050/ "%USERPROFILE%\AppData\Local\Temp\OnboardLogs"\RTDC4050\2017-08-18 --exclude "*" --recursive --include "*20170818*" &amp; "%USERPROFILE%\Documents\GitHub\mrs-test-scripts\Headless Mode &amp; Sideloading\WalkAndUnGZ.bat" "%USERPROFILE%\AppData\Local\Temp\OnboardLogs"\RTDC4050\2017-08-18 &amp; aws s3 cp s3://rtdc.mdm.uploadarchive.raw/RTDC4050/ "%USERPROFILE%\AppData\Local\Temp\OnboardLogs"\RTDC4050\2017-08-19 --exclude "*" --recursive --include "*20170819*" &amp; "%USERPROFILE%\Documents\GitHub\mrs-test-scripts\Headless Mode &amp; Sideloading\WalkAndUnGZ.bat" "%USERPROFILE%\AppData\Local\Temp\OnboardLogs"\RTDC4050\2017-08-19</v>
      </c>
      <c r="AF25" s="74" t="str">
        <f t="shared" si="12"/>
        <v>"C:\Program Files (x86)\AstroGrep\AstroGrep.exe" /e /r /s /spath="%USERPROFILE%\AppData\Local\Temp\OnboardLogs" /stypes="app*4050*20170818*"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113-18 --locoid 4050 --swversion DE.1.0.9.0 --startMP 204:446 --initTime 2017-08-18T05:06:06 --startdatetime 2017-08-18T05:15:45 --delay 1 --endMP 204:233297 --enddatetime 2017-08-18T05:55:26 --enforcementcount 0 &gt;&gt;C:\Users\stu\Documents\GitHub\eaglep3-reporting\EC\2017-08-18-refined-times.txt</v>
      </c>
      <c r="AI25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{"issue":{"subject":"","project_id":79,"tracker_id":40,"status_id":1,"priority_id":2,"assigned_to_id":23,"start_date":"2017-08-18","description":"","custom_fields":[{"id":1,"name":"Subdivision","value":"EC"},{"id":4,"name":"Milepost","value":"23.3297"},{"id":17,"name":"Train ID","value":"113-18"},{"id":16,"name":"Locomotive ID","value":"4050"},{"id":130,"name":"Impact","value":""},{"id":150,"name":"Time of Event (Mountain Time)","value":"05:55:26"},{"id":151,"name":"Denver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4050 --day 2017-08-18</v>
      </c>
      <c r="AN25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11:55:26"},{"id":29,"name":"Sharepoint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708</v>
      </c>
      <c r="B26" s="7">
        <v>4049</v>
      </c>
      <c r="C26" s="21" t="s">
        <v>198</v>
      </c>
      <c r="D26" s="21" t="s">
        <v>556</v>
      </c>
      <c r="E26" s="13">
        <v>42965.255729166667</v>
      </c>
      <c r="F26" s="13">
        <v>42965.258518518516</v>
      </c>
      <c r="G26" s="7">
        <v>1</v>
      </c>
      <c r="H26" s="21" t="s">
        <v>611</v>
      </c>
      <c r="I26" s="13">
        <v>42965.286053240743</v>
      </c>
      <c r="J26" s="7">
        <v>0</v>
      </c>
      <c r="K26" s="89" t="str">
        <f t="shared" si="0"/>
        <v>4049/4050</v>
      </c>
      <c r="L26" s="21" t="str">
        <f>VLOOKUP(A26,'Trips&amp;Operators'!$C$1:$G$99999,5,FALSE)</f>
        <v>BIRKHOLZ NADINE</v>
      </c>
      <c r="M26" s="6">
        <f t="shared" si="1"/>
        <v>2.7534722226846498E-2</v>
      </c>
      <c r="N26" s="7">
        <f t="shared" si="2"/>
        <v>39.650000006658956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-18T05:08:15-0600',mode:absolute,to:'2017-08-18T07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23.298300000000001</v>
      </c>
      <c r="Z26" s="197">
        <f t="shared" si="8"/>
        <v>1.34E-2</v>
      </c>
      <c r="AA26" s="197">
        <f t="shared" si="9"/>
        <v>23.2849</v>
      </c>
      <c r="AB26" s="54" t="e">
        <f>VLOOKUP(A26,Enforcements!$C$7:$K$11,8,0)</f>
        <v>#N/A</v>
      </c>
      <c r="AC26" s="51" t="e">
        <f>VLOOKUP(A26,Enforcements!$C$7:$E$11,3,0)</f>
        <v>#N/A</v>
      </c>
      <c r="AD26" s="206">
        <f t="shared" si="10"/>
        <v>114</v>
      </c>
      <c r="AE26" s="77" t="str">
        <f t="shared" si="11"/>
        <v>aws s3 cp s3://rtdc.mdm.uploadarchive.raw/RTDC4049/ "%USERPROFILE%\AppData\Local\Temp\OnboardLogs"\RTDC4049\2017-08-18 --exclude "*" --recursive --include "*20170818*" &amp; "%USERPROFILE%\Documents\GitHub\mrs-test-scripts\Headless Mode &amp; Sideloading\WalkAndUnGZ.bat" "%USERPROFILE%\AppData\Local\Temp\OnboardLogs"\RTDC4049\2017-08-18 &amp; aws s3 cp s3://rtdc.mdm.uploadarchive.raw/RTDC4049/ "%USERPROFILE%\AppData\Local\Temp\OnboardLogs"\RTDC4049\2017-08-19 --exclude "*" --recursive --include "*20170819*" &amp; "%USERPROFILE%\Documents\GitHub\mrs-test-scripts\Headless Mode &amp; Sideloading\WalkAndUnGZ.bat" "%USERPROFILE%\AppData\Local\Temp\OnboardLogs"\RTDC4049\2017-08-19</v>
      </c>
      <c r="AF26" s="74" t="str">
        <f t="shared" si="12"/>
        <v>"C:\Program Files (x86)\AstroGrep\AstroGrep.exe" /e /r /s /spath="%USERPROFILE%\AppData\Local\Temp\OnboardLogs" /stypes="app*4049*20170818*"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114-18 --locoid 4049 --swversion DE.1.0.9.0 --startMP 204:232983 --initTime 2017-08-18T06:08:15 --startdatetime 2017-08-18T06:12:16 --delay 1 --endMP 204:134 --enddatetime 2017-08-18T06:51:55 --enforcementcount 0 &gt;&gt;C:\Users\stu\Documents\GitHub\eaglep3-reporting\EC\2017-08-18-refined-times.txt</v>
      </c>
      <c r="AI26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{"issue":{"subject":"","project_id":79,"tracker_id":40,"status_id":1,"priority_id":2,"assigned_to_id":23,"start_date":"2017-08-18","description":"","custom_fields":[{"id":1,"name":"Subdivision","value":"EC"},{"id":4,"name":"Milepost","value":"0.0134"},{"id":17,"name":"Train ID","value":"114-18"},{"id":16,"name":"Locomotive ID","value":"4049"},{"id":130,"name":"Impact","value":""},{"id":150,"name":"Time of Event (Mountain Time)","value":"06:51:55"},{"id":151,"name":"Denver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4049 --day 2017-08-18</v>
      </c>
      <c r="AN26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12:51:55"},{"id":29,"name":"Sharepoint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701</v>
      </c>
      <c r="B27" s="7">
        <v>4012</v>
      </c>
      <c r="C27" s="21" t="s">
        <v>198</v>
      </c>
      <c r="D27" s="21" t="s">
        <v>343</v>
      </c>
      <c r="E27" s="13">
        <v>42965.22619212963</v>
      </c>
      <c r="F27" s="13">
        <v>42965.229675925926</v>
      </c>
      <c r="G27" s="7">
        <v>1</v>
      </c>
      <c r="H27" s="21" t="s">
        <v>504</v>
      </c>
      <c r="I27" s="13">
        <v>42965.255046296297</v>
      </c>
      <c r="J27" s="7">
        <v>0</v>
      </c>
      <c r="K27" s="89" t="str">
        <f t="shared" si="0"/>
        <v>4011/4012</v>
      </c>
      <c r="L27" s="21" t="str">
        <f>VLOOKUP(A27,'Trips&amp;Operators'!$C$1:$G$99999,5,FALSE)</f>
        <v>WILLIAMS DONTE</v>
      </c>
      <c r="M27" s="6">
        <f t="shared" si="1"/>
        <v>2.5370370371092577E-2</v>
      </c>
      <c r="N27" s="7">
        <f t="shared" si="2"/>
        <v>36.53333333437331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-18T04:25:43-0600',mode:absolute,to:'2017-08-18T07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4.5100000000000001E-2</v>
      </c>
      <c r="Z27" s="197">
        <f t="shared" si="8"/>
        <v>23.330300000000001</v>
      </c>
      <c r="AA27" s="197">
        <f t="shared" si="9"/>
        <v>23.2852</v>
      </c>
      <c r="AB27" s="54" t="e">
        <f>VLOOKUP(A27,Enforcements!$C$7:$K$11,8,0)</f>
        <v>#N/A</v>
      </c>
      <c r="AC27" s="51" t="e">
        <f>VLOOKUP(A27,Enforcements!$C$7:$E$11,3,0)</f>
        <v>#N/A</v>
      </c>
      <c r="AD27" s="206">
        <f t="shared" si="10"/>
        <v>115</v>
      </c>
      <c r="AE27" s="77" t="str">
        <f t="shared" si="11"/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AF27" s="74" t="str">
        <f t="shared" si="12"/>
        <v>"C:\Program Files (x86)\AstroGrep\AstroGrep.exe" /e /r /s /spath="%USERPROFILE%\AppData\Local\Temp\OnboardLogs" /stypes="app*4012*20170818*"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115-18 --locoid 4012 --swversion DE.1.0.9.0 --startMP 204:451 --initTime 2017-08-18T05:25:43 --startdatetime 2017-08-18T05:30:44 --delay 1 --endMP 204:233303 --enddatetime 2017-08-18T06:07:16 --enforcementcount 0 &gt;&gt;C:\Users\stu\Documents\GitHub\eaglep3-reporting\EC\2017-08-18-refined-times.txt</v>
      </c>
      <c r="AI27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{"issue":{"subject":"","project_id":79,"tracker_id":40,"status_id":1,"priority_id":2,"assigned_to_id":23,"start_date":"2017-08-18","description":"","custom_fields":[{"id":1,"name":"Subdivision","value":"EC"},{"id":4,"name":"Milepost","value":"23.3303"},{"id":17,"name":"Train ID","value":"115-18"},{"id":16,"name":"Locomotive ID","value":"4012"},{"id":130,"name":"Impact","value":""},{"id":150,"name":"Time of Event (Mountain Time)","value":"06:07:16"},{"id":151,"name":"Denver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4012 --day 2017-08-18</v>
      </c>
      <c r="AN27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12:07:16"},{"id":29,"name":"Sharepoint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649</v>
      </c>
      <c r="B28" s="7">
        <v>4011</v>
      </c>
      <c r="C28" s="21" t="s">
        <v>198</v>
      </c>
      <c r="D28" s="21" t="s">
        <v>476</v>
      </c>
      <c r="E28" s="13">
        <v>42965.265034722222</v>
      </c>
      <c r="F28" s="13">
        <v>42965.268946759257</v>
      </c>
      <c r="G28" s="7">
        <v>1</v>
      </c>
      <c r="H28" s="21" t="s">
        <v>453</v>
      </c>
      <c r="I28" s="13">
        <v>42965.296365740738</v>
      </c>
      <c r="J28" s="7">
        <v>0</v>
      </c>
      <c r="K28" s="89" t="str">
        <f t="shared" si="0"/>
        <v>4011/4012</v>
      </c>
      <c r="L28" s="21" t="str">
        <f>VLOOKUP(A28,'Trips&amp;Operators'!$C$1:$G$99999,5,FALSE)</f>
        <v>WILLIAMS DONTE</v>
      </c>
      <c r="M28" s="6">
        <f t="shared" si="1"/>
        <v>2.7418981480877846E-2</v>
      </c>
      <c r="N28" s="7">
        <f t="shared" si="2"/>
        <v>39.483333332464099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-18T05:21:39-0600',mode:absolute,to:'2017-08-18T08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23.299399999999999</v>
      </c>
      <c r="Z28" s="197">
        <f t="shared" si="8"/>
        <v>1.6E-2</v>
      </c>
      <c r="AA28" s="197">
        <f t="shared" si="9"/>
        <v>23.2834</v>
      </c>
      <c r="AB28" s="54" t="str">
        <f>VLOOKUP(A28,Enforcements!$C$7:$K$11,8,0)</f>
        <v>Bulletin (2)</v>
      </c>
      <c r="AC28" s="51" t="str">
        <f>VLOOKUP(A28,Enforcements!$C$7:$E$11,3,0)</f>
        <v>GRADE CROSSING</v>
      </c>
      <c r="AD28" s="206">
        <f t="shared" si="10"/>
        <v>116</v>
      </c>
      <c r="AE28" s="77" t="str">
        <f t="shared" si="11"/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AF28" s="74" t="str">
        <f t="shared" si="12"/>
        <v>"C:\Program Files (x86)\AstroGrep\AstroGrep.exe" /e /r /s /spath="%USERPROFILE%\AppData\Local\Temp\OnboardLogs" /stypes="app*4011*20170818*"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116-18 --locoid 4011 --swversion DE.1.0.9.0 --startMP 204:232994 --initTime 2017-08-18T06:21:39 --startdatetime 2017-08-18T06:27:17 --delay 1 --endMP 204:160 --enddatetime 2017-08-18T07:06:46 --enforcementcount 0 &gt;&gt;C:\Users\stu\Documents\GitHub\eaglep3-reporting\EC\2017-08-18-refined-times.txt</v>
      </c>
      <c r="AI28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{"issue":{"subject":"","project_id":79,"tracker_id":40,"status_id":1,"priority_id":2,"assigned_to_id":23,"start_date":"2017-08-18","description":"","custom_fields":[{"id":1,"name":"Subdivision","value":"EC"},{"id":4,"name":"Milepost","value":"0.016"},{"id":17,"name":"Train ID","value":"116-18"},{"id":16,"name":"Locomotive ID","value":"4011"},{"id":130,"name":"Impact","value":""},{"id":150,"name":"Time of Event (Mountain Time)","value":"07:06:46"},{"id":151,"name":"Denver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4011 --day 2017-08-18</v>
      </c>
      <c r="AN28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13:06:46"},{"id":29,"name":"Sharepoint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703</v>
      </c>
      <c r="B29" s="7">
        <v>4018</v>
      </c>
      <c r="C29" s="21" t="s">
        <v>198</v>
      </c>
      <c r="D29" s="21" t="s">
        <v>345</v>
      </c>
      <c r="E29" s="13">
        <v>42965.239814814813</v>
      </c>
      <c r="F29" s="13">
        <v>42965.240810185183</v>
      </c>
      <c r="G29" s="7">
        <v>0</v>
      </c>
      <c r="H29" s="21" t="s">
        <v>886</v>
      </c>
      <c r="I29" s="13">
        <v>42965.264930555553</v>
      </c>
      <c r="J29" s="7">
        <v>0</v>
      </c>
      <c r="K29" s="89" t="str">
        <f t="shared" si="0"/>
        <v>4017/4018</v>
      </c>
      <c r="L29" s="21" t="str">
        <f>VLOOKUP(A29,'Trips&amp;Operators'!$C$1:$G$99999,5,FALSE)</f>
        <v>LOZA FIDEL</v>
      </c>
      <c r="M29" s="6">
        <f t="shared" si="1"/>
        <v>2.4120370369928423E-2</v>
      </c>
      <c r="N29" s="7">
        <f t="shared" si="2"/>
        <v>34.73333333269693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-18T04:45:20-0600',mode:absolute,to:'2017-08-18T07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4.53E-2</v>
      </c>
      <c r="Z29" s="197">
        <f t="shared" si="8"/>
        <v>23.332899999999999</v>
      </c>
      <c r="AA29" s="197">
        <f t="shared" si="9"/>
        <v>23.287599999999998</v>
      </c>
      <c r="AB29" s="54" t="e">
        <f>VLOOKUP(A29,Enforcements!$C$7:$K$11,8,0)</f>
        <v>#N/A</v>
      </c>
      <c r="AC29" s="51" t="e">
        <f>VLOOKUP(A29,Enforcements!$C$7:$E$11,3,0)</f>
        <v>#N/A</v>
      </c>
      <c r="AD29" s="206">
        <f t="shared" si="10"/>
        <v>117</v>
      </c>
      <c r="AE29" s="77" t="str">
        <f t="shared" si="11"/>
        <v>aws s3 cp s3://rtdc.mdm.uploadarchive.raw/RTDC4018/ "%USERPROFILE%\AppData\Local\Temp\OnboardLogs"\RTDC4018\2017-08-18 --exclude "*" --recursive --include "*20170818*" &amp; "%USERPROFILE%\Documents\GitHub\mrs-test-scripts\Headless Mode &amp; Sideloading\WalkAndUnGZ.bat" "%USERPROFILE%\AppData\Local\Temp\OnboardLogs"\RTDC4018\2017-08-18 &amp; aws s3 cp s3://rtdc.mdm.uploadarchive.raw/RTDC4018/ "%USERPROFILE%\AppData\Local\Temp\OnboardLogs"\RTDC4018\2017-08-19 --exclude "*" --recursive --include "*20170819*" &amp; "%USERPROFILE%\Documents\GitHub\mrs-test-scripts\Headless Mode &amp; Sideloading\WalkAndUnGZ.bat" "%USERPROFILE%\AppData\Local\Temp\OnboardLogs"\RTDC4018\2017-08-19</v>
      </c>
      <c r="AF29" s="74" t="str">
        <f t="shared" si="12"/>
        <v>"C:\Program Files (x86)\AstroGrep\AstroGrep.exe" /e /r /s /spath="%USERPROFILE%\AppData\Local\Temp\OnboardLogs" /stypes="app*4018*20170818*"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117-18 --locoid 4018 --swversion DE.1.0.9.0 --startMP 204:453 --initTime 2017-08-18T05:45:20 --startdatetime 2017-08-18T05:46:46 --delay 0 --endMP 204:233329 --enddatetime 2017-08-18T06:21:30 --enforcementcount 0 &gt;&gt;C:\Users\stu\Documents\GitHub\eaglep3-reporting\EC\2017-08-18-refined-times.txt</v>
      </c>
      <c r="AI29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{"issue":{"subject":"","project_id":79,"tracker_id":40,"status_id":1,"priority_id":2,"assigned_to_id":23,"start_date":"2017-08-18","description":"","custom_fields":[{"id":1,"name":"Subdivision","value":"EC"},{"id":4,"name":"Milepost","value":"23.3329"},{"id":17,"name":"Train ID","value":"117-18"},{"id":16,"name":"Locomotive ID","value":"4018"},{"id":130,"name":"Impact","value":""},{"id":150,"name":"Time of Event (Mountain Time)","value":"06:21:30"},{"id":151,"name":"Denver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4018 --day 2017-08-18</v>
      </c>
      <c r="AN29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12:21:30"},{"id":29,"name":"Sharepoint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713</v>
      </c>
      <c r="B30" s="7">
        <v>4017</v>
      </c>
      <c r="C30" s="21" t="s">
        <v>198</v>
      </c>
      <c r="D30" s="21" t="s">
        <v>479</v>
      </c>
      <c r="E30" s="13">
        <v>42965.277569444443</v>
      </c>
      <c r="F30" s="13">
        <v>42965.279386574075</v>
      </c>
      <c r="G30" s="7">
        <v>0</v>
      </c>
      <c r="H30" s="21" t="s">
        <v>350</v>
      </c>
      <c r="I30" s="13">
        <v>42965.305509259262</v>
      </c>
      <c r="J30" s="7">
        <v>0</v>
      </c>
      <c r="K30" s="89" t="str">
        <f t="shared" si="0"/>
        <v>4017/4018</v>
      </c>
      <c r="L30" s="21" t="str">
        <f>VLOOKUP(A30,'Trips&amp;Operators'!$C$1:$G$99999,5,FALSE)</f>
        <v>LOZA FIDEL</v>
      </c>
      <c r="M30" s="6">
        <f t="shared" si="1"/>
        <v>2.6122685187146999E-2</v>
      </c>
      <c r="N30" s="7">
        <f t="shared" si="2"/>
        <v>37.616666669491678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-18T05:39:42-0600',mode:absolute,to:'2017-08-18T08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23.3</v>
      </c>
      <c r="Z30" s="197">
        <f t="shared" si="8"/>
        <v>1.47E-2</v>
      </c>
      <c r="AA30" s="197">
        <f t="shared" si="9"/>
        <v>23.285299999999999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206">
        <f t="shared" si="10"/>
        <v>118</v>
      </c>
      <c r="AE30" s="77" t="str">
        <f t="shared" si="11"/>
        <v>aws s3 cp s3://rtdc.mdm.uploadarchive.raw/RTDC4017/ "%USERPROFILE%\AppData\Local\Temp\OnboardLogs"\RTDC4017\2017-08-18 --exclude "*" --recursive --include "*20170818*" &amp; "%USERPROFILE%\Documents\GitHub\mrs-test-scripts\Headless Mode &amp; Sideloading\WalkAndUnGZ.bat" "%USERPROFILE%\AppData\Local\Temp\OnboardLogs"\RTDC4017\2017-08-18 &amp; aws s3 cp s3://rtdc.mdm.uploadarchive.raw/RTDC4017/ "%USERPROFILE%\AppData\Local\Temp\OnboardLogs"\RTDC4017\2017-08-19 --exclude "*" --recursive --include "*20170819*" &amp; "%USERPROFILE%\Documents\GitHub\mrs-test-scripts\Headless Mode &amp; Sideloading\WalkAndUnGZ.bat" "%USERPROFILE%\AppData\Local\Temp\OnboardLogs"\RTDC4017\2017-08-19</v>
      </c>
      <c r="AF30" s="74" t="str">
        <f t="shared" si="12"/>
        <v>"C:\Program Files (x86)\AstroGrep\AstroGrep.exe" /e /r /s /spath="%USERPROFILE%\AppData\Local\Temp\OnboardLogs" /stypes="app*4017*20170818*"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118-18 --locoid 4017 --swversion DE.1.0.9.0 --startMP 204:233000 --initTime 2017-08-18T06:39:42 --startdatetime 2017-08-18T06:42:19 --delay 0 --endMP 204:147 --enddatetime 2017-08-18T07:19:56 --enforcementcount 0 &gt;&gt;C:\Users\stu\Documents\GitHub\eaglep3-reporting\EC\2017-08-18-refined-times.txt</v>
      </c>
      <c r="AI30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{"issue":{"subject":"","project_id":79,"tracker_id":40,"status_id":1,"priority_id":2,"assigned_to_id":23,"start_date":"2017-08-18","description":"","custom_fields":[{"id":1,"name":"Subdivision","value":"EC"},{"id":4,"name":"Milepost","value":"0.0147"},{"id":17,"name":"Train ID","value":"118-18"},{"id":16,"name":"Locomotive ID","value":"4017"},{"id":130,"name":"Impact","value":""},{"id":150,"name":"Time of Event (Mountain Time)","value":"07:19:56"},{"id":151,"name":"Denver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4017 --day 2017-08-18</v>
      </c>
      <c r="AN30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13:19:56"},{"id":29,"name":"Sharepoint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705</v>
      </c>
      <c r="B31" s="7">
        <v>4030</v>
      </c>
      <c r="C31" s="21" t="s">
        <v>198</v>
      </c>
      <c r="D31" s="21" t="s">
        <v>562</v>
      </c>
      <c r="E31" s="13">
        <v>42965.247488425928</v>
      </c>
      <c r="F31" s="13">
        <v>42965.250567129631</v>
      </c>
      <c r="G31" s="7">
        <v>1</v>
      </c>
      <c r="H31" s="21" t="s">
        <v>609</v>
      </c>
      <c r="I31" s="13">
        <v>42965.276053240741</v>
      </c>
      <c r="J31" s="7">
        <v>0</v>
      </c>
      <c r="K31" s="89" t="str">
        <f t="shared" si="0"/>
        <v>4029/4030</v>
      </c>
      <c r="L31" s="21" t="str">
        <f>VLOOKUP(A31,'Trips&amp;Operators'!$C$1:$G$99999,5,FALSE)</f>
        <v>GUNTHIER ERIC</v>
      </c>
      <c r="M31" s="6">
        <f t="shared" si="1"/>
        <v>2.548611110978527E-2</v>
      </c>
      <c r="N31" s="7">
        <f t="shared" si="2"/>
        <v>36.699999998090789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-18T04:56:23-0600',mode:absolute,to:'2017-08-18T07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4.7699999999999999E-2</v>
      </c>
      <c r="Z31" s="197">
        <f t="shared" si="8"/>
        <v>23.330500000000001</v>
      </c>
      <c r="AA31" s="197">
        <f t="shared" si="9"/>
        <v>23.282800000000002</v>
      </c>
      <c r="AB31" s="54" t="e">
        <f>VLOOKUP(A31,Enforcements!$C$7:$K$11,8,0)</f>
        <v>#N/A</v>
      </c>
      <c r="AC31" s="51" t="e">
        <f>VLOOKUP(A31,Enforcements!$C$7:$E$11,3,0)</f>
        <v>#N/A</v>
      </c>
      <c r="AD31" s="206">
        <f t="shared" si="10"/>
        <v>119</v>
      </c>
      <c r="AE31" s="77" t="str">
        <f t="shared" si="11"/>
        <v>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 &amp; 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</v>
      </c>
      <c r="AF31" s="74" t="str">
        <f t="shared" si="12"/>
        <v>"C:\Program Files (x86)\AstroGrep\AstroGrep.exe" /e /r /s /spath="%USERPROFILE%\AppData\Local\Temp\OnboardLogs" /stypes="app*4030*20170818*"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119-18 --locoid 4030 --swversion DE.1.0.9.0 --startMP 204:477 --initTime 2017-08-18T05:56:23 --startdatetime 2017-08-18T06:00:49 --delay 1 --endMP 204:233305 --enddatetime 2017-08-18T06:37:31 --enforcementcount 0 &gt;&gt;C:\Users\stu\Documents\GitHub\eaglep3-reporting\EC\2017-08-18-refined-times.txt</v>
      </c>
      <c r="AI31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{"issue":{"subject":"","project_id":79,"tracker_id":40,"status_id":1,"priority_id":2,"assigned_to_id":23,"start_date":"2017-08-18","description":"","custom_fields":[{"id":1,"name":"Subdivision","value":"EC"},{"id":4,"name":"Milepost","value":"23.3305"},{"id":17,"name":"Train ID","value":"119-18"},{"id":16,"name":"Locomotive ID","value":"4030"},{"id":130,"name":"Impact","value":""},{"id":150,"name":"Time of Event (Mountain Time)","value":"06:37:31"},{"id":151,"name":"Denver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4030 --day 2017-08-18</v>
      </c>
      <c r="AN31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12:37:31"},{"id":29,"name":"Sharepoint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715</v>
      </c>
      <c r="B32" s="7">
        <v>4029</v>
      </c>
      <c r="C32" s="21" t="s">
        <v>198</v>
      </c>
      <c r="D32" s="21" t="s">
        <v>616</v>
      </c>
      <c r="E32" s="13">
        <v>42965.280555555553</v>
      </c>
      <c r="F32" s="13">
        <v>42965.289722222224</v>
      </c>
      <c r="G32" s="7">
        <v>1</v>
      </c>
      <c r="H32" s="21" t="s">
        <v>437</v>
      </c>
      <c r="I32" s="13">
        <v>42965.317476851851</v>
      </c>
      <c r="J32" s="7">
        <v>0</v>
      </c>
      <c r="K32" s="89" t="str">
        <f t="shared" si="0"/>
        <v>4029/4030</v>
      </c>
      <c r="L32" s="21" t="str">
        <f>VLOOKUP(A32,'Trips&amp;Operators'!$C$1:$G$99999,5,FALSE)</f>
        <v>GUNTHIER ERIC</v>
      </c>
      <c r="M32" s="6">
        <f t="shared" si="1"/>
        <v>2.7754629627452232E-2</v>
      </c>
      <c r="N32" s="7">
        <f t="shared" si="2"/>
        <v>39.966666663531214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-18T05:44:00-0600',mode:absolute,to:'2017-08-18T08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23.296900000000001</v>
      </c>
      <c r="Z32" s="197">
        <f t="shared" si="8"/>
        <v>1.52E-2</v>
      </c>
      <c r="AA32" s="197">
        <f t="shared" si="9"/>
        <v>23.281700000000001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206">
        <f t="shared" si="10"/>
        <v>120</v>
      </c>
      <c r="AE32" s="77" t="str">
        <f t="shared" si="11"/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AF32" s="74" t="str">
        <f t="shared" si="12"/>
        <v>"C:\Program Files (x86)\AstroGrep\AstroGrep.exe" /e /r /s /spath="%USERPROFILE%\AppData\Local\Temp\OnboardLogs" /stypes="app*4029*20170818*"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120-18 --locoid 4029 --swversion DE.1.0.9.0 --startMP 204:232969 --initTime 2017-08-18T06:44:00 --startdatetime 2017-08-18T06:57:12 --delay 1 --endMP 204:152 --enddatetime 2017-08-18T07:37:10 --enforcementcount 0 &gt;&gt;C:\Users\stu\Documents\GitHub\eaglep3-reporting\EC\2017-08-18-refined-times.txt</v>
      </c>
      <c r="AI32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{"issue":{"subject":"","project_id":79,"tracker_id":40,"status_id":1,"priority_id":2,"assigned_to_id":23,"start_date":"2017-08-18","description":"","custom_fields":[{"id":1,"name":"Subdivision","value":"EC"},{"id":4,"name":"Milepost","value":"0.0152"},{"id":17,"name":"Train ID","value":"120-18"},{"id":16,"name":"Locomotive ID","value":"4029"},{"id":130,"name":"Impact","value":""},{"id":150,"name":"Time of Event (Mountain Time)","value":"07:37:10"},{"id":151,"name":"Denver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4029 --day 2017-08-18</v>
      </c>
      <c r="AN32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13:37:10"},{"id":29,"name":"Sharepoint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709</v>
      </c>
      <c r="B33" s="7">
        <v>4028</v>
      </c>
      <c r="C33" s="21" t="s">
        <v>198</v>
      </c>
      <c r="D33" s="21" t="s">
        <v>443</v>
      </c>
      <c r="E33" s="13">
        <v>42965.25644675926</v>
      </c>
      <c r="F33" s="13">
        <v>42965.260983796295</v>
      </c>
      <c r="G33" s="7">
        <v>1</v>
      </c>
      <c r="H33" s="21" t="s">
        <v>508</v>
      </c>
      <c r="I33" s="13">
        <v>42965.286689814813</v>
      </c>
      <c r="J33" s="7">
        <v>0</v>
      </c>
      <c r="K33" s="89" t="str">
        <f t="shared" si="0"/>
        <v>4027/4028</v>
      </c>
      <c r="L33" s="21" t="str">
        <f>VLOOKUP(A33,'Trips&amp;Operators'!$C$1:$G$99999,5,FALSE)</f>
        <v>BARRON PERLA</v>
      </c>
      <c r="M33" s="6">
        <f t="shared" si="1"/>
        <v>2.5706018517666962E-2</v>
      </c>
      <c r="N33" s="7">
        <f t="shared" si="2"/>
        <v>37.016666665440425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-18T05:09:17-0600',mode:absolute,to:'2017-08-18T07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4.7300000000000002E-2</v>
      </c>
      <c r="Z33" s="197">
        <f t="shared" si="8"/>
        <v>23.329499999999999</v>
      </c>
      <c r="AA33" s="197">
        <f t="shared" si="9"/>
        <v>23.2822</v>
      </c>
      <c r="AB33" s="54" t="e">
        <f>VLOOKUP(A33,Enforcements!$C$7:$K$11,8,0)</f>
        <v>#N/A</v>
      </c>
      <c r="AC33" s="51" t="e">
        <f>VLOOKUP(A33,Enforcements!$C$7:$E$11,3,0)</f>
        <v>#N/A</v>
      </c>
      <c r="AD33" s="206">
        <f t="shared" si="10"/>
        <v>121</v>
      </c>
      <c r="AE33" s="77" t="str">
        <f t="shared" si="11"/>
        <v>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 &amp; 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</v>
      </c>
      <c r="AF33" s="74" t="str">
        <f t="shared" si="12"/>
        <v>"C:\Program Files (x86)\AstroGrep\AstroGrep.exe" /e /r /s /spath="%USERPROFILE%\AppData\Local\Temp\OnboardLogs" /stypes="app*4028*20170818*"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121-18 --locoid 4028 --swversion DE.1.0.9.0 --startMP 204:473 --initTime 2017-08-18T06:09:17 --startdatetime 2017-08-18T06:15:49 --delay 1 --endMP 204:233295 --enddatetime 2017-08-18T06:52:50 --enforcementcount 0 &gt;&gt;C:\Users\stu\Documents\GitHub\eaglep3-reporting\EC\2017-08-18-refined-times.txt</v>
      </c>
      <c r="AI33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{"issue":{"subject":"","project_id":79,"tracker_id":40,"status_id":1,"priority_id":2,"assigned_to_id":23,"start_date":"2017-08-18","description":"","custom_fields":[{"id":1,"name":"Subdivision","value":"EC"},{"id":4,"name":"Milepost","value":"23.3295"},{"id":17,"name":"Train ID","value":"121-18"},{"id":16,"name":"Locomotive ID","value":"4028"},{"id":130,"name":"Impact","value":""},{"id":150,"name":"Time of Event (Mountain Time)","value":"06:52:50"},{"id":151,"name":"Denver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4028 --day 2017-08-18</v>
      </c>
      <c r="AN33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12:52:50"},{"id":29,"name":"Sharepoint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717</v>
      </c>
      <c r="B34" s="7">
        <v>4027</v>
      </c>
      <c r="C34" s="21" t="s">
        <v>198</v>
      </c>
      <c r="D34" s="21" t="s">
        <v>887</v>
      </c>
      <c r="E34" s="13">
        <v>42965.287951388891</v>
      </c>
      <c r="F34" s="13">
        <v>42965.300243055557</v>
      </c>
      <c r="G34" s="7">
        <v>1</v>
      </c>
      <c r="H34" s="21" t="s">
        <v>437</v>
      </c>
      <c r="I34" s="13">
        <v>42965.326597222222</v>
      </c>
      <c r="J34" s="7">
        <v>0</v>
      </c>
      <c r="K34" s="89" t="str">
        <f t="shared" si="0"/>
        <v>4027/4028</v>
      </c>
      <c r="L34" s="21" t="str">
        <f>VLOOKUP(A34,'Trips&amp;Operators'!$C$1:$G$99999,5,FALSE)</f>
        <v>BARRON PERLA</v>
      </c>
      <c r="M34" s="6">
        <f t="shared" si="1"/>
        <v>2.6354166664532386E-2</v>
      </c>
      <c r="N34" s="7">
        <f t="shared" si="2"/>
        <v>37.949999996926636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-18T05:54:39-0600',mode:absolute,to:'2017-08-18T08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23.298100000000002</v>
      </c>
      <c r="Z34" s="197">
        <f t="shared" si="8"/>
        <v>1.52E-2</v>
      </c>
      <c r="AA34" s="197">
        <f t="shared" si="9"/>
        <v>23.282900000000001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206">
        <f t="shared" si="10"/>
        <v>122</v>
      </c>
      <c r="AE34" s="77" t="str">
        <f t="shared" si="11"/>
        <v>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 &amp; aws s3 cp s3://rtdc.mdm.uploadarchive.raw/RTDC4027/ "%USERPROFILE%\AppData\Local\Temp\OnboardLogs"\RTDC4027\2017-08-19 --exclude "*" --recursive --include "*20170819*" &amp; "%USERPROFILE%\Documents\GitHub\mrs-test-scripts\Headless Mode &amp; Sideloading\WalkAndUnGZ.bat" "%USERPROFILE%\AppData\Local\Temp\OnboardLogs"\RTDC4027\2017-08-19</v>
      </c>
      <c r="AF34" s="74" t="str">
        <f t="shared" si="12"/>
        <v>"C:\Program Files (x86)\AstroGrep\AstroGrep.exe" /e /r /s /spath="%USERPROFILE%\AppData\Local\Temp\OnboardLogs" /stypes="app*4027*20170818*"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122-18 --locoid 4027 --swversion DE.1.0.9.0 --startMP 204:232981 --initTime 2017-08-18T06:54:39 --startdatetime 2017-08-18T07:12:21 --delay 1 --endMP 204:152 --enddatetime 2017-08-18T07:50:18 --enforcementcount 0 &gt;&gt;C:\Users\stu\Documents\GitHub\eaglep3-reporting\EC\2017-08-18-refined-times.txt</v>
      </c>
      <c r="AI34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{"issue":{"subject":"","project_id":79,"tracker_id":40,"status_id":1,"priority_id":2,"assigned_to_id":23,"start_date":"2017-08-18","description":"","custom_fields":[{"id":1,"name":"Subdivision","value":"EC"},{"id":4,"name":"Milepost","value":"0.0152"},{"id":17,"name":"Train ID","value":"122-18"},{"id":16,"name":"Locomotive ID","value":"4027"},{"id":130,"name":"Impact","value":""},{"id":150,"name":"Time of Event (Mountain Time)","value":"07:50:18"},{"id":151,"name":"Denver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4027 --day 2017-08-18</v>
      </c>
      <c r="AN34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13:50:18"},{"id":29,"name":"Sharepoint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648</v>
      </c>
      <c r="B35" s="7">
        <v>4064</v>
      </c>
      <c r="C35" s="21" t="s">
        <v>198</v>
      </c>
      <c r="D35" s="21" t="s">
        <v>438</v>
      </c>
      <c r="E35" s="13">
        <v>42965.267708333333</v>
      </c>
      <c r="F35" s="13">
        <v>42965.271412037036</v>
      </c>
      <c r="G35" s="7">
        <v>1</v>
      </c>
      <c r="H35" s="21" t="s">
        <v>888</v>
      </c>
      <c r="I35" s="13">
        <v>42965.296932870369</v>
      </c>
      <c r="J35" s="7">
        <v>0</v>
      </c>
      <c r="K35" s="89" t="str">
        <f t="shared" si="0"/>
        <v>4063/4064</v>
      </c>
      <c r="L35" s="21" t="str">
        <f>VLOOKUP(A35,'Trips&amp;Operators'!$C$1:$G$99999,5,FALSE)</f>
        <v>DAVIS WENDY</v>
      </c>
      <c r="M35" s="6">
        <f t="shared" si="1"/>
        <v>2.5520833332848269E-2</v>
      </c>
      <c r="N35" s="7">
        <f t="shared" si="2"/>
        <v>36.749999999301508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-18T05:25:30-0600',mode:absolute,to:'2017-08-18T08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4.5999999999999999E-2</v>
      </c>
      <c r="Z35" s="197">
        <f t="shared" si="8"/>
        <v>23.332000000000001</v>
      </c>
      <c r="AA35" s="197">
        <f t="shared" si="9"/>
        <v>23.286000000000001</v>
      </c>
      <c r="AB35" s="54" t="e">
        <f>VLOOKUP(A35,Enforcements!$C$7:$K$11,8,0)</f>
        <v>#N/A</v>
      </c>
      <c r="AC35" s="51" t="e">
        <f>VLOOKUP(A35,Enforcements!$C$7:$E$11,3,0)</f>
        <v>#N/A</v>
      </c>
      <c r="AD35" s="206">
        <f t="shared" si="10"/>
        <v>123</v>
      </c>
      <c r="AE35" s="77" t="str">
        <f t="shared" si="11"/>
        <v>aws s3 cp s3://rtdc.mdm.uploadarchive.raw/RTDC4064/ "%USERPROFILE%\AppData\Local\Temp\OnboardLogs"\RTDC4064\2017-08-18 --exclude "*" --recursive --include "*20170818*" &amp; "%USERPROFILE%\Documents\GitHub\mrs-test-scripts\Headless Mode &amp; Sideloading\WalkAndUnGZ.bat" "%USERPROFILE%\AppData\Local\Temp\OnboardLogs"\RTDC4064\2017-08-18 &amp; aws s3 cp s3://rtdc.mdm.uploadarchive.raw/RTDC4064/ "%USERPROFILE%\AppData\Local\Temp\OnboardLogs"\RTDC4064\2017-08-19 --exclude "*" --recursive --include "*20170819*" &amp; "%USERPROFILE%\Documents\GitHub\mrs-test-scripts\Headless Mode &amp; Sideloading\WalkAndUnGZ.bat" "%USERPROFILE%\AppData\Local\Temp\OnboardLogs"\RTDC4064\2017-08-19</v>
      </c>
      <c r="AF35" s="74" t="str">
        <f t="shared" si="12"/>
        <v>"C:\Program Files (x86)\AstroGrep\AstroGrep.exe" /e /r /s /spath="%USERPROFILE%\AppData\Local\Temp\OnboardLogs" /stypes="app*4064*20170818*"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123-18 --locoid 4064 --swversion DE.1.0.9.0 --startMP 204:460 --initTime 2017-08-18T06:25:30 --startdatetime 2017-08-18T06:30:50 --delay 1 --endMP 204:233320 --enddatetime 2017-08-18T07:07:35 --enforcementcount 0 &gt;&gt;C:\Users\stu\Documents\GitHub\eaglep3-reporting\EC\2017-08-18-refined-times.txt</v>
      </c>
      <c r="AI35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{"issue":{"subject":"","project_id":79,"tracker_id":40,"status_id":1,"priority_id":2,"assigned_to_id":23,"start_date":"2017-08-18","description":"","custom_fields":[{"id":1,"name":"Subdivision","value":"EC"},{"id":4,"name":"Milepost","value":"23.332"},{"id":17,"name":"Train ID","value":"123-18"},{"id":16,"name":"Locomotive ID","value":"4064"},{"id":130,"name":"Impact","value":""},{"id":150,"name":"Time of Event (Mountain Time)","value":"07:07:35"},{"id":151,"name":"Denver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4064 --day 2017-08-18</v>
      </c>
      <c r="AN35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13:07:35"},{"id":29,"name":"Sharepoint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720</v>
      </c>
      <c r="B36" s="7">
        <v>4063</v>
      </c>
      <c r="C36" s="21" t="s">
        <v>198</v>
      </c>
      <c r="D36" s="21" t="s">
        <v>889</v>
      </c>
      <c r="E36" s="13">
        <v>42965.308032407411</v>
      </c>
      <c r="F36" s="13">
        <v>42965.310590277775</v>
      </c>
      <c r="G36" s="7">
        <v>1</v>
      </c>
      <c r="H36" s="21" t="s">
        <v>350</v>
      </c>
      <c r="I36" s="13">
        <v>42965.337939814817</v>
      </c>
      <c r="J36" s="7">
        <v>0</v>
      </c>
      <c r="K36" s="89" t="str">
        <f t="shared" si="0"/>
        <v>4063/4064</v>
      </c>
      <c r="L36" s="21" t="str">
        <f>VLOOKUP(A36,'Trips&amp;Operators'!$C$1:$G$99999,5,FALSE)</f>
        <v>DAVIS WENDY</v>
      </c>
      <c r="M36" s="6">
        <f t="shared" si="1"/>
        <v>2.7349537042027805E-2</v>
      </c>
      <c r="N36" s="7">
        <f t="shared" si="2"/>
        <v>39.383333340520039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-18T06:23:34-0600',mode:absolute,to:'2017-08-18T09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23.3001</v>
      </c>
      <c r="Z36" s="197">
        <f t="shared" si="8"/>
        <v>1.47E-2</v>
      </c>
      <c r="AA36" s="197">
        <f t="shared" si="9"/>
        <v>23.285399999999999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206">
        <f t="shared" si="10"/>
        <v>124</v>
      </c>
      <c r="AE36" s="77" t="str">
        <f t="shared" si="11"/>
        <v>aws s3 cp s3://rtdc.mdm.uploadarchive.raw/RTDC4063/ "%USERPROFILE%\AppData\Local\Temp\OnboardLogs"\RTDC4063\2017-08-18 --exclude "*" --recursive --include "*20170818*" &amp; "%USERPROFILE%\Documents\GitHub\mrs-test-scripts\Headless Mode &amp; Sideloading\WalkAndUnGZ.bat" "%USERPROFILE%\AppData\Local\Temp\OnboardLogs"\RTDC4063\2017-08-18 &amp; aws s3 cp s3://rtdc.mdm.uploadarchive.raw/RTDC4063/ "%USERPROFILE%\AppData\Local\Temp\OnboardLogs"\RTDC4063\2017-08-19 --exclude "*" --recursive --include "*20170819*" &amp; "%USERPROFILE%\Documents\GitHub\mrs-test-scripts\Headless Mode &amp; Sideloading\WalkAndUnGZ.bat" "%USERPROFILE%\AppData\Local\Temp\OnboardLogs"\RTDC4063\2017-08-19</v>
      </c>
      <c r="AF36" s="74" t="str">
        <f t="shared" si="12"/>
        <v>"C:\Program Files (x86)\AstroGrep\AstroGrep.exe" /e /r /s /spath="%USERPROFILE%\AppData\Local\Temp\OnboardLogs" /stypes="app*4063*20170818*"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124-18 --locoid 4063 --swversion DE.1.0.9.0 --startMP 204:233001 --initTime 2017-08-18T07:23:34 --startdatetime 2017-08-18T07:27:15 --delay 1 --endMP 204:147 --enddatetime 2017-08-18T08:06:38 --enforcementcount 0 &gt;&gt;C:\Users\stu\Documents\GitHub\eaglep3-reporting\EC\2017-08-18-refined-times.txt</v>
      </c>
      <c r="AI36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{"issue":{"subject":"","project_id":79,"tracker_id":40,"status_id":1,"priority_id":2,"assigned_to_id":23,"start_date":"2017-08-18","description":"","custom_fields":[{"id":1,"name":"Subdivision","value":"EC"},{"id":4,"name":"Milepost","value":"0.0147"},{"id":17,"name":"Train ID","value":"124-18"},{"id":16,"name":"Locomotive ID","value":"4063"},{"id":130,"name":"Impact","value":""},{"id":150,"name":"Time of Event (Mountain Time)","value":"08:06:38"},{"id":151,"name":"Denver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4063 --day 2017-08-18</v>
      </c>
      <c r="AN36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14:06:38"},{"id":29,"name":"Sharepoint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714</v>
      </c>
      <c r="B37" s="7">
        <v>4040</v>
      </c>
      <c r="C37" s="21" t="s">
        <v>198</v>
      </c>
      <c r="D37" s="21" t="s">
        <v>438</v>
      </c>
      <c r="E37" s="13">
        <v>42965.277615740742</v>
      </c>
      <c r="F37" s="13">
        <v>42965.282152777778</v>
      </c>
      <c r="G37" s="7">
        <v>1</v>
      </c>
      <c r="H37" s="21" t="s">
        <v>561</v>
      </c>
      <c r="I37" s="13">
        <v>42965.307326388887</v>
      </c>
      <c r="J37" s="7">
        <v>0</v>
      </c>
      <c r="K37" s="89" t="str">
        <f t="shared" si="0"/>
        <v>4039/4040</v>
      </c>
      <c r="L37" s="21" t="str">
        <f>VLOOKUP(A37,'Trips&amp;Operators'!$C$1:$G$99999,5,FALSE)</f>
        <v>STARKS ANGELINA</v>
      </c>
      <c r="M37" s="6">
        <f t="shared" si="1"/>
        <v>2.5173611109494232E-2</v>
      </c>
      <c r="N37" s="7">
        <f t="shared" si="2"/>
        <v>36.249999997671694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-18T05:39:46-0600',mode:absolute,to:'2017-08-18T08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4.5999999999999999E-2</v>
      </c>
      <c r="Z37" s="197">
        <f t="shared" si="8"/>
        <v>23.331700000000001</v>
      </c>
      <c r="AA37" s="197">
        <f t="shared" si="9"/>
        <v>23.285700000000002</v>
      </c>
      <c r="AB37" s="54" t="e">
        <f>VLOOKUP(A37,Enforcements!$C$7:$K$11,8,0)</f>
        <v>#N/A</v>
      </c>
      <c r="AC37" s="51" t="e">
        <f>VLOOKUP(A37,Enforcements!$C$7:$E$11,3,0)</f>
        <v>#N/A</v>
      </c>
      <c r="AD37" s="206">
        <f t="shared" si="10"/>
        <v>125</v>
      </c>
      <c r="AE37" s="77" t="str">
        <f t="shared" si="11"/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AF37" s="74" t="str">
        <f t="shared" si="12"/>
        <v>"C:\Program Files (x86)\AstroGrep\AstroGrep.exe" /e /r /s /spath="%USERPROFILE%\AppData\Local\Temp\OnboardLogs" /stypes="app*4040*20170818*"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125-18 --locoid 4040 --swversion DE.1.0.9.0 --startMP 204:460 --initTime 2017-08-18T06:39:46 --startdatetime 2017-08-18T06:46:18 --delay 1 --endMP 204:233317 --enddatetime 2017-08-18T07:22:33 --enforcementcount 0 &gt;&gt;C:\Users\stu\Documents\GitHub\eaglep3-reporting\EC\2017-08-18-refined-times.txt</v>
      </c>
      <c r="AI37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{"issue":{"subject":"","project_id":79,"tracker_id":40,"status_id":1,"priority_id":2,"assigned_to_id":23,"start_date":"2017-08-18","description":"","custom_fields":[{"id":1,"name":"Subdivision","value":"EC"},{"id":4,"name":"Milepost","value":"23.3317"},{"id":17,"name":"Train ID","value":"125-18"},{"id":16,"name":"Locomotive ID","value":"4040"},{"id":130,"name":"Impact","value":""},{"id":150,"name":"Time of Event (Mountain Time)","value":"07:22:33"},{"id":151,"name":"Denver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4040 --day 2017-08-18</v>
      </c>
      <c r="AN37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13:22:33"},{"id":29,"name":"Sharepoint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652</v>
      </c>
      <c r="B38" s="7">
        <v>4039</v>
      </c>
      <c r="C38" s="21" t="s">
        <v>198</v>
      </c>
      <c r="D38" s="21" t="s">
        <v>558</v>
      </c>
      <c r="E38" s="13">
        <v>42965.319826388892</v>
      </c>
      <c r="F38" s="13">
        <v>42965.321342592593</v>
      </c>
      <c r="G38" s="7">
        <v>1</v>
      </c>
      <c r="H38" s="21" t="s">
        <v>342</v>
      </c>
      <c r="I38" s="13">
        <v>42965.348379629628</v>
      </c>
      <c r="J38" s="7">
        <v>0</v>
      </c>
      <c r="K38" s="89" t="str">
        <f t="shared" si="0"/>
        <v>4039/4040</v>
      </c>
      <c r="L38" s="21" t="str">
        <f>VLOOKUP(A38,'Trips&amp;Operators'!$C$1:$G$99999,5,FALSE)</f>
        <v>STARKS ANGELINA</v>
      </c>
      <c r="M38" s="6">
        <f t="shared" si="1"/>
        <v>2.7037037034460809E-2</v>
      </c>
      <c r="N38" s="7">
        <f t="shared" si="2"/>
        <v>38.933333329623565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-18T06:40:33-0600',mode:absolute,to:'2017-08-18T09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23.2974</v>
      </c>
      <c r="Z38" s="197">
        <f t="shared" si="8"/>
        <v>1.49E-2</v>
      </c>
      <c r="AA38" s="197">
        <f t="shared" si="9"/>
        <v>23.282499999999999</v>
      </c>
      <c r="AB38" s="54" t="str">
        <f>VLOOKUP(A38,Enforcements!$C$7:$K$11,8,0)</f>
        <v>Bulletin (2)</v>
      </c>
      <c r="AC38" s="51" t="str">
        <f>VLOOKUP(A38,Enforcements!$C$7:$E$11,3,0)</f>
        <v>GRADE CROSSING</v>
      </c>
      <c r="AD38" s="206">
        <f t="shared" si="10"/>
        <v>126</v>
      </c>
      <c r="AE38" s="77" t="str">
        <f t="shared" si="11"/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AF38" s="74" t="str">
        <f t="shared" si="12"/>
        <v>"C:\Program Files (x86)\AstroGrep\AstroGrep.exe" /e /r /s /spath="%USERPROFILE%\AppData\Local\Temp\OnboardLogs" /stypes="app*4039*20170818*"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126-18 --locoid 4039 --swversion DE.1.0.9.0 --startMP 204:232974 --initTime 2017-08-18T07:40:33 --startdatetime 2017-08-18T07:42:44 --delay 1 --endMP 204:149 --enddatetime 2017-08-18T08:21:40 --enforcementcount 0 &gt;&gt;C:\Users\stu\Documents\GitHub\eaglep3-reporting\EC\2017-08-18-refined-times.txt</v>
      </c>
      <c r="AI38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{"issue":{"subject":"","project_id":79,"tracker_id":40,"status_id":1,"priority_id":2,"assigned_to_id":23,"start_date":"2017-08-18","description":"","custom_fields":[{"id":1,"name":"Subdivision","value":"EC"},{"id":4,"name":"Milepost","value":"0.0149"},{"id":17,"name":"Train ID","value":"126-18"},{"id":16,"name":"Locomotive ID","value":"4039"},{"id":130,"name":"Impact","value":""},{"id":150,"name":"Time of Event (Mountain Time)","value":"08:21:40"},{"id":151,"name":"Denver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4039 --day 2017-08-18</v>
      </c>
      <c r="AN38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14:21:40"},{"id":29,"name":"Sharepoint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716</v>
      </c>
      <c r="B39" s="7">
        <v>4050</v>
      </c>
      <c r="C39" s="21" t="s">
        <v>198</v>
      </c>
      <c r="D39" s="21" t="s">
        <v>469</v>
      </c>
      <c r="E39" s="13">
        <v>42965.287326388891</v>
      </c>
      <c r="F39" s="13">
        <v>42965.292430555557</v>
      </c>
      <c r="G39" s="7">
        <v>1</v>
      </c>
      <c r="H39" s="21" t="s">
        <v>604</v>
      </c>
      <c r="I39" s="13">
        <v>42965.317106481481</v>
      </c>
      <c r="J39" s="7">
        <v>0</v>
      </c>
      <c r="K39" s="89" t="str">
        <f t="shared" si="0"/>
        <v>4049/4050</v>
      </c>
      <c r="L39" s="21" t="str">
        <f>VLOOKUP(A39,'Trips&amp;Operators'!$C$1:$G$99999,5,FALSE)</f>
        <v>BIRKHOLZ NADINE</v>
      </c>
      <c r="M39" s="6">
        <f t="shared" si="1"/>
        <v>2.4675925924384501E-2</v>
      </c>
      <c r="N39" s="7">
        <f t="shared" si="2"/>
        <v>35.533333331113681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-18T05:53:45-0600',mode:absolute,to:'2017-08-18T08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4.4400000000000002E-2</v>
      </c>
      <c r="Z39" s="197">
        <f t="shared" si="8"/>
        <v>23.331199999999999</v>
      </c>
      <c r="AA39" s="197">
        <f t="shared" si="9"/>
        <v>23.286799999999999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206">
        <f t="shared" si="10"/>
        <v>127</v>
      </c>
      <c r="AE39" s="77" t="str">
        <f t="shared" si="11"/>
        <v>aws s3 cp s3://rtdc.mdm.uploadarchive.raw/RTDC4050/ "%USERPROFILE%\AppData\Local\Temp\OnboardLogs"\RTDC4050\2017-08-18 --exclude "*" --recursive --include "*20170818*" &amp; "%USERPROFILE%\Documents\GitHub\mrs-test-scripts\Headless Mode &amp; Sideloading\WalkAndUnGZ.bat" "%USERPROFILE%\AppData\Local\Temp\OnboardLogs"\RTDC4050\2017-08-18 &amp; aws s3 cp s3://rtdc.mdm.uploadarchive.raw/RTDC4050/ "%USERPROFILE%\AppData\Local\Temp\OnboardLogs"\RTDC4050\2017-08-19 --exclude "*" --recursive --include "*20170819*" &amp; "%USERPROFILE%\Documents\GitHub\mrs-test-scripts\Headless Mode &amp; Sideloading\WalkAndUnGZ.bat" "%USERPROFILE%\AppData\Local\Temp\OnboardLogs"\RTDC4050\2017-08-19</v>
      </c>
      <c r="AF39" s="74" t="str">
        <f t="shared" si="12"/>
        <v>"C:\Program Files (x86)\AstroGrep\AstroGrep.exe" /e /r /s /spath="%USERPROFILE%\AppData\Local\Temp\OnboardLogs" /stypes="app*4050*20170818*"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127-18 --locoid 4050 --swversion DE.1.0.9.0 --startMP 204:444 --initTime 2017-08-18T06:53:45 --startdatetime 2017-08-18T07:01:06 --delay 1 --endMP 204:233312 --enddatetime 2017-08-18T07:36:38 --enforcementcount 0 &gt;&gt;C:\Users\stu\Documents\GitHub\eaglep3-reporting\EC\2017-08-18-refined-times.txt</v>
      </c>
      <c r="AI39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{"issue":{"subject":"","project_id":79,"tracker_id":40,"status_id":1,"priority_id":2,"assigned_to_id":23,"start_date":"2017-08-18","description":"","custom_fields":[{"id":1,"name":"Subdivision","value":"EC"},{"id":4,"name":"Milepost","value":"23.3312"},{"id":17,"name":"Train ID","value":"127-18"},{"id":16,"name":"Locomotive ID","value":"4050"},{"id":130,"name":"Impact","value":""},{"id":150,"name":"Time of Event (Mountain Time)","value":"07:36:38"},{"id":151,"name":"Denver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4050 --day 2017-08-18</v>
      </c>
      <c r="AN39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726</v>
      </c>
      <c r="B40" s="7">
        <v>4049</v>
      </c>
      <c r="C40" s="21" t="s">
        <v>198</v>
      </c>
      <c r="D40" s="21" t="s">
        <v>613</v>
      </c>
      <c r="E40" s="13">
        <v>42965.326331018521</v>
      </c>
      <c r="F40" s="13">
        <v>42965.331423611111</v>
      </c>
      <c r="G40" s="7">
        <v>1</v>
      </c>
      <c r="H40" s="21" t="s">
        <v>349</v>
      </c>
      <c r="I40" s="13">
        <v>42965.358715277776</v>
      </c>
      <c r="J40" s="7">
        <v>0</v>
      </c>
      <c r="K40" s="89" t="str">
        <f t="shared" si="0"/>
        <v>4049/4050</v>
      </c>
      <c r="L40" s="21" t="str">
        <f>VLOOKUP(A40,'Trips&amp;Operators'!$C$1:$G$99999,5,FALSE)</f>
        <v>BIRKHOLZ NADINE</v>
      </c>
      <c r="M40" s="6">
        <f t="shared" si="1"/>
        <v>2.7291666665405501E-2</v>
      </c>
      <c r="N40" s="7">
        <f t="shared" si="2"/>
        <v>39.299999998183921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-18T06:49:55-0600',mode:absolute,to:'2017-08-18T09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23.298200000000001</v>
      </c>
      <c r="Z40" s="197">
        <f t="shared" si="8"/>
        <v>1.41E-2</v>
      </c>
      <c r="AA40" s="197">
        <f t="shared" si="9"/>
        <v>23.284100000000002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206">
        <f t="shared" si="10"/>
        <v>128</v>
      </c>
      <c r="AE40" s="77" t="str">
        <f t="shared" si="11"/>
        <v>aws s3 cp s3://rtdc.mdm.uploadarchive.raw/RTDC4049/ "%USERPROFILE%\AppData\Local\Temp\OnboardLogs"\RTDC4049\2017-08-18 --exclude "*" --recursive --include "*20170818*" &amp; "%USERPROFILE%\Documents\GitHub\mrs-test-scripts\Headless Mode &amp; Sideloading\WalkAndUnGZ.bat" "%USERPROFILE%\AppData\Local\Temp\OnboardLogs"\RTDC4049\2017-08-18 &amp; aws s3 cp s3://rtdc.mdm.uploadarchive.raw/RTDC4049/ "%USERPROFILE%\AppData\Local\Temp\OnboardLogs"\RTDC4049\2017-08-19 --exclude "*" --recursive --include "*20170819*" &amp; "%USERPROFILE%\Documents\GitHub\mrs-test-scripts\Headless Mode &amp; Sideloading\WalkAndUnGZ.bat" "%USERPROFILE%\AppData\Local\Temp\OnboardLogs"\RTDC4049\2017-08-19</v>
      </c>
      <c r="AF40" s="74" t="str">
        <f t="shared" si="12"/>
        <v>"C:\Program Files (x86)\AstroGrep\AstroGrep.exe" /e /r /s /spath="%USERPROFILE%\AppData\Local\Temp\OnboardLogs" /stypes="app*4049*20170818*"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128-18 --locoid 4049 --swversion DE.1.0.9.0 --startMP 204:232982 --initTime 2017-08-18T07:49:55 --startdatetime 2017-08-18T07:57:15 --delay 1 --endMP 204:141 --enddatetime 2017-08-18T08:36:33 --enforcementcount 0 &gt;&gt;C:\Users\stu\Documents\GitHub\eaglep3-reporting\EC\2017-08-18-refined-times.txt</v>
      </c>
      <c r="AI40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{"issue":{"subject":"","project_id":79,"tracker_id":40,"status_id":1,"priority_id":2,"assigned_to_id":23,"start_date":"2017-08-18","description":"","custom_fields":[{"id":1,"name":"Subdivision","value":"EC"},{"id":4,"name":"Milepost","value":"0.0141"},{"id":17,"name":"Train ID","value":"128-18"},{"id":16,"name":"Locomotive ID","value":"4049"},{"id":130,"name":"Impact","value":""},{"id":150,"name":"Time of Event (Mountain Time)","value":"08:36:33"},{"id":151,"name":"Denver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4049 --day 2017-08-18</v>
      </c>
      <c r="AN40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14:36:33"},{"id":29,"name":"Sharepoint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719</v>
      </c>
      <c r="B41" s="7">
        <v>4012</v>
      </c>
      <c r="C41" s="21" t="s">
        <v>198</v>
      </c>
      <c r="D41" s="21" t="s">
        <v>374</v>
      </c>
      <c r="E41" s="13">
        <v>42965.298518518517</v>
      </c>
      <c r="F41" s="13">
        <v>42965.30263888889</v>
      </c>
      <c r="G41" s="7">
        <v>1</v>
      </c>
      <c r="H41" s="21" t="s">
        <v>890</v>
      </c>
      <c r="I41" s="13">
        <v>42965.328090277777</v>
      </c>
      <c r="J41" s="7">
        <v>0</v>
      </c>
      <c r="K41" s="89" t="str">
        <f t="shared" si="0"/>
        <v>4011/4012</v>
      </c>
      <c r="L41" s="21" t="str">
        <f>VLOOKUP(A41,'Trips&amp;Operators'!$C$1:$G$99999,5,FALSE)</f>
        <v>WILLIAMS DONTE</v>
      </c>
      <c r="M41" s="6">
        <f t="shared" si="1"/>
        <v>2.545138888672227E-2</v>
      </c>
      <c r="N41" s="7">
        <f t="shared" si="2"/>
        <v>36.649999996880069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-18T06:09:52-0600',mode:absolute,to:'2017-08-18T08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4.6199999999999998E-2</v>
      </c>
      <c r="Z41" s="197">
        <f t="shared" si="8"/>
        <v>23.333600000000001</v>
      </c>
      <c r="AA41" s="197">
        <f t="shared" si="9"/>
        <v>23.287400000000002</v>
      </c>
      <c r="AB41" s="54" t="e">
        <f>VLOOKUP(A41,Enforcements!$C$7:$K$11,8,0)</f>
        <v>#N/A</v>
      </c>
      <c r="AC41" s="51" t="e">
        <f>VLOOKUP(A41,Enforcements!$C$7:$E$11,3,0)</f>
        <v>#N/A</v>
      </c>
      <c r="AD41" s="206">
        <f t="shared" si="10"/>
        <v>129</v>
      </c>
      <c r="AE41" s="77" t="str">
        <f t="shared" si="11"/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AF41" s="74" t="str">
        <f t="shared" si="12"/>
        <v>"C:\Program Files (x86)\AstroGrep\AstroGrep.exe" /e /r /s /spath="%USERPROFILE%\AppData\Local\Temp\OnboardLogs" /stypes="app*4012*20170818*"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129-18 --locoid 4012 --swversion DE.1.0.9.0 --startMP 204:462 --initTime 2017-08-18T07:09:52 --startdatetime 2017-08-18T07:15:48 --delay 1 --endMP 204:233336 --enddatetime 2017-08-18T07:52:27 --enforcementcount 0 &gt;&gt;C:\Users\stu\Documents\GitHub\eaglep3-reporting\EC\2017-08-18-refined-times.txt</v>
      </c>
      <c r="AI41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{"issue":{"subject":"","project_id":79,"tracker_id":40,"status_id":1,"priority_id":2,"assigned_to_id":23,"start_date":"2017-08-18","description":"","custom_fields":[{"id":1,"name":"Subdivision","value":"EC"},{"id":4,"name":"Milepost","value":"23.3336"},{"id":17,"name":"Train ID","value":"129-18"},{"id":16,"name":"Locomotive ID","value":"4012"},{"id":130,"name":"Impact","value":""},{"id":150,"name":"Time of Event (Mountain Time)","value":"07:52:27"},{"id":151,"name":"Denver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4012 --day 2017-08-18</v>
      </c>
      <c r="AN41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13:52:27"},{"id":29,"name":"Sharepoint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729</v>
      </c>
      <c r="B42" s="7">
        <v>4011</v>
      </c>
      <c r="C42" s="21" t="s">
        <v>198</v>
      </c>
      <c r="D42" s="21" t="s">
        <v>602</v>
      </c>
      <c r="E42" s="13">
        <v>42965.336759259262</v>
      </c>
      <c r="F42" s="13">
        <v>42965.341909722221</v>
      </c>
      <c r="G42" s="7">
        <v>1</v>
      </c>
      <c r="H42" s="21" t="s">
        <v>506</v>
      </c>
      <c r="I42" s="13">
        <v>42965.368506944447</v>
      </c>
      <c r="J42" s="7">
        <v>0</v>
      </c>
      <c r="K42" s="89" t="str">
        <f t="shared" si="0"/>
        <v>4011/4012</v>
      </c>
      <c r="L42" s="21" t="str">
        <f>VLOOKUP(A42,'Trips&amp;Operators'!$C$1:$G$99999,5,FALSE)</f>
        <v>WILLIAMS DONTE</v>
      </c>
      <c r="M42" s="6">
        <f t="shared" si="1"/>
        <v>2.6597222225973383E-2</v>
      </c>
      <c r="N42" s="7">
        <f t="shared" si="2"/>
        <v>38.300000005401671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-18T07:04:56-0600',mode:absolute,to:'2017-08-18T09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23.3002</v>
      </c>
      <c r="Z42" s="197">
        <f t="shared" si="8"/>
        <v>1.5599999999999999E-2</v>
      </c>
      <c r="AA42" s="197">
        <f t="shared" si="9"/>
        <v>23.284600000000001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206">
        <f t="shared" si="10"/>
        <v>130</v>
      </c>
      <c r="AE42" s="77" t="str">
        <f t="shared" si="11"/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AF42" s="74" t="str">
        <f t="shared" si="12"/>
        <v>"C:\Program Files (x86)\AstroGrep\AstroGrep.exe" /e /r /s /spath="%USERPROFILE%\AppData\Local\Temp\OnboardLogs" /stypes="app*4011*20170818*"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130-18 --locoid 4011 --swversion DE.1.0.9.0 --startMP 204:233002 --initTime 2017-08-18T08:04:56 --startdatetime 2017-08-18T08:12:21 --delay 1 --endMP 204:156 --enddatetime 2017-08-18T08:50:39 --enforcementcount 0 &gt;&gt;C:\Users\stu\Documents\GitHub\eaglep3-reporting\EC\2017-08-18-refined-times.txt</v>
      </c>
      <c r="AI42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{"issue":{"subject":"","project_id":79,"tracker_id":40,"status_id":1,"priority_id":2,"assigned_to_id":23,"start_date":"2017-08-18","description":"","custom_fields":[{"id":1,"name":"Subdivision","value":"EC"},{"id":4,"name":"Milepost","value":"0.0156"},{"id":17,"name":"Train ID","value":"130-18"},{"id":16,"name":"Locomotive ID","value":"4011"},{"id":130,"name":"Impact","value":""},{"id":150,"name":"Time of Event (Mountain Time)","value":"08:50:39"},{"id":151,"name":"Denver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4011 --day 2017-08-18</v>
      </c>
      <c r="AN42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14:50:39"},{"id":29,"name":"Sharepoint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721</v>
      </c>
      <c r="B43" s="7">
        <v>4018</v>
      </c>
      <c r="C43" s="21" t="s">
        <v>198</v>
      </c>
      <c r="D43" s="21" t="s">
        <v>439</v>
      </c>
      <c r="E43" s="13">
        <v>42965.310115740744</v>
      </c>
      <c r="F43" s="13">
        <v>42965.313333333332</v>
      </c>
      <c r="G43" s="7">
        <v>1</v>
      </c>
      <c r="H43" s="21" t="s">
        <v>891</v>
      </c>
      <c r="I43" s="13">
        <v>42965.337569444448</v>
      </c>
      <c r="J43" s="7">
        <v>0</v>
      </c>
      <c r="K43" s="89" t="str">
        <f t="shared" si="0"/>
        <v>4017/4018</v>
      </c>
      <c r="L43" s="21" t="str">
        <f>VLOOKUP(A43,'Trips&amp;Operators'!$C$1:$G$99999,5,FALSE)</f>
        <v>LOZA FIDEL</v>
      </c>
      <c r="M43" s="6">
        <f t="shared" si="1"/>
        <v>2.4236111115897074E-2</v>
      </c>
      <c r="N43" s="7">
        <f t="shared" si="2"/>
        <v>34.900000006891787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-18T06:26:34-0600',mode:absolute,to:'2017-08-18T09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4.4900000000000002E-2</v>
      </c>
      <c r="Z43" s="197">
        <f t="shared" si="8"/>
        <v>23.336200000000002</v>
      </c>
      <c r="AA43" s="197">
        <f t="shared" si="9"/>
        <v>23.291300000000003</v>
      </c>
      <c r="AB43" s="54" t="e">
        <f>VLOOKUP(A43,Enforcements!$C$7:$K$11,8,0)</f>
        <v>#N/A</v>
      </c>
      <c r="AC43" s="51" t="e">
        <f>VLOOKUP(A43,Enforcements!$C$7:$E$11,3,0)</f>
        <v>#N/A</v>
      </c>
      <c r="AD43" s="206">
        <f t="shared" si="10"/>
        <v>131</v>
      </c>
      <c r="AE43" s="77" t="str">
        <f t="shared" si="11"/>
        <v>aws s3 cp s3://rtdc.mdm.uploadarchive.raw/RTDC4018/ "%USERPROFILE%\AppData\Local\Temp\OnboardLogs"\RTDC4018\2017-08-18 --exclude "*" --recursive --include "*20170818*" &amp; "%USERPROFILE%\Documents\GitHub\mrs-test-scripts\Headless Mode &amp; Sideloading\WalkAndUnGZ.bat" "%USERPROFILE%\AppData\Local\Temp\OnboardLogs"\RTDC4018\2017-08-18 &amp; aws s3 cp s3://rtdc.mdm.uploadarchive.raw/RTDC4018/ "%USERPROFILE%\AppData\Local\Temp\OnboardLogs"\RTDC4018\2017-08-19 --exclude "*" --recursive --include "*20170819*" &amp; "%USERPROFILE%\Documents\GitHub\mrs-test-scripts\Headless Mode &amp; Sideloading\WalkAndUnGZ.bat" "%USERPROFILE%\AppData\Local\Temp\OnboardLogs"\RTDC4018\2017-08-19</v>
      </c>
      <c r="AF43" s="74" t="str">
        <f t="shared" si="12"/>
        <v>"C:\Program Files (x86)\AstroGrep\AstroGrep.exe" /e /r /s /spath="%USERPROFILE%\AppData\Local\Temp\OnboardLogs" /stypes="app*4018*20170818*"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131-18 --locoid 4018 --swversion DE.1.0.9.0 --startMP 204:449 --initTime 2017-08-18T07:26:34 --startdatetime 2017-08-18T07:31:12 --delay 1 --endMP 204:233362 --enddatetime 2017-08-18T08:06:06 --enforcementcount 0 &gt;&gt;C:\Users\stu\Documents\GitHub\eaglep3-reporting\EC\2017-08-18-refined-times.txt</v>
      </c>
      <c r="AI43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{"issue":{"subject":"","project_id":79,"tracker_id":40,"status_id":1,"priority_id":2,"assigned_to_id":23,"start_date":"2017-08-18","description":"","custom_fields":[{"id":1,"name":"Subdivision","value":"EC"},{"id":4,"name":"Milepost","value":"23.3362"},{"id":17,"name":"Train ID","value":"131-18"},{"id":16,"name":"Locomotive ID","value":"4018"},{"id":130,"name":"Impact","value":""},{"id":150,"name":"Time of Event (Mountain Time)","value":"08:06:06"},{"id":151,"name":"Denver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4018 --day 2017-08-18</v>
      </c>
      <c r="AN43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14:06:06"},{"id":29,"name":"Sharepoint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731</v>
      </c>
      <c r="B44" s="7">
        <v>4017</v>
      </c>
      <c r="C44" s="21" t="s">
        <v>198</v>
      </c>
      <c r="D44" s="21" t="s">
        <v>892</v>
      </c>
      <c r="E44" s="13">
        <v>42965.339918981481</v>
      </c>
      <c r="F44" s="13">
        <v>42965.352442129632</v>
      </c>
      <c r="G44" s="7">
        <v>1</v>
      </c>
      <c r="H44" s="21" t="s">
        <v>452</v>
      </c>
      <c r="I44" s="13">
        <v>42965.378495370373</v>
      </c>
      <c r="J44" s="7">
        <v>0</v>
      </c>
      <c r="K44" s="89" t="str">
        <f t="shared" si="0"/>
        <v>4017/4018</v>
      </c>
      <c r="L44" s="21" t="str">
        <f>VLOOKUP(A44,'Trips&amp;Operators'!$C$1:$G$99999,5,FALSE)</f>
        <v>LOZA FIDEL</v>
      </c>
      <c r="M44" s="6">
        <f t="shared" si="1"/>
        <v>2.6053240741021E-2</v>
      </c>
      <c r="N44" s="7">
        <f t="shared" si="2"/>
        <v>37.51666666707024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-18T07:09:29-0600',mode:absolute,to:'2017-08-18T10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23.3049</v>
      </c>
      <c r="Z44" s="197">
        <f t="shared" si="8"/>
        <v>1.61E-2</v>
      </c>
      <c r="AA44" s="197">
        <f t="shared" si="9"/>
        <v>23.288799999999998</v>
      </c>
      <c r="AB44" s="54" t="e">
        <f>VLOOKUP(A44,Enforcements!$C$7:$K$11,8,0)</f>
        <v>#N/A</v>
      </c>
      <c r="AC44" s="51" t="e">
        <f>VLOOKUP(A44,Enforcements!$C$7:$E$11,3,0)</f>
        <v>#N/A</v>
      </c>
      <c r="AD44" s="206">
        <f t="shared" si="10"/>
        <v>132</v>
      </c>
      <c r="AE44" s="77" t="str">
        <f t="shared" si="11"/>
        <v>aws s3 cp s3://rtdc.mdm.uploadarchive.raw/RTDC4017/ "%USERPROFILE%\AppData\Local\Temp\OnboardLogs"\RTDC4017\2017-08-18 --exclude "*" --recursive --include "*20170818*" &amp; "%USERPROFILE%\Documents\GitHub\mrs-test-scripts\Headless Mode &amp; Sideloading\WalkAndUnGZ.bat" "%USERPROFILE%\AppData\Local\Temp\OnboardLogs"\RTDC4017\2017-08-18 &amp; aws s3 cp s3://rtdc.mdm.uploadarchive.raw/RTDC4017/ "%USERPROFILE%\AppData\Local\Temp\OnboardLogs"\RTDC4017\2017-08-19 --exclude "*" --recursive --include "*20170819*" &amp; "%USERPROFILE%\Documents\GitHub\mrs-test-scripts\Headless Mode &amp; Sideloading\WalkAndUnGZ.bat" "%USERPROFILE%\AppData\Local\Temp\OnboardLogs"\RTDC4017\2017-08-19</v>
      </c>
      <c r="AF44" s="74" t="str">
        <f t="shared" si="12"/>
        <v>"C:\Program Files (x86)\AstroGrep\AstroGrep.exe" /e /r /s /spath="%USERPROFILE%\AppData\Local\Temp\OnboardLogs" /stypes="app*4017*20170818*"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132-18 --locoid 4017 --swversion DE.1.0.9.0 --startMP 204:233049 --initTime 2017-08-18T08:09:29 --startdatetime 2017-08-18T08:27:31 --delay 1 --endMP 204:161 --enddatetime 2017-08-18T09:05:02 --enforcementcount 0 &gt;&gt;C:\Users\stu\Documents\GitHub\eaglep3-reporting\EC\2017-08-18-refined-times.txt</v>
      </c>
      <c r="AI44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{"issue":{"subject":"","project_id":79,"tracker_id":40,"status_id":1,"priority_id":2,"assigned_to_id":23,"start_date":"2017-08-18","description":"","custom_fields":[{"id":1,"name":"Subdivision","value":"EC"},{"id":4,"name":"Milepost","value":"0.0161"},{"id":17,"name":"Train ID","value":"132-18"},{"id":16,"name":"Locomotive ID","value":"4017"},{"id":130,"name":"Impact","value":""},{"id":150,"name":"Time of Event (Mountain Time)","value":"09:05:02"},{"id":151,"name":"Denver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4017 --day 2017-08-18</v>
      </c>
      <c r="AN44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15:05:02"},{"id":29,"name":"Sharepoint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723</v>
      </c>
      <c r="B45" s="7">
        <v>4030</v>
      </c>
      <c r="C45" s="21" t="s">
        <v>198</v>
      </c>
      <c r="D45" s="21" t="s">
        <v>374</v>
      </c>
      <c r="E45" s="13">
        <v>42965.320671296293</v>
      </c>
      <c r="F45" s="13">
        <v>42965.323425925926</v>
      </c>
      <c r="G45" s="7">
        <v>1</v>
      </c>
      <c r="H45" s="21" t="s">
        <v>481</v>
      </c>
      <c r="I45" s="13">
        <v>42965.348553240743</v>
      </c>
      <c r="J45" s="7">
        <v>0</v>
      </c>
      <c r="K45" s="89" t="str">
        <f t="shared" si="0"/>
        <v>4029/4030</v>
      </c>
      <c r="L45" s="21" t="str">
        <f>VLOOKUP(A45,'Trips&amp;Operators'!$C$1:$G$99999,5,FALSE)</f>
        <v>SANTIZO D. EDY</v>
      </c>
      <c r="M45" s="6">
        <f t="shared" si="1"/>
        <v>2.5127314816927537E-2</v>
      </c>
      <c r="N45" s="7">
        <f t="shared" si="2"/>
        <v>36.183333336375654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-18T06:41:46-0600',mode:absolute,to:'2017-08-18T09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5" s="197" t="str">
        <f>IF(AA45&lt;VLOOKUP(AG45,Variables!$AC$3:$AD$8,2,FALSE),"Y","N")</f>
        <v>N</v>
      </c>
      <c r="X45" s="197">
        <f t="shared" ref="X45:X76" si="22">VALUE(LEFT(AD45,4))-VALUE(LEFT(AD44,4))</f>
        <v>1</v>
      </c>
      <c r="Y45" s="197">
        <f t="shared" ref="Y45:Y76" si="23">RIGHT(D45,LEN(D45)-4)/10000</f>
        <v>4.6199999999999998E-2</v>
      </c>
      <c r="Z45" s="197">
        <f t="shared" ref="Z45:Z76" si="24">RIGHT(H45,LEN(H45)-4)/10000</f>
        <v>23.330200000000001</v>
      </c>
      <c r="AA45" s="197">
        <f t="shared" si="9"/>
        <v>23.284000000000002</v>
      </c>
      <c r="AB45" s="54" t="e">
        <f>VLOOKUP(A45,Enforcements!$C$7:$K$11,8,0)</f>
        <v>#N/A</v>
      </c>
      <c r="AC45" s="51" t="e">
        <f>VLOOKUP(A45,Enforcements!$C$7:$E$11,3,0)</f>
        <v>#N/A</v>
      </c>
      <c r="AD45" s="206">
        <f t="shared" si="10"/>
        <v>133</v>
      </c>
      <c r="AE45" s="77" t="str">
        <f t="shared" si="11"/>
        <v>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 &amp; 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</v>
      </c>
      <c r="AF45" s="74" t="str">
        <f t="shared" si="12"/>
        <v>"C:\Program Files (x86)\AstroGrep\AstroGrep.exe" /e /r /s /spath="%USERPROFILE%\AppData\Local\Temp\OnboardLogs" /stypes="app*4030*20170818*"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133-18 --locoid 4030 --swversion DE.1.0.9.0 --startMP 204:462 --initTime 2017-08-18T07:41:46 --startdatetime 2017-08-18T07:45:44 --delay 1 --endMP 204:233302 --enddatetime 2017-08-18T08:21:55 --enforcementcount 0 &gt;&gt;C:\Users\stu\Documents\GitHub\eaglep3-reporting\EC\2017-08-18-refined-times.txt</v>
      </c>
      <c r="AI45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{"issue":{"subject":"","project_id":79,"tracker_id":40,"status_id":1,"priority_id":2,"assigned_to_id":23,"start_date":"2017-08-18","description":"","custom_fields":[{"id":1,"name":"Subdivision","value":"EC"},{"id":4,"name":"Milepost","value":"23.3302"},{"id":17,"name":"Train ID","value":"133-18"},{"id":16,"name":"Locomotive ID","value":"4030"},{"id":130,"name":"Impact","value":""},{"id":150,"name":"Time of Event (Mountain Time)","value":"08:21:55"},{"id":151,"name":"Denver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4030 --day 2017-08-18</v>
      </c>
      <c r="AN45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14:21:55"},{"id":29,"name":"Sharepoint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656</v>
      </c>
      <c r="B46" s="7">
        <v>4029</v>
      </c>
      <c r="C46" s="21" t="s">
        <v>198</v>
      </c>
      <c r="D46" s="21" t="s">
        <v>556</v>
      </c>
      <c r="E46" s="13">
        <v>42965.349548611113</v>
      </c>
      <c r="F46" s="13">
        <v>42965.362650462965</v>
      </c>
      <c r="G46" s="7">
        <v>1</v>
      </c>
      <c r="H46" s="21" t="s">
        <v>893</v>
      </c>
      <c r="I46" s="13">
        <v>42965.388796296298</v>
      </c>
      <c r="J46" s="7">
        <v>0</v>
      </c>
      <c r="K46" s="89" t="str">
        <f t="shared" si="0"/>
        <v>4029/4030</v>
      </c>
      <c r="L46" s="21" t="str">
        <f>VLOOKUP(A46,'Trips&amp;Operators'!$C$1:$G$99999,5,FALSE)</f>
        <v>SANTIZO D. EDY</v>
      </c>
      <c r="M46" s="6">
        <f t="shared" si="1"/>
        <v>2.6145833333430346E-2</v>
      </c>
      <c r="N46" s="7">
        <f t="shared" si="2"/>
        <v>37.650000000139698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-18T07:23:21-0600',mode:absolute,to:'2017-08-18T10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6" s="197" t="str">
        <f>IF(AA46&lt;VLOOKUP(AG46,Variables!$AC$3:$AD$8,2,FALSE),"Y","N")</f>
        <v>N</v>
      </c>
      <c r="X46" s="197">
        <f t="shared" si="22"/>
        <v>1</v>
      </c>
      <c r="Y46" s="197">
        <f t="shared" si="23"/>
        <v>23.298300000000001</v>
      </c>
      <c r="Z46" s="197">
        <f t="shared" si="24"/>
        <v>1.7999999999999999E-2</v>
      </c>
      <c r="AA46" s="197">
        <f t="shared" si="9"/>
        <v>23.2803</v>
      </c>
      <c r="AB46" s="54" t="e">
        <f>VLOOKUP(A46,Enforcements!$C$7:$K$11,8,0)</f>
        <v>#N/A</v>
      </c>
      <c r="AC46" s="51" t="e">
        <f>VLOOKUP(A46,Enforcements!$C$7:$E$11,3,0)</f>
        <v>#N/A</v>
      </c>
      <c r="AD46" s="206">
        <f t="shared" si="10"/>
        <v>134</v>
      </c>
      <c r="AE46" s="77" t="str">
        <f t="shared" si="11"/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AF46" s="74" t="str">
        <f t="shared" si="12"/>
        <v>"C:\Program Files (x86)\AstroGrep\AstroGrep.exe" /e /r /s /spath="%USERPROFILE%\AppData\Local\Temp\OnboardLogs" /stypes="app*4029*20170818*"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134-18 --locoid 4029 --swversion DE.1.0.9.0 --startMP 204:232983 --initTime 2017-08-18T08:23:21 --startdatetime 2017-08-18T08:42:13 --delay 1 --endMP 204:180 --enddatetime 2017-08-18T09:19:52 --enforcementcount 0 &gt;&gt;C:\Users\stu\Documents\GitHub\eaglep3-reporting\EC\2017-08-18-refined-times.txt</v>
      </c>
      <c r="AI46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{"issue":{"subject":"","project_id":79,"tracker_id":40,"status_id":1,"priority_id":2,"assigned_to_id":23,"start_date":"2017-08-18","description":"","custom_fields":[{"id":1,"name":"Subdivision","value":"EC"},{"id":4,"name":"Milepost","value":"0.018"},{"id":17,"name":"Train ID","value":"134-18"},{"id":16,"name":"Locomotive ID","value":"4029"},{"id":130,"name":"Impact","value":""},{"id":150,"name":"Time of Event (Mountain Time)","value":"09:19:52"},{"id":151,"name":"Denver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4029 --day 2017-08-18</v>
      </c>
      <c r="AN46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15:19:52"},{"id":29,"name":"Sharepoint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655</v>
      </c>
      <c r="B47" s="7">
        <v>4028</v>
      </c>
      <c r="C47" s="21" t="s">
        <v>198</v>
      </c>
      <c r="D47" s="21" t="s">
        <v>343</v>
      </c>
      <c r="E47" s="13">
        <v>42965.328831018516</v>
      </c>
      <c r="F47" s="13">
        <v>42965.333865740744</v>
      </c>
      <c r="G47" s="7">
        <v>1</v>
      </c>
      <c r="H47" s="21" t="s">
        <v>894</v>
      </c>
      <c r="I47" s="13">
        <v>42965.358425925922</v>
      </c>
      <c r="J47" s="7">
        <v>0</v>
      </c>
      <c r="K47" s="89" t="str">
        <f t="shared" si="0"/>
        <v>4027/4028</v>
      </c>
      <c r="L47" s="21" t="str">
        <f>VLOOKUP(A47,'Trips&amp;Operators'!$C$1:$G$99999,5,FALSE)</f>
        <v>BARRON PERLA</v>
      </c>
      <c r="M47" s="6">
        <f t="shared" si="1"/>
        <v>2.456018517841585E-2</v>
      </c>
      <c r="N47" s="7">
        <f t="shared" si="2"/>
        <v>35.366666656918824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-18T06:53:31-0600',mode:absolute,to:'2017-08-18T09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7" s="197" t="str">
        <f>IF(AA47&lt;VLOOKUP(AG47,Variables!$AC$3:$AD$8,2,FALSE),"Y","N")</f>
        <v>N</v>
      </c>
      <c r="X47" s="197">
        <f t="shared" si="22"/>
        <v>1</v>
      </c>
      <c r="Y47" s="197">
        <f t="shared" si="23"/>
        <v>4.5100000000000001E-2</v>
      </c>
      <c r="Z47" s="197">
        <f t="shared" si="24"/>
        <v>23.326799999999999</v>
      </c>
      <c r="AA47" s="197">
        <f t="shared" si="9"/>
        <v>23.281699999999997</v>
      </c>
      <c r="AB47" s="54" t="e">
        <f>VLOOKUP(A47,Enforcements!$C$7:$K$11,8,0)</f>
        <v>#N/A</v>
      </c>
      <c r="AC47" s="51" t="e">
        <f>VLOOKUP(A47,Enforcements!$C$7:$E$11,3,0)</f>
        <v>#N/A</v>
      </c>
      <c r="AD47" s="206">
        <f t="shared" si="10"/>
        <v>135</v>
      </c>
      <c r="AE47" s="77" t="str">
        <f t="shared" si="11"/>
        <v>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 &amp; 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</v>
      </c>
      <c r="AF47" s="74" t="str">
        <f t="shared" si="12"/>
        <v>"C:\Program Files (x86)\AstroGrep\AstroGrep.exe" /e /r /s /spath="%USERPROFILE%\AppData\Local\Temp\OnboardLogs" /stypes="app*4028*20170818*"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135-18 --locoid 4028 --swversion DE.1.0.9.0 --startMP 204:451 --initTime 2017-08-18T07:53:31 --startdatetime 2017-08-18T08:00:46 --delay 1 --endMP 204:233268 --enddatetime 2017-08-18T08:36:08 --enforcementcount 0 &gt;&gt;C:\Users\stu\Documents\GitHub\eaglep3-reporting\EC\2017-08-18-refined-times.txt</v>
      </c>
      <c r="AI47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{"issue":{"subject":"","project_id":79,"tracker_id":40,"status_id":1,"priority_id":2,"assigned_to_id":23,"start_date":"2017-08-18","description":"","custom_fields":[{"id":1,"name":"Subdivision","value":"EC"},{"id":4,"name":"Milepost","value":"23.3268"},{"id":17,"name":"Train ID","value":"135-18"},{"id":16,"name":"Locomotive ID","value":"4028"},{"id":130,"name":"Impact","value":""},{"id":150,"name":"Time of Event (Mountain Time)","value":"08:36:08"},{"id":151,"name":"Denver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4028 --day 2017-08-18</v>
      </c>
      <c r="AN47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14:36:08"},{"id":29,"name":"Sharepoint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736</v>
      </c>
      <c r="B48" s="7">
        <v>4027</v>
      </c>
      <c r="C48" s="21" t="s">
        <v>198</v>
      </c>
      <c r="D48" s="21" t="s">
        <v>895</v>
      </c>
      <c r="E48" s="13">
        <v>42965.361261574071</v>
      </c>
      <c r="F48" s="13">
        <v>42965.373252314814</v>
      </c>
      <c r="G48" s="7">
        <v>1</v>
      </c>
      <c r="H48" s="21" t="s">
        <v>617</v>
      </c>
      <c r="I48" s="13">
        <v>42965.399791666663</v>
      </c>
      <c r="J48" s="7">
        <v>0</v>
      </c>
      <c r="K48" s="89" t="str">
        <f t="shared" si="0"/>
        <v>4027/4028</v>
      </c>
      <c r="L48" s="21" t="str">
        <f>VLOOKUP(A48,'Trips&amp;Operators'!$C$1:$G$99999,5,FALSE)</f>
        <v>BARRON PERLA</v>
      </c>
      <c r="M48" s="6">
        <f t="shared" si="1"/>
        <v>2.6539351849351078E-2</v>
      </c>
      <c r="N48" s="7">
        <f t="shared" si="2"/>
        <v>38.216666663065553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-18T07:40:13-0600',mode:absolute,to:'2017-08-18T10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8" s="197" t="str">
        <f>IF(AA48&lt;VLOOKUP(AG48,Variables!$AC$3:$AD$8,2,FALSE),"Y","N")</f>
        <v>N</v>
      </c>
      <c r="X48" s="197">
        <f t="shared" si="22"/>
        <v>1</v>
      </c>
      <c r="Y48" s="197">
        <f t="shared" si="23"/>
        <v>23.296099999999999</v>
      </c>
      <c r="Z48" s="197">
        <f t="shared" si="24"/>
        <v>1.6899999999999998E-2</v>
      </c>
      <c r="AA48" s="197">
        <f t="shared" si="9"/>
        <v>23.279199999999999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206">
        <f t="shared" si="10"/>
        <v>136</v>
      </c>
      <c r="AE48" s="77" t="str">
        <f t="shared" si="11"/>
        <v>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 &amp; aws s3 cp s3://rtdc.mdm.uploadarchive.raw/RTDC4027/ "%USERPROFILE%\AppData\Local\Temp\OnboardLogs"\RTDC4027\2017-08-19 --exclude "*" --recursive --include "*20170819*" &amp; "%USERPROFILE%\Documents\GitHub\mrs-test-scripts\Headless Mode &amp; Sideloading\WalkAndUnGZ.bat" "%USERPROFILE%\AppData\Local\Temp\OnboardLogs"\RTDC4027\2017-08-19</v>
      </c>
      <c r="AF48" s="74" t="str">
        <f t="shared" si="12"/>
        <v>"C:\Program Files (x86)\AstroGrep\AstroGrep.exe" /e /r /s /spath="%USERPROFILE%\AppData\Local\Temp\OnboardLogs" /stypes="app*4027*20170818*"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136-18 --locoid 4027 --swversion DE.1.0.9.0 --startMP 204:232961 --initTime 2017-08-18T08:40:13 --startdatetime 2017-08-18T08:57:29 --delay 1 --endMP 204:169 --enddatetime 2017-08-18T09:35:42 --enforcementcount 0 &gt;&gt;C:\Users\stu\Documents\GitHub\eaglep3-reporting\EC\2017-08-18-refined-times.txt</v>
      </c>
      <c r="AI48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{"issue":{"subject":"","project_id":79,"tracker_id":40,"status_id":1,"priority_id":2,"assigned_to_id":23,"start_date":"2017-08-18","description":"","custom_fields":[{"id":1,"name":"Subdivision","value":"EC"},{"id":4,"name":"Milepost","value":"0.0169"},{"id":17,"name":"Train ID","value":"136-18"},{"id":16,"name":"Locomotive ID","value":"4027"},{"id":130,"name":"Impact","value":""},{"id":150,"name":"Time of Event (Mountain Time)","value":"09:35:42"},{"id":151,"name":"Denver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4027 --day 2017-08-18</v>
      </c>
      <c r="AN48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15:35:42"},{"id":29,"name":"Sharepoint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654</v>
      </c>
      <c r="B49" s="7">
        <v>4064</v>
      </c>
      <c r="C49" s="21" t="s">
        <v>198</v>
      </c>
      <c r="D49" s="21" t="s">
        <v>440</v>
      </c>
      <c r="E49" s="13">
        <v>42965.342256944445</v>
      </c>
      <c r="F49" s="13">
        <v>42965.344386574077</v>
      </c>
      <c r="G49" s="7">
        <v>1</v>
      </c>
      <c r="H49" s="21" t="s">
        <v>896</v>
      </c>
      <c r="I49" s="13">
        <v>42965.37054398148</v>
      </c>
      <c r="J49" s="7">
        <v>0</v>
      </c>
      <c r="K49" s="89" t="str">
        <f t="shared" si="0"/>
        <v>4063/4064</v>
      </c>
      <c r="L49" s="21" t="str">
        <f>VLOOKUP(A49,'Trips&amp;Operators'!$C$1:$G$99999,5,FALSE)</f>
        <v>CASSIDY BRANDON</v>
      </c>
      <c r="M49" s="6">
        <f t="shared" si="1"/>
        <v>2.6157407402934041E-2</v>
      </c>
      <c r="N49" s="7">
        <f t="shared" si="2"/>
        <v>37.666666660225019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-18T07:12:51-0600',mode:absolute,to:'2017-08-18T09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9" s="197" t="str">
        <f>IF(AA49&lt;VLOOKUP(AG49,Variables!$AC$3:$AD$8,2,FALSE),"Y","N")</f>
        <v>N</v>
      </c>
      <c r="X49" s="197">
        <f t="shared" si="22"/>
        <v>1</v>
      </c>
      <c r="Y49" s="197">
        <f t="shared" si="23"/>
        <v>4.5699999999999998E-2</v>
      </c>
      <c r="Z49" s="197">
        <f t="shared" si="24"/>
        <v>23.328499999999998</v>
      </c>
      <c r="AA49" s="197">
        <f t="shared" si="9"/>
        <v>23.282799999999998</v>
      </c>
      <c r="AB49" s="54" t="e">
        <f>VLOOKUP(A49,Enforcements!$C$7:$K$11,8,0)</f>
        <v>#N/A</v>
      </c>
      <c r="AC49" s="51" t="e">
        <f>VLOOKUP(A49,Enforcements!$C$7:$E$11,3,0)</f>
        <v>#N/A</v>
      </c>
      <c r="AD49" s="206">
        <f t="shared" si="10"/>
        <v>137</v>
      </c>
      <c r="AE49" s="77" t="str">
        <f t="shared" si="11"/>
        <v>aws s3 cp s3://rtdc.mdm.uploadarchive.raw/RTDC4064/ "%USERPROFILE%\AppData\Local\Temp\OnboardLogs"\RTDC4064\2017-08-18 --exclude "*" --recursive --include "*20170818*" &amp; "%USERPROFILE%\Documents\GitHub\mrs-test-scripts\Headless Mode &amp; Sideloading\WalkAndUnGZ.bat" "%USERPROFILE%\AppData\Local\Temp\OnboardLogs"\RTDC4064\2017-08-18 &amp; aws s3 cp s3://rtdc.mdm.uploadarchive.raw/RTDC4064/ "%USERPROFILE%\AppData\Local\Temp\OnboardLogs"\RTDC4064\2017-08-19 --exclude "*" --recursive --include "*20170819*" &amp; "%USERPROFILE%\Documents\GitHub\mrs-test-scripts\Headless Mode &amp; Sideloading\WalkAndUnGZ.bat" "%USERPROFILE%\AppData\Local\Temp\OnboardLogs"\RTDC4064\2017-08-19</v>
      </c>
      <c r="AF49" s="74" t="str">
        <f t="shared" si="12"/>
        <v>"C:\Program Files (x86)\AstroGrep\AstroGrep.exe" /e /r /s /spath="%USERPROFILE%\AppData\Local\Temp\OnboardLogs" /stypes="app*4064*20170818*"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137-18 --locoid 4064 --swversion DE.1.0.9.0 --startMP 204:457 --initTime 2017-08-18T08:12:51 --startdatetime 2017-08-18T08:15:55 --delay 1 --endMP 204:233285 --enddatetime 2017-08-18T08:53:35 --enforcementcount 0 &gt;&gt;C:\Users\stu\Documents\GitHub\eaglep3-reporting\EC\2017-08-18-refined-times.txt</v>
      </c>
      <c r="AI49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{"issue":{"subject":"","project_id":79,"tracker_id":40,"status_id":1,"priority_id":2,"assigned_to_id":23,"start_date":"2017-08-18","description":"","custom_fields":[{"id":1,"name":"Subdivision","value":"EC"},{"id":4,"name":"Milepost","value":"23.3285"},{"id":17,"name":"Train ID","value":"137-18"},{"id":16,"name":"Locomotive ID","value":"4064"},{"id":130,"name":"Impact","value":""},{"id":150,"name":"Time of Event (Mountain Time)","value":"08:53:35"},{"id":151,"name":"Denver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4064 --day 2017-08-18</v>
      </c>
      <c r="AN49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14:53:35"},{"id":29,"name":"Sharepoint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738</v>
      </c>
      <c r="B50" s="7">
        <v>4063</v>
      </c>
      <c r="C50" s="21" t="s">
        <v>198</v>
      </c>
      <c r="D50" s="21" t="s">
        <v>897</v>
      </c>
      <c r="E50" s="13">
        <v>42965.372997685183</v>
      </c>
      <c r="F50" s="13">
        <v>42965.383784722224</v>
      </c>
      <c r="G50" s="7">
        <v>1</v>
      </c>
      <c r="H50" s="21" t="s">
        <v>509</v>
      </c>
      <c r="I50" s="13">
        <v>42965.412858796299</v>
      </c>
      <c r="J50" s="7">
        <v>0</v>
      </c>
      <c r="K50" s="89" t="str">
        <f t="shared" si="0"/>
        <v>4063/4064</v>
      </c>
      <c r="L50" s="21" t="str">
        <f>VLOOKUP(A50,'Trips&amp;Operators'!$C$1:$G$99999,5,FALSE)</f>
        <v>CASSIDY BRANDON</v>
      </c>
      <c r="M50" s="6">
        <f t="shared" si="1"/>
        <v>2.9074074074742384E-2</v>
      </c>
      <c r="N50" s="7">
        <f t="shared" si="2"/>
        <v>41.866666667629033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-18T07:57:07-0600',mode:absolute,to:'2017-08-18T10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0" s="197" t="str">
        <f>IF(AA50&lt;VLOOKUP(AG50,Variables!$AC$3:$AD$8,2,FALSE),"Y","N")</f>
        <v>N</v>
      </c>
      <c r="X50" s="197">
        <f t="shared" si="22"/>
        <v>1</v>
      </c>
      <c r="Y50" s="197">
        <f t="shared" si="23"/>
        <v>23.295500000000001</v>
      </c>
      <c r="Z50" s="197">
        <f t="shared" si="24"/>
        <v>1.72E-2</v>
      </c>
      <c r="AA50" s="197">
        <f t="shared" si="9"/>
        <v>23.278300000000002</v>
      </c>
      <c r="AB50" s="54" t="e">
        <f>VLOOKUP(A50,Enforcements!$C$7:$K$11,8,0)</f>
        <v>#N/A</v>
      </c>
      <c r="AC50" s="51" t="e">
        <f>VLOOKUP(A50,Enforcements!$C$7:$E$11,3,0)</f>
        <v>#N/A</v>
      </c>
      <c r="AD50" s="206">
        <f t="shared" si="10"/>
        <v>138</v>
      </c>
      <c r="AE50" s="77" t="str">
        <f t="shared" si="11"/>
        <v>aws s3 cp s3://rtdc.mdm.uploadarchive.raw/RTDC4063/ "%USERPROFILE%\AppData\Local\Temp\OnboardLogs"\RTDC4063\2017-08-18 --exclude "*" --recursive --include "*20170818*" &amp; "%USERPROFILE%\Documents\GitHub\mrs-test-scripts\Headless Mode &amp; Sideloading\WalkAndUnGZ.bat" "%USERPROFILE%\AppData\Local\Temp\OnboardLogs"\RTDC4063\2017-08-18 &amp; aws s3 cp s3://rtdc.mdm.uploadarchive.raw/RTDC4063/ "%USERPROFILE%\AppData\Local\Temp\OnboardLogs"\RTDC4063\2017-08-19 --exclude "*" --recursive --include "*20170819*" &amp; "%USERPROFILE%\Documents\GitHub\mrs-test-scripts\Headless Mode &amp; Sideloading\WalkAndUnGZ.bat" "%USERPROFILE%\AppData\Local\Temp\OnboardLogs"\RTDC4063\2017-08-19</v>
      </c>
      <c r="AF50" s="74" t="str">
        <f t="shared" si="12"/>
        <v>"C:\Program Files (x86)\AstroGrep\AstroGrep.exe" /e /r /s /spath="%USERPROFILE%\AppData\Local\Temp\OnboardLogs" /stypes="app*4063*20170818*"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138-18 --locoid 4063 --swversion DE.1.0.9.0 --startMP 204:232955 --initTime 2017-08-18T08:57:07 --startdatetime 2017-08-18T09:12:39 --delay 1 --endMP 204:172 --enddatetime 2017-08-18T09:54:31 --enforcementcount 0 &gt;&gt;C:\Users\stu\Documents\GitHub\eaglep3-reporting\EC\2017-08-18-refined-times.txt</v>
      </c>
      <c r="AI50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{"issue":{"subject":"","project_id":79,"tracker_id":40,"status_id":1,"priority_id":2,"assigned_to_id":23,"start_date":"2017-08-18","description":"","custom_fields":[{"id":1,"name":"Subdivision","value":"EC"},{"id":4,"name":"Milepost","value":"0.0172"},{"id":17,"name":"Train ID","value":"138-18"},{"id":16,"name":"Locomotive ID","value":"4063"},{"id":130,"name":"Impact","value":""},{"id":150,"name":"Time of Event (Mountain Time)","value":"09:54:31"},{"id":151,"name":"Denver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4063 --day 2017-08-18</v>
      </c>
      <c r="AN50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15:54:31"},{"id":29,"name":"Sharepoint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732</v>
      </c>
      <c r="B51" s="7">
        <v>4040</v>
      </c>
      <c r="C51" s="21" t="s">
        <v>198</v>
      </c>
      <c r="D51" s="21" t="s">
        <v>898</v>
      </c>
      <c r="E51" s="13">
        <v>42965.357835648145</v>
      </c>
      <c r="F51" s="13">
        <v>42965.359027777777</v>
      </c>
      <c r="G51" s="7">
        <v>1</v>
      </c>
      <c r="H51" s="21" t="s">
        <v>885</v>
      </c>
      <c r="I51" s="13">
        <v>42965.379780092589</v>
      </c>
      <c r="J51" s="7">
        <v>0</v>
      </c>
      <c r="K51" s="89" t="str">
        <f t="shared" si="0"/>
        <v>4039/4040</v>
      </c>
      <c r="L51" s="21" t="str">
        <f>VLOOKUP(A51,'Trips&amp;Operators'!$C$1:$G$99999,5,FALSE)</f>
        <v>STARKS ANGELINA</v>
      </c>
      <c r="M51" s="6">
        <f t="shared" si="1"/>
        <v>2.0752314812853001E-2</v>
      </c>
      <c r="N51" s="7"/>
      <c r="O51" s="7"/>
      <c r="P51" s="7">
        <f>24*60*SUM($M51:$M51)</f>
        <v>29.883333330508322</v>
      </c>
      <c r="Q51" s="22"/>
      <c r="R51" s="170" t="s">
        <v>573</v>
      </c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-18T07:35:17-0600',mode:absolute,to:'2017-08-18T10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1" s="197" t="str">
        <f>IF(AA51&lt;VLOOKUP(AG51,Variables!$AC$3:$AD$8,2,FALSE),"Y","N")</f>
        <v>Y</v>
      </c>
      <c r="X51" s="197">
        <f t="shared" si="22"/>
        <v>1</v>
      </c>
      <c r="Y51" s="197">
        <f t="shared" si="23"/>
        <v>1.9145000000000001</v>
      </c>
      <c r="Z51" s="197">
        <f t="shared" si="24"/>
        <v>23.329699999999999</v>
      </c>
      <c r="AA51" s="197">
        <f t="shared" si="9"/>
        <v>21.415199999999999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206">
        <f t="shared" si="10"/>
        <v>139</v>
      </c>
      <c r="AE51" s="77" t="str">
        <f t="shared" si="11"/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AF51" s="74" t="str">
        <f t="shared" si="12"/>
        <v>"C:\Program Files (x86)\AstroGrep\AstroGrep.exe" /e /r /s /spath="%USERPROFILE%\AppData\Local\Temp\OnboardLogs" /stypes="app*4040*20170818*"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139-18 --locoid 4040 --swversion DE.1.0.9.0 --startMP 204:19145 --initTime 2017-08-18T08:35:17 --startdatetime 2017-08-18T08:37:00 --delay 1 --endMP 204:233297 --enddatetime 2017-08-18T09:06:53 --enforcementcount 0 &gt;&gt;C:\Users\stu\Documents\GitHub\eaglep3-reporting\EC\2017-08-18-refined-times.txt</v>
      </c>
      <c r="AI51" s="96" t="str">
        <f t="shared" si="19"/>
        <v>echo {"issue":{"subject":"Onboard in-route failure","project_id":79,"tracker_id":40,"status_id":1,"priority_id":2,"assigned_to_id":23,"start_date":"2017-08-18","description":"","custom_fields":[{"id":1,"name":"Subdivision","value":"EC"},{"id":4,"name":"Milepost","value":"23.3297"},{"id":17,"name":"Train ID","value":"139-18"},{"id":16,"name":"Locomotive ID","value":"4040"},{"id":130,"name":"Impact","value":""},{"id":150,"name":"Time of Event (Mountain Time)","value":"09:06:53"},{"id":151,"name":"Denver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4040 --day 2017-08-18</v>
      </c>
      <c r="AN51" s="151" t="str">
        <f t="shared" si="21"/>
        <v>echo {"issue":{"subject":"Onboard in-route failure","project_id":30,"tracker_id":4,"status_id":1,"priority_id":1,"assigned_to_id":10,"start_date":"2017-08-18","description":"","custom_fields":[{"id":30,"name":"Category","value":"Issue"},{"id":3,"name":"Functional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15:06:53"},{"id":29,"name":"Sharepoint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732</v>
      </c>
      <c r="B52" s="7">
        <v>4040</v>
      </c>
      <c r="C52" s="21" t="s">
        <v>198</v>
      </c>
      <c r="D52" s="21" t="s">
        <v>346</v>
      </c>
      <c r="E52" s="13">
        <v>42965.352523148147</v>
      </c>
      <c r="F52" s="13">
        <v>42965.359027777777</v>
      </c>
      <c r="G52" s="7">
        <v>1</v>
      </c>
      <c r="H52" s="21" t="s">
        <v>885</v>
      </c>
      <c r="I52" s="13">
        <v>42965.379780092589</v>
      </c>
      <c r="J52" s="7">
        <v>0</v>
      </c>
      <c r="K52" s="89" t="str">
        <f t="shared" si="0"/>
        <v>4039/4040</v>
      </c>
      <c r="L52" s="21" t="str">
        <f>VLOOKUP(A52,'Trips&amp;Operators'!$C$1:$G$99999,5,FALSE)</f>
        <v>STARKS ANGELINA</v>
      </c>
      <c r="M52" s="6">
        <f t="shared" si="1"/>
        <v>2.0752314812853001E-2</v>
      </c>
      <c r="N52" s="7"/>
      <c r="O52" s="7"/>
      <c r="P52" s="7"/>
      <c r="Q52" s="22"/>
      <c r="R52" s="170"/>
      <c r="S52" s="213"/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-18T07:27:38-0600',mode:absolute,to:'2017-08-18T10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2" s="197" t="str">
        <f>IF(AA52&lt;VLOOKUP(AG52,Variables!$AC$3:$AD$8,2,FALSE),"Y","N")</f>
        <v>N</v>
      </c>
      <c r="X52" s="197">
        <f t="shared" si="22"/>
        <v>0</v>
      </c>
      <c r="Y52" s="197">
        <f t="shared" si="23"/>
        <v>4.4699999999999997E-2</v>
      </c>
      <c r="Z52" s="197">
        <f t="shared" si="24"/>
        <v>23.329699999999999</v>
      </c>
      <c r="AA52" s="197">
        <f t="shared" si="9"/>
        <v>23.285</v>
      </c>
      <c r="AB52" s="54" t="e">
        <f>VLOOKUP(A52,Enforcements!$C$7:$K$11,8,0)</f>
        <v>#N/A</v>
      </c>
      <c r="AC52" s="51" t="e">
        <f>VLOOKUP(A52,Enforcements!$C$7:$E$11,3,0)</f>
        <v>#N/A</v>
      </c>
      <c r="AD52" s="206">
        <f t="shared" si="10"/>
        <v>139</v>
      </c>
      <c r="AE52" s="77" t="str">
        <f t="shared" si="11"/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AF52" s="74" t="str">
        <f t="shared" si="12"/>
        <v>"C:\Program Files (x86)\AstroGrep\AstroGrep.exe" /e /r /s /spath="%USERPROFILE%\AppData\Local\Temp\OnboardLogs" /stypes="app*4040*20170818*" /stext=" 15:.+((SYSTEM_STATE.+slice.+state.+changed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139-18 --locoid 4040 --swversion DE.1.0.9.0 --startMP 204:447 --initTime 2017-08-18T08:27:38 --startdatetime 2017-08-18T08:37:00 --delay 1 --endMP 204:233297 --enddatetime 2017-08-18T09:06:53 --enforcementcount 0 &gt;&gt;C:\Users\stu\Documents\GitHub\eaglep3-reporting\EC\2017-08-18-refined-times.txt</v>
      </c>
      <c r="AI52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{"issue":{"subject":"","project_id":79,"tracker_id":40,"status_id":1,"priority_id":2,"assigned_to_id":23,"start_date":"2017-08-18","description":"","custom_fields":[{"id":1,"name":"Subdivision","value":"EC"},{"id":4,"name":"Milepost","value":"23.3297"},{"id":17,"name":"Train ID","value":"139-18"},{"id":16,"name":"Locomotive ID","value":"4040"},{"id":130,"name":"Impact","value":""},{"id":150,"name":"Time of Event (Mountain Time)","value":"09:06:53"},{"id":151,"name":"Denver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4040 --day 2017-08-18</v>
      </c>
      <c r="AN52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15:06:53"},{"id":29,"name":"Sharepoint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739</v>
      </c>
      <c r="B53" s="7">
        <v>4039</v>
      </c>
      <c r="C53" s="21" t="s">
        <v>198</v>
      </c>
      <c r="D53" s="21" t="s">
        <v>616</v>
      </c>
      <c r="E53" s="13">
        <v>42965.381689814814</v>
      </c>
      <c r="F53" s="13">
        <v>42965.394050925926</v>
      </c>
      <c r="G53" s="7">
        <v>1</v>
      </c>
      <c r="H53" s="21" t="s">
        <v>437</v>
      </c>
      <c r="I53" s="13">
        <v>42965.420335648145</v>
      </c>
      <c r="J53" s="7">
        <v>0</v>
      </c>
      <c r="K53" s="89" t="str">
        <f t="shared" si="0"/>
        <v>4039/4040</v>
      </c>
      <c r="L53" s="21" t="str">
        <f>VLOOKUP(A53,'Trips&amp;Operators'!$C$1:$G$99999,5,FALSE)</f>
        <v>STARKS ANGELINA</v>
      </c>
      <c r="M53" s="6">
        <f t="shared" si="1"/>
        <v>2.6284722218406387E-2</v>
      </c>
      <c r="N53" s="7">
        <f t="shared" ref="N53:N71" si="25">24*60*SUM($M53:$M53)</f>
        <v>37.849999994505197</v>
      </c>
      <c r="O53" s="7"/>
      <c r="P53" s="7"/>
      <c r="Q53" s="22"/>
      <c r="R53" s="170"/>
      <c r="S53" s="213">
        <f t="shared" ref="S53:S72" si="26">1/IF(AG53="EC",12,1)*SUM(U53:U53)</f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-18T08:09:38-0600',mode:absolute,to:'2017-08-18T11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3" s="197" t="str">
        <f>IF(AA53&lt;VLOOKUP(AG53,Variables!$AC$3:$AD$8,2,FALSE),"Y","N")</f>
        <v>N</v>
      </c>
      <c r="X53" s="197">
        <f t="shared" si="22"/>
        <v>1</v>
      </c>
      <c r="Y53" s="197">
        <f t="shared" si="23"/>
        <v>23.296900000000001</v>
      </c>
      <c r="Z53" s="197">
        <f t="shared" si="24"/>
        <v>1.52E-2</v>
      </c>
      <c r="AA53" s="197">
        <f t="shared" si="9"/>
        <v>23.281700000000001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206">
        <f t="shared" si="10"/>
        <v>140</v>
      </c>
      <c r="AE53" s="77" t="str">
        <f t="shared" si="11"/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AF53" s="74" t="str">
        <f t="shared" si="12"/>
        <v>"C:\Program Files (x86)\AstroGrep\AstroGrep.exe" /e /r /s /spath="%USERPROFILE%\AppData\Local\Temp\OnboardLogs" /stypes="app*4039*20170818*" /stext=" 16:.+((SYSTEM_STATE.+slice.+state.+changed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140-18 --locoid 4039 --swversion DE.1.0.9.0 --startMP 204:232969 --initTime 2017-08-18T09:09:38 --startdatetime 2017-08-18T09:27:26 --delay 1 --endMP 204:152 --enddatetime 2017-08-18T10:05:17 --enforcementcount 0 &gt;&gt;C:\Users\stu\Documents\GitHub\eaglep3-reporting\EC\2017-08-18-refined-times.txt</v>
      </c>
      <c r="AI53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{"issue":{"subject":"","project_id":79,"tracker_id":40,"status_id":1,"priority_id":2,"assigned_to_id":23,"start_date":"2017-08-18","description":"","custom_fields":[{"id":1,"name":"Subdivision","value":"EC"},{"id":4,"name":"Milepost","value":"0.0152"},{"id":17,"name":"Train ID","value":"140-18"},{"id":16,"name":"Locomotive ID","value":"4039"},{"id":130,"name":"Impact","value":""},{"id":150,"name":"Time of Event (Mountain Time)","value":"10:05:17"},{"id":151,"name":"Denver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4039 --day 2017-08-18</v>
      </c>
      <c r="AN53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16:05:17"},{"id":29,"name":"Sharepoint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735</v>
      </c>
      <c r="B54" s="7">
        <v>4050</v>
      </c>
      <c r="C54" s="21" t="s">
        <v>198</v>
      </c>
      <c r="D54" s="21" t="s">
        <v>899</v>
      </c>
      <c r="E54" s="13">
        <v>42965.36105324074</v>
      </c>
      <c r="F54" s="13">
        <v>42965.365243055552</v>
      </c>
      <c r="G54" s="7">
        <v>1</v>
      </c>
      <c r="H54" s="21" t="s">
        <v>472</v>
      </c>
      <c r="I54" s="13">
        <v>42965.392511574071</v>
      </c>
      <c r="J54" s="7">
        <v>0</v>
      </c>
      <c r="K54" s="89" t="str">
        <f t="shared" si="0"/>
        <v>4049/4050</v>
      </c>
      <c r="L54" s="21" t="str">
        <f>VLOOKUP(A54,'Trips&amp;Operators'!$C$1:$G$99999,5,FALSE)</f>
        <v>BIRKHOLZ NADINE</v>
      </c>
      <c r="M54" s="6">
        <f t="shared" si="1"/>
        <v>2.7268518519122154E-2</v>
      </c>
      <c r="N54" s="7">
        <f t="shared" si="25"/>
        <v>39.266666667535901</v>
      </c>
      <c r="O54" s="7"/>
      <c r="P54" s="7"/>
      <c r="Q54" s="22"/>
      <c r="R54" s="170"/>
      <c r="S54" s="213">
        <f t="shared" si="26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-18T07:39:55-0600',mode:absolute,to:'2017-08-18T10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4" s="197" t="str">
        <f>IF(AA54&lt;VLOOKUP(AG54,Variables!$AC$3:$AD$8,2,FALSE),"Y","N")</f>
        <v>N</v>
      </c>
      <c r="X54" s="197">
        <f t="shared" si="22"/>
        <v>1</v>
      </c>
      <c r="Y54" s="197">
        <f t="shared" si="23"/>
        <v>4.3799999999999999E-2</v>
      </c>
      <c r="Z54" s="197">
        <f t="shared" si="24"/>
        <v>23.330400000000001</v>
      </c>
      <c r="AA54" s="197">
        <f t="shared" si="9"/>
        <v>23.2866</v>
      </c>
      <c r="AB54" s="54" t="e">
        <f>VLOOKUP(A54,Enforcements!$C$7:$K$11,8,0)</f>
        <v>#N/A</v>
      </c>
      <c r="AC54" s="51" t="e">
        <f>VLOOKUP(A54,Enforcements!$C$7:$E$11,3,0)</f>
        <v>#N/A</v>
      </c>
      <c r="AD54" s="206">
        <f t="shared" si="10"/>
        <v>141</v>
      </c>
      <c r="AE54" s="77" t="str">
        <f t="shared" si="11"/>
        <v>aws s3 cp s3://rtdc.mdm.uploadarchive.raw/RTDC4050/ "%USERPROFILE%\AppData\Local\Temp\OnboardLogs"\RTDC4050\2017-08-18 --exclude "*" --recursive --include "*20170818*" &amp; "%USERPROFILE%\Documents\GitHub\mrs-test-scripts\Headless Mode &amp; Sideloading\WalkAndUnGZ.bat" "%USERPROFILE%\AppData\Local\Temp\OnboardLogs"\RTDC4050\2017-08-18 &amp; aws s3 cp s3://rtdc.mdm.uploadarchive.raw/RTDC4050/ "%USERPROFILE%\AppData\Local\Temp\OnboardLogs"\RTDC4050\2017-08-19 --exclude "*" --recursive --include "*20170819*" &amp; "%USERPROFILE%\Documents\GitHub\mrs-test-scripts\Headless Mode &amp; Sideloading\WalkAndUnGZ.bat" "%USERPROFILE%\AppData\Local\Temp\OnboardLogs"\RTDC4050\2017-08-19</v>
      </c>
      <c r="AF54" s="74" t="str">
        <f t="shared" si="12"/>
        <v>"C:\Program Files (x86)\AstroGrep\AstroGrep.exe" /e /r /s /spath="%USERPROFILE%\AppData\Local\Temp\OnboardLogs" /stypes="app*4050*20170818*" /stext=" 15:.+((SYSTEM_STATE.+slice.+state.+changed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141-18 --locoid 4050 --swversion DE.1.0.9.0 --startMP 204:438 --initTime 2017-08-18T08:39:55 --startdatetime 2017-08-18T08:45:57 --delay 1 --endMP 204:233304 --enddatetime 2017-08-18T09:25:13 --enforcementcount 0 &gt;&gt;C:\Users\stu\Documents\GitHub\eaglep3-reporting\EC\2017-08-18-refined-times.txt</v>
      </c>
      <c r="AI54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{"issue":{"subject":"","project_id":79,"tracker_id":40,"status_id":1,"priority_id":2,"assigned_to_id":23,"start_date":"2017-08-18","description":"","custom_fields":[{"id":1,"name":"Subdivision","value":"EC"},{"id":4,"name":"Milepost","value":"23.3304"},{"id":17,"name":"Train ID","value":"141-18"},{"id":16,"name":"Locomotive ID","value":"4050"},{"id":130,"name":"Impact","value":""},{"id":150,"name":"Time of Event (Mountain Time)","value":"09:25:13"},{"id":151,"name":"Denver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4050 --day 2017-08-18</v>
      </c>
      <c r="AN54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15:25:13"},{"id":29,"name":"Sharepoint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743</v>
      </c>
      <c r="B55" s="7">
        <v>4049</v>
      </c>
      <c r="C55" s="21" t="s">
        <v>198</v>
      </c>
      <c r="D55" s="21" t="s">
        <v>602</v>
      </c>
      <c r="E55" s="13">
        <v>42965.40084490741</v>
      </c>
      <c r="F55" s="13">
        <v>42965.404386574075</v>
      </c>
      <c r="G55" s="7">
        <v>1</v>
      </c>
      <c r="H55" s="21" t="s">
        <v>560</v>
      </c>
      <c r="I55" s="13">
        <v>42965.431574074071</v>
      </c>
      <c r="J55" s="7">
        <v>0</v>
      </c>
      <c r="K55" s="89" t="str">
        <f t="shared" si="0"/>
        <v>4049/4050</v>
      </c>
      <c r="L55" s="21" t="str">
        <f>VLOOKUP(A55,'Trips&amp;Operators'!$C$1:$G$99999,5,FALSE)</f>
        <v>BIRKHOLZ NADINE</v>
      </c>
      <c r="M55" s="6">
        <f t="shared" si="1"/>
        <v>2.7187499996216502E-2</v>
      </c>
      <c r="N55" s="7">
        <f t="shared" si="25"/>
        <v>39.149999994551763</v>
      </c>
      <c r="O55" s="7"/>
      <c r="P55" s="7"/>
      <c r="Q55" s="22"/>
      <c r="R55" s="170"/>
      <c r="S55" s="213">
        <f t="shared" si="26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-18T08:37:13-0600',mode:absolute,to:'2017-08-18T11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5" s="197" t="str">
        <f>IF(AA55&lt;VLOOKUP(AG55,Variables!$AC$3:$AD$8,2,FALSE),"Y","N")</f>
        <v>N</v>
      </c>
      <c r="X55" s="197">
        <f t="shared" si="22"/>
        <v>1</v>
      </c>
      <c r="Y55" s="197">
        <f t="shared" si="23"/>
        <v>23.3002</v>
      </c>
      <c r="Z55" s="197">
        <f t="shared" si="24"/>
        <v>1.3599999999999999E-2</v>
      </c>
      <c r="AA55" s="197">
        <f t="shared" si="9"/>
        <v>23.2866</v>
      </c>
      <c r="AB55" s="54" t="e">
        <f>VLOOKUP(A55,Enforcements!$C$7:$K$11,8,0)</f>
        <v>#N/A</v>
      </c>
      <c r="AC55" s="51" t="e">
        <f>VLOOKUP(A55,Enforcements!$C$7:$E$11,3,0)</f>
        <v>#N/A</v>
      </c>
      <c r="AD55" s="206">
        <f t="shared" si="10"/>
        <v>142</v>
      </c>
      <c r="AE55" s="77" t="str">
        <f t="shared" si="11"/>
        <v>aws s3 cp s3://rtdc.mdm.uploadarchive.raw/RTDC4049/ "%USERPROFILE%\AppData\Local\Temp\OnboardLogs"\RTDC4049\2017-08-18 --exclude "*" --recursive --include "*20170818*" &amp; "%USERPROFILE%\Documents\GitHub\mrs-test-scripts\Headless Mode &amp; Sideloading\WalkAndUnGZ.bat" "%USERPROFILE%\AppData\Local\Temp\OnboardLogs"\RTDC4049\2017-08-18 &amp; aws s3 cp s3://rtdc.mdm.uploadarchive.raw/RTDC4049/ "%USERPROFILE%\AppData\Local\Temp\OnboardLogs"\RTDC4049\2017-08-19 --exclude "*" --recursive --include "*20170819*" &amp; "%USERPROFILE%\Documents\GitHub\mrs-test-scripts\Headless Mode &amp; Sideloading\WalkAndUnGZ.bat" "%USERPROFILE%\AppData\Local\Temp\OnboardLogs"\RTDC4049\2017-08-19</v>
      </c>
      <c r="AF55" s="74" t="str">
        <f t="shared" si="12"/>
        <v>"C:\Program Files (x86)\AstroGrep\AstroGrep.exe" /e /r /s /spath="%USERPROFILE%\AppData\Local\Temp\OnboardLogs" /stypes="app*4049*20170818*" /stext=" 16:.+((SYSTEM_STATE.+slice.+state.+changed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142-18 --locoid 4049 --swversion DE.1.0.9.0 --startMP 204:233002 --initTime 2017-08-18T09:37:13 --startdatetime 2017-08-18T09:42:19 --delay 1 --endMP 204:136 --enddatetime 2017-08-18T10:21:28 --enforcementcount 0 &gt;&gt;C:\Users\stu\Documents\GitHub\eaglep3-reporting\EC\2017-08-18-refined-times.txt</v>
      </c>
      <c r="AI55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{"issue":{"subject":"","project_id":79,"tracker_id":40,"status_id":1,"priority_id":2,"assigned_to_id":23,"start_date":"2017-08-18","description":"","custom_fields":[{"id":1,"name":"Subdivision","value":"EC"},{"id":4,"name":"Milepost","value":"0.0136"},{"id":17,"name":"Train ID","value":"142-18"},{"id":16,"name":"Locomotive ID","value":"4049"},{"id":130,"name":"Impact","value":""},{"id":150,"name":"Time of Event (Mountain Time)","value":"10:21:28"},{"id":151,"name":"Denver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4049 --day 2017-08-18</v>
      </c>
      <c r="AN55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16:21:28"},{"id":29,"name":"Sharepoint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737</v>
      </c>
      <c r="B56" s="7">
        <v>4012</v>
      </c>
      <c r="C56" s="21" t="s">
        <v>198</v>
      </c>
      <c r="D56" s="21" t="s">
        <v>340</v>
      </c>
      <c r="E56" s="13">
        <v>42965.371631944443</v>
      </c>
      <c r="F56" s="13">
        <v>42965.375520833331</v>
      </c>
      <c r="G56" s="7">
        <v>1</v>
      </c>
      <c r="H56" s="21" t="s">
        <v>900</v>
      </c>
      <c r="I56" s="13">
        <v>42965.400324074071</v>
      </c>
      <c r="J56" s="7">
        <v>0</v>
      </c>
      <c r="K56" s="89" t="str">
        <f t="shared" si="0"/>
        <v>4011/4012</v>
      </c>
      <c r="L56" s="21" t="str">
        <f>VLOOKUP(A56,'Trips&amp;Operators'!$C$1:$G$99999,5,FALSE)</f>
        <v>WILLIAMS DONTE</v>
      </c>
      <c r="M56" s="6">
        <f t="shared" si="1"/>
        <v>2.4803240739856847E-2</v>
      </c>
      <c r="N56" s="7">
        <f t="shared" si="25"/>
        <v>35.716666665393859</v>
      </c>
      <c r="O56" s="7"/>
      <c r="P56" s="7"/>
      <c r="Q56" s="22"/>
      <c r="R56" s="170"/>
      <c r="S56" s="213">
        <f t="shared" si="26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-18T07:55:09-0600',mode:absolute,to:'2017-08-18T10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6" s="197" t="str">
        <f>IF(AA56&lt;VLOOKUP(AG56,Variables!$AC$3:$AD$8,2,FALSE),"Y","N")</f>
        <v>N</v>
      </c>
      <c r="X56" s="197">
        <f t="shared" si="22"/>
        <v>1</v>
      </c>
      <c r="Y56" s="197">
        <f t="shared" si="23"/>
        <v>4.4600000000000001E-2</v>
      </c>
      <c r="Z56" s="197">
        <f t="shared" si="24"/>
        <v>23.325500000000002</v>
      </c>
      <c r="AA56" s="197">
        <f t="shared" si="9"/>
        <v>23.280900000000003</v>
      </c>
      <c r="AB56" s="54" t="e">
        <f>VLOOKUP(A56,Enforcements!$C$7:$K$11,8,0)</f>
        <v>#N/A</v>
      </c>
      <c r="AC56" s="51" t="e">
        <f>VLOOKUP(A56,Enforcements!$C$7:$E$11,3,0)</f>
        <v>#N/A</v>
      </c>
      <c r="AD56" s="206">
        <f t="shared" si="10"/>
        <v>143</v>
      </c>
      <c r="AE56" s="77" t="str">
        <f t="shared" si="11"/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AF56" s="74" t="str">
        <f t="shared" si="12"/>
        <v>"C:\Program Files (x86)\AstroGrep\AstroGrep.exe" /e /r /s /spath="%USERPROFILE%\AppData\Local\Temp\OnboardLogs" /stypes="app*4012*20170818*"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143-18 --locoid 4012 --swversion DE.1.0.9.0 --startMP 204:446 --initTime 2017-08-18T08:55:09 --startdatetime 2017-08-18T09:00:45 --delay 1 --endMP 204:233255 --enddatetime 2017-08-18T09:36:28 --enforcementcount 0 &gt;&gt;C:\Users\stu\Documents\GitHub\eaglep3-reporting\EC\2017-08-18-refined-times.txt</v>
      </c>
      <c r="AI56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{"issue":{"subject":"","project_id":79,"tracker_id":40,"status_id":1,"priority_id":2,"assigned_to_id":23,"start_date":"2017-08-18","description":"","custom_fields":[{"id":1,"name":"Subdivision","value":"EC"},{"id":4,"name":"Milepost","value":"23.3255"},{"id":17,"name":"Train ID","value":"143-18"},{"id":16,"name":"Locomotive ID","value":"4012"},{"id":130,"name":"Impact","value":""},{"id":150,"name":"Time of Event (Mountain Time)","value":"09:36:28"},{"id":151,"name":"Denver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4012 --day 2017-08-18</v>
      </c>
      <c r="AN56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15:36:28"},{"id":29,"name":"Sharepoint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745</v>
      </c>
      <c r="B57" s="7">
        <v>4011</v>
      </c>
      <c r="C57" s="21" t="s">
        <v>198</v>
      </c>
      <c r="D57" s="21" t="s">
        <v>901</v>
      </c>
      <c r="E57" s="13">
        <v>42965.412534722222</v>
      </c>
      <c r="F57" s="13">
        <v>42965.415011574078</v>
      </c>
      <c r="G57" s="7">
        <v>1</v>
      </c>
      <c r="H57" s="21" t="s">
        <v>342</v>
      </c>
      <c r="I57" s="13">
        <v>42965.441562499997</v>
      </c>
      <c r="J57" s="7">
        <v>0</v>
      </c>
      <c r="K57" s="89" t="str">
        <f t="shared" si="0"/>
        <v>4011/4012</v>
      </c>
      <c r="L57" s="21" t="str">
        <f>VLOOKUP(A57,'Trips&amp;Operators'!$C$1:$G$99999,5,FALSE)</f>
        <v>WILLIAMS DONTE</v>
      </c>
      <c r="M57" s="6">
        <f t="shared" si="1"/>
        <v>2.6550925918854773E-2</v>
      </c>
      <c r="N57" s="7">
        <f t="shared" si="25"/>
        <v>38.233333323150873</v>
      </c>
      <c r="O57" s="7"/>
      <c r="P57" s="7"/>
      <c r="Q57" s="22"/>
      <c r="R57" s="170"/>
      <c r="S57" s="213">
        <f t="shared" si="26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-18T08:54:03-0600',mode:absolute,to:'2017-08-18T11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7" s="197" t="str">
        <f>IF(AA57&lt;VLOOKUP(AG57,Variables!$AC$3:$AD$8,2,FALSE),"Y","N")</f>
        <v>N</v>
      </c>
      <c r="X57" s="197">
        <f t="shared" si="22"/>
        <v>1</v>
      </c>
      <c r="Y57" s="197">
        <f t="shared" si="23"/>
        <v>23.297799999999999</v>
      </c>
      <c r="Z57" s="197">
        <f t="shared" si="24"/>
        <v>1.49E-2</v>
      </c>
      <c r="AA57" s="197">
        <f t="shared" si="9"/>
        <v>23.282899999999998</v>
      </c>
      <c r="AB57" s="54" t="e">
        <f>VLOOKUP(A57,Enforcements!$C$7:$K$11,8,0)</f>
        <v>#N/A</v>
      </c>
      <c r="AC57" s="51" t="e">
        <f>VLOOKUP(A57,Enforcements!$C$7:$E$11,3,0)</f>
        <v>#N/A</v>
      </c>
      <c r="AD57" s="206">
        <f t="shared" si="10"/>
        <v>144</v>
      </c>
      <c r="AE57" s="77" t="str">
        <f t="shared" si="11"/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AF57" s="74" t="str">
        <f t="shared" si="12"/>
        <v>"C:\Program Files (x86)\AstroGrep\AstroGrep.exe" /e /r /s /spath="%USERPROFILE%\AppData\Local\Temp\OnboardLogs" /stypes="app*4011*20170818*"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144-18 --locoid 4011 --swversion DE.1.0.9.0 --startMP 204:232978 --initTime 2017-08-18T09:54:03 --startdatetime 2017-08-18T09:57:37 --delay 1 --endMP 204:149 --enddatetime 2017-08-18T10:35:51 --enforcementcount 0 &gt;&gt;C:\Users\stu\Documents\GitHub\eaglep3-reporting\EC\2017-08-18-refined-times.txt</v>
      </c>
      <c r="AI57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{"issue":{"subject":"","project_id":79,"tracker_id":40,"status_id":1,"priority_id":2,"assigned_to_id":23,"start_date":"2017-08-18","description":"","custom_fields":[{"id":1,"name":"Subdivision","value":"EC"},{"id":4,"name":"Milepost","value":"0.0149"},{"id":17,"name":"Train ID","value":"144-18"},{"id":16,"name":"Locomotive ID","value":"4011"},{"id":130,"name":"Impact","value":""},{"id":150,"name":"Time of Event (Mountain Time)","value":"10:35:51"},{"id":151,"name":"Denver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4011 --day 2017-08-18</v>
      </c>
      <c r="AN57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16:35:51"},{"id":29,"name":"Sharepoint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740</v>
      </c>
      <c r="B58" s="7">
        <v>4018</v>
      </c>
      <c r="C58" s="21" t="s">
        <v>198</v>
      </c>
      <c r="D58" s="21" t="s">
        <v>374</v>
      </c>
      <c r="E58" s="13">
        <v>42965.382557870369</v>
      </c>
      <c r="F58" s="13">
        <v>42965.386423611111</v>
      </c>
      <c r="G58" s="7">
        <v>1</v>
      </c>
      <c r="H58" s="21" t="s">
        <v>902</v>
      </c>
      <c r="I58" s="13">
        <v>42965.410914351851</v>
      </c>
      <c r="J58" s="7">
        <v>0</v>
      </c>
      <c r="K58" s="89" t="str">
        <f t="shared" si="0"/>
        <v>4017/4018</v>
      </c>
      <c r="L58" s="21" t="str">
        <f>VLOOKUP(A58,'Trips&amp;Operators'!$C$1:$G$99999,5,FALSE)</f>
        <v>LOZA FIDEL</v>
      </c>
      <c r="M58" s="6">
        <f t="shared" si="1"/>
        <v>2.4490740739565808E-2</v>
      </c>
      <c r="N58" s="7">
        <f t="shared" si="25"/>
        <v>35.266666664974764</v>
      </c>
      <c r="O58" s="7"/>
      <c r="P58" s="7"/>
      <c r="Q58" s="22"/>
      <c r="R58" s="170"/>
      <c r="S58" s="213">
        <f t="shared" si="26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-18T08:10:53-0600',mode:absolute,to:'2017-08-18T10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8" s="197" t="str">
        <f>IF(AA58&lt;VLOOKUP(AG58,Variables!$AC$3:$AD$8,2,FALSE),"Y","N")</f>
        <v>N</v>
      </c>
      <c r="X58" s="197">
        <f t="shared" si="22"/>
        <v>1</v>
      </c>
      <c r="Y58" s="197">
        <f t="shared" si="23"/>
        <v>4.6199999999999998E-2</v>
      </c>
      <c r="Z58" s="197">
        <f t="shared" si="24"/>
        <v>23.339300000000001</v>
      </c>
      <c r="AA58" s="197">
        <f t="shared" si="9"/>
        <v>23.293100000000003</v>
      </c>
      <c r="AB58" s="54" t="e">
        <f>VLOOKUP(A58,Enforcements!$C$7:$K$11,8,0)</f>
        <v>#N/A</v>
      </c>
      <c r="AC58" s="51" t="e">
        <f>VLOOKUP(A58,Enforcements!$C$7:$E$11,3,0)</f>
        <v>#N/A</v>
      </c>
      <c r="AD58" s="206">
        <f t="shared" si="10"/>
        <v>145</v>
      </c>
      <c r="AE58" s="77" t="str">
        <f t="shared" si="11"/>
        <v>aws s3 cp s3://rtdc.mdm.uploadarchive.raw/RTDC4018/ "%USERPROFILE%\AppData\Local\Temp\OnboardLogs"\RTDC4018\2017-08-18 --exclude "*" --recursive --include "*20170818*" &amp; "%USERPROFILE%\Documents\GitHub\mrs-test-scripts\Headless Mode &amp; Sideloading\WalkAndUnGZ.bat" "%USERPROFILE%\AppData\Local\Temp\OnboardLogs"\RTDC4018\2017-08-18 &amp; aws s3 cp s3://rtdc.mdm.uploadarchive.raw/RTDC4018/ "%USERPROFILE%\AppData\Local\Temp\OnboardLogs"\RTDC4018\2017-08-19 --exclude "*" --recursive --include "*20170819*" &amp; "%USERPROFILE%\Documents\GitHub\mrs-test-scripts\Headless Mode &amp; Sideloading\WalkAndUnGZ.bat" "%USERPROFILE%\AppData\Local\Temp\OnboardLogs"\RTDC4018\2017-08-19</v>
      </c>
      <c r="AF58" s="74" t="str">
        <f t="shared" si="12"/>
        <v>"C:\Program Files (x86)\AstroGrep\AstroGrep.exe" /e /r /s /spath="%USERPROFILE%\AppData\Local\Temp\OnboardLogs" /stypes="app*4018*20170818*"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145-18 --locoid 4018 --swversion DE.1.0.9.0 --startMP 204:462 --initTime 2017-08-18T09:10:53 --startdatetime 2017-08-18T09:16:27 --delay 1 --endMP 204:233393 --enddatetime 2017-08-18T09:51:43 --enforcementcount 0 &gt;&gt;C:\Users\stu\Documents\GitHub\eaglep3-reporting\EC\2017-08-18-refined-times.txt</v>
      </c>
      <c r="AI58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{"issue":{"subject":"","project_id":79,"tracker_id":40,"status_id":1,"priority_id":2,"assigned_to_id":23,"start_date":"2017-08-18","description":"","custom_fields":[{"id":1,"name":"Subdivision","value":"EC"},{"id":4,"name":"Milepost","value":"23.3393"},{"id":17,"name":"Train ID","value":"145-18"},{"id":16,"name":"Locomotive ID","value":"4018"},{"id":130,"name":"Impact","value":""},{"id":150,"name":"Time of Event (Mountain Time)","value":"09:51:43"},{"id":151,"name":"Denver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4018 --day 2017-08-18</v>
      </c>
      <c r="AN58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15:51:43"},{"id":29,"name":"Sharepoint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747</v>
      </c>
      <c r="B59" s="7">
        <v>4017</v>
      </c>
      <c r="C59" s="21" t="s">
        <v>198</v>
      </c>
      <c r="D59" s="21" t="s">
        <v>903</v>
      </c>
      <c r="E59" s="13">
        <v>42965.413819444446</v>
      </c>
      <c r="F59" s="13">
        <v>42965.42527777778</v>
      </c>
      <c r="G59" s="7">
        <v>1</v>
      </c>
      <c r="H59" s="21" t="s">
        <v>506</v>
      </c>
      <c r="I59" s="13">
        <v>42965.451782407406</v>
      </c>
      <c r="J59" s="7">
        <v>0</v>
      </c>
      <c r="K59" s="89" t="str">
        <f t="shared" si="0"/>
        <v>4017/4018</v>
      </c>
      <c r="L59" s="21" t="str">
        <f>VLOOKUP(A59,'Trips&amp;Operators'!$C$1:$G$99999,5,FALSE)</f>
        <v>LOZA FIDEL</v>
      </c>
      <c r="M59" s="6">
        <f t="shared" si="1"/>
        <v>2.6504629626288079E-2</v>
      </c>
      <c r="N59" s="7">
        <f t="shared" si="25"/>
        <v>38.166666661854833</v>
      </c>
      <c r="O59" s="7"/>
      <c r="P59" s="7"/>
      <c r="Q59" s="22"/>
      <c r="R59" s="170"/>
      <c r="S59" s="213">
        <f t="shared" si="26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-18T08:55:54-0600',mode:absolute,to:'2017-08-18T11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9" s="197" t="str">
        <f>IF(AA59&lt;VLOOKUP(AG59,Variables!$AC$3:$AD$8,2,FALSE),"Y","N")</f>
        <v>N</v>
      </c>
      <c r="X59" s="197">
        <f t="shared" si="22"/>
        <v>1</v>
      </c>
      <c r="Y59" s="197">
        <f t="shared" si="23"/>
        <v>23.308499999999999</v>
      </c>
      <c r="Z59" s="197">
        <f t="shared" si="24"/>
        <v>1.5599999999999999E-2</v>
      </c>
      <c r="AA59" s="197">
        <f t="shared" si="9"/>
        <v>23.292899999999999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206">
        <f t="shared" si="10"/>
        <v>146</v>
      </c>
      <c r="AE59" s="77" t="str">
        <f t="shared" si="11"/>
        <v>aws s3 cp s3://rtdc.mdm.uploadarchive.raw/RTDC4017/ "%USERPROFILE%\AppData\Local\Temp\OnboardLogs"\RTDC4017\2017-08-18 --exclude "*" --recursive --include "*20170818*" &amp; "%USERPROFILE%\Documents\GitHub\mrs-test-scripts\Headless Mode &amp; Sideloading\WalkAndUnGZ.bat" "%USERPROFILE%\AppData\Local\Temp\OnboardLogs"\RTDC4017\2017-08-18 &amp; aws s3 cp s3://rtdc.mdm.uploadarchive.raw/RTDC4017/ "%USERPROFILE%\AppData\Local\Temp\OnboardLogs"\RTDC4017\2017-08-19 --exclude "*" --recursive --include "*20170819*" &amp; "%USERPROFILE%\Documents\GitHub\mrs-test-scripts\Headless Mode &amp; Sideloading\WalkAndUnGZ.bat" "%USERPROFILE%\AppData\Local\Temp\OnboardLogs"\RTDC4017\2017-08-19</v>
      </c>
      <c r="AF59" s="74" t="str">
        <f t="shared" si="12"/>
        <v>"C:\Program Files (x86)\AstroGrep\AstroGrep.exe" /e /r /s /spath="%USERPROFILE%\AppData\Local\Temp\OnboardLogs" /stypes="app*4017*20170818*"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146-18 --locoid 4017 --swversion DE.1.0.9.0 --startMP 204:233085 --initTime 2017-08-18T09:55:54 --startdatetime 2017-08-18T10:12:24 --delay 1 --endMP 204:156 --enddatetime 2017-08-18T10:50:34 --enforcementcount 0 &gt;&gt;C:\Users\stu\Documents\GitHub\eaglep3-reporting\EC\2017-08-18-refined-times.txt</v>
      </c>
      <c r="AI59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{"issue":{"subject":"","project_id":79,"tracker_id":40,"status_id":1,"priority_id":2,"assigned_to_id":23,"start_date":"2017-08-18","description":"","custom_fields":[{"id":1,"name":"Subdivision","value":"EC"},{"id":4,"name":"Milepost","value":"0.0156"},{"id":17,"name":"Train ID","value":"146-18"},{"id":16,"name":"Locomotive ID","value":"4017"},{"id":130,"name":"Impact","value":""},{"id":150,"name":"Time of Event (Mountain Time)","value":"10:50:34"},{"id":151,"name":"Denver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4017 --day 2017-08-18</v>
      </c>
      <c r="AN59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16:50:34"},{"id":29,"name":"Sharepoint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741</v>
      </c>
      <c r="B60" s="7">
        <v>4030</v>
      </c>
      <c r="C60" s="21" t="s">
        <v>198</v>
      </c>
      <c r="D60" s="21" t="s">
        <v>904</v>
      </c>
      <c r="E60" s="13">
        <v>42965.390393518515</v>
      </c>
      <c r="F60" s="13">
        <v>42965.396157407406</v>
      </c>
      <c r="G60" s="7">
        <v>1</v>
      </c>
      <c r="H60" s="21" t="s">
        <v>520</v>
      </c>
      <c r="I60" s="13">
        <v>42965.421064814815</v>
      </c>
      <c r="J60" s="7">
        <v>0</v>
      </c>
      <c r="K60" s="89" t="str">
        <f t="shared" si="0"/>
        <v>4029/4030</v>
      </c>
      <c r="L60" s="21" t="str">
        <f>VLOOKUP(A60,'Trips&amp;Operators'!$C$1:$G$99999,5,FALSE)</f>
        <v>GUNTHIER ERIC</v>
      </c>
      <c r="M60" s="6">
        <f t="shared" si="1"/>
        <v>2.4907407409045845E-2</v>
      </c>
      <c r="N60" s="7">
        <f t="shared" si="25"/>
        <v>35.866666669026017</v>
      </c>
      <c r="O60" s="7"/>
      <c r="P60" s="7"/>
      <c r="Q60" s="22"/>
      <c r="R60" s="170"/>
      <c r="S60" s="213">
        <f t="shared" si="26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-18T08:22:10-0600',mode:absolute,to:'2017-08-18T11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0" s="197" t="str">
        <f>IF(AA60&lt;VLOOKUP(AG60,Variables!$AC$3:$AD$8,2,FALSE),"Y","N")</f>
        <v>N</v>
      </c>
      <c r="X60" s="197">
        <f t="shared" si="22"/>
        <v>1</v>
      </c>
      <c r="Y60" s="197">
        <f t="shared" si="23"/>
        <v>4.8800000000000003E-2</v>
      </c>
      <c r="Z60" s="197">
        <f t="shared" si="24"/>
        <v>23.328600000000002</v>
      </c>
      <c r="AA60" s="197">
        <f t="shared" si="9"/>
        <v>23.279800000000002</v>
      </c>
      <c r="AB60" s="54" t="e">
        <f>VLOOKUP(A60,Enforcements!$C$7:$K$11,8,0)</f>
        <v>#N/A</v>
      </c>
      <c r="AC60" s="51" t="e">
        <f>VLOOKUP(A60,Enforcements!$C$7:$E$11,3,0)</f>
        <v>#N/A</v>
      </c>
      <c r="AD60" s="206">
        <f t="shared" si="10"/>
        <v>147</v>
      </c>
      <c r="AE60" s="77" t="str">
        <f t="shared" si="11"/>
        <v>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 &amp; 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</v>
      </c>
      <c r="AF60" s="74" t="str">
        <f t="shared" si="12"/>
        <v>"C:\Program Files (x86)\AstroGrep\AstroGrep.exe" /e /r /s /spath="%USERPROFILE%\AppData\Local\Temp\OnboardLogs" /stypes="app*4030*20170818*"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147-18 --locoid 4030 --swversion DE.1.0.9.0 --startMP 204:488 --initTime 2017-08-18T09:22:10 --startdatetime 2017-08-18T09:30:28 --delay 1 --endMP 204:233286 --enddatetime 2017-08-18T10:06:20 --enforcementcount 0 &gt;&gt;C:\Users\stu\Documents\GitHub\eaglep3-reporting\EC\2017-08-18-refined-times.txt</v>
      </c>
      <c r="AI60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{"issue":{"subject":"","project_id":79,"tracker_id":40,"status_id":1,"priority_id":2,"assigned_to_id":23,"start_date":"2017-08-18","description":"","custom_fields":[{"id":1,"name":"Subdivision","value":"EC"},{"id":4,"name":"Milepost","value":"23.3286"},{"id":17,"name":"Train ID","value":"147-18"},{"id":16,"name":"Locomotive ID","value":"4030"},{"id":130,"name":"Impact","value":""},{"id":150,"name":"Time of Event (Mountain Time)","value":"10:06:20"},{"id":151,"name":"Denver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4030 --day 2017-08-18</v>
      </c>
      <c r="AN60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750</v>
      </c>
      <c r="B61" s="7">
        <v>4029</v>
      </c>
      <c r="C61" s="21" t="s">
        <v>198</v>
      </c>
      <c r="D61" s="21" t="s">
        <v>595</v>
      </c>
      <c r="E61" s="13">
        <v>42965.425937499997</v>
      </c>
      <c r="F61" s="13">
        <v>42965.435949074075</v>
      </c>
      <c r="G61" s="7">
        <v>1</v>
      </c>
      <c r="H61" s="21" t="s">
        <v>375</v>
      </c>
      <c r="I61" s="13">
        <v>42965.463252314818</v>
      </c>
      <c r="J61" s="7">
        <v>0</v>
      </c>
      <c r="K61" s="89" t="str">
        <f t="shared" si="0"/>
        <v>4029/4030</v>
      </c>
      <c r="L61" s="21" t="str">
        <f>VLOOKUP(A61,'Trips&amp;Operators'!$C$1:$G$99999,5,FALSE)</f>
        <v>SANTIZO D. EDY</v>
      </c>
      <c r="M61" s="6">
        <f t="shared" si="1"/>
        <v>2.7303240742185153E-2</v>
      </c>
      <c r="N61" s="7">
        <f t="shared" si="25"/>
        <v>39.31666666874662</v>
      </c>
      <c r="O61" s="7"/>
      <c r="P61" s="7"/>
      <c r="Q61" s="22"/>
      <c r="R61" s="170"/>
      <c r="S61" s="213">
        <f t="shared" si="26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-18T09:13:21-0600',mode:absolute,to:'2017-08-18T12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197" t="str">
        <f>IF(AA61&lt;VLOOKUP(AG61,Variables!$AC$3:$AD$8,2,FALSE),"Y","N")</f>
        <v>N</v>
      </c>
      <c r="X61" s="197">
        <f t="shared" si="22"/>
        <v>1</v>
      </c>
      <c r="Y61" s="197">
        <f t="shared" si="23"/>
        <v>23.2959</v>
      </c>
      <c r="Z61" s="197">
        <f t="shared" si="24"/>
        <v>1.54E-2</v>
      </c>
      <c r="AA61" s="197">
        <f t="shared" si="9"/>
        <v>23.2805</v>
      </c>
      <c r="AB61" s="54" t="e">
        <f>VLOOKUP(A61,Enforcements!$C$7:$K$11,8,0)</f>
        <v>#N/A</v>
      </c>
      <c r="AC61" s="51" t="e">
        <f>VLOOKUP(A61,Enforcements!$C$7:$E$11,3,0)</f>
        <v>#N/A</v>
      </c>
      <c r="AD61" s="206">
        <f t="shared" si="10"/>
        <v>148</v>
      </c>
      <c r="AE61" s="77" t="str">
        <f t="shared" si="11"/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AF61" s="74" t="str">
        <f t="shared" si="12"/>
        <v>"C:\Program Files (x86)\AstroGrep\AstroGrep.exe" /e /r /s /spath="%USERPROFILE%\AppData\Local\Temp\OnboardLogs" /stypes="app*4029*20170818*"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148-18 --locoid 4029 --swversion DE.1.0.9.0 --startMP 204:232959 --initTime 2017-08-18T10:13:21 --startdatetime 2017-08-18T10:27:46 --delay 1 --endMP 204:154 --enddatetime 2017-08-18T11:07:05 --enforcementcount 0 &gt;&gt;C:\Users\stu\Documents\GitHub\eaglep3-reporting\EC\2017-08-18-refined-times.txt</v>
      </c>
      <c r="AI61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{"issue":{"subject":"","project_id":79,"tracker_id":40,"status_id":1,"priority_id":2,"assigned_to_id":23,"start_date":"2017-08-18","description":"","custom_fields":[{"id":1,"name":"Subdivision","value":"EC"},{"id":4,"name":"Milepost","value":"0.0154"},{"id":17,"name":"Train ID","value":"148-18"},{"id":16,"name":"Locomotive ID","value":"4029"},{"id":130,"name":"Impact","value":""},{"id":150,"name":"Time of Event (Mountain Time)","value":"11:07:05"},{"id":151,"name":"Denver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4029 --day 2017-08-18</v>
      </c>
      <c r="AN61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17:07:05"},{"id":29,"name":"Sharepoint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744</v>
      </c>
      <c r="B62" s="7">
        <v>4028</v>
      </c>
      <c r="C62" s="21" t="s">
        <v>198</v>
      </c>
      <c r="D62" s="21" t="s">
        <v>471</v>
      </c>
      <c r="E62" s="13">
        <v>42965.402337962965</v>
      </c>
      <c r="F62" s="13">
        <v>42965.406817129631</v>
      </c>
      <c r="G62" s="7">
        <v>1</v>
      </c>
      <c r="H62" s="21" t="s">
        <v>618</v>
      </c>
      <c r="I62" s="13">
        <v>42965.431932870371</v>
      </c>
      <c r="J62" s="7">
        <v>0</v>
      </c>
      <c r="K62" s="89" t="str">
        <f t="shared" si="0"/>
        <v>4027/4028</v>
      </c>
      <c r="L62" s="21" t="str">
        <f>VLOOKUP(A62,'Trips&amp;Operators'!$C$1:$G$99999,5,FALSE)</f>
        <v>BARRON PERLA</v>
      </c>
      <c r="M62" s="6">
        <f t="shared" si="1"/>
        <v>2.5115740740147885E-2</v>
      </c>
      <c r="N62" s="7">
        <f t="shared" si="25"/>
        <v>36.166666665812954</v>
      </c>
      <c r="O62" s="7"/>
      <c r="P62" s="7"/>
      <c r="Q62" s="22"/>
      <c r="R62" s="170"/>
      <c r="S62" s="213">
        <f t="shared" si="26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-18T08:39:22-0600',mode:absolute,to:'2017-08-18T11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197" t="str">
        <f>IF(AA62&lt;VLOOKUP(AG62,Variables!$AC$3:$AD$8,2,FALSE),"Y","N")</f>
        <v>N</v>
      </c>
      <c r="X62" s="197">
        <f t="shared" si="22"/>
        <v>1</v>
      </c>
      <c r="Y62" s="197">
        <f t="shared" si="23"/>
        <v>4.6600000000000003E-2</v>
      </c>
      <c r="Z62" s="197">
        <f t="shared" si="24"/>
        <v>23.3278</v>
      </c>
      <c r="AA62" s="197">
        <f t="shared" si="9"/>
        <v>23.281199999999998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206">
        <f t="shared" si="10"/>
        <v>149</v>
      </c>
      <c r="AE62" s="77" t="str">
        <f t="shared" si="11"/>
        <v>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 &amp; 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</v>
      </c>
      <c r="AF62" s="74" t="str">
        <f t="shared" si="12"/>
        <v>"C:\Program Files (x86)\AstroGrep\AstroGrep.exe" /e /r /s /spath="%USERPROFILE%\AppData\Local\Temp\OnboardLogs" /stypes="app*4028*20170818*"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149-18 --locoid 4028 --swversion DE.1.0.9.0 --startMP 204:466 --initTime 2017-08-18T09:39:22 --startdatetime 2017-08-18T09:45:49 --delay 1 --endMP 204:233278 --enddatetime 2017-08-18T10:21:59 --enforcementcount 0 &gt;&gt;C:\Users\stu\Documents\GitHub\eaglep3-reporting\EC\2017-08-18-refined-times.txt</v>
      </c>
      <c r="AI62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{"issue":{"subject":"","project_id":79,"tracker_id":40,"status_id":1,"priority_id":2,"assigned_to_id":23,"start_date":"2017-08-18","description":"","custom_fields":[{"id":1,"name":"Subdivision","value":"EC"},{"id":4,"name":"Milepost","value":"23.3278"},{"id":17,"name":"Train ID","value":"149-18"},{"id":16,"name":"Locomotive ID","value":"4028"},{"id":130,"name":"Impact","value":""},{"id":150,"name":"Time of Event (Mountain Time)","value":"10:21:59"},{"id":151,"name":"Denver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4028 --day 2017-08-18</v>
      </c>
      <c r="AN62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16:21:59"},{"id":29,"name":"Sharepoint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752</v>
      </c>
      <c r="B63" s="7">
        <v>4027</v>
      </c>
      <c r="C63" s="21" t="s">
        <v>198</v>
      </c>
      <c r="D63" s="21" t="s">
        <v>905</v>
      </c>
      <c r="E63" s="13">
        <v>42965.433715277781</v>
      </c>
      <c r="F63" s="13">
        <v>42965.446099537039</v>
      </c>
      <c r="G63" s="7">
        <v>1</v>
      </c>
      <c r="H63" s="21" t="s">
        <v>455</v>
      </c>
      <c r="I63" s="13">
        <v>42965.472094907411</v>
      </c>
      <c r="J63" s="7">
        <v>0</v>
      </c>
      <c r="K63" s="89" t="str">
        <f t="shared" si="0"/>
        <v>4027/4028</v>
      </c>
      <c r="L63" s="21" t="str">
        <f>VLOOKUP(A63,'Trips&amp;Operators'!$C$1:$G$99999,5,FALSE)</f>
        <v>BARRON PERLA</v>
      </c>
      <c r="M63" s="6">
        <f t="shared" si="1"/>
        <v>2.5995370371674653E-2</v>
      </c>
      <c r="N63" s="7">
        <f t="shared" si="25"/>
        <v>37.433333335211501</v>
      </c>
      <c r="O63" s="7"/>
      <c r="P63" s="7"/>
      <c r="Q63" s="22"/>
      <c r="R63" s="170"/>
      <c r="S63" s="213">
        <f t="shared" si="26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-18T09:24:33-0600',mode:absolute,to:'2017-08-18T12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3" s="197" t="str">
        <f>IF(AA63&lt;VLOOKUP(AG63,Variables!$AC$3:$AD$8,2,FALSE),"Y","N")</f>
        <v>N</v>
      </c>
      <c r="X63" s="197">
        <f t="shared" si="22"/>
        <v>1</v>
      </c>
      <c r="Y63" s="197">
        <f t="shared" si="23"/>
        <v>23.2957</v>
      </c>
      <c r="Z63" s="197">
        <f t="shared" si="24"/>
        <v>1.38E-2</v>
      </c>
      <c r="AA63" s="197">
        <f t="shared" si="9"/>
        <v>23.2819</v>
      </c>
      <c r="AB63" s="54" t="e">
        <f>VLOOKUP(A63,Enforcements!$C$7:$K$11,8,0)</f>
        <v>#N/A</v>
      </c>
      <c r="AC63" s="51" t="e">
        <f>VLOOKUP(A63,Enforcements!$C$7:$E$11,3,0)</f>
        <v>#N/A</v>
      </c>
      <c r="AD63" s="206">
        <f t="shared" si="10"/>
        <v>150</v>
      </c>
      <c r="AE63" s="77" t="str">
        <f t="shared" si="11"/>
        <v>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 &amp; aws s3 cp s3://rtdc.mdm.uploadarchive.raw/RTDC4027/ "%USERPROFILE%\AppData\Local\Temp\OnboardLogs"\RTDC4027\2017-08-19 --exclude "*" --recursive --include "*20170819*" &amp; "%USERPROFILE%\Documents\GitHub\mrs-test-scripts\Headless Mode &amp; Sideloading\WalkAndUnGZ.bat" "%USERPROFILE%\AppData\Local\Temp\OnboardLogs"\RTDC4027\2017-08-19</v>
      </c>
      <c r="AF63" s="74" t="str">
        <f t="shared" si="12"/>
        <v>"C:\Program Files (x86)\AstroGrep\AstroGrep.exe" /e /r /s /spath="%USERPROFILE%\AppData\Local\Temp\OnboardLogs" /stypes="app*4027*20170818*"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150-18 --locoid 4027 --swversion DE.1.0.9.0 --startMP 204:232957 --initTime 2017-08-18T10:24:33 --startdatetime 2017-08-18T10:42:23 --delay 1 --endMP 204:138 --enddatetime 2017-08-18T11:19:49 --enforcementcount 0 &gt;&gt;C:\Users\stu\Documents\GitHub\eaglep3-reporting\EC\2017-08-18-refined-times.txt</v>
      </c>
      <c r="AI63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{"issue":{"subject":"","project_id":79,"tracker_id":40,"status_id":1,"priority_id":2,"assigned_to_id":23,"start_date":"2017-08-18","description":"","custom_fields":[{"id":1,"name":"Subdivision","value":"EC"},{"id":4,"name":"Milepost","value":"0.0138"},{"id":17,"name":"Train ID","value":"150-18"},{"id":16,"name":"Locomotive ID","value":"4027"},{"id":130,"name":"Impact","value":""},{"id":150,"name":"Time of Event (Mountain Time)","value":"11:19:49"},{"id":151,"name":"Denver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4027 --day 2017-08-18</v>
      </c>
      <c r="AN63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17:19:49"},{"id":29,"name":"Sharepoint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748</v>
      </c>
      <c r="B64" s="7">
        <v>4064</v>
      </c>
      <c r="C64" s="21" t="s">
        <v>198</v>
      </c>
      <c r="D64" s="21" t="s">
        <v>505</v>
      </c>
      <c r="E64" s="13">
        <v>42965.41474537037</v>
      </c>
      <c r="F64" s="13">
        <v>42965.417199074072</v>
      </c>
      <c r="G64" s="7">
        <v>1</v>
      </c>
      <c r="H64" s="21" t="s">
        <v>890</v>
      </c>
      <c r="I64" s="13">
        <v>42965.442499999997</v>
      </c>
      <c r="J64" s="7">
        <v>0</v>
      </c>
      <c r="K64" s="89" t="str">
        <f t="shared" si="0"/>
        <v>4063/4064</v>
      </c>
      <c r="L64" s="21" t="str">
        <f>VLOOKUP(A64,'Trips&amp;Operators'!$C$1:$G$99999,5,FALSE)</f>
        <v>DAVIS WENDY</v>
      </c>
      <c r="M64" s="6">
        <f t="shared" si="1"/>
        <v>2.5300925924966577E-2</v>
      </c>
      <c r="N64" s="7">
        <f t="shared" si="25"/>
        <v>36.433333331951872</v>
      </c>
      <c r="O64" s="7"/>
      <c r="P64" s="7"/>
      <c r="Q64" s="22"/>
      <c r="R64" s="170"/>
      <c r="S64" s="213">
        <f t="shared" si="26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-18T08:57:14-0600',mode:absolute,to:'2017-08-18T11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4" s="197" t="str">
        <f>IF(AA64&lt;VLOOKUP(AG64,Variables!$AC$3:$AD$8,2,FALSE),"Y","N")</f>
        <v>N</v>
      </c>
      <c r="X64" s="197">
        <f t="shared" si="22"/>
        <v>1</v>
      </c>
      <c r="Y64" s="197">
        <f t="shared" si="23"/>
        <v>4.7500000000000001E-2</v>
      </c>
      <c r="Z64" s="197">
        <f t="shared" si="24"/>
        <v>23.333600000000001</v>
      </c>
      <c r="AA64" s="197">
        <f t="shared" si="9"/>
        <v>23.286100000000001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206">
        <f t="shared" si="10"/>
        <v>151</v>
      </c>
      <c r="AE64" s="77" t="str">
        <f t="shared" si="11"/>
        <v>aws s3 cp s3://rtdc.mdm.uploadarchive.raw/RTDC4064/ "%USERPROFILE%\AppData\Local\Temp\OnboardLogs"\RTDC4064\2017-08-18 --exclude "*" --recursive --include "*20170818*" &amp; "%USERPROFILE%\Documents\GitHub\mrs-test-scripts\Headless Mode &amp; Sideloading\WalkAndUnGZ.bat" "%USERPROFILE%\AppData\Local\Temp\OnboardLogs"\RTDC4064\2017-08-18 &amp; aws s3 cp s3://rtdc.mdm.uploadarchive.raw/RTDC4064/ "%USERPROFILE%\AppData\Local\Temp\OnboardLogs"\RTDC4064\2017-08-19 --exclude "*" --recursive --include "*20170819*" &amp; "%USERPROFILE%\Documents\GitHub\mrs-test-scripts\Headless Mode &amp; Sideloading\WalkAndUnGZ.bat" "%USERPROFILE%\AppData\Local\Temp\OnboardLogs"\RTDC4064\2017-08-19</v>
      </c>
      <c r="AF64" s="74" t="str">
        <f t="shared" si="12"/>
        <v>"C:\Program Files (x86)\AstroGrep\AstroGrep.exe" /e /r /s /spath="%USERPROFILE%\AppData\Local\Temp\OnboardLogs" /stypes="app*4064*20170818*"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151-18 --locoid 4064 --swversion DE.1.0.9.0 --startMP 204:475 --initTime 2017-08-18T09:57:14 --startdatetime 2017-08-18T10:00:46 --delay 1 --endMP 204:233336 --enddatetime 2017-08-18T10:37:12 --enforcementcount 0 &gt;&gt;C:\Users\stu\Documents\GitHub\eaglep3-reporting\EC\2017-08-18-refined-times.txt</v>
      </c>
      <c r="AI64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{"issue":{"subject":"","project_id":79,"tracker_id":40,"status_id":1,"priority_id":2,"assigned_to_id":23,"start_date":"2017-08-18","description":"","custom_fields":[{"id":1,"name":"Subdivision","value":"EC"},{"id":4,"name":"Milepost","value":"23.3336"},{"id":17,"name":"Train ID","value":"151-18"},{"id":16,"name":"Locomotive ID","value":"4064"},{"id":130,"name":"Impact","value":""},{"id":150,"name":"Time of Event (Mountain Time)","value":"10:37:12"},{"id":151,"name":"Denver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4064 --day 2017-08-18</v>
      </c>
      <c r="AN64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16:37:12"},{"id":29,"name":"Sharepoint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757</v>
      </c>
      <c r="B65" s="7">
        <v>4063</v>
      </c>
      <c r="C65" s="21" t="s">
        <v>198</v>
      </c>
      <c r="D65" s="21" t="s">
        <v>906</v>
      </c>
      <c r="E65" s="13">
        <v>42965.454340277778</v>
      </c>
      <c r="F65" s="13">
        <v>42965.456446759257</v>
      </c>
      <c r="G65" s="7">
        <v>1</v>
      </c>
      <c r="H65" s="21" t="s">
        <v>341</v>
      </c>
      <c r="I65" s="13">
        <v>42965.484050925923</v>
      </c>
      <c r="J65" s="7">
        <v>0</v>
      </c>
      <c r="K65" s="89" t="str">
        <f t="shared" si="0"/>
        <v>4063/4064</v>
      </c>
      <c r="L65" s="21" t="str">
        <f>VLOOKUP(A65,'Trips&amp;Operators'!$C$1:$G$99999,5,FALSE)</f>
        <v>DAVIS WENDY</v>
      </c>
      <c r="M65" s="6">
        <f t="shared" si="1"/>
        <v>2.7604166665696539E-2</v>
      </c>
      <c r="N65" s="7">
        <f t="shared" si="25"/>
        <v>39.749999998603016</v>
      </c>
      <c r="O65" s="7"/>
      <c r="P65" s="7"/>
      <c r="Q65" s="22"/>
      <c r="R65" s="170"/>
      <c r="S65" s="213">
        <f t="shared" si="26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-18T09:54:15-0600',mode:absolute,to:'2017-08-18T12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5" s="197" t="str">
        <f>IF(AA65&lt;VLOOKUP(AG65,Variables!$AC$3:$AD$8,2,FALSE),"Y","N")</f>
        <v>N</v>
      </c>
      <c r="X65" s="197">
        <f t="shared" si="22"/>
        <v>1</v>
      </c>
      <c r="Y65" s="197">
        <f t="shared" si="23"/>
        <v>23.302099999999999</v>
      </c>
      <c r="Z65" s="197">
        <f t="shared" si="24"/>
        <v>1.4999999999999999E-2</v>
      </c>
      <c r="AA65" s="197">
        <f t="shared" si="9"/>
        <v>23.287099999999999</v>
      </c>
      <c r="AB65" s="54" t="e">
        <f>VLOOKUP(A65,Enforcements!$C$7:$K$11,8,0)</f>
        <v>#N/A</v>
      </c>
      <c r="AC65" s="51" t="e">
        <f>VLOOKUP(A65,Enforcements!$C$7:$E$11,3,0)</f>
        <v>#N/A</v>
      </c>
      <c r="AD65" s="206">
        <f t="shared" si="10"/>
        <v>152</v>
      </c>
      <c r="AE65" s="77" t="str">
        <f t="shared" si="11"/>
        <v>aws s3 cp s3://rtdc.mdm.uploadarchive.raw/RTDC4063/ "%USERPROFILE%\AppData\Local\Temp\OnboardLogs"\RTDC4063\2017-08-18 --exclude "*" --recursive --include "*20170818*" &amp; "%USERPROFILE%\Documents\GitHub\mrs-test-scripts\Headless Mode &amp; Sideloading\WalkAndUnGZ.bat" "%USERPROFILE%\AppData\Local\Temp\OnboardLogs"\RTDC4063\2017-08-18 &amp; aws s3 cp s3://rtdc.mdm.uploadarchive.raw/RTDC4063/ "%USERPROFILE%\AppData\Local\Temp\OnboardLogs"\RTDC4063\2017-08-19 --exclude "*" --recursive --include "*20170819*" &amp; "%USERPROFILE%\Documents\GitHub\mrs-test-scripts\Headless Mode &amp; Sideloading\WalkAndUnGZ.bat" "%USERPROFILE%\AppData\Local\Temp\OnboardLogs"\RTDC4063\2017-08-19</v>
      </c>
      <c r="AF65" s="74" t="str">
        <f t="shared" si="12"/>
        <v>"C:\Program Files (x86)\AstroGrep\AstroGrep.exe" /e /r /s /spath="%USERPROFILE%\AppData\Local\Temp\OnboardLogs" /stypes="app*4063*20170818*"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152-18 --locoid 4063 --swversion DE.1.0.9.0 --startMP 204:233021 --initTime 2017-08-18T10:54:15 --startdatetime 2017-08-18T10:57:17 --delay 1 --endMP 204:150 --enddatetime 2017-08-18T11:37:02 --enforcementcount 0 &gt;&gt;C:\Users\stu\Documents\GitHub\eaglep3-reporting\EC\2017-08-18-refined-times.txt</v>
      </c>
      <c r="AI65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{"issue":{"subject":"","project_id":79,"tracker_id":40,"status_id":1,"priority_id":2,"assigned_to_id":23,"start_date":"2017-08-18","description":"","custom_fields":[{"id":1,"name":"Subdivision","value":"EC"},{"id":4,"name":"Milepost","value":"0.015"},{"id":17,"name":"Train ID","value":"152-18"},{"id":16,"name":"Locomotive ID","value":"4063"},{"id":130,"name":"Impact","value":""},{"id":150,"name":"Time of Event (Mountain Time)","value":"11:37:02"},{"id":151,"name":"Denver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4063 --day 2017-08-18</v>
      </c>
      <c r="AN65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17:37:02"},{"id":29,"name":"Sharepoint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749</v>
      </c>
      <c r="B66" s="7">
        <v>4040</v>
      </c>
      <c r="C66" s="21" t="s">
        <v>198</v>
      </c>
      <c r="D66" s="21" t="s">
        <v>374</v>
      </c>
      <c r="E66" s="13">
        <v>42965.422800925924</v>
      </c>
      <c r="F66" s="13">
        <v>42965.427615740744</v>
      </c>
      <c r="G66" s="7">
        <v>1</v>
      </c>
      <c r="H66" s="21" t="s">
        <v>508</v>
      </c>
      <c r="I66" s="13">
        <v>42965.452430555553</v>
      </c>
      <c r="J66" s="7">
        <v>0</v>
      </c>
      <c r="K66" s="89" t="str">
        <f t="shared" si="0"/>
        <v>4039/4040</v>
      </c>
      <c r="L66" s="21" t="str">
        <f>VLOOKUP(A66,'Trips&amp;Operators'!$C$1:$G$99999,5,FALSE)</f>
        <v>PAGE MARCUS</v>
      </c>
      <c r="M66" s="6">
        <f t="shared" si="1"/>
        <v>2.4814814809360541E-2</v>
      </c>
      <c r="N66" s="7">
        <f t="shared" si="25"/>
        <v>35.73333332547918</v>
      </c>
      <c r="O66" s="7"/>
      <c r="P66" s="7"/>
      <c r="Q66" s="22"/>
      <c r="R66" s="170"/>
      <c r="S66" s="213">
        <f t="shared" si="26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-18T09:08:50-0600',mode:absolute,to:'2017-08-18T11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6" s="197" t="str">
        <f>IF(AA66&lt;VLOOKUP(AG66,Variables!$AC$3:$AD$8,2,FALSE),"Y","N")</f>
        <v>N</v>
      </c>
      <c r="X66" s="197">
        <f t="shared" si="22"/>
        <v>1</v>
      </c>
      <c r="Y66" s="197">
        <f t="shared" si="23"/>
        <v>4.6199999999999998E-2</v>
      </c>
      <c r="Z66" s="197">
        <f t="shared" si="24"/>
        <v>23.329499999999999</v>
      </c>
      <c r="AA66" s="197">
        <f t="shared" si="9"/>
        <v>23.283300000000001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206">
        <f t="shared" si="10"/>
        <v>153</v>
      </c>
      <c r="AE66" s="77" t="str">
        <f t="shared" si="11"/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AF66" s="74" t="str">
        <f t="shared" si="12"/>
        <v>"C:\Program Files (x86)\AstroGrep\AstroGrep.exe" /e /r /s /spath="%USERPROFILE%\AppData\Local\Temp\OnboardLogs" /stypes="app*4040*20170818*"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153-18 --locoid 4040 --swversion DE.1.0.9.0 --startMP 204:462 --initTime 2017-08-18T10:08:50 --startdatetime 2017-08-18T10:15:46 --delay 1 --endMP 204:233295 --enddatetime 2017-08-18T10:51:30 --enforcementcount 0 &gt;&gt;C:\Users\stu\Documents\GitHub\eaglep3-reporting\EC\2017-08-18-refined-times.txt</v>
      </c>
      <c r="AI66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{"issue":{"subject":"","project_id":79,"tracker_id":40,"status_id":1,"priority_id":2,"assigned_to_id":23,"start_date":"2017-08-18","description":"","custom_fields":[{"id":1,"name":"Subdivision","value":"EC"},{"id":4,"name":"Milepost","value":"23.3295"},{"id":17,"name":"Train ID","value":"153-18"},{"id":16,"name":"Locomotive ID","value":"4040"},{"id":130,"name":"Impact","value":""},{"id":150,"name":"Time of Event (Mountain Time)","value":"10:51:30"},{"id":151,"name":"Denver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4040 --day 2017-08-18</v>
      </c>
      <c r="AN66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16:51:30"},{"id":29,"name":"Sharepoint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756</v>
      </c>
      <c r="B67" s="7">
        <v>4039</v>
      </c>
      <c r="C67" s="21" t="s">
        <v>198</v>
      </c>
      <c r="D67" s="21" t="s">
        <v>476</v>
      </c>
      <c r="E67" s="13">
        <v>42965.45412037037</v>
      </c>
      <c r="F67" s="13">
        <v>42965.466851851852</v>
      </c>
      <c r="G67" s="7">
        <v>1</v>
      </c>
      <c r="H67" s="21" t="s">
        <v>453</v>
      </c>
      <c r="I67" s="13">
        <v>42965.493321759262</v>
      </c>
      <c r="J67" s="7">
        <v>0</v>
      </c>
      <c r="K67" s="89" t="str">
        <f t="shared" si="0"/>
        <v>4039/4040</v>
      </c>
      <c r="L67" s="21" t="str">
        <f>VLOOKUP(A67,'Trips&amp;Operators'!$C$1:$G$99999,5,FALSE)</f>
        <v>PAGE MARCUS</v>
      </c>
      <c r="M67" s="6">
        <f t="shared" si="1"/>
        <v>2.6469907410501037E-2</v>
      </c>
      <c r="N67" s="7">
        <f t="shared" si="25"/>
        <v>38.116666671121493</v>
      </c>
      <c r="O67" s="7"/>
      <c r="P67" s="7"/>
      <c r="Q67" s="22"/>
      <c r="R67" s="170"/>
      <c r="S67" s="213">
        <f t="shared" si="26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-18T09:53:56-0600',mode:absolute,to:'2017-08-18T12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7" s="197" t="str">
        <f>IF(AA67&lt;VLOOKUP(AG67,Variables!$AC$3:$AD$8,2,FALSE),"Y","N")</f>
        <v>N</v>
      </c>
      <c r="X67" s="197">
        <f t="shared" si="22"/>
        <v>1</v>
      </c>
      <c r="Y67" s="197">
        <f t="shared" si="23"/>
        <v>23.299399999999999</v>
      </c>
      <c r="Z67" s="197">
        <f t="shared" si="24"/>
        <v>1.6E-2</v>
      </c>
      <c r="AA67" s="197">
        <f t="shared" si="9"/>
        <v>23.2834</v>
      </c>
      <c r="AB67" s="54" t="e">
        <f>VLOOKUP(A67,Enforcements!$C$7:$K$11,8,0)</f>
        <v>#N/A</v>
      </c>
      <c r="AC67" s="51" t="e">
        <f>VLOOKUP(A67,Enforcements!$C$7:$E$11,3,0)</f>
        <v>#N/A</v>
      </c>
      <c r="AD67" s="206">
        <f t="shared" si="10"/>
        <v>154</v>
      </c>
      <c r="AE67" s="77" t="str">
        <f t="shared" si="11"/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AF67" s="74" t="str">
        <f t="shared" si="12"/>
        <v>"C:\Program Files (x86)\AstroGrep\AstroGrep.exe" /e /r /s /spath="%USERPROFILE%\AppData\Local\Temp\OnboardLogs" /stypes="app*4039*20170818*"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154-18 --locoid 4039 --swversion DE.1.0.9.0 --startMP 204:232994 --initTime 2017-08-18T10:53:56 --startdatetime 2017-08-18T11:12:16 --delay 1 --endMP 204:160 --enddatetime 2017-08-18T11:50:23 --enforcementcount 0 &gt;&gt;C:\Users\stu\Documents\GitHub\eaglep3-reporting\EC\2017-08-18-refined-times.txt</v>
      </c>
      <c r="AI67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{"issue":{"subject":"","project_id":79,"tracker_id":40,"status_id":1,"priority_id":2,"assigned_to_id":23,"start_date":"2017-08-18","description":"","custom_fields":[{"id":1,"name":"Subdivision","value":"EC"},{"id":4,"name":"Milepost","value":"0.016"},{"id":17,"name":"Train ID","value":"154-18"},{"id":16,"name":"Locomotive ID","value":"4039"},{"id":130,"name":"Impact","value":""},{"id":150,"name":"Time of Event (Mountain Time)","value":"11:50:23"},{"id":151,"name":"Denver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4039 --day 2017-08-18</v>
      </c>
      <c r="AN67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17:50:23"},{"id":29,"name":"Sharepoint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751</v>
      </c>
      <c r="B68" s="7">
        <v>4050</v>
      </c>
      <c r="C68" s="21" t="s">
        <v>198</v>
      </c>
      <c r="D68" s="21" t="s">
        <v>559</v>
      </c>
      <c r="E68" s="13">
        <v>42965.433356481481</v>
      </c>
      <c r="F68" s="13">
        <v>42965.438009259262</v>
      </c>
      <c r="G68" s="7">
        <v>1</v>
      </c>
      <c r="H68" s="21" t="s">
        <v>473</v>
      </c>
      <c r="I68" s="13">
        <v>42965.462939814817</v>
      </c>
      <c r="J68" s="7">
        <v>0</v>
      </c>
      <c r="K68" s="89" t="str">
        <f t="shared" si="0"/>
        <v>4049/4050</v>
      </c>
      <c r="L68" s="21" t="str">
        <f>VLOOKUP(A68,'Trips&amp;Operators'!$C$1:$G$99999,5,FALSE)</f>
        <v>BIRKHOLZ NADINE</v>
      </c>
      <c r="M68" s="6">
        <f t="shared" si="1"/>
        <v>2.4930555555329192E-2</v>
      </c>
      <c r="N68" s="7">
        <f t="shared" si="25"/>
        <v>35.899999999674037</v>
      </c>
      <c r="O68" s="7"/>
      <c r="P68" s="7"/>
      <c r="Q68" s="22"/>
      <c r="R68" s="170"/>
      <c r="S68" s="213">
        <f t="shared" si="26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-18T09:24:02-0600',mode:absolute,to:'2017-08-18T12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8" s="197" t="str">
        <f>IF(AA68&lt;VLOOKUP(AG68,Variables!$AC$3:$AD$8,2,FALSE),"Y","N")</f>
        <v>N</v>
      </c>
      <c r="X68" s="197">
        <f t="shared" si="22"/>
        <v>1</v>
      </c>
      <c r="Y68" s="197">
        <f t="shared" si="23"/>
        <v>4.3999999999999997E-2</v>
      </c>
      <c r="Z68" s="197">
        <f t="shared" si="24"/>
        <v>23.3293</v>
      </c>
      <c r="AA68" s="197">
        <f t="shared" si="9"/>
        <v>23.285299999999999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206">
        <f t="shared" si="10"/>
        <v>155</v>
      </c>
      <c r="AE68" s="77" t="str">
        <f t="shared" si="11"/>
        <v>aws s3 cp s3://rtdc.mdm.uploadarchive.raw/RTDC4050/ "%USERPROFILE%\AppData\Local\Temp\OnboardLogs"\RTDC4050\2017-08-18 --exclude "*" --recursive --include "*20170818*" &amp; "%USERPROFILE%\Documents\GitHub\mrs-test-scripts\Headless Mode &amp; Sideloading\WalkAndUnGZ.bat" "%USERPROFILE%\AppData\Local\Temp\OnboardLogs"\RTDC4050\2017-08-18 &amp; aws s3 cp s3://rtdc.mdm.uploadarchive.raw/RTDC4050/ "%USERPROFILE%\AppData\Local\Temp\OnboardLogs"\RTDC4050\2017-08-19 --exclude "*" --recursive --include "*20170819*" &amp; "%USERPROFILE%\Documents\GitHub\mrs-test-scripts\Headless Mode &amp; Sideloading\WalkAndUnGZ.bat" "%USERPROFILE%\AppData\Local\Temp\OnboardLogs"\RTDC4050\2017-08-19</v>
      </c>
      <c r="AF68" s="74" t="str">
        <f t="shared" si="12"/>
        <v>"C:\Program Files (x86)\AstroGrep\AstroGrep.exe" /e /r /s /spath="%USERPROFILE%\AppData\Local\Temp\OnboardLogs" /stypes="app*4050*20170818*"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155-18 --locoid 4050 --swversion DE.1.0.9.0 --startMP 204:440 --initTime 2017-08-18T10:24:02 --startdatetime 2017-08-18T10:30:44 --delay 1 --endMP 204:233293 --enddatetime 2017-08-18T11:06:38 --enforcementcount 0 &gt;&gt;C:\Users\stu\Documents\GitHub\eaglep3-reporting\EC\2017-08-18-refined-times.txt</v>
      </c>
      <c r="AI68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{"issue":{"subject":"","project_id":79,"tracker_id":40,"status_id":1,"priority_id":2,"assigned_to_id":23,"start_date":"2017-08-18","description":"","custom_fields":[{"id":1,"name":"Subdivision","value":"EC"},{"id":4,"name":"Milepost","value":"23.3293"},{"id":17,"name":"Train ID","value":"155-18"},{"id":16,"name":"Locomotive ID","value":"4050"},{"id":130,"name":"Impact","value":""},{"id":150,"name":"Time of Event (Mountain Time)","value":"11:06:38"},{"id":151,"name":"Denver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4050 --day 2017-08-18</v>
      </c>
      <c r="AN68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17:06:38"},{"id":29,"name":"Sharepoint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759</v>
      </c>
      <c r="B69" s="7">
        <v>4049</v>
      </c>
      <c r="C69" s="21" t="s">
        <v>198</v>
      </c>
      <c r="D69" s="21" t="s">
        <v>599</v>
      </c>
      <c r="E69" s="13">
        <v>42965.465636574074</v>
      </c>
      <c r="F69" s="13">
        <v>42965.477256944447</v>
      </c>
      <c r="G69" s="7">
        <v>1</v>
      </c>
      <c r="H69" s="21" t="s">
        <v>342</v>
      </c>
      <c r="I69" s="13">
        <v>42965.505601851852</v>
      </c>
      <c r="J69" s="7">
        <v>0</v>
      </c>
      <c r="K69" s="89" t="str">
        <f t="shared" si="0"/>
        <v>4049/4050</v>
      </c>
      <c r="L69" s="21" t="str">
        <f>VLOOKUP(A69,'Trips&amp;Operators'!$C$1:$G$99999,5,FALSE)</f>
        <v>BIRKHOLZ NADINE</v>
      </c>
      <c r="M69" s="6">
        <f t="shared" si="1"/>
        <v>2.8344907404971309E-2</v>
      </c>
      <c r="N69" s="7">
        <f t="shared" si="25"/>
        <v>40.816666663158685</v>
      </c>
      <c r="O69" s="7"/>
      <c r="P69" s="7"/>
      <c r="Q69" s="22"/>
      <c r="R69" s="170"/>
      <c r="S69" s="213">
        <f t="shared" si="26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-18T10:10:31-0600',mode:absolute,to:'2017-08-18T13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9" s="197" t="str">
        <f>IF(AA69&lt;VLOOKUP(AG69,Variables!$AC$3:$AD$8,2,FALSE),"Y","N")</f>
        <v>N</v>
      </c>
      <c r="X69" s="197">
        <f t="shared" si="22"/>
        <v>1</v>
      </c>
      <c r="Y69" s="197">
        <f t="shared" si="23"/>
        <v>23.297999999999998</v>
      </c>
      <c r="Z69" s="197">
        <f t="shared" si="24"/>
        <v>1.49E-2</v>
      </c>
      <c r="AA69" s="197">
        <f t="shared" si="9"/>
        <v>23.283099999999997</v>
      </c>
      <c r="AB69" s="54" t="e">
        <f>VLOOKUP(A69,Enforcements!$C$7:$K$11,8,0)</f>
        <v>#N/A</v>
      </c>
      <c r="AC69" s="51" t="e">
        <f>VLOOKUP(A69,Enforcements!$C$7:$E$11,3,0)</f>
        <v>#N/A</v>
      </c>
      <c r="AD69" s="206">
        <f t="shared" si="10"/>
        <v>156</v>
      </c>
      <c r="AE69" s="77" t="str">
        <f t="shared" si="11"/>
        <v>aws s3 cp s3://rtdc.mdm.uploadarchive.raw/RTDC4049/ "%USERPROFILE%\AppData\Local\Temp\OnboardLogs"\RTDC4049\2017-08-18 --exclude "*" --recursive --include "*20170818*" &amp; "%USERPROFILE%\Documents\GitHub\mrs-test-scripts\Headless Mode &amp; Sideloading\WalkAndUnGZ.bat" "%USERPROFILE%\AppData\Local\Temp\OnboardLogs"\RTDC4049\2017-08-18 &amp; aws s3 cp s3://rtdc.mdm.uploadarchive.raw/RTDC4049/ "%USERPROFILE%\AppData\Local\Temp\OnboardLogs"\RTDC4049\2017-08-19 --exclude "*" --recursive --include "*20170819*" &amp; "%USERPROFILE%\Documents\GitHub\mrs-test-scripts\Headless Mode &amp; Sideloading\WalkAndUnGZ.bat" "%USERPROFILE%\AppData\Local\Temp\OnboardLogs"\RTDC4049\2017-08-19</v>
      </c>
      <c r="AF69" s="74" t="str">
        <f t="shared" si="12"/>
        <v>"C:\Program Files (x86)\AstroGrep\AstroGrep.exe" /e /r /s /spath="%USERPROFILE%\AppData\Local\Temp\OnboardLogs" /stypes="app*4049*20170818*"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156-18 --locoid 4049 --swversion DE.1.0.9.0 --startMP 204:232980 --initTime 2017-08-18T11:10:31 --startdatetime 2017-08-18T11:27:15 --delay 1 --endMP 204:149 --enddatetime 2017-08-18T12:08:04 --enforcementcount 0 &gt;&gt;C:\Users\stu\Documents\GitHub\eaglep3-reporting\EC\2017-08-18-refined-times.txt</v>
      </c>
      <c r="AI69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{"issue":{"subject":"","project_id":79,"tracker_id":40,"status_id":1,"priority_id":2,"assigned_to_id":23,"start_date":"2017-08-18","description":"","custom_fields":[{"id":1,"name":"Subdivision","value":"EC"},{"id":4,"name":"Milepost","value":"0.0149"},{"id":17,"name":"Train ID","value":"156-18"},{"id":16,"name":"Locomotive ID","value":"4049"},{"id":130,"name":"Impact","value":""},{"id":150,"name":"Time of Event (Mountain Time)","value":"12:08:04"},{"id":151,"name":"Denver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4049 --day 2017-08-18</v>
      </c>
      <c r="AN69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18:08:04"},{"id":29,"name":"Sharepoint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658</v>
      </c>
      <c r="B70" s="7">
        <v>4012</v>
      </c>
      <c r="C70" s="21" t="s">
        <v>198</v>
      </c>
      <c r="D70" s="21" t="s">
        <v>471</v>
      </c>
      <c r="E70" s="13">
        <v>42965.443761574075</v>
      </c>
      <c r="F70" s="13">
        <v>42965.448437500003</v>
      </c>
      <c r="G70" s="7">
        <v>1</v>
      </c>
      <c r="H70" s="21" t="s">
        <v>518</v>
      </c>
      <c r="I70" s="13">
        <v>42965.473564814813</v>
      </c>
      <c r="J70" s="7">
        <v>0</v>
      </c>
      <c r="K70" s="89" t="str">
        <f t="shared" si="0"/>
        <v>4011/4012</v>
      </c>
      <c r="L70" s="21" t="str">
        <f>VLOOKUP(A70,'Trips&amp;Operators'!$C$1:$G$99999,5,FALSE)</f>
        <v>SULLIVAN BRANDON</v>
      </c>
      <c r="M70" s="6">
        <f t="shared" si="1"/>
        <v>2.512731480965158E-2</v>
      </c>
      <c r="N70" s="7">
        <f t="shared" si="25"/>
        <v>36.183333325898275</v>
      </c>
      <c r="O70" s="7"/>
      <c r="P70" s="7"/>
      <c r="Q70" s="22"/>
      <c r="R70" s="170"/>
      <c r="S70" s="213">
        <f t="shared" si="26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-18T09:39:01-0600',mode:absolute,to:'2017-08-18T12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197" t="str">
        <f>IF(AA70&lt;VLOOKUP(AG70,Variables!$AC$3:$AD$8,2,FALSE),"Y","N")</f>
        <v>N</v>
      </c>
      <c r="X70" s="197">
        <f t="shared" si="22"/>
        <v>1</v>
      </c>
      <c r="Y70" s="197">
        <f t="shared" si="23"/>
        <v>4.6600000000000003E-2</v>
      </c>
      <c r="Z70" s="197">
        <f t="shared" si="24"/>
        <v>23.332100000000001</v>
      </c>
      <c r="AA70" s="197">
        <f t="shared" si="9"/>
        <v>23.285499999999999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206">
        <f t="shared" si="10"/>
        <v>157</v>
      </c>
      <c r="AE70" s="77" t="str">
        <f t="shared" si="11"/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AF70" s="74" t="str">
        <f t="shared" si="12"/>
        <v>"C:\Program Files (x86)\AstroGrep\AstroGrep.exe" /e /r /s /spath="%USERPROFILE%\AppData\Local\Temp\OnboardLogs" /stypes="app*4012*20170818*"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157-18 --locoid 4012 --swversion DE.1.0.9.0 --startMP 204:466 --initTime 2017-08-18T10:39:01 --startdatetime 2017-08-18T10:45:45 --delay 1 --endMP 204:233321 --enddatetime 2017-08-18T11:21:56 --enforcementcount 0 &gt;&gt;C:\Users\stu\Documents\GitHub\eaglep3-reporting\EC\2017-08-18-refined-times.txt</v>
      </c>
      <c r="AI70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{"issue":{"subject":"","project_id":79,"tracker_id":40,"status_id":1,"priority_id":2,"assigned_to_id":23,"start_date":"2017-08-18","description":"","custom_fields":[{"id":1,"name":"Subdivision","value":"EC"},{"id":4,"name":"Milepost","value":"23.3321"},{"id":17,"name":"Train ID","value":"157-18"},{"id":16,"name":"Locomotive ID","value":"4012"},{"id":130,"name":"Impact","value":""},{"id":150,"name":"Time of Event (Mountain Time)","value":"11:21:56"},{"id":151,"name":"Denver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4012 --day 2017-08-18</v>
      </c>
      <c r="AN70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17:21:56"},{"id":29,"name":"Sharepoint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764</v>
      </c>
      <c r="B71" s="7">
        <v>4011</v>
      </c>
      <c r="C71" s="21" t="s">
        <v>198</v>
      </c>
      <c r="D71" s="21" t="s">
        <v>476</v>
      </c>
      <c r="E71" s="13">
        <v>42965.480949074074</v>
      </c>
      <c r="F71" s="13">
        <v>42965.487696759257</v>
      </c>
      <c r="G71" s="7">
        <v>1</v>
      </c>
      <c r="H71" s="21" t="s">
        <v>560</v>
      </c>
      <c r="I71" s="13">
        <v>42965.515925925924</v>
      </c>
      <c r="J71" s="7">
        <v>0</v>
      </c>
      <c r="K71" s="89" t="str">
        <f t="shared" si="0"/>
        <v>4011/4012</v>
      </c>
      <c r="L71" s="21" t="str">
        <f>VLOOKUP(A71,'Trips&amp;Operators'!$C$1:$G$99999,5,FALSE)</f>
        <v>SULLIVAN BRANDON</v>
      </c>
      <c r="M71" s="6">
        <f t="shared" si="1"/>
        <v>2.8229166666278616E-2</v>
      </c>
      <c r="N71" s="7">
        <f t="shared" si="25"/>
        <v>40.649999999441206</v>
      </c>
      <c r="O71" s="7"/>
      <c r="P71" s="7"/>
      <c r="Q71" s="22"/>
      <c r="R71" s="170"/>
      <c r="S71" s="213">
        <f t="shared" si="26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-18T10:32:34-0600',mode:absolute,to:'2017-08-18T13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1" s="197" t="str">
        <f>IF(AA71&lt;VLOOKUP(AG71,Variables!$AC$3:$AD$8,2,FALSE),"Y","N")</f>
        <v>N</v>
      </c>
      <c r="X71" s="197">
        <f t="shared" si="22"/>
        <v>1</v>
      </c>
      <c r="Y71" s="197">
        <f t="shared" si="23"/>
        <v>23.299399999999999</v>
      </c>
      <c r="Z71" s="197">
        <f t="shared" si="24"/>
        <v>1.3599999999999999E-2</v>
      </c>
      <c r="AA71" s="197">
        <f t="shared" si="9"/>
        <v>23.285799999999998</v>
      </c>
      <c r="AB71" s="54" t="e">
        <f>VLOOKUP(A71,Enforcements!$C$7:$K$11,8,0)</f>
        <v>#N/A</v>
      </c>
      <c r="AC71" s="51" t="e">
        <f>VLOOKUP(A71,Enforcements!$C$7:$E$11,3,0)</f>
        <v>#N/A</v>
      </c>
      <c r="AD71" s="206">
        <f t="shared" si="10"/>
        <v>158</v>
      </c>
      <c r="AE71" s="77" t="str">
        <f t="shared" si="11"/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AF71" s="74" t="str">
        <f t="shared" si="12"/>
        <v>"C:\Program Files (x86)\AstroGrep\AstroGrep.exe" /e /r /s /spath="%USERPROFILE%\AppData\Local\Temp\OnboardLogs" /stypes="app*4011*20170818*"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158-18 --locoid 4011 --swversion DE.1.0.9.0 --startMP 204:232994 --initTime 2017-08-18T11:32:34 --startdatetime 2017-08-18T11:42:17 --delay 1 --endMP 204:136 --enddatetime 2017-08-18T12:22:56 --enforcementcount 0 &gt;&gt;C:\Users\stu\Documents\GitHub\eaglep3-reporting\EC\2017-08-18-refined-times.txt</v>
      </c>
      <c r="AI71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{"issue":{"subject":"","project_id":79,"tracker_id":40,"status_id":1,"priority_id":2,"assigned_to_id":23,"start_date":"2017-08-18","description":"","custom_fields":[{"id":1,"name":"Subdivision","value":"EC"},{"id":4,"name":"Milepost","value":"0.0136"},{"id":17,"name":"Train ID","value":"158-18"},{"id":16,"name":"Locomotive ID","value":"4011"},{"id":130,"name":"Impact","value":""},{"id":150,"name":"Time of Event (Mountain Time)","value":"12:22:56"},{"id":151,"name":"Denver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4011 --day 2017-08-18</v>
      </c>
      <c r="AN71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18:22:56"},{"id":29,"name":"Sharepoint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758</v>
      </c>
      <c r="B72" s="7">
        <v>4018</v>
      </c>
      <c r="C72" s="21" t="s">
        <v>198</v>
      </c>
      <c r="D72" s="21" t="s">
        <v>403</v>
      </c>
      <c r="E72" s="13">
        <v>42965.456863425927</v>
      </c>
      <c r="F72" s="13">
        <v>42965.472337962965</v>
      </c>
      <c r="G72" s="7">
        <v>1</v>
      </c>
      <c r="H72" s="21" t="s">
        <v>907</v>
      </c>
      <c r="I72" s="13">
        <v>42965.473449074074</v>
      </c>
      <c r="J72" s="7">
        <v>0</v>
      </c>
      <c r="K72" s="89" t="str">
        <f t="shared" si="0"/>
        <v>4017/4018</v>
      </c>
      <c r="L72" s="21" t="str">
        <f>VLOOKUP(A72,'Trips&amp;Operators'!$C$1:$G$99999,5,FALSE)</f>
        <v>LOZA FIDEL</v>
      </c>
      <c r="M72" s="6">
        <f t="shared" si="1"/>
        <v>1.111111108912155E-3</v>
      </c>
      <c r="N72" s="7"/>
      <c r="O72" s="7"/>
      <c r="P72" s="7">
        <f>24*60*SUM($M72:$M72)</f>
        <v>1.5999999968335032</v>
      </c>
      <c r="Q72" s="22"/>
      <c r="R72" s="170" t="s">
        <v>483</v>
      </c>
      <c r="S72" s="213">
        <f t="shared" si="26"/>
        <v>0.5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6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-18T09:57:53-0600',mode:absolute,to:'2017-08-18T12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2" s="197" t="str">
        <f>IF(AA72&lt;VLOOKUP(AG72,Variables!$AC$3:$AD$8,2,FALSE),"Y","N")</f>
        <v>Y</v>
      </c>
      <c r="X72" s="197">
        <f t="shared" si="22"/>
        <v>1</v>
      </c>
      <c r="Y72" s="197">
        <f t="shared" si="23"/>
        <v>4.58E-2</v>
      </c>
      <c r="Z72" s="197">
        <f t="shared" si="24"/>
        <v>5.6744000000000003</v>
      </c>
      <c r="AA72" s="197">
        <f t="shared" si="9"/>
        <v>5.6286000000000005</v>
      </c>
      <c r="AB72" s="54" t="e">
        <f>VLOOKUP(A72,Enforcements!$C$7:$K$11,8,0)</f>
        <v>#N/A</v>
      </c>
      <c r="AC72" s="51" t="e">
        <f>VLOOKUP(A72,Enforcements!$C$7:$E$11,3,0)</f>
        <v>#N/A</v>
      </c>
      <c r="AD72" s="206">
        <f t="shared" si="10"/>
        <v>159</v>
      </c>
      <c r="AE72" s="77" t="str">
        <f t="shared" si="11"/>
        <v>aws s3 cp s3://rtdc.mdm.uploadarchive.raw/RTDC4018/ "%USERPROFILE%\AppData\Local\Temp\OnboardLogs"\RTDC4018\2017-08-18 --exclude "*" --recursive --include "*20170818*" &amp; "%USERPROFILE%\Documents\GitHub\mrs-test-scripts\Headless Mode &amp; Sideloading\WalkAndUnGZ.bat" "%USERPROFILE%\AppData\Local\Temp\OnboardLogs"\RTDC4018\2017-08-18 &amp; aws s3 cp s3://rtdc.mdm.uploadarchive.raw/RTDC4018/ "%USERPROFILE%\AppData\Local\Temp\OnboardLogs"\RTDC4018\2017-08-19 --exclude "*" --recursive --include "*20170819*" &amp; "%USERPROFILE%\Documents\GitHub\mrs-test-scripts\Headless Mode &amp; Sideloading\WalkAndUnGZ.bat" "%USERPROFILE%\AppData\Local\Temp\OnboardLogs"\RTDC4018\2017-08-19</v>
      </c>
      <c r="AF72" s="74" t="str">
        <f t="shared" si="12"/>
        <v>"C:\Program Files (x86)\AstroGrep\AstroGrep.exe" /e /r /s /spath="%USERPROFILE%\AppData\Local\Temp\OnboardLogs" /stypes="app*4018*20170818*"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159-18 --locoid 4018 --swversion DE.1.0.9.0 --startMP 204:458 --initTime 2017-08-18T10:57:53 --startdatetime 2017-08-18T11:20:10 --delay 1 --endMP 204:56744 --enddatetime 2017-08-18T11:21:46 --enforcementcount 0 &gt;&gt;C:\Users\stu\Documents\GitHub\eaglep3-reporting\EC\2017-08-18-refined-times.txt</v>
      </c>
      <c r="AI72" s="96" t="str">
        <f t="shared" si="19"/>
        <v>echo {"issue":{"subject":"Wi-MAX data drop","project_id":79,"tracker_id":40,"status_id":1,"priority_id":2,"assigned_to_id":23,"start_date":"2017-08-18","description":"","custom_fields":[{"id":1,"name":"Subdivision","value":"EC"},{"id":4,"name":"Milepost","value":"5.6744"},{"id":17,"name":"Train ID","value":"159-18"},{"id":16,"name":"Locomotive ID","value":"4018"},{"id":130,"name":"Impact","value":""},{"id":150,"name":"Time of Event (Mountain Time)","value":"11:21:46"},{"id":151,"name":"Denver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4018 --day 2017-08-18</v>
      </c>
      <c r="AN72" s="151" t="str">
        <f t="shared" si="21"/>
        <v>echo {"issue":{"subject":"Wi-MAX data drop","project_id":30,"tracker_id":4,"status_id":1,"priority_id":1,"assigned_to_id":10,"start_date":"2017-08-18","description":"","custom_fields":[{"id":30,"name":"Category","value":"Issue"},{"id":3,"name":"Functional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17:21:46"},{"id":29,"name":"Sharepoint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758</v>
      </c>
      <c r="B73" s="7">
        <v>4018</v>
      </c>
      <c r="C73" s="21" t="s">
        <v>198</v>
      </c>
      <c r="D73" s="21" t="s">
        <v>908</v>
      </c>
      <c r="E73" s="13">
        <v>42965.471296296295</v>
      </c>
      <c r="F73" s="13">
        <v>42965.472337962965</v>
      </c>
      <c r="G73" s="7">
        <v>1</v>
      </c>
      <c r="H73" s="21" t="s">
        <v>909</v>
      </c>
      <c r="I73" s="13">
        <v>42965.473449074074</v>
      </c>
      <c r="J73" s="7">
        <v>0</v>
      </c>
      <c r="K73" s="89" t="str">
        <f t="shared" si="0"/>
        <v>4017/4018</v>
      </c>
      <c r="L73" s="21" t="str">
        <f>VLOOKUP(A73,'Trips&amp;Operators'!$C$1:$G$99999,5,FALSE)</f>
        <v>LOZA FIDEL</v>
      </c>
      <c r="M73" s="6">
        <f t="shared" si="1"/>
        <v>1.111111108912155E-3</v>
      </c>
      <c r="N73" s="7"/>
      <c r="O73" s="7"/>
      <c r="P73" s="7"/>
      <c r="Q73" s="22"/>
      <c r="R73" s="170"/>
      <c r="S73" s="213"/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0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-18T10:18:40-0600',mode:absolute,to:'2017-08-18T12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197" t="str">
        <f>IF(AA73&lt;VLOOKUP(AG73,Variables!$AC$3:$AD$8,2,FALSE),"Y","N")</f>
        <v>Y</v>
      </c>
      <c r="X73" s="197">
        <f t="shared" si="22"/>
        <v>0</v>
      </c>
      <c r="Y73" s="197">
        <f t="shared" si="23"/>
        <v>6.4694000000000003</v>
      </c>
      <c r="Z73" s="197">
        <f t="shared" si="24"/>
        <v>6.8140000000000001</v>
      </c>
      <c r="AA73" s="197">
        <f t="shared" si="9"/>
        <v>0.3445999999999998</v>
      </c>
      <c r="AB73" s="54" t="e">
        <f>VLOOKUP(A73,Enforcements!$C$7:$K$11,8,0)</f>
        <v>#N/A</v>
      </c>
      <c r="AC73" s="51" t="e">
        <f>VLOOKUP(A73,Enforcements!$C$7:$E$11,3,0)</f>
        <v>#N/A</v>
      </c>
      <c r="AD73" s="206">
        <f t="shared" si="10"/>
        <v>159</v>
      </c>
      <c r="AE73" s="77" t="str">
        <f t="shared" si="11"/>
        <v>aws s3 cp s3://rtdc.mdm.uploadarchive.raw/RTDC4018/ "%USERPROFILE%\AppData\Local\Temp\OnboardLogs"\RTDC4018\2017-08-18 --exclude "*" --recursive --include "*20170818*" &amp; "%USERPROFILE%\Documents\GitHub\mrs-test-scripts\Headless Mode &amp; Sideloading\WalkAndUnGZ.bat" "%USERPROFILE%\AppData\Local\Temp\OnboardLogs"\RTDC4018\2017-08-18 &amp; aws s3 cp s3://rtdc.mdm.uploadarchive.raw/RTDC4018/ "%USERPROFILE%\AppData\Local\Temp\OnboardLogs"\RTDC4018\2017-08-19 --exclude "*" --recursive --include "*20170819*" &amp; "%USERPROFILE%\Documents\GitHub\mrs-test-scripts\Headless Mode &amp; Sideloading\WalkAndUnGZ.bat" "%USERPROFILE%\AppData\Local\Temp\OnboardLogs"\RTDC4018\2017-08-19</v>
      </c>
      <c r="AF73" s="74" t="str">
        <f t="shared" si="12"/>
        <v>"C:\Program Files (x86)\AstroGrep\AstroGrep.exe" /e /r /s /spath="%USERPROFILE%\AppData\Local\Temp\OnboardLogs" /stypes="app*4018*20170818*"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159-18 --locoid 4018 --swversion DE.1.0.9.0 --startMP 204:64694 --initTime 2017-08-18T11:18:40 --startdatetime 2017-08-18T11:20:10 --delay 1 --endMP 204:68140 --enddatetime 2017-08-18T11:21:46 --enforcementcount 0 &gt;&gt;C:\Users\stu\Documents\GitHub\eaglep3-reporting\EC\2017-08-18-refined-times.txt</v>
      </c>
      <c r="AI73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{"issue":{"subject":"","project_id":79,"tracker_id":40,"status_id":1,"priority_id":2,"assigned_to_id":23,"start_date":"2017-08-18","description":"","custom_fields":[{"id":1,"name":"Subdivision","value":"EC"},{"id":4,"name":"Milepost","value":"6.814"},{"id":17,"name":"Train ID","value":"159-18"},{"id":16,"name":"Locomotive ID","value":"4018"},{"id":130,"name":"Impact","value":""},{"id":150,"name":"Time of Event (Mountain Time)","value":"11:21:46"},{"id":151,"name":"Denver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4018 --day 2017-08-18</v>
      </c>
      <c r="AN73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17:21:46"},{"id":29,"name":"Sharepoint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767</v>
      </c>
      <c r="B74" s="7">
        <v>4017</v>
      </c>
      <c r="C74" s="21" t="s">
        <v>198</v>
      </c>
      <c r="D74" s="21" t="s">
        <v>460</v>
      </c>
      <c r="E74" s="13">
        <v>42965.495972222219</v>
      </c>
      <c r="F74" s="13">
        <v>42965.498437499999</v>
      </c>
      <c r="G74" s="7">
        <v>1</v>
      </c>
      <c r="H74" s="21" t="s">
        <v>506</v>
      </c>
      <c r="I74" s="13">
        <v>42965.524409722224</v>
      </c>
      <c r="J74" s="7">
        <v>0</v>
      </c>
      <c r="K74" s="89" t="str">
        <f t="shared" si="0"/>
        <v>4017/4018</v>
      </c>
      <c r="L74" s="21" t="str">
        <f>VLOOKUP(A74,'Trips&amp;Operators'!$C$1:$G$99999,5,FALSE)</f>
        <v>LOZA FIDEL</v>
      </c>
      <c r="M74" s="6">
        <f t="shared" si="1"/>
        <v>2.5972222225391306E-2</v>
      </c>
      <c r="N74" s="7">
        <f t="shared" ref="N74:N85" si="27">24*60*SUM($M74:$M74)</f>
        <v>37.400000004563481</v>
      </c>
      <c r="O74" s="7"/>
      <c r="P74" s="7"/>
      <c r="Q74" s="22"/>
      <c r="R74" s="170"/>
      <c r="S74" s="213">
        <f t="shared" ref="S74:S105" si="28">1/IF(AG74="EC",12,1)*SUM(U74:U74)</f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-18T10:54:12-0600',mode:absolute,to:'2017-08-18T13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4" s="197" t="str">
        <f>IF(AA74&lt;VLOOKUP(AG74,Variables!$AC$3:$AD$8,2,FALSE),"Y","N")</f>
        <v>N</v>
      </c>
      <c r="X74" s="197">
        <f t="shared" si="22"/>
        <v>1</v>
      </c>
      <c r="Y74" s="197">
        <f t="shared" si="23"/>
        <v>23.297699999999999</v>
      </c>
      <c r="Z74" s="197">
        <f t="shared" si="24"/>
        <v>1.5599999999999999E-2</v>
      </c>
      <c r="AA74" s="197">
        <f t="shared" si="9"/>
        <v>23.2821</v>
      </c>
      <c r="AB74" s="54" t="e">
        <f>VLOOKUP(A74,Enforcements!$C$7:$K$11,8,0)</f>
        <v>#N/A</v>
      </c>
      <c r="AC74" s="51" t="e">
        <f>VLOOKUP(A74,Enforcements!$C$7:$E$11,3,0)</f>
        <v>#N/A</v>
      </c>
      <c r="AD74" s="206">
        <f t="shared" si="10"/>
        <v>160</v>
      </c>
      <c r="AE74" s="77" t="str">
        <f t="shared" si="11"/>
        <v>aws s3 cp s3://rtdc.mdm.uploadarchive.raw/RTDC4017/ "%USERPROFILE%\AppData\Local\Temp\OnboardLogs"\RTDC4017\2017-08-18 --exclude "*" --recursive --include "*20170818*" &amp; "%USERPROFILE%\Documents\GitHub\mrs-test-scripts\Headless Mode &amp; Sideloading\WalkAndUnGZ.bat" "%USERPROFILE%\AppData\Local\Temp\OnboardLogs"\RTDC4017\2017-08-18 &amp; aws s3 cp s3://rtdc.mdm.uploadarchive.raw/RTDC4017/ "%USERPROFILE%\AppData\Local\Temp\OnboardLogs"\RTDC4017\2017-08-19 --exclude "*" --recursive --include "*20170819*" &amp; "%USERPROFILE%\Documents\GitHub\mrs-test-scripts\Headless Mode &amp; Sideloading\WalkAndUnGZ.bat" "%USERPROFILE%\AppData\Local\Temp\OnboardLogs"\RTDC4017\2017-08-19</v>
      </c>
      <c r="AF74" s="74" t="str">
        <f t="shared" si="12"/>
        <v>"C:\Program Files (x86)\AstroGrep\AstroGrep.exe" /e /r /s /spath="%USERPROFILE%\AppData\Local\Temp\OnboardLogs" /stypes="app*4017*20170818*"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160-18 --locoid 4017 --swversion DE.1.0.9.0 --startMP 204:232977 --initTime 2017-08-18T11:54:12 --startdatetime 2017-08-18T11:57:45 --delay 1 --endMP 204:156 --enddatetime 2017-08-18T12:35:09 --enforcementcount 0 &gt;&gt;C:\Users\stu\Documents\GitHub\eaglep3-reporting\EC\2017-08-18-refined-times.txt</v>
      </c>
      <c r="AI74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{"issue":{"subject":"","project_id":79,"tracker_id":40,"status_id":1,"priority_id":2,"assigned_to_id":23,"start_date":"2017-08-18","description":"","custom_fields":[{"id":1,"name":"Subdivision","value":"EC"},{"id":4,"name":"Milepost","value":"0.0156"},{"id":17,"name":"Train ID","value":"160-18"},{"id":16,"name":"Locomotive ID","value":"4017"},{"id":130,"name":"Impact","value":""},{"id":150,"name":"Time of Event (Mountain Time)","value":"12:35:09"},{"id":151,"name":"Denver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4017 --day 2017-08-18</v>
      </c>
      <c r="AN74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18:35:09"},{"id":29,"name":"Sharepoint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760</v>
      </c>
      <c r="B75" s="7">
        <v>4030</v>
      </c>
      <c r="C75" s="21" t="s">
        <v>198</v>
      </c>
      <c r="D75" s="21" t="s">
        <v>904</v>
      </c>
      <c r="E75" s="13">
        <v>42965.466921296298</v>
      </c>
      <c r="F75" s="13">
        <v>42965.469467592593</v>
      </c>
      <c r="G75" s="7">
        <v>1</v>
      </c>
      <c r="H75" s="21" t="s">
        <v>910</v>
      </c>
      <c r="I75" s="13">
        <v>42965.498032407406</v>
      </c>
      <c r="J75" s="7">
        <v>0</v>
      </c>
      <c r="K75" s="89" t="str">
        <f t="shared" si="0"/>
        <v>4029/4030</v>
      </c>
      <c r="L75" s="21" t="str">
        <f>VLOOKUP(A75,'Trips&amp;Operators'!$C$1:$G$99999,5,FALSE)</f>
        <v>THOMPSON LESTER</v>
      </c>
      <c r="M75" s="6">
        <f t="shared" si="1"/>
        <v>2.8564814812853001E-2</v>
      </c>
      <c r="N75" s="7">
        <f t="shared" si="27"/>
        <v>41.133333330508322</v>
      </c>
      <c r="O75" s="7"/>
      <c r="P75" s="7"/>
      <c r="Q75" s="22"/>
      <c r="R75" s="170"/>
      <c r="S75" s="213">
        <f t="shared" si="28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-18T10:12:22-0600',mode:absolute,to:'2017-08-18T12:57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5" s="197" t="str">
        <f>IF(AA75&lt;VLOOKUP(AG75,Variables!$AC$3:$AD$8,2,FALSE),"Y","N")</f>
        <v>N</v>
      </c>
      <c r="X75" s="197">
        <f t="shared" si="22"/>
        <v>1</v>
      </c>
      <c r="Y75" s="197">
        <f t="shared" si="23"/>
        <v>4.8800000000000003E-2</v>
      </c>
      <c r="Z75" s="197">
        <f t="shared" si="24"/>
        <v>23.343399999999999</v>
      </c>
      <c r="AA75" s="197">
        <f t="shared" si="9"/>
        <v>23.294599999999999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206">
        <f t="shared" si="10"/>
        <v>161</v>
      </c>
      <c r="AE75" s="77" t="str">
        <f t="shared" si="11"/>
        <v>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 &amp; 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</v>
      </c>
      <c r="AF75" s="74" t="str">
        <f t="shared" si="12"/>
        <v>"C:\Program Files (x86)\AstroGrep\AstroGrep.exe" /e /r /s /spath="%USERPROFILE%\AppData\Local\Temp\OnboardLogs" /stypes="app*4030*20170818*" /stext=" 17:.+((SYSTEM_STATE.+slice.+state.+changed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161-18 --locoid 4030 --swversion DE.1.0.9.0 --startMP 204:488 --initTime 2017-08-18T11:12:22 --startdatetime 2017-08-18T11:16:02 --delay 1 --endMP 204:233434 --enddatetime 2017-08-18T11:57:10 --enforcementcount 0 &gt;&gt;C:\Users\stu\Documents\GitHub\eaglep3-reporting\EC\2017-08-18-refined-times.txt</v>
      </c>
      <c r="AI75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{"issue":{"subject":"","project_id":79,"tracker_id":40,"status_id":1,"priority_id":2,"assigned_to_id":23,"start_date":"2017-08-18","description":"","custom_fields":[{"id":1,"name":"Subdivision","value":"EC"},{"id":4,"name":"Milepost","value":"23.3434"},{"id":17,"name":"Train ID","value":"161-18"},{"id":16,"name":"Locomotive ID","value":"4030"},{"id":130,"name":"Impact","value":""},{"id":150,"name":"Time of Event (Mountain Time)","value":"11:57:10"},{"id":151,"name":"Denver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4030 --day 2017-08-18</v>
      </c>
      <c r="AN75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17:57:10"},{"id":29,"name":"Sharepoint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770</v>
      </c>
      <c r="B76" s="7">
        <v>4029</v>
      </c>
      <c r="C76" s="21" t="s">
        <v>198</v>
      </c>
      <c r="D76" s="21" t="s">
        <v>911</v>
      </c>
      <c r="E76" s="13">
        <v>42965.507453703707</v>
      </c>
      <c r="F76" s="13">
        <v>42965.508842592593</v>
      </c>
      <c r="G76" s="7">
        <v>1</v>
      </c>
      <c r="H76" s="21" t="s">
        <v>506</v>
      </c>
      <c r="I76" s="13">
        <v>42965.536712962959</v>
      </c>
      <c r="J76" s="7">
        <v>0</v>
      </c>
      <c r="K76" s="89" t="str">
        <f t="shared" si="0"/>
        <v>4029/4030</v>
      </c>
      <c r="L76" s="21" t="str">
        <f>VLOOKUP(A76,'Trips&amp;Operators'!$C$1:$G$99999,5,FALSE)</f>
        <v>THOMPSON LESTER</v>
      </c>
      <c r="M76" s="6">
        <f t="shared" si="1"/>
        <v>2.7870370366144925E-2</v>
      </c>
      <c r="N76" s="7">
        <f t="shared" si="27"/>
        <v>40.133333327248693</v>
      </c>
      <c r="O76" s="7"/>
      <c r="P76" s="7"/>
      <c r="Q76" s="22"/>
      <c r="R76" s="170"/>
      <c r="S76" s="213">
        <f t="shared" si="28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-18T11:10:44-0600',mode:absolute,to:'2017-08-18T13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6" s="197" t="str">
        <f>IF(AA76&lt;VLOOKUP(AG76,Variables!$AC$3:$AD$8,2,FALSE),"Y","N")</f>
        <v>N</v>
      </c>
      <c r="X76" s="197">
        <f t="shared" si="22"/>
        <v>1</v>
      </c>
      <c r="Y76" s="197">
        <f t="shared" si="23"/>
        <v>23.305299999999999</v>
      </c>
      <c r="Z76" s="197">
        <f t="shared" si="24"/>
        <v>1.5599999999999999E-2</v>
      </c>
      <c r="AA76" s="197">
        <f t="shared" si="9"/>
        <v>23.2897</v>
      </c>
      <c r="AB76" s="54" t="e">
        <f>VLOOKUP(A76,Enforcements!$C$7:$K$11,8,0)</f>
        <v>#N/A</v>
      </c>
      <c r="AC76" s="51" t="e">
        <f>VLOOKUP(A76,Enforcements!$C$7:$E$11,3,0)</f>
        <v>#N/A</v>
      </c>
      <c r="AD76" s="206">
        <f t="shared" si="10"/>
        <v>162</v>
      </c>
      <c r="AE76" s="77" t="str">
        <f t="shared" si="11"/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AF76" s="74" t="str">
        <f t="shared" si="12"/>
        <v>"C:\Program Files (x86)\AstroGrep\AstroGrep.exe" /e /r /s /spath="%USERPROFILE%\AppData\Local\Temp\OnboardLogs" /stypes="app*4029*20170818*"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162-18 --locoid 4029 --swversion DE.1.0.9.0 --startMP 204:233053 --initTime 2017-08-18T12:10:44 --startdatetime 2017-08-18T12:12:44 --delay 1 --endMP 204:156 --enddatetime 2017-08-18T12:52:52 --enforcementcount 0 &gt;&gt;C:\Users\stu\Documents\GitHub\eaglep3-reporting\EC\2017-08-18-refined-times.txt</v>
      </c>
      <c r="AI76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{"issue":{"subject":"","project_id":79,"tracker_id":40,"status_id":1,"priority_id":2,"assigned_to_id":23,"start_date":"2017-08-18","description":"","custom_fields":[{"id":1,"name":"Subdivision","value":"EC"},{"id":4,"name":"Milepost","value":"0.0156"},{"id":17,"name":"Train ID","value":"162-18"},{"id":16,"name":"Locomotive ID","value":"4029"},{"id":130,"name":"Impact","value":""},{"id":150,"name":"Time of Event (Mountain Time)","value":"12:52:52"},{"id":151,"name":"Denver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4029 --day 2017-08-18</v>
      </c>
      <c r="AN76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18:52:52"},{"id":29,"name":"Sharepoint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659</v>
      </c>
      <c r="B77" s="7">
        <v>4028</v>
      </c>
      <c r="C77" s="21" t="s">
        <v>198</v>
      </c>
      <c r="D77" s="21" t="s">
        <v>346</v>
      </c>
      <c r="E77" s="13">
        <v>42965.475219907406</v>
      </c>
      <c r="F77" s="13">
        <v>42965.479733796295</v>
      </c>
      <c r="G77" s="7">
        <v>1</v>
      </c>
      <c r="H77" s="21" t="s">
        <v>615</v>
      </c>
      <c r="I77" s="13">
        <v>42965.505428240744</v>
      </c>
      <c r="J77" s="7">
        <v>0</v>
      </c>
      <c r="K77" s="89" t="str">
        <f t="shared" ref="K77:K140" si="29">IF(ISEVEN(B77),(B77-1)&amp;"/"&amp;B77,B77&amp;"/"&amp;(B77+1))</f>
        <v>4027/4028</v>
      </c>
      <c r="L77" s="21" t="str">
        <f>VLOOKUP(A77,'Trips&amp;Operators'!$C$1:$G$99999,5,FALSE)</f>
        <v>STEWART MICHAEL</v>
      </c>
      <c r="M77" s="6">
        <f t="shared" ref="M77:M140" si="30">I77-F77</f>
        <v>2.5694444448163267E-2</v>
      </c>
      <c r="N77" s="7">
        <f t="shared" si="27"/>
        <v>37.000000005355105</v>
      </c>
      <c r="O77" s="7"/>
      <c r="P77" s="7"/>
      <c r="Q77" s="22"/>
      <c r="R77" s="170"/>
      <c r="S77" s="213">
        <f t="shared" si="28"/>
        <v>1</v>
      </c>
      <c r="T77" s="195" t="str">
        <f t="shared" ref="T77:T140" si="31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-18T10:24:19-0600',mode:absolute,to:'2017-08-18T13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7" s="197" t="str">
        <f>IF(AA77&lt;VLOOKUP(AG77,Variables!$AC$3:$AD$8,2,FALSE),"Y","N")</f>
        <v>N</v>
      </c>
      <c r="X77" s="197">
        <f t="shared" ref="X77:X108" si="33">VALUE(LEFT(AD77,4))-VALUE(LEFT(AD76,4))</f>
        <v>1</v>
      </c>
      <c r="Y77" s="197">
        <f t="shared" ref="Y77:Y108" si="34">RIGHT(D77,LEN(D77)-4)/10000</f>
        <v>4.4699999999999997E-2</v>
      </c>
      <c r="Z77" s="197">
        <f t="shared" ref="Z77:Z108" si="35">RIGHT(H77,LEN(H77)-4)/10000</f>
        <v>23.328800000000001</v>
      </c>
      <c r="AA77" s="197">
        <f t="shared" ref="AA77:AA140" si="36">ABS(Z77-Y77)</f>
        <v>23.284100000000002</v>
      </c>
      <c r="AB77" s="54" t="str">
        <f>VLOOKUP(A77,Enforcements!$C$7:$K$11,8,0)</f>
        <v>Bulletin (2)</v>
      </c>
      <c r="AC77" s="51" t="str">
        <f>VLOOKUP(A77,Enforcements!$C$7:$E$11,3,0)</f>
        <v>GRADE CROSSING</v>
      </c>
      <c r="AD77" s="206">
        <f t="shared" ref="AD77:AD140" si="37">VALUE(LEFT(A77,LEN(A77)-3))</f>
        <v>163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 &amp; 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/stypes="app*4028*20170818*"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40">DetSubdiv(A77)</f>
        <v>EC</v>
      </c>
      <c r="AH77" s="78" t="str">
        <f t="shared" si="18"/>
        <v>"%USERPROFILE%\Documents\GitHub\eaglep3\Utilities\RefineRTDCRunTimes.py" --tripid 163-18 --locoid 4028 --swversion DE.1.0.9.0 --startMP 204:447 --initTime 2017-08-18T11:24:19 --startdatetime 2017-08-18T11:30:49 --delay 1 --endMP 204:233288 --enddatetime 2017-08-18T12:07:49 --enforcementcount 0 &gt;&gt;C:\Users\stu\Documents\GitHub\eaglep3-reporting\EC\2017-08-18-refined-times.txt</v>
      </c>
      <c r="AI77" s="96" t="str">
        <f t="shared" si="19"/>
        <v>echo {"issue":{"subject":"","project_id":79,"tracker_id":40,"status_id":1,"priority_id":2,"assigned_to_id":23,"start_date":"2017-08-18","description":"","custom_fields":[{"id":1,"name":"Subdivision","value":"EC"},{"id":4,"name":"Milepost","value":"23.3288"},{"id":17,"name":"Train ID","value":"163-18"},{"id":16,"name":"Locomotive ID","value":"4028"},{"id":130,"name":"Impact","value":""},{"id":150,"name":"Time of Event (Mountain Time)","value":"12:07:49"},{"id":151,"name":"Denver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4028 --day 2017-08-18</v>
      </c>
      <c r="AN77" s="151" t="str">
        <f t="shared" si="2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18:07:49"},{"id":29,"name":"Sharepoint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771</v>
      </c>
      <c r="B78" s="7">
        <v>4027</v>
      </c>
      <c r="C78" s="21" t="s">
        <v>198</v>
      </c>
      <c r="D78" s="21" t="s">
        <v>912</v>
      </c>
      <c r="E78" s="13">
        <v>42965.514756944445</v>
      </c>
      <c r="F78" s="13">
        <v>42965.51902777778</v>
      </c>
      <c r="G78" s="7">
        <v>1</v>
      </c>
      <c r="H78" s="21" t="s">
        <v>913</v>
      </c>
      <c r="I78" s="13">
        <v>42965.546064814815</v>
      </c>
      <c r="J78" s="7">
        <v>0</v>
      </c>
      <c r="K78" s="89" t="str">
        <f t="shared" si="29"/>
        <v>4027/4028</v>
      </c>
      <c r="L78" s="21" t="str">
        <f>VLOOKUP(A78,'Trips&amp;Operators'!$C$1:$G$99999,5,FALSE)</f>
        <v>STEWART MICHAEL</v>
      </c>
      <c r="M78" s="6">
        <f t="shared" si="30"/>
        <v>2.7037037034460809E-2</v>
      </c>
      <c r="N78" s="7">
        <f t="shared" si="27"/>
        <v>38.933333329623565</v>
      </c>
      <c r="O78" s="7"/>
      <c r="P78" s="7"/>
      <c r="Q78" s="22"/>
      <c r="R78" s="170"/>
      <c r="S78" s="213">
        <f t="shared" si="28"/>
        <v>1</v>
      </c>
      <c r="T78" s="195" t="str">
        <f t="shared" si="31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2"/>
        <v>https://d0f6bd738d7f1b3e5a7ca70fe4ff75f0.us-east-1.aws.found.io/app/kibana#/discover/Steve-Slow-Train-Analysis-(2080s-and-2083s)?_g=(refreshInterval:(display:Off,pause:!f,section:0,value:0),time:(from:'2017-08-18T11:21:15-0600',mode:absolute,to:'2017-08-18T14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8" s="197" t="str">
        <f>IF(AA78&lt;VLOOKUP(AG78,Variables!$AC$3:$AD$8,2,FALSE),"Y","N")</f>
        <v>N</v>
      </c>
      <c r="X78" s="197">
        <f t="shared" si="33"/>
        <v>1</v>
      </c>
      <c r="Y78" s="197">
        <f t="shared" si="34"/>
        <v>23.2973</v>
      </c>
      <c r="Z78" s="197">
        <f t="shared" si="35"/>
        <v>1.6500000000000001E-2</v>
      </c>
      <c r="AA78" s="197">
        <f t="shared" si="36"/>
        <v>23.280799999999999</v>
      </c>
      <c r="AB78" s="54" t="e">
        <f>VLOOKUP(A78,Enforcements!$C$7:$K$11,8,0)</f>
        <v>#N/A</v>
      </c>
      <c r="AC78" s="51" t="e">
        <f>VLOOKUP(A78,Enforcements!$C$7:$E$11,3,0)</f>
        <v>#N/A</v>
      </c>
      <c r="AD78" s="206">
        <f t="shared" si="37"/>
        <v>164</v>
      </c>
      <c r="AE78" s="77" t="str">
        <f t="shared" si="38"/>
        <v>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 &amp; aws s3 cp s3://rtdc.mdm.uploadarchive.raw/RTDC4027/ "%USERPROFILE%\AppData\Local\Temp\OnboardLogs"\RTDC4027\2017-08-19 --exclude "*" --recursive --include "*20170819*" &amp; "%USERPROFILE%\Documents\GitHub\mrs-test-scripts\Headless Mode &amp; Sideloading\WalkAndUnGZ.bat" "%USERPROFILE%\AppData\Local\Temp\OnboardLogs"\RTDC4027\2017-08-19</v>
      </c>
      <c r="AF78" s="74" t="str">
        <f t="shared" si="39"/>
        <v>"C:\Program Files (x86)\AstroGrep\AstroGrep.exe" /e /r /s /spath="%USERPROFILE%\AppData\Local\Temp\OnboardLogs" /stypes="app*4027*20170818*" /stext=" 19:.+((SYSTEM_STATE.+slice.+state.+changed )|(ment ac)|(multiple cpu faults)|(system.+state.+changed )|(\[timeout)|(PRM\|1\|D)|(kpr)|(kdp)|(train st.+moving)|(\|lc)|(penalty))"</v>
      </c>
      <c r="AG78" s="209" t="str">
        <f t="shared" si="40"/>
        <v>EC</v>
      </c>
      <c r="AH78" s="78" t="str">
        <f t="shared" ref="AH78:AH143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164-18 --locoid 4027 --swversion DE.1.0.9.0 --startMP 204:232973 --initTime 2017-08-18T12:21:15 --startdatetime 2017-08-18T12:27:24 --delay 1 --endMP 204:165 --enddatetime 2017-08-18T13:06:20 --enforcementcount 0 &gt;&gt;C:\Users\stu\Documents\GitHub\eaglep3-reporting\EC\2017-08-18-refined-times.txt</v>
      </c>
      <c r="AI78" s="96" t="str">
        <f t="shared" ref="AI78:AI143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{"issue":{"subject":"","project_id":79,"tracker_id":40,"status_id":1,"priority_id":2,"assigned_to_id":23,"start_date":"2017-08-18","description":"","custom_fields":[{"id":1,"name":"Subdivision","value":"EC"},{"id":4,"name":"Milepost","value":"0.0165"},{"id":17,"name":"Train ID","value":"164-18"},{"id":16,"name":"Locomotive ID","value":"4027"},{"id":130,"name":"Impact","value":""},{"id":150,"name":"Time of Event (Mountain Time)","value":"13:06:20"},{"id":151,"name":"Denver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3" si="43">"start /low /b "&amp;dls3logs&amp;" --loco "&amp;B78&amp;" --day "&amp;TEXT(F78,"YYYY-MM-DD")</f>
        <v>start /low /b %USERPROFILE%\Documents\GitHub\eaglep3\Utilities\DownloadLogsFromS3.py --loco 4027 --day 2017-08-18</v>
      </c>
      <c r="AN78" s="151" t="str">
        <f t="shared" ref="AN78:AN143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19:06:20"},{"id":29,"name":"Sharepoint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766</v>
      </c>
      <c r="B79" s="7">
        <v>4064</v>
      </c>
      <c r="C79" s="21" t="s">
        <v>198</v>
      </c>
      <c r="D79" s="21" t="s">
        <v>440</v>
      </c>
      <c r="E79" s="13">
        <v>42965.486550925925</v>
      </c>
      <c r="F79" s="13">
        <v>42965.49015046296</v>
      </c>
      <c r="G79" s="7">
        <v>1</v>
      </c>
      <c r="H79" s="21" t="s">
        <v>564</v>
      </c>
      <c r="I79" s="13">
        <v>42965.516226851854</v>
      </c>
      <c r="J79" s="7">
        <v>0</v>
      </c>
      <c r="K79" s="89" t="str">
        <f t="shared" si="29"/>
        <v>4063/4064</v>
      </c>
      <c r="L79" s="21" t="str">
        <f>VLOOKUP(A79,'Trips&amp;Operators'!$C$1:$G$99999,5,FALSE)</f>
        <v>WEST BRYAN</v>
      </c>
      <c r="M79" s="6">
        <f t="shared" si="30"/>
        <v>2.6076388894580305E-2</v>
      </c>
      <c r="N79" s="7">
        <f t="shared" si="27"/>
        <v>37.550000008195639</v>
      </c>
      <c r="O79" s="7"/>
      <c r="P79" s="7"/>
      <c r="Q79" s="22"/>
      <c r="R79" s="170"/>
      <c r="S79" s="213">
        <f t="shared" si="28"/>
        <v>1</v>
      </c>
      <c r="T79" s="195" t="str">
        <f t="shared" si="31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2"/>
        <v>https://d0f6bd738d7f1b3e5a7ca70fe4ff75f0.us-east-1.aws.found.io/app/kibana#/discover/Steve-Slow-Train-Analysis-(2080s-and-2083s)?_g=(refreshInterval:(display:Off,pause:!f,section:0,value:0),time:(from:'2017-08-18T10:40:38-0600',mode:absolute,to:'2017-08-18T13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9" s="197" t="str">
        <f>IF(AA79&lt;VLOOKUP(AG79,Variables!$AC$3:$AD$8,2,FALSE),"Y","N")</f>
        <v>N</v>
      </c>
      <c r="X79" s="197">
        <f t="shared" si="33"/>
        <v>1</v>
      </c>
      <c r="Y79" s="197">
        <f t="shared" si="34"/>
        <v>4.5699999999999998E-2</v>
      </c>
      <c r="Z79" s="197">
        <f t="shared" si="35"/>
        <v>23.331399999999999</v>
      </c>
      <c r="AA79" s="197">
        <f t="shared" si="36"/>
        <v>23.285699999999999</v>
      </c>
      <c r="AB79" s="54" t="e">
        <f>VLOOKUP(A79,Enforcements!$C$7:$K$11,8,0)</f>
        <v>#N/A</v>
      </c>
      <c r="AC79" s="51" t="e">
        <f>VLOOKUP(A79,Enforcements!$C$7:$E$11,3,0)</f>
        <v>#N/A</v>
      </c>
      <c r="AD79" s="206">
        <f t="shared" si="37"/>
        <v>165</v>
      </c>
      <c r="AE79" s="77" t="str">
        <f t="shared" si="38"/>
        <v>aws s3 cp s3://rtdc.mdm.uploadarchive.raw/RTDC4064/ "%USERPROFILE%\AppData\Local\Temp\OnboardLogs"\RTDC4064\2017-08-18 --exclude "*" --recursive --include "*20170818*" &amp; "%USERPROFILE%\Documents\GitHub\mrs-test-scripts\Headless Mode &amp; Sideloading\WalkAndUnGZ.bat" "%USERPROFILE%\AppData\Local\Temp\OnboardLogs"\RTDC4064\2017-08-18 &amp; aws s3 cp s3://rtdc.mdm.uploadarchive.raw/RTDC4064/ "%USERPROFILE%\AppData\Local\Temp\OnboardLogs"\RTDC4064\2017-08-19 --exclude "*" --recursive --include "*20170819*" &amp; "%USERPROFILE%\Documents\GitHub\mrs-test-scripts\Headless Mode &amp; Sideloading\WalkAndUnGZ.bat" "%USERPROFILE%\AppData\Local\Temp\OnboardLogs"\RTDC4064\2017-08-19</v>
      </c>
      <c r="AF79" s="74" t="str">
        <f t="shared" si="39"/>
        <v>"C:\Program Files (x86)\AstroGrep\AstroGrep.exe" /e /r /s /spath="%USERPROFILE%\AppData\Local\Temp\OnboardLogs" /stypes="app*4064*20170818*" /stext=" 18:.+((SYSTEM_STATE.+slice.+state.+changed )|(ment ac)|(multiple cpu faults)|(system.+state.+changed )|(\[timeout)|(PRM\|1\|D)|(kpr)|(kdp)|(train st.+moving)|(\|lc)|(penalty))"</v>
      </c>
      <c r="AG79" s="209" t="str">
        <f t="shared" si="40"/>
        <v>EC</v>
      </c>
      <c r="AH79" s="78" t="str">
        <f t="shared" si="41"/>
        <v>"%USERPROFILE%\Documents\GitHub\eaglep3\Utilities\RefineRTDCRunTimes.py" --tripid 165-18 --locoid 4064 --swversion DE.1.0.9.0 --startMP 204:457 --initTime 2017-08-18T11:40:38 --startdatetime 2017-08-18T11:45:49 --delay 1 --endMP 204:233314 --enddatetime 2017-08-18T12:23:22 --enforcementcount 0 &gt;&gt;C:\Users\stu\Documents\GitHub\eaglep3-reporting\EC\2017-08-18-refined-times.txt</v>
      </c>
      <c r="AI79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{"issue":{"subject":"","project_id":79,"tracker_id":40,"status_id":1,"priority_id":2,"assigned_to_id":23,"start_date":"2017-08-18","description":"","custom_fields":[{"id":1,"name":"Subdivision","value":"EC"},{"id":4,"name":"Milepost","value":"23.3314"},{"id":17,"name":"Train ID","value":"165-18"},{"id":16,"name":"Locomotive ID","value":"4064"},{"id":130,"name":"Impact","value":""},{"id":150,"name":"Time of Event (Mountain Time)","value":"12:23:22"},{"id":151,"name":"Denver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3"/>
        <v>start /low /b %USERPROFILE%\Documents\GitHub\eaglep3\Utilities\DownloadLogsFromS3.py --loco 4064 --day 2017-08-18</v>
      </c>
      <c r="AN79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18:23:22"},{"id":29,"name":"Sharepoint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773</v>
      </c>
      <c r="B80" s="7">
        <v>4063</v>
      </c>
      <c r="C80" s="21" t="s">
        <v>198</v>
      </c>
      <c r="D80" s="21" t="s">
        <v>553</v>
      </c>
      <c r="E80" s="13">
        <v>42965.52416666667</v>
      </c>
      <c r="F80" s="13">
        <v>42965.529606481483</v>
      </c>
      <c r="G80" s="7">
        <v>1</v>
      </c>
      <c r="H80" s="21" t="s">
        <v>342</v>
      </c>
      <c r="I80" s="13">
        <v>42965.557384259257</v>
      </c>
      <c r="J80" s="7">
        <v>0</v>
      </c>
      <c r="K80" s="89" t="str">
        <f t="shared" si="29"/>
        <v>4063/4064</v>
      </c>
      <c r="L80" s="21" t="str">
        <f>VLOOKUP(A80,'Trips&amp;Operators'!$C$1:$G$99999,5,FALSE)</f>
        <v>WEST BRYAN</v>
      </c>
      <c r="M80" s="6">
        <f t="shared" si="30"/>
        <v>2.7777777773735579E-2</v>
      </c>
      <c r="N80" s="7">
        <f t="shared" si="27"/>
        <v>39.999999994179234</v>
      </c>
      <c r="O80" s="7"/>
      <c r="P80" s="7"/>
      <c r="Q80" s="22"/>
      <c r="R80" s="170"/>
      <c r="S80" s="213">
        <f t="shared" si="28"/>
        <v>1</v>
      </c>
      <c r="T80" s="195" t="str">
        <f t="shared" si="31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2"/>
        <v>https://d0f6bd738d7f1b3e5a7ca70fe4ff75f0.us-east-1.aws.found.io/app/kibana#/discover/Steve-Slow-Train-Analysis-(2080s-and-2083s)?_g=(refreshInterval:(display:Off,pause:!f,section:0,value:0),time:(from:'2017-08-18T11:34:48-0600',mode:absolute,to:'2017-08-18T14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0" s="197" t="str">
        <f>IF(AA80&lt;VLOOKUP(AG80,Variables!$AC$3:$AD$8,2,FALSE),"Y","N")</f>
        <v>N</v>
      </c>
      <c r="X80" s="197">
        <f t="shared" si="33"/>
        <v>1</v>
      </c>
      <c r="Y80" s="197">
        <f t="shared" si="34"/>
        <v>23.2987</v>
      </c>
      <c r="Z80" s="197">
        <f t="shared" si="35"/>
        <v>1.49E-2</v>
      </c>
      <c r="AA80" s="197">
        <f t="shared" si="36"/>
        <v>23.283799999999999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206">
        <f t="shared" si="37"/>
        <v>166</v>
      </c>
      <c r="AE80" s="77" t="str">
        <f t="shared" si="38"/>
        <v>aws s3 cp s3://rtdc.mdm.uploadarchive.raw/RTDC4063/ "%USERPROFILE%\AppData\Local\Temp\OnboardLogs"\RTDC4063\2017-08-18 --exclude "*" --recursive --include "*20170818*" &amp; "%USERPROFILE%\Documents\GitHub\mrs-test-scripts\Headless Mode &amp; Sideloading\WalkAndUnGZ.bat" "%USERPROFILE%\AppData\Local\Temp\OnboardLogs"\RTDC4063\2017-08-18 &amp; aws s3 cp s3://rtdc.mdm.uploadarchive.raw/RTDC4063/ "%USERPROFILE%\AppData\Local\Temp\OnboardLogs"\RTDC4063\2017-08-19 --exclude "*" --recursive --include "*20170819*" &amp; "%USERPROFILE%\Documents\GitHub\mrs-test-scripts\Headless Mode &amp; Sideloading\WalkAndUnGZ.bat" "%USERPROFILE%\AppData\Local\Temp\OnboardLogs"\RTDC4063\2017-08-19</v>
      </c>
      <c r="AF80" s="74" t="str">
        <f t="shared" si="39"/>
        <v>"C:\Program Files (x86)\AstroGrep\AstroGrep.exe" /e /r /s /spath="%USERPROFILE%\AppData\Local\Temp\OnboardLogs" /stypes="app*4063*20170818*" /stext=" 19:.+((SYSTEM_STATE.+slice.+state.+changed )|(ment ac)|(multiple cpu faults)|(system.+state.+changed )|(\[timeout)|(PRM\|1\|D)|(kpr)|(kdp)|(train st.+moving)|(\|lc)|(penalty))"</v>
      </c>
      <c r="AG80" s="209" t="str">
        <f t="shared" si="40"/>
        <v>EC</v>
      </c>
      <c r="AH80" s="78" t="str">
        <f t="shared" si="41"/>
        <v>"%USERPROFILE%\Documents\GitHub\eaglep3\Utilities\RefineRTDCRunTimes.py" --tripid 166-18 --locoid 4063 --swversion DE.1.0.9.0 --startMP 204:232987 --initTime 2017-08-18T12:34:48 --startdatetime 2017-08-18T12:42:38 --delay 1 --endMP 204:149 --enddatetime 2017-08-18T13:22:38 --enforcementcount 0 &gt;&gt;C:\Users\stu\Documents\GitHub\eaglep3-reporting\EC\2017-08-18-refined-times.txt</v>
      </c>
      <c r="AI80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{"issue":{"subject":"","project_id":79,"tracker_id":40,"status_id":1,"priority_id":2,"assigned_to_id":23,"start_date":"2017-08-18","description":"","custom_fields":[{"id":1,"name":"Subdivision","value":"EC"},{"id":4,"name":"Milepost","value":"0.0149"},{"id":17,"name":"Train ID","value":"166-18"},{"id":16,"name":"Locomotive ID","value":"4063"},{"id":130,"name":"Impact","value":""},{"id":150,"name":"Time of Event (Mountain Time)","value":"13:22:38"},{"id":151,"name":"Denver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3"/>
        <v>start /low /b %USERPROFILE%\Documents\GitHub\eaglep3\Utilities\DownloadLogsFromS3.py --loco 4063 --day 2017-08-18</v>
      </c>
      <c r="AN80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19:22:38"},{"id":29,"name":"Sharepoint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768</v>
      </c>
      <c r="B81" s="7">
        <v>4040</v>
      </c>
      <c r="C81" s="21" t="s">
        <v>198</v>
      </c>
      <c r="D81" s="21" t="s">
        <v>440</v>
      </c>
      <c r="E81" s="13">
        <v>42965.498483796298</v>
      </c>
      <c r="F81" s="13">
        <v>42965.500868055555</v>
      </c>
      <c r="G81" s="7">
        <v>1</v>
      </c>
      <c r="H81" s="21" t="s">
        <v>914</v>
      </c>
      <c r="I81" s="13">
        <v>42965.525879629633</v>
      </c>
      <c r="J81" s="7">
        <v>0</v>
      </c>
      <c r="K81" s="89" t="str">
        <f t="shared" si="29"/>
        <v>4039/4040</v>
      </c>
      <c r="L81" s="21" t="str">
        <f>VLOOKUP(A81,'Trips&amp;Operators'!$C$1:$G$99999,5,FALSE)</f>
        <v>LANGERAK WILLIAM</v>
      </c>
      <c r="M81" s="6">
        <f t="shared" si="30"/>
        <v>2.5011574078234844E-2</v>
      </c>
      <c r="N81" s="7">
        <f t="shared" si="27"/>
        <v>36.016666672658175</v>
      </c>
      <c r="O81" s="7"/>
      <c r="P81" s="7"/>
      <c r="Q81" s="22"/>
      <c r="R81" s="170"/>
      <c r="S81" s="213">
        <f t="shared" si="28"/>
        <v>1</v>
      </c>
      <c r="T81" s="195" t="str">
        <f t="shared" si="31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2"/>
        <v>https://d0f6bd738d7f1b3e5a7ca70fe4ff75f0.us-east-1.aws.found.io/app/kibana#/discover/Steve-Slow-Train-Analysis-(2080s-and-2083s)?_g=(refreshInterval:(display:Off,pause:!f,section:0,value:0),time:(from:'2017-08-18T10:57:49-0600',mode:absolute,to:'2017-08-18T13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1" s="197" t="str">
        <f>IF(AA81&lt;VLOOKUP(AG81,Variables!$AC$3:$AD$8,2,FALSE),"Y","N")</f>
        <v>N</v>
      </c>
      <c r="X81" s="197">
        <f t="shared" si="33"/>
        <v>1</v>
      </c>
      <c r="Y81" s="197">
        <f t="shared" si="34"/>
        <v>4.5699999999999998E-2</v>
      </c>
      <c r="Z81" s="197">
        <f t="shared" si="35"/>
        <v>23.327999999999999</v>
      </c>
      <c r="AA81" s="197">
        <f t="shared" si="36"/>
        <v>23.282299999999999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206">
        <f t="shared" si="37"/>
        <v>167</v>
      </c>
      <c r="AE81" s="77" t="str">
        <f t="shared" si="38"/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AF81" s="74" t="str">
        <f t="shared" si="39"/>
        <v>"C:\Program Files (x86)\AstroGrep\AstroGrep.exe" /e /r /s /spath="%USERPROFILE%\AppData\Local\Temp\OnboardLogs" /stypes="app*4040*20170818*" /stext=" 18:.+((SYSTEM_STATE.+slice.+state.+changed )|(ment ac)|(multiple cpu faults)|(system.+state.+changed )|(\[timeout)|(PRM\|1\|D)|(kpr)|(kdp)|(train st.+moving)|(\|lc)|(penalty))"</v>
      </c>
      <c r="AG81" s="209" t="str">
        <f t="shared" si="40"/>
        <v>EC</v>
      </c>
      <c r="AH81" s="78" t="str">
        <f t="shared" si="41"/>
        <v>"%USERPROFILE%\Documents\GitHub\eaglep3\Utilities\RefineRTDCRunTimes.py" --tripid 167-18 --locoid 4040 --swversion DE.1.0.9.0 --startMP 204:457 --initTime 2017-08-18T11:57:49 --startdatetime 2017-08-18T12:01:15 --delay 1 --endMP 204:233280 --enddatetime 2017-08-18T12:37:16 --enforcementcount 0 &gt;&gt;C:\Users\stu\Documents\GitHub\eaglep3-reporting\EC\2017-08-18-refined-times.txt</v>
      </c>
      <c r="AI81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{"issue":{"subject":"","project_id":79,"tracker_id":40,"status_id":1,"priority_id":2,"assigned_to_id":23,"start_date":"2017-08-18","description":"","custom_fields":[{"id":1,"name":"Subdivision","value":"EC"},{"id":4,"name":"Milepost","value":"23.328"},{"id":17,"name":"Train ID","value":"167-18"},{"id":16,"name":"Locomotive ID","value":"4040"},{"id":130,"name":"Impact","value":""},{"id":150,"name":"Time of Event (Mountain Time)","value":"12:37:16"},{"id":151,"name":"Denver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3"/>
        <v>start /low /b %USERPROFILE%\Documents\GitHub\eaglep3\Utilities\DownloadLogsFromS3.py --loco 4040 --day 2017-08-18</v>
      </c>
      <c r="AN81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18:37:16"},{"id":29,"name":"Sharepoint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667</v>
      </c>
      <c r="B82" s="7">
        <v>4039</v>
      </c>
      <c r="C82" s="21" t="s">
        <v>198</v>
      </c>
      <c r="D82" s="21" t="s">
        <v>897</v>
      </c>
      <c r="E82" s="13">
        <v>42965.527337962965</v>
      </c>
      <c r="F82" s="13">
        <v>42965.539780092593</v>
      </c>
      <c r="G82" s="7">
        <v>1</v>
      </c>
      <c r="H82" s="21" t="s">
        <v>342</v>
      </c>
      <c r="I82" s="13">
        <v>42965.567060185182</v>
      </c>
      <c r="J82" s="7">
        <v>0</v>
      </c>
      <c r="K82" s="89" t="str">
        <f t="shared" si="29"/>
        <v>4039/4040</v>
      </c>
      <c r="L82" s="21" t="str">
        <f>VLOOKUP(A82,'Trips&amp;Operators'!$C$1:$G$99999,5,FALSE)</f>
        <v>LANGERAK WILLIAM</v>
      </c>
      <c r="M82" s="6">
        <f t="shared" si="30"/>
        <v>2.7280092588625848E-2</v>
      </c>
      <c r="N82" s="7">
        <f t="shared" si="27"/>
        <v>39.283333327621222</v>
      </c>
      <c r="O82" s="7"/>
      <c r="P82" s="7"/>
      <c r="Q82" s="22"/>
      <c r="R82" s="170"/>
      <c r="S82" s="213">
        <f t="shared" si="28"/>
        <v>1</v>
      </c>
      <c r="T82" s="195" t="str">
        <f t="shared" si="31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2"/>
        <v>https://d0f6bd738d7f1b3e5a7ca70fe4ff75f0.us-east-1.aws.found.io/app/kibana#/discover/Steve-Slow-Train-Analysis-(2080s-and-2083s)?_g=(refreshInterval:(display:Off,pause:!f,section:0,value:0),time:(from:'2017-08-18T11:39:22-0600',mode:absolute,to:'2017-08-18T14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2" s="197" t="str">
        <f>IF(AA82&lt;VLOOKUP(AG82,Variables!$AC$3:$AD$8,2,FALSE),"Y","N")</f>
        <v>N</v>
      </c>
      <c r="X82" s="197">
        <f t="shared" si="33"/>
        <v>1</v>
      </c>
      <c r="Y82" s="197">
        <f t="shared" si="34"/>
        <v>23.295500000000001</v>
      </c>
      <c r="Z82" s="197">
        <f t="shared" si="35"/>
        <v>1.49E-2</v>
      </c>
      <c r="AA82" s="197">
        <f t="shared" si="36"/>
        <v>23.2806</v>
      </c>
      <c r="AB82" s="54" t="e">
        <f>VLOOKUP(A82,Enforcements!$C$7:$K$11,8,0)</f>
        <v>#N/A</v>
      </c>
      <c r="AC82" s="51" t="e">
        <f>VLOOKUP(A82,Enforcements!$C$7:$E$11,3,0)</f>
        <v>#N/A</v>
      </c>
      <c r="AD82" s="206">
        <f t="shared" si="37"/>
        <v>168</v>
      </c>
      <c r="AE82" s="77" t="str">
        <f t="shared" si="38"/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AF82" s="74" t="str">
        <f t="shared" si="39"/>
        <v>"C:\Program Files (x86)\AstroGrep\AstroGrep.exe" /e /r /s /spath="%USERPROFILE%\AppData\Local\Temp\OnboardLogs" /stypes="app*4039*20170818*" /stext=" 19:.+((SYSTEM_STATE.+slice.+state.+changed )|(ment ac)|(multiple cpu faults)|(system.+state.+changed )|(\[timeout)|(PRM\|1\|D)|(kpr)|(kdp)|(train st.+moving)|(\|lc)|(penalty))"</v>
      </c>
      <c r="AG82" s="209" t="str">
        <f t="shared" si="40"/>
        <v>EC</v>
      </c>
      <c r="AH82" s="78" t="str">
        <f t="shared" si="41"/>
        <v>"%USERPROFILE%\Documents\GitHub\eaglep3\Utilities\RefineRTDCRunTimes.py" --tripid 168-18 --locoid 4039 --swversion DE.1.0.9.0 --startMP 204:232955 --initTime 2017-08-18T12:39:22 --startdatetime 2017-08-18T12:57:17 --delay 1 --endMP 204:149 --enddatetime 2017-08-18T13:36:34 --enforcementcount 0 &gt;&gt;C:\Users\stu\Documents\GitHub\eaglep3-reporting\EC\2017-08-18-refined-times.txt</v>
      </c>
      <c r="AI82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{"issue":{"subject":"","project_id":79,"tracker_id":40,"status_id":1,"priority_id":2,"assigned_to_id":23,"start_date":"2017-08-18","description":"","custom_fields":[{"id":1,"name":"Subdivision","value":"EC"},{"id":4,"name":"Milepost","value":"0.0149"},{"id":17,"name":"Train ID","value":"168-18"},{"id":16,"name":"Locomotive ID","value":"4039"},{"id":130,"name":"Impact","value":""},{"id":150,"name":"Time of Event (Mountain Time)","value":"13:36:34"},{"id":151,"name":"Denver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3"/>
        <v>start /low /b %USERPROFILE%\Documents\GitHub\eaglep3\Utilities\DownloadLogsFromS3.py --loco 4039 --day 2017-08-18</v>
      </c>
      <c r="AN82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19:36:34"},{"id":29,"name":"Sharepoint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662</v>
      </c>
      <c r="B83" s="7">
        <v>4050</v>
      </c>
      <c r="C83" s="21" t="s">
        <v>198</v>
      </c>
      <c r="D83" s="21" t="s">
        <v>374</v>
      </c>
      <c r="E83" s="13">
        <v>42965.508171296293</v>
      </c>
      <c r="F83" s="13">
        <v>42965.511030092595</v>
      </c>
      <c r="G83" s="7">
        <v>1</v>
      </c>
      <c r="H83" s="21" t="s">
        <v>608</v>
      </c>
      <c r="I83" s="13">
        <v>42965.535787037035</v>
      </c>
      <c r="J83" s="7">
        <v>0</v>
      </c>
      <c r="K83" s="89" t="str">
        <f t="shared" si="29"/>
        <v>4049/4050</v>
      </c>
      <c r="L83" s="21" t="str">
        <f>VLOOKUP(A83,'Trips&amp;Operators'!$C$1:$G$99999,5,FALSE)</f>
        <v>LEVIN SCOTT</v>
      </c>
      <c r="M83" s="6">
        <f t="shared" si="30"/>
        <v>2.4756944440014195E-2</v>
      </c>
      <c r="N83" s="7">
        <f t="shared" si="27"/>
        <v>35.64999999362044</v>
      </c>
      <c r="O83" s="7"/>
      <c r="P83" s="7"/>
      <c r="Q83" s="22"/>
      <c r="R83" s="170"/>
      <c r="S83" s="213">
        <f t="shared" si="28"/>
        <v>1</v>
      </c>
      <c r="T83" s="195" t="str">
        <f t="shared" si="31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2"/>
        <v>https://d0f6bd738d7f1b3e5a7ca70fe4ff75f0.us-east-1.aws.found.io/app/kibana#/discover/Steve-Slow-Train-Analysis-(2080s-and-2083s)?_g=(refreshInterval:(display:Off,pause:!f,section:0,value:0),time:(from:'2017-08-18T11:11:46-0600',mode:absolute,to:'2017-08-18T13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3" s="197" t="str">
        <f>IF(AA83&lt;VLOOKUP(AG83,Variables!$AC$3:$AD$8,2,FALSE),"Y","N")</f>
        <v>N</v>
      </c>
      <c r="X83" s="197">
        <f t="shared" si="33"/>
        <v>1</v>
      </c>
      <c r="Y83" s="197">
        <f t="shared" si="34"/>
        <v>4.6199999999999998E-2</v>
      </c>
      <c r="Z83" s="197">
        <f t="shared" si="35"/>
        <v>23.3385</v>
      </c>
      <c r="AA83" s="197">
        <f t="shared" si="36"/>
        <v>23.292300000000001</v>
      </c>
      <c r="AB83" s="54" t="str">
        <f>VLOOKUP(A83,Enforcements!$C$7:$K$11,8,0)</f>
        <v>Bulletin (2)</v>
      </c>
      <c r="AC83" s="51" t="str">
        <f>VLOOKUP(A83,Enforcements!$C$7:$E$11,3,0)</f>
        <v>GRADE CROSSING</v>
      </c>
      <c r="AD83" s="206">
        <f t="shared" si="37"/>
        <v>169</v>
      </c>
      <c r="AE83" s="77" t="str">
        <f t="shared" si="38"/>
        <v>aws s3 cp s3://rtdc.mdm.uploadarchive.raw/RTDC4050/ "%USERPROFILE%\AppData\Local\Temp\OnboardLogs"\RTDC4050\2017-08-18 --exclude "*" --recursive --include "*20170818*" &amp; "%USERPROFILE%\Documents\GitHub\mrs-test-scripts\Headless Mode &amp; Sideloading\WalkAndUnGZ.bat" "%USERPROFILE%\AppData\Local\Temp\OnboardLogs"\RTDC4050\2017-08-18 &amp; aws s3 cp s3://rtdc.mdm.uploadarchive.raw/RTDC4050/ "%USERPROFILE%\AppData\Local\Temp\OnboardLogs"\RTDC4050\2017-08-19 --exclude "*" --recursive --include "*20170819*" &amp; "%USERPROFILE%\Documents\GitHub\mrs-test-scripts\Headless Mode &amp; Sideloading\WalkAndUnGZ.bat" "%USERPROFILE%\AppData\Local\Temp\OnboardLogs"\RTDC4050\2017-08-19</v>
      </c>
      <c r="AF83" s="74" t="str">
        <f t="shared" si="39"/>
        <v>"C:\Program Files (x86)\AstroGrep\AstroGrep.exe" /e /r /s /spath="%USERPROFILE%\AppData\Local\Temp\OnboardLogs" /stypes="app*4050*20170818*" /stext=" 18:.+((SYSTEM_STATE.+slice.+state.+changed )|(ment ac)|(multiple cpu faults)|(system.+state.+changed )|(\[timeout)|(PRM\|1\|D)|(kpr)|(kdp)|(train st.+moving)|(\|lc)|(penalty))"</v>
      </c>
      <c r="AG83" s="209" t="str">
        <f t="shared" si="40"/>
        <v>EC</v>
      </c>
      <c r="AH83" s="78" t="str">
        <f t="shared" si="41"/>
        <v>"%USERPROFILE%\Documents\GitHub\eaglep3\Utilities\RefineRTDCRunTimes.py" --tripid 169-18 --locoid 4050 --swversion DE.1.0.9.0 --startMP 204:462 --initTime 2017-08-18T12:11:46 --startdatetime 2017-08-18T12:15:53 --delay 1 --endMP 204:233385 --enddatetime 2017-08-18T12:51:32 --enforcementcount 0 &gt;&gt;C:\Users\stu\Documents\GitHub\eaglep3-reporting\EC\2017-08-18-refined-times.txt</v>
      </c>
      <c r="AI83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{"issue":{"subject":"","project_id":79,"tracker_id":40,"status_id":1,"priority_id":2,"assigned_to_id":23,"start_date":"2017-08-18","description":"","custom_fields":[{"id":1,"name":"Subdivision","value":"EC"},{"id":4,"name":"Milepost","value":"23.3385"},{"id":17,"name":"Train ID","value":"169-18"},{"id":16,"name":"Locomotive ID","value":"4050"},{"id":130,"name":"Impact","value":""},{"id":150,"name":"Time of Event (Mountain Time)","value":"12:51:32"},{"id":151,"name":"Denver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3"/>
        <v>start /low /b %USERPROFILE%\Documents\GitHub\eaglep3\Utilities\DownloadLogsFromS3.py --loco 4050 --day 2017-08-18</v>
      </c>
      <c r="AN83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18:51:32"},{"id":29,"name":"Sharepoint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666</v>
      </c>
      <c r="B84" s="7">
        <v>4049</v>
      </c>
      <c r="C84" s="21" t="s">
        <v>198</v>
      </c>
      <c r="D84" s="21" t="s">
        <v>606</v>
      </c>
      <c r="E84" s="13">
        <v>42965.547974537039</v>
      </c>
      <c r="F84" s="13">
        <v>42965.550185185188</v>
      </c>
      <c r="G84" s="7">
        <v>1</v>
      </c>
      <c r="H84" s="21" t="s">
        <v>451</v>
      </c>
      <c r="I84" s="13">
        <v>42965.576550925929</v>
      </c>
      <c r="J84" s="7">
        <v>0</v>
      </c>
      <c r="K84" s="89" t="str">
        <f t="shared" si="29"/>
        <v>4049/4050</v>
      </c>
      <c r="L84" s="21" t="str">
        <f>VLOOKUP(A84,'Trips&amp;Operators'!$C$1:$G$99999,5,FALSE)</f>
        <v>LEVIN SCOTT</v>
      </c>
      <c r="M84" s="6">
        <f t="shared" si="30"/>
        <v>2.6365740741312038E-2</v>
      </c>
      <c r="N84" s="7">
        <f t="shared" si="27"/>
        <v>37.966666667489335</v>
      </c>
      <c r="O84" s="7"/>
      <c r="P84" s="7"/>
      <c r="Q84" s="22"/>
      <c r="R84" s="170"/>
      <c r="S84" s="213">
        <f t="shared" si="28"/>
        <v>1</v>
      </c>
      <c r="T84" s="195" t="str">
        <f t="shared" si="31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2"/>
        <v>https://d0f6bd738d7f1b3e5a7ca70fe4ff75f0.us-east-1.aws.found.io/app/kibana#/discover/Steve-Slow-Train-Analysis-(2080s-and-2083s)?_g=(refreshInterval:(display:Off,pause:!f,section:0,value:0),time:(from:'2017-08-18T12:09:05-0600',mode:absolute,to:'2017-08-18T14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4" s="197" t="str">
        <f>IF(AA84&lt;VLOOKUP(AG84,Variables!$AC$3:$AD$8,2,FALSE),"Y","N")</f>
        <v>N</v>
      </c>
      <c r="X84" s="197">
        <f t="shared" si="33"/>
        <v>1</v>
      </c>
      <c r="Y84" s="197">
        <f t="shared" si="34"/>
        <v>23.3079</v>
      </c>
      <c r="Z84" s="197">
        <f t="shared" si="35"/>
        <v>1.4500000000000001E-2</v>
      </c>
      <c r="AA84" s="197">
        <f t="shared" si="36"/>
        <v>23.293399999999998</v>
      </c>
      <c r="AB84" s="54" t="e">
        <f>VLOOKUP(A84,Enforcements!$C$7:$K$11,8,0)</f>
        <v>#N/A</v>
      </c>
      <c r="AC84" s="51" t="e">
        <f>VLOOKUP(A84,Enforcements!$C$7:$E$11,3,0)</f>
        <v>#N/A</v>
      </c>
      <c r="AD84" s="206">
        <f t="shared" si="37"/>
        <v>170</v>
      </c>
      <c r="AE84" s="77" t="str">
        <f t="shared" si="38"/>
        <v>aws s3 cp s3://rtdc.mdm.uploadarchive.raw/RTDC4049/ "%USERPROFILE%\AppData\Local\Temp\OnboardLogs"\RTDC4049\2017-08-18 --exclude "*" --recursive --include "*20170818*" &amp; "%USERPROFILE%\Documents\GitHub\mrs-test-scripts\Headless Mode &amp; Sideloading\WalkAndUnGZ.bat" "%USERPROFILE%\AppData\Local\Temp\OnboardLogs"\RTDC4049\2017-08-18 &amp; aws s3 cp s3://rtdc.mdm.uploadarchive.raw/RTDC4049/ "%USERPROFILE%\AppData\Local\Temp\OnboardLogs"\RTDC4049\2017-08-19 --exclude "*" --recursive --include "*20170819*" &amp; "%USERPROFILE%\Documents\GitHub\mrs-test-scripts\Headless Mode &amp; Sideloading\WalkAndUnGZ.bat" "%USERPROFILE%\AppData\Local\Temp\OnboardLogs"\RTDC4049\2017-08-19</v>
      </c>
      <c r="AF84" s="74" t="str">
        <f t="shared" si="39"/>
        <v>"C:\Program Files (x86)\AstroGrep\AstroGrep.exe" /e /r /s /spath="%USERPROFILE%\AppData\Local\Temp\OnboardLogs" /stypes="app*4049*20170818*" /stext=" 19:.+((SYSTEM_STATE.+slice.+state.+changed )|(ment ac)|(multiple cpu faults)|(system.+state.+changed )|(\[timeout)|(PRM\|1\|D)|(kpr)|(kdp)|(train st.+moving)|(\|lc)|(penalty))"</v>
      </c>
      <c r="AG84" s="209" t="str">
        <f t="shared" si="40"/>
        <v>EC</v>
      </c>
      <c r="AH84" s="78" t="str">
        <f t="shared" si="41"/>
        <v>"%USERPROFILE%\Documents\GitHub\eaglep3\Utilities\RefineRTDCRunTimes.py" --tripid 170-18 --locoid 4049 --swversion DE.1.0.9.0 --startMP 204:233079 --initTime 2017-08-18T13:09:05 --startdatetime 2017-08-18T13:12:16 --delay 1 --endMP 204:145 --enddatetime 2017-08-18T13:50:14 --enforcementcount 0 &gt;&gt;C:\Users\stu\Documents\GitHub\eaglep3-reporting\EC\2017-08-18-refined-times.txt</v>
      </c>
      <c r="AI84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{"issue":{"subject":"","project_id":79,"tracker_id":40,"status_id":1,"priority_id":2,"assigned_to_id":23,"start_date":"2017-08-18","description":"","custom_fields":[{"id":1,"name":"Subdivision","value":"EC"},{"id":4,"name":"Milepost","value":"0.0145"},{"id":17,"name":"Train ID","value":"170-18"},{"id":16,"name":"Locomotive ID","value":"4049"},{"id":130,"name":"Impact","value":""},{"id":150,"name":"Time of Event (Mountain Time)","value":"13:50:14"},{"id":151,"name":"Denver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3"/>
        <v>start /low /b %USERPROFILE%\Documents\GitHub\eaglep3\Utilities\DownloadLogsFromS3.py --loco 4049 --day 2017-08-18</v>
      </c>
      <c r="AN84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19:50:14"},{"id":29,"name":"Sharepoint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772</v>
      </c>
      <c r="B85" s="7">
        <v>4012</v>
      </c>
      <c r="C85" s="21" t="s">
        <v>198</v>
      </c>
      <c r="D85" s="21" t="s">
        <v>899</v>
      </c>
      <c r="E85" s="13">
        <v>42965.517187500001</v>
      </c>
      <c r="F85" s="13">
        <v>42965.52134259259</v>
      </c>
      <c r="G85" s="7">
        <v>1</v>
      </c>
      <c r="H85" s="21" t="s">
        <v>915</v>
      </c>
      <c r="I85" s="13">
        <v>42965.546516203707</v>
      </c>
      <c r="J85" s="7">
        <v>0</v>
      </c>
      <c r="K85" s="89" t="str">
        <f t="shared" si="29"/>
        <v>4011/4012</v>
      </c>
      <c r="L85" s="21" t="str">
        <f>VLOOKUP(A85,'Trips&amp;Operators'!$C$1:$G$99999,5,FALSE)</f>
        <v>SULLIVAN BRANDON</v>
      </c>
      <c r="M85" s="6">
        <f t="shared" si="30"/>
        <v>2.5173611116770189E-2</v>
      </c>
      <c r="N85" s="7">
        <f t="shared" si="27"/>
        <v>36.250000008149073</v>
      </c>
      <c r="O85" s="7"/>
      <c r="P85" s="7"/>
      <c r="Q85" s="22"/>
      <c r="R85" s="170"/>
      <c r="S85" s="213">
        <f t="shared" si="28"/>
        <v>1</v>
      </c>
      <c r="T85" s="195" t="str">
        <f t="shared" si="31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2"/>
        <v>https://d0f6bd738d7f1b3e5a7ca70fe4ff75f0.us-east-1.aws.found.io/app/kibana#/discover/Steve-Slow-Train-Analysis-(2080s-and-2083s)?_g=(refreshInterval:(display:Off,pause:!f,section:0,value:0),time:(from:'2017-08-18T11:24:45-0600',mode:absolute,to:'2017-08-18T14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5" s="197" t="str">
        <f>IF(AA85&lt;VLOOKUP(AG85,Variables!$AC$3:$AD$8,2,FALSE),"Y","N")</f>
        <v>N</v>
      </c>
      <c r="X85" s="197">
        <f t="shared" si="33"/>
        <v>1</v>
      </c>
      <c r="Y85" s="197">
        <f t="shared" si="34"/>
        <v>4.3799999999999999E-2</v>
      </c>
      <c r="Z85" s="197">
        <f t="shared" si="35"/>
        <v>23.338699999999999</v>
      </c>
      <c r="AA85" s="197">
        <f t="shared" si="36"/>
        <v>23.294899999999998</v>
      </c>
      <c r="AB85" s="54" t="e">
        <f>VLOOKUP(A85,Enforcements!$C$7:$K$11,8,0)</f>
        <v>#N/A</v>
      </c>
      <c r="AC85" s="51" t="e">
        <f>VLOOKUP(A85,Enforcements!$C$7:$E$11,3,0)</f>
        <v>#N/A</v>
      </c>
      <c r="AD85" s="206">
        <f t="shared" si="37"/>
        <v>171</v>
      </c>
      <c r="AE85" s="77" t="str">
        <f t="shared" si="38"/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AF85" s="74" t="str">
        <f t="shared" si="39"/>
        <v>"C:\Program Files (x86)\AstroGrep\AstroGrep.exe" /e /r /s /spath="%USERPROFILE%\AppData\Local\Temp\OnboardLogs" /stypes="app*4012*20170818*" /stext=" 19:.+((SYSTEM_STATE.+slice.+state.+changed )|(ment ac)|(multiple cpu faults)|(system.+state.+changed )|(\[timeout)|(PRM\|1\|D)|(kpr)|(kdp)|(train st.+moving)|(\|lc)|(penalty))"</v>
      </c>
      <c r="AG85" s="209" t="str">
        <f t="shared" si="40"/>
        <v>EC</v>
      </c>
      <c r="AH85" s="78" t="str">
        <f t="shared" si="41"/>
        <v>"%USERPROFILE%\Documents\GitHub\eaglep3\Utilities\RefineRTDCRunTimes.py" --tripid 171-18 --locoid 4012 --swversion DE.1.0.9.0 --startMP 204:438 --initTime 2017-08-18T12:24:45 --startdatetime 2017-08-18T12:30:44 --delay 1 --endMP 204:233387 --enddatetime 2017-08-18T13:06:59 --enforcementcount 0 &gt;&gt;C:\Users\stu\Documents\GitHub\eaglep3-reporting\EC\2017-08-18-refined-times.txt</v>
      </c>
      <c r="AI85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{"issue":{"subject":"","project_id":79,"tracker_id":40,"status_id":1,"priority_id":2,"assigned_to_id":23,"start_date":"2017-08-18","description":"","custom_fields":[{"id":1,"name":"Subdivision","value":"EC"},{"id":4,"name":"Milepost","value":"23.3387"},{"id":17,"name":"Train ID","value":"171-18"},{"id":16,"name":"Locomotive ID","value":"4012"},{"id":130,"name":"Impact","value":""},{"id":150,"name":"Time of Event (Mountain Time)","value":"13:06:59"},{"id":151,"name":"Denver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3"/>
        <v>start /low /b %USERPROFILE%\Documents\GitHub\eaglep3\Utilities\DownloadLogsFromS3.py --loco 4012 --day 2017-08-18</v>
      </c>
      <c r="AN85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19:06:59"},{"id":29,"name":"Sharepoint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668</v>
      </c>
      <c r="B86" s="7">
        <v>4011</v>
      </c>
      <c r="C86" s="21" t="s">
        <v>198</v>
      </c>
      <c r="D86" s="21" t="s">
        <v>555</v>
      </c>
      <c r="E86" s="13">
        <v>42965.554328703707</v>
      </c>
      <c r="F86" s="13">
        <v>42965.560624999998</v>
      </c>
      <c r="G86" s="7">
        <v>1</v>
      </c>
      <c r="H86" s="21" t="s">
        <v>916</v>
      </c>
      <c r="I86" s="13">
        <v>42965.584965277776</v>
      </c>
      <c r="J86" s="7">
        <v>0</v>
      </c>
      <c r="K86" s="89" t="str">
        <f t="shared" si="29"/>
        <v>4011/4012</v>
      </c>
      <c r="L86" s="21" t="str">
        <f>VLOOKUP(A86,'Trips&amp;Operators'!$C$1:$G$99999,5,FALSE)</f>
        <v>SULLIVAN BRANDON</v>
      </c>
      <c r="M86" s="6">
        <f t="shared" si="30"/>
        <v>2.4340277777810115E-2</v>
      </c>
      <c r="N86" s="7"/>
      <c r="O86" s="7"/>
      <c r="P86" s="7">
        <f>24*60*SUM($M86:$M86)</f>
        <v>35.050000000046566</v>
      </c>
      <c r="Q86" s="22"/>
      <c r="R86" s="170" t="s">
        <v>483</v>
      </c>
      <c r="S86" s="213">
        <f t="shared" si="28"/>
        <v>1</v>
      </c>
      <c r="T86" s="195" t="str">
        <f t="shared" si="31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2"/>
        <v>https://d0f6bd738d7f1b3e5a7ca70fe4ff75f0.us-east-1.aws.found.io/app/kibana#/discover/Steve-Slow-Train-Analysis-(2080s-and-2083s)?_g=(refreshInterval:(display:Off,pause:!f,section:0,value:0),time:(from:'2017-08-18T12:18:14-0600',mode:absolute,to:'2017-08-18T15:02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6" s="197" t="str">
        <f>IF(AA86&lt;VLOOKUP(AG86,Variables!$AC$3:$AD$8,2,FALSE),"Y","N")</f>
        <v>Y</v>
      </c>
      <c r="X86" s="197">
        <f t="shared" si="33"/>
        <v>1</v>
      </c>
      <c r="Y86" s="197">
        <f t="shared" si="34"/>
        <v>23.305900000000001</v>
      </c>
      <c r="Z86" s="197">
        <f t="shared" si="35"/>
        <v>1.1658999999999999</v>
      </c>
      <c r="AA86" s="197">
        <f t="shared" si="36"/>
        <v>22.14</v>
      </c>
      <c r="AB86" s="54" t="e">
        <f>VLOOKUP(A86,Enforcements!$C$7:$K$11,8,0)</f>
        <v>#N/A</v>
      </c>
      <c r="AC86" s="51" t="e">
        <f>VLOOKUP(A86,Enforcements!$C$7:$E$11,3,0)</f>
        <v>#N/A</v>
      </c>
      <c r="AD86" s="206">
        <f t="shared" si="37"/>
        <v>172</v>
      </c>
      <c r="AE86" s="77" t="str">
        <f t="shared" si="38"/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AF86" s="74" t="str">
        <f t="shared" si="39"/>
        <v>"C:\Program Files (x86)\AstroGrep\AstroGrep.exe" /e /r /s /spath="%USERPROFILE%\AppData\Local\Temp\OnboardLogs" /stypes="app*4011*20170818*" /stext=" 20:.+((SYSTEM_STATE.+slice.+state.+changed )|(ment ac)|(multiple cpu faults)|(system.+state.+changed )|(\[timeout)|(PRM\|1\|D)|(kpr)|(kdp)|(train st.+moving)|(\|lc)|(penalty))"</v>
      </c>
      <c r="AG86" s="209" t="str">
        <f t="shared" si="40"/>
        <v>EC</v>
      </c>
      <c r="AH86" s="78" t="str">
        <f t="shared" si="41"/>
        <v>"%USERPROFILE%\Documents\GitHub\eaglep3\Utilities\RefineRTDCRunTimes.py" --tripid 172-18 --locoid 4011 --swversion DE.1.0.9.0 --startMP 204:233059 --initTime 2017-08-18T13:18:14 --startdatetime 2017-08-18T13:27:18 --delay 1 --endMP 204:11659 --enddatetime 2017-08-18T14:02:21 --enforcementcount 0 &gt;&gt;C:\Users\stu\Documents\GitHub\eaglep3-reporting\EC\2017-08-18-refined-times.txt</v>
      </c>
      <c r="AI86" s="96" t="str">
        <f t="shared" si="42"/>
        <v>echo {"issue":{"subject":"Wi-MAX data drop","project_id":79,"tracker_id":40,"status_id":1,"priority_id":2,"assigned_to_id":23,"start_date":"2017-08-18","description":"","custom_fields":[{"id":1,"name":"Subdivision","value":"EC"},{"id":4,"name":"Milepost","value":"1.1659"},{"id":17,"name":"Train ID","value":"172-18"},{"id":16,"name":"Locomotive ID","value":"4011"},{"id":130,"name":"Impact","value":""},{"id":150,"name":"Time of Event (Mountain Time)","value":"14:02:21"},{"id":151,"name":"Denver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3"/>
        <v>start /low /b %USERPROFILE%\Documents\GitHub\eaglep3\Utilities\DownloadLogsFromS3.py --loco 4011 --day 2017-08-18</v>
      </c>
      <c r="AN86" s="151" t="str">
        <f t="shared" si="44"/>
        <v>echo {"issue":{"subject":"Wi-MAX data drop","project_id":30,"tracker_id":4,"status_id":1,"priority_id":1,"assigned_to_id":10,"start_date":"2017-08-18","description":"","custom_fields":[{"id":30,"name":"Category","value":"Issue"},{"id":3,"name":"Functional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20:02:21"},{"id":29,"name":"Sharepoint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664</v>
      </c>
      <c r="B87" s="7">
        <v>4018</v>
      </c>
      <c r="C87" s="21" t="s">
        <v>198</v>
      </c>
      <c r="D87" s="21" t="s">
        <v>440</v>
      </c>
      <c r="E87" s="13">
        <v>42965.528194444443</v>
      </c>
      <c r="F87" s="13">
        <v>42965.531782407408</v>
      </c>
      <c r="G87" s="7">
        <v>2</v>
      </c>
      <c r="H87" s="21" t="s">
        <v>603</v>
      </c>
      <c r="I87" s="13">
        <v>42965.55773148148</v>
      </c>
      <c r="J87" s="7">
        <v>0</v>
      </c>
      <c r="K87" s="89" t="str">
        <f t="shared" si="29"/>
        <v>4017/4018</v>
      </c>
      <c r="L87" s="21" t="str">
        <f>VLOOKUP(A87,'Trips&amp;Operators'!$C$1:$G$99999,5,FALSE)</f>
        <v>NICHOLSON WESLEY</v>
      </c>
      <c r="M87" s="6">
        <f t="shared" si="30"/>
        <v>2.5949074071832001E-2</v>
      </c>
      <c r="N87" s="7">
        <f t="shared" ref="N87:N99" si="45">24*60*SUM($M87:$M87)</f>
        <v>37.366666663438082</v>
      </c>
      <c r="O87" s="7"/>
      <c r="P87" s="7"/>
      <c r="Q87" s="22"/>
      <c r="R87" s="170"/>
      <c r="S87" s="213">
        <f t="shared" si="28"/>
        <v>1</v>
      </c>
      <c r="T87" s="195" t="str">
        <f t="shared" si="31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2"/>
        <v>https://d0f6bd738d7f1b3e5a7ca70fe4ff75f0.us-east-1.aws.found.io/app/kibana#/discover/Steve-Slow-Train-Analysis-(2080s-and-2083s)?_g=(refreshInterval:(display:Off,pause:!f,section:0,value:0),time:(from:'2017-08-18T11:40:36-0600',mode:absolute,to:'2017-08-18T14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197" t="str">
        <f>IF(AA87&lt;VLOOKUP(AG87,Variables!$AC$3:$AD$8,2,FALSE),"Y","N")</f>
        <v>N</v>
      </c>
      <c r="X87" s="197">
        <f t="shared" si="33"/>
        <v>1</v>
      </c>
      <c r="Y87" s="197">
        <f t="shared" si="34"/>
        <v>4.5699999999999998E-2</v>
      </c>
      <c r="Z87" s="197">
        <f t="shared" si="35"/>
        <v>23.331900000000001</v>
      </c>
      <c r="AA87" s="197">
        <f t="shared" si="36"/>
        <v>23.286200000000001</v>
      </c>
      <c r="AB87" s="54" t="e">
        <f>VLOOKUP(A87,Enforcements!$C$7:$K$11,8,0)</f>
        <v>#N/A</v>
      </c>
      <c r="AC87" s="51" t="e">
        <f>VLOOKUP(A87,Enforcements!$C$7:$E$11,3,0)</f>
        <v>#N/A</v>
      </c>
      <c r="AD87" s="206">
        <f t="shared" si="37"/>
        <v>173</v>
      </c>
      <c r="AE87" s="77" t="str">
        <f t="shared" si="38"/>
        <v>aws s3 cp s3://rtdc.mdm.uploadarchive.raw/RTDC4018/ "%USERPROFILE%\AppData\Local\Temp\OnboardLogs"\RTDC4018\2017-08-18 --exclude "*" --recursive --include "*20170818*" &amp; "%USERPROFILE%\Documents\GitHub\mrs-test-scripts\Headless Mode &amp; Sideloading\WalkAndUnGZ.bat" "%USERPROFILE%\AppData\Local\Temp\OnboardLogs"\RTDC4018\2017-08-18 &amp; aws s3 cp s3://rtdc.mdm.uploadarchive.raw/RTDC4018/ "%USERPROFILE%\AppData\Local\Temp\OnboardLogs"\RTDC4018\2017-08-19 --exclude "*" --recursive --include "*20170819*" &amp; "%USERPROFILE%\Documents\GitHub\mrs-test-scripts\Headless Mode &amp; Sideloading\WalkAndUnGZ.bat" "%USERPROFILE%\AppData\Local\Temp\OnboardLogs"\RTDC4018\2017-08-19</v>
      </c>
      <c r="AF87" s="74" t="str">
        <f t="shared" si="39"/>
        <v>"C:\Program Files (x86)\AstroGrep\AstroGrep.exe" /e /r /s /spath="%USERPROFILE%\AppData\Local\Temp\OnboardLogs" /stypes="app*4018*20170818*" /stext=" 19:.+((SYSTEM_STATE.+slice.+state.+changed )|(ment ac)|(multiple cpu faults)|(system.+state.+changed )|(\[timeout)|(PRM\|1\|D)|(kpr)|(kdp)|(train st.+moving)|(\|lc)|(penalty))"</v>
      </c>
      <c r="AG87" s="209" t="str">
        <f t="shared" si="40"/>
        <v>EC</v>
      </c>
      <c r="AH87" s="78" t="str">
        <f t="shared" si="41"/>
        <v>"%USERPROFILE%\Documents\GitHub\eaglep3\Utilities\RefineRTDCRunTimes.py" --tripid 173-18 --locoid 4018 --swversion DE.1.0.9.0 --startMP 204:457 --initTime 2017-08-18T12:40:36 --startdatetime 2017-08-18T12:45:46 --delay 2 --endMP 204:233319 --enddatetime 2017-08-18T13:23:08 --enforcementcount 0 &gt;&gt;C:\Users\stu\Documents\GitHub\eaglep3-reporting\EC\2017-08-18-refined-times.txt</v>
      </c>
      <c r="AI87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{"issue":{"subject":"","project_id":79,"tracker_id":40,"status_id":1,"priority_id":2,"assigned_to_id":23,"start_date":"2017-08-18","description":"","custom_fields":[{"id":1,"name":"Subdivision","value":"EC"},{"id":4,"name":"Milepost","value":"23.3319"},{"id":17,"name":"Train ID","value":"173-18"},{"id":16,"name":"Locomotive ID","value":"4018"},{"id":130,"name":"Impact","value":""},{"id":150,"name":"Time of Event (Mountain Time)","value":"13:23:08"},{"id":151,"name":"Denver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3"/>
        <v>start /low /b %USERPROFILE%\Documents\GitHub\eaglep3\Utilities\DownloadLogsFromS3.py --loco 4018 --day 2017-08-18</v>
      </c>
      <c r="AN87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19:23:08"},{"id":29,"name":"Sharepoint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780</v>
      </c>
      <c r="B88" s="7">
        <v>4017</v>
      </c>
      <c r="C88" s="21" t="s">
        <v>198</v>
      </c>
      <c r="D88" s="21" t="s">
        <v>479</v>
      </c>
      <c r="E88" s="13">
        <v>42965.559525462966</v>
      </c>
      <c r="F88" s="13">
        <v>42965.571030092593</v>
      </c>
      <c r="G88" s="7">
        <v>2</v>
      </c>
      <c r="H88" s="21" t="s">
        <v>437</v>
      </c>
      <c r="I88" s="13">
        <v>42965.598043981481</v>
      </c>
      <c r="J88" s="7">
        <v>0</v>
      </c>
      <c r="K88" s="89" t="str">
        <f t="shared" si="29"/>
        <v>4017/4018</v>
      </c>
      <c r="L88" s="21" t="str">
        <f>VLOOKUP(A88,'Trips&amp;Operators'!$C$1:$G$99999,5,FALSE)</f>
        <v>NICHOLSON WESLEY</v>
      </c>
      <c r="M88" s="6">
        <f t="shared" si="30"/>
        <v>2.7013888888177462E-2</v>
      </c>
      <c r="N88" s="7">
        <f t="shared" si="45"/>
        <v>38.899999998975545</v>
      </c>
      <c r="O88" s="7"/>
      <c r="P88" s="7"/>
      <c r="Q88" s="22"/>
      <c r="R88" s="170"/>
      <c r="S88" s="213">
        <f t="shared" si="28"/>
        <v>1</v>
      </c>
      <c r="T88" s="195" t="str">
        <f t="shared" si="31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2"/>
        <v>https://d0f6bd738d7f1b3e5a7ca70fe4ff75f0.us-east-1.aws.found.io/app/kibana#/discover/Steve-Slow-Train-Analysis-(2080s-and-2083s)?_g=(refreshInterval:(display:Off,pause:!f,section:0,value:0),time:(from:'2017-08-18T12:25:43-0600',mode:absolute,to:'2017-08-18T15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197" t="str">
        <f>IF(AA88&lt;VLOOKUP(AG88,Variables!$AC$3:$AD$8,2,FALSE),"Y","N")</f>
        <v>N</v>
      </c>
      <c r="X88" s="197">
        <f t="shared" si="33"/>
        <v>1</v>
      </c>
      <c r="Y88" s="197">
        <f t="shared" si="34"/>
        <v>23.3</v>
      </c>
      <c r="Z88" s="197">
        <f t="shared" si="35"/>
        <v>1.52E-2</v>
      </c>
      <c r="AA88" s="197">
        <f t="shared" si="36"/>
        <v>23.284800000000001</v>
      </c>
      <c r="AB88" s="54" t="e">
        <f>VLOOKUP(A88,Enforcements!$C$7:$K$11,8,0)</f>
        <v>#N/A</v>
      </c>
      <c r="AC88" s="51" t="e">
        <f>VLOOKUP(A88,Enforcements!$C$7:$E$11,3,0)</f>
        <v>#N/A</v>
      </c>
      <c r="AD88" s="206">
        <f t="shared" si="37"/>
        <v>174</v>
      </c>
      <c r="AE88" s="77" t="str">
        <f t="shared" si="38"/>
        <v>aws s3 cp s3://rtdc.mdm.uploadarchive.raw/RTDC4017/ "%USERPROFILE%\AppData\Local\Temp\OnboardLogs"\RTDC4017\2017-08-18 --exclude "*" --recursive --include "*20170818*" &amp; "%USERPROFILE%\Documents\GitHub\mrs-test-scripts\Headless Mode &amp; Sideloading\WalkAndUnGZ.bat" "%USERPROFILE%\AppData\Local\Temp\OnboardLogs"\RTDC4017\2017-08-18 &amp; aws s3 cp s3://rtdc.mdm.uploadarchive.raw/RTDC4017/ "%USERPROFILE%\AppData\Local\Temp\OnboardLogs"\RTDC4017\2017-08-19 --exclude "*" --recursive --include "*20170819*" &amp; "%USERPROFILE%\Documents\GitHub\mrs-test-scripts\Headless Mode &amp; Sideloading\WalkAndUnGZ.bat" "%USERPROFILE%\AppData\Local\Temp\OnboardLogs"\RTDC4017\2017-08-19</v>
      </c>
      <c r="AF88" s="74" t="str">
        <f t="shared" si="39"/>
        <v>"C:\Program Files (x86)\AstroGrep\AstroGrep.exe" /e /r /s /spath="%USERPROFILE%\AppData\Local\Temp\OnboardLogs" /stypes="app*4017*20170818*" /stext=" 20:.+((SYSTEM_STATE.+slice.+state.+changed )|(ment ac)|(multiple cpu faults)|(system.+state.+changed )|(\[timeout)|(PRM\|1\|D)|(kpr)|(kdp)|(train st.+moving)|(\|lc)|(penalty))"</v>
      </c>
      <c r="AG88" s="209" t="str">
        <f t="shared" si="40"/>
        <v>EC</v>
      </c>
      <c r="AH88" s="78" t="str">
        <f t="shared" si="41"/>
        <v>"%USERPROFILE%\Documents\GitHub\eaglep3\Utilities\RefineRTDCRunTimes.py" --tripid 174-18 --locoid 4017 --swversion DE.1.0.9.0 --startMP 204:233000 --initTime 2017-08-18T13:25:43 --startdatetime 2017-08-18T13:42:17 --delay 2 --endMP 204:152 --enddatetime 2017-08-18T14:21:11 --enforcementcount 0 &gt;&gt;C:\Users\stu\Documents\GitHub\eaglep3-reporting\EC\2017-08-18-refined-times.txt</v>
      </c>
      <c r="AI88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{"issue":{"subject":"","project_id":79,"tracker_id":40,"status_id":1,"priority_id":2,"assigned_to_id":23,"start_date":"2017-08-18","description":"","custom_fields":[{"id":1,"name":"Subdivision","value":"EC"},{"id":4,"name":"Milepost","value":"0.0152"},{"id":17,"name":"Train ID","value":"174-18"},{"id":16,"name":"Locomotive ID","value":"4017"},{"id":130,"name":"Impact","value":""},{"id":150,"name":"Time of Event (Mountain Time)","value":"14:21:11"},{"id":151,"name":"Denver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3"/>
        <v>start /low /b %USERPROFILE%\Documents\GitHub\eaglep3\Utilities\DownloadLogsFromS3.py --loco 4017 --day 2017-08-18</v>
      </c>
      <c r="AN88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20:21:11"},{"id":29,"name":"Sharepoint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776</v>
      </c>
      <c r="B89" s="7">
        <v>4030</v>
      </c>
      <c r="C89" s="21" t="s">
        <v>198</v>
      </c>
      <c r="D89" s="21" t="s">
        <v>346</v>
      </c>
      <c r="E89" s="13">
        <v>42965.539305555554</v>
      </c>
      <c r="F89" s="13">
        <v>42965.542337962965</v>
      </c>
      <c r="G89" s="7">
        <v>1</v>
      </c>
      <c r="H89" s="21" t="s">
        <v>917</v>
      </c>
      <c r="I89" s="13">
        <v>42965.568171296298</v>
      </c>
      <c r="J89" s="7">
        <v>0</v>
      </c>
      <c r="K89" s="89" t="str">
        <f t="shared" si="29"/>
        <v>4029/4030</v>
      </c>
      <c r="L89" s="21" t="str">
        <f>VLOOKUP(A89,'Trips&amp;Operators'!$C$1:$G$99999,5,FALSE)</f>
        <v>THOMPSON LESTER</v>
      </c>
      <c r="M89" s="6">
        <f t="shared" si="30"/>
        <v>2.5833333333139308E-2</v>
      </c>
      <c r="N89" s="7">
        <f t="shared" si="45"/>
        <v>37.199999999720603</v>
      </c>
      <c r="O89" s="7"/>
      <c r="P89" s="7"/>
      <c r="Q89" s="22"/>
      <c r="R89" s="170"/>
      <c r="S89" s="213">
        <f t="shared" si="28"/>
        <v>1</v>
      </c>
      <c r="T89" s="195" t="str">
        <f t="shared" si="31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2"/>
        <v>https://d0f6bd738d7f1b3e5a7ca70fe4ff75f0.us-east-1.aws.found.io/app/kibana#/discover/Steve-Slow-Train-Analysis-(2080s-and-2083s)?_g=(refreshInterval:(display:Off,pause:!f,section:0,value:0),time:(from:'2017-08-18T11:56:36-0600',mode:absolute,to:'2017-08-18T14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9" s="197" t="str">
        <f>IF(AA89&lt;VLOOKUP(AG89,Variables!$AC$3:$AD$8,2,FALSE),"Y","N")</f>
        <v>N</v>
      </c>
      <c r="X89" s="197">
        <f t="shared" si="33"/>
        <v>1</v>
      </c>
      <c r="Y89" s="197">
        <f t="shared" si="34"/>
        <v>4.4699999999999997E-2</v>
      </c>
      <c r="Z89" s="197">
        <f t="shared" si="35"/>
        <v>23.336600000000001</v>
      </c>
      <c r="AA89" s="197">
        <f t="shared" si="36"/>
        <v>23.291900000000002</v>
      </c>
      <c r="AB89" s="54" t="e">
        <f>VLOOKUP(A89,Enforcements!$C$7:$K$11,8,0)</f>
        <v>#N/A</v>
      </c>
      <c r="AC89" s="51" t="e">
        <f>VLOOKUP(A89,Enforcements!$C$7:$E$11,3,0)</f>
        <v>#N/A</v>
      </c>
      <c r="AD89" s="206">
        <f t="shared" si="37"/>
        <v>175</v>
      </c>
      <c r="AE89" s="77" t="str">
        <f t="shared" si="38"/>
        <v>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 &amp; 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</v>
      </c>
      <c r="AF89" s="74" t="str">
        <f t="shared" si="39"/>
        <v>"C:\Program Files (x86)\AstroGrep\AstroGrep.exe" /e /r /s /spath="%USERPROFILE%\AppData\Local\Temp\OnboardLogs" /stypes="app*4030*20170818*" /stext=" 19:.+((SYSTEM_STATE.+slice.+state.+changed )|(ment ac)|(multiple cpu faults)|(system.+state.+changed )|(\[timeout)|(PRM\|1\|D)|(kpr)|(kdp)|(train st.+moving)|(\|lc)|(penalty))"</v>
      </c>
      <c r="AG89" s="209" t="str">
        <f t="shared" si="40"/>
        <v>EC</v>
      </c>
      <c r="AH89" s="78" t="str">
        <f t="shared" si="41"/>
        <v>"%USERPROFILE%\Documents\GitHub\eaglep3\Utilities\RefineRTDCRunTimes.py" --tripid 175-18 --locoid 4030 --swversion DE.1.0.9.0 --startMP 204:447 --initTime 2017-08-18T12:56:36 --startdatetime 2017-08-18T13:00:58 --delay 1 --endMP 204:233366 --enddatetime 2017-08-18T13:38:10 --enforcementcount 0 &gt;&gt;C:\Users\stu\Documents\GitHub\eaglep3-reporting\EC\2017-08-18-refined-times.txt</v>
      </c>
      <c r="AI89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{"issue":{"subject":"","project_id":79,"tracker_id":40,"status_id":1,"priority_id":2,"assigned_to_id":23,"start_date":"2017-08-18","description":"","custom_fields":[{"id":1,"name":"Subdivision","value":"EC"},{"id":4,"name":"Milepost","value":"23.3366"},{"id":17,"name":"Train ID","value":"175-18"},{"id":16,"name":"Locomotive ID","value":"4030"},{"id":130,"name":"Impact","value":""},{"id":150,"name":"Time of Event (Mountain Time)","value":"13:38:10"},{"id":151,"name":"Denver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3"/>
        <v>start /low /b %USERPROFILE%\Documents\GitHub\eaglep3\Utilities\DownloadLogsFromS3.py --loco 4030 --day 2017-08-18</v>
      </c>
      <c r="AN89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19:38:10"},{"id":29,"name":"Sharepoint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783</v>
      </c>
      <c r="B90" s="7">
        <v>4029</v>
      </c>
      <c r="C90" s="21" t="s">
        <v>198</v>
      </c>
      <c r="D90" s="21" t="s">
        <v>892</v>
      </c>
      <c r="E90" s="13">
        <v>42965.579293981478</v>
      </c>
      <c r="F90" s="13">
        <v>42965.581458333334</v>
      </c>
      <c r="G90" s="7">
        <v>1</v>
      </c>
      <c r="H90" s="21" t="s">
        <v>436</v>
      </c>
      <c r="I90" s="13">
        <v>42965.608761574076</v>
      </c>
      <c r="J90" s="7">
        <v>0</v>
      </c>
      <c r="K90" s="89" t="str">
        <f t="shared" si="29"/>
        <v>4029/4030</v>
      </c>
      <c r="L90" s="21" t="str">
        <f>VLOOKUP(A90,'Trips&amp;Operators'!$C$1:$G$99999,5,FALSE)</f>
        <v>THOMPSON LESTER</v>
      </c>
      <c r="M90" s="6">
        <f t="shared" si="30"/>
        <v>2.7303240742185153E-2</v>
      </c>
      <c r="N90" s="7">
        <f t="shared" si="45"/>
        <v>39.31666666874662</v>
      </c>
      <c r="O90" s="7"/>
      <c r="P90" s="7"/>
      <c r="Q90" s="22"/>
      <c r="R90" s="170"/>
      <c r="S90" s="213">
        <f t="shared" si="28"/>
        <v>1</v>
      </c>
      <c r="T90" s="195" t="str">
        <f t="shared" si="31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2"/>
        <v>https://d0f6bd738d7f1b3e5a7ca70fe4ff75f0.us-east-1.aws.found.io/app/kibana#/discover/Steve-Slow-Train-Analysis-(2080s-and-2083s)?_g=(refreshInterval:(display:Off,pause:!f,section:0,value:0),time:(from:'2017-08-18T12:54:11-0600',mode:absolute,to:'2017-08-18T15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0" s="197" t="str">
        <f>IF(AA90&lt;VLOOKUP(AG90,Variables!$AC$3:$AD$8,2,FALSE),"Y","N")</f>
        <v>N</v>
      </c>
      <c r="X90" s="197">
        <f t="shared" si="33"/>
        <v>1</v>
      </c>
      <c r="Y90" s="197">
        <f t="shared" si="34"/>
        <v>23.3049</v>
      </c>
      <c r="Z90" s="197">
        <f t="shared" si="35"/>
        <v>1.5800000000000002E-2</v>
      </c>
      <c r="AA90" s="197">
        <f t="shared" si="36"/>
        <v>23.289100000000001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206">
        <f t="shared" si="37"/>
        <v>176</v>
      </c>
      <c r="AE90" s="77" t="str">
        <f t="shared" si="38"/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AF90" s="74" t="str">
        <f t="shared" si="39"/>
        <v>"C:\Program Files (x86)\AstroGrep\AstroGrep.exe" /e /r /s /spath="%USERPROFILE%\AppData\Local\Temp\OnboardLogs" /stypes="app*4029*20170818*" /stext=" 20:.+((SYSTEM_STATE.+slice.+state.+changed )|(ment ac)|(multiple cpu faults)|(system.+state.+changed )|(\[timeout)|(PRM\|1\|D)|(kpr)|(kdp)|(train st.+moving)|(\|lc)|(penalty))"</v>
      </c>
      <c r="AG90" s="209" t="str">
        <f t="shared" si="40"/>
        <v>EC</v>
      </c>
      <c r="AH90" s="78" t="str">
        <f t="shared" si="41"/>
        <v>"%USERPROFILE%\Documents\GitHub\eaglep3\Utilities\RefineRTDCRunTimes.py" --tripid 176-18 --locoid 4029 --swversion DE.1.0.9.0 --startMP 204:233049 --initTime 2017-08-18T13:54:11 --startdatetime 2017-08-18T13:57:18 --delay 1 --endMP 204:158 --enddatetime 2017-08-18T14:36:37 --enforcementcount 0 &gt;&gt;C:\Users\stu\Documents\GitHub\eaglep3-reporting\EC\2017-08-18-refined-times.txt</v>
      </c>
      <c r="AI90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{"issue":{"subject":"","project_id":79,"tracker_id":40,"status_id":1,"priority_id":2,"assigned_to_id":23,"start_date":"2017-08-18","description":"","custom_fields":[{"id":1,"name":"Subdivision","value":"EC"},{"id":4,"name":"Milepost","value":"0.0158"},{"id":17,"name":"Train ID","value":"176-18"},{"id":16,"name":"Locomotive ID","value":"4029"},{"id":130,"name":"Impact","value":""},{"id":150,"name":"Time of Event (Mountain Time)","value":"14:36:37"},{"id":151,"name":"Denver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3"/>
        <v>start /low /b %USERPROFILE%\Documents\GitHub\eaglep3\Utilities\DownloadLogsFromS3.py --loco 4029 --day 2017-08-18</v>
      </c>
      <c r="AN90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20:36:37"},{"id":29,"name":"Sharepoint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778</v>
      </c>
      <c r="B91" s="7">
        <v>4028</v>
      </c>
      <c r="C91" s="21" t="s">
        <v>198</v>
      </c>
      <c r="D91" s="21" t="s">
        <v>470</v>
      </c>
      <c r="E91" s="13">
        <v>42965.548333333332</v>
      </c>
      <c r="F91" s="13">
        <v>42965.552708333336</v>
      </c>
      <c r="G91" s="7">
        <v>1</v>
      </c>
      <c r="H91" s="21" t="s">
        <v>918</v>
      </c>
      <c r="I91" s="13">
        <v>42965.578182870369</v>
      </c>
      <c r="J91" s="7">
        <v>0</v>
      </c>
      <c r="K91" s="89" t="str">
        <f t="shared" si="29"/>
        <v>4027/4028</v>
      </c>
      <c r="L91" s="21" t="str">
        <f>VLOOKUP(A91,'Trips&amp;Operators'!$C$1:$G$99999,5,FALSE)</f>
        <v>STEWART MICHAEL</v>
      </c>
      <c r="M91" s="6">
        <f t="shared" si="30"/>
        <v>2.5474537033005618E-2</v>
      </c>
      <c r="N91" s="7">
        <f t="shared" si="45"/>
        <v>36.683333327528089</v>
      </c>
      <c r="O91" s="7"/>
      <c r="P91" s="7"/>
      <c r="Q91" s="22"/>
      <c r="R91" s="170"/>
      <c r="S91" s="213">
        <f t="shared" si="28"/>
        <v>1</v>
      </c>
      <c r="T91" s="195" t="str">
        <f t="shared" si="31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2"/>
        <v>https://d0f6bd738d7f1b3e5a7ca70fe4ff75f0.us-east-1.aws.found.io/app/kibana#/discover/Steve-Slow-Train-Analysis-(2080s-and-2083s)?_g=(refreshInterval:(display:Off,pause:!f,section:0,value:0),time:(from:'2017-08-18T12:09:36-0600',mode:absolute,to:'2017-08-18T14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1" s="197" t="str">
        <f>IF(AA91&lt;VLOOKUP(AG91,Variables!$AC$3:$AD$8,2,FALSE),"Y","N")</f>
        <v>N</v>
      </c>
      <c r="X91" s="197">
        <f t="shared" si="33"/>
        <v>1</v>
      </c>
      <c r="Y91" s="197">
        <f t="shared" si="34"/>
        <v>4.7100000000000003E-2</v>
      </c>
      <c r="Z91" s="197">
        <f t="shared" si="35"/>
        <v>23.328099999999999</v>
      </c>
      <c r="AA91" s="197">
        <f t="shared" si="36"/>
        <v>23.280999999999999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206">
        <f t="shared" si="37"/>
        <v>177</v>
      </c>
      <c r="AE91" s="77" t="str">
        <f t="shared" si="38"/>
        <v>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 &amp; 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</v>
      </c>
      <c r="AF91" s="74" t="str">
        <f t="shared" si="39"/>
        <v>"C:\Program Files (x86)\AstroGrep\AstroGrep.exe" /e /r /s /spath="%USERPROFILE%\AppData\Local\Temp\OnboardLogs" /stypes="app*4028*20170818*" /stext=" 19:.+((SYSTEM_STATE.+slice.+state.+changed )|(ment ac)|(multiple cpu faults)|(system.+state.+changed )|(\[timeout)|(PRM\|1\|D)|(kpr)|(kdp)|(train st.+moving)|(\|lc)|(penalty))"</v>
      </c>
      <c r="AG91" s="209" t="str">
        <f t="shared" si="40"/>
        <v>EC</v>
      </c>
      <c r="AH91" s="78" t="str">
        <f t="shared" si="41"/>
        <v>"%USERPROFILE%\Documents\GitHub\eaglep3\Utilities\RefineRTDCRunTimes.py" --tripid 177-18 --locoid 4028 --swversion DE.1.0.9.0 --startMP 204:471 --initTime 2017-08-18T13:09:36 --startdatetime 2017-08-18T13:15:54 --delay 1 --endMP 204:233281 --enddatetime 2017-08-18T13:52:35 --enforcementcount 0 &gt;&gt;C:\Users\stu\Documents\GitHub\eaglep3-reporting\EC\2017-08-18-refined-times.txt</v>
      </c>
      <c r="AI91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{"issue":{"subject":"","project_id":79,"tracker_id":40,"status_id":1,"priority_id":2,"assigned_to_id":23,"start_date":"2017-08-18","description":"","custom_fields":[{"id":1,"name":"Subdivision","value":"EC"},{"id":4,"name":"Milepost","value":"23.3281"},{"id":17,"name":"Train ID","value":"177-18"},{"id":16,"name":"Locomotive ID","value":"4028"},{"id":130,"name":"Impact","value":""},{"id":150,"name":"Time of Event (Mountain Time)","value":"13:52:35"},{"id":151,"name":"Denver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3"/>
        <v>start /low /b %USERPROFILE%\Documents\GitHub\eaglep3\Utilities\DownloadLogsFromS3.py --loco 4028 --day 2017-08-18</v>
      </c>
      <c r="AN91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19:52:35"},{"id":29,"name":"Sharepoint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785</v>
      </c>
      <c r="B92" s="7">
        <v>4027</v>
      </c>
      <c r="C92" s="21" t="s">
        <v>198</v>
      </c>
      <c r="D92" s="21" t="s">
        <v>556</v>
      </c>
      <c r="E92" s="13">
        <v>42965.587592592594</v>
      </c>
      <c r="F92" s="13">
        <v>42965.591886574075</v>
      </c>
      <c r="G92" s="7">
        <v>1</v>
      </c>
      <c r="H92" s="21" t="s">
        <v>437</v>
      </c>
      <c r="I92" s="13">
        <v>42965.61886574074</v>
      </c>
      <c r="J92" s="7">
        <v>0</v>
      </c>
      <c r="K92" s="89" t="str">
        <f t="shared" si="29"/>
        <v>4027/4028</v>
      </c>
      <c r="L92" s="21" t="str">
        <f>VLOOKUP(A92,'Trips&amp;Operators'!$C$1:$G$99999,5,FALSE)</f>
        <v>STEWART MICHAEL</v>
      </c>
      <c r="M92" s="6">
        <f t="shared" si="30"/>
        <v>2.6979166665114462E-2</v>
      </c>
      <c r="N92" s="7">
        <f t="shared" si="45"/>
        <v>38.849999997764826</v>
      </c>
      <c r="O92" s="7"/>
      <c r="P92" s="7"/>
      <c r="Q92" s="22"/>
      <c r="R92" s="170"/>
      <c r="S92" s="213">
        <f t="shared" si="28"/>
        <v>1</v>
      </c>
      <c r="T92" s="195" t="str">
        <f t="shared" si="31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2"/>
        <v>https://d0f6bd738d7f1b3e5a7ca70fe4ff75f0.us-east-1.aws.found.io/app/kibana#/discover/Steve-Slow-Train-Analysis-(2080s-and-2083s)?_g=(refreshInterval:(display:Off,pause:!f,section:0,value:0),time:(from:'2017-08-18T13:06:08-0600',mode:absolute,to:'2017-08-18T15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2" s="197" t="str">
        <f>IF(AA92&lt;VLOOKUP(AG92,Variables!$AC$3:$AD$8,2,FALSE),"Y","N")</f>
        <v>N</v>
      </c>
      <c r="X92" s="197">
        <f t="shared" si="33"/>
        <v>1</v>
      </c>
      <c r="Y92" s="197">
        <f t="shared" si="34"/>
        <v>23.298300000000001</v>
      </c>
      <c r="Z92" s="197">
        <f t="shared" si="35"/>
        <v>1.52E-2</v>
      </c>
      <c r="AA92" s="197">
        <f t="shared" si="36"/>
        <v>23.283100000000001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206">
        <f t="shared" si="37"/>
        <v>178</v>
      </c>
      <c r="AE92" s="77" t="str">
        <f t="shared" si="38"/>
        <v>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 &amp; aws s3 cp s3://rtdc.mdm.uploadarchive.raw/RTDC4027/ "%USERPROFILE%\AppData\Local\Temp\OnboardLogs"\RTDC4027\2017-08-19 --exclude "*" --recursive --include "*20170819*" &amp; "%USERPROFILE%\Documents\GitHub\mrs-test-scripts\Headless Mode &amp; Sideloading\WalkAndUnGZ.bat" "%USERPROFILE%\AppData\Local\Temp\OnboardLogs"\RTDC4027\2017-08-19</v>
      </c>
      <c r="AF92" s="74" t="str">
        <f t="shared" si="39"/>
        <v>"C:\Program Files (x86)\AstroGrep\AstroGrep.exe" /e /r /s /spath="%USERPROFILE%\AppData\Local\Temp\OnboardLogs" /stypes="app*4027*20170818*" /stext=" 20:.+((SYSTEM_STATE.+slice.+state.+changed )|(ment ac)|(multiple cpu faults)|(system.+state.+changed )|(\[timeout)|(PRM\|1\|D)|(kpr)|(kdp)|(train st.+moving)|(\|lc)|(penalty))"</v>
      </c>
      <c r="AG92" s="209" t="str">
        <f t="shared" si="40"/>
        <v>EC</v>
      </c>
      <c r="AH92" s="78" t="str">
        <f t="shared" si="41"/>
        <v>"%USERPROFILE%\Documents\GitHub\eaglep3\Utilities\RefineRTDCRunTimes.py" --tripid 178-18 --locoid 4027 --swversion DE.1.0.9.0 --startMP 204:232983 --initTime 2017-08-18T14:06:08 --startdatetime 2017-08-18T14:12:19 --delay 1 --endMP 204:152 --enddatetime 2017-08-18T14:51:10 --enforcementcount 0 &gt;&gt;C:\Users\stu\Documents\GitHub\eaglep3-reporting\EC\2017-08-18-refined-times.txt</v>
      </c>
      <c r="AI92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{"issue":{"subject":"","project_id":79,"tracker_id":40,"status_id":1,"priority_id":2,"assigned_to_id":23,"start_date":"2017-08-18","description":"","custom_fields":[{"id":1,"name":"Subdivision","value":"EC"},{"id":4,"name":"Milepost","value":"0.0152"},{"id":17,"name":"Train ID","value":"178-18"},{"id":16,"name":"Locomotive ID","value":"4027"},{"id":130,"name":"Impact","value":""},{"id":150,"name":"Time of Event (Mountain Time)","value":"14:51:10"},{"id":151,"name":"Denver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3"/>
        <v>start /low /b %USERPROFILE%\Documents\GitHub\eaglep3\Utilities\DownloadLogsFromS3.py --loco 4027 --day 2017-08-18</v>
      </c>
      <c r="AN92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20:51:10"},{"id":29,"name":"Sharepoint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779</v>
      </c>
      <c r="B93" s="7">
        <v>4064</v>
      </c>
      <c r="C93" s="21" t="s">
        <v>198</v>
      </c>
      <c r="D93" s="21" t="s">
        <v>456</v>
      </c>
      <c r="E93" s="13">
        <v>42965.559548611112</v>
      </c>
      <c r="F93" s="13">
        <v>42965.563715277778</v>
      </c>
      <c r="G93" s="7">
        <v>1</v>
      </c>
      <c r="H93" s="21" t="s">
        <v>609</v>
      </c>
      <c r="I93" s="13">
        <v>42965.588460648149</v>
      </c>
      <c r="J93" s="7">
        <v>0</v>
      </c>
      <c r="K93" s="89" t="str">
        <f t="shared" si="29"/>
        <v>4063/4064</v>
      </c>
      <c r="L93" s="21" t="str">
        <f>VLOOKUP(A93,'Trips&amp;Operators'!$C$1:$G$99999,5,FALSE)</f>
        <v>WEST BRYAN</v>
      </c>
      <c r="M93" s="6">
        <f t="shared" si="30"/>
        <v>2.47453703705105E-2</v>
      </c>
      <c r="N93" s="7">
        <f t="shared" si="45"/>
        <v>35.63333333353512</v>
      </c>
      <c r="O93" s="7"/>
      <c r="P93" s="7"/>
      <c r="Q93" s="22"/>
      <c r="R93" s="170"/>
      <c r="S93" s="213">
        <f t="shared" si="28"/>
        <v>1</v>
      </c>
      <c r="T93" s="195" t="str">
        <f t="shared" si="31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2"/>
        <v>https://d0f6bd738d7f1b3e5a7ca70fe4ff75f0.us-east-1.aws.found.io/app/kibana#/discover/Steve-Slow-Train-Analysis-(2080s-and-2083s)?_g=(refreshInterval:(display:Off,pause:!f,section:0,value:0),time:(from:'2017-08-18T12:25:45-0600',mode:absolute,to:'2017-08-18T15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3" s="197" t="str">
        <f>IF(AA93&lt;VLOOKUP(AG93,Variables!$AC$3:$AD$8,2,FALSE),"Y","N")</f>
        <v>N</v>
      </c>
      <c r="X93" s="197">
        <f t="shared" si="33"/>
        <v>1</v>
      </c>
      <c r="Y93" s="197">
        <f t="shared" si="34"/>
        <v>4.4200000000000003E-2</v>
      </c>
      <c r="Z93" s="197">
        <f t="shared" si="35"/>
        <v>23.330500000000001</v>
      </c>
      <c r="AA93" s="197">
        <f t="shared" si="36"/>
        <v>23.286300000000001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206">
        <f t="shared" si="37"/>
        <v>179</v>
      </c>
      <c r="AE93" s="77" t="str">
        <f t="shared" si="38"/>
        <v>aws s3 cp s3://rtdc.mdm.uploadarchive.raw/RTDC4064/ "%USERPROFILE%\AppData\Local\Temp\OnboardLogs"\RTDC4064\2017-08-18 --exclude "*" --recursive --include "*20170818*" &amp; "%USERPROFILE%\Documents\GitHub\mrs-test-scripts\Headless Mode &amp; Sideloading\WalkAndUnGZ.bat" "%USERPROFILE%\AppData\Local\Temp\OnboardLogs"\RTDC4064\2017-08-18 &amp; aws s3 cp s3://rtdc.mdm.uploadarchive.raw/RTDC4064/ "%USERPROFILE%\AppData\Local\Temp\OnboardLogs"\RTDC4064\2017-08-19 --exclude "*" --recursive --include "*20170819*" &amp; "%USERPROFILE%\Documents\GitHub\mrs-test-scripts\Headless Mode &amp; Sideloading\WalkAndUnGZ.bat" "%USERPROFILE%\AppData\Local\Temp\OnboardLogs"\RTDC4064\2017-08-19</v>
      </c>
      <c r="AF93" s="74" t="str">
        <f t="shared" si="39"/>
        <v>"C:\Program Files (x86)\AstroGrep\AstroGrep.exe" /e /r /s /spath="%USERPROFILE%\AppData\Local\Temp\OnboardLogs" /stypes="app*4064*20170818*" /stext=" 20:.+((SYSTEM_STATE.+slice.+state.+changed )|(ment ac)|(multiple cpu faults)|(system.+state.+changed )|(\[timeout)|(PRM\|1\|D)|(kpr)|(kdp)|(train st.+moving)|(\|lc)|(penalty))"</v>
      </c>
      <c r="AG93" s="209" t="str">
        <f t="shared" si="40"/>
        <v>EC</v>
      </c>
      <c r="AH93" s="78" t="str">
        <f t="shared" si="41"/>
        <v>"%USERPROFILE%\Documents\GitHub\eaglep3\Utilities\RefineRTDCRunTimes.py" --tripid 179-18 --locoid 4064 --swversion DE.1.0.9.0 --startMP 204:442 --initTime 2017-08-18T13:25:45 --startdatetime 2017-08-18T13:31:45 --delay 1 --endMP 204:233305 --enddatetime 2017-08-18T14:07:23 --enforcementcount 0 &gt;&gt;C:\Users\stu\Documents\GitHub\eaglep3-reporting\EC\2017-08-18-refined-times.txt</v>
      </c>
      <c r="AI93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{"issue":{"subject":"","project_id":79,"tracker_id":40,"status_id":1,"priority_id":2,"assigned_to_id":23,"start_date":"2017-08-18","description":"","custom_fields":[{"id":1,"name":"Subdivision","value":"EC"},{"id":4,"name":"Milepost","value":"23.3305"},{"id":17,"name":"Train ID","value":"179-18"},{"id":16,"name":"Locomotive ID","value":"4064"},{"id":130,"name":"Impact","value":""},{"id":150,"name":"Time of Event (Mountain Time)","value":"14:07:23"},{"id":151,"name":"Denver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3"/>
        <v>start /low /b %USERPROFILE%\Documents\GitHub\eaglep3\Utilities\DownloadLogsFromS3.py --loco 4064 --day 2017-08-18</v>
      </c>
      <c r="AN93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20:07:23"},{"id":29,"name":"Sharepoint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787</v>
      </c>
      <c r="B94" s="7">
        <v>4063</v>
      </c>
      <c r="C94" s="21" t="s">
        <v>198</v>
      </c>
      <c r="D94" s="21" t="s">
        <v>599</v>
      </c>
      <c r="E94" s="13">
        <v>42965.598935185182</v>
      </c>
      <c r="F94" s="13">
        <v>42965.636041666665</v>
      </c>
      <c r="G94" s="7">
        <v>1</v>
      </c>
      <c r="H94" s="21" t="s">
        <v>342</v>
      </c>
      <c r="I94" s="13">
        <v>42965.662152777775</v>
      </c>
      <c r="J94" s="7">
        <v>0</v>
      </c>
      <c r="K94" s="89" t="str">
        <f t="shared" si="29"/>
        <v>4063/4064</v>
      </c>
      <c r="L94" s="21" t="str">
        <f>VLOOKUP(A94,'Trips&amp;Operators'!$C$1:$G$99999,5,FALSE)</f>
        <v>WEST BRYAN</v>
      </c>
      <c r="M94" s="6">
        <f t="shared" si="30"/>
        <v>2.6111111110367347E-2</v>
      </c>
      <c r="N94" s="7">
        <f t="shared" si="45"/>
        <v>37.599999998928979</v>
      </c>
      <c r="O94" s="7"/>
      <c r="P94" s="7"/>
      <c r="Q94" s="22"/>
      <c r="R94" s="170"/>
      <c r="S94" s="213">
        <f t="shared" si="28"/>
        <v>1</v>
      </c>
      <c r="T94" s="195" t="str">
        <f t="shared" si="31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2"/>
        <v>https://d0f6bd738d7f1b3e5a7ca70fe4ff75f0.us-east-1.aws.found.io/app/kibana#/discover/Steve-Slow-Train-Analysis-(2080s-and-2083s)?_g=(refreshInterval:(display:Off,pause:!f,section:0,value:0),time:(from:'2017-08-18T13:22:28-0600',mode:absolute,to:'2017-08-18T16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4" s="197" t="str">
        <f>IF(AA94&lt;VLOOKUP(AG94,Variables!$AC$3:$AD$8,2,FALSE),"Y","N")</f>
        <v>N</v>
      </c>
      <c r="X94" s="197">
        <f t="shared" si="33"/>
        <v>1</v>
      </c>
      <c r="Y94" s="197">
        <f t="shared" si="34"/>
        <v>23.297999999999998</v>
      </c>
      <c r="Z94" s="197">
        <f t="shared" si="35"/>
        <v>1.49E-2</v>
      </c>
      <c r="AA94" s="197">
        <f t="shared" si="36"/>
        <v>23.283099999999997</v>
      </c>
      <c r="AB94" s="54" t="e">
        <f>VLOOKUP(A94,Enforcements!$C$7:$K$11,8,0)</f>
        <v>#N/A</v>
      </c>
      <c r="AC94" s="51" t="e">
        <f>VLOOKUP(A94,Enforcements!$C$7:$E$11,3,0)</f>
        <v>#N/A</v>
      </c>
      <c r="AD94" s="206">
        <f t="shared" si="37"/>
        <v>180</v>
      </c>
      <c r="AE94" s="77" t="str">
        <f t="shared" si="38"/>
        <v>aws s3 cp s3://rtdc.mdm.uploadarchive.raw/RTDC4063/ "%USERPROFILE%\AppData\Local\Temp\OnboardLogs"\RTDC4063\2017-08-18 --exclude "*" --recursive --include "*20170818*" &amp; "%USERPROFILE%\Documents\GitHub\mrs-test-scripts\Headless Mode &amp; Sideloading\WalkAndUnGZ.bat" "%USERPROFILE%\AppData\Local\Temp\OnboardLogs"\RTDC4063\2017-08-18 &amp; aws s3 cp s3://rtdc.mdm.uploadarchive.raw/RTDC4063/ "%USERPROFILE%\AppData\Local\Temp\OnboardLogs"\RTDC4063\2017-08-19 --exclude "*" --recursive --include "*20170819*" &amp; "%USERPROFILE%\Documents\GitHub\mrs-test-scripts\Headless Mode &amp; Sideloading\WalkAndUnGZ.bat" "%USERPROFILE%\AppData\Local\Temp\OnboardLogs"\RTDC4063\2017-08-19</v>
      </c>
      <c r="AF94" s="74" t="str">
        <f t="shared" si="39"/>
        <v>"C:\Program Files (x86)\AstroGrep\AstroGrep.exe" /e /r /s /spath="%USERPROFILE%\AppData\Local\Temp\OnboardLogs" /stypes="app*4063*20170818*" /stext=" 21:.+((SYSTEM_STATE.+slice.+state.+changed )|(ment ac)|(multiple cpu faults)|(system.+state.+changed )|(\[timeout)|(PRM\|1\|D)|(kpr)|(kdp)|(train st.+moving)|(\|lc)|(penalty))"</v>
      </c>
      <c r="AG94" s="209" t="str">
        <f t="shared" si="40"/>
        <v>EC</v>
      </c>
      <c r="AH94" s="78" t="str">
        <f t="shared" si="41"/>
        <v>"%USERPROFILE%\Documents\GitHub\eaglep3\Utilities\RefineRTDCRunTimes.py" --tripid 180-18 --locoid 4063 --swversion DE.1.0.9.0 --startMP 204:232980 --initTime 2017-08-18T14:22:28 --startdatetime 2017-08-18T15:15:54 --delay 1 --endMP 204:149 --enddatetime 2017-08-18T15:53:30 --enforcementcount 0 &gt;&gt;C:\Users\stu\Documents\GitHub\eaglep3-reporting\EC\2017-08-18-refined-times.txt</v>
      </c>
      <c r="AI94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{"issue":{"subject":"","project_id":79,"tracker_id":40,"status_id":1,"priority_id":2,"assigned_to_id":23,"start_date":"2017-08-18","description":"","custom_fields":[{"id":1,"name":"Subdivision","value":"EC"},{"id":4,"name":"Milepost","value":"0.0149"},{"id":17,"name":"Train ID","value":"180-18"},{"id":16,"name":"Locomotive ID","value":"4063"},{"id":130,"name":"Impact","value":""},{"id":150,"name":"Time of Event (Mountain Time)","value":"15:53:30"},{"id":151,"name":"Denver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3"/>
        <v>start /low /b %USERPROFILE%\Documents\GitHub\eaglep3\Utilities\DownloadLogsFromS3.py --loco 4063 --day 2017-08-18</v>
      </c>
      <c r="AN94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21:53:30"},{"id":29,"name":"Sharepoint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782</v>
      </c>
      <c r="B95" s="7">
        <v>4040</v>
      </c>
      <c r="C95" s="21" t="s">
        <v>198</v>
      </c>
      <c r="D95" s="21" t="s">
        <v>439</v>
      </c>
      <c r="E95" s="13">
        <v>42965.569074074076</v>
      </c>
      <c r="F95" s="13">
        <v>42965.573599537034</v>
      </c>
      <c r="G95" s="7">
        <v>1</v>
      </c>
      <c r="H95" s="21" t="s">
        <v>481</v>
      </c>
      <c r="I95" s="13">
        <v>42965.598726851851</v>
      </c>
      <c r="J95" s="7">
        <v>0</v>
      </c>
      <c r="K95" s="89" t="str">
        <f t="shared" si="29"/>
        <v>4039/4040</v>
      </c>
      <c r="L95" s="21" t="str">
        <f>VLOOKUP(A95,'Trips&amp;Operators'!$C$1:$G$99999,5,FALSE)</f>
        <v>LANGERAK WILLIAM</v>
      </c>
      <c r="M95" s="6">
        <f t="shared" si="30"/>
        <v>2.5127314816927537E-2</v>
      </c>
      <c r="N95" s="7">
        <f t="shared" si="45"/>
        <v>36.183333336375654</v>
      </c>
      <c r="O95" s="7"/>
      <c r="P95" s="7"/>
      <c r="Q95" s="22"/>
      <c r="R95" s="170"/>
      <c r="S95" s="213">
        <f t="shared" si="28"/>
        <v>1</v>
      </c>
      <c r="T95" s="195" t="str">
        <f t="shared" si="31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2"/>
        <v>https://d0f6bd738d7f1b3e5a7ca70fe4ff75f0.us-east-1.aws.found.io/app/kibana#/discover/Steve-Slow-Train-Analysis-(2080s-and-2083s)?_g=(refreshInterval:(display:Off,pause:!f,section:0,value:0),time:(from:'2017-08-18T12:39:28-0600',mode:absolute,to:'2017-08-18T15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5" s="197" t="str">
        <f>IF(AA95&lt;VLOOKUP(AG95,Variables!$AC$3:$AD$8,2,FALSE),"Y","N")</f>
        <v>N</v>
      </c>
      <c r="X95" s="197">
        <f t="shared" si="33"/>
        <v>1</v>
      </c>
      <c r="Y95" s="197">
        <f t="shared" si="34"/>
        <v>4.4900000000000002E-2</v>
      </c>
      <c r="Z95" s="197">
        <f t="shared" si="35"/>
        <v>23.330200000000001</v>
      </c>
      <c r="AA95" s="197">
        <f t="shared" si="36"/>
        <v>23.285300000000003</v>
      </c>
      <c r="AB95" s="54" t="e">
        <f>VLOOKUP(A95,Enforcements!$C$7:$K$11,8,0)</f>
        <v>#N/A</v>
      </c>
      <c r="AC95" s="51" t="e">
        <f>VLOOKUP(A95,Enforcements!$C$7:$E$11,3,0)</f>
        <v>#N/A</v>
      </c>
      <c r="AD95" s="206">
        <f t="shared" si="37"/>
        <v>181</v>
      </c>
      <c r="AE95" s="77" t="str">
        <f t="shared" si="38"/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AF95" s="74" t="str">
        <f t="shared" si="39"/>
        <v>"C:\Program Files (x86)\AstroGrep\AstroGrep.exe" /e /r /s /spath="%USERPROFILE%\AppData\Local\Temp\OnboardLogs" /stypes="app*4040*20170818*" /stext=" 20:.+((SYSTEM_STATE.+slice.+state.+changed )|(ment ac)|(multiple cpu faults)|(system.+state.+changed )|(\[timeout)|(PRM\|1\|D)|(kpr)|(kdp)|(train st.+moving)|(\|lc)|(penalty))"</v>
      </c>
      <c r="AG95" s="209" t="str">
        <f t="shared" si="40"/>
        <v>EC</v>
      </c>
      <c r="AH95" s="78" t="str">
        <f t="shared" si="41"/>
        <v>"%USERPROFILE%\Documents\GitHub\eaglep3\Utilities\RefineRTDCRunTimes.py" --tripid 181-18 --locoid 4040 --swversion DE.1.0.9.0 --startMP 204:449 --initTime 2017-08-18T13:39:28 --startdatetime 2017-08-18T13:45:59 --delay 1 --endMP 204:233302 --enddatetime 2017-08-18T14:22:10 --enforcementcount 0 &gt;&gt;C:\Users\stu\Documents\GitHub\eaglep3-reporting\EC\2017-08-18-refined-times.txt</v>
      </c>
      <c r="AI95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{"issue":{"subject":"","project_id":79,"tracker_id":40,"status_id":1,"priority_id":2,"assigned_to_id":23,"start_date":"2017-08-18","description":"","custom_fields":[{"id":1,"name":"Subdivision","value":"EC"},{"id":4,"name":"Milepost","value":"23.3302"},{"id":17,"name":"Train ID","value":"181-18"},{"id":16,"name":"Locomotive ID","value":"4040"},{"id":130,"name":"Impact","value":""},{"id":150,"name":"Time of Event (Mountain Time)","value":"14:22:10"},{"id":151,"name":"Denver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3"/>
        <v>start /low /b %USERPROFILE%\Documents\GitHub\eaglep3\Utilities\DownloadLogsFromS3.py --loco 4040 --day 2017-08-18</v>
      </c>
      <c r="AN95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20:22:10"},{"id":29,"name":"Sharepoint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788</v>
      </c>
      <c r="B96" s="7">
        <v>4039</v>
      </c>
      <c r="C96" s="21" t="s">
        <v>198</v>
      </c>
      <c r="D96" s="21" t="s">
        <v>553</v>
      </c>
      <c r="E96" s="13">
        <v>42965.600810185184</v>
      </c>
      <c r="F96" s="13">
        <v>42965.613067129627</v>
      </c>
      <c r="G96" s="7">
        <v>1</v>
      </c>
      <c r="H96" s="21" t="s">
        <v>375</v>
      </c>
      <c r="I96" s="13">
        <v>42965.638981481483</v>
      </c>
      <c r="J96" s="7">
        <v>0</v>
      </c>
      <c r="K96" s="89" t="str">
        <f t="shared" si="29"/>
        <v>4039/4040</v>
      </c>
      <c r="L96" s="21" t="str">
        <f>VLOOKUP(A96,'Trips&amp;Operators'!$C$1:$G$99999,5,FALSE)</f>
        <v>LANGERAK WILLIAM</v>
      </c>
      <c r="M96" s="6">
        <f t="shared" si="30"/>
        <v>2.5914351856044959E-2</v>
      </c>
      <c r="N96" s="7">
        <f t="shared" si="45"/>
        <v>37.316666672704741</v>
      </c>
      <c r="O96" s="7"/>
      <c r="P96" s="7"/>
      <c r="Q96" s="22"/>
      <c r="R96" s="170"/>
      <c r="S96" s="213">
        <f t="shared" si="28"/>
        <v>1</v>
      </c>
      <c r="T96" s="195" t="str">
        <f t="shared" si="31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2"/>
        <v>https://d0f6bd738d7f1b3e5a7ca70fe4ff75f0.us-east-1.aws.found.io/app/kibana#/discover/Steve-Slow-Train-Analysis-(2080s-and-2083s)?_g=(refreshInterval:(display:Off,pause:!f,section:0,value:0),time:(from:'2017-08-18T13:25:10-0600',mode:absolute,to:'2017-08-18T16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6" s="197" t="str">
        <f>IF(AA96&lt;VLOOKUP(AG96,Variables!$AC$3:$AD$8,2,FALSE),"Y","N")</f>
        <v>N</v>
      </c>
      <c r="X96" s="197">
        <f t="shared" si="33"/>
        <v>1</v>
      </c>
      <c r="Y96" s="197">
        <f t="shared" si="34"/>
        <v>23.2987</v>
      </c>
      <c r="Z96" s="197">
        <f t="shared" si="35"/>
        <v>1.54E-2</v>
      </c>
      <c r="AA96" s="197">
        <f t="shared" si="36"/>
        <v>23.283300000000001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206">
        <f t="shared" si="37"/>
        <v>182</v>
      </c>
      <c r="AE96" s="77" t="str">
        <f t="shared" si="38"/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AF96" s="74" t="str">
        <f t="shared" si="39"/>
        <v>"C:\Program Files (x86)\AstroGrep\AstroGrep.exe" /e /r /s /spath="%USERPROFILE%\AppData\Local\Temp\OnboardLogs" /stypes="app*4039*20170818*" /stext=" 21:.+((SYSTEM_STATE.+slice.+state.+changed )|(ment ac)|(multiple cpu faults)|(system.+state.+changed )|(\[timeout)|(PRM\|1\|D)|(kpr)|(kdp)|(train st.+moving)|(\|lc)|(penalty))"</v>
      </c>
      <c r="AG96" s="209" t="str">
        <f t="shared" si="40"/>
        <v>EC</v>
      </c>
      <c r="AH96" s="78" t="str">
        <f t="shared" si="41"/>
        <v>"%USERPROFILE%\Documents\GitHub\eaglep3\Utilities\RefineRTDCRunTimes.py" --tripid 182-18 --locoid 4039 --swversion DE.1.0.9.0 --startMP 204:232987 --initTime 2017-08-18T14:25:10 --startdatetime 2017-08-18T14:42:49 --delay 1 --endMP 204:154 --enddatetime 2017-08-18T15:20:08 --enforcementcount 0 &gt;&gt;C:\Users\stu\Documents\GitHub\eaglep3-reporting\EC\2017-08-18-refined-times.txt</v>
      </c>
      <c r="AI96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{"issue":{"subject":"","project_id":79,"tracker_id":40,"status_id":1,"priority_id":2,"assigned_to_id":23,"start_date":"2017-08-18","description":"","custom_fields":[{"id":1,"name":"Subdivision","value":"EC"},{"id":4,"name":"Milepost","value":"0.0154"},{"id":17,"name":"Train ID","value":"182-18"},{"id":16,"name":"Locomotive ID","value":"4039"},{"id":130,"name":"Impact","value":""},{"id":150,"name":"Time of Event (Mountain Time)","value":"15:20:08"},{"id":151,"name":"Denver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3"/>
        <v>start /low /b %USERPROFILE%\Documents\GitHub\eaglep3\Utilities\DownloadLogsFromS3.py --loco 4039 --day 2017-08-18</v>
      </c>
      <c r="AN96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21:20:08"},{"id":29,"name":"Sharepoint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669</v>
      </c>
      <c r="B97" s="7">
        <v>4050</v>
      </c>
      <c r="C97" s="21" t="s">
        <v>198</v>
      </c>
      <c r="D97" s="21" t="s">
        <v>393</v>
      </c>
      <c r="E97" s="13">
        <v>42965.580694444441</v>
      </c>
      <c r="F97" s="13">
        <v>42965.583854166667</v>
      </c>
      <c r="G97" s="7">
        <v>1</v>
      </c>
      <c r="H97" s="21" t="s">
        <v>608</v>
      </c>
      <c r="I97" s="13">
        <v>42965.608831018515</v>
      </c>
      <c r="J97" s="7">
        <v>0</v>
      </c>
      <c r="K97" s="89" t="str">
        <f t="shared" si="29"/>
        <v>4049/4050</v>
      </c>
      <c r="L97" s="21" t="str">
        <f>VLOOKUP(A97,'Trips&amp;Operators'!$C$1:$G$99999,5,FALSE)</f>
        <v>LEVIN SCOTT</v>
      </c>
      <c r="M97" s="6">
        <f t="shared" si="30"/>
        <v>2.4976851847895887E-2</v>
      </c>
      <c r="N97" s="7">
        <f t="shared" si="45"/>
        <v>35.966666660970077</v>
      </c>
      <c r="O97" s="7"/>
      <c r="P97" s="7"/>
      <c r="Q97" s="22"/>
      <c r="R97" s="170"/>
      <c r="S97" s="213">
        <f t="shared" si="28"/>
        <v>1</v>
      </c>
      <c r="T97" s="195" t="str">
        <f t="shared" si="31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2"/>
        <v>https://d0f6bd738d7f1b3e5a7ca70fe4ff75f0.us-east-1.aws.found.io/app/kibana#/discover/Steve-Slow-Train-Analysis-(2080s-and-2083s)?_g=(refreshInterval:(display:Off,pause:!f,section:0,value:0),time:(from:'2017-08-18T12:56:12-0600',mode:absolute,to:'2017-08-18T15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7" s="197" t="str">
        <f>IF(AA97&lt;VLOOKUP(AG97,Variables!$AC$3:$AD$8,2,FALSE),"Y","N")</f>
        <v>N</v>
      </c>
      <c r="X97" s="197">
        <f t="shared" si="33"/>
        <v>1</v>
      </c>
      <c r="Y97" s="197">
        <f t="shared" si="34"/>
        <v>4.5499999999999999E-2</v>
      </c>
      <c r="Z97" s="197">
        <f t="shared" si="35"/>
        <v>23.3385</v>
      </c>
      <c r="AA97" s="197">
        <f t="shared" si="36"/>
        <v>23.292999999999999</v>
      </c>
      <c r="AB97" s="54" t="e">
        <f>VLOOKUP(A97,Enforcements!$C$7:$K$11,8,0)</f>
        <v>#N/A</v>
      </c>
      <c r="AC97" s="51" t="e">
        <f>VLOOKUP(A97,Enforcements!$C$7:$E$11,3,0)</f>
        <v>#N/A</v>
      </c>
      <c r="AD97" s="206">
        <f t="shared" si="37"/>
        <v>183</v>
      </c>
      <c r="AE97" s="77" t="str">
        <f t="shared" si="38"/>
        <v>aws s3 cp s3://rtdc.mdm.uploadarchive.raw/RTDC4050/ "%USERPROFILE%\AppData\Local\Temp\OnboardLogs"\RTDC4050\2017-08-18 --exclude "*" --recursive --include "*20170818*" &amp; "%USERPROFILE%\Documents\GitHub\mrs-test-scripts\Headless Mode &amp; Sideloading\WalkAndUnGZ.bat" "%USERPROFILE%\AppData\Local\Temp\OnboardLogs"\RTDC4050\2017-08-18 &amp; aws s3 cp s3://rtdc.mdm.uploadarchive.raw/RTDC4050/ "%USERPROFILE%\AppData\Local\Temp\OnboardLogs"\RTDC4050\2017-08-19 --exclude "*" --recursive --include "*20170819*" &amp; "%USERPROFILE%\Documents\GitHub\mrs-test-scripts\Headless Mode &amp; Sideloading\WalkAndUnGZ.bat" "%USERPROFILE%\AppData\Local\Temp\OnboardLogs"\RTDC4050\2017-08-19</v>
      </c>
      <c r="AF97" s="74" t="str">
        <f t="shared" si="39"/>
        <v>"C:\Program Files (x86)\AstroGrep\AstroGrep.exe" /e /r /s /spath="%USERPROFILE%\AppData\Local\Temp\OnboardLogs" /stypes="app*4050*20170818*" /stext=" 20:.+((SYSTEM_STATE.+slice.+state.+changed )|(ment ac)|(multiple cpu faults)|(system.+state.+changed )|(\[timeout)|(PRM\|1\|D)|(kpr)|(kdp)|(train st.+moving)|(\|lc)|(penalty))"</v>
      </c>
      <c r="AG97" s="209" t="str">
        <f t="shared" si="40"/>
        <v>EC</v>
      </c>
      <c r="AH97" s="78" t="str">
        <f t="shared" si="41"/>
        <v>"%USERPROFILE%\Documents\GitHub\eaglep3\Utilities\RefineRTDCRunTimes.py" --tripid 183-18 --locoid 4050 --swversion DE.1.0.9.0 --startMP 204:455 --initTime 2017-08-18T13:56:12 --startdatetime 2017-08-18T14:00:45 --delay 1 --endMP 204:233385 --enddatetime 2017-08-18T14:36:43 --enforcementcount 0 &gt;&gt;C:\Users\stu\Documents\GitHub\eaglep3-reporting\EC\2017-08-18-refined-times.txt</v>
      </c>
      <c r="AI97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{"issue":{"subject":"","project_id":79,"tracker_id":40,"status_id":1,"priority_id":2,"assigned_to_id":23,"start_date":"2017-08-18","description":"","custom_fields":[{"id":1,"name":"Subdivision","value":"EC"},{"id":4,"name":"Milepost","value":"23.3385"},{"id":17,"name":"Train ID","value":"183-18"},{"id":16,"name":"Locomotive ID","value":"4050"},{"id":130,"name":"Impact","value":""},{"id":150,"name":"Time of Event (Mountain Time)","value":"14:36:43"},{"id":151,"name":"Denver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3"/>
        <v>start /low /b %USERPROFILE%\Documents\GitHub\eaglep3\Utilities\DownloadLogsFromS3.py --loco 4050 --day 2017-08-18</v>
      </c>
      <c r="AN97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20:36:43"},{"id":29,"name":"Sharepoint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790</v>
      </c>
      <c r="B98" s="7">
        <v>4049</v>
      </c>
      <c r="C98" s="21" t="s">
        <v>198</v>
      </c>
      <c r="D98" s="21" t="s">
        <v>911</v>
      </c>
      <c r="E98" s="13">
        <v>42965.620648148149</v>
      </c>
      <c r="F98" s="13">
        <v>42965.623078703706</v>
      </c>
      <c r="G98" s="7">
        <v>1</v>
      </c>
      <c r="H98" s="21" t="s">
        <v>455</v>
      </c>
      <c r="I98" s="13">
        <v>42965.64943287037</v>
      </c>
      <c r="J98" s="7">
        <v>0</v>
      </c>
      <c r="K98" s="89" t="str">
        <f t="shared" si="29"/>
        <v>4049/4050</v>
      </c>
      <c r="L98" s="21" t="str">
        <f>VLOOKUP(A98,'Trips&amp;Operators'!$C$1:$G$99999,5,FALSE)</f>
        <v>LEVIN SCOTT</v>
      </c>
      <c r="M98" s="6">
        <f t="shared" si="30"/>
        <v>2.6354166664532386E-2</v>
      </c>
      <c r="N98" s="7">
        <f t="shared" si="45"/>
        <v>37.949999996926636</v>
      </c>
      <c r="O98" s="7"/>
      <c r="P98" s="7"/>
      <c r="Q98" s="22"/>
      <c r="R98" s="170"/>
      <c r="S98" s="213">
        <f t="shared" si="28"/>
        <v>1</v>
      </c>
      <c r="T98" s="195" t="str">
        <f t="shared" si="31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2"/>
        <v>https://d0f6bd738d7f1b3e5a7ca70fe4ff75f0.us-east-1.aws.found.io/app/kibana#/discover/Steve-Slow-Train-Analysis-(2080s-and-2083s)?_g=(refreshInterval:(display:Off,pause:!f,section:0,value:0),time:(from:'2017-08-18T13:53:44-0600',mode:absolute,to:'2017-08-18T16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8" s="197" t="str">
        <f>IF(AA98&lt;VLOOKUP(AG98,Variables!$AC$3:$AD$8,2,FALSE),"Y","N")</f>
        <v>N</v>
      </c>
      <c r="X98" s="197">
        <f t="shared" si="33"/>
        <v>1</v>
      </c>
      <c r="Y98" s="197">
        <f t="shared" si="34"/>
        <v>23.305299999999999</v>
      </c>
      <c r="Z98" s="197">
        <f t="shared" si="35"/>
        <v>1.38E-2</v>
      </c>
      <c r="AA98" s="197">
        <f t="shared" si="36"/>
        <v>23.291499999999999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206">
        <f t="shared" si="37"/>
        <v>184</v>
      </c>
      <c r="AE98" s="77" t="str">
        <f t="shared" si="38"/>
        <v>aws s3 cp s3://rtdc.mdm.uploadarchive.raw/RTDC4049/ "%USERPROFILE%\AppData\Local\Temp\OnboardLogs"\RTDC4049\2017-08-18 --exclude "*" --recursive --include "*20170818*" &amp; "%USERPROFILE%\Documents\GitHub\mrs-test-scripts\Headless Mode &amp; Sideloading\WalkAndUnGZ.bat" "%USERPROFILE%\AppData\Local\Temp\OnboardLogs"\RTDC4049\2017-08-18 &amp; aws s3 cp s3://rtdc.mdm.uploadarchive.raw/RTDC4049/ "%USERPROFILE%\AppData\Local\Temp\OnboardLogs"\RTDC4049\2017-08-19 --exclude "*" --recursive --include "*20170819*" &amp; "%USERPROFILE%\Documents\GitHub\mrs-test-scripts\Headless Mode &amp; Sideloading\WalkAndUnGZ.bat" "%USERPROFILE%\AppData\Local\Temp\OnboardLogs"\RTDC4049\2017-08-19</v>
      </c>
      <c r="AF98" s="74" t="str">
        <f t="shared" si="39"/>
        <v>"C:\Program Files (x86)\AstroGrep\AstroGrep.exe" /e /r /s /spath="%USERPROFILE%\AppData\Local\Temp\OnboardLogs" /stypes="app*4049*20170818*" /stext=" 21:.+((SYSTEM_STATE.+slice.+state.+changed )|(ment ac)|(multiple cpu faults)|(system.+state.+changed )|(\[timeout)|(PRM\|1\|D)|(kpr)|(kdp)|(train st.+moving)|(\|lc)|(penalty))"</v>
      </c>
      <c r="AG98" s="209" t="str">
        <f t="shared" si="40"/>
        <v>EC</v>
      </c>
      <c r="AH98" s="78" t="str">
        <f t="shared" si="41"/>
        <v>"%USERPROFILE%\Documents\GitHub\eaglep3\Utilities\RefineRTDCRunTimes.py" --tripid 184-18 --locoid 4049 --swversion DE.1.0.9.0 --startMP 204:233053 --initTime 2017-08-18T14:53:44 --startdatetime 2017-08-18T14:57:14 --delay 1 --endMP 204:138 --enddatetime 2017-08-18T15:35:11 --enforcementcount 0 &gt;&gt;C:\Users\stu\Documents\GitHub\eaglep3-reporting\EC\2017-08-18-refined-times.txt</v>
      </c>
      <c r="AI98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{"issue":{"subject":"","project_id":79,"tracker_id":40,"status_id":1,"priority_id":2,"assigned_to_id":23,"start_date":"2017-08-18","description":"","custom_fields":[{"id":1,"name":"Subdivision","value":"EC"},{"id":4,"name":"Milepost","value":"0.0138"},{"id":17,"name":"Train ID","value":"184-18"},{"id":16,"name":"Locomotive ID","value":"4049"},{"id":130,"name":"Impact","value":""},{"id":150,"name":"Time of Event (Mountain Time)","value":"15:35:11"},{"id":151,"name":"Denver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3"/>
        <v>start /low /b %USERPROFILE%\Documents\GitHub\eaglep3\Utilities\DownloadLogsFromS3.py --loco 4049 --day 2017-08-18</v>
      </c>
      <c r="AN98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21:35:11"},{"id":29,"name":"Sharepoint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786</v>
      </c>
      <c r="B99" s="7">
        <v>4012</v>
      </c>
      <c r="C99" s="21" t="s">
        <v>198</v>
      </c>
      <c r="D99" s="21" t="s">
        <v>346</v>
      </c>
      <c r="E99" s="13">
        <v>42965.589687500003</v>
      </c>
      <c r="F99" s="13">
        <v>42965.594282407408</v>
      </c>
      <c r="G99" s="7">
        <v>1</v>
      </c>
      <c r="H99" s="21" t="s">
        <v>919</v>
      </c>
      <c r="I99" s="13">
        <v>42965.619386574072</v>
      </c>
      <c r="J99" s="7">
        <v>0</v>
      </c>
      <c r="K99" s="89" t="str">
        <f t="shared" si="29"/>
        <v>4011/4012</v>
      </c>
      <c r="L99" s="21" t="str">
        <f>VLOOKUP(A99,'Trips&amp;Operators'!$C$1:$G$99999,5,FALSE)</f>
        <v>SULLIVAN BRANDON</v>
      </c>
      <c r="M99" s="6">
        <f t="shared" si="30"/>
        <v>2.5104166663368233E-2</v>
      </c>
      <c r="N99" s="7">
        <f t="shared" si="45"/>
        <v>36.149999995250255</v>
      </c>
      <c r="O99" s="7"/>
      <c r="P99" s="7"/>
      <c r="Q99" s="22"/>
      <c r="R99" s="170"/>
      <c r="S99" s="213">
        <f t="shared" si="28"/>
        <v>1</v>
      </c>
      <c r="T99" s="195" t="str">
        <f t="shared" si="31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2"/>
        <v>https://d0f6bd738d7f1b3e5a7ca70fe4ff75f0.us-east-1.aws.found.io/app/kibana#/discover/Steve-Slow-Train-Analysis-(2080s-and-2083s)?_g=(refreshInterval:(display:Off,pause:!f,section:0,value:0),time:(from:'2017-08-18T13:09:09-0600',mode:absolute,to:'2017-08-18T15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9" s="197" t="str">
        <f>IF(AA99&lt;VLOOKUP(AG99,Variables!$AC$3:$AD$8,2,FALSE),"Y","N")</f>
        <v>N</v>
      </c>
      <c r="X99" s="197">
        <f t="shared" si="33"/>
        <v>1</v>
      </c>
      <c r="Y99" s="197">
        <f t="shared" si="34"/>
        <v>4.4699999999999997E-2</v>
      </c>
      <c r="Z99" s="197">
        <f t="shared" si="35"/>
        <v>23.337199999999999</v>
      </c>
      <c r="AA99" s="197">
        <f t="shared" si="36"/>
        <v>23.2925</v>
      </c>
      <c r="AB99" s="54" t="e">
        <f>VLOOKUP(A99,Enforcements!$C$7:$K$11,8,0)</f>
        <v>#N/A</v>
      </c>
      <c r="AC99" s="51" t="e">
        <f>VLOOKUP(A99,Enforcements!$C$7:$E$11,3,0)</f>
        <v>#N/A</v>
      </c>
      <c r="AD99" s="206">
        <f t="shared" si="37"/>
        <v>185</v>
      </c>
      <c r="AE99" s="77" t="str">
        <f t="shared" si="38"/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AF99" s="74" t="str">
        <f t="shared" si="39"/>
        <v>"C:\Program Files (x86)\AstroGrep\AstroGrep.exe" /e /r /s /spath="%USERPROFILE%\AppData\Local\Temp\OnboardLogs" /stypes="app*4012*20170818*" /stext=" 20:.+((SYSTEM_STATE.+slice.+state.+changed )|(ment ac)|(multiple cpu faults)|(system.+state.+changed )|(\[timeout)|(PRM\|1\|D)|(kpr)|(kdp)|(train st.+moving)|(\|lc)|(penalty))"</v>
      </c>
      <c r="AG99" s="209" t="str">
        <f t="shared" si="40"/>
        <v>EC</v>
      </c>
      <c r="AH99" s="78" t="str">
        <f t="shared" si="41"/>
        <v>"%USERPROFILE%\Documents\GitHub\eaglep3\Utilities\RefineRTDCRunTimes.py" --tripid 185-18 --locoid 4012 --swversion DE.1.0.9.0 --startMP 204:447 --initTime 2017-08-18T14:09:09 --startdatetime 2017-08-18T14:15:46 --delay 1 --endMP 204:233372 --enddatetime 2017-08-18T14:51:55 --enforcementcount 0 &gt;&gt;C:\Users\stu\Documents\GitHub\eaglep3-reporting\EC\2017-08-18-refined-times.txt</v>
      </c>
      <c r="AI99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{"issue":{"subject":"","project_id":79,"tracker_id":40,"status_id":1,"priority_id":2,"assigned_to_id":23,"start_date":"2017-08-18","description":"","custom_fields":[{"id":1,"name":"Subdivision","value":"EC"},{"id":4,"name":"Milepost","value":"23.3372"},{"id":17,"name":"Train ID","value":"185-18"},{"id":16,"name":"Locomotive ID","value":"4012"},{"id":130,"name":"Impact","value":""},{"id":150,"name":"Time of Event (Mountain Time)","value":"14:51:55"},{"id":151,"name":"Denver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3"/>
        <v>start /low /b %USERPROFILE%\Documents\GitHub\eaglep3\Utilities\DownloadLogsFromS3.py --loco 4012 --day 2017-08-18</v>
      </c>
      <c r="AN99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20:51:55"},{"id":29,"name":"Sharepoint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672</v>
      </c>
      <c r="B100" s="7">
        <v>4011</v>
      </c>
      <c r="C100" s="21" t="s">
        <v>198</v>
      </c>
      <c r="D100" s="21" t="s">
        <v>920</v>
      </c>
      <c r="E100" s="13">
        <v>42965.62641203704</v>
      </c>
      <c r="F100" s="13">
        <v>42965.633530092593</v>
      </c>
      <c r="G100" s="7">
        <v>1</v>
      </c>
      <c r="H100" s="21" t="s">
        <v>921</v>
      </c>
      <c r="I100" s="13">
        <v>42965.647245370368</v>
      </c>
      <c r="J100" s="7">
        <v>0</v>
      </c>
      <c r="K100" s="89" t="str">
        <f t="shared" si="29"/>
        <v>4011/4012</v>
      </c>
      <c r="L100" s="21" t="str">
        <f>VLOOKUP(A100,'Trips&amp;Operators'!$C$1:$G$99999,5,FALSE)</f>
        <v>SULLIVAN BRANDON</v>
      </c>
      <c r="M100" s="6">
        <f t="shared" si="30"/>
        <v>1.3715277775190771E-2</v>
      </c>
      <c r="N100" s="7"/>
      <c r="O100" s="7"/>
      <c r="P100" s="7">
        <f>24*60*SUM($M100:$M100)</f>
        <v>19.74999999627471</v>
      </c>
      <c r="Q100" s="22"/>
      <c r="R100" s="170" t="s">
        <v>483</v>
      </c>
      <c r="S100" s="213">
        <f t="shared" si="28"/>
        <v>0.16666666666666666</v>
      </c>
      <c r="T100" s="195" t="str">
        <f t="shared" si="31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2</v>
      </c>
      <c r="V100" s="196" t="str">
        <f t="shared" si="32"/>
        <v>https://d0f6bd738d7f1b3e5a7ca70fe4ff75f0.us-east-1.aws.found.io/app/kibana#/discover/Steve-Slow-Train-Analysis-(2080s-and-2083s)?_g=(refreshInterval:(display:Off,pause:!f,section:0,value:0),time:(from:'2017-08-18T14:02:02-0600',mode:absolute,to:'2017-08-18T16:32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0" s="197" t="str">
        <f>IF(AA100&lt;VLOOKUP(AG100,Variables!$AC$3:$AD$8,2,FALSE),"Y","N")</f>
        <v>Y</v>
      </c>
      <c r="X100" s="197">
        <f t="shared" si="33"/>
        <v>1</v>
      </c>
      <c r="Y100" s="197">
        <f t="shared" si="34"/>
        <v>23.3062</v>
      </c>
      <c r="Z100" s="197">
        <f t="shared" si="35"/>
        <v>8.6376000000000008</v>
      </c>
      <c r="AA100" s="197">
        <f t="shared" si="36"/>
        <v>14.6686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6">
        <f t="shared" si="37"/>
        <v>186</v>
      </c>
      <c r="AE100" s="77" t="str">
        <f t="shared" si="38"/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AF100" s="74" t="str">
        <f t="shared" si="39"/>
        <v>"C:\Program Files (x86)\AstroGrep\AstroGrep.exe" /e /r /s /spath="%USERPROFILE%\AppData\Local\Temp\OnboardLogs" /stypes="app*4011*20170818*" /stext=" 21:.+((SYSTEM_STATE.+slice.+state.+changed )|(ment ac)|(multiple cpu faults)|(system.+state.+changed )|(\[timeout)|(PRM\|1\|D)|(kpr)|(kdp)|(train st.+moving)|(\|lc)|(penalty))"</v>
      </c>
      <c r="AG100" s="209" t="str">
        <f t="shared" si="40"/>
        <v>EC</v>
      </c>
      <c r="AH100" s="78" t="str">
        <f t="shared" si="41"/>
        <v>"%USERPROFILE%\Documents\GitHub\eaglep3\Utilities\RefineRTDCRunTimes.py" --tripid 186-18 --locoid 4011 --swversion DE.1.0.9.0 --startMP 204:233062 --initTime 2017-08-18T15:02:02 --startdatetime 2017-08-18T15:12:17 --delay 1 --endMP 204:86376 --enddatetime 2017-08-18T15:32:02 --enforcementcount 0 &gt;&gt;C:\Users\stu\Documents\GitHub\eaglep3-reporting\EC\2017-08-18-refined-times.txt</v>
      </c>
      <c r="AI100" s="96" t="str">
        <f t="shared" si="42"/>
        <v>echo {"issue":{"subject":"Wi-MAX data drop","project_id":79,"tracker_id":40,"status_id":1,"priority_id":2,"assigned_to_id":23,"start_date":"2017-08-18","description":"","custom_fields":[{"id":1,"name":"Subdivision","value":"EC"},{"id":4,"name":"Milepost","value":"8.6376"},{"id":17,"name":"Train ID","value":"186-18"},{"id":16,"name":"Locomotive ID","value":"4011"},{"id":130,"name":"Impact","value":""},{"id":150,"name":"Time of Event (Mountain Time)","value":"15:32:02"},{"id":151,"name":"Denver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3"/>
        <v>start /low /b %USERPROFILE%\Documents\GitHub\eaglep3\Utilities\DownloadLogsFromS3.py --loco 4011 --day 2017-08-18</v>
      </c>
      <c r="AN100" s="151" t="str">
        <f t="shared" si="44"/>
        <v>echo {"issue":{"subject":"Wi-MAX data drop","project_id":30,"tracker_id":4,"status_id":1,"priority_id":1,"assigned_to_id":10,"start_date":"2017-08-18","description":"","custom_fields":[{"id":30,"name":"Category","value":"Issue"},{"id":3,"name":"Functional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21:32:02"},{"id":29,"name":"Sharepoint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670</v>
      </c>
      <c r="B101" s="7">
        <v>4018</v>
      </c>
      <c r="C101" s="21" t="s">
        <v>198</v>
      </c>
      <c r="D101" s="21" t="s">
        <v>622</v>
      </c>
      <c r="E101" s="13">
        <v>42965.600462962961</v>
      </c>
      <c r="F101" s="13">
        <v>42965.604675925926</v>
      </c>
      <c r="G101" s="7">
        <v>1</v>
      </c>
      <c r="H101" s="21" t="s">
        <v>922</v>
      </c>
      <c r="I101" s="13">
        <v>42965.629525462966</v>
      </c>
      <c r="J101" s="7">
        <v>0</v>
      </c>
      <c r="K101" s="89" t="str">
        <f t="shared" si="29"/>
        <v>4017/4018</v>
      </c>
      <c r="L101" s="21" t="str">
        <f>VLOOKUP(A101,'Trips&amp;Operators'!$C$1:$G$99999,5,FALSE)</f>
        <v>NICHOLSON WESLEY</v>
      </c>
      <c r="M101" s="6">
        <f t="shared" si="30"/>
        <v>2.4849537039699499E-2</v>
      </c>
      <c r="N101" s="7">
        <f t="shared" ref="N101:N113" si="46">24*60*SUM($M101:$M101)</f>
        <v>35.783333337167278</v>
      </c>
      <c r="O101" s="7"/>
      <c r="P101" s="7"/>
      <c r="Q101" s="22"/>
      <c r="R101" s="170"/>
      <c r="S101" s="213">
        <f t="shared" si="28"/>
        <v>1</v>
      </c>
      <c r="T101" s="195" t="str">
        <f t="shared" si="31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2"/>
        <v>https://d0f6bd738d7f1b3e5a7ca70fe4ff75f0.us-east-1.aws.found.io/app/kibana#/discover/Steve-Slow-Train-Analysis-(2080s-and-2083s)?_g=(refreshInterval:(display:Off,pause:!f,section:0,value:0),time:(from:'2017-08-18T13:24:40-0600',mode:absolute,to:'2017-08-18T16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197" t="str">
        <f>IF(AA101&lt;VLOOKUP(AG101,Variables!$AC$3:$AD$8,2,FALSE),"Y","N")</f>
        <v>N</v>
      </c>
      <c r="X101" s="197">
        <f t="shared" si="33"/>
        <v>1</v>
      </c>
      <c r="Y101" s="197">
        <f t="shared" si="34"/>
        <v>4.82E-2</v>
      </c>
      <c r="Z101" s="197">
        <f t="shared" si="35"/>
        <v>23.341000000000001</v>
      </c>
      <c r="AA101" s="197">
        <f t="shared" si="36"/>
        <v>23.2928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6">
        <f t="shared" si="37"/>
        <v>187</v>
      </c>
      <c r="AE101" s="77" t="str">
        <f t="shared" si="38"/>
        <v>aws s3 cp s3://rtdc.mdm.uploadarchive.raw/RTDC4018/ "%USERPROFILE%\AppData\Local\Temp\OnboardLogs"\RTDC4018\2017-08-18 --exclude "*" --recursive --include "*20170818*" &amp; "%USERPROFILE%\Documents\GitHub\mrs-test-scripts\Headless Mode &amp; Sideloading\WalkAndUnGZ.bat" "%USERPROFILE%\AppData\Local\Temp\OnboardLogs"\RTDC4018\2017-08-18 &amp; aws s3 cp s3://rtdc.mdm.uploadarchive.raw/RTDC4018/ "%USERPROFILE%\AppData\Local\Temp\OnboardLogs"\RTDC4018\2017-08-19 --exclude "*" --recursive --include "*20170819*" &amp; "%USERPROFILE%\Documents\GitHub\mrs-test-scripts\Headless Mode &amp; Sideloading\WalkAndUnGZ.bat" "%USERPROFILE%\AppData\Local\Temp\OnboardLogs"\RTDC4018\2017-08-19</v>
      </c>
      <c r="AF101" s="74" t="str">
        <f t="shared" si="39"/>
        <v>"C:\Program Files (x86)\AstroGrep\AstroGrep.exe" /e /r /s /spath="%USERPROFILE%\AppData\Local\Temp\OnboardLogs" /stypes="app*4018*20170818*" /stext=" 21:.+((SYSTEM_STATE.+slice.+state.+changed )|(ment ac)|(multiple cpu faults)|(system.+state.+changed )|(\[timeout)|(PRM\|1\|D)|(kpr)|(kdp)|(train st.+moving)|(\|lc)|(penalty))"</v>
      </c>
      <c r="AG101" s="209" t="str">
        <f t="shared" si="40"/>
        <v>EC</v>
      </c>
      <c r="AH101" s="78" t="str">
        <f t="shared" si="41"/>
        <v>"%USERPROFILE%\Documents\GitHub\eaglep3\Utilities\RefineRTDCRunTimes.py" --tripid 187-18 --locoid 4018 --swversion DE.1.0.9.0 --startMP 204:482 --initTime 2017-08-18T14:24:40 --startdatetime 2017-08-18T14:30:44 --delay 1 --endMP 204:233410 --enddatetime 2017-08-18T15:06:31 --enforcementcount 0 &gt;&gt;C:\Users\stu\Documents\GitHub\eaglep3-reporting\EC\2017-08-18-refined-times.txt</v>
      </c>
      <c r="AI101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{"issue":{"subject":"","project_id":79,"tracker_id":40,"status_id":1,"priority_id":2,"assigned_to_id":23,"start_date":"2017-08-18","description":"","custom_fields":[{"id":1,"name":"Subdivision","value":"EC"},{"id":4,"name":"Milepost","value":"23.341"},{"id":17,"name":"Train ID","value":"187-18"},{"id":16,"name":"Locomotive ID","value":"4018"},{"id":130,"name":"Impact","value":""},{"id":150,"name":"Time of Event (Mountain Time)","value":"15:06:31"},{"id":151,"name":"Denver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3"/>
        <v>start /low /b %USERPROFILE%\Documents\GitHub\eaglep3\Utilities\DownloadLogsFromS3.py --loco 4018 --day 2017-08-18</v>
      </c>
      <c r="AN101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21:06:31"},{"id":29,"name":"Sharepoint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793</v>
      </c>
      <c r="B102" s="7">
        <v>4017</v>
      </c>
      <c r="C102" s="21" t="s">
        <v>198</v>
      </c>
      <c r="D102" s="21" t="s">
        <v>923</v>
      </c>
      <c r="E102" s="13">
        <v>42965.630983796298</v>
      </c>
      <c r="F102" s="13">
        <v>42965.644108796296</v>
      </c>
      <c r="G102" s="7">
        <v>2</v>
      </c>
      <c r="H102" s="21" t="s">
        <v>342</v>
      </c>
      <c r="I102" s="13">
        <v>42965.673726851855</v>
      </c>
      <c r="J102" s="7">
        <v>0</v>
      </c>
      <c r="K102" s="89" t="str">
        <f t="shared" si="29"/>
        <v>4017/4018</v>
      </c>
      <c r="L102" s="21" t="str">
        <f>VLOOKUP(A102,'Trips&amp;Operators'!$C$1:$G$99999,5,FALSE)</f>
        <v>NICHOLSON WESLEY</v>
      </c>
      <c r="M102" s="6">
        <f t="shared" si="30"/>
        <v>2.9618055559694767E-2</v>
      </c>
      <c r="N102" s="7">
        <f t="shared" si="46"/>
        <v>42.650000005960464</v>
      </c>
      <c r="O102" s="7"/>
      <c r="P102" s="7"/>
      <c r="Q102" s="22"/>
      <c r="R102" s="170" t="s">
        <v>1064</v>
      </c>
      <c r="S102" s="213">
        <f t="shared" si="28"/>
        <v>1</v>
      </c>
      <c r="T102" s="195" t="str">
        <f t="shared" si="31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2"/>
        <v>https://d0f6bd738d7f1b3e5a7ca70fe4ff75f0.us-east-1.aws.found.io/app/kibana#/discover/Steve-Slow-Train-Analysis-(2080s-and-2083s)?_g=(refreshInterval:(display:Off,pause:!f,section:0,value:0),time:(from:'2017-08-18T14:08:37-0600',mode:absolute,to:'2017-08-18T17:10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197" t="str">
        <f>IF(AA102&lt;VLOOKUP(AG102,Variables!$AC$3:$AD$8,2,FALSE),"Y","N")</f>
        <v>N</v>
      </c>
      <c r="X102" s="197">
        <f t="shared" si="33"/>
        <v>1</v>
      </c>
      <c r="Y102" s="197">
        <f t="shared" si="34"/>
        <v>23.3065</v>
      </c>
      <c r="Z102" s="197">
        <f t="shared" si="35"/>
        <v>1.49E-2</v>
      </c>
      <c r="AA102" s="197">
        <f t="shared" si="36"/>
        <v>23.291599999999999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6">
        <f t="shared" si="37"/>
        <v>188</v>
      </c>
      <c r="AE102" s="77" t="str">
        <f t="shared" si="38"/>
        <v>aws s3 cp s3://rtdc.mdm.uploadarchive.raw/RTDC4017/ "%USERPROFILE%\AppData\Local\Temp\OnboardLogs"\RTDC4017\2017-08-18 --exclude "*" --recursive --include "*20170818*" &amp; "%USERPROFILE%\Documents\GitHub\mrs-test-scripts\Headless Mode &amp; Sideloading\WalkAndUnGZ.bat" "%USERPROFILE%\AppData\Local\Temp\OnboardLogs"\RTDC4017\2017-08-18 &amp; aws s3 cp s3://rtdc.mdm.uploadarchive.raw/RTDC4017/ "%USERPROFILE%\AppData\Local\Temp\OnboardLogs"\RTDC4017\2017-08-19 --exclude "*" --recursive --include "*20170819*" &amp; "%USERPROFILE%\Documents\GitHub\mrs-test-scripts\Headless Mode &amp; Sideloading\WalkAndUnGZ.bat" "%USERPROFILE%\AppData\Local\Temp\OnboardLogs"\RTDC4017\2017-08-19</v>
      </c>
      <c r="AF102" s="74" t="str">
        <f t="shared" si="39"/>
        <v>"C:\Program Files (x86)\AstroGrep\AstroGrep.exe" /e /r /s /spath="%USERPROFILE%\AppData\Local\Temp\OnboardLogs" /stypes="app*4017*20170818*" /stext=" 22:.+((SYSTEM_STATE.+slice.+state.+changed )|(ment ac)|(multiple cpu faults)|(system.+state.+changed )|(\[timeout)|(PRM\|1\|D)|(kpr)|(kdp)|(train st.+moving)|(\|lc)|(penalty))"</v>
      </c>
      <c r="AG102" s="209" t="str">
        <f t="shared" si="40"/>
        <v>EC</v>
      </c>
      <c r="AH102" s="78" t="str">
        <f t="shared" si="41"/>
        <v>"%USERPROFILE%\Documents\GitHub\eaglep3\Utilities\RefineRTDCRunTimes.py" --tripid 188-18 --locoid 4017 --swversion DE.1.0.9.0 --startMP 204:233065 --initTime 2017-08-18T15:08:37 --startdatetime 2017-08-18T15:27:31 --delay 2 --endMP 204:149 --enddatetime 2017-08-18T16:10:10 --enforcementcount 0 &gt;&gt;C:\Users\stu\Documents\GitHub\eaglep3-reporting\EC\2017-08-18-refined-times.txt</v>
      </c>
      <c r="AI102" s="96" t="str">
        <f t="shared" si="42"/>
        <v>echo {"issue":{"subject":"Wi-MAX data drop observed, no enforcement/cutout","project_id":79,"tracker_id":40,"status_id":1,"priority_id":2,"assigned_to_id":23,"start_date":"2017-08-18","description":"","custom_fields":[{"id":1,"name":"Subdivision","value":"EC"},{"id":4,"name":"Milepost","value":"0.0149"},{"id":17,"name":"Train ID","value":"188-18"},{"id":16,"name":"Locomotive ID","value":"4017"},{"id":130,"name":"Impact","value":""},{"id":150,"name":"Time of Event (Mountain Time)","value":"16:10:10"},{"id":151,"name":"Denver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3"/>
        <v>start /low /b %USERPROFILE%\Documents\GitHub\eaglep3\Utilities\DownloadLogsFromS3.py --loco 4017 --day 2017-08-18</v>
      </c>
      <c r="AN102" s="151" t="str">
        <f t="shared" si="44"/>
        <v>echo {"issue":{"subject":"Wi-MAX data drop observed, no enforcement/cutout","project_id":30,"tracker_id":4,"status_id":1,"priority_id":1,"assigned_to_id":10,"start_date":"2017-08-18","description":"","custom_fields":[{"id":30,"name":"Category","value":"Issue"},{"id":3,"name":"Functional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22:10:10"},{"id":29,"name":"Sharepoint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671</v>
      </c>
      <c r="B103" s="7">
        <v>4030</v>
      </c>
      <c r="C103" s="21" t="s">
        <v>198</v>
      </c>
      <c r="D103" s="21" t="s">
        <v>440</v>
      </c>
      <c r="E103" s="13">
        <v>42965.611921296295</v>
      </c>
      <c r="F103" s="13">
        <v>42965.615405092591</v>
      </c>
      <c r="G103" s="7">
        <v>1</v>
      </c>
      <c r="H103" s="21" t="s">
        <v>519</v>
      </c>
      <c r="I103" s="13">
        <v>42965.641145833331</v>
      </c>
      <c r="J103" s="7">
        <v>0</v>
      </c>
      <c r="K103" s="89" t="str">
        <f t="shared" si="29"/>
        <v>4029/4030</v>
      </c>
      <c r="L103" s="21" t="str">
        <f>VLOOKUP(A103,'Trips&amp;Operators'!$C$1:$G$99999,5,FALSE)</f>
        <v>THOMPSON LESTER</v>
      </c>
      <c r="M103" s="6">
        <f t="shared" si="30"/>
        <v>2.5740740740729962E-2</v>
      </c>
      <c r="N103" s="7">
        <f t="shared" si="46"/>
        <v>37.066666666651145</v>
      </c>
      <c r="O103" s="7"/>
      <c r="P103" s="7"/>
      <c r="Q103" s="22"/>
      <c r="R103" s="170"/>
      <c r="S103" s="213">
        <f t="shared" si="28"/>
        <v>1</v>
      </c>
      <c r="T103" s="195" t="str">
        <f t="shared" si="31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2"/>
        <v>https://d0f6bd738d7f1b3e5a7ca70fe4ff75f0.us-east-1.aws.found.io/app/kibana#/discover/Steve-Slow-Train-Analysis-(2080s-and-2083s)?_g=(refreshInterval:(display:Off,pause:!f,section:0,value:0),time:(from:'2017-08-18T13:41:10-0600',mode:absolute,to:'2017-08-18T16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3" s="197" t="str">
        <f>IF(AA103&lt;VLOOKUP(AG103,Variables!$AC$3:$AD$8,2,FALSE),"Y","N")</f>
        <v>N</v>
      </c>
      <c r="X103" s="197">
        <f t="shared" si="33"/>
        <v>1</v>
      </c>
      <c r="Y103" s="197">
        <f t="shared" si="34"/>
        <v>4.5699999999999998E-2</v>
      </c>
      <c r="Z103" s="197">
        <f t="shared" si="35"/>
        <v>23.3306</v>
      </c>
      <c r="AA103" s="197">
        <f t="shared" si="36"/>
        <v>23.2849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6">
        <f t="shared" si="37"/>
        <v>189</v>
      </c>
      <c r="AE103" s="77" t="str">
        <f t="shared" si="38"/>
        <v>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 &amp; 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</v>
      </c>
      <c r="AF103" s="74" t="str">
        <f t="shared" si="39"/>
        <v>"C:\Program Files (x86)\AstroGrep\AstroGrep.exe" /e /r /s /spath="%USERPROFILE%\AppData\Local\Temp\OnboardLogs" /stypes="app*4030*20170818*" /stext=" 21:.+((SYSTEM_STATE.+slice.+state.+changed )|(ment ac)|(multiple cpu faults)|(system.+state.+changed )|(\[timeout)|(PRM\|1\|D)|(kpr)|(kdp)|(train st.+moving)|(\|lc)|(penalty))"</v>
      </c>
      <c r="AG103" s="209" t="str">
        <f t="shared" si="40"/>
        <v>EC</v>
      </c>
      <c r="AH103" s="78" t="str">
        <f t="shared" si="41"/>
        <v>"%USERPROFILE%\Documents\GitHub\eaglep3\Utilities\RefineRTDCRunTimes.py" --tripid 189-18 --locoid 4030 --swversion DE.1.0.9.0 --startMP 204:457 --initTime 2017-08-18T14:41:10 --startdatetime 2017-08-18T14:46:11 --delay 1 --endMP 204:233306 --enddatetime 2017-08-18T15:23:15 --enforcementcount 0 &gt;&gt;C:\Users\stu\Documents\GitHub\eaglep3-reporting\EC\2017-08-18-refined-times.txt</v>
      </c>
      <c r="AI103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{"issue":{"subject":"","project_id":79,"tracker_id":40,"status_id":1,"priority_id":2,"assigned_to_id":23,"start_date":"2017-08-18","description":"","custom_fields":[{"id":1,"name":"Subdivision","value":"EC"},{"id":4,"name":"Milepost","value":"23.3306"},{"id":17,"name":"Train ID","value":"189-18"},{"id":16,"name":"Locomotive ID","value":"4030"},{"id":130,"name":"Impact","value":""},{"id":150,"name":"Time of Event (Mountain Time)","value":"15:23:15"},{"id":151,"name":"Denver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3"/>
        <v>start /low /b %USERPROFILE%\Documents\GitHub\eaglep3\Utilities\DownloadLogsFromS3.py --loco 4030 --day 2017-08-18</v>
      </c>
      <c r="AN103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797</v>
      </c>
      <c r="B104" s="7">
        <v>4029</v>
      </c>
      <c r="C104" s="21" t="s">
        <v>198</v>
      </c>
      <c r="D104" s="21" t="s">
        <v>388</v>
      </c>
      <c r="E104" s="13">
        <v>42965.65148148148</v>
      </c>
      <c r="F104" s="13">
        <v>42965.654432870368</v>
      </c>
      <c r="G104" s="7">
        <v>1</v>
      </c>
      <c r="H104" s="21" t="s">
        <v>455</v>
      </c>
      <c r="I104" s="13">
        <v>42965.682268518518</v>
      </c>
      <c r="J104" s="7">
        <v>0</v>
      </c>
      <c r="K104" s="89" t="str">
        <f t="shared" si="29"/>
        <v>4029/4030</v>
      </c>
      <c r="L104" s="21" t="str">
        <f>VLOOKUP(A104,'Trips&amp;Operators'!$C$1:$G$99999,5,FALSE)</f>
        <v>THOMPSON LESTER</v>
      </c>
      <c r="M104" s="6">
        <f t="shared" si="30"/>
        <v>2.7835648150357883E-2</v>
      </c>
      <c r="N104" s="7">
        <f t="shared" si="46"/>
        <v>40.083333336515352</v>
      </c>
      <c r="O104" s="7"/>
      <c r="P104" s="7"/>
      <c r="Q104" s="22"/>
      <c r="R104" s="170"/>
      <c r="S104" s="213">
        <f t="shared" si="28"/>
        <v>1</v>
      </c>
      <c r="T104" s="195" t="str">
        <f t="shared" si="31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2"/>
        <v>https://d0f6bd738d7f1b3e5a7ca70fe4ff75f0.us-east-1.aws.found.io/app/kibana#/discover/Steve-Slow-Train-Analysis-(2080s-and-2083s)?_g=(refreshInterval:(display:Off,pause:!f,section:0,value:0),time:(from:'2017-08-18T14:38:08-0600',mode:absolute,to:'2017-08-18T17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4" s="197" t="str">
        <f>IF(AA104&lt;VLOOKUP(AG104,Variables!$AC$3:$AD$8,2,FALSE),"Y","N")</f>
        <v>N</v>
      </c>
      <c r="X104" s="197">
        <f t="shared" si="33"/>
        <v>1</v>
      </c>
      <c r="Y104" s="197">
        <f t="shared" si="34"/>
        <v>23.299600000000002</v>
      </c>
      <c r="Z104" s="197">
        <f t="shared" si="35"/>
        <v>1.38E-2</v>
      </c>
      <c r="AA104" s="197">
        <f t="shared" si="36"/>
        <v>23.285800000000002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6">
        <f t="shared" si="37"/>
        <v>190</v>
      </c>
      <c r="AE104" s="77" t="str">
        <f t="shared" si="38"/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AF104" s="74" t="str">
        <f t="shared" si="39"/>
        <v>"C:\Program Files (x86)\AstroGrep\AstroGrep.exe" /e /r /s /spath="%USERPROFILE%\AppData\Local\Temp\OnboardLogs" /stypes="app*4029*20170818*" /stext=" 22:.+((SYSTEM_STATE.+slice.+state.+changed )|(ment ac)|(multiple cpu faults)|(system.+state.+changed )|(\[timeout)|(PRM\|1\|D)|(kpr)|(kdp)|(train st.+moving)|(\|lc)|(penalty))"</v>
      </c>
      <c r="AG104" s="209" t="str">
        <f t="shared" si="40"/>
        <v>EC</v>
      </c>
      <c r="AH104" s="78" t="str">
        <f t="shared" si="41"/>
        <v>"%USERPROFILE%\Documents\GitHub\eaglep3\Utilities\RefineRTDCRunTimes.py" --tripid 190-18 --locoid 4029 --swversion DE.1.0.9.0 --startMP 204:232996 --initTime 2017-08-18T15:38:08 --startdatetime 2017-08-18T15:42:23 --delay 1 --endMP 204:138 --enddatetime 2017-08-18T16:22:28 --enforcementcount 0 &gt;&gt;C:\Users\stu\Documents\GitHub\eaglep3-reporting\EC\2017-08-18-refined-times.txt</v>
      </c>
      <c r="AI104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{"issue":{"subject":"","project_id":79,"tracker_id":40,"status_id":1,"priority_id":2,"assigned_to_id":23,"start_date":"2017-08-18","description":"","custom_fields":[{"id":1,"name":"Subdivision","value":"EC"},{"id":4,"name":"Milepost","value":"0.0138"},{"id":17,"name":"Train ID","value":"190-18"},{"id":16,"name":"Locomotive ID","value":"4029"},{"id":130,"name":"Impact","value":""},{"id":150,"name":"Time of Event (Mountain Time)","value":"16:22:28"},{"id":151,"name":"Denver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3"/>
        <v>start /low /b %USERPROFILE%\Documents\GitHub\eaglep3\Utilities\DownloadLogsFromS3.py --loco 4029 --day 2017-08-18</v>
      </c>
      <c r="AN104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791</v>
      </c>
      <c r="B105" s="7">
        <v>4028</v>
      </c>
      <c r="C105" s="21" t="s">
        <v>198</v>
      </c>
      <c r="D105" s="21" t="s">
        <v>469</v>
      </c>
      <c r="E105" s="13">
        <v>42965.620983796296</v>
      </c>
      <c r="F105" s="13">
        <v>42965.625555555554</v>
      </c>
      <c r="G105" s="7">
        <v>1</v>
      </c>
      <c r="H105" s="21" t="s">
        <v>914</v>
      </c>
      <c r="I105" s="13">
        <v>42965.650821759256</v>
      </c>
      <c r="J105" s="7">
        <v>0</v>
      </c>
      <c r="K105" s="89" t="str">
        <f t="shared" si="29"/>
        <v>4027/4028</v>
      </c>
      <c r="L105" s="21" t="str">
        <f>VLOOKUP(A105,'Trips&amp;Operators'!$C$1:$G$99999,5,FALSE)</f>
        <v>STEWART MICHAEL</v>
      </c>
      <c r="M105" s="6">
        <f t="shared" si="30"/>
        <v>2.5266203701903578E-2</v>
      </c>
      <c r="N105" s="7">
        <f t="shared" si="46"/>
        <v>36.383333330741152</v>
      </c>
      <c r="O105" s="7"/>
      <c r="P105" s="7"/>
      <c r="Q105" s="22"/>
      <c r="R105" s="170"/>
      <c r="S105" s="213">
        <f t="shared" si="28"/>
        <v>1</v>
      </c>
      <c r="T105" s="195" t="str">
        <f t="shared" si="31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2"/>
        <v>https://d0f6bd738d7f1b3e5a7ca70fe4ff75f0.us-east-1.aws.found.io/app/kibana#/discover/Steve-Slow-Train-Analysis-(2080s-and-2083s)?_g=(refreshInterval:(display:Off,pause:!f,section:0,value:0),time:(from:'2017-08-18T13:54:13-0600',mode:absolute,to:'2017-08-18T16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5" s="197" t="str">
        <f>IF(AA105&lt;VLOOKUP(AG105,Variables!$AC$3:$AD$8,2,FALSE),"Y","N")</f>
        <v>N</v>
      </c>
      <c r="X105" s="197">
        <f t="shared" si="33"/>
        <v>1</v>
      </c>
      <c r="Y105" s="197">
        <f t="shared" si="34"/>
        <v>4.4400000000000002E-2</v>
      </c>
      <c r="Z105" s="197">
        <f t="shared" si="35"/>
        <v>23.327999999999999</v>
      </c>
      <c r="AA105" s="197">
        <f t="shared" si="36"/>
        <v>23.2836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6">
        <f t="shared" si="37"/>
        <v>191</v>
      </c>
      <c r="AE105" s="77" t="str">
        <f t="shared" si="38"/>
        <v>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 &amp; 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</v>
      </c>
      <c r="AF105" s="74" t="str">
        <f t="shared" si="39"/>
        <v>"C:\Program Files (x86)\AstroGrep\AstroGrep.exe" /e /r /s /spath="%USERPROFILE%\AppData\Local\Temp\OnboardLogs" /stypes="app*4028*20170818*" /stext=" 21:.+((SYSTEM_STATE.+slice.+state.+changed )|(ment ac)|(multiple cpu faults)|(system.+state.+changed )|(\[timeout)|(PRM\|1\|D)|(kpr)|(kdp)|(train st.+moving)|(\|lc)|(penalty))"</v>
      </c>
      <c r="AG105" s="209" t="str">
        <f t="shared" si="40"/>
        <v>EC</v>
      </c>
      <c r="AH105" s="78" t="str">
        <f t="shared" si="41"/>
        <v>"%USERPROFILE%\Documents\GitHub\eaglep3\Utilities\RefineRTDCRunTimes.py" --tripid 191-18 --locoid 4028 --swversion DE.1.0.9.0 --startMP 204:444 --initTime 2017-08-18T14:54:13 --startdatetime 2017-08-18T15:00:48 --delay 1 --endMP 204:233280 --enddatetime 2017-08-18T15:37:11 --enforcementcount 0 &gt;&gt;C:\Users\stu\Documents\GitHub\eaglep3-reporting\EC\2017-08-18-refined-times.txt</v>
      </c>
      <c r="AI105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{"issue":{"subject":"","project_id":79,"tracker_id":40,"status_id":1,"priority_id":2,"assigned_to_id":23,"start_date":"2017-08-18","description":"","custom_fields":[{"id":1,"name":"Subdivision","value":"EC"},{"id":4,"name":"Milepost","value":"23.328"},{"id":17,"name":"Train ID","value":"191-18"},{"id":16,"name":"Locomotive ID","value":"4028"},{"id":130,"name":"Impact","value":""},{"id":150,"name":"Time of Event (Mountain Time)","value":"15:37:11"},{"id":151,"name":"Denver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3"/>
        <v>start /low /b %USERPROFILE%\Documents\GitHub\eaglep3\Utilities\DownloadLogsFromS3.py --loco 4028 --day 2017-08-18</v>
      </c>
      <c r="AN105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21:37:11"},{"id":29,"name":"Sharepoint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799</v>
      </c>
      <c r="B106" s="7">
        <v>4027</v>
      </c>
      <c r="C106" s="21" t="s">
        <v>198</v>
      </c>
      <c r="D106" s="21" t="s">
        <v>596</v>
      </c>
      <c r="E106" s="13">
        <v>42965.661539351851</v>
      </c>
      <c r="F106" s="13">
        <v>42965.664849537039</v>
      </c>
      <c r="G106" s="7">
        <v>1</v>
      </c>
      <c r="H106" s="21" t="s">
        <v>347</v>
      </c>
      <c r="I106" s="13">
        <v>42965.691608796296</v>
      </c>
      <c r="J106" s="7">
        <v>0</v>
      </c>
      <c r="K106" s="89" t="str">
        <f t="shared" si="29"/>
        <v>4027/4028</v>
      </c>
      <c r="L106" s="21" t="str">
        <f>VLOOKUP(A106,'Trips&amp;Operators'!$C$1:$G$99999,5,FALSE)</f>
        <v>STEWART MICHAEL</v>
      </c>
      <c r="M106" s="6">
        <f t="shared" si="30"/>
        <v>2.675925925723277E-2</v>
      </c>
      <c r="N106" s="7">
        <f t="shared" si="46"/>
        <v>38.533333330415189</v>
      </c>
      <c r="O106" s="7"/>
      <c r="P106" s="7"/>
      <c r="Q106" s="22"/>
      <c r="R106" s="170"/>
      <c r="S106" s="213">
        <f t="shared" ref="S106:S137" si="47">1/IF(AG106="EC",12,1)*SUM(U106:U106)</f>
        <v>1</v>
      </c>
      <c r="T106" s="195" t="str">
        <f t="shared" si="31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2"/>
        <v>https://d0f6bd738d7f1b3e5a7ca70fe4ff75f0.us-east-1.aws.found.io/app/kibana#/discover/Steve-Slow-Train-Analysis-(2080s-and-2083s)?_g=(refreshInterval:(display:Off,pause:!f,section:0,value:0),time:(from:'2017-08-18T14:52:37-0600',mode:absolute,to:'2017-08-18T17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6" s="197" t="str">
        <f>IF(AA106&lt;VLOOKUP(AG106,Variables!$AC$3:$AD$8,2,FALSE),"Y","N")</f>
        <v>N</v>
      </c>
      <c r="X106" s="197">
        <f t="shared" si="33"/>
        <v>1</v>
      </c>
      <c r="Y106" s="197">
        <f t="shared" si="34"/>
        <v>23.296299999999999</v>
      </c>
      <c r="Z106" s="197">
        <f t="shared" si="35"/>
        <v>1.3899999999999999E-2</v>
      </c>
      <c r="AA106" s="197">
        <f t="shared" si="36"/>
        <v>23.282399999999999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6">
        <f t="shared" si="37"/>
        <v>192</v>
      </c>
      <c r="AE106" s="77" t="str">
        <f t="shared" si="38"/>
        <v>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 &amp; aws s3 cp s3://rtdc.mdm.uploadarchive.raw/RTDC4027/ "%USERPROFILE%\AppData\Local\Temp\OnboardLogs"\RTDC4027\2017-08-19 --exclude "*" --recursive --include "*20170819*" &amp; "%USERPROFILE%\Documents\GitHub\mrs-test-scripts\Headless Mode &amp; Sideloading\WalkAndUnGZ.bat" "%USERPROFILE%\AppData\Local\Temp\OnboardLogs"\RTDC4027\2017-08-19</v>
      </c>
      <c r="AF106" s="74" t="str">
        <f t="shared" si="39"/>
        <v>"C:\Program Files (x86)\AstroGrep\AstroGrep.exe" /e /r /s /spath="%USERPROFILE%\AppData\Local\Temp\OnboardLogs" /stypes="app*4027*20170818*" /stext=" 22:.+((SYSTEM_STATE.+slice.+state.+changed )|(ment ac)|(multiple cpu faults)|(system.+state.+changed )|(\[timeout)|(PRM\|1\|D)|(kpr)|(kdp)|(train st.+moving)|(\|lc)|(penalty))"</v>
      </c>
      <c r="AG106" s="209" t="str">
        <f t="shared" si="40"/>
        <v>EC</v>
      </c>
      <c r="AH106" s="78" t="str">
        <f t="shared" si="41"/>
        <v>"%USERPROFILE%\Documents\GitHub\eaglep3\Utilities\RefineRTDCRunTimes.py" --tripid 192-18 --locoid 4027 --swversion DE.1.0.9.0 --startMP 204:232963 --initTime 2017-08-18T15:52:37 --startdatetime 2017-08-18T15:57:23 --delay 1 --endMP 204:139 --enddatetime 2017-08-18T16:35:55 --enforcementcount 0 &gt;&gt;C:\Users\stu\Documents\GitHub\eaglep3-reporting\EC\2017-08-18-refined-times.txt</v>
      </c>
      <c r="AI106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{"issue":{"subject":"","project_id":79,"tracker_id":40,"status_id":1,"priority_id":2,"assigned_to_id":23,"start_date":"2017-08-18","description":"","custom_fields":[{"id":1,"name":"Subdivision","value":"EC"},{"id":4,"name":"Milepost","value":"0.0139"},{"id":17,"name":"Train ID","value":"192-18"},{"id":16,"name":"Locomotive ID","value":"4027"},{"id":130,"name":"Impact","value":""},{"id":150,"name":"Time of Event (Mountain Time)","value":"16:35:55"},{"id":151,"name":"Denver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3"/>
        <v>start /low /b %USERPROFILE%\Documents\GitHub\eaglep3\Utilities\DownloadLogsFromS3.py --loco 4027 --day 2017-08-18</v>
      </c>
      <c r="AN106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794</v>
      </c>
      <c r="B107" s="7">
        <v>4064</v>
      </c>
      <c r="C107" s="21" t="s">
        <v>198</v>
      </c>
      <c r="D107" s="21" t="s">
        <v>471</v>
      </c>
      <c r="E107" s="13">
        <v>42965.631944444445</v>
      </c>
      <c r="F107" s="13">
        <v>42965.636041666665</v>
      </c>
      <c r="G107" s="7">
        <v>1</v>
      </c>
      <c r="H107" s="21" t="s">
        <v>924</v>
      </c>
      <c r="I107" s="13">
        <v>42965.662152777775</v>
      </c>
      <c r="J107" s="7">
        <v>0</v>
      </c>
      <c r="K107" s="89" t="str">
        <f t="shared" si="29"/>
        <v>4063/4064</v>
      </c>
      <c r="L107" s="21" t="str">
        <f>VLOOKUP(A107,'Trips&amp;Operators'!$C$1:$G$99999,5,FALSE)</f>
        <v>WEST BRYAN</v>
      </c>
      <c r="M107" s="6">
        <f t="shared" si="30"/>
        <v>2.6111111110367347E-2</v>
      </c>
      <c r="N107" s="7">
        <f t="shared" si="46"/>
        <v>37.599999998928979</v>
      </c>
      <c r="O107" s="7"/>
      <c r="P107" s="7"/>
      <c r="Q107" s="22"/>
      <c r="R107" s="170"/>
      <c r="S107" s="213">
        <f t="shared" si="47"/>
        <v>1</v>
      </c>
      <c r="T107" s="195" t="str">
        <f t="shared" si="31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2"/>
        <v>https://d0f6bd738d7f1b3e5a7ca70fe4ff75f0.us-east-1.aws.found.io/app/kibana#/discover/Steve-Slow-Train-Analysis-(2080s-and-2083s)?_g=(refreshInterval:(display:Off,pause:!f,section:0,value:0),time:(from:'2017-08-18T14:10:00-0600',mode:absolute,to:'2017-08-18T16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7" s="197" t="str">
        <f>IF(AA107&lt;VLOOKUP(AG107,Variables!$AC$3:$AD$8,2,FALSE),"Y","N")</f>
        <v>N</v>
      </c>
      <c r="X107" s="197">
        <f t="shared" si="33"/>
        <v>1</v>
      </c>
      <c r="Y107" s="197">
        <f t="shared" si="34"/>
        <v>4.6600000000000003E-2</v>
      </c>
      <c r="Z107" s="197">
        <f t="shared" si="35"/>
        <v>23.329799999999999</v>
      </c>
      <c r="AA107" s="197">
        <f t="shared" si="36"/>
        <v>23.283199999999997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6">
        <f t="shared" si="37"/>
        <v>193</v>
      </c>
      <c r="AE107" s="77" t="str">
        <f t="shared" si="38"/>
        <v>aws s3 cp s3://rtdc.mdm.uploadarchive.raw/RTDC4064/ "%USERPROFILE%\AppData\Local\Temp\OnboardLogs"\RTDC4064\2017-08-18 --exclude "*" --recursive --include "*20170818*" &amp; "%USERPROFILE%\Documents\GitHub\mrs-test-scripts\Headless Mode &amp; Sideloading\WalkAndUnGZ.bat" "%USERPROFILE%\AppData\Local\Temp\OnboardLogs"\RTDC4064\2017-08-18 &amp; aws s3 cp s3://rtdc.mdm.uploadarchive.raw/RTDC4064/ "%USERPROFILE%\AppData\Local\Temp\OnboardLogs"\RTDC4064\2017-08-19 --exclude "*" --recursive --include "*20170819*" &amp; "%USERPROFILE%\Documents\GitHub\mrs-test-scripts\Headless Mode &amp; Sideloading\WalkAndUnGZ.bat" "%USERPROFILE%\AppData\Local\Temp\OnboardLogs"\RTDC4064\2017-08-19</v>
      </c>
      <c r="AF107" s="74" t="str">
        <f t="shared" si="39"/>
        <v>"C:\Program Files (x86)\AstroGrep\AstroGrep.exe" /e /r /s /spath="%USERPROFILE%\AppData\Local\Temp\OnboardLogs" /stypes="app*4064*20170818*" /stext=" 21:.+((SYSTEM_STATE.+slice.+state.+changed )|(ment ac)|(multiple cpu faults)|(system.+state.+changed )|(\[timeout)|(PRM\|1\|D)|(kpr)|(kdp)|(train st.+moving)|(\|lc)|(penalty))"</v>
      </c>
      <c r="AG107" s="209" t="str">
        <f t="shared" si="40"/>
        <v>EC</v>
      </c>
      <c r="AH107" s="78" t="str">
        <f t="shared" si="41"/>
        <v>"%USERPROFILE%\Documents\GitHub\eaglep3\Utilities\RefineRTDCRunTimes.py" --tripid 193-18 --locoid 4064 --swversion DE.1.0.9.0 --startMP 204:466 --initTime 2017-08-18T15:10:00 --startdatetime 2017-08-18T15:15:54 --delay 1 --endMP 204:233298 --enddatetime 2017-08-18T15:53:30 --enforcementcount 0 &gt;&gt;C:\Users\stu\Documents\GitHub\eaglep3-reporting\EC\2017-08-18-refined-times.txt</v>
      </c>
      <c r="AI107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{"issue":{"subject":"","project_id":79,"tracker_id":40,"status_id":1,"priority_id":2,"assigned_to_id":23,"start_date":"2017-08-18","description":"","custom_fields":[{"id":1,"name":"Subdivision","value":"EC"},{"id":4,"name":"Milepost","value":"23.3298"},{"id":17,"name":"Train ID","value":"193-18"},{"id":16,"name":"Locomotive ID","value":"4064"},{"id":130,"name":"Impact","value":""},{"id":150,"name":"Time of Event (Mountain Time)","value":"15:53:30"},{"id":151,"name":"Denver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3"/>
        <v>start /low /b %USERPROFILE%\Documents\GitHub\eaglep3\Utilities\DownloadLogsFromS3.py --loco 4064 --day 2017-08-18</v>
      </c>
      <c r="AN107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21:53:30"},{"id":29,"name":"Sharepoint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676</v>
      </c>
      <c r="B108" s="7">
        <v>4063</v>
      </c>
      <c r="C108" s="21" t="s">
        <v>198</v>
      </c>
      <c r="D108" s="21" t="s">
        <v>460</v>
      </c>
      <c r="E108" s="13">
        <v>42965.671539351853</v>
      </c>
      <c r="F108" s="13">
        <v>42965.675208333334</v>
      </c>
      <c r="G108" s="7">
        <v>1</v>
      </c>
      <c r="H108" s="21" t="s">
        <v>925</v>
      </c>
      <c r="I108" s="13">
        <v>42965.702233796299</v>
      </c>
      <c r="J108" s="7">
        <v>0</v>
      </c>
      <c r="K108" s="89" t="str">
        <f t="shared" si="29"/>
        <v>4063/4064</v>
      </c>
      <c r="L108" s="21" t="str">
        <f>VLOOKUP(A108,'Trips&amp;Operators'!$C$1:$G$99999,5,FALSE)</f>
        <v>WEST BRYAN</v>
      </c>
      <c r="M108" s="6">
        <f t="shared" si="30"/>
        <v>2.7025462964957114E-2</v>
      </c>
      <c r="N108" s="7">
        <f t="shared" si="46"/>
        <v>38.916666669538245</v>
      </c>
      <c r="O108" s="7"/>
      <c r="P108" s="7"/>
      <c r="Q108" s="22"/>
      <c r="R108" s="170"/>
      <c r="S108" s="213">
        <f t="shared" si="47"/>
        <v>1</v>
      </c>
      <c r="T108" s="195" t="str">
        <f t="shared" si="31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2"/>
        <v>https://d0f6bd738d7f1b3e5a7ca70fe4ff75f0.us-east-1.aws.found.io/app/kibana#/discover/Steve-Slow-Train-Analysis-(2080s-and-2083s)?_g=(refreshInterval:(display:Off,pause:!f,section:0,value:0),time:(from:'2017-08-18T15:07:01-0600',mode:absolute,to:'2017-08-18T17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8" s="197" t="str">
        <f>IF(AA108&lt;VLOOKUP(AG108,Variables!$AC$3:$AD$8,2,FALSE),"Y","N")</f>
        <v>N</v>
      </c>
      <c r="X108" s="197">
        <f t="shared" si="33"/>
        <v>1</v>
      </c>
      <c r="Y108" s="197">
        <f t="shared" si="34"/>
        <v>23.297699999999999</v>
      </c>
      <c r="Z108" s="197">
        <f t="shared" si="35"/>
        <v>2.6200000000000001E-2</v>
      </c>
      <c r="AA108" s="197">
        <f t="shared" si="36"/>
        <v>23.2715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6">
        <f t="shared" si="37"/>
        <v>194</v>
      </c>
      <c r="AE108" s="77" t="str">
        <f t="shared" si="38"/>
        <v>aws s3 cp s3://rtdc.mdm.uploadarchive.raw/RTDC4063/ "%USERPROFILE%\AppData\Local\Temp\OnboardLogs"\RTDC4063\2017-08-18 --exclude "*" --recursive --include "*20170818*" &amp; "%USERPROFILE%\Documents\GitHub\mrs-test-scripts\Headless Mode &amp; Sideloading\WalkAndUnGZ.bat" "%USERPROFILE%\AppData\Local\Temp\OnboardLogs"\RTDC4063\2017-08-18 &amp; aws s3 cp s3://rtdc.mdm.uploadarchive.raw/RTDC4063/ "%USERPROFILE%\AppData\Local\Temp\OnboardLogs"\RTDC4063\2017-08-19 --exclude "*" --recursive --include "*20170819*" &amp; "%USERPROFILE%\Documents\GitHub\mrs-test-scripts\Headless Mode &amp; Sideloading\WalkAndUnGZ.bat" "%USERPROFILE%\AppData\Local\Temp\OnboardLogs"\RTDC4063\2017-08-19</v>
      </c>
      <c r="AF108" s="74" t="str">
        <f t="shared" si="39"/>
        <v>"C:\Program Files (x86)\AstroGrep\AstroGrep.exe" /e /r /s /spath="%USERPROFILE%\AppData\Local\Temp\OnboardLogs" /stypes="app*4063*20170818*" /stext=" 22:.+((SYSTEM_STATE.+slice.+state.+changed )|(ment ac)|(multiple cpu faults)|(system.+state.+changed )|(\[timeout)|(PRM\|1\|D)|(kpr)|(kdp)|(train st.+moving)|(\|lc)|(penalty))"</v>
      </c>
      <c r="AG108" s="209" t="str">
        <f t="shared" si="40"/>
        <v>EC</v>
      </c>
      <c r="AH108" s="78" t="str">
        <f t="shared" si="41"/>
        <v>"%USERPROFILE%\Documents\GitHub\eaglep3\Utilities\RefineRTDCRunTimes.py" --tripid 194-18 --locoid 4063 --swversion DE.1.0.9.0 --startMP 204:232977 --initTime 2017-08-18T16:07:01 --startdatetime 2017-08-18T16:12:18 --delay 1 --endMP 204:262 --enddatetime 2017-08-18T16:51:13 --enforcementcount 0 &gt;&gt;C:\Users\stu\Documents\GitHub\eaglep3-reporting\EC\2017-08-18-refined-times.txt</v>
      </c>
      <c r="AI108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{"issue":{"subject":"","project_id":79,"tracker_id":40,"status_id":1,"priority_id":2,"assigned_to_id":23,"start_date":"2017-08-18","description":"","custom_fields":[{"id":1,"name":"Subdivision","value":"EC"},{"id":4,"name":"Milepost","value":"0.0262"},{"id":17,"name":"Train ID","value":"194-18"},{"id":16,"name":"Locomotive ID","value":"4063"},{"id":130,"name":"Impact","value":""},{"id":150,"name":"Time of Event (Mountain Time)","value":"16:51:13"},{"id":151,"name":"Denver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3"/>
        <v>start /low /b %USERPROFILE%\Documents\GitHub\eaglep3\Utilities\DownloadLogsFromS3.py --loco 4063 --day 2017-08-18</v>
      </c>
      <c r="AN108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795</v>
      </c>
      <c r="B109" s="7">
        <v>4040</v>
      </c>
      <c r="C109" s="21" t="s">
        <v>198</v>
      </c>
      <c r="D109" s="21" t="s">
        <v>446</v>
      </c>
      <c r="E109" s="13">
        <v>42965.641226851854</v>
      </c>
      <c r="F109" s="13">
        <v>42965.64675925926</v>
      </c>
      <c r="G109" s="7">
        <v>1</v>
      </c>
      <c r="H109" s="21" t="s">
        <v>894</v>
      </c>
      <c r="I109" s="13">
        <v>42965.671655092592</v>
      </c>
      <c r="J109" s="7">
        <v>0</v>
      </c>
      <c r="K109" s="89" t="str">
        <f t="shared" si="29"/>
        <v>4039/4040</v>
      </c>
      <c r="L109" s="21" t="str">
        <f>VLOOKUP(A109,'Trips&amp;Operators'!$C$1:$G$99999,5,FALSE)</f>
        <v>LANGERAK WILLIAM</v>
      </c>
      <c r="M109" s="6">
        <f t="shared" si="30"/>
        <v>2.4895833332266193E-2</v>
      </c>
      <c r="N109" s="7">
        <f t="shared" si="46"/>
        <v>35.849999998463318</v>
      </c>
      <c r="O109" s="7"/>
      <c r="P109" s="7"/>
      <c r="Q109" s="22"/>
      <c r="R109" s="170"/>
      <c r="S109" s="213">
        <f t="shared" si="47"/>
        <v>1</v>
      </c>
      <c r="T109" s="195" t="str">
        <f t="shared" si="31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2"/>
        <v>https://d0f6bd738d7f1b3e5a7ca70fe4ff75f0.us-east-1.aws.found.io/app/kibana#/discover/Steve-Slow-Train-Analysis-(2080s-and-2083s)?_g=(refreshInterval:(display:Off,pause:!f,section:0,value:0),time:(from:'2017-08-18T14:23:22-0600',mode:absolute,to:'2017-08-18T17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9" s="197" t="str">
        <f>IF(AA109&lt;VLOOKUP(AG109,Variables!$AC$3:$AD$8,2,FALSE),"Y","N")</f>
        <v>N</v>
      </c>
      <c r="X109" s="197">
        <f t="shared" ref="X109:X127" si="48">VALUE(LEFT(AD109,4))-VALUE(LEFT(AD108,4))</f>
        <v>1</v>
      </c>
      <c r="Y109" s="197">
        <f t="shared" ref="Y109:Y140" si="49">RIGHT(D109,LEN(D109)-4)/10000</f>
        <v>4.6399999999999997E-2</v>
      </c>
      <c r="Z109" s="197">
        <f t="shared" ref="Z109:Z140" si="50">RIGHT(H109,LEN(H109)-4)/10000</f>
        <v>23.326799999999999</v>
      </c>
      <c r="AA109" s="197">
        <f t="shared" si="36"/>
        <v>23.2804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6">
        <f t="shared" si="37"/>
        <v>195</v>
      </c>
      <c r="AE109" s="77" t="str">
        <f t="shared" si="38"/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AF109" s="74" t="str">
        <f t="shared" si="39"/>
        <v>"C:\Program Files (x86)\AstroGrep\AstroGrep.exe" /e /r /s /spath="%USERPROFILE%\AppData\Local\Temp\OnboardLogs" /stypes="app*4040*20170818*" /stext=" 22:.+((SYSTEM_STATE.+slice.+state.+changed )|(ment ac)|(multiple cpu faults)|(system.+state.+changed )|(\[timeout)|(PRM\|1\|D)|(kpr)|(kdp)|(train st.+moving)|(\|lc)|(penalty))"</v>
      </c>
      <c r="AG109" s="209" t="str">
        <f t="shared" si="40"/>
        <v>EC</v>
      </c>
      <c r="AH109" s="78" t="str">
        <f t="shared" si="41"/>
        <v>"%USERPROFILE%\Documents\GitHub\eaglep3\Utilities\RefineRTDCRunTimes.py" --tripid 195-18 --locoid 4040 --swversion DE.1.0.9.0 --startMP 204:464 --initTime 2017-08-18T15:23:22 --startdatetime 2017-08-18T15:31:20 --delay 1 --endMP 204:233268 --enddatetime 2017-08-18T16:07:11 --enforcementcount 0 &gt;&gt;C:\Users\stu\Documents\GitHub\eaglep3-reporting\EC\2017-08-18-refined-times.txt</v>
      </c>
      <c r="AI109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{"issue":{"subject":"","project_id":79,"tracker_id":40,"status_id":1,"priority_id":2,"assigned_to_id":23,"start_date":"2017-08-18","description":"","custom_fields":[{"id":1,"name":"Subdivision","value":"EC"},{"id":4,"name":"Milepost","value":"23.3268"},{"id":17,"name":"Train ID","value":"195-18"},{"id":16,"name":"Locomotive ID","value":"4040"},{"id":130,"name":"Impact","value":""},{"id":150,"name":"Time of Event (Mountain Time)","value":"16:07:11"},{"id":151,"name":"Denver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3"/>
        <v>start /low /b %USERPROFILE%\Documents\GitHub\eaglep3\Utilities\DownloadLogsFromS3.py --loco 4040 --day 2017-08-18</v>
      </c>
      <c r="AN109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803</v>
      </c>
      <c r="B110" s="7">
        <v>4039</v>
      </c>
      <c r="C110" s="21" t="s">
        <v>198</v>
      </c>
      <c r="D110" s="21" t="s">
        <v>926</v>
      </c>
      <c r="E110" s="13">
        <v>42965.672800925924</v>
      </c>
      <c r="F110" s="13">
        <v>42965.685601851852</v>
      </c>
      <c r="G110" s="7">
        <v>1</v>
      </c>
      <c r="H110" s="21" t="s">
        <v>509</v>
      </c>
      <c r="I110" s="13">
        <v>42965.712430555555</v>
      </c>
      <c r="J110" s="7">
        <v>0</v>
      </c>
      <c r="K110" s="89" t="str">
        <f t="shared" si="29"/>
        <v>4039/4040</v>
      </c>
      <c r="L110" s="21" t="str">
        <f>VLOOKUP(A110,'Trips&amp;Operators'!$C$1:$G$99999,5,FALSE)</f>
        <v>LANGERAK WILLIAM</v>
      </c>
      <c r="M110" s="6">
        <f t="shared" si="30"/>
        <v>2.6828703703358769E-2</v>
      </c>
      <c r="N110" s="7">
        <f t="shared" si="46"/>
        <v>38.633333332836628</v>
      </c>
      <c r="O110" s="7"/>
      <c r="P110" s="7"/>
      <c r="Q110" s="22"/>
      <c r="R110" s="170"/>
      <c r="S110" s="213">
        <f t="shared" si="47"/>
        <v>1</v>
      </c>
      <c r="T110" s="195" t="str">
        <f t="shared" si="31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2"/>
        <v>https://d0f6bd738d7f1b3e5a7ca70fe4ff75f0.us-east-1.aws.found.io/app/kibana#/discover/Steve-Slow-Train-Analysis-(2080s-and-2083s)?_g=(refreshInterval:(display:Off,pause:!f,section:0,value:0),time:(from:'2017-08-18T15:08:50-0600',mode:absolute,to:'2017-08-18T18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0" s="197" t="str">
        <f>IF(AA110&lt;VLOOKUP(AG110,Variables!$AC$3:$AD$8,2,FALSE),"Y","N")</f>
        <v>N</v>
      </c>
      <c r="X110" s="197">
        <f t="shared" si="48"/>
        <v>1</v>
      </c>
      <c r="Y110" s="197">
        <f t="shared" si="49"/>
        <v>23.295000000000002</v>
      </c>
      <c r="Z110" s="197">
        <f t="shared" si="50"/>
        <v>1.72E-2</v>
      </c>
      <c r="AA110" s="197">
        <f t="shared" si="36"/>
        <v>23.277800000000003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6">
        <f t="shared" si="37"/>
        <v>196</v>
      </c>
      <c r="AE110" s="77" t="str">
        <f t="shared" si="38"/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AF110" s="74" t="str">
        <f t="shared" si="39"/>
        <v>"C:\Program Files (x86)\AstroGrep\AstroGrep.exe" /e /r /s /spath="%USERPROFILE%\AppData\Local\Temp\OnboardLogs" /stypes="app*4039*20170818*" /stext=" 23:.+((SYSTEM_STATE.+slice.+state.+changed )|(ment ac)|(multiple cpu faults)|(system.+state.+changed )|(\[timeout)|(PRM\|1\|D)|(kpr)|(kdp)|(train st.+moving)|(\|lc)|(penalty))"</v>
      </c>
      <c r="AG110" s="209" t="str">
        <f t="shared" si="40"/>
        <v>EC</v>
      </c>
      <c r="AH110" s="78" t="str">
        <f t="shared" si="41"/>
        <v>"%USERPROFILE%\Documents\GitHub\eaglep3\Utilities\RefineRTDCRunTimes.py" --tripid 196-18 --locoid 4039 --swversion DE.1.0.9.0 --startMP 204:232950 --initTime 2017-08-18T16:08:50 --startdatetime 2017-08-18T16:27:16 --delay 1 --endMP 204:172 --enddatetime 2017-08-18T17:05:54 --enforcementcount 0 &gt;&gt;C:\Users\stu\Documents\GitHub\eaglep3-reporting\EC\2017-08-18-refined-times.txt</v>
      </c>
      <c r="AI110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{"issue":{"subject":"","project_id":79,"tracker_id":40,"status_id":1,"priority_id":2,"assigned_to_id":23,"start_date":"2017-08-18","description":"","custom_fields":[{"id":1,"name":"Subdivision","value":"EC"},{"id":4,"name":"Milepost","value":"0.0172"},{"id":17,"name":"Train ID","value":"196-18"},{"id":16,"name":"Locomotive ID","value":"4039"},{"id":130,"name":"Impact","value":""},{"id":150,"name":"Time of Event (Mountain Time)","value":"17:05:54"},{"id":151,"name":"Denver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3"/>
        <v>start /low /b %USERPROFILE%\Documents\GitHub\eaglep3\Utilities\DownloadLogsFromS3.py --loco 4039 --day 2017-08-18</v>
      </c>
      <c r="AN110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796</v>
      </c>
      <c r="B111" s="7">
        <v>4050</v>
      </c>
      <c r="C111" s="21" t="s">
        <v>198</v>
      </c>
      <c r="D111" s="21" t="s">
        <v>607</v>
      </c>
      <c r="E111" s="13">
        <v>42965.650914351849</v>
      </c>
      <c r="F111" s="13">
        <v>42965.656770833331</v>
      </c>
      <c r="G111" s="7">
        <v>1</v>
      </c>
      <c r="H111" s="21" t="s">
        <v>605</v>
      </c>
      <c r="I111" s="13">
        <v>42965.681238425925</v>
      </c>
      <c r="J111" s="7">
        <v>0</v>
      </c>
      <c r="K111" s="89" t="str">
        <f t="shared" si="29"/>
        <v>4049/4050</v>
      </c>
      <c r="L111" s="21" t="str">
        <f>VLOOKUP(A111,'Trips&amp;Operators'!$C$1:$G$99999,5,FALSE)</f>
        <v>LEVIN SCOTT</v>
      </c>
      <c r="M111" s="6">
        <f t="shared" si="30"/>
        <v>2.4467592593282461E-2</v>
      </c>
      <c r="N111" s="7">
        <f t="shared" si="46"/>
        <v>35.233333334326744</v>
      </c>
      <c r="O111" s="7"/>
      <c r="P111" s="7"/>
      <c r="Q111" s="22"/>
      <c r="R111" s="170"/>
      <c r="S111" s="213">
        <f t="shared" si="47"/>
        <v>1</v>
      </c>
      <c r="T111" s="195" t="str">
        <f t="shared" si="31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2"/>
        <v>https://d0f6bd738d7f1b3e5a7ca70fe4ff75f0.us-east-1.aws.found.io/app/kibana#/discover/Steve-Slow-Train-Analysis-(2080s-and-2083s)?_g=(refreshInterval:(display:Off,pause:!f,section:0,value:0),time:(from:'2017-08-18T14:37:19-0600',mode:absolute,to:'2017-08-18T17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1" s="197" t="str">
        <f>IF(AA111&lt;VLOOKUP(AG111,Variables!$AC$3:$AD$8,2,FALSE),"Y","N")</f>
        <v>N</v>
      </c>
      <c r="X111" s="197">
        <f t="shared" si="48"/>
        <v>1</v>
      </c>
      <c r="Y111" s="197">
        <f t="shared" si="49"/>
        <v>4.3299999999999998E-2</v>
      </c>
      <c r="Z111" s="197">
        <f t="shared" si="50"/>
        <v>23.340199999999999</v>
      </c>
      <c r="AA111" s="197">
        <f t="shared" si="36"/>
        <v>23.296900000000001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6">
        <f t="shared" si="37"/>
        <v>197</v>
      </c>
      <c r="AE111" s="77" t="str">
        <f t="shared" si="38"/>
        <v>aws s3 cp s3://rtdc.mdm.uploadarchive.raw/RTDC4050/ "%USERPROFILE%\AppData\Local\Temp\OnboardLogs"\RTDC4050\2017-08-18 --exclude "*" --recursive --include "*20170818*" &amp; "%USERPROFILE%\Documents\GitHub\mrs-test-scripts\Headless Mode &amp; Sideloading\WalkAndUnGZ.bat" "%USERPROFILE%\AppData\Local\Temp\OnboardLogs"\RTDC4050\2017-08-18 &amp; aws s3 cp s3://rtdc.mdm.uploadarchive.raw/RTDC4050/ "%USERPROFILE%\AppData\Local\Temp\OnboardLogs"\RTDC4050\2017-08-19 --exclude "*" --recursive --include "*20170819*" &amp; "%USERPROFILE%\Documents\GitHub\mrs-test-scripts\Headless Mode &amp; Sideloading\WalkAndUnGZ.bat" "%USERPROFILE%\AppData\Local\Temp\OnboardLogs"\RTDC4050\2017-08-19</v>
      </c>
      <c r="AF111" s="74" t="str">
        <f t="shared" si="39"/>
        <v>"C:\Program Files (x86)\AstroGrep\AstroGrep.exe" /e /r /s /spath="%USERPROFILE%\AppData\Local\Temp\OnboardLogs" /stypes="app*4050*20170818*" /stext=" 22:.+((SYSTEM_STATE.+slice.+state.+changed )|(ment ac)|(multiple cpu faults)|(system.+state.+changed )|(\[timeout)|(PRM\|1\|D)|(kpr)|(kdp)|(train st.+moving)|(\|lc)|(penalty))"</v>
      </c>
      <c r="AG111" s="209" t="str">
        <f t="shared" si="40"/>
        <v>EC</v>
      </c>
      <c r="AH111" s="78" t="str">
        <f t="shared" si="41"/>
        <v>"%USERPROFILE%\Documents\GitHub\eaglep3\Utilities\RefineRTDCRunTimes.py" --tripid 197-18 --locoid 4050 --swversion DE.1.0.9.0 --startMP 204:433 --initTime 2017-08-18T15:37:19 --startdatetime 2017-08-18T15:45:45 --delay 1 --endMP 204:233402 --enddatetime 2017-08-18T16:20:59 --enforcementcount 0 &gt;&gt;C:\Users\stu\Documents\GitHub\eaglep3-reporting\EC\2017-08-18-refined-times.txt</v>
      </c>
      <c r="AI111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{"issue":{"subject":"","project_id":79,"tracker_id":40,"status_id":1,"priority_id":2,"assigned_to_id":23,"start_date":"2017-08-18","description":"","custom_fields":[{"id":1,"name":"Subdivision","value":"EC"},{"id":4,"name":"Milepost","value":"23.3402"},{"id":17,"name":"Train ID","value":"197-18"},{"id":16,"name":"Locomotive ID","value":"4050"},{"id":130,"name":"Impact","value":""},{"id":150,"name":"Time of Event (Mountain Time)","value":"16:20:59"},{"id":151,"name":"Denver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3"/>
        <v>start /low /b %USERPROFILE%\Documents\GitHub\eaglep3\Utilities\DownloadLogsFromS3.py --loco 4050 --day 2017-08-18</v>
      </c>
      <c r="AN111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806</v>
      </c>
      <c r="B112" s="7">
        <v>4049</v>
      </c>
      <c r="C112" s="21" t="s">
        <v>198</v>
      </c>
      <c r="D112" s="21" t="s">
        <v>927</v>
      </c>
      <c r="E112" s="13">
        <v>42965.691550925927</v>
      </c>
      <c r="F112" s="13">
        <v>42965.696018518516</v>
      </c>
      <c r="G112" s="7">
        <v>1</v>
      </c>
      <c r="H112" s="21" t="s">
        <v>349</v>
      </c>
      <c r="I112" s="13">
        <v>42965.722986111112</v>
      </c>
      <c r="J112" s="7">
        <v>0</v>
      </c>
      <c r="K112" s="89" t="str">
        <f t="shared" si="29"/>
        <v>4049/4050</v>
      </c>
      <c r="L112" s="21" t="str">
        <f>VLOOKUP(A112,'Trips&amp;Operators'!$C$1:$G$99999,5,FALSE)</f>
        <v>LEVIN SCOTT</v>
      </c>
      <c r="M112" s="6">
        <f t="shared" si="30"/>
        <v>2.6967592595610768E-2</v>
      </c>
      <c r="N112" s="7">
        <f t="shared" si="46"/>
        <v>38.833333337679505</v>
      </c>
      <c r="O112" s="7"/>
      <c r="P112" s="7"/>
      <c r="Q112" s="22"/>
      <c r="R112" s="170"/>
      <c r="S112" s="213">
        <f t="shared" si="47"/>
        <v>1</v>
      </c>
      <c r="T112" s="195" t="str">
        <f t="shared" si="31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2"/>
        <v>https://d0f6bd738d7f1b3e5a7ca70fe4ff75f0.us-east-1.aws.found.io/app/kibana#/discover/Steve-Slow-Train-Analysis-(2080s-and-2083s)?_g=(refreshInterval:(display:Off,pause:!f,section:0,value:0),time:(from:'2017-08-18T15:35:50-0600',mode:absolute,to:'2017-08-18T18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2" s="197" t="str">
        <f>IF(AA112&lt;VLOOKUP(AG112,Variables!$AC$3:$AD$8,2,FALSE),"Y","N")</f>
        <v>N</v>
      </c>
      <c r="X112" s="197">
        <f t="shared" si="48"/>
        <v>1</v>
      </c>
      <c r="Y112" s="197">
        <f t="shared" si="49"/>
        <v>23.310199999999998</v>
      </c>
      <c r="Z112" s="197">
        <f t="shared" si="50"/>
        <v>1.41E-2</v>
      </c>
      <c r="AA112" s="197">
        <f t="shared" si="36"/>
        <v>23.296099999999999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6">
        <f t="shared" si="37"/>
        <v>198</v>
      </c>
      <c r="AE112" s="77" t="str">
        <f t="shared" si="38"/>
        <v>aws s3 cp s3://rtdc.mdm.uploadarchive.raw/RTDC4049/ "%USERPROFILE%\AppData\Local\Temp\OnboardLogs"\RTDC4049\2017-08-18 --exclude "*" --recursive --include "*20170818*" &amp; "%USERPROFILE%\Documents\GitHub\mrs-test-scripts\Headless Mode &amp; Sideloading\WalkAndUnGZ.bat" "%USERPROFILE%\AppData\Local\Temp\OnboardLogs"\RTDC4049\2017-08-18 &amp; aws s3 cp s3://rtdc.mdm.uploadarchive.raw/RTDC4049/ "%USERPROFILE%\AppData\Local\Temp\OnboardLogs"\RTDC4049\2017-08-19 --exclude "*" --recursive --include "*20170819*" &amp; "%USERPROFILE%\Documents\GitHub\mrs-test-scripts\Headless Mode &amp; Sideloading\WalkAndUnGZ.bat" "%USERPROFILE%\AppData\Local\Temp\OnboardLogs"\RTDC4049\2017-08-19</v>
      </c>
      <c r="AF112" s="74" t="str">
        <f t="shared" si="39"/>
        <v>"C:\Program Files (x86)\AstroGrep\AstroGrep.exe" /e /r /s /spath="%USERPROFILE%\AppData\Local\Temp\OnboardLogs" /stypes="app*4049*20170818*" /stext=" 23:.+((SYSTEM_STATE.+slice.+state.+changed )|(ment ac)|(multiple cpu faults)|(system.+state.+changed )|(\[timeout)|(PRM\|1\|D)|(kpr)|(kdp)|(train st.+moving)|(\|lc)|(penalty))"</v>
      </c>
      <c r="AG112" s="209" t="str">
        <f t="shared" si="40"/>
        <v>EC</v>
      </c>
      <c r="AH112" s="78" t="str">
        <f t="shared" si="41"/>
        <v>"%USERPROFILE%\Documents\GitHub\eaglep3\Utilities\RefineRTDCRunTimes.py" --tripid 198-18 --locoid 4049 --swversion DE.1.0.9.0 --startMP 204:233102 --initTime 2017-08-18T16:35:50 --startdatetime 2017-08-18T16:42:16 --delay 1 --endMP 204:141 --enddatetime 2017-08-18T17:21:06 --enforcementcount 0 &gt;&gt;C:\Users\stu\Documents\GitHub\eaglep3-reporting\EC\2017-08-18-refined-times.txt</v>
      </c>
      <c r="AI112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{"issue":{"subject":"","project_id":79,"tracker_id":40,"status_id":1,"priority_id":2,"assigned_to_id":23,"start_date":"2017-08-18","description":"","custom_fields":[{"id":1,"name":"Subdivision","value":"EC"},{"id":4,"name":"Milepost","value":"0.0141"},{"id":17,"name":"Train ID","value":"198-18"},{"id":16,"name":"Locomotive ID","value":"4049"},{"id":130,"name":"Impact","value":""},{"id":150,"name":"Time of Event (Mountain Time)","value":"17:21:06"},{"id":151,"name":"Denver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3"/>
        <v>start /low /b %USERPROFILE%\Documents\GitHub\eaglep3\Utilities\DownloadLogsFromS3.py --loco 4049 --day 2017-08-18</v>
      </c>
      <c r="AN112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801</v>
      </c>
      <c r="B113" s="7">
        <v>4012</v>
      </c>
      <c r="C113" s="21" t="s">
        <v>198</v>
      </c>
      <c r="D113" s="21" t="s">
        <v>507</v>
      </c>
      <c r="E113" s="13">
        <v>42965.664942129632</v>
      </c>
      <c r="F113" s="13">
        <v>42965.667187500003</v>
      </c>
      <c r="G113" s="7">
        <v>1</v>
      </c>
      <c r="H113" s="21" t="s">
        <v>928</v>
      </c>
      <c r="I113" s="13">
        <v>42965.692604166667</v>
      </c>
      <c r="J113" s="7">
        <v>0</v>
      </c>
      <c r="K113" s="89" t="str">
        <f t="shared" si="29"/>
        <v>4011/4012</v>
      </c>
      <c r="L113" s="21" t="str">
        <f>VLOOKUP(A113,'Trips&amp;Operators'!$C$1:$G$99999,5,FALSE)</f>
        <v>SULLIVAN BRANDON</v>
      </c>
      <c r="M113" s="6">
        <f t="shared" si="30"/>
        <v>2.5416666663659271E-2</v>
      </c>
      <c r="N113" s="7">
        <f t="shared" si="46"/>
        <v>36.59999999566935</v>
      </c>
      <c r="O113" s="7"/>
      <c r="P113" s="7"/>
      <c r="Q113" s="22"/>
      <c r="R113" s="170"/>
      <c r="S113" s="213">
        <f t="shared" si="47"/>
        <v>1</v>
      </c>
      <c r="T113" s="195" t="str">
        <f t="shared" si="31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2"/>
        <v>https://d0f6bd738d7f1b3e5a7ca70fe4ff75f0.us-east-1.aws.found.io/app/kibana#/discover/Steve-Slow-Train-Analysis-(2080s-and-2083s)?_g=(refreshInterval:(display:Off,pause:!f,section:0,value:0),time:(from:'2017-08-18T14:57:31-0600',mode:absolute,to:'2017-08-18T17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3" s="197" t="str">
        <f>IF(AA113&lt;VLOOKUP(AG113,Variables!$AC$3:$AD$8,2,FALSE),"Y","N")</f>
        <v>N</v>
      </c>
      <c r="X113" s="197">
        <f t="shared" si="48"/>
        <v>1</v>
      </c>
      <c r="Y113" s="197">
        <f t="shared" si="49"/>
        <v>4.6899999999999997E-2</v>
      </c>
      <c r="Z113" s="197">
        <f t="shared" si="50"/>
        <v>23.3355</v>
      </c>
      <c r="AA113" s="197">
        <f t="shared" si="36"/>
        <v>23.288599999999999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6">
        <f t="shared" si="37"/>
        <v>199</v>
      </c>
      <c r="AE113" s="77" t="str">
        <f t="shared" si="38"/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AF113" s="74" t="str">
        <f t="shared" si="39"/>
        <v>"C:\Program Files (x86)\AstroGrep\AstroGrep.exe" /e /r /s /spath="%USERPROFILE%\AppData\Local\Temp\OnboardLogs" /stypes="app*4012*20170818*" /stext=" 22:.+((SYSTEM_STATE.+slice.+state.+changed )|(ment ac)|(multiple cpu faults)|(system.+state.+changed )|(\[timeout)|(PRM\|1\|D)|(kpr)|(kdp)|(train st.+moving)|(\|lc)|(penalty))"</v>
      </c>
      <c r="AG113" s="209" t="str">
        <f t="shared" si="40"/>
        <v>EC</v>
      </c>
      <c r="AH113" s="78" t="str">
        <f t="shared" si="41"/>
        <v>"%USERPROFILE%\Documents\GitHub\eaglep3\Utilities\RefineRTDCRunTimes.py" --tripid 199-18 --locoid 4012 --swversion DE.1.0.9.0 --startMP 204:469 --initTime 2017-08-18T15:57:31 --startdatetime 2017-08-18T16:00:45 --delay 1 --endMP 204:233355 --enddatetime 2017-08-18T16:37:21 --enforcementcount 0 &gt;&gt;C:\Users\stu\Documents\GitHub\eaglep3-reporting\EC\2017-08-18-refined-times.txt</v>
      </c>
      <c r="AI113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{"issue":{"subject":"","project_id":79,"tracker_id":40,"status_id":1,"priority_id":2,"assigned_to_id":23,"start_date":"2017-08-18","description":"","custom_fields":[{"id":1,"name":"Subdivision","value":"EC"},{"id":4,"name":"Milepost","value":"23.3355"},{"id":17,"name":"Train ID","value":"199-18"},{"id":16,"name":"Locomotive ID","value":"4012"},{"id":130,"name":"Impact","value":""},{"id":150,"name":"Time of Event (Mountain Time)","value":"16:37:21"},{"id":151,"name":"Denver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3"/>
        <v>start /low /b %USERPROFILE%\Documents\GitHub\eaglep3\Utilities\DownloadLogsFromS3.py --loco 4012 --day 2017-08-18</v>
      </c>
      <c r="AN113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814</v>
      </c>
      <c r="B114" s="7">
        <v>4011</v>
      </c>
      <c r="C114" s="21" t="s">
        <v>198</v>
      </c>
      <c r="D114" s="21" t="s">
        <v>507</v>
      </c>
      <c r="E114" s="13">
        <v>42965.664942129632</v>
      </c>
      <c r="F114" s="13">
        <v>42965.701435185183</v>
      </c>
      <c r="G114" s="7">
        <v>1</v>
      </c>
      <c r="H114" s="21" t="s">
        <v>928</v>
      </c>
      <c r="I114" s="13">
        <v>42965.701597222222</v>
      </c>
      <c r="J114" s="7">
        <v>0</v>
      </c>
      <c r="K114" s="89" t="str">
        <f t="shared" si="29"/>
        <v>4011/4012</v>
      </c>
      <c r="L114" s="21" t="str">
        <f>VLOOKUP(A114,'Trips&amp;Operators'!$C$1:$G$99999,5,FALSE)</f>
        <v>SULLIVAN BRANDON</v>
      </c>
      <c r="M114" s="6">
        <f t="shared" si="30"/>
        <v>1.6203703853534535E-4</v>
      </c>
      <c r="N114" s="7"/>
      <c r="O114" s="7"/>
      <c r="P114" s="7">
        <v>1</v>
      </c>
      <c r="Q114" s="22"/>
      <c r="R114" s="170" t="s">
        <v>1057</v>
      </c>
      <c r="S114" s="213">
        <f t="shared" si="47"/>
        <v>0</v>
      </c>
      <c r="T114" s="195" t="str">
        <f t="shared" si="31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0</v>
      </c>
      <c r="V114" s="196" t="str">
        <f t="shared" si="32"/>
        <v>https://d0f6bd738d7f1b3e5a7ca70fe4ff75f0.us-east-1.aws.found.io/app/kibana#/discover/Steve-Slow-Train-Analysis-(2080s-and-2083s)?_g=(refreshInterval:(display:Off,pause:!f,section:0,value:0),time:(from:'2017-08-18T14:57:31-0600',mode:absolute,to:'2017-08-18T17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4" s="197" t="str">
        <f>IF(AA114&lt;VLOOKUP(AG114,Variables!$AC$3:$AD$8,2,FALSE),"Y","N")</f>
        <v>N</v>
      </c>
      <c r="X114" s="197">
        <f t="shared" si="48"/>
        <v>1</v>
      </c>
      <c r="Y114" s="197">
        <f t="shared" si="49"/>
        <v>4.6899999999999997E-2</v>
      </c>
      <c r="Z114" s="197">
        <f t="shared" si="50"/>
        <v>23.3355</v>
      </c>
      <c r="AA114" s="197">
        <f t="shared" si="36"/>
        <v>23.288599999999999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6">
        <f t="shared" si="37"/>
        <v>200</v>
      </c>
      <c r="AE114" s="77" t="str">
        <f t="shared" si="38"/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AF114" s="74" t="str">
        <f t="shared" si="39"/>
        <v>"C:\Program Files (x86)\AstroGrep\AstroGrep.exe" /e /r /s /spath="%USERPROFILE%\AppData\Local\Temp\OnboardLogs" /stypes="app*4011*20170818*" /stext=" 22:.+((SYSTEM_STATE.+slice.+state.+changed )|(ment ac)|(multiple cpu faults)|(system.+state.+changed )|(\[timeout)|(PRM\|1\|D)|(kpr)|(kdp)|(train st.+moving)|(\|lc)|(penalty))"</v>
      </c>
      <c r="AG114" s="209" t="str">
        <f t="shared" si="40"/>
        <v>EC</v>
      </c>
      <c r="AH114" s="78" t="str">
        <f t="shared" ref="AH114" si="51">refinertdcruntimes&amp;" --tripid "&amp;A114&amp;" --locoid "&amp;B114&amp;" --swversion "&amp;C114&amp;" --startMP "&amp;D114&amp;" --initTime "&amp;TEXT(E114,"yyyy-mm-ddTHH:MM:SS")&amp;" --startdatetime "&amp;TEXT(F114,"yyyy-mm-ddTHH:MM:SS")&amp;" --delay "&amp;G114&amp;" --endMP "&amp;H114&amp;" --enddatetime "&amp;TEXT(I114,"yyyy-mm-ddTHH:MM:SS")&amp;" --enforcementcount "&amp;J114&amp;IF(outputrefinedruntimes," &gt;&gt;"&amp;RefinedRTDCRunTimesOutputFile,"")</f>
        <v>"%USERPROFILE%\Documents\GitHub\eaglep3\Utilities\RefineRTDCRunTimes.py" --tripid 200-18 --locoid 4011 --swversion DE.1.0.9.0 --startMP 204:469 --initTime 2017-08-18T15:57:31 --startdatetime 2017-08-18T16:50:04 --delay 1 --endMP 204:233355 --enddatetime 2017-08-18T16:50:18 --enforcementcount 0 &gt;&gt;C:\Users\stu\Documents\GitHub\eaglep3-reporting\EC\2017-08-18-refined-times.txt</v>
      </c>
      <c r="AI114" s="96" t="str">
        <f t="shared" ref="AI114" si="52">"echo {""issue"":{""subject"":"""&amp;R114&amp;""",""project_id"":79,""tracker_id"":40,""status_id"":"&amp;redmine_status&amp;",""priority_id"":"&amp;redmine_priority&amp;",""assigned_to_id"":"&amp;redmine_assignee&amp;",""start_date"":"""&amp;TEXT(I114,"YYYY-mm-dd")&amp;""",""description"":"""&amp;AJ114&amp;""",""custom_fields"":[{""id"":1,""name"":""Subdivision"",""value"":"""&amp;AG114&amp;"""},{""id"":4,""name"":""Milepost"",""value"":"""&amp;Z114&amp;"""},{""id"":17,""name"":""Train ID"",""value"":"""&amp;A114&amp;"""},{""id"":16,""name"":""Locomotive ID"",""value"":"""&amp;B114&amp;"""},{""id"":130,""name"":""Impact"",""value"":"""&amp;AK114&amp;"""},{""id"":150,""name"":""Time of Event (Mountain Time)"",""value"":"""&amp;TEXT(I114,"hh:mm:ss")&amp;"""},{""id"":151,""name"":""Denver Issue ID"",""value"":"""&amp;"""},{""id"":178,""name"":""Operational Impact"",""value"":"""&amp;redmine_op_impact&amp;"""},{""id"":179,""name"":""Denver Segment Assigned"",""value"":"""&amp;AL114&amp;"""}]}}"&amp;" | curl -X POST -H ""Content-Type: application/json"" -H ""X-Redmine-API-Key: "&amp;redm_api_key&amp;""" "&amp;redm_url&amp;" --data @-"</f>
        <v>echo {"issue":{"subject":"Failed Class 2 test, reset Slot10","project_id":79,"tracker_id":40,"status_id":1,"priority_id":2,"assigned_to_id":23,"start_date":"2017-08-18","description":"","custom_fields":[{"id":1,"name":"Subdivision","value":"EC"},{"id":4,"name":"Milepost","value":"23.3355"},{"id":17,"name":"Train ID","value":"200-18"},{"id":16,"name":"Locomotive ID","value":"4011"},{"id":130,"name":"Impact","value":""},{"id":150,"name":"Time of Event (Mountain Time)","value":"16:50:18"},{"id":151,"name":"Denver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ref="AM114" si="53">"start /low /b "&amp;dls3logs&amp;" --loco "&amp;B114&amp;" --day "&amp;TEXT(F114,"YYYY-MM-DD")</f>
        <v>start /low /b %USERPROFILE%\Documents\GitHub\eaglep3\Utilities\DownloadLogsFromS3.py --loco 4011 --day 2017-08-18</v>
      </c>
      <c r="AN114" s="151" t="str">
        <f t="shared" ref="AN114" si="54">"echo {""issue"":{""subject"":"""&amp;R114&amp;""",""project_id"":30,""tracker_id"":4,""status_id"":"&amp;redmine_status_wcr&amp;",""priority_id"":"&amp;redmine_priority_wcr&amp;",""assigned_to_id"":"&amp;redmine_assignee_wcr&amp;",""start_date"":"""&amp;TEXT(I114-utc_offset/24,"YYYY-mm-dd")&amp;""",""description"":"""&amp;AJ114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{"issue":{"subject":"Failed Class 2 test, reset Slot10","project_id":30,"tracker_id":4,"status_id":1,"priority_id":1,"assigned_to_id":10,"start_date":"2017-08-18","description":"","custom_fields":[{"id":30,"name":"Category","value":"Issue"},{"id":3,"name":"Functional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5" spans="1:91" s="20" customFormat="1" x14ac:dyDescent="0.25">
      <c r="A115" s="32" t="s">
        <v>804</v>
      </c>
      <c r="B115" s="7">
        <v>4018</v>
      </c>
      <c r="C115" s="21" t="s">
        <v>198</v>
      </c>
      <c r="D115" s="21" t="s">
        <v>471</v>
      </c>
      <c r="E115" s="13">
        <v>42965.675567129627</v>
      </c>
      <c r="F115" s="13">
        <v>42965.677754629629</v>
      </c>
      <c r="G115" s="7">
        <v>1</v>
      </c>
      <c r="H115" s="21" t="s">
        <v>929</v>
      </c>
      <c r="I115" s="13">
        <v>42965.704143518517</v>
      </c>
      <c r="J115" s="7">
        <v>0</v>
      </c>
      <c r="K115" s="89" t="str">
        <f t="shared" si="29"/>
        <v>4017/4018</v>
      </c>
      <c r="L115" s="21" t="str">
        <f>VLOOKUP(A115,'Trips&amp;Operators'!$C$1:$G$99999,5,FALSE)</f>
        <v>NICHOLSON WESLEY</v>
      </c>
      <c r="M115" s="6">
        <f t="shared" si="30"/>
        <v>2.6388888887595385E-2</v>
      </c>
      <c r="N115" s="7">
        <f>24*60*SUM($M115:$M115)</f>
        <v>37.999999998137355</v>
      </c>
      <c r="O115" s="7"/>
      <c r="P115" s="7"/>
      <c r="Q115" s="22"/>
      <c r="R115" s="170"/>
      <c r="S115" s="213">
        <f t="shared" si="47"/>
        <v>1</v>
      </c>
      <c r="T115" s="195" t="str">
        <f t="shared" si="31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2"/>
        <v>https://d0f6bd738d7f1b3e5a7ca70fe4ff75f0.us-east-1.aws.found.io/app/kibana#/discover/Steve-Slow-Train-Analysis-(2080s-and-2083s)?_g=(refreshInterval:(display:Off,pause:!f,section:0,value:0),time:(from:'2017-08-18T15:12:49-0600',mode:absolute,to:'2017-08-18T17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197" t="str">
        <f>IF(AA115&lt;VLOOKUP(AG115,Variables!$AC$3:$AD$8,2,FALSE),"Y","N")</f>
        <v>N</v>
      </c>
      <c r="X115" s="197">
        <f t="shared" si="48"/>
        <v>1</v>
      </c>
      <c r="Y115" s="197">
        <f t="shared" si="49"/>
        <v>4.6600000000000003E-2</v>
      </c>
      <c r="Z115" s="197">
        <f t="shared" si="50"/>
        <v>23.337399999999999</v>
      </c>
      <c r="AA115" s="197">
        <f t="shared" si="36"/>
        <v>23.290799999999997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6">
        <f t="shared" si="37"/>
        <v>201</v>
      </c>
      <c r="AE115" s="77" t="str">
        <f t="shared" si="38"/>
        <v>aws s3 cp s3://rtdc.mdm.uploadarchive.raw/RTDC4018/ "%USERPROFILE%\AppData\Local\Temp\OnboardLogs"\RTDC4018\2017-08-18 --exclude "*" --recursive --include "*20170818*" &amp; "%USERPROFILE%\Documents\GitHub\mrs-test-scripts\Headless Mode &amp; Sideloading\WalkAndUnGZ.bat" "%USERPROFILE%\AppData\Local\Temp\OnboardLogs"\RTDC4018\2017-08-18 &amp; aws s3 cp s3://rtdc.mdm.uploadarchive.raw/RTDC4018/ "%USERPROFILE%\AppData\Local\Temp\OnboardLogs"\RTDC4018\2017-08-19 --exclude "*" --recursive --include "*20170819*" &amp; "%USERPROFILE%\Documents\GitHub\mrs-test-scripts\Headless Mode &amp; Sideloading\WalkAndUnGZ.bat" "%USERPROFILE%\AppData\Local\Temp\OnboardLogs"\RTDC4018\2017-08-19</v>
      </c>
      <c r="AF115" s="74" t="str">
        <f t="shared" si="39"/>
        <v>"C:\Program Files (x86)\AstroGrep\AstroGrep.exe" /e /r /s /spath="%USERPROFILE%\AppData\Local\Temp\OnboardLogs" /stypes="app*4018*20170818*" /stext=" 22:.+((SYSTEM_STATE.+slice.+state.+changed )|(ment ac)|(multiple cpu faults)|(system.+state.+changed )|(\[timeout)|(PRM\|1\|D)|(kpr)|(kdp)|(train st.+moving)|(\|lc)|(penalty))"</v>
      </c>
      <c r="AG115" s="209" t="str">
        <f t="shared" si="40"/>
        <v>EC</v>
      </c>
      <c r="AH115" s="78" t="str">
        <f t="shared" si="41"/>
        <v>"%USERPROFILE%\Documents\GitHub\eaglep3\Utilities\RefineRTDCRunTimes.py" --tripid 201-18 --locoid 4018 --swversion DE.1.0.9.0 --startMP 204:466 --initTime 2017-08-18T16:12:49 --startdatetime 2017-08-18T16:15:58 --delay 1 --endMP 204:233374 --enddatetime 2017-08-18T16:53:58 --enforcementcount 0 &gt;&gt;C:\Users\stu\Documents\GitHub\eaglep3-reporting\EC\2017-08-18-refined-times.txt</v>
      </c>
      <c r="AI115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{"issue":{"subject":"","project_id":79,"tracker_id":40,"status_id":1,"priority_id":2,"assigned_to_id":23,"start_date":"2017-08-18","description":"","custom_fields":[{"id":1,"name":"Subdivision","value":"EC"},{"id":4,"name":"Milepost","value":"23.3374"},{"id":17,"name":"Train ID","value":"201-18"},{"id":16,"name":"Locomotive ID","value":"4018"},{"id":130,"name":"Impact","value":""},{"id":150,"name":"Time of Event (Mountain Time)","value":"16:53:58"},{"id":151,"name":"Denver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3"/>
        <v>start /low /b %USERPROFILE%\Documents\GitHub\eaglep3\Utilities\DownloadLogsFromS3.py --loco 4018 --day 2017-08-18</v>
      </c>
      <c r="AN115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816</v>
      </c>
      <c r="B116" s="7">
        <v>4017</v>
      </c>
      <c r="C116" s="21" t="s">
        <v>198</v>
      </c>
      <c r="D116" s="21" t="s">
        <v>911</v>
      </c>
      <c r="E116" s="13">
        <v>42965.705960648149</v>
      </c>
      <c r="F116" s="13">
        <v>42965.716840277775</v>
      </c>
      <c r="G116" s="7">
        <v>2</v>
      </c>
      <c r="H116" s="21" t="s">
        <v>454</v>
      </c>
      <c r="I116" s="13">
        <v>42965.743634259263</v>
      </c>
      <c r="J116" s="7">
        <v>0</v>
      </c>
      <c r="K116" s="89" t="str">
        <f t="shared" si="29"/>
        <v>4017/4018</v>
      </c>
      <c r="L116" s="21" t="str">
        <f>VLOOKUP(A116,'Trips&amp;Operators'!$C$1:$G$99999,5,FALSE)</f>
        <v>NICHOLSON WESLEY</v>
      </c>
      <c r="M116" s="6">
        <f t="shared" si="30"/>
        <v>2.6793981487571727E-2</v>
      </c>
      <c r="N116" s="7">
        <f>24*60*SUM($M116:$M116)</f>
        <v>38.583333342103288</v>
      </c>
      <c r="O116" s="7"/>
      <c r="P116" s="7"/>
      <c r="Q116" s="22"/>
      <c r="R116" s="170"/>
      <c r="S116" s="213">
        <f t="shared" si="47"/>
        <v>1</v>
      </c>
      <c r="T116" s="195" t="str">
        <f t="shared" si="31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2"/>
        <v>https://d0f6bd738d7f1b3e5a7ca70fe4ff75f0.us-east-1.aws.found.io/app/kibana#/discover/Steve-Slow-Train-Analysis-(2080s-and-2083s)?_g=(refreshInterval:(display:Off,pause:!f,section:0,value:0),time:(from:'2017-08-18T15:56:35-0600',mode:absolute,to:'2017-08-18T18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197" t="str">
        <f>IF(AA116&lt;VLOOKUP(AG116,Variables!$AC$3:$AD$8,2,FALSE),"Y","N")</f>
        <v>N</v>
      </c>
      <c r="X116" s="197">
        <f t="shared" si="48"/>
        <v>1</v>
      </c>
      <c r="Y116" s="197">
        <f t="shared" si="49"/>
        <v>23.305299999999999</v>
      </c>
      <c r="Z116" s="197">
        <f t="shared" si="50"/>
        <v>1.6299999999999999E-2</v>
      </c>
      <c r="AA116" s="197">
        <f t="shared" si="36"/>
        <v>23.288999999999998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6">
        <f t="shared" si="37"/>
        <v>202</v>
      </c>
      <c r="AE116" s="77" t="str">
        <f t="shared" si="38"/>
        <v>aws s3 cp s3://rtdc.mdm.uploadarchive.raw/RTDC4017/ "%USERPROFILE%\AppData\Local\Temp\OnboardLogs"\RTDC4017\2017-08-18 --exclude "*" --recursive --include "*20170818*" &amp; "%USERPROFILE%\Documents\GitHub\mrs-test-scripts\Headless Mode &amp; Sideloading\WalkAndUnGZ.bat" "%USERPROFILE%\AppData\Local\Temp\OnboardLogs"\RTDC4017\2017-08-18 &amp; aws s3 cp s3://rtdc.mdm.uploadarchive.raw/RTDC4017/ "%USERPROFILE%\AppData\Local\Temp\OnboardLogs"\RTDC4017\2017-08-19 --exclude "*" --recursive --include "*20170819*" &amp; "%USERPROFILE%\Documents\GitHub\mrs-test-scripts\Headless Mode &amp; Sideloading\WalkAndUnGZ.bat" "%USERPROFILE%\AppData\Local\Temp\OnboardLogs"\RTDC4017\2017-08-19</v>
      </c>
      <c r="AF116" s="74" t="str">
        <f t="shared" si="39"/>
        <v>"C:\Program Files (x86)\AstroGrep\AstroGrep.exe" /e /r /s /spath="%USERPROFILE%\AppData\Local\Temp\OnboardLogs" /stypes="app*4017*20170818*" /stext=" 23:.+((SYSTEM_STATE.+slice.+state.+changed )|(ment ac)|(multiple cpu faults)|(system.+state.+changed )|(\[timeout)|(PRM\|1\|D)|(kpr)|(kdp)|(train st.+moving)|(\|lc)|(penalty))"</v>
      </c>
      <c r="AG116" s="209" t="str">
        <f t="shared" si="40"/>
        <v>EC</v>
      </c>
      <c r="AH116" s="78" t="str">
        <f t="shared" si="41"/>
        <v>"%USERPROFILE%\Documents\GitHub\eaglep3\Utilities\RefineRTDCRunTimes.py" --tripid 202-18 --locoid 4017 --swversion DE.1.0.9.0 --startMP 204:233053 --initTime 2017-08-18T16:56:35 --startdatetime 2017-08-18T17:12:15 --delay 2 --endMP 204:163 --enddatetime 2017-08-18T17:50:50 --enforcementcount 0 &gt;&gt;C:\Users\stu\Documents\GitHub\eaglep3-reporting\EC\2017-08-18-refined-times.txt</v>
      </c>
      <c r="AI116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{"issue":{"subject":"","project_id":79,"tracker_id":40,"status_id":1,"priority_id":2,"assigned_to_id":23,"start_date":"2017-08-18","description":"","custom_fields":[{"id":1,"name":"Subdivision","value":"EC"},{"id":4,"name":"Milepost","value":"0.0163"},{"id":17,"name":"Train ID","value":"202-18"},{"id":16,"name":"Locomotive ID","value":"4017"},{"id":130,"name":"Impact","value":""},{"id":150,"name":"Time of Event (Mountain Time)","value":"17:50:50"},{"id":151,"name":"Denver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3"/>
        <v>start /low /b %USERPROFILE%\Documents\GitHub\eaglep3\Utilities\DownloadLogsFromS3.py --loco 4017 --day 2017-08-18</v>
      </c>
      <c r="AN116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805</v>
      </c>
      <c r="B117" s="7">
        <v>4030</v>
      </c>
      <c r="C117" s="21" t="s">
        <v>198</v>
      </c>
      <c r="D117" s="21" t="s">
        <v>343</v>
      </c>
      <c r="E117" s="13">
        <v>42965.685162037036</v>
      </c>
      <c r="F117" s="13">
        <v>42965.688391203701</v>
      </c>
      <c r="G117" s="7">
        <v>1</v>
      </c>
      <c r="H117" s="21" t="s">
        <v>930</v>
      </c>
      <c r="I117" s="13">
        <v>42965.715150462966</v>
      </c>
      <c r="J117" s="7">
        <v>0</v>
      </c>
      <c r="K117" s="89" t="str">
        <f t="shared" si="29"/>
        <v>4029/4030</v>
      </c>
      <c r="L117" s="21" t="str">
        <f>VLOOKUP(A117,'Trips&amp;Operators'!$C$1:$G$99999,5,FALSE)</f>
        <v>THOMPSON LESTER</v>
      </c>
      <c r="M117" s="6">
        <f t="shared" si="30"/>
        <v>2.6759259264508728E-2</v>
      </c>
      <c r="N117" s="7">
        <f>24*60*SUM($M117:$M117)</f>
        <v>38.533333340892568</v>
      </c>
      <c r="O117" s="7"/>
      <c r="P117" s="7"/>
      <c r="Q117" s="22"/>
      <c r="R117" s="170"/>
      <c r="S117" s="213">
        <f t="shared" si="47"/>
        <v>1</v>
      </c>
      <c r="T117" s="195" t="str">
        <f t="shared" si="31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2"/>
        <v>https://d0f6bd738d7f1b3e5a7ca70fe4ff75f0.us-east-1.aws.found.io/app/kibana#/discover/Steve-Slow-Train-Analysis-(2080s-and-2083s)?_g=(refreshInterval:(display:Off,pause:!f,section:0,value:0),time:(from:'2017-08-18T15:26:38-0600',mode:absolute,to:'2017-08-18T18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7" s="197" t="str">
        <f>IF(AA117&lt;VLOOKUP(AG117,Variables!$AC$3:$AD$8,2,FALSE),"Y","N")</f>
        <v>N</v>
      </c>
      <c r="X117" s="197">
        <f t="shared" si="48"/>
        <v>1</v>
      </c>
      <c r="Y117" s="197">
        <f t="shared" si="49"/>
        <v>4.5100000000000001E-2</v>
      </c>
      <c r="Z117" s="197">
        <f t="shared" si="50"/>
        <v>23.338200000000001</v>
      </c>
      <c r="AA117" s="197">
        <f t="shared" si="36"/>
        <v>23.293099999999999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6">
        <f t="shared" si="37"/>
        <v>203</v>
      </c>
      <c r="AE117" s="77" t="str">
        <f t="shared" si="38"/>
        <v>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 &amp; 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</v>
      </c>
      <c r="AF117" s="74" t="str">
        <f t="shared" si="39"/>
        <v>"C:\Program Files (x86)\AstroGrep\AstroGrep.exe" /e /r /s /spath="%USERPROFILE%\AppData\Local\Temp\OnboardLogs" /stypes="app*4030*20170818*" /stext=" 23:.+((SYSTEM_STATE.+slice.+state.+changed )|(ment ac)|(multiple cpu faults)|(system.+state.+changed )|(\[timeout)|(PRM\|1\|D)|(kpr)|(kdp)|(train st.+moving)|(\|lc)|(penalty))"</v>
      </c>
      <c r="AG117" s="209" t="str">
        <f t="shared" si="40"/>
        <v>EC</v>
      </c>
      <c r="AH117" s="78" t="str">
        <f t="shared" si="41"/>
        <v>"%USERPROFILE%\Documents\GitHub\eaglep3\Utilities\RefineRTDCRunTimes.py" --tripid 203-18 --locoid 4030 --swversion DE.1.0.9.0 --startMP 204:451 --initTime 2017-08-18T16:26:38 --startdatetime 2017-08-18T16:31:17 --delay 1 --endMP 204:233382 --enddatetime 2017-08-18T17:09:49 --enforcementcount 0 &gt;&gt;C:\Users\stu\Documents\GitHub\eaglep3-reporting\EC\2017-08-18-refined-times.txt</v>
      </c>
      <c r="AI117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{"issue":{"subject":"","project_id":79,"tracker_id":40,"status_id":1,"priority_id":2,"assigned_to_id":23,"start_date":"2017-08-18","description":"","custom_fields":[{"id":1,"name":"Subdivision","value":"EC"},{"id":4,"name":"Milepost","value":"23.3382"},{"id":17,"name":"Train ID","value":"203-18"},{"id":16,"name":"Locomotive ID","value":"4030"},{"id":130,"name":"Impact","value":""},{"id":150,"name":"Time of Event (Mountain Time)","value":"17:09:49"},{"id":151,"name":"Denver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3"/>
        <v>start /low /b %USERPROFILE%\Documents\GitHub\eaglep3\Utilities\DownloadLogsFromS3.py --loco 4030 --day 2017-08-18</v>
      </c>
      <c r="AN117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820</v>
      </c>
      <c r="B118" s="7">
        <v>4029</v>
      </c>
      <c r="C118" s="21" t="s">
        <v>198</v>
      </c>
      <c r="D118" s="21" t="s">
        <v>931</v>
      </c>
      <c r="E118" s="13">
        <v>42965.724999999999</v>
      </c>
      <c r="F118" s="13">
        <v>42965.727280092593</v>
      </c>
      <c r="G118" s="7">
        <v>2</v>
      </c>
      <c r="H118" s="21" t="s">
        <v>347</v>
      </c>
      <c r="I118" s="13">
        <v>42965.755636574075</v>
      </c>
      <c r="J118" s="7">
        <v>0</v>
      </c>
      <c r="K118" s="89" t="str">
        <f t="shared" si="29"/>
        <v>4029/4030</v>
      </c>
      <c r="L118" s="21" t="str">
        <f>VLOOKUP(A118,'Trips&amp;Operators'!$C$1:$G$99999,5,FALSE)</f>
        <v>THOMPSON LESTER</v>
      </c>
      <c r="M118" s="6">
        <f t="shared" si="30"/>
        <v>2.8356481481750961E-2</v>
      </c>
      <c r="N118" s="7">
        <f>24*60*SUM($M118:$M118)</f>
        <v>40.833333333721384</v>
      </c>
      <c r="O118" s="7"/>
      <c r="P118" s="7"/>
      <c r="Q118" s="22"/>
      <c r="R118" s="170"/>
      <c r="S118" s="213">
        <f t="shared" si="47"/>
        <v>1</v>
      </c>
      <c r="T118" s="195" t="str">
        <f t="shared" si="31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2"/>
        <v>https://d0f6bd738d7f1b3e5a7ca70fe4ff75f0.us-east-1.aws.found.io/app/kibana#/discover/Steve-Slow-Train-Analysis-(2080s-and-2083s)?_g=(refreshInterval:(display:Off,pause:!f,section:0,value:0),time:(from:'2017-08-18T16:24:00-0600',mode:absolute,to:'2017-08-18T19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8" s="197" t="str">
        <f>IF(AA118&lt;VLOOKUP(AG118,Variables!$AC$3:$AD$8,2,FALSE),"Y","N")</f>
        <v>N</v>
      </c>
      <c r="X118" s="197">
        <f t="shared" si="48"/>
        <v>1</v>
      </c>
      <c r="Y118" s="197">
        <f t="shared" si="49"/>
        <v>23.304400000000001</v>
      </c>
      <c r="Z118" s="197">
        <f t="shared" si="50"/>
        <v>1.3899999999999999E-2</v>
      </c>
      <c r="AA118" s="197">
        <f t="shared" si="36"/>
        <v>23.290500000000002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6">
        <f t="shared" si="37"/>
        <v>204</v>
      </c>
      <c r="AE118" s="77" t="str">
        <f t="shared" si="38"/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AF118" s="74" t="str">
        <f t="shared" si="39"/>
        <v>"C:\Program Files (x86)\AstroGrep\AstroGrep.exe" /e /r /s /spath="%USERPROFILE%\AppData\Local\Temp\OnboardLogs" /stypes="app*4029*20170819*" /stext=" 00:.+((SYSTEM_STATE.+slice.+state.+changed )|(ment ac)|(multiple cpu faults)|(system.+state.+changed )|(\[timeout)|(PRM\|1\|D)|(kpr)|(kdp)|(train st.+moving)|(\|lc)|(penalty))"</v>
      </c>
      <c r="AG118" s="209" t="str">
        <f t="shared" si="40"/>
        <v>EC</v>
      </c>
      <c r="AH118" s="78" t="str">
        <f t="shared" si="41"/>
        <v>"%USERPROFILE%\Documents\GitHub\eaglep3\Utilities\RefineRTDCRunTimes.py" --tripid 204-18 --locoid 4029 --swversion DE.1.0.9.0 --startMP 204:233044 --initTime 2017-08-18T17:24:00 --startdatetime 2017-08-18T17:27:17 --delay 2 --endMP 204:139 --enddatetime 2017-08-18T18:08:07 --enforcementcount 0 &gt;&gt;C:\Users\stu\Documents\GitHub\eaglep3-reporting\EC\2017-08-18-refined-times.txt</v>
      </c>
      <c r="AI118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{"issue":{"subject":"","project_id":79,"tracker_id":40,"status_id":1,"priority_id":2,"assigned_to_id":23,"start_date":"2017-08-18","description":"","custom_fields":[{"id":1,"name":"Subdivision","value":"EC"},{"id":4,"name":"Milepost","value":"0.0139"},{"id":17,"name":"Train ID","value":"204-18"},{"id":16,"name":"Locomotive ID","value":"4029"},{"id":130,"name":"Impact","value":""},{"id":150,"name":"Time of Event (Mountain Time)","value":"18:08:07"},{"id":151,"name":"Denver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3"/>
        <v>start /low /b %USERPROFILE%\Documents\GitHub\eaglep3\Utilities\DownloadLogsFromS3.py --loco 4029 --day 2017-08-18</v>
      </c>
      <c r="AN118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00:08:07"},{"id":29,"name":"Sharepoint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812</v>
      </c>
      <c r="B119" s="7">
        <v>4028</v>
      </c>
      <c r="C119" s="21" t="s">
        <v>198</v>
      </c>
      <c r="D119" s="21" t="s">
        <v>374</v>
      </c>
      <c r="E119" s="13">
        <v>42965.694965277777</v>
      </c>
      <c r="F119" s="13">
        <v>42965.698506944442</v>
      </c>
      <c r="G119" s="7">
        <v>1</v>
      </c>
      <c r="H119" s="21" t="s">
        <v>604</v>
      </c>
      <c r="I119" s="13">
        <v>42965.723981481482</v>
      </c>
      <c r="J119" s="7">
        <v>0</v>
      </c>
      <c r="K119" s="89" t="str">
        <f t="shared" si="29"/>
        <v>4027/4028</v>
      </c>
      <c r="L119" s="21" t="str">
        <f>VLOOKUP(A119,'Trips&amp;Operators'!$C$1:$G$99999,5,FALSE)</f>
        <v>STEWART MICHAEL</v>
      </c>
      <c r="M119" s="6">
        <f t="shared" si="30"/>
        <v>2.5474537040281575E-2</v>
      </c>
      <c r="N119" s="7">
        <f>24*60*SUM($M119:$M119)</f>
        <v>36.683333338005468</v>
      </c>
      <c r="O119" s="7"/>
      <c r="P119" s="7"/>
      <c r="Q119" s="22"/>
      <c r="R119" s="170"/>
      <c r="S119" s="213">
        <f t="shared" si="47"/>
        <v>1</v>
      </c>
      <c r="T119" s="195" t="str">
        <f t="shared" si="31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2"/>
        <v>https://d0f6bd738d7f1b3e5a7ca70fe4ff75f0.us-east-1.aws.found.io/app/kibana#/discover/Steve-Slow-Train-Analysis-(2080s-and-2083s)?_g=(refreshInterval:(display:Off,pause:!f,section:0,value:0),time:(from:'2017-08-18T15:40:45-0600',mode:absolute,to:'2017-08-18T18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9" s="197" t="str">
        <f>IF(AA119&lt;VLOOKUP(AG119,Variables!$AC$3:$AD$8,2,FALSE),"Y","N")</f>
        <v>N</v>
      </c>
      <c r="X119" s="197">
        <f t="shared" si="48"/>
        <v>1</v>
      </c>
      <c r="Y119" s="197">
        <f t="shared" si="49"/>
        <v>4.6199999999999998E-2</v>
      </c>
      <c r="Z119" s="197">
        <f t="shared" si="50"/>
        <v>23.331199999999999</v>
      </c>
      <c r="AA119" s="197">
        <f t="shared" si="36"/>
        <v>23.285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6">
        <f t="shared" si="37"/>
        <v>205</v>
      </c>
      <c r="AE119" s="77" t="str">
        <f t="shared" si="38"/>
        <v>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 &amp; 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</v>
      </c>
      <c r="AF119" s="74" t="str">
        <f t="shared" si="39"/>
        <v>"C:\Program Files (x86)\AstroGrep\AstroGrep.exe" /e /r /s /spath="%USERPROFILE%\AppData\Local\Temp\OnboardLogs" /stypes="app*4028*20170818*" /stext=" 23:.+((SYSTEM_STATE.+slice.+state.+changed )|(ment ac)|(multiple cpu faults)|(system.+state.+changed )|(\[timeout)|(PRM\|1\|D)|(kpr)|(kdp)|(train st.+moving)|(\|lc)|(penalty))"</v>
      </c>
      <c r="AG119" s="209" t="str">
        <f t="shared" si="40"/>
        <v>EC</v>
      </c>
      <c r="AH119" s="78" t="str">
        <f t="shared" si="41"/>
        <v>"%USERPROFILE%\Documents\GitHub\eaglep3\Utilities\RefineRTDCRunTimes.py" --tripid 205-18 --locoid 4028 --swversion DE.1.0.9.0 --startMP 204:462 --initTime 2017-08-18T16:40:45 --startdatetime 2017-08-18T16:45:51 --delay 1 --endMP 204:233312 --enddatetime 2017-08-18T17:22:32 --enforcementcount 0 &gt;&gt;C:\Users\stu\Documents\GitHub\eaglep3-reporting\EC\2017-08-18-refined-times.txt</v>
      </c>
      <c r="AI119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{"issue":{"subject":"","project_id":79,"tracker_id":40,"status_id":1,"priority_id":2,"assigned_to_id":23,"start_date":"2017-08-18","description":"","custom_fields":[{"id":1,"name":"Subdivision","value":"EC"},{"id":4,"name":"Milepost","value":"23.3312"},{"id":17,"name":"Train ID","value":"205-18"},{"id":16,"name":"Locomotive ID","value":"4028"},{"id":130,"name":"Impact","value":""},{"id":150,"name":"Time of Event (Mountain Time)","value":"17:22:32"},{"id":151,"name":"Denver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3"/>
        <v>start /low /b %USERPROFILE%\Documents\GitHub\eaglep3\Utilities\DownloadLogsFromS3.py --loco 4028 --day 2017-08-18</v>
      </c>
      <c r="AN119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826</v>
      </c>
      <c r="B120" s="7">
        <v>4027</v>
      </c>
      <c r="C120" s="21" t="s">
        <v>198</v>
      </c>
      <c r="D120" s="21" t="s">
        <v>619</v>
      </c>
      <c r="E120" s="13">
        <v>42965.732430555552</v>
      </c>
      <c r="F120" s="13">
        <v>42965.737881944442</v>
      </c>
      <c r="G120" s="7">
        <v>1</v>
      </c>
      <c r="H120" s="21" t="s">
        <v>932</v>
      </c>
      <c r="I120" s="13">
        <v>42965.754849537036</v>
      </c>
      <c r="J120" s="7">
        <v>0</v>
      </c>
      <c r="K120" s="89" t="str">
        <f t="shared" si="29"/>
        <v>4027/4028</v>
      </c>
      <c r="L120" s="21" t="str">
        <f>VLOOKUP(A120,'Trips&amp;Operators'!$C$1:$G$99999,5,FALSE)</f>
        <v>STEWART MICHAEL</v>
      </c>
      <c r="M120" s="6">
        <f t="shared" si="30"/>
        <v>1.6967592593573499E-2</v>
      </c>
      <c r="N120" s="7"/>
      <c r="O120" s="7"/>
      <c r="P120" s="7">
        <f>24*60*SUM($M120:$M120)</f>
        <v>24.433333334745839</v>
      </c>
      <c r="Q120" s="22"/>
      <c r="R120" s="170" t="s">
        <v>573</v>
      </c>
      <c r="S120" s="213">
        <f t="shared" si="47"/>
        <v>0.25</v>
      </c>
      <c r="T120" s="195" t="str">
        <f t="shared" si="31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3</v>
      </c>
      <c r="V120" s="196" t="str">
        <f t="shared" si="32"/>
        <v>https://d0f6bd738d7f1b3e5a7ca70fe4ff75f0.us-east-1.aws.found.io/app/kibana#/discover/Steve-Slow-Train-Analysis-(2080s-and-2083s)?_g=(refreshInterval:(display:Off,pause:!f,section:0,value:0),time:(from:'2017-08-18T16:34:42-0600',mode:absolute,to:'2017-08-18T19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0" s="197" t="str">
        <f>IF(AA120&lt;VLOOKUP(AG120,Variables!$AC$3:$AD$8,2,FALSE),"Y","N")</f>
        <v>Y</v>
      </c>
      <c r="X120" s="197">
        <f t="shared" si="48"/>
        <v>1</v>
      </c>
      <c r="Y120" s="197">
        <f t="shared" si="49"/>
        <v>23.298500000000001</v>
      </c>
      <c r="Z120" s="197">
        <f t="shared" si="50"/>
        <v>6.3193000000000001</v>
      </c>
      <c r="AA120" s="197">
        <f t="shared" si="36"/>
        <v>16.979199999999999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6">
        <f t="shared" si="37"/>
        <v>206</v>
      </c>
      <c r="AE120" s="77" t="str">
        <f t="shared" si="38"/>
        <v>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 &amp; aws s3 cp s3://rtdc.mdm.uploadarchive.raw/RTDC4027/ "%USERPROFILE%\AppData\Local\Temp\OnboardLogs"\RTDC4027\2017-08-19 --exclude "*" --recursive --include "*20170819*" &amp; "%USERPROFILE%\Documents\GitHub\mrs-test-scripts\Headless Mode &amp; Sideloading\WalkAndUnGZ.bat" "%USERPROFILE%\AppData\Local\Temp\OnboardLogs"\RTDC4027\2017-08-19</v>
      </c>
      <c r="AF120" s="74" t="str">
        <f t="shared" si="39"/>
        <v>"C:\Program Files (x86)\AstroGrep\AstroGrep.exe" /e /r /s /spath="%USERPROFILE%\AppData\Local\Temp\OnboardLogs" /stypes="app*4027*20170819*" /stext=" 00:.+((SYSTEM_STATE.+slice.+state.+changed )|(ment ac)|(multiple cpu faults)|(system.+state.+changed )|(\[timeout)|(PRM\|1\|D)|(kpr)|(kdp)|(train st.+moving)|(\|lc)|(penalty))"</v>
      </c>
      <c r="AG120" s="209" t="str">
        <f t="shared" si="40"/>
        <v>EC</v>
      </c>
      <c r="AH120" s="78" t="str">
        <f t="shared" si="41"/>
        <v>"%USERPROFILE%\Documents\GitHub\eaglep3\Utilities\RefineRTDCRunTimes.py" --tripid 206-18 --locoid 4027 --swversion DE.1.0.9.0 --startMP 204:232985 --initTime 2017-08-18T17:34:42 --startdatetime 2017-08-18T17:42:33 --delay 1 --endMP 204:63193 --enddatetime 2017-08-18T18:06:59 --enforcementcount 0 &gt;&gt;C:\Users\stu\Documents\GitHub\eaglep3-reporting\EC\2017-08-18-refined-times.txt</v>
      </c>
      <c r="AI120" s="96" t="str">
        <f t="shared" si="42"/>
        <v>echo {"issue":{"subject":"Onboard in-route failure","project_id":79,"tracker_id":40,"status_id":1,"priority_id":2,"assigned_to_id":23,"start_date":"2017-08-18","description":"","custom_fields":[{"id":1,"name":"Subdivision","value":"EC"},{"id":4,"name":"Milepost","value":"6.3193"},{"id":17,"name":"Train ID","value":"206-18"},{"id":16,"name":"Locomotive ID","value":"4027"},{"id":130,"name":"Impact","value":""},{"id":150,"name":"Time of Event (Mountain Time)","value":"18:06:59"},{"id":151,"name":"Denver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">
        <v>1067</v>
      </c>
      <c r="AN120" s="151" t="str">
        <f t="shared" si="44"/>
        <v>echo {"issue":{"subject":"Onboard in-route failure","project_id":30,"tracker_id":4,"status_id":1,"priority_id":1,"assigned_to_id":10,"start_date":"2017-08-19","description":"","custom_fields":[{"id":30,"name":"Category","value":"Issue"},{"id":3,"name":"Functional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00:06:59"},{"id":29,"name":"Sharepoint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815</v>
      </c>
      <c r="B121" s="7">
        <v>4064</v>
      </c>
      <c r="C121" s="21" t="s">
        <v>198</v>
      </c>
      <c r="D121" s="21" t="s">
        <v>933</v>
      </c>
      <c r="E121" s="13">
        <v>42965.703993055555</v>
      </c>
      <c r="F121" s="13">
        <v>42965.708865740744</v>
      </c>
      <c r="G121" s="7">
        <v>1</v>
      </c>
      <c r="H121" s="21" t="s">
        <v>508</v>
      </c>
      <c r="I121" s="13">
        <v>42965.73537037037</v>
      </c>
      <c r="J121" s="7">
        <v>0</v>
      </c>
      <c r="K121" s="89" t="str">
        <f t="shared" si="29"/>
        <v>4063/4064</v>
      </c>
      <c r="L121" s="21" t="str">
        <f>VLOOKUP(A121,'Trips&amp;Operators'!$C$1:$G$99999,5,FALSE)</f>
        <v>WEST BRYAN</v>
      </c>
      <c r="M121" s="6">
        <f t="shared" si="30"/>
        <v>2.6504629626288079E-2</v>
      </c>
      <c r="N121" s="7">
        <f t="shared" ref="N121:N126" si="55">24*60*SUM($M121:$M121)</f>
        <v>38.166666661854833</v>
      </c>
      <c r="O121" s="7"/>
      <c r="P121" s="7"/>
      <c r="Q121" s="22"/>
      <c r="R121" s="170"/>
      <c r="S121" s="213">
        <f t="shared" si="47"/>
        <v>1</v>
      </c>
      <c r="T121" s="195" t="str">
        <f t="shared" si="31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2"/>
        <v>https://d0f6bd738d7f1b3e5a7ca70fe4ff75f0.us-east-1.aws.found.io/app/kibana#/discover/Steve-Slow-Train-Analysis-(2080s-and-2083s)?_g=(refreshInterval:(display:Off,pause:!f,section:0,value:0),time:(from:'2017-08-18T15:53:45-0600',mode:absolute,to:'2017-08-18T18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1" s="197" t="str">
        <f>IF(AA121&lt;VLOOKUP(AG121,Variables!$AC$3:$AD$8,2,FALSE),"Y","N")</f>
        <v>N</v>
      </c>
      <c r="X121" s="197">
        <f t="shared" si="48"/>
        <v>1</v>
      </c>
      <c r="Y121" s="197">
        <f t="shared" si="49"/>
        <v>5.7000000000000002E-2</v>
      </c>
      <c r="Z121" s="197">
        <f t="shared" si="50"/>
        <v>23.329499999999999</v>
      </c>
      <c r="AA121" s="197">
        <f t="shared" si="36"/>
        <v>23.272500000000001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6">
        <f t="shared" si="37"/>
        <v>207</v>
      </c>
      <c r="AE121" s="77" t="str">
        <f t="shared" si="38"/>
        <v>aws s3 cp s3://rtdc.mdm.uploadarchive.raw/RTDC4064/ "%USERPROFILE%\AppData\Local\Temp\OnboardLogs"\RTDC4064\2017-08-18 --exclude "*" --recursive --include "*20170818*" &amp; "%USERPROFILE%\Documents\GitHub\mrs-test-scripts\Headless Mode &amp; Sideloading\WalkAndUnGZ.bat" "%USERPROFILE%\AppData\Local\Temp\OnboardLogs"\RTDC4064\2017-08-18 &amp; aws s3 cp s3://rtdc.mdm.uploadarchive.raw/RTDC4064/ "%USERPROFILE%\AppData\Local\Temp\OnboardLogs"\RTDC4064\2017-08-19 --exclude "*" --recursive --include "*20170819*" &amp; "%USERPROFILE%\Documents\GitHub\mrs-test-scripts\Headless Mode &amp; Sideloading\WalkAndUnGZ.bat" "%USERPROFILE%\AppData\Local\Temp\OnboardLogs"\RTDC4064\2017-08-19</v>
      </c>
      <c r="AF121" s="74" t="str">
        <f t="shared" si="39"/>
        <v>"C:\Program Files (x86)\AstroGrep\AstroGrep.exe" /e /r /s /spath="%USERPROFILE%\AppData\Local\Temp\OnboardLogs" /stypes="app*4064*20170818*" /stext=" 23:.+((SYSTEM_STATE.+slice.+state.+changed )|(ment ac)|(multiple cpu faults)|(system.+state.+changed )|(\[timeout)|(PRM\|1\|D)|(kpr)|(kdp)|(train st.+moving)|(\|lc)|(penalty))"</v>
      </c>
      <c r="AG121" s="209" t="str">
        <f t="shared" si="40"/>
        <v>EC</v>
      </c>
      <c r="AH121" s="78" t="str">
        <f t="shared" si="41"/>
        <v>"%USERPROFILE%\Documents\GitHub\eaglep3\Utilities\RefineRTDCRunTimes.py" --tripid 207-18 --locoid 4064 --swversion DE.1.0.9.0 --startMP 204:570 --initTime 2017-08-18T16:53:45 --startdatetime 2017-08-18T17:00:46 --delay 1 --endMP 204:233295 --enddatetime 2017-08-18T17:38:56 --enforcementcount 0 &gt;&gt;C:\Users\stu\Documents\GitHub\eaglep3-reporting\EC\2017-08-18-refined-times.txt</v>
      </c>
      <c r="AI121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{"issue":{"subject":"","project_id":79,"tracker_id":40,"status_id":1,"priority_id":2,"assigned_to_id":23,"start_date":"2017-08-18","description":"","custom_fields":[{"id":1,"name":"Subdivision","value":"EC"},{"id":4,"name":"Milepost","value":"23.3295"},{"id":17,"name":"Train ID","value":"207-18"},{"id":16,"name":"Locomotive ID","value":"4064"},{"id":130,"name":"Impact","value":""},{"id":150,"name":"Time of Event (Mountain Time)","value":"17:38:56"},{"id":151,"name":"Denver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3"/>
        <v>start /low /b %USERPROFILE%\Documents\GitHub\eaglep3\Utilities\DownloadLogsFromS3.py --loco 4064 --day 2017-08-18</v>
      </c>
      <c r="AN121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830</v>
      </c>
      <c r="B122" s="7">
        <v>4063</v>
      </c>
      <c r="C122" s="21" t="s">
        <v>198</v>
      </c>
      <c r="D122" s="21" t="s">
        <v>596</v>
      </c>
      <c r="E122" s="13">
        <v>42965.74454861111</v>
      </c>
      <c r="F122" s="13">
        <v>42965.748101851852</v>
      </c>
      <c r="G122" s="7">
        <v>1</v>
      </c>
      <c r="H122" s="21" t="s">
        <v>913</v>
      </c>
      <c r="I122" s="13">
        <v>42965.775000000001</v>
      </c>
      <c r="J122" s="7">
        <v>0</v>
      </c>
      <c r="K122" s="89" t="str">
        <f t="shared" si="29"/>
        <v>4063/4064</v>
      </c>
      <c r="L122" s="21" t="str">
        <f>VLOOKUP(A122,'Trips&amp;Operators'!$C$1:$G$99999,5,FALSE)</f>
        <v>WEST BRYAN</v>
      </c>
      <c r="M122" s="6">
        <f t="shared" si="30"/>
        <v>2.6898148149484769E-2</v>
      </c>
      <c r="N122" s="7">
        <f t="shared" si="55"/>
        <v>38.733333335258067</v>
      </c>
      <c r="O122" s="7"/>
      <c r="P122" s="7"/>
      <c r="Q122" s="22"/>
      <c r="R122" s="170"/>
      <c r="S122" s="213">
        <f t="shared" si="47"/>
        <v>1</v>
      </c>
      <c r="T122" s="195" t="str">
        <f t="shared" si="31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2"/>
        <v>https://d0f6bd738d7f1b3e5a7ca70fe4ff75f0.us-east-1.aws.found.io/app/kibana#/discover/Steve-Slow-Train-Analysis-(2080s-and-2083s)?_g=(refreshInterval:(display:Off,pause:!f,section:0,value:0),time:(from:'2017-08-18T16:52:09-0600',mode:absolute,to:'2017-08-18T19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2" s="197" t="str">
        <f>IF(AA122&lt;VLOOKUP(AG122,Variables!$AC$3:$AD$8,2,FALSE),"Y","N")</f>
        <v>N</v>
      </c>
      <c r="X122" s="197">
        <f t="shared" si="48"/>
        <v>1</v>
      </c>
      <c r="Y122" s="197">
        <f t="shared" si="49"/>
        <v>23.296299999999999</v>
      </c>
      <c r="Z122" s="197">
        <f t="shared" si="50"/>
        <v>1.6500000000000001E-2</v>
      </c>
      <c r="AA122" s="197">
        <f t="shared" si="36"/>
        <v>23.279799999999998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6">
        <f t="shared" si="37"/>
        <v>208</v>
      </c>
      <c r="AE122" s="77" t="str">
        <f t="shared" si="38"/>
        <v>aws s3 cp s3://rtdc.mdm.uploadarchive.raw/RTDC4063/ "%USERPROFILE%\AppData\Local\Temp\OnboardLogs"\RTDC4063\2017-08-18 --exclude "*" --recursive --include "*20170818*" &amp; "%USERPROFILE%\Documents\GitHub\mrs-test-scripts\Headless Mode &amp; Sideloading\WalkAndUnGZ.bat" "%USERPROFILE%\AppData\Local\Temp\OnboardLogs"\RTDC4063\2017-08-18 &amp; aws s3 cp s3://rtdc.mdm.uploadarchive.raw/RTDC4063/ "%USERPROFILE%\AppData\Local\Temp\OnboardLogs"\RTDC4063\2017-08-19 --exclude "*" --recursive --include "*20170819*" &amp; "%USERPROFILE%\Documents\GitHub\mrs-test-scripts\Headless Mode &amp; Sideloading\WalkAndUnGZ.bat" "%USERPROFILE%\AppData\Local\Temp\OnboardLogs"\RTDC4063\2017-08-19</v>
      </c>
      <c r="AF122" s="74" t="str">
        <f t="shared" si="39"/>
        <v>"C:\Program Files (x86)\AstroGrep\AstroGrep.exe" /e /r /s /spath="%USERPROFILE%\AppData\Local\Temp\OnboardLogs" /stypes="app*4063*20170819*" /stext=" 00:.+((SYSTEM_STATE.+slice.+state.+changed )|(ment ac)|(multiple cpu faults)|(system.+state.+changed )|(\[timeout)|(PRM\|1\|D)|(kpr)|(kdp)|(train st.+moving)|(\|lc)|(penalty))"</v>
      </c>
      <c r="AG122" s="209" t="str">
        <f t="shared" si="40"/>
        <v>EC</v>
      </c>
      <c r="AH122" s="78" t="str">
        <f t="shared" si="41"/>
        <v>"%USERPROFILE%\Documents\GitHub\eaglep3\Utilities\RefineRTDCRunTimes.py" --tripid 208-18 --locoid 4063 --swversion DE.1.0.9.0 --startMP 204:232963 --initTime 2017-08-18T17:52:09 --startdatetime 2017-08-18T17:57:16 --delay 1 --endMP 204:165 --enddatetime 2017-08-18T18:36:00 --enforcementcount 0 &gt;&gt;C:\Users\stu\Documents\GitHub\eaglep3-reporting\EC\2017-08-18-refined-times.txt</v>
      </c>
      <c r="AI122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{"issue":{"subject":"","project_id":79,"tracker_id":40,"status_id":1,"priority_id":2,"assigned_to_id":23,"start_date":"2017-08-18","description":"","custom_fields":[{"id":1,"name":"Subdivision","value":"EC"},{"id":4,"name":"Milepost","value":"0.0165"},{"id":17,"name":"Train ID","value":"208-18"},{"id":16,"name":"Locomotive ID","value":"4063"},{"id":130,"name":"Impact","value":""},{"id":150,"name":"Time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3"/>
        <v>start /low /b %USERPROFILE%\Documents\GitHub\eaglep3\Utilities\DownloadLogsFromS3.py --loco 4063 --day 2017-08-18</v>
      </c>
      <c r="AN122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00:36:00"},{"id":29,"name":"Sharepoint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819</v>
      </c>
      <c r="B123" s="7">
        <v>4040</v>
      </c>
      <c r="C123" s="21" t="s">
        <v>198</v>
      </c>
      <c r="D123" s="21" t="s">
        <v>345</v>
      </c>
      <c r="E123" s="13">
        <v>42965.714409722219</v>
      </c>
      <c r="F123" s="13">
        <v>42965.719317129631</v>
      </c>
      <c r="G123" s="7">
        <v>1</v>
      </c>
      <c r="H123" s="21" t="s">
        <v>598</v>
      </c>
      <c r="I123" s="13">
        <v>42965.744583333333</v>
      </c>
      <c r="J123" s="7">
        <v>0</v>
      </c>
      <c r="K123" s="89" t="str">
        <f t="shared" si="29"/>
        <v>4039/4040</v>
      </c>
      <c r="L123" s="21" t="str">
        <f>VLOOKUP(A123,'Trips&amp;Operators'!$C$1:$G$99999,5,FALSE)</f>
        <v>LANGERAK WILLIAM</v>
      </c>
      <c r="M123" s="6">
        <f t="shared" si="30"/>
        <v>2.5266203701903578E-2</v>
      </c>
      <c r="N123" s="7">
        <f t="shared" si="55"/>
        <v>36.383333330741152</v>
      </c>
      <c r="O123" s="7"/>
      <c r="P123" s="7"/>
      <c r="Q123" s="22"/>
      <c r="R123" s="170"/>
      <c r="S123" s="213">
        <f t="shared" si="47"/>
        <v>1</v>
      </c>
      <c r="T123" s="195" t="str">
        <f t="shared" si="31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2"/>
        <v>https://d0f6bd738d7f1b3e5a7ca70fe4ff75f0.us-east-1.aws.found.io/app/kibana#/discover/Steve-Slow-Train-Analysis-(2080s-and-2083s)?_g=(refreshInterval:(display:Off,pause:!f,section:0,value:0),time:(from:'2017-08-18T16:08:45-0600',mode:absolute,to:'2017-08-18T18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3" s="197" t="str">
        <f>IF(AA123&lt;VLOOKUP(AG123,Variables!$AC$3:$AD$8,2,FALSE),"Y","N")</f>
        <v>N</v>
      </c>
      <c r="X123" s="197">
        <f t="shared" si="48"/>
        <v>1</v>
      </c>
      <c r="Y123" s="197">
        <f t="shared" si="49"/>
        <v>4.53E-2</v>
      </c>
      <c r="Z123" s="197">
        <f t="shared" si="50"/>
        <v>23.328299999999999</v>
      </c>
      <c r="AA123" s="197">
        <f t="shared" si="36"/>
        <v>23.282999999999998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6">
        <f t="shared" si="37"/>
        <v>209</v>
      </c>
      <c r="AE123" s="77" t="str">
        <f t="shared" si="38"/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AF123" s="74" t="str">
        <f t="shared" si="39"/>
        <v>"C:\Program Files (x86)\AstroGrep\AstroGrep.exe" /e /r /s /spath="%USERPROFILE%\AppData\Local\Temp\OnboardLogs" /stypes="app*4040*20170818*" /stext=" 23:.+((SYSTEM_STATE.+slice.+state.+changed )|(ment ac)|(multiple cpu faults)|(system.+state.+changed )|(\[timeout)|(PRM\|1\|D)|(kpr)|(kdp)|(train st.+moving)|(\|lc)|(penalty))"</v>
      </c>
      <c r="AG123" s="209" t="str">
        <f t="shared" si="40"/>
        <v>EC</v>
      </c>
      <c r="AH123" s="78" t="str">
        <f t="shared" si="41"/>
        <v>"%USERPROFILE%\Documents\GitHub\eaglep3\Utilities\RefineRTDCRunTimes.py" --tripid 209-18 --locoid 4040 --swversion DE.1.0.9.0 --startMP 204:453 --initTime 2017-08-18T17:08:45 --startdatetime 2017-08-18T17:15:49 --delay 1 --endMP 204:233283 --enddatetime 2017-08-18T17:52:12 --enforcementcount 0 &gt;&gt;C:\Users\stu\Documents\GitHub\eaglep3-reporting\EC\2017-08-18-refined-times.txt</v>
      </c>
      <c r="AI123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{"issue":{"subject":"","project_id":79,"tracker_id":40,"status_id":1,"priority_id":2,"assigned_to_id":23,"start_date":"2017-08-18","description":"","custom_fields":[{"id":1,"name":"Subdivision","value":"EC"},{"id":4,"name":"Milepost","value":"23.3283"},{"id":17,"name":"Train ID","value":"209-18"},{"id":16,"name":"Locomotive ID","value":"4040"},{"id":130,"name":"Impact","value":""},{"id":150,"name":"Time of Event (Mountain Time)","value":"17:52:12"},{"id":151,"name":"Denver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3"/>
        <v>start /low /b %USERPROFILE%\Documents\GitHub\eaglep3\Utilities\DownloadLogsFromS3.py --loco 4040 --day 2017-08-18</v>
      </c>
      <c r="AN123" s="151" t="str">
        <f t="shared" si="4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831</v>
      </c>
      <c r="B124" s="7">
        <v>4039</v>
      </c>
      <c r="C124" s="21" t="s">
        <v>198</v>
      </c>
      <c r="D124" s="21" t="s">
        <v>388</v>
      </c>
      <c r="E124" s="13">
        <v>42965.74726851852</v>
      </c>
      <c r="F124" s="13">
        <v>42965.758518518516</v>
      </c>
      <c r="G124" s="7">
        <v>1</v>
      </c>
      <c r="H124" s="21" t="s">
        <v>560</v>
      </c>
      <c r="I124" s="13">
        <v>42965.78466435185</v>
      </c>
      <c r="J124" s="7">
        <v>0</v>
      </c>
      <c r="K124" s="89" t="str">
        <f t="shared" si="29"/>
        <v>4039/4040</v>
      </c>
      <c r="L124" s="21" t="str">
        <f>VLOOKUP(A124,'Trips&amp;Operators'!$C$1:$G$99999,5,FALSE)</f>
        <v>LANGERAK WILLIAM</v>
      </c>
      <c r="M124" s="6">
        <f t="shared" si="30"/>
        <v>2.6145833333430346E-2</v>
      </c>
      <c r="N124" s="7">
        <f t="shared" si="55"/>
        <v>37.650000000139698</v>
      </c>
      <c r="O124" s="7"/>
      <c r="P124" s="7"/>
      <c r="Q124" s="22"/>
      <c r="R124" s="170"/>
      <c r="S124" s="213">
        <f t="shared" si="47"/>
        <v>1</v>
      </c>
      <c r="T124" s="195" t="str">
        <f t="shared" si="31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2"/>
        <v>https://d0f6bd738d7f1b3e5a7ca70fe4ff75f0.us-east-1.aws.found.io/app/kibana#/discover/Steve-Slow-Train-Analysis-(2080s-and-2083s)?_g=(refreshInterval:(display:Off,pause:!f,section:0,value:0),time:(from:'2017-08-18T16:56:04-0600',mode:absolute,to:'2017-08-18T19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4" s="197" t="str">
        <f>IF(AA124&lt;VLOOKUP(AG124,Variables!$AC$3:$AD$8,2,FALSE),"Y","N")</f>
        <v>N</v>
      </c>
      <c r="X124" s="197">
        <f t="shared" si="48"/>
        <v>1</v>
      </c>
      <c r="Y124" s="197">
        <f t="shared" si="49"/>
        <v>23.299600000000002</v>
      </c>
      <c r="Z124" s="197">
        <f t="shared" si="50"/>
        <v>1.3599999999999999E-2</v>
      </c>
      <c r="AA124" s="197">
        <f t="shared" si="36"/>
        <v>23.286000000000001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6">
        <f t="shared" si="37"/>
        <v>210</v>
      </c>
      <c r="AE124" s="77" t="str">
        <f t="shared" si="38"/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AF124" s="74" t="str">
        <f t="shared" si="39"/>
        <v>"C:\Program Files (x86)\AstroGrep\AstroGrep.exe" /e /r /s /spath="%USERPROFILE%\AppData\Local\Temp\OnboardLogs" /stypes="app*4039*20170819*" /stext=" 00:.+((SYSTEM_STATE.+slice.+state.+changed )|(ment ac)|(multiple cpu faults)|(system.+state.+changed )|(\[timeout)|(PRM\|1\|D)|(kpr)|(kdp)|(train st.+moving)|(\|lc)|(penalty))"</v>
      </c>
      <c r="AG124" s="209" t="str">
        <f t="shared" si="40"/>
        <v>EC</v>
      </c>
      <c r="AH124" s="78" t="str">
        <f t="shared" si="41"/>
        <v>"%USERPROFILE%\Documents\GitHub\eaglep3\Utilities\RefineRTDCRunTimes.py" --tripid 210-18 --locoid 4039 --swversion DE.1.0.9.0 --startMP 204:232996 --initTime 2017-08-18T17:56:04 --startdatetime 2017-08-18T18:12:16 --delay 1 --endMP 204:136 --enddatetime 2017-08-18T18:49:55 --enforcementcount 0 &gt;&gt;C:\Users\stu\Documents\GitHub\eaglep3-reporting\EC\2017-08-18-refined-times.txt</v>
      </c>
      <c r="AI124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{"issue":{"subject":"","project_id":79,"tracker_id":40,"status_id":1,"priority_id":2,"assigned_to_id":23,"start_date":"2017-08-18","description":"","custom_fields":[{"id":1,"name":"Subdivision","value":"EC"},{"id":4,"name":"Milepost","value":"0.0136"},{"id":17,"name":"Train ID","value":"210-18"},{"id":16,"name":"Locomotive ID","value":"4039"},{"id":130,"name":"Impact","value":""},{"id":150,"name":"Time of Event (Mountain Time)","value":"18:49:55"},{"id":151,"name":"Denver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3"/>
        <v>start /low /b %USERPROFILE%\Documents\GitHub\eaglep3\Utilities\DownloadLogsFromS3.py --loco 4039 --day 2017-08-18</v>
      </c>
      <c r="AN124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00:49:55"},{"id":29,"name":"Sharepoint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821</v>
      </c>
      <c r="B125" s="7">
        <v>4050</v>
      </c>
      <c r="C125" s="21" t="s">
        <v>198</v>
      </c>
      <c r="D125" s="21" t="s">
        <v>559</v>
      </c>
      <c r="E125" s="13">
        <v>42965.725659722222</v>
      </c>
      <c r="F125" s="13">
        <v>42965.72965277778</v>
      </c>
      <c r="G125" s="7">
        <v>1</v>
      </c>
      <c r="H125" s="21" t="s">
        <v>915</v>
      </c>
      <c r="I125" s="13">
        <v>42965.75476851852</v>
      </c>
      <c r="J125" s="7">
        <v>0</v>
      </c>
      <c r="K125" s="89" t="str">
        <f t="shared" si="29"/>
        <v>4049/4050</v>
      </c>
      <c r="L125" s="21" t="str">
        <f>VLOOKUP(A125,'Trips&amp;Operators'!$C$1:$G$99999,5,FALSE)</f>
        <v>LEVIN SCOTT</v>
      </c>
      <c r="M125" s="6">
        <f t="shared" si="30"/>
        <v>2.5115740740147885E-2</v>
      </c>
      <c r="N125" s="7">
        <f t="shared" si="55"/>
        <v>36.166666665812954</v>
      </c>
      <c r="O125" s="7"/>
      <c r="P125" s="7"/>
      <c r="Q125" s="22"/>
      <c r="R125" s="170"/>
      <c r="S125" s="213">
        <f t="shared" si="47"/>
        <v>1</v>
      </c>
      <c r="T125" s="195" t="str">
        <f t="shared" si="31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2"/>
        <v>https://d0f6bd738d7f1b3e5a7ca70fe4ff75f0.us-east-1.aws.found.io/app/kibana#/discover/Steve-Slow-Train-Analysis-(2080s-and-2083s)?_g=(refreshInterval:(display:Off,pause:!f,section:0,value:0),time:(from:'2017-08-18T16:24:57-0600',mode:absolute,to:'2017-08-18T19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5" s="197" t="str">
        <f>IF(AA125&lt;VLOOKUP(AG125,Variables!$AC$3:$AD$8,2,FALSE),"Y","N")</f>
        <v>N</v>
      </c>
      <c r="X125" s="197">
        <f t="shared" si="48"/>
        <v>1</v>
      </c>
      <c r="Y125" s="197">
        <f t="shared" si="49"/>
        <v>4.3999999999999997E-2</v>
      </c>
      <c r="Z125" s="197">
        <f t="shared" si="50"/>
        <v>23.338699999999999</v>
      </c>
      <c r="AA125" s="197">
        <f t="shared" si="36"/>
        <v>23.294699999999999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6">
        <f t="shared" si="37"/>
        <v>211</v>
      </c>
      <c r="AE125" s="77" t="str">
        <f t="shared" si="38"/>
        <v>aws s3 cp s3://rtdc.mdm.uploadarchive.raw/RTDC4050/ "%USERPROFILE%\AppData\Local\Temp\OnboardLogs"\RTDC4050\2017-08-18 --exclude "*" --recursive --include "*20170818*" &amp; "%USERPROFILE%\Documents\GitHub\mrs-test-scripts\Headless Mode &amp; Sideloading\WalkAndUnGZ.bat" "%USERPROFILE%\AppData\Local\Temp\OnboardLogs"\RTDC4050\2017-08-18 &amp; aws s3 cp s3://rtdc.mdm.uploadarchive.raw/RTDC4050/ "%USERPROFILE%\AppData\Local\Temp\OnboardLogs"\RTDC4050\2017-08-19 --exclude "*" --recursive --include "*20170819*" &amp; "%USERPROFILE%\Documents\GitHub\mrs-test-scripts\Headless Mode &amp; Sideloading\WalkAndUnGZ.bat" "%USERPROFILE%\AppData\Local\Temp\OnboardLogs"\RTDC4050\2017-08-19</v>
      </c>
      <c r="AF125" s="74" t="str">
        <f t="shared" si="39"/>
        <v>"C:\Program Files (x86)\AstroGrep\AstroGrep.exe" /e /r /s /spath="%USERPROFILE%\AppData\Local\Temp\OnboardLogs" /stypes="app*4050*20170819*" /stext=" 00:.+((SYSTEM_STATE.+slice.+state.+changed )|(ment ac)|(multiple cpu faults)|(system.+state.+changed )|(\[timeout)|(PRM\|1\|D)|(kpr)|(kdp)|(train st.+moving)|(\|lc)|(penalty))"</v>
      </c>
      <c r="AG125" s="209" t="str">
        <f t="shared" si="40"/>
        <v>EC</v>
      </c>
      <c r="AH125" s="78" t="str">
        <f t="shared" si="41"/>
        <v>"%USERPROFILE%\Documents\GitHub\eaglep3\Utilities\RefineRTDCRunTimes.py" --tripid 211-18 --locoid 4050 --swversion DE.1.0.9.0 --startMP 204:440 --initTime 2017-08-18T17:24:57 --startdatetime 2017-08-18T17:30:42 --delay 1 --endMP 204:233387 --enddatetime 2017-08-18T18:06:52 --enforcementcount 0 &gt;&gt;C:\Users\stu\Documents\GitHub\eaglep3-reporting\EC\2017-08-18-refined-times.txt</v>
      </c>
      <c r="AI125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{"issue":{"subject":"","project_id":79,"tracker_id":40,"status_id":1,"priority_id":2,"assigned_to_id":23,"start_date":"2017-08-18","description":"","custom_fields":[{"id":1,"name":"Subdivision","value":"EC"},{"id":4,"name":"Milepost","value":"23.3387"},{"id":17,"name":"Train ID","value":"211-18"},{"id":16,"name":"Locomotive ID","value":"4050"},{"id":130,"name":"Impact","value":""},{"id":150,"name":"Time of Event (Mountain Time)","value":"18:06:52"},{"id":151,"name":"Denver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3"/>
        <v>start /low /b %USERPROFILE%\Documents\GitHub\eaglep3\Utilities\DownloadLogsFromS3.py --loco 4050 --day 2017-08-18</v>
      </c>
      <c r="AN125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00:06:52"},{"id":29,"name":"Sharepoint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678</v>
      </c>
      <c r="B126" s="7">
        <v>4049</v>
      </c>
      <c r="C126" s="21" t="s">
        <v>198</v>
      </c>
      <c r="D126" s="21" t="s">
        <v>934</v>
      </c>
      <c r="E126" s="13">
        <v>42965.762638888889</v>
      </c>
      <c r="F126" s="13">
        <v>42965.768935185188</v>
      </c>
      <c r="G126" s="7">
        <v>1</v>
      </c>
      <c r="H126" s="21" t="s">
        <v>935</v>
      </c>
      <c r="I126" s="13">
        <v>42965.795023148145</v>
      </c>
      <c r="J126" s="7">
        <v>0</v>
      </c>
      <c r="K126" s="89" t="str">
        <f t="shared" si="29"/>
        <v>4049/4050</v>
      </c>
      <c r="L126" s="21" t="str">
        <f>VLOOKUP(A126,'Trips&amp;Operators'!$C$1:$G$99999,5,FALSE)</f>
        <v>LEVIN SCOTT</v>
      </c>
      <c r="M126" s="6">
        <f t="shared" si="30"/>
        <v>2.6087962956808042E-2</v>
      </c>
      <c r="N126" s="7">
        <f t="shared" si="55"/>
        <v>37.56666665780358</v>
      </c>
      <c r="O126" s="7"/>
      <c r="P126" s="7"/>
      <c r="Q126" s="22"/>
      <c r="R126" s="170"/>
      <c r="S126" s="213">
        <f t="shared" si="47"/>
        <v>1</v>
      </c>
      <c r="T126" s="195" t="str">
        <f t="shared" si="31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2"/>
        <v>https://d0f6bd738d7f1b3e5a7ca70fe4ff75f0.us-east-1.aws.found.io/app/kibana#/discover/Steve-Slow-Train-Analysis-(2080s-and-2083s)?_g=(refreshInterval:(display:Off,pause:!f,section:0,value:0),time:(from:'2017-08-18T17:18:12-0600',mode:absolute,to:'2017-08-18T20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6" s="197" t="str">
        <f>IF(AA126&lt;VLOOKUP(AG126,Variables!$AC$3:$AD$8,2,FALSE),"Y","N")</f>
        <v>N</v>
      </c>
      <c r="X126" s="197">
        <f t="shared" si="48"/>
        <v>1</v>
      </c>
      <c r="Y126" s="197">
        <f t="shared" si="49"/>
        <v>23.310300000000002</v>
      </c>
      <c r="Z126" s="197">
        <f t="shared" si="50"/>
        <v>1.7000000000000001E-2</v>
      </c>
      <c r="AA126" s="197">
        <f t="shared" si="36"/>
        <v>23.293300000000002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6">
        <f t="shared" si="37"/>
        <v>212</v>
      </c>
      <c r="AE126" s="77" t="str">
        <f t="shared" si="38"/>
        <v>aws s3 cp s3://rtdc.mdm.uploadarchive.raw/RTDC4049/ "%USERPROFILE%\AppData\Local\Temp\OnboardLogs"\RTDC4049\2017-08-18 --exclude "*" --recursive --include "*20170818*" &amp; "%USERPROFILE%\Documents\GitHub\mrs-test-scripts\Headless Mode &amp; Sideloading\WalkAndUnGZ.bat" "%USERPROFILE%\AppData\Local\Temp\OnboardLogs"\RTDC4049\2017-08-18 &amp; aws s3 cp s3://rtdc.mdm.uploadarchive.raw/RTDC4049/ "%USERPROFILE%\AppData\Local\Temp\OnboardLogs"\RTDC4049\2017-08-19 --exclude "*" --recursive --include "*20170819*" &amp; "%USERPROFILE%\Documents\GitHub\mrs-test-scripts\Headless Mode &amp; Sideloading\WalkAndUnGZ.bat" "%USERPROFILE%\AppData\Local\Temp\OnboardLogs"\RTDC4049\2017-08-19</v>
      </c>
      <c r="AF126" s="74" t="str">
        <f t="shared" si="39"/>
        <v>"C:\Program Files (x86)\AstroGrep\AstroGrep.exe" /e /r /s /spath="%USERPROFILE%\AppData\Local\Temp\OnboardLogs" /stypes="app*4049*20170819*" /stext=" 01:.+((SYSTEM_STATE.+slice.+state.+changed )|(ment ac)|(multiple cpu faults)|(system.+state.+changed )|(\[timeout)|(PRM\|1\|D)|(kpr)|(kdp)|(train st.+moving)|(\|lc)|(penalty))"</v>
      </c>
      <c r="AG126" s="209" t="str">
        <f t="shared" si="40"/>
        <v>EC</v>
      </c>
      <c r="AH126" s="78" t="str">
        <f t="shared" si="41"/>
        <v>"%USERPROFILE%\Documents\GitHub\eaglep3\Utilities\RefineRTDCRunTimes.py" --tripid 212-18 --locoid 4049 --swversion DE.1.0.9.0 --startMP 204:233103 --initTime 2017-08-18T18:18:12 --startdatetime 2017-08-18T18:27:16 --delay 1 --endMP 204:170 --enddatetime 2017-08-18T19:04:50 --enforcementcount 0 &gt;&gt;C:\Users\stu\Documents\GitHub\eaglep3-reporting\EC\2017-08-18-refined-times.txt</v>
      </c>
      <c r="AI126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{"issue":{"subject":"","project_id":79,"tracker_id":40,"status_id":1,"priority_id":2,"assigned_to_id":23,"start_date":"2017-08-18","description":"","custom_fields":[{"id":1,"name":"Subdivision","value":"EC"},{"id":4,"name":"Milepost","value":"0.017"},{"id":17,"name":"Train ID","value":"212-18"},{"id":16,"name":"Locomotive ID","value":"4049"},{"id":130,"name":"Impact","value":""},{"id":150,"name":"Time of Event (Mountain Time)","value":"19:04:50"},{"id":151,"name":"Denver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3"/>
        <v>start /low /b %USERPROFILE%\Documents\GitHub\eaglep3\Utilities\DownloadLogsFromS3.py --loco 4049 --day 2017-08-18</v>
      </c>
      <c r="AN126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01:04:50"},{"id":29,"name":"Sharepoint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828</v>
      </c>
      <c r="B127" s="7">
        <v>4012</v>
      </c>
      <c r="C127" s="21" t="s">
        <v>198</v>
      </c>
      <c r="D127" s="21" t="s">
        <v>934</v>
      </c>
      <c r="E127" s="13">
        <v>42965.762638888889</v>
      </c>
      <c r="F127" s="13">
        <v>42965.736111111109</v>
      </c>
      <c r="G127" s="7">
        <v>1</v>
      </c>
      <c r="H127" s="21" t="s">
        <v>935</v>
      </c>
      <c r="I127" s="13">
        <v>42965.736111111109</v>
      </c>
      <c r="J127" s="7">
        <v>0</v>
      </c>
      <c r="K127" s="89" t="str">
        <f t="shared" si="29"/>
        <v>4011/4012</v>
      </c>
      <c r="L127" s="21" t="str">
        <f>VLOOKUP(A127,'Trips&amp;Operators'!$C$1:$G$99999,5,FALSE)</f>
        <v>ELBAUM MIKE</v>
      </c>
      <c r="M127" s="6">
        <f t="shared" si="30"/>
        <v>0</v>
      </c>
      <c r="N127" s="7"/>
      <c r="O127" s="7"/>
      <c r="P127" s="7">
        <v>1</v>
      </c>
      <c r="Q127" s="22"/>
      <c r="R127" s="170" t="s">
        <v>1058</v>
      </c>
      <c r="S127" s="213">
        <f t="shared" si="47"/>
        <v>0</v>
      </c>
      <c r="T127" s="195" t="str">
        <f t="shared" si="31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0</v>
      </c>
      <c r="V127" s="196" t="str">
        <f t="shared" si="32"/>
        <v>https://d0f6bd738d7f1b3e5a7ca70fe4ff75f0.us-east-1.aws.found.io/app/kibana#/discover/Steve-Slow-Train-Analysis-(2080s-and-2083s)?_g=(refreshInterval:(display:Off,pause:!f,section:0,value:0),time:(from:'2017-08-18T17:18:12-0600',mode:absolute,to:'2017-08-18T18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7" s="197" t="str">
        <f>IF(AA127&lt;VLOOKUP(AG127,Variables!$AC$3:$AD$8,2,FALSE),"Y","N")</f>
        <v>N</v>
      </c>
      <c r="X127" s="197">
        <f t="shared" si="48"/>
        <v>1</v>
      </c>
      <c r="Y127" s="197">
        <f t="shared" si="49"/>
        <v>23.310300000000002</v>
      </c>
      <c r="Z127" s="197">
        <f t="shared" si="50"/>
        <v>1.7000000000000001E-2</v>
      </c>
      <c r="AA127" s="197">
        <f t="shared" si="36"/>
        <v>23.293300000000002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6">
        <f t="shared" si="37"/>
        <v>213</v>
      </c>
      <c r="AE127" s="77" t="str">
        <f t="shared" si="38"/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AF127" s="74" t="str">
        <f t="shared" si="39"/>
        <v>"C:\Program Files (x86)\AstroGrep\AstroGrep.exe" /e /r /s /spath="%USERPROFILE%\AppData\Local\Temp\OnboardLogs" /stypes="app*4012*20170818*" /stext=" 23:.+((SYSTEM_STATE.+slice.+state.+changed )|(ment ac)|(multiple cpu faults)|(system.+state.+changed )|(\[timeout)|(PRM\|1\|D)|(kpr)|(kdp)|(train st.+moving)|(\|lc)|(penalty))"</v>
      </c>
      <c r="AG127" s="209" t="str">
        <f t="shared" si="40"/>
        <v>EC</v>
      </c>
      <c r="AH127" s="78" t="str">
        <f t="shared" ref="AH127" si="56"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213-18 --locoid 4012 --swversion DE.1.0.9.0 --startMP 204:233103 --initTime 2017-08-18T18:18:12 --startdatetime 2017-08-18T17:40:00 --delay 1 --endMP 204:170 --enddatetime 2017-08-18T17:40:00 --enforcementcount 0 &gt;&gt;C:\Users\stu\Documents\GitHub\eaglep3-reporting\EC\2017-08-18-refined-times.txt</v>
      </c>
      <c r="AI127" s="96" t="str">
        <f t="shared" ref="AI127" si="57"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-X POST -H ""Content-Type: application/json"" -H ""X-Redmine-API-Key: "&amp;redm_api_key&amp;""" "&amp;redm_url&amp;" --data @-"</f>
        <v>echo {"issue":{"subject":"Cascade from 200-18","project_id":79,"tracker_id":40,"status_id":1,"priority_id":2,"assigned_to_id":23,"start_date":"2017-08-18","description":"","custom_fields":[{"id":1,"name":"Subdivision","value":"EC"},{"id":4,"name":"Milepost","value":"0.017"},{"id":17,"name":"Train ID","value":"213-18"},{"id":16,"name":"Locomotive ID","value":"4012"},{"id":130,"name":"Impact","value":""},{"id":150,"name":"Time of Event (Mountain Time)","value":"17:40:00"},{"id":151,"name":"Denver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ref="AM127" si="58">"start /low /b "&amp;dls3logs&amp;" --loco "&amp;B127&amp;" --day "&amp;TEXT(F127,"YYYY-MM-DD")</f>
        <v>start /low /b %USERPROFILE%\Documents\GitHub\eaglep3\Utilities\DownloadLogsFromS3.py --loco 4012 --day 2017-08-18</v>
      </c>
      <c r="AN127" s="151" t="str">
        <f t="shared" ref="AN127" si="59">"echo {""issue"":{""subject"":"""&amp;R127&amp;""",""project_id"":30,""tracker_id"":4,""status_id"":"&amp;redmine_status_wcr&amp;",""priority_id"":"&amp;redmine_priority_wcr&amp;",""assigned_to_id"":"&amp;redmine_assignee_wcr&amp;",""start_date"":"""&amp;TEXT(I127-utc_offset/24,"YYYY-mm-dd")&amp;""",""description"":"""&amp;AJ127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{"issue":{"subject":"Cascade from 200-18","project_id":30,"tracker_id":4,"status_id":1,"priority_id":1,"assigned_to_id":10,"start_date":"2017-08-18","description":"","custom_fields":[{"id":30,"name":"Category","value":"Issue"},{"id":3,"name":"Functional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8" spans="1:91" s="20" customFormat="1" x14ac:dyDescent="0.25">
      <c r="A128" s="32" t="s">
        <v>835</v>
      </c>
      <c r="B128" s="7">
        <v>4011</v>
      </c>
      <c r="C128" s="21" t="s">
        <v>198</v>
      </c>
      <c r="D128" s="21" t="s">
        <v>476</v>
      </c>
      <c r="E128" s="13">
        <v>42965.775925925926</v>
      </c>
      <c r="F128" s="13">
        <v>42965.779641203706</v>
      </c>
      <c r="G128" s="7">
        <v>1</v>
      </c>
      <c r="H128" s="21" t="s">
        <v>341</v>
      </c>
      <c r="I128" s="13">
        <v>42965.805509259262</v>
      </c>
      <c r="J128" s="7">
        <v>0</v>
      </c>
      <c r="K128" s="89" t="str">
        <f t="shared" si="29"/>
        <v>4011/4012</v>
      </c>
      <c r="L128" s="21" t="str">
        <f>VLOOKUP(A128,'Trips&amp;Operators'!$C$1:$G$99999,5,FALSE)</f>
        <v>ELBAUM MIKE</v>
      </c>
      <c r="M128" s="6">
        <f t="shared" si="30"/>
        <v>2.5868055556202307E-2</v>
      </c>
      <c r="N128" s="7">
        <f t="shared" ref="N128:N159" si="60">24*60*SUM($M128:$M128)</f>
        <v>37.250000000931323</v>
      </c>
      <c r="O128" s="7"/>
      <c r="P128" s="7"/>
      <c r="Q128" s="22"/>
      <c r="R128" s="170"/>
      <c r="S128" s="213">
        <f t="shared" si="47"/>
        <v>1</v>
      </c>
      <c r="T128" s="195" t="str">
        <f t="shared" si="31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2"/>
        <v>https://d0f6bd738d7f1b3e5a7ca70fe4ff75f0.us-east-1.aws.found.io/app/kibana#/discover/Steve-Slow-Train-Analysis-(2080s-and-2083s)?_g=(refreshInterval:(display:Off,pause:!f,section:0,value:0),time:(from:'2017-08-18T17:37:20-0600',mode:absolute,to:'2017-08-18T20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8" s="197" t="str">
        <f>IF(AA128&lt;VLOOKUP(AG128,Variables!$AC$3:$AD$8,2,FALSE),"Y","N")</f>
        <v>N</v>
      </c>
      <c r="X128" s="197">
        <f t="shared" ref="X128:X130" si="61">VALUE(LEFT(AD128,4))-VALUE(LEFT(AD127,4))</f>
        <v>1</v>
      </c>
      <c r="Y128" s="197">
        <f t="shared" si="49"/>
        <v>23.299399999999999</v>
      </c>
      <c r="Z128" s="197">
        <f t="shared" si="50"/>
        <v>1.4999999999999999E-2</v>
      </c>
      <c r="AA128" s="197">
        <f t="shared" si="36"/>
        <v>23.284399999999998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6">
        <f t="shared" si="37"/>
        <v>214</v>
      </c>
      <c r="AE128" s="77" t="str">
        <f t="shared" si="38"/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AF128" s="74" t="str">
        <f t="shared" si="39"/>
        <v>"C:\Program Files (x86)\AstroGrep\AstroGrep.exe" /e /r /s /spath="%USERPROFILE%\AppData\Local\Temp\OnboardLogs" /stypes="app*4011*20170819*" /stext=" 01:.+((SYSTEM_STATE.+slice.+state.+changed )|(ment ac)|(multiple cpu faults)|(system.+state.+changed )|(\[timeout)|(PRM\|1\|D)|(kpr)|(kdp)|(train st.+moving)|(\|lc)|(penalty))"</v>
      </c>
      <c r="AG128" s="209" t="str">
        <f t="shared" si="40"/>
        <v>EC</v>
      </c>
      <c r="AH128" s="78" t="str">
        <f t="shared" si="41"/>
        <v>"%USERPROFILE%\Documents\GitHub\eaglep3\Utilities\RefineRTDCRunTimes.py" --tripid 214-18 --locoid 4011 --swversion DE.1.0.9.0 --startMP 204:232994 --initTime 2017-08-18T18:37:20 --startdatetime 2017-08-18T18:42:41 --delay 1 --endMP 204:150 --enddatetime 2017-08-18T19:19:56 --enforcementcount 0 &gt;&gt;C:\Users\stu\Documents\GitHub\eaglep3-reporting\EC\2017-08-18-refined-times.txt</v>
      </c>
      <c r="AI128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{"issue":{"subject":"","project_id":79,"tracker_id":40,"status_id":1,"priority_id":2,"assigned_to_id":23,"start_date":"2017-08-18","description":"","custom_fields":[{"id":1,"name":"Subdivision","value":"EC"},{"id":4,"name":"Milepost","value":"0.015"},{"id":17,"name":"Train ID","value":"214-18"},{"id":16,"name":"Locomotive ID","value":"4011"},{"id":130,"name":"Impact","value":""},{"id":150,"name":"Time of Event (Mountain Time)","value":"19:19:56"},{"id":151,"name":"Denver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3"/>
        <v>start /low /b %USERPROFILE%\Documents\GitHub\eaglep3\Utilities\DownloadLogsFromS3.py --loco 4011 --day 2017-08-18</v>
      </c>
      <c r="AN128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01:19:56"},{"id":29,"name":"Sharepoint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677</v>
      </c>
      <c r="B129" s="7">
        <v>4018</v>
      </c>
      <c r="C129" s="21" t="s">
        <v>198</v>
      </c>
      <c r="D129" s="21" t="s">
        <v>612</v>
      </c>
      <c r="E129" s="13">
        <v>42965.745694444442</v>
      </c>
      <c r="F129" s="13">
        <v>42965.750497685185</v>
      </c>
      <c r="G129" s="7">
        <v>1</v>
      </c>
      <c r="H129" s="21" t="s">
        <v>503</v>
      </c>
      <c r="I129" s="13">
        <v>42965.776469907411</v>
      </c>
      <c r="J129" s="7">
        <v>0</v>
      </c>
      <c r="K129" s="89" t="str">
        <f t="shared" si="29"/>
        <v>4017/4018</v>
      </c>
      <c r="L129" s="21" t="str">
        <f>VLOOKUP(A129,'Trips&amp;Operators'!$C$1:$G$99999,5,FALSE)</f>
        <v>NICHOLSON WESLEY</v>
      </c>
      <c r="M129" s="6">
        <f t="shared" si="30"/>
        <v>2.5972222225391306E-2</v>
      </c>
      <c r="N129" s="7">
        <f t="shared" si="60"/>
        <v>37.400000004563481</v>
      </c>
      <c r="O129" s="7"/>
      <c r="P129" s="7"/>
      <c r="Q129" s="22"/>
      <c r="R129" s="170"/>
      <c r="S129" s="213">
        <f t="shared" si="47"/>
        <v>1</v>
      </c>
      <c r="T129" s="195" t="str">
        <f t="shared" si="31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2"/>
        <v>https://d0f6bd738d7f1b3e5a7ca70fe4ff75f0.us-east-1.aws.found.io/app/kibana#/discover/Steve-Slow-Train-Analysis-(2080s-and-2083s)?_g=(refreshInterval:(display:Off,pause:!f,section:0,value:0),time:(from:'2017-08-18T16:53:48-0600',mode:absolute,to:'2017-08-18T19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197" t="str">
        <f>IF(AA129&lt;VLOOKUP(AG129,Variables!$AC$3:$AD$8,2,FALSE),"Y","N")</f>
        <v>N</v>
      </c>
      <c r="X129" s="197">
        <f t="shared" si="61"/>
        <v>1</v>
      </c>
      <c r="Y129" s="197">
        <f t="shared" si="49"/>
        <v>4.8399999999999999E-2</v>
      </c>
      <c r="Z129" s="197">
        <f t="shared" si="50"/>
        <v>23.3291</v>
      </c>
      <c r="AA129" s="197">
        <f t="shared" si="36"/>
        <v>23.2807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6">
        <f t="shared" si="37"/>
        <v>215</v>
      </c>
      <c r="AE129" s="77" t="str">
        <f t="shared" si="38"/>
        <v>aws s3 cp s3://rtdc.mdm.uploadarchive.raw/RTDC4018/ "%USERPROFILE%\AppData\Local\Temp\OnboardLogs"\RTDC4018\2017-08-18 --exclude "*" --recursive --include "*20170818*" &amp; "%USERPROFILE%\Documents\GitHub\mrs-test-scripts\Headless Mode &amp; Sideloading\WalkAndUnGZ.bat" "%USERPROFILE%\AppData\Local\Temp\OnboardLogs"\RTDC4018\2017-08-18 &amp; aws s3 cp s3://rtdc.mdm.uploadarchive.raw/RTDC4018/ "%USERPROFILE%\AppData\Local\Temp\OnboardLogs"\RTDC4018\2017-08-19 --exclude "*" --recursive --include "*20170819*" &amp; "%USERPROFILE%\Documents\GitHub\mrs-test-scripts\Headless Mode &amp; Sideloading\WalkAndUnGZ.bat" "%USERPROFILE%\AppData\Local\Temp\OnboardLogs"\RTDC4018\2017-08-19</v>
      </c>
      <c r="AF129" s="74" t="str">
        <f t="shared" si="39"/>
        <v>"C:\Program Files (x86)\AstroGrep\AstroGrep.exe" /e /r /s /spath="%USERPROFILE%\AppData\Local\Temp\OnboardLogs" /stypes="app*4018*20170819*" /stext=" 00:.+((SYSTEM_STATE.+slice.+state.+changed )|(ment ac)|(multiple cpu faults)|(system.+state.+changed )|(\[timeout)|(PRM\|1\|D)|(kpr)|(kdp)|(train st.+moving)|(\|lc)|(penalty))"</v>
      </c>
      <c r="AG129" s="209" t="str">
        <f t="shared" si="40"/>
        <v>EC</v>
      </c>
      <c r="AH129" s="78" t="str">
        <f t="shared" si="41"/>
        <v>"%USERPROFILE%\Documents\GitHub\eaglep3\Utilities\RefineRTDCRunTimes.py" --tripid 215-18 --locoid 4018 --swversion DE.1.0.9.0 --startMP 204:484 --initTime 2017-08-18T17:53:48 --startdatetime 2017-08-18T18:00:43 --delay 1 --endMP 204:233291 --enddatetime 2017-08-18T18:38:07 --enforcementcount 0 &gt;&gt;C:\Users\stu\Documents\GitHub\eaglep3-reporting\EC\2017-08-18-refined-times.txt</v>
      </c>
      <c r="AI129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{"issue":{"subject":"","project_id":79,"tracker_id":40,"status_id":1,"priority_id":2,"assigned_to_id":23,"start_date":"2017-08-18","description":"","custom_fields":[{"id":1,"name":"Subdivision","value":"EC"},{"id":4,"name":"Milepost","value":"23.3291"},{"id":17,"name":"Train ID","value":"215-18"},{"id":16,"name":"Locomotive ID","value":"4018"},{"id":130,"name":"Impact","value":""},{"id":150,"name":"Time of Event (Mountain Time)","value":"18:38:07"},{"id":151,"name":"Denver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3"/>
        <v>start /low /b %USERPROFILE%\Documents\GitHub\eaglep3\Utilities\DownloadLogsFromS3.py --loco 4018 --day 2017-08-18</v>
      </c>
      <c r="AN129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00:38:07"},{"id":29,"name":"Sharepoint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840</v>
      </c>
      <c r="B130" s="7">
        <v>4017</v>
      </c>
      <c r="C130" s="21" t="s">
        <v>198</v>
      </c>
      <c r="D130" s="21" t="s">
        <v>613</v>
      </c>
      <c r="E130" s="13">
        <v>42965.778784722221</v>
      </c>
      <c r="F130" s="13">
        <v>42965.789965277778</v>
      </c>
      <c r="G130" s="7">
        <v>1</v>
      </c>
      <c r="H130" s="21" t="s">
        <v>349</v>
      </c>
      <c r="I130" s="13">
        <v>42965.816180555557</v>
      </c>
      <c r="J130" s="7">
        <v>0</v>
      </c>
      <c r="K130" s="89" t="str">
        <f t="shared" si="29"/>
        <v>4017/4018</v>
      </c>
      <c r="L130" s="21" t="str">
        <f>VLOOKUP(A130,'Trips&amp;Operators'!$C$1:$G$99999,5,FALSE)</f>
        <v>NICHOLSON WESLEY</v>
      </c>
      <c r="M130" s="6">
        <f t="shared" si="30"/>
        <v>2.6215277779556345E-2</v>
      </c>
      <c r="N130" s="7">
        <f t="shared" si="60"/>
        <v>37.750000002561137</v>
      </c>
      <c r="O130" s="7"/>
      <c r="P130" s="7"/>
      <c r="Q130" s="22"/>
      <c r="R130" s="170"/>
      <c r="S130" s="213">
        <f t="shared" si="47"/>
        <v>1</v>
      </c>
      <c r="T130" s="195" t="str">
        <f t="shared" si="31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2"/>
        <v>https://d0f6bd738d7f1b3e5a7ca70fe4ff75f0.us-east-1.aws.found.io/app/kibana#/discover/Steve-Slow-Train-Analysis-(2080s-and-2083s)?_g=(refreshInterval:(display:Off,pause:!f,section:0,value:0),time:(from:'2017-08-18T17:41:27-0600',mode:absolute,to:'2017-08-18T20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197" t="str">
        <f>IF(AA130&lt;VLOOKUP(AG130,Variables!$AC$3:$AD$8,2,FALSE),"Y","N")</f>
        <v>N</v>
      </c>
      <c r="X130" s="197">
        <f t="shared" si="61"/>
        <v>1</v>
      </c>
      <c r="Y130" s="197">
        <f t="shared" si="49"/>
        <v>23.298200000000001</v>
      </c>
      <c r="Z130" s="197">
        <f t="shared" si="50"/>
        <v>1.41E-2</v>
      </c>
      <c r="AA130" s="197">
        <f t="shared" si="36"/>
        <v>23.284100000000002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6">
        <f t="shared" si="37"/>
        <v>216</v>
      </c>
      <c r="AE130" s="77" t="str">
        <f t="shared" si="38"/>
        <v>aws s3 cp s3://rtdc.mdm.uploadarchive.raw/RTDC4017/ "%USERPROFILE%\AppData\Local\Temp\OnboardLogs"\RTDC4017\2017-08-18 --exclude "*" --recursive --include "*20170818*" &amp; "%USERPROFILE%\Documents\GitHub\mrs-test-scripts\Headless Mode &amp; Sideloading\WalkAndUnGZ.bat" "%USERPROFILE%\AppData\Local\Temp\OnboardLogs"\RTDC4017\2017-08-18 &amp; aws s3 cp s3://rtdc.mdm.uploadarchive.raw/RTDC4017/ "%USERPROFILE%\AppData\Local\Temp\OnboardLogs"\RTDC4017\2017-08-19 --exclude "*" --recursive --include "*20170819*" &amp; "%USERPROFILE%\Documents\GitHub\mrs-test-scripts\Headless Mode &amp; Sideloading\WalkAndUnGZ.bat" "%USERPROFILE%\AppData\Local\Temp\OnboardLogs"\RTDC4017\2017-08-19</v>
      </c>
      <c r="AF130" s="74" t="str">
        <f t="shared" si="39"/>
        <v>"C:\Program Files (x86)\AstroGrep\AstroGrep.exe" /e /r /s /spath="%USERPROFILE%\AppData\Local\Temp\OnboardLogs" /stypes="app*4017*20170819*" /stext=" 01:.+((SYSTEM_STATE.+slice.+state.+changed )|(ment ac)|(multiple cpu faults)|(system.+state.+changed )|(\[timeout)|(PRM\|1\|D)|(kpr)|(kdp)|(train st.+moving)|(\|lc)|(penalty))"</v>
      </c>
      <c r="AG130" s="209" t="str">
        <f t="shared" si="40"/>
        <v>EC</v>
      </c>
      <c r="AH130" s="78" t="str">
        <f t="shared" si="41"/>
        <v>"%USERPROFILE%\Documents\GitHub\eaglep3\Utilities\RefineRTDCRunTimes.py" --tripid 216-18 --locoid 4017 --swversion DE.1.0.9.0 --startMP 204:232982 --initTime 2017-08-18T18:41:27 --startdatetime 2017-08-18T18:57:33 --delay 1 --endMP 204:141 --enddatetime 2017-08-18T19:35:18 --enforcementcount 0 &gt;&gt;C:\Users\stu\Documents\GitHub\eaglep3-reporting\EC\2017-08-18-refined-times.txt</v>
      </c>
      <c r="AI130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{"issue":{"subject":"","project_id":79,"tracker_id":40,"status_id":1,"priority_id":2,"assigned_to_id":23,"start_date":"2017-08-18","description":"","custom_fields":[{"id":1,"name":"Subdivision","value":"EC"},{"id":4,"name":"Milepost","value":"0.0141"},{"id":17,"name":"Train ID","value":"216-18"},{"id":16,"name":"Locomotive ID","value":"4017"},{"id":130,"name":"Impact","value":""},{"id":150,"name":"Time of Event (Mountain Time)","value":"19:35:18"},{"id":151,"name":"Denver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3"/>
        <v>start /low /b %USERPROFILE%\Documents\GitHub\eaglep3\Utilities\DownloadLogsFromS3.py --loco 4017 --day 2017-08-18</v>
      </c>
      <c r="AN130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01:35:18"},{"id":29,"name":"Sharepoint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834</v>
      </c>
      <c r="B131" s="7">
        <v>4030</v>
      </c>
      <c r="C131" s="21" t="s">
        <v>198</v>
      </c>
      <c r="D131" s="21" t="s">
        <v>516</v>
      </c>
      <c r="E131" s="13">
        <v>42965.757534722223</v>
      </c>
      <c r="F131" s="13">
        <v>42965.761238425926</v>
      </c>
      <c r="G131" s="7">
        <v>1</v>
      </c>
      <c r="H131" s="21" t="s">
        <v>557</v>
      </c>
      <c r="I131" s="13">
        <v>42965.785868055558</v>
      </c>
      <c r="J131" s="7">
        <v>0</v>
      </c>
      <c r="K131" s="89" t="str">
        <f t="shared" si="29"/>
        <v>4029/4030</v>
      </c>
      <c r="L131" s="21" t="str">
        <f>VLOOKUP(A131,'Trips&amp;Operators'!$C$1:$G$99999,5,FALSE)</f>
        <v>PERKINS DARREN</v>
      </c>
      <c r="M131" s="6">
        <f t="shared" si="30"/>
        <v>2.4629629631817807E-2</v>
      </c>
      <c r="N131" s="7">
        <f t="shared" si="60"/>
        <v>35.466666669817641</v>
      </c>
      <c r="O131" s="7"/>
      <c r="P131" s="7"/>
      <c r="Q131" s="22"/>
      <c r="R131" s="170"/>
      <c r="S131" s="213">
        <f t="shared" si="47"/>
        <v>1</v>
      </c>
      <c r="T131" s="195" t="str">
        <f t="shared" si="31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2"/>
        <v>https://d0f6bd738d7f1b3e5a7ca70fe4ff75f0.us-east-1.aws.found.io/app/kibana#/discover/Steve-Slow-Train-Analysis-(2080s-and-2083s)?_g=(refreshInterval:(display:Off,pause:!f,section:0,value:0),time:(from:'2017-08-18T17:10:51-0600',mode:absolute,to:'2017-08-18T19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1" s="197" t="str">
        <f>IF(AA131&lt;VLOOKUP(AG131,Variables!$AC$3:$AD$8,2,FALSE),"Y","N")</f>
        <v>N</v>
      </c>
      <c r="X131" s="197">
        <f t="shared" ref="X131:X147" si="62">VALUE(LEFT(AD131,4))-VALUE(LEFT(AD130,4))</f>
        <v>1</v>
      </c>
      <c r="Y131" s="197">
        <f t="shared" si="49"/>
        <v>4.6699999999999998E-2</v>
      </c>
      <c r="Z131" s="197">
        <f t="shared" si="50"/>
        <v>23.339700000000001</v>
      </c>
      <c r="AA131" s="197">
        <f t="shared" si="36"/>
        <v>23.292999999999999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6">
        <f t="shared" si="37"/>
        <v>217</v>
      </c>
      <c r="AE131" s="77" t="str">
        <f t="shared" si="38"/>
        <v>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 &amp; 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</v>
      </c>
      <c r="AF131" s="74" t="str">
        <f t="shared" si="39"/>
        <v>"C:\Program Files (x86)\AstroGrep\AstroGrep.exe" /e /r /s /spath="%USERPROFILE%\AppData\Local\Temp\OnboardLogs" /stypes="app*4030*20170819*" /stext=" 00:.+((SYSTEM_STATE.+slice.+state.+changed )|(ment ac)|(multiple cpu faults)|(system.+state.+changed )|(\[timeout)|(PRM\|1\|D)|(kpr)|(kdp)|(train st.+moving)|(\|lc)|(penalty))"</v>
      </c>
      <c r="AG131" s="209" t="str">
        <f t="shared" si="40"/>
        <v>EC</v>
      </c>
      <c r="AH131" s="78" t="str">
        <f t="shared" si="41"/>
        <v>"%USERPROFILE%\Documents\GitHub\eaglep3\Utilities\RefineRTDCRunTimes.py" --tripid 217-18 --locoid 4030 --swversion DE.1.0.9.0 --startMP 204:467 --initTime 2017-08-18T18:10:51 --startdatetime 2017-08-18T18:16:11 --delay 1 --endMP 204:233397 --enddatetime 2017-08-18T18:51:39 --enforcementcount 0 &gt;&gt;C:\Users\stu\Documents\GitHub\eaglep3-reporting\EC\2017-08-18-refined-times.txt</v>
      </c>
      <c r="AI131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{"issue":{"subject":"","project_id":79,"tracker_id":40,"status_id":1,"priority_id":2,"assigned_to_id":23,"start_date":"2017-08-18","description":"","custom_fields":[{"id":1,"name":"Subdivision","value":"EC"},{"id":4,"name":"Milepost","value":"23.3397"},{"id":17,"name":"Train ID","value":"217-18"},{"id":16,"name":"Locomotive ID","value":"4030"},{"id":130,"name":"Impact","value":""},{"id":150,"name":"Time of Event (Mountain Time)","value":"18:51:39"},{"id":151,"name":"Denver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3"/>
        <v>start /low /b %USERPROFILE%\Documents\GitHub\eaglep3\Utilities\DownloadLogsFromS3.py --loco 4030 --day 2017-08-18</v>
      </c>
      <c r="AN131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00:51:39"},{"id":29,"name":"Sharepoint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842</v>
      </c>
      <c r="B132" s="7">
        <v>4029</v>
      </c>
      <c r="C132" s="21" t="s">
        <v>198</v>
      </c>
      <c r="D132" s="21" t="s">
        <v>936</v>
      </c>
      <c r="E132" s="13">
        <v>42965.791122685187</v>
      </c>
      <c r="F132" s="13">
        <v>42965.800196759257</v>
      </c>
      <c r="G132" s="7">
        <v>1</v>
      </c>
      <c r="H132" s="21" t="s">
        <v>937</v>
      </c>
      <c r="I132" s="13">
        <v>42965.826562499999</v>
      </c>
      <c r="J132" s="7">
        <v>0</v>
      </c>
      <c r="K132" s="89" t="str">
        <f t="shared" si="29"/>
        <v>4029/4030</v>
      </c>
      <c r="L132" s="21" t="str">
        <f>VLOOKUP(A132,'Trips&amp;Operators'!$C$1:$G$99999,5,FALSE)</f>
        <v>PERKINS DARREN</v>
      </c>
      <c r="M132" s="6">
        <f t="shared" si="30"/>
        <v>2.6365740741312038E-2</v>
      </c>
      <c r="N132" s="7">
        <f t="shared" si="60"/>
        <v>37.966666667489335</v>
      </c>
      <c r="O132" s="7"/>
      <c r="P132" s="7"/>
      <c r="Q132" s="22"/>
      <c r="R132" s="170"/>
      <c r="S132" s="213">
        <f t="shared" si="47"/>
        <v>1</v>
      </c>
      <c r="T132" s="195" t="str">
        <f t="shared" si="31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2"/>
        <v>https://d0f6bd738d7f1b3e5a7ca70fe4ff75f0.us-east-1.aws.found.io/app/kibana#/discover/Steve-Slow-Train-Analysis-(2080s-and-2083s)?_g=(refreshInterval:(display:Off,pause:!f,section:0,value:0),time:(from:'2017-08-18T17:59:13-0600',mode:absolute,to:'2017-08-18T20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2" s="197" t="str">
        <f>IF(AA132&lt;VLOOKUP(AG132,Variables!$AC$3:$AD$8,2,FALSE),"Y","N")</f>
        <v>N</v>
      </c>
      <c r="X132" s="197">
        <f t="shared" si="62"/>
        <v>1</v>
      </c>
      <c r="Y132" s="197">
        <f t="shared" si="49"/>
        <v>23.308299999999999</v>
      </c>
      <c r="Z132" s="197">
        <f t="shared" si="50"/>
        <v>9.7999999999999997E-3</v>
      </c>
      <c r="AA132" s="197">
        <f t="shared" si="36"/>
        <v>23.298500000000001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6">
        <f t="shared" si="37"/>
        <v>218</v>
      </c>
      <c r="AE132" s="77" t="str">
        <f t="shared" si="38"/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AF132" s="74" t="str">
        <f t="shared" si="39"/>
        <v>"C:\Program Files (x86)\AstroGrep\AstroGrep.exe" /e /r /s /spath="%USERPROFILE%\AppData\Local\Temp\OnboardLogs" /stypes="app*4029*20170819*" /stext=" 01:.+((SYSTEM_STATE.+slice.+state.+changed )|(ment ac)|(multiple cpu faults)|(system.+state.+changed )|(\[timeout)|(PRM\|1\|D)|(kpr)|(kdp)|(train st.+moving)|(\|lc)|(penalty))"</v>
      </c>
      <c r="AG132" s="209" t="str">
        <f t="shared" si="40"/>
        <v>EC</v>
      </c>
      <c r="AH132" s="78" t="str">
        <f t="shared" si="41"/>
        <v>"%USERPROFILE%\Documents\GitHub\eaglep3\Utilities\RefineRTDCRunTimes.py" --tripid 218-18 --locoid 4029 --swversion DE.1.0.9.0 --startMP 204:233083 --initTime 2017-08-18T18:59:13 --startdatetime 2017-08-18T19:12:17 --delay 1 --endMP 204:98 --enddatetime 2017-08-18T19:50:15 --enforcementcount 0 &gt;&gt;C:\Users\stu\Documents\GitHub\eaglep3-reporting\EC\2017-08-18-refined-times.txt</v>
      </c>
      <c r="AI132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{"issue":{"subject":"","project_id":79,"tracker_id":40,"status_id":1,"priority_id":2,"assigned_to_id":23,"start_date":"2017-08-18","description":"","custom_fields":[{"id":1,"name":"Subdivision","value":"EC"},{"id":4,"name":"Milepost","value":"0.0098"},{"id":17,"name":"Train ID","value":"218-18"},{"id":16,"name":"Locomotive ID","value":"4029"},{"id":130,"name":"Impact","value":""},{"id":150,"name":"Time of Event (Mountain Time)","value":"19:50:15"},{"id":151,"name":"Denver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3"/>
        <v>start /low /b %USERPROFILE%\Documents\GitHub\eaglep3\Utilities\DownloadLogsFromS3.py --loco 4029 --day 2017-08-18</v>
      </c>
      <c r="AN132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01:50:15"},{"id":29,"name":"Sharepoint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836</v>
      </c>
      <c r="B133" s="7">
        <v>4028</v>
      </c>
      <c r="C133" s="21" t="s">
        <v>198</v>
      </c>
      <c r="D133" s="21" t="s">
        <v>612</v>
      </c>
      <c r="E133" s="13">
        <v>42965.769467592596</v>
      </c>
      <c r="F133" s="13">
        <v>42965.771435185183</v>
      </c>
      <c r="G133" s="7">
        <v>1</v>
      </c>
      <c r="H133" s="21" t="s">
        <v>938</v>
      </c>
      <c r="I133" s="13">
        <v>42965.7965625</v>
      </c>
      <c r="J133" s="7">
        <v>0</v>
      </c>
      <c r="K133" s="89" t="str">
        <f t="shared" si="29"/>
        <v>4027/4028</v>
      </c>
      <c r="L133" s="21" t="str">
        <f>VLOOKUP(A133,'Trips&amp;Operators'!$C$1:$G$99999,5,FALSE)</f>
        <v>FORTUNATO FRANK</v>
      </c>
      <c r="M133" s="6">
        <f t="shared" si="30"/>
        <v>2.5127314816927537E-2</v>
      </c>
      <c r="N133" s="7">
        <f t="shared" si="60"/>
        <v>36.183333336375654</v>
      </c>
      <c r="O133" s="7"/>
      <c r="P133" s="7"/>
      <c r="Q133" s="22"/>
      <c r="R133" s="170"/>
      <c r="S133" s="213">
        <f t="shared" si="47"/>
        <v>1</v>
      </c>
      <c r="T133" s="195" t="str">
        <f t="shared" si="31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2"/>
        <v>https://d0f6bd738d7f1b3e5a7ca70fe4ff75f0.us-east-1.aws.found.io/app/kibana#/discover/Steve-Slow-Train-Analysis-(2080s-and-2083s)?_g=(refreshInterval:(display:Off,pause:!f,section:0,value:0),time:(from:'2017-08-18T17:28:02-0600',mode:absolute,to:'2017-08-18T20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3" s="197" t="str">
        <f>IF(AA133&lt;VLOOKUP(AG133,Variables!$AC$3:$AD$8,2,FALSE),"Y","N")</f>
        <v>N</v>
      </c>
      <c r="X133" s="197">
        <f t="shared" si="62"/>
        <v>1</v>
      </c>
      <c r="Y133" s="197">
        <f t="shared" si="49"/>
        <v>4.8399999999999999E-2</v>
      </c>
      <c r="Z133" s="197">
        <f t="shared" si="50"/>
        <v>23.3491</v>
      </c>
      <c r="AA133" s="197">
        <f t="shared" si="36"/>
        <v>23.300699999999999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6">
        <f t="shared" si="37"/>
        <v>219</v>
      </c>
      <c r="AE133" s="77" t="str">
        <f t="shared" si="38"/>
        <v>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 &amp; 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</v>
      </c>
      <c r="AF133" s="74" t="str">
        <f t="shared" si="39"/>
        <v>"C:\Program Files (x86)\AstroGrep\AstroGrep.exe" /e /r /s /spath="%USERPROFILE%\AppData\Local\Temp\OnboardLogs" /stypes="app*4028*20170819*" /stext=" 01:.+((SYSTEM_STATE.+slice.+state.+changed )|(ment ac)|(multiple cpu faults)|(system.+state.+changed )|(\[timeout)|(PRM\|1\|D)|(kpr)|(kdp)|(train st.+moving)|(\|lc)|(penalty))"</v>
      </c>
      <c r="AG133" s="209" t="str">
        <f t="shared" si="40"/>
        <v>EC</v>
      </c>
      <c r="AH133" s="78" t="str">
        <f t="shared" si="41"/>
        <v>"%USERPROFILE%\Documents\GitHub\eaglep3\Utilities\RefineRTDCRunTimes.py" --tripid 219-18 --locoid 4028 --swversion DE.1.0.9.0 --startMP 204:484 --initTime 2017-08-18T18:28:02 --startdatetime 2017-08-18T18:30:52 --delay 1 --endMP 204:233491 --enddatetime 2017-08-18T19:07:03 --enforcementcount 0 &gt;&gt;C:\Users\stu\Documents\GitHub\eaglep3-reporting\EC\2017-08-18-refined-times.txt</v>
      </c>
      <c r="AI133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{"issue":{"subject":"","project_id":79,"tracker_id":40,"status_id":1,"priority_id":2,"assigned_to_id":23,"start_date":"2017-08-18","description":"","custom_fields":[{"id":1,"name":"Subdivision","value":"EC"},{"id":4,"name":"Milepost","value":"23.3491"},{"id":17,"name":"Train ID","value":"219-18"},{"id":16,"name":"Locomotive ID","value":"4028"},{"id":130,"name":"Impact","value":""},{"id":150,"name":"Time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3"/>
        <v>start /low /b %USERPROFILE%\Documents\GitHub\eaglep3\Utilities\DownloadLogsFromS3.py --loco 4028 --day 2017-08-18</v>
      </c>
      <c r="AN133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01:07:03"},{"id":29,"name":"Sharepoint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846</v>
      </c>
      <c r="B134" s="7">
        <v>4027</v>
      </c>
      <c r="C134" s="21" t="s">
        <v>198</v>
      </c>
      <c r="D134" s="21" t="s">
        <v>939</v>
      </c>
      <c r="E134" s="13">
        <v>42965.800162037034</v>
      </c>
      <c r="F134" s="13">
        <v>42965.810578703706</v>
      </c>
      <c r="G134" s="7">
        <v>2</v>
      </c>
      <c r="H134" s="21" t="s">
        <v>347</v>
      </c>
      <c r="I134" s="13">
        <v>42965.836747685185</v>
      </c>
      <c r="J134" s="7">
        <v>0</v>
      </c>
      <c r="K134" s="89" t="str">
        <f t="shared" si="29"/>
        <v>4027/4028</v>
      </c>
      <c r="L134" s="21" t="str">
        <f>VLOOKUP(A134,'Trips&amp;Operators'!$C$1:$G$99999,5,FALSE)</f>
        <v>FORTUNATO FRANK</v>
      </c>
      <c r="M134" s="6">
        <f t="shared" si="30"/>
        <v>2.6168981479713693E-2</v>
      </c>
      <c r="N134" s="7">
        <f t="shared" si="60"/>
        <v>37.683333330787718</v>
      </c>
      <c r="O134" s="7"/>
      <c r="P134" s="7"/>
      <c r="Q134" s="22"/>
      <c r="R134" s="170"/>
      <c r="S134" s="213">
        <f t="shared" si="47"/>
        <v>1</v>
      </c>
      <c r="T134" s="195" t="str">
        <f t="shared" si="31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2"/>
        <v>https://d0f6bd738d7f1b3e5a7ca70fe4ff75f0.us-east-1.aws.found.io/app/kibana#/discover/Steve-Slow-Train-Analysis-(2080s-and-2083s)?_g=(refreshInterval:(display:Off,pause:!f,section:0,value:0),time:(from:'2017-08-18T18:12:14-0600',mode:absolute,to:'2017-08-18T21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4" s="197" t="str">
        <f>IF(AA134&lt;VLOOKUP(AG134,Variables!$AC$3:$AD$8,2,FALSE),"Y","N")</f>
        <v>N</v>
      </c>
      <c r="X134" s="197">
        <f t="shared" si="62"/>
        <v>1</v>
      </c>
      <c r="Y134" s="197">
        <f t="shared" si="49"/>
        <v>23.308599999999998</v>
      </c>
      <c r="Z134" s="197">
        <f t="shared" si="50"/>
        <v>1.3899999999999999E-2</v>
      </c>
      <c r="AA134" s="197">
        <f t="shared" si="36"/>
        <v>23.294699999999999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6">
        <f t="shared" si="37"/>
        <v>220</v>
      </c>
      <c r="AE134" s="77" t="str">
        <f t="shared" si="38"/>
        <v>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 &amp; aws s3 cp s3://rtdc.mdm.uploadarchive.raw/RTDC4027/ "%USERPROFILE%\AppData\Local\Temp\OnboardLogs"\RTDC4027\2017-08-19 --exclude "*" --recursive --include "*20170819*" &amp; "%USERPROFILE%\Documents\GitHub\mrs-test-scripts\Headless Mode &amp; Sideloading\WalkAndUnGZ.bat" "%USERPROFILE%\AppData\Local\Temp\OnboardLogs"\RTDC4027\2017-08-19</v>
      </c>
      <c r="AF134" s="74" t="str">
        <f t="shared" si="39"/>
        <v>"C:\Program Files (x86)\AstroGrep\AstroGrep.exe" /e /r /s /spath="%USERPROFILE%\AppData\Local\Temp\OnboardLogs" /stypes="app*4027*20170819*" /stext=" 02:.+((SYSTEM_STATE.+slice.+state.+changed )|(ment ac)|(multiple cpu faults)|(system.+state.+changed )|(\[timeout)|(PRM\|1\|D)|(kpr)|(kdp)|(train st.+moving)|(\|lc)|(penalty))"</v>
      </c>
      <c r="AG134" s="209" t="str">
        <f t="shared" si="40"/>
        <v>EC</v>
      </c>
      <c r="AH134" s="78" t="str">
        <f t="shared" si="41"/>
        <v>"%USERPROFILE%\Documents\GitHub\eaglep3\Utilities\RefineRTDCRunTimes.py" --tripid 220-18 --locoid 4027 --swversion DE.1.0.9.0 --startMP 204:233086 --initTime 2017-08-18T19:12:14 --startdatetime 2017-08-18T19:27:14 --delay 2 --endMP 204:139 --enddatetime 2017-08-18T20:04:55 --enforcementcount 0 &gt;&gt;C:\Users\stu\Documents\GitHub\eaglep3-reporting\EC\2017-08-18-refined-times.txt</v>
      </c>
      <c r="AI134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{"issue":{"subject":"","project_id":79,"tracker_id":40,"status_id":1,"priority_id":2,"assigned_to_id":23,"start_date":"2017-08-18","description":"","custom_fields":[{"id":1,"name":"Subdivision","value":"EC"},{"id":4,"name":"Milepost","value":"0.0139"},{"id":17,"name":"Train ID","value":"220-18"},{"id":16,"name":"Locomotive ID","value":"4027"},{"id":130,"name":"Impact","value":""},{"id":150,"name":"Time of Event (Mountain Time)","value":"20:04:55"},{"id":151,"name":"Denver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3"/>
        <v>start /low /b %USERPROFILE%\Documents\GitHub\eaglep3\Utilities\DownloadLogsFromS3.py --loco 4027 --day 2017-08-18</v>
      </c>
      <c r="AN134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02:04:55"},{"id":29,"name":"Sharepoint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841</v>
      </c>
      <c r="B135" s="7">
        <v>4040</v>
      </c>
      <c r="C135" s="21" t="s">
        <v>198</v>
      </c>
      <c r="D135" s="21" t="s">
        <v>443</v>
      </c>
      <c r="E135" s="13">
        <v>42965.787395833337</v>
      </c>
      <c r="F135" s="13">
        <v>42965.792291666665</v>
      </c>
      <c r="G135" s="7">
        <v>1</v>
      </c>
      <c r="H135" s="21" t="s">
        <v>914</v>
      </c>
      <c r="I135" s="13">
        <v>42965.817083333335</v>
      </c>
      <c r="J135" s="7">
        <v>0</v>
      </c>
      <c r="K135" s="89" t="str">
        <f t="shared" si="29"/>
        <v>4039/4040</v>
      </c>
      <c r="L135" s="21" t="str">
        <f>VLOOKUP(A135,'Trips&amp;Operators'!$C$1:$G$99999,5,FALSE)</f>
        <v>RESPASS AARON</v>
      </c>
      <c r="M135" s="6">
        <f t="shared" si="30"/>
        <v>2.4791666670353152E-2</v>
      </c>
      <c r="N135" s="7">
        <f t="shared" si="60"/>
        <v>35.700000005308539</v>
      </c>
      <c r="O135" s="7"/>
      <c r="P135" s="7"/>
      <c r="Q135" s="22"/>
      <c r="R135" s="170"/>
      <c r="S135" s="213">
        <f t="shared" si="47"/>
        <v>1</v>
      </c>
      <c r="T135" s="195" t="str">
        <f t="shared" si="31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2"/>
        <v>https://d0f6bd738d7f1b3e5a7ca70fe4ff75f0.us-east-1.aws.found.io/app/kibana#/discover/Steve-Slow-Train-Analysis-(2080s-and-2083s)?_g=(refreshInterval:(display:Off,pause:!f,section:0,value:0),time:(from:'2017-08-18T17:53:51-0600',mode:absolute,to:'2017-08-18T20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5" s="197" t="str">
        <f>IF(AA135&lt;VLOOKUP(AG135,Variables!$AC$3:$AD$8,2,FALSE),"Y","N")</f>
        <v>N</v>
      </c>
      <c r="X135" s="197">
        <f t="shared" si="62"/>
        <v>1</v>
      </c>
      <c r="Y135" s="197">
        <f t="shared" si="49"/>
        <v>4.7300000000000002E-2</v>
      </c>
      <c r="Z135" s="197">
        <f t="shared" si="50"/>
        <v>23.327999999999999</v>
      </c>
      <c r="AA135" s="197">
        <f t="shared" si="36"/>
        <v>23.2807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6">
        <f t="shared" si="37"/>
        <v>221</v>
      </c>
      <c r="AE135" s="77" t="str">
        <f t="shared" si="38"/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AF135" s="74" t="str">
        <f t="shared" si="39"/>
        <v>"C:\Program Files (x86)\AstroGrep\AstroGrep.exe" /e /r /s /spath="%USERPROFILE%\AppData\Local\Temp\OnboardLogs" /stypes="app*4040*20170819*" /stext=" 01:.+((SYSTEM_STATE.+slice.+state.+changed )|(ment ac)|(multiple cpu faults)|(system.+state.+changed )|(\[timeout)|(PRM\|1\|D)|(kpr)|(kdp)|(train st.+moving)|(\|lc)|(penalty))"</v>
      </c>
      <c r="AG135" s="209" t="str">
        <f t="shared" si="40"/>
        <v>EC</v>
      </c>
      <c r="AH135" s="78" t="str">
        <f t="shared" si="41"/>
        <v>"%USERPROFILE%\Documents\GitHub\eaglep3\Utilities\RefineRTDCRunTimes.py" --tripid 221-18 --locoid 4040 --swversion DE.1.0.9.0 --startMP 204:473 --initTime 2017-08-18T18:53:51 --startdatetime 2017-08-18T19:00:54 --delay 1 --endMP 204:233280 --enddatetime 2017-08-18T19:36:36 --enforcementcount 0 &gt;&gt;C:\Users\stu\Documents\GitHub\eaglep3-reporting\EC\2017-08-18-refined-times.txt</v>
      </c>
      <c r="AI135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{"issue":{"subject":"","project_id":79,"tracker_id":40,"status_id":1,"priority_id":2,"assigned_to_id":23,"start_date":"2017-08-18","description":"","custom_fields":[{"id":1,"name":"Subdivision","value":"EC"},{"id":4,"name":"Milepost","value":"23.328"},{"id":17,"name":"Train ID","value":"221-18"},{"id":16,"name":"Locomotive ID","value":"4040"},{"id":130,"name":"Impact","value":""},{"id":150,"name":"Time of Event (Mountain Time)","value":"19:36:36"},{"id":151,"name":"Denver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3"/>
        <v>start /low /b %USERPROFILE%\Documents\GitHub\eaglep3\Utilities\DownloadLogsFromS3.py --loco 4040 --day 2017-08-18</v>
      </c>
      <c r="AN135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01:36:36"},{"id":29,"name":"Sharepoint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850</v>
      </c>
      <c r="B136" s="7">
        <v>4039</v>
      </c>
      <c r="C136" s="21" t="s">
        <v>198</v>
      </c>
      <c r="D136" s="21" t="s">
        <v>563</v>
      </c>
      <c r="E136" s="13">
        <v>42965.819421296299</v>
      </c>
      <c r="F136" s="13">
        <v>42965.831423611111</v>
      </c>
      <c r="G136" s="7">
        <v>1</v>
      </c>
      <c r="H136" s="21" t="s">
        <v>342</v>
      </c>
      <c r="I136" s="13">
        <v>42965.858298611114</v>
      </c>
      <c r="J136" s="7">
        <v>0</v>
      </c>
      <c r="K136" s="89" t="str">
        <f t="shared" si="29"/>
        <v>4039/4040</v>
      </c>
      <c r="L136" s="21" t="str">
        <f>VLOOKUP(A136,'Trips&amp;Operators'!$C$1:$G$99999,5,FALSE)</f>
        <v>RESPASS AARON</v>
      </c>
      <c r="M136" s="6">
        <f t="shared" si="30"/>
        <v>2.6875000003201421E-2</v>
      </c>
      <c r="N136" s="7">
        <f t="shared" si="60"/>
        <v>38.700000004610047</v>
      </c>
      <c r="O136" s="7"/>
      <c r="P136" s="7"/>
      <c r="Q136" s="22"/>
      <c r="R136" s="170"/>
      <c r="S136" s="213">
        <f t="shared" si="47"/>
        <v>1</v>
      </c>
      <c r="T136" s="195" t="str">
        <f t="shared" si="31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2"/>
        <v>https://d0f6bd738d7f1b3e5a7ca70fe4ff75f0.us-east-1.aws.found.io/app/kibana#/discover/Steve-Slow-Train-Analysis-(2080s-and-2083s)?_g=(refreshInterval:(display:Off,pause:!f,section:0,value:0),time:(from:'2017-08-18T18:39:58-0600',mode:absolute,to:'2017-08-18T21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6" s="197" t="str">
        <f>IF(AA136&lt;VLOOKUP(AG136,Variables!$AC$3:$AD$8,2,FALSE),"Y","N")</f>
        <v>N</v>
      </c>
      <c r="X136" s="197">
        <f t="shared" si="62"/>
        <v>1</v>
      </c>
      <c r="Y136" s="197">
        <f t="shared" si="49"/>
        <v>23.296800000000001</v>
      </c>
      <c r="Z136" s="197">
        <f t="shared" si="50"/>
        <v>1.49E-2</v>
      </c>
      <c r="AA136" s="197">
        <f t="shared" si="36"/>
        <v>23.2819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6">
        <f t="shared" si="37"/>
        <v>222</v>
      </c>
      <c r="AE136" s="77" t="str">
        <f t="shared" si="38"/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AF136" s="74" t="str">
        <f t="shared" si="39"/>
        <v>"C:\Program Files (x86)\AstroGrep\AstroGrep.exe" /e /r /s /spath="%USERPROFILE%\AppData\Local\Temp\OnboardLogs" /stypes="app*4039*20170819*" /stext=" 02:.+((SYSTEM_STATE.+slice.+state.+changed )|(ment ac)|(multiple cpu faults)|(system.+state.+changed )|(\[timeout)|(PRM\|1\|D)|(kpr)|(kdp)|(train st.+moving)|(\|lc)|(penalty))"</v>
      </c>
      <c r="AG136" s="209" t="str">
        <f t="shared" si="40"/>
        <v>EC</v>
      </c>
      <c r="AH136" s="78" t="str">
        <f t="shared" si="41"/>
        <v>"%USERPROFILE%\Documents\GitHub\eaglep3\Utilities\RefineRTDCRunTimes.py" --tripid 222-18 --locoid 4039 --swversion DE.1.0.9.0 --startMP 204:232968 --initTime 2017-08-18T19:39:58 --startdatetime 2017-08-18T19:57:15 --delay 1 --endMP 204:149 --enddatetime 2017-08-18T20:35:57 --enforcementcount 0 &gt;&gt;C:\Users\stu\Documents\GitHub\eaglep3-reporting\EC\2017-08-18-refined-times.txt</v>
      </c>
      <c r="AI136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{"issue":{"subject":"","project_id":79,"tracker_id":40,"status_id":1,"priority_id":2,"assigned_to_id":23,"start_date":"2017-08-18","description":"","custom_fields":[{"id":1,"name":"Subdivision","value":"EC"},{"id":4,"name":"Milepost","value":"0.0149"},{"id":17,"name":"Train ID","value":"222-18"},{"id":16,"name":"Locomotive ID","value":"4039"},{"id":130,"name":"Impact","value":""},{"id":150,"name":"Time of Event (Mountain Time)","value":"20:35:57"},{"id":151,"name":"Denver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3"/>
        <v>start /low /b %USERPROFILE%\Documents\GitHub\eaglep3\Utilities\DownloadLogsFromS3.py --loco 4039 --day 2017-08-18</v>
      </c>
      <c r="AN136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02:35:57"},{"id":29,"name":"Sharepoint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847</v>
      </c>
      <c r="B137" s="7">
        <v>4012</v>
      </c>
      <c r="C137" s="21" t="s">
        <v>198</v>
      </c>
      <c r="D137" s="21" t="s">
        <v>346</v>
      </c>
      <c r="E137" s="13">
        <v>42965.80709490741</v>
      </c>
      <c r="F137" s="13">
        <v>42965.813055555554</v>
      </c>
      <c r="G137" s="7">
        <v>0</v>
      </c>
      <c r="H137" s="21" t="s">
        <v>940</v>
      </c>
      <c r="I137" s="13">
        <v>42965.837962962964</v>
      </c>
      <c r="J137" s="7">
        <v>0</v>
      </c>
      <c r="K137" s="89" t="str">
        <f t="shared" si="29"/>
        <v>4011/4012</v>
      </c>
      <c r="L137" s="21" t="str">
        <f>VLOOKUP(A137,'Trips&amp;Operators'!$C$1:$G$99999,5,FALSE)</f>
        <v>ELBAUM MIKE</v>
      </c>
      <c r="M137" s="6">
        <f t="shared" si="30"/>
        <v>2.4907407409045845E-2</v>
      </c>
      <c r="N137" s="7">
        <f t="shared" si="60"/>
        <v>35.866666669026017</v>
      </c>
      <c r="O137" s="7"/>
      <c r="P137" s="7"/>
      <c r="Q137" s="22"/>
      <c r="R137" s="170"/>
      <c r="S137" s="213">
        <f t="shared" si="47"/>
        <v>1</v>
      </c>
      <c r="T137" s="195" t="str">
        <f t="shared" si="31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2"/>
        <v>https://d0f6bd738d7f1b3e5a7ca70fe4ff75f0.us-east-1.aws.found.io/app/kibana#/discover/Steve-Slow-Train-Analysis-(2080s-and-2083s)?_g=(refreshInterval:(display:Off,pause:!f,section:0,value:0),time:(from:'2017-08-18T18:22:13-0600',mode:absolute,to:'2017-08-18T21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7" s="197" t="str">
        <f>IF(AA137&lt;VLOOKUP(AG137,Variables!$AC$3:$AD$8,2,FALSE),"Y","N")</f>
        <v>N</v>
      </c>
      <c r="X137" s="197">
        <f t="shared" si="62"/>
        <v>1</v>
      </c>
      <c r="Y137" s="197">
        <f t="shared" si="49"/>
        <v>4.4699999999999997E-2</v>
      </c>
      <c r="Z137" s="197">
        <f t="shared" si="50"/>
        <v>23.3276</v>
      </c>
      <c r="AA137" s="197">
        <f t="shared" si="36"/>
        <v>23.282900000000001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6">
        <f t="shared" si="37"/>
        <v>223</v>
      </c>
      <c r="AE137" s="77" t="str">
        <f t="shared" si="38"/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AF137" s="74" t="str">
        <f t="shared" si="39"/>
        <v>"C:\Program Files (x86)\AstroGrep\AstroGrep.exe" /e /r /s /spath="%USERPROFILE%\AppData\Local\Temp\OnboardLogs" /stypes="app*4012*20170819*" /stext=" 02:.+((SYSTEM_STATE.+slice.+state.+changed )|(ment ac)|(multiple cpu faults)|(system.+state.+changed )|(\[timeout)|(PRM\|1\|D)|(kpr)|(kdp)|(train st.+moving)|(\|lc)|(penalty))"</v>
      </c>
      <c r="AG137" s="209" t="str">
        <f t="shared" si="40"/>
        <v>EC</v>
      </c>
      <c r="AH137" s="78" t="str">
        <f t="shared" si="41"/>
        <v>"%USERPROFILE%\Documents\GitHub\eaglep3\Utilities\RefineRTDCRunTimes.py" --tripid 223-18 --locoid 4012 --swversion DE.1.0.9.0 --startMP 204:447 --initTime 2017-08-18T19:22:13 --startdatetime 2017-08-18T19:30:48 --delay 0 --endMP 204:233276 --enddatetime 2017-08-18T20:06:40 --enforcementcount 0 &gt;&gt;C:\Users\stu\Documents\GitHub\eaglep3-reporting\EC\2017-08-18-refined-times.txt</v>
      </c>
      <c r="AI137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{"issue":{"subject":"","project_id":79,"tracker_id":40,"status_id":1,"priority_id":2,"assigned_to_id":23,"start_date":"2017-08-18","description":"","custom_fields":[{"id":1,"name":"Subdivision","value":"EC"},{"id":4,"name":"Milepost","value":"23.3276"},{"id":17,"name":"Train ID","value":"223-18"},{"id":16,"name":"Locomotive ID","value":"4012"},{"id":130,"name":"Impact","value":""},{"id":150,"name":"Time of Event (Mountain Time)","value":"20:06:40"},{"id":151,"name":"Denver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3"/>
        <v>start /low /b %USERPROFILE%\Documents\GitHub\eaglep3\Utilities\DownloadLogsFromS3.py --loco 4012 --day 2017-08-18</v>
      </c>
      <c r="AN137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02:06:40"},{"id":29,"name":"Sharepoint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854</v>
      </c>
      <c r="B138" s="7">
        <v>4011</v>
      </c>
      <c r="C138" s="21" t="s">
        <v>198</v>
      </c>
      <c r="D138" s="21" t="s">
        <v>897</v>
      </c>
      <c r="E138" s="13">
        <v>42965.850706018522</v>
      </c>
      <c r="F138" s="13">
        <v>42965.852511574078</v>
      </c>
      <c r="G138" s="7">
        <v>1</v>
      </c>
      <c r="H138" s="21" t="s">
        <v>506</v>
      </c>
      <c r="I138" s="13">
        <v>42965.878680555557</v>
      </c>
      <c r="J138" s="7">
        <v>0</v>
      </c>
      <c r="K138" s="89" t="str">
        <f t="shared" si="29"/>
        <v>4011/4012</v>
      </c>
      <c r="L138" s="21" t="str">
        <f>VLOOKUP(A138,'Trips&amp;Operators'!$C$1:$G$99999,5,FALSE)</f>
        <v>ELBAUM MIKE</v>
      </c>
      <c r="M138" s="6">
        <f t="shared" si="30"/>
        <v>2.6168981479713693E-2</v>
      </c>
      <c r="N138" s="7">
        <f t="shared" si="60"/>
        <v>37.683333330787718</v>
      </c>
      <c r="O138" s="7"/>
      <c r="P138" s="7"/>
      <c r="Q138" s="22"/>
      <c r="R138" s="170"/>
      <c r="S138" s="213">
        <f t="shared" ref="S138:S160" si="63">1/IF(AG138="EC",12,1)*SUM(U138:U138)</f>
        <v>1</v>
      </c>
      <c r="T138" s="195" t="str">
        <f t="shared" si="31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2"/>
        <v>https://d0f6bd738d7f1b3e5a7ca70fe4ff75f0.us-east-1.aws.found.io/app/kibana#/discover/Steve-Slow-Train-Analysis-(2080s-and-2083s)?_g=(refreshInterval:(display:Off,pause:!f,section:0,value:0),time:(from:'2017-08-18T19:25:01-0600',mode:absolute,to:'2017-08-18T22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8" s="197" t="str">
        <f>IF(AA138&lt;VLOOKUP(AG138,Variables!$AC$3:$AD$8,2,FALSE),"Y","N")</f>
        <v>N</v>
      </c>
      <c r="X138" s="197">
        <f t="shared" si="62"/>
        <v>1</v>
      </c>
      <c r="Y138" s="197">
        <f t="shared" si="49"/>
        <v>23.295500000000001</v>
      </c>
      <c r="Z138" s="197">
        <f t="shared" si="50"/>
        <v>1.5599999999999999E-2</v>
      </c>
      <c r="AA138" s="197">
        <f t="shared" si="36"/>
        <v>23.279900000000001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6">
        <f t="shared" si="37"/>
        <v>224</v>
      </c>
      <c r="AE138" s="77" t="str">
        <f t="shared" si="38"/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AF138" s="74" t="str">
        <f t="shared" si="39"/>
        <v>"C:\Program Files (x86)\AstroGrep\AstroGrep.exe" /e /r /s /spath="%USERPROFILE%\AppData\Local\Temp\OnboardLogs" /stypes="app*4011*20170819*" /stext=" 03:.+((SYSTEM_STATE.+slice.+state.+changed )|(ment ac)|(multiple cpu faults)|(system.+state.+changed )|(\[timeout)|(PRM\|1\|D)|(kpr)|(kdp)|(train st.+moving)|(\|lc)|(penalty))"</v>
      </c>
      <c r="AG138" s="209" t="str">
        <f t="shared" si="40"/>
        <v>EC</v>
      </c>
      <c r="AH138" s="78" t="str">
        <f t="shared" si="41"/>
        <v>"%USERPROFILE%\Documents\GitHub\eaglep3\Utilities\RefineRTDCRunTimes.py" --tripid 224-18 --locoid 4011 --swversion DE.1.0.9.0 --startMP 204:232955 --initTime 2017-08-18T20:25:01 --startdatetime 2017-08-18T20:27:37 --delay 1 --endMP 204:156 --enddatetime 2017-08-18T21:05:18 --enforcementcount 0 &gt;&gt;C:\Users\stu\Documents\GitHub\eaglep3-reporting\EC\2017-08-18-refined-times.txt</v>
      </c>
      <c r="AI138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{"issue":{"subject":"","project_id":79,"tracker_id":40,"status_id":1,"priority_id":2,"assigned_to_id":23,"start_date":"2017-08-18","description":"","custom_fields":[{"id":1,"name":"Subdivision","value":"EC"},{"id":4,"name":"Milepost","value":"0.0156"},{"id":17,"name":"Train ID","value":"224-18"},{"id":16,"name":"Locomotive ID","value":"4011"},{"id":130,"name":"Impact","value":""},{"id":150,"name":"Time of Event (Mountain Time)","value":"21:05:18"},{"id":151,"name":"Denver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3"/>
        <v>start /low /b %USERPROFILE%\Documents\GitHub\eaglep3\Utilities\DownloadLogsFromS3.py --loco 4011 --day 2017-08-18</v>
      </c>
      <c r="AN138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03:05:18"},{"id":29,"name":"Sharepoint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851</v>
      </c>
      <c r="B139" s="7">
        <v>4030</v>
      </c>
      <c r="C139" s="21" t="s">
        <v>198</v>
      </c>
      <c r="D139" s="21" t="s">
        <v>941</v>
      </c>
      <c r="E139" s="13">
        <v>42965.828182870369</v>
      </c>
      <c r="F139" s="13">
        <v>42965.83390046296</v>
      </c>
      <c r="G139" s="7">
        <v>1</v>
      </c>
      <c r="H139" s="21" t="s">
        <v>557</v>
      </c>
      <c r="I139" s="13">
        <v>42965.859490740739</v>
      </c>
      <c r="J139" s="7">
        <v>0</v>
      </c>
      <c r="K139" s="89" t="str">
        <f t="shared" si="29"/>
        <v>4029/4030</v>
      </c>
      <c r="L139" s="21" t="str">
        <f>VLOOKUP(A139,'Trips&amp;Operators'!$C$1:$G$99999,5,FALSE)</f>
        <v>PERKINS DARREN</v>
      </c>
      <c r="M139" s="6">
        <f t="shared" si="30"/>
        <v>2.5590277778974269E-2</v>
      </c>
      <c r="N139" s="7">
        <f t="shared" si="60"/>
        <v>36.850000001722947</v>
      </c>
      <c r="O139" s="7"/>
      <c r="P139" s="7"/>
      <c r="Q139" s="22"/>
      <c r="R139" s="170"/>
      <c r="S139" s="213">
        <f t="shared" si="63"/>
        <v>1</v>
      </c>
      <c r="T139" s="195" t="str">
        <f t="shared" si="31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2"/>
        <v>https://d0f6bd738d7f1b3e5a7ca70fe4ff75f0.us-east-1.aws.found.io/app/kibana#/discover/Steve-Slow-Train-Analysis-(2080s-and-2083s)?_g=(refreshInterval:(display:Off,pause:!f,section:0,value:0),time:(from:'2017-08-18T18:52:35-0600',mode:absolute,to:'2017-08-18T21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9" s="197" t="str">
        <f>IF(AA139&lt;VLOOKUP(AG139,Variables!$AC$3:$AD$8,2,FALSE),"Y","N")</f>
        <v>N</v>
      </c>
      <c r="X139" s="197">
        <f t="shared" si="62"/>
        <v>1</v>
      </c>
      <c r="Y139" s="197">
        <f t="shared" si="49"/>
        <v>4.02E-2</v>
      </c>
      <c r="Z139" s="197">
        <f t="shared" si="50"/>
        <v>23.339700000000001</v>
      </c>
      <c r="AA139" s="197">
        <f t="shared" si="36"/>
        <v>23.299500000000002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6">
        <f t="shared" si="37"/>
        <v>225</v>
      </c>
      <c r="AE139" s="77" t="str">
        <f t="shared" si="38"/>
        <v>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 &amp; 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</v>
      </c>
      <c r="AF139" s="74" t="str">
        <f t="shared" si="39"/>
        <v>"C:\Program Files (x86)\AstroGrep\AstroGrep.exe" /e /r /s /spath="%USERPROFILE%\AppData\Local\Temp\OnboardLogs" /stypes="app*4030*20170819*" /stext=" 02:.+((SYSTEM_STATE.+slice.+state.+changed )|(ment ac)|(multiple cpu faults)|(system.+state.+changed )|(\[timeout)|(PRM\|1\|D)|(kpr)|(kdp)|(train st.+moving)|(\|lc)|(penalty))"</v>
      </c>
      <c r="AG139" s="209" t="str">
        <f t="shared" si="40"/>
        <v>EC</v>
      </c>
      <c r="AH139" s="78" t="str">
        <f t="shared" si="41"/>
        <v>"%USERPROFILE%\Documents\GitHub\eaglep3\Utilities\RefineRTDCRunTimes.py" --tripid 225-18 --locoid 4030 --swversion DE.1.0.9.0 --startMP 204:402 --initTime 2017-08-18T19:52:35 --startdatetime 2017-08-18T20:00:49 --delay 1 --endMP 204:233397 --enddatetime 2017-08-18T20:37:40 --enforcementcount 0 &gt;&gt;C:\Users\stu\Documents\GitHub\eaglep3-reporting\EC\2017-08-18-refined-times.txt</v>
      </c>
      <c r="AI139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{"issue":{"subject":"","project_id":79,"tracker_id":40,"status_id":1,"priority_id":2,"assigned_to_id":23,"start_date":"2017-08-18","description":"","custom_fields":[{"id":1,"name":"Subdivision","value":"EC"},{"id":4,"name":"Milepost","value":"23.3397"},{"id":17,"name":"Train ID","value":"225-18"},{"id":16,"name":"Locomotive ID","value":"4030"},{"id":130,"name":"Impact","value":""},{"id":150,"name":"Time of Event (Mountain Time)","value":"20:37:40"},{"id":151,"name":"Denver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3"/>
        <v>start /low /b %USERPROFILE%\Documents\GitHub\eaglep3\Utilities\DownloadLogsFromS3.py --loco 4030 --day 2017-08-18</v>
      </c>
      <c r="AN139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02:37:40"},{"id":29,"name":"Sharepoint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855</v>
      </c>
      <c r="B140" s="7">
        <v>4029</v>
      </c>
      <c r="C140" s="21" t="s">
        <v>198</v>
      </c>
      <c r="D140" s="21" t="s">
        <v>942</v>
      </c>
      <c r="E140" s="13">
        <v>42965.861793981479</v>
      </c>
      <c r="F140" s="13">
        <v>42965.873148148145</v>
      </c>
      <c r="G140" s="7">
        <v>1</v>
      </c>
      <c r="H140" s="21" t="s">
        <v>943</v>
      </c>
      <c r="I140" s="13">
        <v>42965.899351851855</v>
      </c>
      <c r="J140" s="7">
        <v>0</v>
      </c>
      <c r="K140" s="89" t="str">
        <f t="shared" si="29"/>
        <v>4029/4030</v>
      </c>
      <c r="L140" s="21" t="str">
        <f>VLOOKUP(A140,'Trips&amp;Operators'!$C$1:$G$99999,5,FALSE)</f>
        <v>PERKINS DARREN</v>
      </c>
      <c r="M140" s="6">
        <f t="shared" si="30"/>
        <v>2.620370371005265E-2</v>
      </c>
      <c r="N140" s="7">
        <f t="shared" si="60"/>
        <v>37.733333342475817</v>
      </c>
      <c r="O140" s="7"/>
      <c r="P140" s="7"/>
      <c r="Q140" s="22"/>
      <c r="R140" s="170"/>
      <c r="S140" s="213">
        <f t="shared" si="63"/>
        <v>1</v>
      </c>
      <c r="T140" s="195" t="str">
        <f t="shared" si="31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2"/>
        <v>https://d0f6bd738d7f1b3e5a7ca70fe4ff75f0.us-east-1.aws.found.io/app/kibana#/discover/Steve-Slow-Train-Analysis-(2080s-and-2083s)?_g=(refreshInterval:(display:Off,pause:!f,section:0,value:0),time:(from:'2017-08-18T19:40:59-0600',mode:absolute,to:'2017-08-18T22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0" s="197" t="str">
        <f>IF(AA140&lt;VLOOKUP(AG140,Variables!$AC$3:$AD$8,2,FALSE),"Y","N")</f>
        <v>N</v>
      </c>
      <c r="X140" s="197">
        <f t="shared" si="62"/>
        <v>1</v>
      </c>
      <c r="Y140" s="197">
        <f t="shared" si="49"/>
        <v>23.307099999999998</v>
      </c>
      <c r="Z140" s="197">
        <f t="shared" si="50"/>
        <v>9.4000000000000004E-3</v>
      </c>
      <c r="AA140" s="197">
        <f t="shared" si="36"/>
        <v>23.297699999999999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6">
        <f t="shared" si="37"/>
        <v>226</v>
      </c>
      <c r="AE140" s="77" t="str">
        <f t="shared" si="38"/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AF140" s="74" t="str">
        <f t="shared" si="39"/>
        <v>"C:\Program Files (x86)\AstroGrep\AstroGrep.exe" /e /r /s /spath="%USERPROFILE%\AppData\Local\Temp\OnboardLogs" /stypes="app*4029*20170819*" /stext=" 03:.+((SYSTEM_STATE.+slice.+state.+changed )|(ment ac)|(multiple cpu faults)|(system.+state.+changed )|(\[timeout)|(PRM\|1\|D)|(kpr)|(kdp)|(train st.+moving)|(\|lc)|(penalty))"</v>
      </c>
      <c r="AG140" s="209" t="str">
        <f t="shared" si="40"/>
        <v>EC</v>
      </c>
      <c r="AH140" s="78" t="str">
        <f t="shared" si="41"/>
        <v>"%USERPROFILE%\Documents\GitHub\eaglep3\Utilities\RefineRTDCRunTimes.py" --tripid 226-18 --locoid 4029 --swversion DE.1.0.9.0 --startMP 204:233071 --initTime 2017-08-18T20:40:59 --startdatetime 2017-08-18T20:57:20 --delay 1 --endMP 204:94 --enddatetime 2017-08-18T21:35:04 --enforcementcount 0 &gt;&gt;C:\Users\stu\Documents\GitHub\eaglep3-reporting\EC\2017-08-18-refined-times.txt</v>
      </c>
      <c r="AI140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{"issue":{"subject":"","project_id":79,"tracker_id":40,"status_id":1,"priority_id":2,"assigned_to_id":23,"start_date":"2017-08-18","description":"","custom_fields":[{"id":1,"name":"Subdivision","value":"EC"},{"id":4,"name":"Milepost","value":"0.0094"},{"id":17,"name":"Train ID","value":"226-18"},{"id":16,"name":"Locomotive ID","value":"4029"},{"id":130,"name":"Impact","value":""},{"id":150,"name":"Time of Event (Mountain Time)","value":"21:35:04"},{"id":151,"name":"Denver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3"/>
        <v>start /low /b %USERPROFILE%\Documents\GitHub\eaglep3\Utilities\DownloadLogsFromS3.py --loco 4029 --day 2017-08-18</v>
      </c>
      <c r="AN140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03:35:04"},{"id":29,"name":"Sharepoint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853</v>
      </c>
      <c r="B141" s="7">
        <v>4028</v>
      </c>
      <c r="C141" s="21" t="s">
        <v>198</v>
      </c>
      <c r="D141" s="21" t="s">
        <v>438</v>
      </c>
      <c r="E141" s="13">
        <v>42965.839699074073</v>
      </c>
      <c r="F141" s="13">
        <v>42965.854710648149</v>
      </c>
      <c r="G141" s="7">
        <v>1</v>
      </c>
      <c r="H141" s="21" t="s">
        <v>517</v>
      </c>
      <c r="I141" s="13">
        <v>42965.880289351851</v>
      </c>
      <c r="J141" s="7">
        <v>0</v>
      </c>
      <c r="K141" s="89" t="str">
        <f t="shared" ref="K141:K204" si="64">IF(ISEVEN(B141),(B141-1)&amp;"/"&amp;B141,B141&amp;"/"&amp;(B141+1))</f>
        <v>4027/4028</v>
      </c>
      <c r="L141" s="21" t="str">
        <f>VLOOKUP(A141,'Trips&amp;Operators'!$C$1:$G$99999,5,FALSE)</f>
        <v>FORTUNATO FRANK</v>
      </c>
      <c r="M141" s="6">
        <f t="shared" ref="M141:M204" si="65">I141-F141</f>
        <v>2.5578703702194616E-2</v>
      </c>
      <c r="N141" s="7">
        <f t="shared" si="60"/>
        <v>36.833333331160247</v>
      </c>
      <c r="O141" s="7"/>
      <c r="P141" s="7"/>
      <c r="Q141" s="22"/>
      <c r="R141" s="170"/>
      <c r="S141" s="213">
        <f t="shared" si="63"/>
        <v>1</v>
      </c>
      <c r="T141" s="195" t="str">
        <f t="shared" ref="T141:T204" si="66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-18T19:09:10-0600',mode:absolute,to:'2017-08-18T22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1" s="197" t="str">
        <f>IF(AA141&lt;VLOOKUP(AG141,Variables!$AC$3:$AD$8,2,FALSE),"Y","N")</f>
        <v>N</v>
      </c>
      <c r="X141" s="197">
        <f t="shared" si="62"/>
        <v>1</v>
      </c>
      <c r="Y141" s="197">
        <f t="shared" ref="Y141:Y172" si="68">RIGHT(D141,LEN(D141)-4)/10000</f>
        <v>4.5999999999999999E-2</v>
      </c>
      <c r="Z141" s="197">
        <f t="shared" ref="Z141:Z172" si="69">RIGHT(H141,LEN(H141)-4)/10000</f>
        <v>23.331800000000001</v>
      </c>
      <c r="AA141" s="197">
        <f t="shared" ref="AA141:AA204" si="70">ABS(Z141-Y141)</f>
        <v>23.285800000000002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6">
        <f t="shared" ref="AD141:AD204" si="71">VALUE(LEFT(A141,LEN(A141)-3))</f>
        <v>227</v>
      </c>
      <c r="AE141" s="77" t="str">
        <f t="shared" ref="AE141:AE204" si="7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 &amp; 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</v>
      </c>
      <c r="AF141" s="74" t="str">
        <f t="shared" ref="AF141:AF204" si="7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/stypes="app*4028*20170819*"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74">DetSubdiv(A141)</f>
        <v>EC</v>
      </c>
      <c r="AH141" s="78" t="str">
        <f t="shared" si="41"/>
        <v>"%USERPROFILE%\Documents\GitHub\eaglep3\Utilities\RefineRTDCRunTimes.py" --tripid 227-18 --locoid 4028 --swversion DE.1.0.9.0 --startMP 204:460 --initTime 2017-08-18T20:09:10 --startdatetime 2017-08-18T20:30:47 --delay 1 --endMP 204:233318 --enddatetime 2017-08-18T21:07:37 --enforcementcount 0 &gt;&gt;C:\Users\stu\Documents\GitHub\eaglep3-reporting\EC\2017-08-18-refined-times.txt</v>
      </c>
      <c r="AI141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{"issue":{"subject":"","project_id":79,"tracker_id":40,"status_id":1,"priority_id":2,"assigned_to_id":23,"start_date":"2017-08-18","description":"","custom_fields":[{"id":1,"name":"Subdivision","value":"EC"},{"id":4,"name":"Milepost","value":"23.3318"},{"id":17,"name":"Train ID","value":"227-18"},{"id":16,"name":"Locomotive ID","value":"4028"},{"id":130,"name":"Impact","value":""},{"id":150,"name":"Time of Event (Mountain Time)","value":"21:07:37"},{"id":151,"name":"Denver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3"/>
        <v>start /low /b %USERPROFILE%\Documents\GitHub\eaglep3\Utilities\DownloadLogsFromS3.py --loco 4028 --day 2017-08-18</v>
      </c>
      <c r="AN141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03:07:37"},{"id":29,"name":"Sharepoint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858</v>
      </c>
      <c r="B142" s="7">
        <v>4027</v>
      </c>
      <c r="C142" s="21" t="s">
        <v>198</v>
      </c>
      <c r="D142" s="21" t="s">
        <v>476</v>
      </c>
      <c r="E142" s="13">
        <v>42965.882025462961</v>
      </c>
      <c r="F142" s="13">
        <v>42965.894328703704</v>
      </c>
      <c r="G142" s="7">
        <v>1</v>
      </c>
      <c r="H142" s="21" t="s">
        <v>436</v>
      </c>
      <c r="I142" s="13">
        <v>42965.92046296296</v>
      </c>
      <c r="J142" s="7">
        <v>0</v>
      </c>
      <c r="K142" s="89" t="str">
        <f t="shared" si="64"/>
        <v>4027/4028</v>
      </c>
      <c r="L142" s="21" t="str">
        <f>VLOOKUP(A142,'Trips&amp;Operators'!$C$1:$G$99999,5,FALSE)</f>
        <v>FORTUNATO FRANK</v>
      </c>
      <c r="M142" s="6">
        <f t="shared" si="65"/>
        <v>2.6134259256650694E-2</v>
      </c>
      <c r="N142" s="7">
        <f t="shared" si="60"/>
        <v>37.633333329576999</v>
      </c>
      <c r="O142" s="7"/>
      <c r="P142" s="7"/>
      <c r="Q142" s="22"/>
      <c r="R142" s="170"/>
      <c r="S142" s="213">
        <f t="shared" si="63"/>
        <v>1</v>
      </c>
      <c r="T142" s="195" t="str">
        <f t="shared" si="66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7"/>
        <v>https://d0f6bd738d7f1b3e5a7ca70fe4ff75f0.us-east-1.aws.found.io/app/kibana#/discover/Steve-Slow-Train-Analysis-(2080s-and-2083s)?_g=(refreshInterval:(display:Off,pause:!f,section:0,value:0),time:(from:'2017-08-18T20:10:07-0600',mode:absolute,to:'2017-08-18T23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2" s="197" t="str">
        <f>IF(AA142&lt;VLOOKUP(AG142,Variables!$AC$3:$AD$8,2,FALSE),"Y","N")</f>
        <v>N</v>
      </c>
      <c r="X142" s="197">
        <f t="shared" si="62"/>
        <v>1</v>
      </c>
      <c r="Y142" s="197">
        <f t="shared" si="68"/>
        <v>23.299399999999999</v>
      </c>
      <c r="Z142" s="197">
        <f t="shared" si="69"/>
        <v>1.5800000000000002E-2</v>
      </c>
      <c r="AA142" s="197">
        <f t="shared" si="70"/>
        <v>23.2836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6">
        <f t="shared" si="71"/>
        <v>228</v>
      </c>
      <c r="AE142" s="77" t="str">
        <f t="shared" si="72"/>
        <v>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 &amp; aws s3 cp s3://rtdc.mdm.uploadarchive.raw/RTDC4027/ "%USERPROFILE%\AppData\Local\Temp\OnboardLogs"\RTDC4027\2017-08-19 --exclude "*" --recursive --include "*20170819*" &amp; "%USERPROFILE%\Documents\GitHub\mrs-test-scripts\Headless Mode &amp; Sideloading\WalkAndUnGZ.bat" "%USERPROFILE%\AppData\Local\Temp\OnboardLogs"\RTDC4027\2017-08-19</v>
      </c>
      <c r="AF142" s="74" t="str">
        <f t="shared" si="73"/>
        <v>"C:\Program Files (x86)\AstroGrep\AstroGrep.exe" /e /r /s /spath="%USERPROFILE%\AppData\Local\Temp\OnboardLogs" /stypes="app*4027*20170819*" /stext=" 04:.+((SYSTEM_STATE.+slice.+state.+changed )|(ment ac)|(multiple cpu faults)|(system.+state.+changed )|(\[timeout)|(PRM\|1\|D)|(kpr)|(kdp)|(train st.+moving)|(\|lc)|(penalty))"</v>
      </c>
      <c r="AG142" s="209" t="str">
        <f t="shared" si="74"/>
        <v>EC</v>
      </c>
      <c r="AH142" s="78" t="str">
        <f t="shared" si="41"/>
        <v>"%USERPROFILE%\Documents\GitHub\eaglep3\Utilities\RefineRTDCRunTimes.py" --tripid 228-18 --locoid 4027 --swversion DE.1.0.9.0 --startMP 204:232994 --initTime 2017-08-18T21:10:07 --startdatetime 2017-08-18T21:27:50 --delay 1 --endMP 204:158 --enddatetime 2017-08-18T22:05:28 --enforcementcount 0 &gt;&gt;C:\Users\stu\Documents\GitHub\eaglep3-reporting\EC\2017-08-18-refined-times.txt</v>
      </c>
      <c r="AI142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{"issue":{"subject":"","project_id":79,"tracker_id":40,"status_id":1,"priority_id":2,"assigned_to_id":23,"start_date":"2017-08-18","description":"","custom_fields":[{"id":1,"name":"Subdivision","value":"EC"},{"id":4,"name":"Milepost","value":"0.0158"},{"id":17,"name":"Train ID","value":"228-18"},{"id":16,"name":"Locomotive ID","value":"4027"},{"id":130,"name":"Impact","value":""},{"id":150,"name":"Time of Event (Mountain Time)","value":"22:05:28"},{"id":151,"name":"Denver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3"/>
        <v>start /low /b %USERPROFILE%\Documents\GitHub\eaglep3\Utilities\DownloadLogsFromS3.py --loco 4027 --day 2017-08-18</v>
      </c>
      <c r="AN142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04:05:28"},{"id":29,"name":"Sharepoint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856</v>
      </c>
      <c r="B143" s="7">
        <v>4040</v>
      </c>
      <c r="C143" s="21" t="s">
        <v>198</v>
      </c>
      <c r="D143" s="21" t="s">
        <v>403</v>
      </c>
      <c r="E143" s="13">
        <v>42965.863877314812</v>
      </c>
      <c r="F143" s="13">
        <v>42965.875509259262</v>
      </c>
      <c r="G143" s="7">
        <v>1</v>
      </c>
      <c r="H143" s="21" t="s">
        <v>618</v>
      </c>
      <c r="I143" s="13">
        <v>42965.900995370372</v>
      </c>
      <c r="J143" s="7">
        <v>0</v>
      </c>
      <c r="K143" s="89" t="str">
        <f t="shared" si="64"/>
        <v>4039/4040</v>
      </c>
      <c r="L143" s="21" t="str">
        <f>VLOOKUP(A143,'Trips&amp;Operators'!$C$1:$G$99999,5,FALSE)</f>
        <v>RESPASS AARON</v>
      </c>
      <c r="M143" s="6">
        <f t="shared" si="65"/>
        <v>2.548611110978527E-2</v>
      </c>
      <c r="N143" s="7">
        <f t="shared" si="60"/>
        <v>36.699999998090789</v>
      </c>
      <c r="O143" s="7"/>
      <c r="P143" s="7"/>
      <c r="Q143" s="22"/>
      <c r="R143" s="170"/>
      <c r="S143" s="213">
        <f t="shared" si="63"/>
        <v>1</v>
      </c>
      <c r="T143" s="195" t="str">
        <f t="shared" si="66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7"/>
        <v>https://d0f6bd738d7f1b3e5a7ca70fe4ff75f0.us-east-1.aws.found.io/app/kibana#/discover/Steve-Slow-Train-Analysis-(2080s-and-2083s)?_g=(refreshInterval:(display:Off,pause:!f,section:0,value:0),time:(from:'2017-08-18T19:43:59-0600',mode:absolute,to:'2017-08-18T22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3" s="197" t="str">
        <f>IF(AA143&lt;VLOOKUP(AG143,Variables!$AC$3:$AD$8,2,FALSE),"Y","N")</f>
        <v>N</v>
      </c>
      <c r="X143" s="197">
        <f t="shared" si="62"/>
        <v>1</v>
      </c>
      <c r="Y143" s="197">
        <f t="shared" si="68"/>
        <v>4.58E-2</v>
      </c>
      <c r="Z143" s="197">
        <f t="shared" si="69"/>
        <v>23.3278</v>
      </c>
      <c r="AA143" s="197">
        <f t="shared" si="70"/>
        <v>23.282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6">
        <f t="shared" si="71"/>
        <v>229</v>
      </c>
      <c r="AE143" s="77" t="str">
        <f t="shared" si="72"/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AF143" s="74" t="str">
        <f t="shared" si="73"/>
        <v>"C:\Program Files (x86)\AstroGrep\AstroGrep.exe" /e /r /s /spath="%USERPROFILE%\AppData\Local\Temp\OnboardLogs" /stypes="app*4040*20170819*" /stext=" 03:.+((SYSTEM_STATE.+slice.+state.+changed )|(ment ac)|(multiple cpu faults)|(system.+state.+changed )|(\[timeout)|(PRM\|1\|D)|(kpr)|(kdp)|(train st.+moving)|(\|lc)|(penalty))"</v>
      </c>
      <c r="AG143" s="209" t="str">
        <f t="shared" si="74"/>
        <v>EC</v>
      </c>
      <c r="AH143" s="78" t="str">
        <f t="shared" si="41"/>
        <v>"%USERPROFILE%\Documents\GitHub\eaglep3\Utilities\RefineRTDCRunTimes.py" --tripid 229-18 --locoid 4040 --swversion DE.1.0.9.0 --startMP 204:458 --initTime 2017-08-18T20:43:59 --startdatetime 2017-08-18T21:00:44 --delay 1 --endMP 204:233278 --enddatetime 2017-08-18T21:37:26 --enforcementcount 0 &gt;&gt;C:\Users\stu\Documents\GitHub\eaglep3-reporting\EC\2017-08-18-refined-times.txt</v>
      </c>
      <c r="AI143" s="96" t="str">
        <f t="shared" si="42"/>
        <v>echo {"issue":{"subject":"","project_id":79,"tracker_id":40,"status_id":1,"priority_id":2,"assigned_to_id":23,"start_date":"2017-08-18","description":"","custom_fields":[{"id":1,"name":"Subdivision","value":"EC"},{"id":4,"name":"Milepost","value":"23.3278"},{"id":17,"name":"Train ID","value":"229-18"},{"id":16,"name":"Locomotive ID","value":"4040"},{"id":130,"name":"Impact","value":""},{"id":150,"name":"Time of Event (Mountain Time)","value":"21:37:26"},{"id":151,"name":"Denver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43"/>
        <v>start /low /b %USERPROFILE%\Documents\GitHub\eaglep3\Utilities\DownloadLogsFromS3.py --loco 4040 --day 2017-08-18</v>
      </c>
      <c r="AN143" s="151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03:37:26"},{"id":29,"name":"Sharepoint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861</v>
      </c>
      <c r="B144" s="7">
        <v>4039</v>
      </c>
      <c r="C144" s="21" t="s">
        <v>198</v>
      </c>
      <c r="D144" s="21" t="s">
        <v>596</v>
      </c>
      <c r="E144" s="13">
        <v>42965.906122685185</v>
      </c>
      <c r="F144" s="13">
        <v>42965.914756944447</v>
      </c>
      <c r="G144" s="7">
        <v>1</v>
      </c>
      <c r="H144" s="21" t="s">
        <v>455</v>
      </c>
      <c r="I144" s="13">
        <v>42965.942569444444</v>
      </c>
      <c r="J144" s="7">
        <v>0</v>
      </c>
      <c r="K144" s="89" t="str">
        <f t="shared" si="64"/>
        <v>4039/4040</v>
      </c>
      <c r="L144" s="21" t="str">
        <f>VLOOKUP(A144,'Trips&amp;Operators'!$C$1:$G$99999,5,FALSE)</f>
        <v>RESPASS AARON</v>
      </c>
      <c r="M144" s="6">
        <f t="shared" si="65"/>
        <v>2.7812499996798579E-2</v>
      </c>
      <c r="N144" s="7">
        <f t="shared" si="60"/>
        <v>40.049999995389953</v>
      </c>
      <c r="O144" s="7"/>
      <c r="P144" s="7"/>
      <c r="Q144" s="22"/>
      <c r="R144" s="170"/>
      <c r="S144" s="213">
        <f t="shared" si="63"/>
        <v>1</v>
      </c>
      <c r="T144" s="195" t="str">
        <f t="shared" si="66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7"/>
        <v>https://d0f6bd738d7f1b3e5a7ca70fe4ff75f0.us-east-1.aws.found.io/app/kibana#/discover/Steve-Slow-Train-Analysis-(2080s-and-2083s)?_g=(refreshInterval:(display:Off,pause:!f,section:0,value:0),time:(from:'2017-08-18T20:44:49-0600',mode:absolute,to:'2017-08-18T23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4" s="197" t="str">
        <f>IF(AA144&lt;VLOOKUP(AG144,Variables!$AC$3:$AD$8,2,FALSE),"Y","N")</f>
        <v>N</v>
      </c>
      <c r="X144" s="197">
        <f t="shared" si="62"/>
        <v>1</v>
      </c>
      <c r="Y144" s="197">
        <f t="shared" si="68"/>
        <v>23.296299999999999</v>
      </c>
      <c r="Z144" s="197">
        <f t="shared" si="69"/>
        <v>1.38E-2</v>
      </c>
      <c r="AA144" s="197">
        <f t="shared" si="70"/>
        <v>23.282499999999999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6">
        <f t="shared" si="71"/>
        <v>230</v>
      </c>
      <c r="AE144" s="77" t="str">
        <f t="shared" si="72"/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AF144" s="74" t="str">
        <f t="shared" si="73"/>
        <v>"C:\Program Files (x86)\AstroGrep\AstroGrep.exe" /e /r /s /spath="%USERPROFILE%\AppData\Local\Temp\OnboardLogs" /stypes="app*4039*20170819*" /stext=" 04:.+((SYSTEM_STATE.+slice.+state.+changed )|(ment ac)|(multiple cpu faults)|(system.+state.+changed )|(\[timeout)|(PRM\|1\|D)|(kpr)|(kdp)|(train st.+moving)|(\|lc)|(penalty))"</v>
      </c>
      <c r="AG144" s="209" t="str">
        <f t="shared" si="74"/>
        <v>EC</v>
      </c>
      <c r="AH144" s="78" t="str">
        <f t="shared" ref="AH144:AH207" si="75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230-18 --locoid 4039 --swversion DE.1.0.9.0 --startMP 204:232963 --initTime 2017-08-18T21:44:49 --startdatetime 2017-08-18T21:57:15 --delay 1 --endMP 204:138 --enddatetime 2017-08-18T22:37:18 --enforcementcount 0 &gt;&gt;C:\Users\stu\Documents\GitHub\eaglep3-reporting\EC\2017-08-18-refined-times.txt</v>
      </c>
      <c r="AI144" s="96" t="str">
        <f t="shared" ref="AI144:AI207" si="76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{"issue":{"subject":"","project_id":79,"tracker_id":40,"status_id":1,"priority_id":2,"assigned_to_id":23,"start_date":"2017-08-18","description":"","custom_fields":[{"id":1,"name":"Subdivision","value":"EC"},{"id":4,"name":"Milepost","value":"0.0138"},{"id":17,"name":"Train ID","value":"230-18"},{"id":16,"name":"Locomotive ID","value":"4039"},{"id":130,"name":"Impact","value":""},{"id":150,"name":"Time of Event (Mountain Time)","value":"22:37:18"},{"id":151,"name":"Denver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07" si="77">"start /low /b "&amp;dls3logs&amp;" --loco "&amp;B144&amp;" --day "&amp;TEXT(F144,"YYYY-MM-DD")</f>
        <v>start /low /b %USERPROFILE%\Documents\GitHub\eaglep3\Utilities\DownloadLogsFromS3.py --loco 4039 --day 2017-08-18</v>
      </c>
      <c r="AN144" s="151" t="str">
        <f t="shared" ref="AN144:AN207" si="78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04:37:18"},{"id":29,"name":"Sharepoint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859</v>
      </c>
      <c r="B145" s="7">
        <v>4012</v>
      </c>
      <c r="C145" s="21" t="s">
        <v>198</v>
      </c>
      <c r="D145" s="21" t="s">
        <v>340</v>
      </c>
      <c r="E145" s="13">
        <v>42965.892187500001</v>
      </c>
      <c r="F145" s="13">
        <v>42965.89644675926</v>
      </c>
      <c r="G145" s="7">
        <v>1</v>
      </c>
      <c r="H145" s="21" t="s">
        <v>594</v>
      </c>
      <c r="I145" s="13">
        <v>42965.921990740739</v>
      </c>
      <c r="J145" s="7">
        <v>0</v>
      </c>
      <c r="K145" s="89" t="str">
        <f t="shared" si="64"/>
        <v>4011/4012</v>
      </c>
      <c r="L145" s="21" t="str">
        <f>VLOOKUP(A145,'Trips&amp;Operators'!$C$1:$G$99999,5,FALSE)</f>
        <v>ELBAUM MIKE</v>
      </c>
      <c r="M145" s="6">
        <f t="shared" si="65"/>
        <v>2.5543981479131617E-2</v>
      </c>
      <c r="N145" s="7">
        <f t="shared" si="60"/>
        <v>36.783333329949528</v>
      </c>
      <c r="O145" s="7"/>
      <c r="P145" s="7"/>
      <c r="Q145" s="22"/>
      <c r="R145" s="170"/>
      <c r="S145" s="213">
        <f t="shared" si="63"/>
        <v>1</v>
      </c>
      <c r="T145" s="195" t="str">
        <f t="shared" si="66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7"/>
        <v>https://d0f6bd738d7f1b3e5a7ca70fe4ff75f0.us-east-1.aws.found.io/app/kibana#/discover/Steve-Slow-Train-Analysis-(2080s-and-2083s)?_g=(refreshInterval:(display:Off,pause:!f,section:0,value:0),time:(from:'2017-08-18T20:24:45-0600',mode:absolute,to:'2017-08-18T23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5" s="197" t="str">
        <f>IF(AA145&lt;VLOOKUP(AG145,Variables!$AC$3:$AD$8,2,FALSE),"Y","N")</f>
        <v>N</v>
      </c>
      <c r="X145" s="197">
        <f t="shared" si="62"/>
        <v>1</v>
      </c>
      <c r="Y145" s="197">
        <f t="shared" si="68"/>
        <v>4.4600000000000001E-2</v>
      </c>
      <c r="Z145" s="197">
        <f t="shared" si="69"/>
        <v>23.331099999999999</v>
      </c>
      <c r="AA145" s="197">
        <f t="shared" si="70"/>
        <v>23.2865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6">
        <f t="shared" si="71"/>
        <v>231</v>
      </c>
      <c r="AE145" s="77" t="str">
        <f t="shared" si="72"/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AF145" s="74" t="str">
        <f t="shared" si="73"/>
        <v>"C:\Program Files (x86)\AstroGrep\AstroGrep.exe" /e /r /s /spath="%USERPROFILE%\AppData\Local\Temp\OnboardLogs" /stypes="app*4012*20170819*" /stext=" 04:.+((SYSTEM_STATE.+slice.+state.+changed )|(ment ac)|(multiple cpu faults)|(system.+state.+changed )|(\[timeout)|(PRM\|1\|D)|(kpr)|(kdp)|(train st.+moving)|(\|lc)|(penalty))"</v>
      </c>
      <c r="AG145" s="209" t="str">
        <f t="shared" si="74"/>
        <v>EC</v>
      </c>
      <c r="AH145" s="78" t="str">
        <f t="shared" si="75"/>
        <v>"%USERPROFILE%\Documents\GitHub\eaglep3\Utilities\RefineRTDCRunTimes.py" --tripid 231-18 --locoid 4012 --swversion DE.1.0.9.0 --startMP 204:446 --initTime 2017-08-18T21:24:45 --startdatetime 2017-08-18T21:30:53 --delay 1 --endMP 204:233311 --enddatetime 2017-08-18T22:07:40 --enforcementcount 0 &gt;&gt;C:\Users\stu\Documents\GitHub\eaglep3-reporting\EC\2017-08-18-refined-times.txt</v>
      </c>
      <c r="AI145" s="96" t="str">
        <f t="shared" si="76"/>
        <v>echo {"issue":{"subject":"","project_id":79,"tracker_id":40,"status_id":1,"priority_id":2,"assigned_to_id":23,"start_date":"2017-08-18","description":"","custom_fields":[{"id":1,"name":"Subdivision","value":"EC"},{"id":4,"name":"Milepost","value":"23.3311"},{"id":17,"name":"Train ID","value":"231-18"},{"id":16,"name":"Locomotive ID","value":"4012"},{"id":130,"name":"Impact","value":""},{"id":150,"name":"Time of Event (Mountain Time)","value":"22:07:40"},{"id":151,"name":"Denver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7"/>
        <v>start /low /b %USERPROFILE%\Documents\GitHub\eaglep3\Utilities\DownloadLogsFromS3.py --loco 4012 --day 2017-08-18</v>
      </c>
      <c r="AN145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04:07:40"},{"id":29,"name":"Sharepoint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864</v>
      </c>
      <c r="B146" s="7">
        <v>4011</v>
      </c>
      <c r="C146" s="21" t="s">
        <v>198</v>
      </c>
      <c r="D146" s="21" t="s">
        <v>601</v>
      </c>
      <c r="E146" s="13">
        <v>42965.923472222225</v>
      </c>
      <c r="F146" s="13">
        <v>42965.935590277775</v>
      </c>
      <c r="G146" s="7">
        <v>1</v>
      </c>
      <c r="H146" s="21" t="s">
        <v>451</v>
      </c>
      <c r="I146" s="13">
        <v>42965.962534722225</v>
      </c>
      <c r="J146" s="7">
        <v>0</v>
      </c>
      <c r="K146" s="89" t="str">
        <f t="shared" si="64"/>
        <v>4011/4012</v>
      </c>
      <c r="L146" s="21" t="str">
        <f>VLOOKUP(A146,'Trips&amp;Operators'!$C$1:$G$99999,5,FALSE)</f>
        <v>ELBAUM MIKE</v>
      </c>
      <c r="M146" s="6">
        <f t="shared" si="65"/>
        <v>2.694444444932742E-2</v>
      </c>
      <c r="N146" s="7">
        <f t="shared" si="60"/>
        <v>38.800000007031485</v>
      </c>
      <c r="O146" s="7"/>
      <c r="P146" s="7"/>
      <c r="Q146" s="22"/>
      <c r="R146" s="170"/>
      <c r="S146" s="213">
        <f t="shared" si="63"/>
        <v>1</v>
      </c>
      <c r="T146" s="195" t="str">
        <f t="shared" si="66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7"/>
        <v>https://d0f6bd738d7f1b3e5a7ca70fe4ff75f0.us-east-1.aws.found.io/app/kibana#/discover/Steve-Slow-Train-Analysis-(2080s-and-2083s)?_g=(refreshInterval:(display:Off,pause:!f,section:0,value:0),time:(from:'2017-08-18T21:09:48-0600',mode:absolute,to:'2017-08-19T00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6" s="197" t="str">
        <f>IF(AA146&lt;VLOOKUP(AG146,Variables!$AC$3:$AD$8,2,FALSE),"Y","N")</f>
        <v>N</v>
      </c>
      <c r="X146" s="197">
        <f t="shared" si="62"/>
        <v>1</v>
      </c>
      <c r="Y146" s="197">
        <f t="shared" si="68"/>
        <v>23.2988</v>
      </c>
      <c r="Z146" s="197">
        <f t="shared" si="69"/>
        <v>1.4500000000000001E-2</v>
      </c>
      <c r="AA146" s="197">
        <f t="shared" si="70"/>
        <v>23.284299999999998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6">
        <f t="shared" si="71"/>
        <v>232</v>
      </c>
      <c r="AE146" s="77" t="str">
        <f t="shared" si="72"/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AF146" s="74" t="str">
        <f t="shared" si="73"/>
        <v>"C:\Program Files (x86)\AstroGrep\AstroGrep.exe" /e /r /s /spath="%USERPROFILE%\AppData\Local\Temp\OnboardLogs" /stypes="app*4011*20170819*" /stext=" 05:.+((SYSTEM_STATE.+slice.+state.+changed )|(ment ac)|(multiple cpu faults)|(system.+state.+changed )|(\[timeout)|(PRM\|1\|D)|(kpr)|(kdp)|(train st.+moving)|(\|lc)|(penalty))"</v>
      </c>
      <c r="AG146" s="209" t="str">
        <f t="shared" si="74"/>
        <v>EC</v>
      </c>
      <c r="AH146" s="78" t="str">
        <f t="shared" si="75"/>
        <v>"%USERPROFILE%\Documents\GitHub\eaglep3\Utilities\RefineRTDCRunTimes.py" --tripid 232-18 --locoid 4011 --swversion DE.1.0.9.0 --startMP 204:232988 --initTime 2017-08-18T22:09:48 --startdatetime 2017-08-18T22:27:15 --delay 1 --endMP 204:145 --enddatetime 2017-08-18T23:06:03 --enforcementcount 0 &gt;&gt;C:\Users\stu\Documents\GitHub\eaglep3-reporting\EC\2017-08-18-refined-times.txt</v>
      </c>
      <c r="AI146" s="96" t="str">
        <f t="shared" si="76"/>
        <v>echo {"issue":{"subject":"","project_id":79,"tracker_id":40,"status_id":1,"priority_id":2,"assigned_to_id":23,"start_date":"2017-08-18","description":"","custom_fields":[{"id":1,"name":"Subdivision","value":"EC"},{"id":4,"name":"Milepost","value":"0.0145"},{"id":17,"name":"Train ID","value":"232-18"},{"id":16,"name":"Locomotive ID","value":"4011"},{"id":130,"name":"Impact","value":""},{"id":150,"name":"Time of Event (Mountain Time)","value":"23:06:03"},{"id":151,"name":"Denver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7"/>
        <v>start /low /b %USERPROFILE%\Documents\GitHub\eaglep3\Utilities\DownloadLogsFromS3.py --loco 4011 --day 2017-08-18</v>
      </c>
      <c r="AN146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05:06:03"},{"id":29,"name":"Sharepoint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679</v>
      </c>
      <c r="B147" s="7">
        <v>4030</v>
      </c>
      <c r="C147" s="21" t="s">
        <v>198</v>
      </c>
      <c r="D147" s="21" t="s">
        <v>515</v>
      </c>
      <c r="E147" s="13">
        <v>42965.90415509259</v>
      </c>
      <c r="F147" s="13">
        <v>42965.917199074072</v>
      </c>
      <c r="G147" s="7">
        <v>1</v>
      </c>
      <c r="H147" s="21" t="s">
        <v>557</v>
      </c>
      <c r="I147" s="13">
        <v>42965.942928240744</v>
      </c>
      <c r="J147" s="7">
        <v>0</v>
      </c>
      <c r="K147" s="89" t="str">
        <f t="shared" si="64"/>
        <v>4029/4030</v>
      </c>
      <c r="L147" s="21" t="str">
        <f>VLOOKUP(A147,'Trips&amp;Operators'!$C$1:$G$99999,5,FALSE)</f>
        <v>PERKINS DARREN</v>
      </c>
      <c r="M147" s="6">
        <f t="shared" si="65"/>
        <v>2.5729166671226267E-2</v>
      </c>
      <c r="N147" s="7">
        <f t="shared" si="60"/>
        <v>37.050000006565824</v>
      </c>
      <c r="O147" s="7"/>
      <c r="P147" s="7"/>
      <c r="Q147" s="22"/>
      <c r="R147" s="170"/>
      <c r="S147" s="213">
        <f t="shared" si="63"/>
        <v>1</v>
      </c>
      <c r="T147" s="195" t="str">
        <f t="shared" si="66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7"/>
        <v>https://d0f6bd738d7f1b3e5a7ca70fe4ff75f0.us-east-1.aws.found.io/app/kibana#/discover/Steve-Slow-Train-Analysis-(2080s-and-2083s)?_g=(refreshInterval:(display:Off,pause:!f,section:0,value:0),time:(from:'2017-08-18T20:41:59-0600',mode:absolute,to:'2017-08-18T23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7" s="197" t="str">
        <f>IF(AA147&lt;VLOOKUP(AG147,Variables!$AC$3:$AD$8,2,FALSE),"Y","N")</f>
        <v>N</v>
      </c>
      <c r="X147" s="197">
        <f t="shared" si="62"/>
        <v>1</v>
      </c>
      <c r="Y147" s="197">
        <f t="shared" si="68"/>
        <v>4.24E-2</v>
      </c>
      <c r="Z147" s="197">
        <f t="shared" si="69"/>
        <v>23.339700000000001</v>
      </c>
      <c r="AA147" s="197">
        <f t="shared" si="70"/>
        <v>23.2973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6">
        <f t="shared" si="71"/>
        <v>233</v>
      </c>
      <c r="AE147" s="77" t="str">
        <f t="shared" si="72"/>
        <v>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 &amp; 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</v>
      </c>
      <c r="AF147" s="74" t="str">
        <f t="shared" si="73"/>
        <v>"C:\Program Files (x86)\AstroGrep\AstroGrep.exe" /e /r /s /spath="%USERPROFILE%\AppData\Local\Temp\OnboardLogs" /stypes="app*4030*20170819*" /stext=" 04:.+((SYSTEM_STATE.+slice.+state.+changed )|(ment ac)|(multiple cpu faults)|(system.+state.+changed )|(\[timeout)|(PRM\|1\|D)|(kpr)|(kdp)|(train st.+moving)|(\|lc)|(penalty))"</v>
      </c>
      <c r="AG147" s="209" t="str">
        <f t="shared" si="74"/>
        <v>EC</v>
      </c>
      <c r="AH147" s="78" t="str">
        <f t="shared" si="75"/>
        <v>"%USERPROFILE%\Documents\GitHub\eaglep3\Utilities\RefineRTDCRunTimes.py" --tripid 233-18 --locoid 4030 --swversion DE.1.0.9.0 --startMP 204:424 --initTime 2017-08-18T21:41:59 --startdatetime 2017-08-18T22:00:46 --delay 1 --endMP 204:233397 --enddatetime 2017-08-18T22:37:49 --enforcementcount 0 &gt;&gt;C:\Users\stu\Documents\GitHub\eaglep3-reporting\EC\2017-08-18-refined-times.txt</v>
      </c>
      <c r="AI147" s="96" t="str">
        <f t="shared" si="76"/>
        <v>echo {"issue":{"subject":"","project_id":79,"tracker_id":40,"status_id":1,"priority_id":2,"assigned_to_id":23,"start_date":"2017-08-18","description":"","custom_fields":[{"id":1,"name":"Subdivision","value":"EC"},{"id":4,"name":"Milepost","value":"23.3397"},{"id":17,"name":"Train ID","value":"233-18"},{"id":16,"name":"Locomotive ID","value":"4030"},{"id":130,"name":"Impact","value":""},{"id":150,"name":"Time of Event (Mountain Time)","value":"22:37:49"},{"id":151,"name":"Denver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7"/>
        <v>start /low /b %USERPROFILE%\Documents\GitHub\eaglep3\Utilities\DownloadLogsFromS3.py --loco 4030 --day 2017-08-18</v>
      </c>
      <c r="AN147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04:37:49"},{"id":29,"name":"Sharepoint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680</v>
      </c>
      <c r="B148" s="7">
        <v>4029</v>
      </c>
      <c r="C148" s="21" t="s">
        <v>198</v>
      </c>
      <c r="D148" s="21" t="s">
        <v>944</v>
      </c>
      <c r="E148" s="13">
        <v>42965.952662037038</v>
      </c>
      <c r="F148" s="13">
        <v>42965.956435185188</v>
      </c>
      <c r="G148" s="7">
        <v>1</v>
      </c>
      <c r="H148" s="21" t="s">
        <v>945</v>
      </c>
      <c r="I148" s="13">
        <v>42965.985868055555</v>
      </c>
      <c r="J148" s="7">
        <v>0</v>
      </c>
      <c r="K148" s="89" t="str">
        <f t="shared" si="64"/>
        <v>4029/4030</v>
      </c>
      <c r="L148" s="21" t="str">
        <f>VLOOKUP(A148,'Trips&amp;Operators'!$C$1:$G$99999,5,FALSE)</f>
        <v>PERKINS DARREN</v>
      </c>
      <c r="M148" s="6">
        <f t="shared" si="65"/>
        <v>2.9432870367600117E-2</v>
      </c>
      <c r="N148" s="7">
        <f t="shared" si="60"/>
        <v>42.383333329344168</v>
      </c>
      <c r="O148" s="7"/>
      <c r="P148" s="7"/>
      <c r="Q148" s="22"/>
      <c r="R148" s="170"/>
      <c r="S148" s="213">
        <f t="shared" si="63"/>
        <v>1</v>
      </c>
      <c r="T148" s="195" t="str">
        <f t="shared" si="66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7"/>
        <v>https://d0f6bd738d7f1b3e5a7ca70fe4ff75f0.us-east-1.aws.found.io/app/kibana#/discover/Steve-Slow-Train-Analysis-(2080s-and-2083s)?_g=(refreshInterval:(display:Off,pause:!f,section:0,value:0),time:(from:'2017-08-18T21:51:50-0600',mode:absolute,to:'2017-08-19T00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8" s="197" t="str">
        <f>IF(AA148&lt;VLOOKUP(AG148,Variables!$AC$3:$AD$8,2,FALSE),"Y","N")</f>
        <v>N</v>
      </c>
      <c r="X148" s="197">
        <f t="shared" ref="X148:X150" si="79">VALUE(LEFT(AD148,4))-VALUE(LEFT(AD147,4))</f>
        <v>1</v>
      </c>
      <c r="Y148" s="197">
        <f t="shared" si="68"/>
        <v>23.3125</v>
      </c>
      <c r="Z148" s="197">
        <f t="shared" si="69"/>
        <v>1.1599999999999999E-2</v>
      </c>
      <c r="AA148" s="197">
        <f t="shared" si="70"/>
        <v>23.300899999999999</v>
      </c>
      <c r="AB148" s="54" t="str">
        <f>VLOOKUP(A148,Enforcements!$C$7:$K$11,8,0)</f>
        <v>Bulletin (2)</v>
      </c>
      <c r="AC148" s="51" t="str">
        <f>VLOOKUP(A148,Enforcements!$C$7:$E$11,3,0)</f>
        <v>GRADE CROSSING</v>
      </c>
      <c r="AD148" s="206">
        <f t="shared" si="71"/>
        <v>234</v>
      </c>
      <c r="AE148" s="77" t="str">
        <f t="shared" si="72"/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AF148" s="74" t="str">
        <f t="shared" si="73"/>
        <v>"C:\Program Files (x86)\AstroGrep\AstroGrep.exe" /e /r /s /spath="%USERPROFILE%\AppData\Local\Temp\OnboardLogs" /stypes="app*4029*20170819*" /stext=" 05:.+((SYSTEM_STATE.+slice.+state.+changed )|(ment ac)|(multiple cpu faults)|(system.+state.+changed )|(\[timeout)|(PRM\|1\|D)|(kpr)|(kdp)|(train st.+moving)|(\|lc)|(penalty))"</v>
      </c>
      <c r="AG148" s="209" t="str">
        <f t="shared" si="74"/>
        <v>EC</v>
      </c>
      <c r="AH148" s="78" t="str">
        <f t="shared" si="75"/>
        <v>"%USERPROFILE%\Documents\GitHub\eaglep3\Utilities\RefineRTDCRunTimes.py" --tripid 234-18 --locoid 4029 --swversion DE.1.0.9.0 --startMP 204:233125 --initTime 2017-08-18T22:51:50 --startdatetime 2017-08-18T22:57:16 --delay 1 --endMP 204:116 --enddatetime 2017-08-18T23:39:39 --enforcementcount 0 &gt;&gt;C:\Users\stu\Documents\GitHub\eaglep3-reporting\EC\2017-08-18-refined-times.txt</v>
      </c>
      <c r="AI148" s="96" t="str">
        <f t="shared" si="76"/>
        <v>echo {"issue":{"subject":"","project_id":79,"tracker_id":40,"status_id":1,"priority_id":2,"assigned_to_id":23,"start_date":"2017-08-18","description":"","custom_fields":[{"id":1,"name":"Subdivision","value":"EC"},{"id":4,"name":"Milepost","value":"0.0116"},{"id":17,"name":"Train ID","value":"234-18"},{"id":16,"name":"Locomotive ID","value":"4029"},{"id":130,"name":"Impact","value":""},{"id":150,"name":"Time of Event (Mountain Time)","value":"23:39:39"},{"id":151,"name":"Denver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7"/>
        <v>start /low /b %USERPROFILE%\Documents\GitHub\eaglep3\Utilities\DownloadLogsFromS3.py --loco 4029 --day 2017-08-18</v>
      </c>
      <c r="AN148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05:39:39"},{"id":29,"name":"Sharepoint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863</v>
      </c>
      <c r="B149" s="7">
        <v>4028</v>
      </c>
      <c r="C149" s="21" t="s">
        <v>198</v>
      </c>
      <c r="D149" s="21" t="s">
        <v>440</v>
      </c>
      <c r="E149" s="13">
        <v>42965.921990740739</v>
      </c>
      <c r="F149" s="13">
        <v>42965.93822916667</v>
      </c>
      <c r="G149" s="7">
        <v>1</v>
      </c>
      <c r="H149" s="21" t="s">
        <v>508</v>
      </c>
      <c r="I149" s="13">
        <v>42965.966284722221</v>
      </c>
      <c r="J149" s="7">
        <v>0</v>
      </c>
      <c r="K149" s="89" t="str">
        <f t="shared" si="64"/>
        <v>4027/4028</v>
      </c>
      <c r="L149" s="21" t="str">
        <f>VLOOKUP(A149,'Trips&amp;Operators'!$C$1:$G$99999,5,FALSE)</f>
        <v>FORTUNATO FRANK</v>
      </c>
      <c r="M149" s="6">
        <f t="shared" si="65"/>
        <v>2.8055555550963618E-2</v>
      </c>
      <c r="N149" s="7">
        <f t="shared" si="60"/>
        <v>40.39999999338761</v>
      </c>
      <c r="O149" s="7"/>
      <c r="P149" s="7"/>
      <c r="Q149" s="22"/>
      <c r="R149" s="170"/>
      <c r="S149" s="213">
        <f t="shared" si="63"/>
        <v>1</v>
      </c>
      <c r="T149" s="195" t="str">
        <f t="shared" si="66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7"/>
        <v>https://d0f6bd738d7f1b3e5a7ca70fe4ff75f0.us-east-1.aws.found.io/app/kibana#/discover/Steve-Slow-Train-Analysis-(2080s-and-2083s)?_g=(refreshInterval:(display:Off,pause:!f,section:0,value:0),time:(from:'2017-08-18T21:07:40-0600',mode:absolute,to:'2017-08-19T00:11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9" s="197" t="str">
        <f>IF(AA149&lt;VLOOKUP(AG149,Variables!$AC$3:$AD$8,2,FALSE),"Y","N")</f>
        <v>N</v>
      </c>
      <c r="X149" s="197">
        <f t="shared" si="79"/>
        <v>1</v>
      </c>
      <c r="Y149" s="197">
        <f t="shared" si="68"/>
        <v>4.5699999999999998E-2</v>
      </c>
      <c r="Z149" s="197">
        <f t="shared" si="69"/>
        <v>23.329499999999999</v>
      </c>
      <c r="AA149" s="197">
        <f t="shared" si="70"/>
        <v>23.283799999999999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6">
        <f t="shared" si="71"/>
        <v>235</v>
      </c>
      <c r="AE149" s="77" t="str">
        <f t="shared" si="72"/>
        <v>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 &amp; 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</v>
      </c>
      <c r="AF149" s="74" t="str">
        <f t="shared" si="73"/>
        <v>"C:\Program Files (x86)\AstroGrep\AstroGrep.exe" /e /r /s /spath="%USERPROFILE%\AppData\Local\Temp\OnboardLogs" /stypes="app*4028*20170819*" /stext=" 05:.+((SYSTEM_STATE.+slice.+state.+changed )|(ment ac)|(multiple cpu faults)|(system.+state.+changed )|(\[timeout)|(PRM\|1\|D)|(kpr)|(kdp)|(train st.+moving)|(\|lc)|(penalty))"</v>
      </c>
      <c r="AG149" s="209" t="str">
        <f t="shared" si="74"/>
        <v>EC</v>
      </c>
      <c r="AH149" s="78" t="str">
        <f t="shared" si="75"/>
        <v>"%USERPROFILE%\Documents\GitHub\eaglep3\Utilities\RefineRTDCRunTimes.py" --tripid 235-18 --locoid 4028 --swversion DE.1.0.9.0 --startMP 204:457 --initTime 2017-08-18T22:07:40 --startdatetime 2017-08-18T22:31:03 --delay 1 --endMP 204:233295 --enddatetime 2017-08-18T23:11:27 --enforcementcount 0 &gt;&gt;C:\Users\stu\Documents\GitHub\eaglep3-reporting\EC\2017-08-18-refined-times.txt</v>
      </c>
      <c r="AI149" s="96" t="str">
        <f t="shared" si="76"/>
        <v>echo {"issue":{"subject":"","project_id":79,"tracker_id":40,"status_id":1,"priority_id":2,"assigned_to_id":23,"start_date":"2017-08-18","description":"","custom_fields":[{"id":1,"name":"Subdivision","value":"EC"},{"id":4,"name":"Milepost","value":"23.3295"},{"id":17,"name":"Train ID","value":"235-18"},{"id":16,"name":"Locomotive ID","value":"4028"},{"id":130,"name":"Impact","value":""},{"id":150,"name":"Time of Event (Mountain Time)","value":"23:11:27"},{"id":151,"name":"Denver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7"/>
        <v>start /low /b %USERPROFILE%\Documents\GitHub\eaglep3\Utilities\DownloadLogsFromS3.py --loco 4028 --day 2017-08-18</v>
      </c>
      <c r="AN149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05:11:27"},{"id":29,"name":"Sharepoint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866</v>
      </c>
      <c r="B150" s="7">
        <v>4027</v>
      </c>
      <c r="C150" s="21" t="s">
        <v>198</v>
      </c>
      <c r="D150" s="21" t="s">
        <v>460</v>
      </c>
      <c r="E150" s="13">
        <v>42965.968715277777</v>
      </c>
      <c r="F150" s="13">
        <v>42965.977256944447</v>
      </c>
      <c r="G150" s="7">
        <v>1</v>
      </c>
      <c r="H150" s="21" t="s">
        <v>451</v>
      </c>
      <c r="I150" s="13">
        <v>42966.003807870373</v>
      </c>
      <c r="J150" s="7">
        <v>0</v>
      </c>
      <c r="K150" s="89" t="str">
        <f t="shared" si="64"/>
        <v>4027/4028</v>
      </c>
      <c r="L150" s="21" t="str">
        <f>VLOOKUP(A150,'Trips&amp;Operators'!$C$1:$G$99999,5,FALSE)</f>
        <v>FORTUNATO FRANK</v>
      </c>
      <c r="M150" s="6">
        <f t="shared" si="65"/>
        <v>2.6550925926130731E-2</v>
      </c>
      <c r="N150" s="7">
        <f t="shared" si="60"/>
        <v>38.233333333628252</v>
      </c>
      <c r="O150" s="7"/>
      <c r="P150" s="7"/>
      <c r="Q150" s="22"/>
      <c r="R150" s="170"/>
      <c r="S150" s="213">
        <f t="shared" si="63"/>
        <v>1</v>
      </c>
      <c r="T150" s="195" t="str">
        <f t="shared" si="66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7"/>
        <v>https://d0f6bd738d7f1b3e5a7ca70fe4ff75f0.us-east-1.aws.found.io/app/kibana#/discover/Steve-Slow-Train-Analysis-(2080s-and-2083s)?_g=(refreshInterval:(display:Off,pause:!f,section:0,value:0),time:(from:'2017-08-18T22:14:57-0600',mode:absolute,to:'2017-08-19T01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0" s="197" t="str">
        <f>IF(AA150&lt;VLOOKUP(AG150,Variables!$AC$3:$AD$8,2,FALSE),"Y","N")</f>
        <v>N</v>
      </c>
      <c r="X150" s="197">
        <f t="shared" si="79"/>
        <v>1</v>
      </c>
      <c r="Y150" s="197">
        <f t="shared" si="68"/>
        <v>23.297699999999999</v>
      </c>
      <c r="Z150" s="197">
        <f t="shared" si="69"/>
        <v>1.4500000000000001E-2</v>
      </c>
      <c r="AA150" s="197">
        <f t="shared" si="70"/>
        <v>23.283199999999997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6">
        <f t="shared" si="71"/>
        <v>236</v>
      </c>
      <c r="AE150" s="77" t="str">
        <f t="shared" si="72"/>
        <v>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 &amp; aws s3 cp s3://rtdc.mdm.uploadarchive.raw/RTDC4027/ "%USERPROFILE%\AppData\Local\Temp\OnboardLogs"\RTDC4027\2017-08-19 --exclude "*" --recursive --include "*20170819*" &amp; "%USERPROFILE%\Documents\GitHub\mrs-test-scripts\Headless Mode &amp; Sideloading\WalkAndUnGZ.bat" "%USERPROFILE%\AppData\Local\Temp\OnboardLogs"\RTDC4027\2017-08-19</v>
      </c>
      <c r="AF150" s="74" t="str">
        <f t="shared" si="73"/>
        <v>"C:\Program Files (x86)\AstroGrep\AstroGrep.exe" /e /r /s /spath="%USERPROFILE%\AppData\Local\Temp\OnboardLogs" /stypes="app*4027*20170819*" /stext=" 06:.+((SYSTEM_STATE.+slice.+state.+changed )|(ment ac)|(multiple cpu faults)|(system.+state.+changed )|(\[timeout)|(PRM\|1\|D)|(kpr)|(kdp)|(train st.+moving)|(\|lc)|(penalty))"</v>
      </c>
      <c r="AG150" s="209" t="str">
        <f t="shared" si="74"/>
        <v>EC</v>
      </c>
      <c r="AH150" s="78" t="str">
        <f t="shared" si="75"/>
        <v>"%USERPROFILE%\Documents\GitHub\eaglep3\Utilities\RefineRTDCRunTimes.py" --tripid 236-18 --locoid 4027 --swversion DE.1.0.9.0 --startMP 204:232977 --initTime 2017-08-18T23:14:57 --startdatetime 2017-08-18T23:27:15 --delay 1 --endMP 204:145 --enddatetime 2017-08-19T00:05:29 --enforcementcount 0 &gt;&gt;C:\Users\stu\Documents\GitHub\eaglep3-reporting\EC\2017-08-18-refined-times.txt</v>
      </c>
      <c r="AI150" s="96" t="str">
        <f t="shared" si="76"/>
        <v>echo {"issue":{"subject":"","project_id":79,"tracker_id":40,"status_id":1,"priority_id":2,"assigned_to_id":23,"start_date":"2017-08-19","description":"","custom_fields":[{"id":1,"name":"Subdivision","value":"EC"},{"id":4,"name":"Milepost","value":"0.0145"},{"id":17,"name":"Train ID","value":"236-18"},{"id":16,"name":"Locomotive ID","value":"4027"},{"id":130,"name":"Impact","value":""},{"id":150,"name":"Time of Event (Mountain Time)","value":"00:05:29"},{"id":151,"name":"Denver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7"/>
        <v>start /low /b %USERPROFILE%\Documents\GitHub\eaglep3\Utilities\DownloadLogsFromS3.py --loco 4027 --day 2017-08-18</v>
      </c>
      <c r="AN150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06:05:29"},{"id":29,"name":"Sharepoint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681</v>
      </c>
      <c r="B151" s="7">
        <v>4040</v>
      </c>
      <c r="C151" s="21" t="s">
        <v>198</v>
      </c>
      <c r="D151" s="21" t="s">
        <v>469</v>
      </c>
      <c r="E151" s="13">
        <v>42965.95385416667</v>
      </c>
      <c r="F151" s="13">
        <v>42965.958981481483</v>
      </c>
      <c r="G151" s="7">
        <v>2</v>
      </c>
      <c r="H151" s="21" t="s">
        <v>946</v>
      </c>
      <c r="I151" s="13">
        <v>42965.98333333333</v>
      </c>
      <c r="J151" s="7">
        <v>0</v>
      </c>
      <c r="K151" s="89" t="str">
        <f t="shared" si="64"/>
        <v>4039/4040</v>
      </c>
      <c r="L151" s="21" t="str">
        <f>VLOOKUP(A151,'Trips&amp;Operators'!$C$1:$G$99999,5,FALSE)</f>
        <v>BIRENBAUM THOMAS</v>
      </c>
      <c r="M151" s="6">
        <f t="shared" si="65"/>
        <v>2.435185184731381E-2</v>
      </c>
      <c r="N151" s="7">
        <f t="shared" si="60"/>
        <v>35.066666660131887</v>
      </c>
      <c r="O151" s="7"/>
      <c r="P151" s="7"/>
      <c r="Q151" s="22"/>
      <c r="R151" s="170"/>
      <c r="S151" s="213">
        <f t="shared" si="63"/>
        <v>1</v>
      </c>
      <c r="T151" s="195" t="str">
        <f t="shared" si="66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7"/>
        <v>https://d0f6bd738d7f1b3e5a7ca70fe4ff75f0.us-east-1.aws.found.io/app/kibana#/discover/Steve-Slow-Train-Analysis-(2080s-and-2083s)?_g=(refreshInterval:(display:Off,pause:!f,section:0,value:0),time:(from:'2017-08-18T21:53:33-0600',mode:absolute,to:'2017-08-19T00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1" s="197" t="str">
        <f>IF(AA151&lt;VLOOKUP(AG151,Variables!$AC$3:$AD$8,2,FALSE),"Y","N")</f>
        <v>N</v>
      </c>
      <c r="X151" s="197">
        <f t="shared" ref="X151:X180" si="80">VALUE(LEFT(AD151,4))-VALUE(LEFT(AD150,4))</f>
        <v>1</v>
      </c>
      <c r="Y151" s="197">
        <f t="shared" si="68"/>
        <v>4.4400000000000002E-2</v>
      </c>
      <c r="Z151" s="197">
        <f t="shared" si="69"/>
        <v>23.323599999999999</v>
      </c>
      <c r="AA151" s="197">
        <f t="shared" si="70"/>
        <v>23.279199999999999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6">
        <f t="shared" si="71"/>
        <v>237</v>
      </c>
      <c r="AE151" s="77" t="str">
        <f t="shared" si="72"/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AF151" s="74" t="str">
        <f t="shared" si="73"/>
        <v>"C:\Program Files (x86)\AstroGrep\AstroGrep.exe" /e /r /s /spath="%USERPROFILE%\AppData\Local\Temp\OnboardLogs" /stypes="app*4040*20170819*" /stext=" 05:.+((SYSTEM_STATE.+slice.+state.+changed )|(ment ac)|(multiple cpu faults)|(system.+state.+changed )|(\[timeout)|(PRM\|1\|D)|(kpr)|(kdp)|(train st.+moving)|(\|lc)|(penalty))"</v>
      </c>
      <c r="AG151" s="209" t="str">
        <f t="shared" si="74"/>
        <v>EC</v>
      </c>
      <c r="AH151" s="78" t="str">
        <f t="shared" si="75"/>
        <v>"%USERPROFILE%\Documents\GitHub\eaglep3\Utilities\RefineRTDCRunTimes.py" --tripid 237-18 --locoid 4040 --swversion DE.1.0.9.0 --startMP 204:444 --initTime 2017-08-18T22:53:33 --startdatetime 2017-08-18T23:00:56 --delay 2 --endMP 204:233236 --enddatetime 2017-08-18T23:36:00 --enforcementcount 0 &gt;&gt;C:\Users\stu\Documents\GitHub\eaglep3-reporting\EC\2017-08-18-refined-times.txt</v>
      </c>
      <c r="AI151" s="96" t="str">
        <f t="shared" si="76"/>
        <v>echo {"issue":{"subject":"","project_id":79,"tracker_id":40,"status_id":1,"priority_id":2,"assigned_to_id":23,"start_date":"2017-08-18","description":"","custom_fields":[{"id":1,"name":"Subdivision","value":"EC"},{"id":4,"name":"Milepost","value":"23.3236"},{"id":17,"name":"Train ID","value":"237-18"},{"id":16,"name":"Locomotive ID","value":"4040"},{"id":130,"name":"Impact","value":""},{"id":150,"name":"Time of Event (Mountain Time)","value":"23:36:00"},{"id":151,"name":"Denver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7"/>
        <v>start /low /b %USERPROFILE%\Documents\GitHub\eaglep3\Utilities\DownloadLogsFromS3.py --loco 4040 --day 2017-08-18</v>
      </c>
      <c r="AN151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05:36:00"},{"id":29,"name":"Sharepoint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868</v>
      </c>
      <c r="B152" s="7">
        <v>4039</v>
      </c>
      <c r="C152" s="21" t="s">
        <v>198</v>
      </c>
      <c r="D152" s="21" t="s">
        <v>947</v>
      </c>
      <c r="E152" s="13">
        <v>42965.994004629632</v>
      </c>
      <c r="F152" s="13">
        <v>42965.998055555552</v>
      </c>
      <c r="G152" s="7">
        <v>1</v>
      </c>
      <c r="H152" s="21" t="s">
        <v>948</v>
      </c>
      <c r="I152" s="13">
        <v>42966.027395833335</v>
      </c>
      <c r="J152" s="7">
        <v>0</v>
      </c>
      <c r="K152" s="89" t="str">
        <f t="shared" si="64"/>
        <v>4039/4040</v>
      </c>
      <c r="L152" s="21" t="str">
        <f>VLOOKUP(A152,'Trips&amp;Operators'!$C$1:$G$99999,5,FALSE)</f>
        <v>BIRENBAUM THOMAS</v>
      </c>
      <c r="M152" s="6">
        <f t="shared" si="65"/>
        <v>2.9340277782466728E-2</v>
      </c>
      <c r="N152" s="7">
        <f t="shared" si="60"/>
        <v>42.250000006752089</v>
      </c>
      <c r="O152" s="7"/>
      <c r="P152" s="7"/>
      <c r="Q152" s="22"/>
      <c r="R152" s="170"/>
      <c r="S152" s="213">
        <f t="shared" si="63"/>
        <v>1</v>
      </c>
      <c r="T152" s="195" t="str">
        <f t="shared" si="66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7"/>
        <v>https://d0f6bd738d7f1b3e5a7ca70fe4ff75f0.us-east-1.aws.found.io/app/kibana#/discover/Steve-Slow-Train-Analysis-(2080s-and-2083s)?_g=(refreshInterval:(display:Off,pause:!f,section:0,value:0),time:(from:'2017-08-18T22:51:22-0600',mode:absolute,to:'2017-08-19T01:39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2" s="197" t="str">
        <f>IF(AA152&lt;VLOOKUP(AG152,Variables!$AC$3:$AD$8,2,FALSE),"Y","N")</f>
        <v>N</v>
      </c>
      <c r="X152" s="197">
        <f t="shared" si="80"/>
        <v>1</v>
      </c>
      <c r="Y152" s="197">
        <f t="shared" si="68"/>
        <v>23.290800000000001</v>
      </c>
      <c r="Z152" s="197">
        <f t="shared" si="69"/>
        <v>1.8499999999999999E-2</v>
      </c>
      <c r="AA152" s="197">
        <f t="shared" si="70"/>
        <v>23.272300000000001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6">
        <f t="shared" si="71"/>
        <v>238</v>
      </c>
      <c r="AE152" s="77" t="str">
        <f t="shared" si="72"/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AF152" s="74" t="str">
        <f t="shared" si="73"/>
        <v>"C:\Program Files (x86)\AstroGrep\AstroGrep.exe" /e /r /s /spath="%USERPROFILE%\AppData\Local\Temp\OnboardLogs" /stypes="app*4039*20170819*" /stext=" 06:.+((SYSTEM_STATE.+slice.+state.+changed )|(ment ac)|(multiple cpu faults)|(system.+state.+changed )|(\[timeout)|(PRM\|1\|D)|(kpr)|(kdp)|(train st.+moving)|(\|lc)|(penalty))"</v>
      </c>
      <c r="AG152" s="209" t="str">
        <f t="shared" si="74"/>
        <v>EC</v>
      </c>
      <c r="AH152" s="78" t="str">
        <f t="shared" si="75"/>
        <v>"%USERPROFILE%\Documents\GitHub\eaglep3\Utilities\RefineRTDCRunTimes.py" --tripid 238-18 --locoid 4039 --swversion DE.1.0.9.0 --startMP 204:232908 --initTime 2017-08-18T23:51:22 --startdatetime 2017-08-18T23:57:12 --delay 1 --endMP 204:185 --enddatetime 2017-08-19T00:39:27 --enforcementcount 0 &gt;&gt;C:\Users\stu\Documents\GitHub\eaglep3-reporting\EC\2017-08-18-refined-times.txt</v>
      </c>
      <c r="AI152" s="96" t="str">
        <f t="shared" si="76"/>
        <v>echo {"issue":{"subject":"","project_id":79,"tracker_id":40,"status_id":1,"priority_id":2,"assigned_to_id":23,"start_date":"2017-08-19","description":"","custom_fields":[{"id":1,"name":"Subdivision","value":"EC"},{"id":4,"name":"Milepost","value":"0.0185"},{"id":17,"name":"Train ID","value":"238-18"},{"id":16,"name":"Locomotive ID","value":"4039"},{"id":130,"name":"Impact","value":""},{"id":150,"name":"Time of Event (Mountain Time)","value":"00:39:27"},{"id":151,"name":"Denver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7"/>
        <v>start /low /b %USERPROFILE%\Documents\GitHub\eaglep3\Utilities\DownloadLogsFromS3.py --loco 4039 --day 2017-08-18</v>
      </c>
      <c r="AN152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06:39:27"},{"id":29,"name":"Sharepoint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682</v>
      </c>
      <c r="B153" s="7">
        <v>4012</v>
      </c>
      <c r="C153" s="21" t="s">
        <v>198</v>
      </c>
      <c r="D153" s="21" t="s">
        <v>623</v>
      </c>
      <c r="E153" s="13">
        <v>42965.976273148146</v>
      </c>
      <c r="F153" s="13">
        <v>42965.979722222219</v>
      </c>
      <c r="G153" s="7">
        <v>1</v>
      </c>
      <c r="H153" s="21" t="s">
        <v>924</v>
      </c>
      <c r="I153" s="13">
        <v>42966.008553240739</v>
      </c>
      <c r="J153" s="7">
        <v>0</v>
      </c>
      <c r="K153" s="89" t="str">
        <f t="shared" si="64"/>
        <v>4011/4012</v>
      </c>
      <c r="L153" s="21" t="str">
        <f>VLOOKUP(A153,'Trips&amp;Operators'!$C$1:$G$99999,5,FALSE)</f>
        <v>ELBAUM MIKE</v>
      </c>
      <c r="M153" s="6">
        <f t="shared" si="65"/>
        <v>2.8831018520577345E-2</v>
      </c>
      <c r="N153" s="7">
        <f t="shared" si="60"/>
        <v>41.516666669631377</v>
      </c>
      <c r="O153" s="7"/>
      <c r="P153" s="7"/>
      <c r="Q153" s="22"/>
      <c r="R153" s="170"/>
      <c r="S153" s="213">
        <f t="shared" si="63"/>
        <v>1</v>
      </c>
      <c r="T153" s="195" t="str">
        <f t="shared" si="66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7"/>
        <v>https://d0f6bd738d7f1b3e5a7ca70fe4ff75f0.us-east-1.aws.found.io/app/kibana#/discover/Steve-Slow-Train-Analysis-(2080s-and-2083s)?_g=(refreshInterval:(display:Off,pause:!f,section:0,value:0),time:(from:'2017-08-18T22:25:50-0600',mode:absolute,to:'2017-08-19T01:12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3" s="197" t="str">
        <f>IF(AA153&lt;VLOOKUP(AG153,Variables!$AC$3:$AD$8,2,FALSE),"Y","N")</f>
        <v>N</v>
      </c>
      <c r="X153" s="197">
        <f t="shared" si="80"/>
        <v>1</v>
      </c>
      <c r="Y153" s="197">
        <f t="shared" si="68"/>
        <v>4.7800000000000002E-2</v>
      </c>
      <c r="Z153" s="197">
        <f t="shared" si="69"/>
        <v>23.329799999999999</v>
      </c>
      <c r="AA153" s="197">
        <f t="shared" si="70"/>
        <v>23.282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6">
        <f t="shared" si="71"/>
        <v>239</v>
      </c>
      <c r="AE153" s="77" t="str">
        <f t="shared" si="72"/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AF153" s="74" t="str">
        <f t="shared" si="73"/>
        <v>"C:\Program Files (x86)\AstroGrep\AstroGrep.exe" /e /r /s /spath="%USERPROFILE%\AppData\Local\Temp\OnboardLogs" /stypes="app*4012*20170819*" /stext=" 06:.+((SYSTEM_STATE.+slice.+state.+changed )|(ment ac)|(multiple cpu faults)|(system.+state.+changed )|(\[timeout)|(PRM\|1\|D)|(kpr)|(kdp)|(train st.+moving)|(\|lc)|(penalty))"</v>
      </c>
      <c r="AG153" s="209" t="str">
        <f t="shared" si="74"/>
        <v>EC</v>
      </c>
      <c r="AH153" s="78" t="str">
        <f t="shared" si="75"/>
        <v>"%USERPROFILE%\Documents\GitHub\eaglep3\Utilities\RefineRTDCRunTimes.py" --tripid 239-18 --locoid 4012 --swversion DE.1.0.9.0 --startMP 204:478 --initTime 2017-08-18T23:25:50 --startdatetime 2017-08-18T23:30:48 --delay 1 --endMP 204:233298 --enddatetime 2017-08-19T00:12:19 --enforcementcount 0 &gt;&gt;C:\Users\stu\Documents\GitHub\eaglep3-reporting\EC\2017-08-18-refined-times.txt</v>
      </c>
      <c r="AI153" s="96" t="str">
        <f t="shared" si="76"/>
        <v>echo {"issue":{"subject":"","project_id":79,"tracker_id":40,"status_id":1,"priority_id":2,"assigned_to_id":23,"start_date":"2017-08-19","description":"","custom_fields":[{"id":1,"name":"Subdivision","value":"EC"},{"id":4,"name":"Milepost","value":"23.3298"},{"id":17,"name":"Train ID","value":"239-18"},{"id":16,"name":"Locomotive ID","value":"4012"},{"id":130,"name":"Impact","value":""},{"id":150,"name":"Time of Event (Mountain Time)","value":"00:12:19"},{"id":151,"name":"Denver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7"/>
        <v>start /low /b %USERPROFILE%\Documents\GitHub\eaglep3\Utilities\DownloadLogsFromS3.py --loco 4012 --day 2017-08-18</v>
      </c>
      <c r="AN153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06:12:19"},{"id":29,"name":"Sharepoint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870</v>
      </c>
      <c r="B154" s="7">
        <v>4011</v>
      </c>
      <c r="C154" s="21" t="s">
        <v>198</v>
      </c>
      <c r="D154" s="21" t="s">
        <v>949</v>
      </c>
      <c r="E154" s="13">
        <v>42966.010821759257</v>
      </c>
      <c r="F154" s="13">
        <v>42966.019004629627</v>
      </c>
      <c r="G154" s="7">
        <v>1</v>
      </c>
      <c r="H154" s="21" t="s">
        <v>451</v>
      </c>
      <c r="I154" s="13">
        <v>42966.045636574076</v>
      </c>
      <c r="J154" s="7">
        <v>0</v>
      </c>
      <c r="K154" s="89" t="str">
        <f t="shared" si="64"/>
        <v>4011/4012</v>
      </c>
      <c r="L154" s="21" t="str">
        <f>VLOOKUP(A154,'Trips&amp;Operators'!$C$1:$G$99999,5,FALSE)</f>
        <v>ELBAUM MIKE</v>
      </c>
      <c r="M154" s="6">
        <f t="shared" si="65"/>
        <v>2.6631944449036382E-2</v>
      </c>
      <c r="N154" s="7">
        <f t="shared" si="60"/>
        <v>38.35000000661239</v>
      </c>
      <c r="O154" s="7"/>
      <c r="P154" s="7"/>
      <c r="Q154" s="22"/>
      <c r="R154" s="170"/>
      <c r="S154" s="213">
        <f t="shared" si="63"/>
        <v>1</v>
      </c>
      <c r="T154" s="195" t="str">
        <f t="shared" si="66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7"/>
        <v>https://d0f6bd738d7f1b3e5a7ca70fe4ff75f0.us-east-1.aws.found.io/app/kibana#/discover/Steve-Slow-Train-Analysis-(2080s-and-2083s)?_g=(refreshInterval:(display:Off,pause:!f,section:0,value:0),time:(from:'2017-08-18T23:15:35-0600',mode:absolute,to:'2017-08-19T02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4" s="197" t="str">
        <f>IF(AA154&lt;VLOOKUP(AG154,Variables!$AC$3:$AD$8,2,FALSE),"Y","N")</f>
        <v>N</v>
      </c>
      <c r="X154" s="197">
        <f t="shared" si="80"/>
        <v>1</v>
      </c>
      <c r="Y154" s="197">
        <f t="shared" si="68"/>
        <v>23.297599999999999</v>
      </c>
      <c r="Z154" s="197">
        <f t="shared" si="69"/>
        <v>1.4500000000000001E-2</v>
      </c>
      <c r="AA154" s="197">
        <f t="shared" si="70"/>
        <v>23.283099999999997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6">
        <f t="shared" si="71"/>
        <v>240</v>
      </c>
      <c r="AE154" s="77" t="str">
        <f t="shared" si="72"/>
        <v>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 &amp; aws s3 cp s3://rtdc.mdm.uploadarchive.raw/RTDC4011/ "%USERPROFILE%\AppData\Local\Temp\OnboardLogs"\RTDC4011\2017-08-20 --exclude "*" --recursive --include "*20170820*" &amp; "%USERPROFILE%\Documents\GitHub\mrs-test-scripts\Headless Mode &amp; Sideloading\WalkAndUnGZ.bat" "%USERPROFILE%\AppData\Local\Temp\OnboardLogs"\RTDC4011\2017-08-20</v>
      </c>
      <c r="AF154" s="74" t="str">
        <f t="shared" si="73"/>
        <v>"C:\Program Files (x86)\AstroGrep\AstroGrep.exe" /e /r /s /spath="%USERPROFILE%\AppData\Local\Temp\OnboardLogs" /stypes="app*4011*20170819*" /stext=" 07:.+((SYSTEM_STATE.+slice.+state.+changed )|(ment ac)|(multiple cpu faults)|(system.+state.+changed )|(\[timeout)|(PRM\|1\|D)|(kpr)|(kdp)|(train st.+moving)|(\|lc)|(penalty))"</v>
      </c>
      <c r="AG154" s="209" t="str">
        <f t="shared" si="74"/>
        <v>EC</v>
      </c>
      <c r="AH154" s="78" t="str">
        <f t="shared" si="75"/>
        <v>"%USERPROFILE%\Documents\GitHub\eaglep3\Utilities\RefineRTDCRunTimes.py" --tripid 240-18 --locoid 4011 --swversion DE.1.0.9.0 --startMP 204:232976 --initTime 2017-08-19T00:15:35 --startdatetime 2017-08-19T00:27:22 --delay 1 --endMP 204:145 --enddatetime 2017-08-19T01:05:43 --enforcementcount 0 &gt;&gt;C:\Users\stu\Documents\GitHub\eaglep3-reporting\EC\2017-08-18-refined-times.txt</v>
      </c>
      <c r="AI154" s="96" t="str">
        <f t="shared" si="76"/>
        <v>echo {"issue":{"subject":"","project_id":79,"tracker_id":40,"status_id":1,"priority_id":2,"assigned_to_id":23,"start_date":"2017-08-19","description":"","custom_fields":[{"id":1,"name":"Subdivision","value":"EC"},{"id":4,"name":"Milepost","value":"0.0145"},{"id":17,"name":"Train ID","value":"240-18"},{"id":16,"name":"Locomotive ID","value":"4011"},{"id":130,"name":"Impact","value":""},{"id":150,"name":"Time of Event (Mountain Time)","value":"01:05:43"},{"id":151,"name":"Denver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7"/>
        <v>start /low /b %USERPROFILE%\Documents\GitHub\eaglep3\Utilities\DownloadLogsFromS3.py --loco 4011 --day 2017-08-19</v>
      </c>
      <c r="AN154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07:05:43"},{"id":29,"name":"Sharepoint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867</v>
      </c>
      <c r="B155" s="7">
        <v>4030</v>
      </c>
      <c r="C155" s="21" t="s">
        <v>198</v>
      </c>
      <c r="D155" s="21" t="s">
        <v>950</v>
      </c>
      <c r="E155" s="13">
        <v>42965.987685185188</v>
      </c>
      <c r="F155" s="13">
        <v>42966.000625000001</v>
      </c>
      <c r="G155" s="7">
        <v>1</v>
      </c>
      <c r="H155" s="21" t="s">
        <v>881</v>
      </c>
      <c r="I155" s="13">
        <v>42966.025613425925</v>
      </c>
      <c r="J155" s="7">
        <v>0</v>
      </c>
      <c r="K155" s="89" t="str">
        <f t="shared" si="64"/>
        <v>4029/4030</v>
      </c>
      <c r="L155" s="21" t="str">
        <f>VLOOKUP(A155,'Trips&amp;Operators'!$C$1:$G$99999,5,FALSE)</f>
        <v>PERKINS DARREN</v>
      </c>
      <c r="M155" s="6">
        <f t="shared" si="65"/>
        <v>2.4988425924675539E-2</v>
      </c>
      <c r="N155" s="7">
        <f t="shared" si="60"/>
        <v>35.983333331532776</v>
      </c>
      <c r="O155" s="7"/>
      <c r="P155" s="7"/>
      <c r="Q155" s="22"/>
      <c r="R155" s="170"/>
      <c r="S155" s="213">
        <f t="shared" si="63"/>
        <v>1</v>
      </c>
      <c r="T155" s="195" t="str">
        <f t="shared" si="66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7"/>
        <v>https://d0f6bd738d7f1b3e5a7ca70fe4ff75f0.us-east-1.aws.found.io/app/kibana#/discover/Steve-Slow-Train-Analysis-(2080s-and-2083s)?_g=(refreshInterval:(display:Off,pause:!f,section:0,value:0),time:(from:'2017-08-18T22:42:16-0600',mode:absolute,to:'2017-08-19T01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5" s="197" t="str">
        <f>IF(AA155&lt;VLOOKUP(AG155,Variables!$AC$3:$AD$8,2,FALSE),"Y","N")</f>
        <v>N</v>
      </c>
      <c r="X155" s="197">
        <f t="shared" si="80"/>
        <v>1</v>
      </c>
      <c r="Y155" s="197">
        <f t="shared" si="68"/>
        <v>4.0599999999999997E-2</v>
      </c>
      <c r="Z155" s="197">
        <f t="shared" si="69"/>
        <v>23.340800000000002</v>
      </c>
      <c r="AA155" s="197">
        <f t="shared" si="70"/>
        <v>23.3002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6">
        <f t="shared" si="71"/>
        <v>241</v>
      </c>
      <c r="AE155" s="77" t="str">
        <f t="shared" si="72"/>
        <v>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 &amp; aws s3 cp s3://rtdc.mdm.uploadarchive.raw/RTDC4030/ "%USERPROFILE%\AppData\Local\Temp\OnboardLogs"\RTDC4030\2017-08-20 --exclude "*" --recursive --include "*20170820*" &amp; "%USERPROFILE%\Documents\GitHub\mrs-test-scripts\Headless Mode &amp; Sideloading\WalkAndUnGZ.bat" "%USERPROFILE%\AppData\Local\Temp\OnboardLogs"\RTDC4030\2017-08-20</v>
      </c>
      <c r="AF155" s="74" t="str">
        <f t="shared" si="73"/>
        <v>"C:\Program Files (x86)\AstroGrep\AstroGrep.exe" /e /r /s /spath="%USERPROFILE%\AppData\Local\Temp\OnboardLogs" /stypes="app*4030*20170819*" /stext=" 06:.+((SYSTEM_STATE.+slice.+state.+changed )|(ment ac)|(multiple cpu faults)|(system.+state.+changed )|(\[timeout)|(PRM\|1\|D)|(kpr)|(kdp)|(train st.+moving)|(\|lc)|(penalty))"</v>
      </c>
      <c r="AG155" s="209" t="str">
        <f t="shared" si="74"/>
        <v>EC</v>
      </c>
      <c r="AH155" s="78" t="str">
        <f t="shared" si="75"/>
        <v>"%USERPROFILE%\Documents\GitHub\eaglep3\Utilities\RefineRTDCRunTimes.py" --tripid 241-18 --locoid 4030 --swversion DE.1.0.9.0 --startMP 204:406 --initTime 2017-08-18T23:42:16 --startdatetime 2017-08-19T00:00:54 --delay 1 --endMP 204:233408 --enddatetime 2017-08-19T00:36:53 --enforcementcount 0 &gt;&gt;C:\Users\stu\Documents\GitHub\eaglep3-reporting\EC\2017-08-18-refined-times.txt</v>
      </c>
      <c r="AI155" s="96" t="str">
        <f t="shared" si="76"/>
        <v>echo {"issue":{"subject":"","project_id":79,"tracker_id":40,"status_id":1,"priority_id":2,"assigned_to_id":23,"start_date":"2017-08-19","description":"","custom_fields":[{"id":1,"name":"Subdivision","value":"EC"},{"id":4,"name":"Milepost","value":"23.3408"},{"id":17,"name":"Train ID","value":"241-18"},{"id":16,"name":"Locomotive ID","value":"4030"},{"id":130,"name":"Impact","value":""},{"id":150,"name":"Time of Event (Mountain Time)","value":"00:36:53"},{"id":151,"name":"Denver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7"/>
        <v>start /low /b %USERPROFILE%\Documents\GitHub\eaglep3\Utilities\DownloadLogsFromS3.py --loco 4030 --day 2017-08-19</v>
      </c>
      <c r="AN155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06:36:53"},{"id":29,"name":"Sharepoint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872</v>
      </c>
      <c r="B156" s="7">
        <v>4029</v>
      </c>
      <c r="C156" s="21" t="s">
        <v>198</v>
      </c>
      <c r="D156" s="21" t="s">
        <v>951</v>
      </c>
      <c r="E156" s="13">
        <v>42966.03197916667</v>
      </c>
      <c r="F156" s="13">
        <v>42966.039768518516</v>
      </c>
      <c r="G156" s="7">
        <v>1</v>
      </c>
      <c r="H156" s="21" t="s">
        <v>952</v>
      </c>
      <c r="I156" s="13">
        <v>42966.06621527778</v>
      </c>
      <c r="J156" s="7">
        <v>0</v>
      </c>
      <c r="K156" s="89" t="str">
        <f t="shared" si="64"/>
        <v>4029/4030</v>
      </c>
      <c r="L156" s="21" t="str">
        <f>VLOOKUP(A156,'Trips&amp;Operators'!$C$1:$G$99999,5,FALSE)</f>
        <v>PERKINS DARREN</v>
      </c>
      <c r="M156" s="6">
        <f t="shared" si="65"/>
        <v>2.644675926421769E-2</v>
      </c>
      <c r="N156" s="7">
        <f t="shared" si="60"/>
        <v>38.083333340473473</v>
      </c>
      <c r="O156" s="7"/>
      <c r="P156" s="7"/>
      <c r="Q156" s="22"/>
      <c r="R156" s="170"/>
      <c r="S156" s="213">
        <f t="shared" si="63"/>
        <v>1</v>
      </c>
      <c r="T156" s="195" t="str">
        <f t="shared" si="66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67"/>
        <v>https://d0f6bd738d7f1b3e5a7ca70fe4ff75f0.us-east-1.aws.found.io/app/kibana#/discover/Steve-Slow-Train-Analysis-(2080s-and-2083s)?_g=(refreshInterval:(display:Off,pause:!f,section:0,value:0),time:(from:'2017-08-18T23:46:03-0600',mode:absolute,to:'2017-08-19T02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6" s="197" t="str">
        <f>IF(AA156&lt;VLOOKUP(AG156,Variables!$AC$3:$AD$8,2,FALSE),"Y","N")</f>
        <v>N</v>
      </c>
      <c r="X156" s="197">
        <f t="shared" si="80"/>
        <v>1</v>
      </c>
      <c r="Y156" s="197">
        <f t="shared" si="68"/>
        <v>23.309100000000001</v>
      </c>
      <c r="Z156" s="197">
        <f t="shared" si="69"/>
        <v>1.1900000000000001E-2</v>
      </c>
      <c r="AA156" s="197">
        <f t="shared" si="70"/>
        <v>23.2972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6">
        <f t="shared" si="71"/>
        <v>242</v>
      </c>
      <c r="AE156" s="77" t="str">
        <f t="shared" si="72"/>
        <v>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 &amp; aws s3 cp s3://rtdc.mdm.uploadarchive.raw/RTDC4029/ "%USERPROFILE%\AppData\Local\Temp\OnboardLogs"\RTDC4029\2017-08-20 --exclude "*" --recursive --include "*20170820*" &amp; "%USERPROFILE%\Documents\GitHub\mrs-test-scripts\Headless Mode &amp; Sideloading\WalkAndUnGZ.bat" "%USERPROFILE%\AppData\Local\Temp\OnboardLogs"\RTDC4029\2017-08-20</v>
      </c>
      <c r="AF156" s="74" t="str">
        <f t="shared" si="73"/>
        <v>"C:\Program Files (x86)\AstroGrep\AstroGrep.exe" /e /r /s /spath="%USERPROFILE%\AppData\Local\Temp\OnboardLogs" /stypes="app*4029*20170819*" /stext=" 07:.+((SYSTEM_STATE.+slice.+state.+changed )|(ment ac)|(multiple cpu faults)|(system.+state.+changed )|(\[timeout)|(PRM\|1\|D)|(kpr)|(kdp)|(train st.+moving)|(\|lc)|(penalty))"</v>
      </c>
      <c r="AG156" s="209" t="str">
        <f t="shared" si="74"/>
        <v>EC</v>
      </c>
      <c r="AH156" s="78" t="str">
        <f t="shared" si="75"/>
        <v>"%USERPROFILE%\Documents\GitHub\eaglep3\Utilities\RefineRTDCRunTimes.py" --tripid 242-18 --locoid 4029 --swversion DE.1.0.9.0 --startMP 204:233091 --initTime 2017-08-19T00:46:03 --startdatetime 2017-08-19T00:57:16 --delay 1 --endMP 204:119 --enddatetime 2017-08-19T01:35:21 --enforcementcount 0 &gt;&gt;C:\Users\stu\Documents\GitHub\eaglep3-reporting\EC\2017-08-18-refined-times.txt</v>
      </c>
      <c r="AI156" s="96" t="str">
        <f t="shared" si="76"/>
        <v>echo {"issue":{"subject":"","project_id":79,"tracker_id":40,"status_id":1,"priority_id":2,"assigned_to_id":23,"start_date":"2017-08-19","description":"","custom_fields":[{"id":1,"name":"Subdivision","value":"EC"},{"id":4,"name":"Milepost","value":"0.0119"},{"id":17,"name":"Train ID","value":"242-18"},{"id":16,"name":"Locomotive ID","value":"4029"},{"id":130,"name":"Impact","value":""},{"id":150,"name":"Time of Event (Mountain Time)","value":"01:35:21"},{"id":151,"name":"Denver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7"/>
        <v>start /low /b %USERPROFILE%\Documents\GitHub\eaglep3\Utilities\DownloadLogsFromS3.py --loco 4029 --day 2017-08-19</v>
      </c>
      <c r="AN156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07:35:21"},{"id":29,"name":"Sharepoint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869</v>
      </c>
      <c r="B157" s="7">
        <v>4028</v>
      </c>
      <c r="C157" s="21" t="s">
        <v>198</v>
      </c>
      <c r="D157" s="21" t="s">
        <v>393</v>
      </c>
      <c r="E157" s="13">
        <v>42966.005335648151</v>
      </c>
      <c r="F157" s="13">
        <v>42966.021458333336</v>
      </c>
      <c r="G157" s="7">
        <v>1</v>
      </c>
      <c r="H157" s="21" t="s">
        <v>480</v>
      </c>
      <c r="I157" s="13">
        <v>42966.046087962961</v>
      </c>
      <c r="J157" s="7">
        <v>0</v>
      </c>
      <c r="K157" s="89" t="str">
        <f t="shared" si="64"/>
        <v>4027/4028</v>
      </c>
      <c r="L157" s="21" t="str">
        <f>VLOOKUP(A157,'Trips&amp;Operators'!$C$1:$G$99999,5,FALSE)</f>
        <v>FORTUNATO FRANK</v>
      </c>
      <c r="M157" s="6">
        <f t="shared" si="65"/>
        <v>2.4629629624541849E-2</v>
      </c>
      <c r="N157" s="7">
        <f t="shared" si="60"/>
        <v>35.466666659340262</v>
      </c>
      <c r="O157" s="7"/>
      <c r="P157" s="7"/>
      <c r="Q157" s="22"/>
      <c r="R157" s="170"/>
      <c r="S157" s="213">
        <f t="shared" si="63"/>
        <v>1</v>
      </c>
      <c r="T157" s="195" t="str">
        <f t="shared" si="66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7"/>
        <v>https://d0f6bd738d7f1b3e5a7ca70fe4ff75f0.us-east-1.aws.found.io/app/kibana#/discover/Steve-Slow-Train-Analysis-(2080s-and-2083s)?_g=(refreshInterval:(display:Off,pause:!f,section:0,value:0),time:(from:'2017-08-18T23:07:41-0600',mode:absolute,to:'2017-08-19T02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7" s="197" t="str">
        <f>IF(AA157&lt;VLOOKUP(AG157,Variables!$AC$3:$AD$8,2,FALSE),"Y","N")</f>
        <v>N</v>
      </c>
      <c r="X157" s="197">
        <f t="shared" si="80"/>
        <v>1</v>
      </c>
      <c r="Y157" s="197">
        <f t="shared" si="68"/>
        <v>4.5499999999999999E-2</v>
      </c>
      <c r="Z157" s="197">
        <f t="shared" si="69"/>
        <v>23.3308</v>
      </c>
      <c r="AA157" s="197">
        <f t="shared" si="70"/>
        <v>23.285299999999999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6">
        <f t="shared" si="71"/>
        <v>243</v>
      </c>
      <c r="AE157" s="77" t="str">
        <f t="shared" si="72"/>
        <v>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 &amp; 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</v>
      </c>
      <c r="AF157" s="74" t="str">
        <f t="shared" si="73"/>
        <v>"C:\Program Files (x86)\AstroGrep\AstroGrep.exe" /e /r /s /spath="%USERPROFILE%\AppData\Local\Temp\OnboardLogs" /stypes="app*4028*20170819*" /stext=" 07:.+((SYSTEM_STATE.+slice.+state.+changed )|(ment ac)|(multiple cpu faults)|(system.+state.+changed )|(\[timeout)|(PRM\|1\|D)|(kpr)|(kdp)|(train st.+moving)|(\|lc)|(penalty))"</v>
      </c>
      <c r="AG157" s="209" t="str">
        <f t="shared" si="74"/>
        <v>EC</v>
      </c>
      <c r="AH157" s="78" t="str">
        <f t="shared" si="75"/>
        <v>"%USERPROFILE%\Documents\GitHub\eaglep3\Utilities\RefineRTDCRunTimes.py" --tripid 243-18 --locoid 4028 --swversion DE.1.0.9.0 --startMP 204:455 --initTime 2017-08-19T00:07:41 --startdatetime 2017-08-19T00:30:54 --delay 1 --endMP 204:233308 --enddatetime 2017-08-19T01:06:22 --enforcementcount 0 &gt;&gt;C:\Users\stu\Documents\GitHub\eaglep3-reporting\EC\2017-08-18-refined-times.txt</v>
      </c>
      <c r="AI157" s="96" t="str">
        <f t="shared" si="76"/>
        <v>echo {"issue":{"subject":"","project_id":79,"tracker_id":40,"status_id":1,"priority_id":2,"assigned_to_id":23,"start_date":"2017-08-19","description":"","custom_fields":[{"id":1,"name":"Subdivision","value":"EC"},{"id":4,"name":"Milepost","value":"23.3308"},{"id":17,"name":"Train ID","value":"243-18"},{"id":16,"name":"Locomotive ID","value":"4028"},{"id":130,"name":"Impact","value":""},{"id":150,"name":"Time of Event (Mountain Time)","value":"01:06:22"},{"id":151,"name":"Denver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7"/>
        <v>start /low /b %USERPROFILE%\Documents\GitHub\eaglep3\Utilities\DownloadLogsFromS3.py --loco 4028 --day 2017-08-19</v>
      </c>
      <c r="AN157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07:06:22"},{"id":29,"name":"Sharepoint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873</v>
      </c>
      <c r="B158" s="7">
        <v>4027</v>
      </c>
      <c r="C158" s="21" t="s">
        <v>198</v>
      </c>
      <c r="D158" s="21" t="s">
        <v>602</v>
      </c>
      <c r="E158" s="13">
        <v>42966.047858796293</v>
      </c>
      <c r="F158" s="13">
        <v>42966.060706018521</v>
      </c>
      <c r="G158" s="7">
        <v>1</v>
      </c>
      <c r="H158" s="21" t="s">
        <v>349</v>
      </c>
      <c r="I158" s="13">
        <v>42966.086759259262</v>
      </c>
      <c r="J158" s="7">
        <v>0</v>
      </c>
      <c r="K158" s="89" t="str">
        <f t="shared" si="64"/>
        <v>4027/4028</v>
      </c>
      <c r="L158" s="21" t="str">
        <f>VLOOKUP(A158,'Trips&amp;Operators'!$C$1:$G$99999,5,FALSE)</f>
        <v>FORTUNATO FRANK</v>
      </c>
      <c r="M158" s="6">
        <f t="shared" si="65"/>
        <v>2.6053240741021E-2</v>
      </c>
      <c r="N158" s="7">
        <f t="shared" si="60"/>
        <v>37.51666666707024</v>
      </c>
      <c r="O158" s="7"/>
      <c r="P158" s="7"/>
      <c r="Q158" s="22"/>
      <c r="R158" s="170"/>
      <c r="S158" s="213">
        <f t="shared" si="63"/>
        <v>1</v>
      </c>
      <c r="T158" s="195" t="str">
        <f t="shared" si="66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67"/>
        <v>https://d0f6bd738d7f1b3e5a7ca70fe4ff75f0.us-east-1.aws.found.io/app/kibana#/discover/Steve-Slow-Train-Analysis-(2080s-and-2083s)?_g=(refreshInterval:(display:Off,pause:!f,section:0,value:0),time:(from:'2017-08-19T00:08:55-0600',mode:absolute,to:'2017-08-19T03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8" s="197" t="str">
        <f>IF(AA158&lt;VLOOKUP(AG158,Variables!$AC$3:$AD$8,2,FALSE),"Y","N")</f>
        <v>N</v>
      </c>
      <c r="X158" s="197">
        <f t="shared" si="80"/>
        <v>1</v>
      </c>
      <c r="Y158" s="197">
        <f t="shared" si="68"/>
        <v>23.3002</v>
      </c>
      <c r="Z158" s="197">
        <f t="shared" si="69"/>
        <v>1.41E-2</v>
      </c>
      <c r="AA158" s="197">
        <f t="shared" si="70"/>
        <v>23.286100000000001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6">
        <f t="shared" si="71"/>
        <v>244</v>
      </c>
      <c r="AE158" s="77" t="str">
        <f t="shared" si="72"/>
        <v>aws s3 cp s3://rtdc.mdm.uploadarchive.raw/RTDC4027/ "%USERPROFILE%\AppData\Local\Temp\OnboardLogs"\RTDC4027\2017-08-19 --exclude "*" --recursive --include "*20170819*" &amp; "%USERPROFILE%\Documents\GitHub\mrs-test-scripts\Headless Mode &amp; Sideloading\WalkAndUnGZ.bat" "%USERPROFILE%\AppData\Local\Temp\OnboardLogs"\RTDC4027\2017-08-19 &amp; aws s3 cp s3://rtdc.mdm.uploadarchive.raw/RTDC4027/ "%USERPROFILE%\AppData\Local\Temp\OnboardLogs"\RTDC4027\2017-08-20 --exclude "*" --recursive --include "*20170820*" &amp; "%USERPROFILE%\Documents\GitHub\mrs-test-scripts\Headless Mode &amp; Sideloading\WalkAndUnGZ.bat" "%USERPROFILE%\AppData\Local\Temp\OnboardLogs"\RTDC4027\2017-08-20</v>
      </c>
      <c r="AF158" s="74" t="str">
        <f t="shared" si="73"/>
        <v>"C:\Program Files (x86)\AstroGrep\AstroGrep.exe" /e /r /s /spath="%USERPROFILE%\AppData\Local\Temp\OnboardLogs" /stypes="app*4027*20170819*" /stext=" 08:.+((SYSTEM_STATE.+slice.+state.+changed )|(ment ac)|(multiple cpu faults)|(system.+state.+changed )|(\[timeout)|(PRM\|1\|D)|(kpr)|(kdp)|(train st.+moving)|(\|lc)|(penalty))"</v>
      </c>
      <c r="AG158" s="209" t="str">
        <f t="shared" si="74"/>
        <v>EC</v>
      </c>
      <c r="AH158" s="78" t="str">
        <f t="shared" si="75"/>
        <v>"%USERPROFILE%\Documents\GitHub\eaglep3\Utilities\RefineRTDCRunTimes.py" --tripid 244-18 --locoid 4027 --swversion DE.1.0.9.0 --startMP 204:233002 --initTime 2017-08-19T01:08:55 --startdatetime 2017-08-19T01:27:25 --delay 1 --endMP 204:141 --enddatetime 2017-08-19T02:04:56 --enforcementcount 0 &gt;&gt;C:\Users\stu\Documents\GitHub\eaglep3-reporting\EC\2017-08-18-refined-times.txt</v>
      </c>
      <c r="AI158" s="96" t="str">
        <f t="shared" si="76"/>
        <v>echo {"issue":{"subject":"","project_id":79,"tracker_id":40,"status_id":1,"priority_id":2,"assigned_to_id":23,"start_date":"2017-08-19","description":"","custom_fields":[{"id":1,"name":"Subdivision","value":"EC"},{"id":4,"name":"Milepost","value":"0.0141"},{"id":17,"name":"Train ID","value":"244-18"},{"id":16,"name":"Locomotive ID","value":"4027"},{"id":130,"name":"Impact","value":""},{"id":150,"name":"Time of Event (Mountain Time)","value":"02:04:56"},{"id":151,"name":"Denver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7"/>
        <v>start /low /b %USERPROFILE%\Documents\GitHub\eaglep3\Utilities\DownloadLogsFromS3.py --loco 4027 --day 2017-08-19</v>
      </c>
      <c r="AN158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08:04:56"},{"id":29,"name":"Sharepoint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871</v>
      </c>
      <c r="B159" s="7">
        <v>4040</v>
      </c>
      <c r="C159" s="21" t="s">
        <v>198</v>
      </c>
      <c r="D159" s="21" t="s">
        <v>403</v>
      </c>
      <c r="E159" s="13">
        <v>42966.029317129629</v>
      </c>
      <c r="F159" s="13">
        <v>42966.042199074072</v>
      </c>
      <c r="G159" s="7">
        <v>2</v>
      </c>
      <c r="H159" s="21" t="s">
        <v>610</v>
      </c>
      <c r="I159" s="13">
        <v>42966.066782407404</v>
      </c>
      <c r="J159" s="7">
        <v>0</v>
      </c>
      <c r="K159" s="89" t="str">
        <f t="shared" si="64"/>
        <v>4039/4040</v>
      </c>
      <c r="L159" s="21" t="str">
        <f>VLOOKUP(A159,'Trips&amp;Operators'!$C$1:$G$99999,5,FALSE)</f>
        <v>RESPASS AARON</v>
      </c>
      <c r="M159" s="6">
        <f t="shared" si="65"/>
        <v>2.4583333331975155E-2</v>
      </c>
      <c r="N159" s="7">
        <f t="shared" si="60"/>
        <v>35.399999998044223</v>
      </c>
      <c r="O159" s="7"/>
      <c r="P159" s="7"/>
      <c r="Q159" s="22"/>
      <c r="R159" s="170"/>
      <c r="S159" s="213">
        <f t="shared" si="63"/>
        <v>1</v>
      </c>
      <c r="T159" s="195" t="str">
        <f t="shared" si="66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67"/>
        <v>https://d0f6bd738d7f1b3e5a7ca70fe4ff75f0.us-east-1.aws.found.io/app/kibana#/discover/Steve-Slow-Train-Analysis-(2080s-and-2083s)?_g=(refreshInterval:(display:Off,pause:!f,section:0,value:0),time:(from:'2017-08-18T23:42:13-0600',mode:absolute,to:'2017-08-19T02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9" s="197" t="str">
        <f>IF(AA159&lt;VLOOKUP(AG159,Variables!$AC$3:$AD$8,2,FALSE),"Y","N")</f>
        <v>N</v>
      </c>
      <c r="X159" s="197">
        <f t="shared" si="80"/>
        <v>1</v>
      </c>
      <c r="Y159" s="197">
        <f t="shared" si="68"/>
        <v>4.58E-2</v>
      </c>
      <c r="Z159" s="197">
        <f t="shared" si="69"/>
        <v>23.333400000000001</v>
      </c>
      <c r="AA159" s="197">
        <f t="shared" si="70"/>
        <v>23.287600000000001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6">
        <f t="shared" si="71"/>
        <v>245</v>
      </c>
      <c r="AE159" s="77" t="str">
        <f t="shared" si="72"/>
        <v>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 &amp; aws s3 cp s3://rtdc.mdm.uploadarchive.raw/RTDC4040/ "%USERPROFILE%\AppData\Local\Temp\OnboardLogs"\RTDC4040\2017-08-20 --exclude "*" --recursive --include "*20170820*" &amp; "%USERPROFILE%\Documents\GitHub\mrs-test-scripts\Headless Mode &amp; Sideloading\WalkAndUnGZ.bat" "%USERPROFILE%\AppData\Local\Temp\OnboardLogs"\RTDC4040\2017-08-20</v>
      </c>
      <c r="AF159" s="74" t="str">
        <f t="shared" si="73"/>
        <v>"C:\Program Files (x86)\AstroGrep\AstroGrep.exe" /e /r /s /spath="%USERPROFILE%\AppData\Local\Temp\OnboardLogs" /stypes="app*4040*20170819*" /stext=" 07:.+((SYSTEM_STATE.+slice.+state.+changed )|(ment ac)|(multiple cpu faults)|(system.+state.+changed )|(\[timeout)|(PRM\|1\|D)|(kpr)|(kdp)|(train st.+moving)|(\|lc)|(penalty))"</v>
      </c>
      <c r="AG159" s="209" t="str">
        <f t="shared" si="74"/>
        <v>EC</v>
      </c>
      <c r="AH159" s="78" t="str">
        <f t="shared" si="75"/>
        <v>"%USERPROFILE%\Documents\GitHub\eaglep3\Utilities\RefineRTDCRunTimes.py" --tripid 245-18 --locoid 4040 --swversion DE.1.0.9.0 --startMP 204:458 --initTime 2017-08-19T00:42:13 --startdatetime 2017-08-19T01:00:46 --delay 2 --endMP 204:233334 --enddatetime 2017-08-19T01:36:10 --enforcementcount 0 &gt;&gt;C:\Users\stu\Documents\GitHub\eaglep3-reporting\EC\2017-08-18-refined-times.txt</v>
      </c>
      <c r="AI159" s="96" t="str">
        <f t="shared" si="76"/>
        <v>echo {"issue":{"subject":"","project_id":79,"tracker_id":40,"status_id":1,"priority_id":2,"assigned_to_id":23,"start_date":"2017-08-19","description":"","custom_fields":[{"id":1,"name":"Subdivision","value":"EC"},{"id":4,"name":"Milepost","value":"23.3334"},{"id":17,"name":"Train ID","value":"245-18"},{"id":16,"name":"Locomotive ID","value":"4040"},{"id":130,"name":"Impact","value":""},{"id":150,"name":"Time of Event (Mountain Time)","value":"01:36:10"},{"id":151,"name":"Denver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77"/>
        <v>start /low /b %USERPROFILE%\Documents\GitHub\eaglep3\Utilities\DownloadLogsFromS3.py --loco 4040 --day 2017-08-19</v>
      </c>
      <c r="AN159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07:36:10"},{"id":29,"name":"Sharepoint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878</v>
      </c>
      <c r="B160" s="7">
        <v>4039</v>
      </c>
      <c r="C160" s="21" t="s">
        <v>198</v>
      </c>
      <c r="D160" s="21" t="s">
        <v>953</v>
      </c>
      <c r="E160" s="13">
        <v>42966.092928240738</v>
      </c>
      <c r="F160" s="13">
        <v>42966.093935185185</v>
      </c>
      <c r="G160" s="7">
        <v>1</v>
      </c>
      <c r="H160" s="21" t="s">
        <v>506</v>
      </c>
      <c r="I160" s="13">
        <v>42966.110983796294</v>
      </c>
      <c r="J160" s="7">
        <v>0</v>
      </c>
      <c r="K160" s="89" t="str">
        <f t="shared" si="64"/>
        <v>4039/4040</v>
      </c>
      <c r="L160" s="21" t="str">
        <f>VLOOKUP(A160,'Trips&amp;Operators'!$C$1:$G$99999,5,FALSE)</f>
        <v>RESPASS AARON</v>
      </c>
      <c r="M160" s="6">
        <f t="shared" si="65"/>
        <v>1.7048611109203193E-2</v>
      </c>
      <c r="N160" s="7"/>
      <c r="O160" s="7"/>
      <c r="P160" s="7">
        <f>24*60*SUM($M160:$M160)</f>
        <v>24.549999997252598</v>
      </c>
      <c r="Q160" s="22"/>
      <c r="R160" s="170" t="s">
        <v>483</v>
      </c>
      <c r="S160" s="213">
        <f t="shared" si="63"/>
        <v>1</v>
      </c>
      <c r="T160" s="195" t="str">
        <f t="shared" si="66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67"/>
        <v>https://d0f6bd738d7f1b3e5a7ca70fe4ff75f0.us-east-1.aws.found.io/app/kibana#/discover/Steve-Slow-Train-Analysis-(2080s-and-2083s)?_g=(refreshInterval:(display:Off,pause:!f,section:0,value:0),time:(from:'2017-08-19T01:13:49-0600',mode:absolute,to:'2017-08-19T03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197" t="str">
        <f>IF(AA160&lt;VLOOKUP(AG160,Variables!$AC$3:$AD$8,2,FALSE),"Y","N")</f>
        <v>Y</v>
      </c>
      <c r="X160" s="197">
        <f t="shared" si="80"/>
        <v>1</v>
      </c>
      <c r="Y160" s="197">
        <f t="shared" si="68"/>
        <v>12.7872</v>
      </c>
      <c r="Z160" s="197">
        <f t="shared" si="69"/>
        <v>1.5599999999999999E-2</v>
      </c>
      <c r="AA160" s="197">
        <f t="shared" si="70"/>
        <v>12.771600000000001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6">
        <f t="shared" si="71"/>
        <v>246</v>
      </c>
      <c r="AE160" s="77" t="str">
        <f t="shared" si="72"/>
        <v>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 &amp; aws s3 cp s3://rtdc.mdm.uploadarchive.raw/RTDC4039/ "%USERPROFILE%\AppData\Local\Temp\OnboardLogs"\RTDC4039\2017-08-20 --exclude "*" --recursive --include "*20170820*" &amp; "%USERPROFILE%\Documents\GitHub\mrs-test-scripts\Headless Mode &amp; Sideloading\WalkAndUnGZ.bat" "%USERPROFILE%\AppData\Local\Temp\OnboardLogs"\RTDC4039\2017-08-20</v>
      </c>
      <c r="AF160" s="74" t="str">
        <f t="shared" si="73"/>
        <v>"C:\Program Files (x86)\AstroGrep\AstroGrep.exe" /e /r /s /spath="%USERPROFILE%\AppData\Local\Temp\OnboardLogs" /stypes="app*4039*20170819*" /stext=" 08:.+((SYSTEM_STATE.+slice.+state.+changed )|(ment ac)|(multiple cpu faults)|(system.+state.+changed )|(\[timeout)|(PRM\|1\|D)|(kpr)|(kdp)|(train st.+moving)|(\|lc)|(penalty))"</v>
      </c>
      <c r="AG160" s="209" t="str">
        <f t="shared" si="74"/>
        <v>EC</v>
      </c>
      <c r="AH160" s="78" t="str">
        <f t="shared" si="75"/>
        <v>"%USERPROFILE%\Documents\GitHub\eaglep3\Utilities\RefineRTDCRunTimes.py" --tripid 246-18 --locoid 4039 --swversion DE.1.0.9.0 --startMP 204:127872 --initTime 2017-08-19T02:13:49 --startdatetime 2017-08-19T02:15:16 --delay 1 --endMP 204:156 --enddatetime 2017-08-19T02:39:49 --enforcementcount 0 &gt;&gt;C:\Users\stu\Documents\GitHub\eaglep3-reporting\EC\2017-08-18-refined-times.txt</v>
      </c>
      <c r="AI160" s="96" t="str">
        <f t="shared" si="76"/>
        <v>echo {"issue":{"subject":"Wi-MAX data drop","project_id":79,"tracker_id":40,"status_id":1,"priority_id":2,"assigned_to_id":23,"start_date":"2017-08-19","description":"","custom_fields":[{"id":1,"name":"Subdivision","value":"EC"},{"id":4,"name":"Milepost","value":"0.0156"},{"id":17,"name":"Train ID","value":"246-18"},{"id":16,"name":"Locomotive ID","value":"4039"},{"id":130,"name":"Impact","value":""},{"id":150,"name":"Time of Event (Mountain Time)","value":"02:39:49"},{"id":151,"name":"Denver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77"/>
        <v>start /low /b %USERPROFILE%\Documents\GitHub\eaglep3\Utilities\DownloadLogsFromS3.py --loco 4039 --day 2017-08-19</v>
      </c>
      <c r="AN160" s="151" t="str">
        <f t="shared" si="78"/>
        <v>echo {"issue":{"subject":"Wi-MAX data drop","project_id":30,"tracker_id":4,"status_id":1,"priority_id":1,"assigned_to_id":10,"start_date":"2017-08-19","description":"","custom_fields":[{"id":30,"name":"Category","value":"Issue"},{"id":3,"name":"Functional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08:39:49"},{"id":29,"name":"Sharepoint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878</v>
      </c>
      <c r="B161" s="7">
        <v>4039</v>
      </c>
      <c r="C161" s="21" t="s">
        <v>198</v>
      </c>
      <c r="D161" s="21" t="s">
        <v>912</v>
      </c>
      <c r="E161" s="13">
        <v>42966.077094907407</v>
      </c>
      <c r="F161" s="13">
        <v>42966.093935185185</v>
      </c>
      <c r="G161" s="7">
        <v>1</v>
      </c>
      <c r="H161" s="21" t="s">
        <v>614</v>
      </c>
      <c r="I161" s="13">
        <v>42966.110983796294</v>
      </c>
      <c r="J161" s="7">
        <v>0</v>
      </c>
      <c r="K161" s="89" t="str">
        <f t="shared" si="64"/>
        <v>4039/4040</v>
      </c>
      <c r="L161" s="21" t="str">
        <f>VLOOKUP(A161,'Trips&amp;Operators'!$C$1:$G$99999,5,FALSE)</f>
        <v>RESPASS AARON</v>
      </c>
      <c r="M161" s="6">
        <f t="shared" si="65"/>
        <v>1.7048611109203193E-2</v>
      </c>
      <c r="N161" s="7"/>
      <c r="O161" s="7"/>
      <c r="P161" s="7"/>
      <c r="Q161" s="22"/>
      <c r="R161" s="170"/>
      <c r="S161" s="213"/>
      <c r="T161" s="195" t="str">
        <f t="shared" si="66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196" t="str">
        <f t="shared" si="67"/>
        <v>https://d0f6bd738d7f1b3e5a7ca70fe4ff75f0.us-east-1.aws.found.io/app/kibana#/discover/Steve-Slow-Train-Analysis-(2080s-and-2083s)?_g=(refreshInterval:(display:Off,pause:!f,section:0,value:0),time:(from:'2017-08-19T00:51:01-0600',mode:absolute,to:'2017-08-19T03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1" s="197" t="str">
        <f>IF(AA161&lt;VLOOKUP(AG161,Variables!$AC$3:$AD$8,2,FALSE),"Y","N")</f>
        <v>Y</v>
      </c>
      <c r="X161" s="197">
        <f t="shared" si="80"/>
        <v>0</v>
      </c>
      <c r="Y161" s="197">
        <f t="shared" si="68"/>
        <v>23.2973</v>
      </c>
      <c r="Z161" s="197">
        <f t="shared" si="69"/>
        <v>12.7867</v>
      </c>
      <c r="AA161" s="197">
        <f t="shared" si="70"/>
        <v>10.5106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6">
        <f t="shared" si="71"/>
        <v>246</v>
      </c>
      <c r="AE161" s="77" t="str">
        <f t="shared" si="72"/>
        <v>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 &amp; aws s3 cp s3://rtdc.mdm.uploadarchive.raw/RTDC4039/ "%USERPROFILE%\AppData\Local\Temp\OnboardLogs"\RTDC4039\2017-08-20 --exclude "*" --recursive --include "*20170820*" &amp; "%USERPROFILE%\Documents\GitHub\mrs-test-scripts\Headless Mode &amp; Sideloading\WalkAndUnGZ.bat" "%USERPROFILE%\AppData\Local\Temp\OnboardLogs"\RTDC4039\2017-08-20</v>
      </c>
      <c r="AF161" s="74" t="str">
        <f t="shared" si="73"/>
        <v>"C:\Program Files (x86)\AstroGrep\AstroGrep.exe" /e /r /s /spath="%USERPROFILE%\AppData\Local\Temp\OnboardLogs" /stypes="app*4039*20170819*" /stext=" 08:.+((SYSTEM_STATE.+slice.+state.+changed )|(ment ac)|(multiple cpu faults)|(system.+state.+changed )|(\[timeout)|(PRM\|1\|D)|(kpr)|(kdp)|(train st.+moving)|(\|lc)|(penalty))"</v>
      </c>
      <c r="AG161" s="209" t="str">
        <f t="shared" si="74"/>
        <v>EC</v>
      </c>
      <c r="AH161" s="78" t="str">
        <f t="shared" si="75"/>
        <v>"%USERPROFILE%\Documents\GitHub\eaglep3\Utilities\RefineRTDCRunTimes.py" --tripid 246-18 --locoid 4039 --swversion DE.1.0.9.0 --startMP 204:232973 --initTime 2017-08-19T01:51:01 --startdatetime 2017-08-19T02:15:16 --delay 1 --endMP 204:127867 --enddatetime 2017-08-19T02:39:49 --enforcementcount 0 &gt;&gt;C:\Users\stu\Documents\GitHub\eaglep3-reporting\EC\2017-08-18-refined-times.txt</v>
      </c>
      <c r="AI161" s="96" t="str">
        <f t="shared" si="76"/>
        <v>echo {"issue":{"subject":"","project_id":79,"tracker_id":40,"status_id":1,"priority_id":2,"assigned_to_id":23,"start_date":"2017-08-19","description":"","custom_fields":[{"id":1,"name":"Subdivision","value":"EC"},{"id":4,"name":"Milepost","value":"12.7867"},{"id":17,"name":"Train ID","value":"246-18"},{"id":16,"name":"Locomotive ID","value":"4039"},{"id":130,"name":"Impact","value":""},{"id":150,"name":"Time of Event (Mountain Time)","value":"02:39:49"},{"id":151,"name":"Denver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7"/>
        <v>start /low /b %USERPROFILE%\Documents\GitHub\eaglep3\Utilities\DownloadLogsFromS3.py --loco 4039 --day 2017-08-19</v>
      </c>
      <c r="AN161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08:39:49"},{"id":29,"name":"Sharepoint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643</v>
      </c>
      <c r="B162" s="7">
        <v>4057</v>
      </c>
      <c r="C162" s="21" t="s">
        <v>198</v>
      </c>
      <c r="D162" s="21" t="s">
        <v>510</v>
      </c>
      <c r="E162" s="13">
        <v>42965.20585648148</v>
      </c>
      <c r="F162" s="13">
        <v>42965.217407407406</v>
      </c>
      <c r="G162" s="7">
        <v>1</v>
      </c>
      <c r="H162" s="21" t="s">
        <v>975</v>
      </c>
      <c r="I162" s="13">
        <v>42965.225405092591</v>
      </c>
      <c r="J162" s="7">
        <v>0</v>
      </c>
      <c r="K162" s="89" t="str">
        <f t="shared" si="64"/>
        <v>4057/4058</v>
      </c>
      <c r="L162" s="21" t="str">
        <f>VLOOKUP(A162,'Trips&amp;Operators'!$C$1:$G$99999,5,FALSE)</f>
        <v>PAGE MARCUS</v>
      </c>
      <c r="M162" s="6">
        <f t="shared" si="65"/>
        <v>7.9976851848186925E-3</v>
      </c>
      <c r="N162" s="7">
        <f t="shared" ref="N162:N178" si="81">24*60*SUM($M162:$M162)</f>
        <v>11.516666666138917</v>
      </c>
      <c r="O162" s="7"/>
      <c r="P162" s="7"/>
      <c r="Q162" s="22"/>
      <c r="R162" s="170"/>
      <c r="S162" s="213">
        <f t="shared" ref="S162:S193" si="82">1/IF(AG162="EC",12,1)*SUM(U162:U162)</f>
        <v>1</v>
      </c>
      <c r="T162" s="195" t="str">
        <f t="shared" si="66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67"/>
        <v>https://d0f6bd738d7f1b3e5a7ca70fe4ff75f0.us-east-1.aws.found.io/app/kibana#/discover/Steve-Slow-Train-Analysis-(2080s-and-2083s)?_g=(refreshInterval:(display:Off,pause:!f,section:0,value:0),time:(from:'2017-08-18T03:56:26-0600',mode:absolute,to:'2017-08-18T06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2" s="197" t="str">
        <f>IF(AA162&lt;VLOOKUP(AG162,Variables!$AC$3:$AD$8,2,FALSE),"Y","N")</f>
        <v>N</v>
      </c>
      <c r="X162" s="197">
        <f t="shared" si="80"/>
        <v>554</v>
      </c>
      <c r="Y162" s="197">
        <f t="shared" si="68"/>
        <v>5.8608000000000002</v>
      </c>
      <c r="Z162" s="197">
        <f t="shared" si="69"/>
        <v>7.1499999999999994E-2</v>
      </c>
      <c r="AA162" s="197">
        <f t="shared" si="70"/>
        <v>5.7892999999999999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6">
        <f t="shared" si="71"/>
        <v>800</v>
      </c>
      <c r="AE162" s="77" t="str">
        <f t="shared" si="72"/>
        <v>aws s3 cp s3://rtdc.mdm.uploadarchive.raw/RTDC4057/ "%USERPROFILE%\AppData\Local\Temp\OnboardLogs"\RTDC4057\2017-08-18 --exclude "*" --recursive --include "*20170818*" &amp; "%USERPROFILE%\Documents\GitHub\mrs-test-scripts\Headless Mode &amp; Sideloading\WalkAndUnGZ.bat" "%USERPROFILE%\AppData\Local\Temp\OnboardLogs"\RTDC4057\2017-08-18 &amp; aws s3 cp s3://rtdc.mdm.uploadarchive.raw/RTDC4057/ "%USERPROFILE%\AppData\Local\Temp\OnboardLogs"\RTDC4057\2017-08-19 --exclude "*" --recursive --include "*20170819*" &amp; "%USERPROFILE%\Documents\GitHub\mrs-test-scripts\Headless Mode &amp; Sideloading\WalkAndUnGZ.bat" "%USERPROFILE%\AppData\Local\Temp\OnboardLogs"\RTDC4057\2017-08-19</v>
      </c>
      <c r="AF162" s="74" t="str">
        <f t="shared" si="73"/>
        <v>"C:\Program Files (x86)\AstroGrep\AstroGrep.exe" /e /r /s /spath="%USERPROFILE%\AppData\Local\Temp\OnboardLogs" /stypes="app*4057*20170818*" /stext=" 11:.+((SYSTEM_STATE.+slice.+state.+changed )|(ment ac)|(multiple cpu faults)|(system.+state.+changed )|(\[timeout)|(PRM\|1\|D)|(kpr)|(kdp)|(train st.+moving)|(\|lc)|(penalty))"</v>
      </c>
      <c r="AG162" s="209" t="str">
        <f t="shared" si="74"/>
        <v>NW</v>
      </c>
      <c r="AH162" s="78" t="str">
        <f t="shared" si="75"/>
        <v>"%USERPROFILE%\Documents\GitHub\eaglep3\Utilities\RefineRTDCRunTimes.py" --tripid 800-18 --locoid 4057 --swversion DE.1.0.9.0 --startMP 300:58608 --initTime 2017-08-18T04:56:26 --startdatetime 2017-08-18T05:13:04 --delay 1 --endMP 204:715 --enddatetime 2017-08-18T05:24:35 --enforcementcount 0 &gt;&gt;C:\Users\stu\Documents\GitHub\eaglep3-reporting\EC\2017-08-18-refined-times.txt</v>
      </c>
      <c r="AI162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{"issue":{"subject":"","project_id":79,"tracker_id":40,"status_id":1,"priority_id":2,"assigned_to_id":23,"start_date":"2017-08-18","description":"","custom_fields":[{"id":1,"name":"Subdivision","value":"NW"},{"id":4,"name":"Milepost","value":"0.0715"},{"id":17,"name":"Train ID","value":"800-18"},{"id":16,"name":"Locomotive ID","value":"4057"},{"id":130,"name":"Impact","value":""},{"id":150,"name":"Time of Event (Mountain Time)","value":"05:24:35"},{"id":151,"name":"Denver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77"/>
        <v>start /low /b %USERPROFILE%\Documents\GitHub\eaglep3\Utilities\DownloadLogsFromS3.py --loco 4057 --day 2017-08-18</v>
      </c>
      <c r="AN162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11:24:35"},{"id":29,"name":"Sharepoint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647</v>
      </c>
      <c r="B163" s="7">
        <v>4058</v>
      </c>
      <c r="C163" s="21" t="s">
        <v>198</v>
      </c>
      <c r="D163" s="21" t="s">
        <v>976</v>
      </c>
      <c r="E163" s="13">
        <v>42965.226944444446</v>
      </c>
      <c r="F163" s="13">
        <v>42965.243923611109</v>
      </c>
      <c r="G163" s="7">
        <v>1</v>
      </c>
      <c r="H163" s="21" t="s">
        <v>977</v>
      </c>
      <c r="I163" s="13">
        <v>42965.253460648149</v>
      </c>
      <c r="J163" s="7">
        <v>0</v>
      </c>
      <c r="K163" s="89" t="str">
        <f t="shared" si="64"/>
        <v>4057/4058</v>
      </c>
      <c r="L163" s="21" t="str">
        <f>VLOOKUP(A163,'Trips&amp;Operators'!$C$1:$G$99999,5,FALSE)</f>
        <v>PAGE MARCUS</v>
      </c>
      <c r="M163" s="6">
        <f t="shared" si="65"/>
        <v>9.5370370399905369E-3</v>
      </c>
      <c r="N163" s="7">
        <f t="shared" si="81"/>
        <v>13.733333337586373</v>
      </c>
      <c r="O163" s="7"/>
      <c r="P163" s="7"/>
      <c r="Q163" s="22"/>
      <c r="R163" s="170"/>
      <c r="S163" s="213">
        <f t="shared" si="82"/>
        <v>1</v>
      </c>
      <c r="T163" s="195" t="str">
        <f t="shared" si="66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67"/>
        <v>https://d0f6bd738d7f1b3e5a7ca70fe4ff75f0.us-east-1.aws.found.io/app/kibana#/discover/Steve-Slow-Train-Analysis-(2080s-and-2083s)?_g=(refreshInterval:(display:Off,pause:!f,section:0,value:0),time:(from:'2017-08-18T04:26:48-0600',mode:absolute,to:'2017-08-18T07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3" s="197" t="str">
        <f>IF(AA163&lt;VLOOKUP(AG163,Variables!$AC$3:$AD$8,2,FALSE),"Y","N")</f>
        <v>N</v>
      </c>
      <c r="X163" s="197">
        <f t="shared" si="80"/>
        <v>1</v>
      </c>
      <c r="Y163" s="197">
        <f t="shared" si="68"/>
        <v>9.9199999999999997E-2</v>
      </c>
      <c r="Z163" s="197">
        <f t="shared" si="69"/>
        <v>5.8930999999999996</v>
      </c>
      <c r="AA163" s="197">
        <f t="shared" si="70"/>
        <v>5.7938999999999998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6">
        <f t="shared" si="71"/>
        <v>801</v>
      </c>
      <c r="AE163" s="77" t="str">
        <f t="shared" si="72"/>
        <v>aws s3 cp s3://rtdc.mdm.uploadarchive.raw/RTDC4058/ "%USERPROFILE%\AppData\Local\Temp\OnboardLogs"\RTDC4058\2017-08-18 --exclude "*" --recursive --include "*20170818*" &amp; "%USERPROFILE%\Documents\GitHub\mrs-test-scripts\Headless Mode &amp; Sideloading\WalkAndUnGZ.bat" "%USERPROFILE%\AppData\Local\Temp\OnboardLogs"\RTDC4058\2017-08-18 &amp; aws s3 cp s3://rtdc.mdm.uploadarchive.raw/RTDC4058/ "%USERPROFILE%\AppData\Local\Temp\OnboardLogs"\RTDC4058\2017-08-19 --exclude "*" --recursive --include "*20170819*" &amp; "%USERPROFILE%\Documents\GitHub\mrs-test-scripts\Headless Mode &amp; Sideloading\WalkAndUnGZ.bat" "%USERPROFILE%\AppData\Local\Temp\OnboardLogs"\RTDC4058\2017-08-19</v>
      </c>
      <c r="AF163" s="74" t="str">
        <f t="shared" si="73"/>
        <v>"C:\Program Files (x86)\AstroGrep\AstroGrep.exe" /e /r /s /spath="%USERPROFILE%\AppData\Local\Temp\OnboardLogs" /stypes="app*4058*20170818*" /stext=" 12:.+((SYSTEM_STATE.+slice.+state.+changed )|(ment ac)|(multiple cpu faults)|(system.+state.+changed )|(\[timeout)|(PRM\|1\|D)|(kpr)|(kdp)|(train st.+moving)|(\|lc)|(penalty))"</v>
      </c>
      <c r="AG163" s="209" t="str">
        <f t="shared" si="74"/>
        <v>NW</v>
      </c>
      <c r="AH163" s="78" t="str">
        <f t="shared" si="75"/>
        <v>"%USERPROFILE%\Documents\GitHub\eaglep3\Utilities\RefineRTDCRunTimes.py" --tripid 801-18 --locoid 4058 --swversion DE.1.0.9.0 --startMP 204:992 --initTime 2017-08-18T05:26:48 --startdatetime 2017-08-18T05:51:15 --delay 1 --endMP 300:58931 --enddatetime 2017-08-18T06:04:59 --enforcementcount 0 &gt;&gt;C:\Users\stu\Documents\GitHub\eaglep3-reporting\EC\2017-08-18-refined-times.txt</v>
      </c>
      <c r="AI163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{"issue":{"subject":"","project_id":79,"tracker_id":40,"status_id":1,"priority_id":2,"assigned_to_id":23,"start_date":"2017-08-18","description":"","custom_fields":[{"id":1,"name":"Subdivision","value":"NW"},{"id":4,"name":"Milepost","value":"5.8931"},{"id":17,"name":"Train ID","value":"801-18"},{"id":16,"name":"Locomotive ID","value":"4058"},{"id":130,"name":"Impact","value":""},{"id":150,"name":"Time of Event (Mountain Time)","value":"06:04:59"},{"id":151,"name":"Denver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7"/>
        <v>start /low /b %USERPROFILE%\Documents\GitHub\eaglep3\Utilities\DownloadLogsFromS3.py --loco 4058 --day 2017-08-18</v>
      </c>
      <c r="AN163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707</v>
      </c>
      <c r="B164" s="7">
        <v>4057</v>
      </c>
      <c r="C164" s="21" t="s">
        <v>198</v>
      </c>
      <c r="D164" s="21" t="s">
        <v>630</v>
      </c>
      <c r="E164" s="13">
        <v>42965.254467592589</v>
      </c>
      <c r="F164" s="13">
        <v>42965.256192129629</v>
      </c>
      <c r="G164" s="7">
        <v>1</v>
      </c>
      <c r="H164" s="21" t="s">
        <v>635</v>
      </c>
      <c r="I164" s="13">
        <v>42965.26803240741</v>
      </c>
      <c r="J164" s="7">
        <v>0</v>
      </c>
      <c r="K164" s="89" t="str">
        <f t="shared" si="64"/>
        <v>4057/4058</v>
      </c>
      <c r="L164" s="21" t="str">
        <f>VLOOKUP(A164,'Trips&amp;Operators'!$C$1:$G$99999,5,FALSE)</f>
        <v>PAGE MARCUS</v>
      </c>
      <c r="M164" s="6">
        <f t="shared" si="65"/>
        <v>1.1840277780720498E-2</v>
      </c>
      <c r="N164" s="7">
        <f t="shared" si="81"/>
        <v>17.050000004237518</v>
      </c>
      <c r="O164" s="7"/>
      <c r="P164" s="7"/>
      <c r="Q164" s="22"/>
      <c r="R164" s="170"/>
      <c r="S164" s="213">
        <f t="shared" si="82"/>
        <v>1</v>
      </c>
      <c r="T164" s="195" t="str">
        <f t="shared" si="66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7"/>
        <v>https://d0f6bd738d7f1b3e5a7ca70fe4ff75f0.us-east-1.aws.found.io/app/kibana#/discover/Steve-Slow-Train-Analysis-(2080s-and-2083s)?_g=(refreshInterval:(display:Off,pause:!f,section:0,value:0),time:(from:'2017-08-18T05:06:26-0600',mode:absolute,to:'2017-08-18T07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4" s="197" t="str">
        <f>IF(AA164&lt;VLOOKUP(AG164,Variables!$AC$3:$AD$8,2,FALSE),"Y","N")</f>
        <v>N</v>
      </c>
      <c r="X164" s="197">
        <f t="shared" si="80"/>
        <v>1</v>
      </c>
      <c r="Y164" s="197">
        <f t="shared" si="68"/>
        <v>5.8613</v>
      </c>
      <c r="Z164" s="197">
        <f t="shared" si="69"/>
        <v>6.7799999999999999E-2</v>
      </c>
      <c r="AA164" s="197">
        <f t="shared" si="70"/>
        <v>5.7934999999999999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6">
        <f t="shared" si="71"/>
        <v>802</v>
      </c>
      <c r="AE164" s="77" t="str">
        <f t="shared" si="72"/>
        <v>aws s3 cp s3://rtdc.mdm.uploadarchive.raw/RTDC4057/ "%USERPROFILE%\AppData\Local\Temp\OnboardLogs"\RTDC4057\2017-08-18 --exclude "*" --recursive --include "*20170818*" &amp; "%USERPROFILE%\Documents\GitHub\mrs-test-scripts\Headless Mode &amp; Sideloading\WalkAndUnGZ.bat" "%USERPROFILE%\AppData\Local\Temp\OnboardLogs"\RTDC4057\2017-08-18 &amp; aws s3 cp s3://rtdc.mdm.uploadarchive.raw/RTDC4057/ "%USERPROFILE%\AppData\Local\Temp\OnboardLogs"\RTDC4057\2017-08-19 --exclude "*" --recursive --include "*20170819*" &amp; "%USERPROFILE%\Documents\GitHub\mrs-test-scripts\Headless Mode &amp; Sideloading\WalkAndUnGZ.bat" "%USERPROFILE%\AppData\Local\Temp\OnboardLogs"\RTDC4057\2017-08-19</v>
      </c>
      <c r="AF164" s="74" t="str">
        <f t="shared" si="73"/>
        <v>"C:\Program Files (x86)\AstroGrep\AstroGrep.exe" /e /r /s /spath="%USERPROFILE%\AppData\Local\Temp\OnboardLogs" /stypes="app*4057*20170818*" /stext=" 12:.+((SYSTEM_STATE.+slice.+state.+changed )|(ment ac)|(multiple cpu faults)|(system.+state.+changed )|(\[timeout)|(PRM\|1\|D)|(kpr)|(kdp)|(train st.+moving)|(\|lc)|(penalty))"</v>
      </c>
      <c r="AG164" s="209" t="str">
        <f t="shared" si="74"/>
        <v>NW</v>
      </c>
      <c r="AH164" s="78" t="str">
        <f t="shared" si="75"/>
        <v>"%USERPROFILE%\Documents\GitHub\eaglep3\Utilities\RefineRTDCRunTimes.py" --tripid 802-18 --locoid 4057 --swversion DE.1.0.9.0 --startMP 300:58613 --initTime 2017-08-18T06:06:26 --startdatetime 2017-08-18T06:08:55 --delay 1 --endMP 204:678 --enddatetime 2017-08-18T06:25:58 --enforcementcount 0 &gt;&gt;C:\Users\stu\Documents\GitHub\eaglep3-reporting\EC\2017-08-18-refined-times.txt</v>
      </c>
      <c r="AI164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{"issue":{"subject":"","project_id":79,"tracker_id":40,"status_id":1,"priority_id":2,"assigned_to_id":23,"start_date":"2017-08-18","description":"","custom_fields":[{"id":1,"name":"Subdivision","value":"NW"},{"id":4,"name":"Milepost","value":"0.0678"},{"id":17,"name":"Train ID","value":"802-18"},{"id":16,"name":"Locomotive ID","value":"4057"},{"id":130,"name":"Impact","value":""},{"id":150,"name":"Time of Event (Mountain Time)","value":"06:25:58"},{"id":151,"name":"Denver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7"/>
        <v>start /low /b %USERPROFILE%\Documents\GitHub\eaglep3\Utilities\DownloadLogsFromS3.py --loco 4057 --day 2017-08-18</v>
      </c>
      <c r="AN164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12:25:58"},{"id":29,"name":"Sharepoint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710</v>
      </c>
      <c r="B165" s="7">
        <v>4008</v>
      </c>
      <c r="C165" s="21" t="s">
        <v>198</v>
      </c>
      <c r="D165" s="21" t="s">
        <v>978</v>
      </c>
      <c r="E165" s="13">
        <v>42965.25885416667</v>
      </c>
      <c r="F165" s="13">
        <v>42965.264780092592</v>
      </c>
      <c r="G165" s="7">
        <v>1</v>
      </c>
      <c r="H165" s="21" t="s">
        <v>979</v>
      </c>
      <c r="I165" s="13">
        <v>42965.273576388892</v>
      </c>
      <c r="J165" s="7">
        <v>0</v>
      </c>
      <c r="K165" s="89" t="str">
        <f t="shared" si="64"/>
        <v>4007/4008</v>
      </c>
      <c r="L165" s="21" t="str">
        <f>VLOOKUP(A165,'Trips&amp;Operators'!$C$1:$G$99999,5,FALSE)</f>
        <v>CASSIDY BRANDON</v>
      </c>
      <c r="M165" s="6">
        <f t="shared" si="65"/>
        <v>8.7962963007157668E-3</v>
      </c>
      <c r="N165" s="7">
        <f t="shared" si="81"/>
        <v>12.666666673030704</v>
      </c>
      <c r="O165" s="7"/>
      <c r="P165" s="7"/>
      <c r="Q165" s="22"/>
      <c r="R165" s="170"/>
      <c r="S165" s="213">
        <f t="shared" si="82"/>
        <v>1</v>
      </c>
      <c r="T165" s="195" t="str">
        <f t="shared" si="66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7"/>
        <v>https://d0f6bd738d7f1b3e5a7ca70fe4ff75f0.us-east-1.aws.found.io/app/kibana#/discover/Steve-Slow-Train-Analysis-(2080s-and-2083s)?_g=(refreshInterval:(display:Off,pause:!f,section:0,value:0),time:(from:'2017-08-18T05:12:45-0600',mode:absolute,to:'2017-08-18T07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197" t="str">
        <f>IF(AA165&lt;VLOOKUP(AG165,Variables!$AC$3:$AD$8,2,FALSE),"Y","N")</f>
        <v>N</v>
      </c>
      <c r="X165" s="197">
        <f t="shared" si="80"/>
        <v>1</v>
      </c>
      <c r="Y165" s="197">
        <f t="shared" si="68"/>
        <v>9.6699999999999994E-2</v>
      </c>
      <c r="Z165" s="197">
        <f t="shared" si="69"/>
        <v>5.8963000000000001</v>
      </c>
      <c r="AA165" s="197">
        <f t="shared" si="70"/>
        <v>5.7995999999999999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6">
        <f t="shared" si="71"/>
        <v>803</v>
      </c>
      <c r="AE165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165" s="74" t="str">
        <f t="shared" si="73"/>
        <v>"C:\Program Files (x86)\AstroGrep\AstroGrep.exe" /e /r /s /spath="%USERPROFILE%\AppData\Local\Temp\OnboardLogs" /stypes="app*4008*20170818*" /stext=" 12:.+((SYSTEM_STATE.+slice.+state.+changed )|(ment ac)|(multiple cpu faults)|(system.+state.+changed )|(\[timeout)|(PRM\|1\|D)|(kpr)|(kdp)|(train st.+moving)|(\|lc)|(penalty))"</v>
      </c>
      <c r="AG165" s="209" t="str">
        <f t="shared" si="74"/>
        <v>NW</v>
      </c>
      <c r="AH165" s="78" t="str">
        <f t="shared" si="75"/>
        <v>"%USERPROFILE%\Documents\GitHub\eaglep3\Utilities\RefineRTDCRunTimes.py" --tripid 803-18 --locoid 4008 --swversion DE.1.0.9.0 --startMP 204:967 --initTime 2017-08-18T06:12:45 --startdatetime 2017-08-18T06:21:17 --delay 1 --endMP 300:58963 --enddatetime 2017-08-18T06:33:57 --enforcementcount 0 &gt;&gt;C:\Users\stu\Documents\GitHub\eaglep3-reporting\EC\2017-08-18-refined-times.txt</v>
      </c>
      <c r="AI165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{"issue":{"subject":"","project_id":79,"tracker_id":40,"status_id":1,"priority_id":2,"assigned_to_id":23,"start_date":"2017-08-18","description":"","custom_fields":[{"id":1,"name":"Subdivision","value":"NW"},{"id":4,"name":"Milepost","value":"5.8963"},{"id":17,"name":"Train ID","value":"803-18"},{"id":16,"name":"Locomotive ID","value":"4008"},{"id":130,"name":"Impact","value":""},{"id":150,"name":"Time of Event (Mountain Time)","value":"06:33:57"},{"id":151,"name":"Denver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77"/>
        <v>start /low /b %USERPROFILE%\Documents\GitHub\eaglep3\Utilities\DownloadLogsFromS3.py --loco 4008 --day 2017-08-18</v>
      </c>
      <c r="AN165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12:33:57"},{"id":29,"name":"Sharepoint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712</v>
      </c>
      <c r="B166" s="7">
        <v>4007</v>
      </c>
      <c r="C166" s="21" t="s">
        <v>198</v>
      </c>
      <c r="D166" s="21" t="s">
        <v>980</v>
      </c>
      <c r="E166" s="13">
        <v>42965.274513888886</v>
      </c>
      <c r="F166" s="13">
        <v>42965.275856481479</v>
      </c>
      <c r="G166" s="7">
        <v>0</v>
      </c>
      <c r="H166" s="21" t="s">
        <v>975</v>
      </c>
      <c r="I166" s="13">
        <v>42965.289155092592</v>
      </c>
      <c r="J166" s="7">
        <v>0</v>
      </c>
      <c r="K166" s="89" t="str">
        <f t="shared" si="64"/>
        <v>4007/4008</v>
      </c>
      <c r="L166" s="21" t="str">
        <f>VLOOKUP(A166,'Trips&amp;Operators'!$C$1:$G$99999,5,FALSE)</f>
        <v>CASSIDY BRANDON</v>
      </c>
      <c r="M166" s="6">
        <f t="shared" si="65"/>
        <v>1.3298611112986691E-2</v>
      </c>
      <c r="N166" s="7">
        <f t="shared" si="81"/>
        <v>19.150000002700835</v>
      </c>
      <c r="O166" s="7"/>
      <c r="P166" s="7"/>
      <c r="Q166" s="22"/>
      <c r="R166" s="170"/>
      <c r="S166" s="213">
        <f t="shared" si="82"/>
        <v>1</v>
      </c>
      <c r="T166" s="195" t="str">
        <f t="shared" si="66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7"/>
        <v>https://d0f6bd738d7f1b3e5a7ca70fe4ff75f0.us-east-1.aws.found.io/app/kibana#/discover/Steve-Slow-Train-Analysis-(2080s-and-2083s)?_g=(refreshInterval:(display:Off,pause:!f,section:0,value:0),time:(from:'2017-08-18T05:35:18-0600',mode:absolute,to:'2017-08-18T07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197" t="str">
        <f>IF(AA166&lt;VLOOKUP(AG166,Variables!$AC$3:$AD$8,2,FALSE),"Y","N")</f>
        <v>N</v>
      </c>
      <c r="X166" s="197">
        <f t="shared" si="80"/>
        <v>1</v>
      </c>
      <c r="Y166" s="197">
        <f t="shared" si="68"/>
        <v>5.8659999999999997</v>
      </c>
      <c r="Z166" s="197">
        <f t="shared" si="69"/>
        <v>7.1499999999999994E-2</v>
      </c>
      <c r="AA166" s="197">
        <f t="shared" si="70"/>
        <v>5.7944999999999993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6">
        <f t="shared" si="71"/>
        <v>804</v>
      </c>
      <c r="AE166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166" s="74" t="str">
        <f t="shared" si="73"/>
        <v>"C:\Program Files (x86)\AstroGrep\AstroGrep.exe" /e /r /s /spath="%USERPROFILE%\AppData\Local\Temp\OnboardLogs" /stypes="app*4007*20170818*" /stext=" 12:.+((SYSTEM_STATE.+slice.+state.+changed )|(ment ac)|(multiple cpu faults)|(system.+state.+changed )|(\[timeout)|(PRM\|1\|D)|(kpr)|(kdp)|(train st.+moving)|(\|lc)|(penalty))"</v>
      </c>
      <c r="AG166" s="209" t="str">
        <f t="shared" si="74"/>
        <v>NW</v>
      </c>
      <c r="AH166" s="78" t="str">
        <f t="shared" si="75"/>
        <v>"%USERPROFILE%\Documents\GitHub\eaglep3\Utilities\RefineRTDCRunTimes.py" --tripid 804-18 --locoid 4007 --swversion DE.1.0.9.0 --startMP 300:58660 --initTime 2017-08-18T06:35:18 --startdatetime 2017-08-18T06:37:14 --delay 0 --endMP 204:715 --enddatetime 2017-08-18T06:56:23 --enforcementcount 0 &gt;&gt;C:\Users\stu\Documents\GitHub\eaglep3-reporting\EC\2017-08-18-refined-times.txt</v>
      </c>
      <c r="AI166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{"issue":{"subject":"","project_id":79,"tracker_id":40,"status_id":1,"priority_id":2,"assigned_to_id":23,"start_date":"2017-08-18","description":"","custom_fields":[{"id":1,"name":"Subdivision","value":"NW"},{"id":4,"name":"Milepost","value":"0.0715"},{"id":17,"name":"Train ID","value":"804-18"},{"id":16,"name":"Locomotive ID","value":"4007"},{"id":130,"name":"Impact","value":""},{"id":150,"name":"Time of Event (Mountain Time)","value":"06:56:23"},{"id":151,"name":"Denver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77"/>
        <v>start /low /b %USERPROFILE%\Documents\GitHub\eaglep3\Utilities\DownloadLogsFromS3.py --loco 4007 --day 2017-08-18</v>
      </c>
      <c r="AN166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12:56:23"},{"id":29,"name":"Sharepoint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711</v>
      </c>
      <c r="B167" s="7">
        <v>4058</v>
      </c>
      <c r="C167" s="21" t="s">
        <v>198</v>
      </c>
      <c r="D167" s="21" t="s">
        <v>571</v>
      </c>
      <c r="E167" s="13">
        <v>42965.269502314812</v>
      </c>
      <c r="F167" s="13">
        <v>42965.285590277781</v>
      </c>
      <c r="G167" s="7">
        <v>1</v>
      </c>
      <c r="H167" s="21" t="s">
        <v>981</v>
      </c>
      <c r="I167" s="13">
        <v>42965.294988425929</v>
      </c>
      <c r="J167" s="7">
        <v>0</v>
      </c>
      <c r="K167" s="89" t="str">
        <f t="shared" si="64"/>
        <v>4057/4058</v>
      </c>
      <c r="L167" s="21" t="str">
        <f>VLOOKUP(A167,'Trips&amp;Operators'!$C$1:$G$99999,5,FALSE)</f>
        <v>PAGE MARCUS</v>
      </c>
      <c r="M167" s="6">
        <f t="shared" si="65"/>
        <v>9.3981481477385387E-3</v>
      </c>
      <c r="N167" s="7">
        <f t="shared" si="81"/>
        <v>13.533333332743496</v>
      </c>
      <c r="O167" s="7"/>
      <c r="P167" s="7"/>
      <c r="Q167" s="22"/>
      <c r="R167" s="170"/>
      <c r="S167" s="213">
        <f t="shared" si="82"/>
        <v>1</v>
      </c>
      <c r="T167" s="195" t="str">
        <f t="shared" si="66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7"/>
        <v>https://d0f6bd738d7f1b3e5a7ca70fe4ff75f0.us-east-1.aws.found.io/app/kibana#/discover/Steve-Slow-Train-Analysis-(2080s-and-2083s)?_g=(refreshInterval:(display:Off,pause:!f,section:0,value:0),time:(from:'2017-08-18T05:28:05-0600',mode:absolute,to:'2017-08-18T08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7" s="197" t="str">
        <f>IF(AA167&lt;VLOOKUP(AG167,Variables!$AC$3:$AD$8,2,FALSE),"Y","N")</f>
        <v>N</v>
      </c>
      <c r="X167" s="197">
        <f t="shared" si="80"/>
        <v>1</v>
      </c>
      <c r="Y167" s="197">
        <f t="shared" si="68"/>
        <v>9.7199999999999995E-2</v>
      </c>
      <c r="Z167" s="197">
        <f t="shared" si="69"/>
        <v>5.8935000000000004</v>
      </c>
      <c r="AA167" s="197">
        <f t="shared" si="70"/>
        <v>5.7963000000000005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6">
        <f t="shared" si="71"/>
        <v>805</v>
      </c>
      <c r="AE167" s="77" t="str">
        <f t="shared" si="72"/>
        <v>aws s3 cp s3://rtdc.mdm.uploadarchive.raw/RTDC4058/ "%USERPROFILE%\AppData\Local\Temp\OnboardLogs"\RTDC4058\2017-08-18 --exclude "*" --recursive --include "*20170818*" &amp; "%USERPROFILE%\Documents\GitHub\mrs-test-scripts\Headless Mode &amp; Sideloading\WalkAndUnGZ.bat" "%USERPROFILE%\AppData\Local\Temp\OnboardLogs"\RTDC4058\2017-08-18 &amp; aws s3 cp s3://rtdc.mdm.uploadarchive.raw/RTDC4058/ "%USERPROFILE%\AppData\Local\Temp\OnboardLogs"\RTDC4058\2017-08-19 --exclude "*" --recursive --include "*20170819*" &amp; "%USERPROFILE%\Documents\GitHub\mrs-test-scripts\Headless Mode &amp; Sideloading\WalkAndUnGZ.bat" "%USERPROFILE%\AppData\Local\Temp\OnboardLogs"\RTDC4058\2017-08-19</v>
      </c>
      <c r="AF167" s="74" t="str">
        <f t="shared" si="73"/>
        <v>"C:\Program Files (x86)\AstroGrep\AstroGrep.exe" /e /r /s /spath="%USERPROFILE%\AppData\Local\Temp\OnboardLogs" /stypes="app*4058*20170818*" /stext=" 13:.+((SYSTEM_STATE.+slice.+state.+changed )|(ment ac)|(multiple cpu faults)|(system.+state.+changed )|(\[timeout)|(PRM\|1\|D)|(kpr)|(kdp)|(train st.+moving)|(\|lc)|(penalty))"</v>
      </c>
      <c r="AG167" s="209" t="str">
        <f t="shared" si="74"/>
        <v>NW</v>
      </c>
      <c r="AH167" s="78" t="str">
        <f t="shared" si="75"/>
        <v>"%USERPROFILE%\Documents\GitHub\eaglep3\Utilities\RefineRTDCRunTimes.py" --tripid 805-18 --locoid 4058 --swversion DE.1.0.9.0 --startMP 204:972 --initTime 2017-08-18T06:28:05 --startdatetime 2017-08-18T06:51:15 --delay 1 --endMP 300:58935 --enddatetime 2017-08-18T07:04:47 --enforcementcount 0 &gt;&gt;C:\Users\stu\Documents\GitHub\eaglep3-reporting\EC\2017-08-18-refined-times.txt</v>
      </c>
      <c r="AI167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{"issue":{"subject":"","project_id":79,"tracker_id":40,"status_id":1,"priority_id":2,"assigned_to_id":23,"start_date":"2017-08-18","description":"","custom_fields":[{"id":1,"name":"Subdivision","value":"NW"},{"id":4,"name":"Milepost","value":"5.8935"},{"id":17,"name":"Train ID","value":"805-18"},{"id":16,"name":"Locomotive ID","value":"4058"},{"id":130,"name":"Impact","value":""},{"id":150,"name":"Time of Event (Mountain Time)","value":"07:04:47"},{"id":151,"name":"Denver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7"/>
        <v>start /low /b %USERPROFILE%\Documents\GitHub\eaglep3\Utilities\DownloadLogsFromS3.py --loco 4058 --day 2017-08-18</v>
      </c>
      <c r="AN167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13:04:47"},{"id":29,"name":"Sharepoint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718</v>
      </c>
      <c r="B168" s="7">
        <v>4057</v>
      </c>
      <c r="C168" s="21" t="s">
        <v>198</v>
      </c>
      <c r="D168" s="21" t="s">
        <v>982</v>
      </c>
      <c r="E168" s="13">
        <v>42965.296006944445</v>
      </c>
      <c r="F168" s="13">
        <v>42965.297777777778</v>
      </c>
      <c r="G168" s="7">
        <v>1</v>
      </c>
      <c r="H168" s="21" t="s">
        <v>640</v>
      </c>
      <c r="I168" s="13">
        <v>42965.309131944443</v>
      </c>
      <c r="J168" s="7">
        <v>0</v>
      </c>
      <c r="K168" s="89" t="str">
        <f t="shared" si="64"/>
        <v>4057/4058</v>
      </c>
      <c r="L168" s="21" t="str">
        <f>VLOOKUP(A168,'Trips&amp;Operators'!$C$1:$G$99999,5,FALSE)</f>
        <v>PAGE MARCUS</v>
      </c>
      <c r="M168" s="6">
        <f t="shared" si="65"/>
        <v>1.1354166665114462E-2</v>
      </c>
      <c r="N168" s="7">
        <f t="shared" si="81"/>
        <v>16.349999997764826</v>
      </c>
      <c r="O168" s="7"/>
      <c r="P168" s="7"/>
      <c r="Q168" s="22"/>
      <c r="R168" s="170"/>
      <c r="S168" s="213">
        <f t="shared" si="82"/>
        <v>1</v>
      </c>
      <c r="T168" s="195" t="str">
        <f t="shared" si="66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7"/>
        <v>https://d0f6bd738d7f1b3e5a7ca70fe4ff75f0.us-east-1.aws.found.io/app/kibana#/discover/Steve-Slow-Train-Analysis-(2080s-and-2083s)?_g=(refreshInterval:(display:Off,pause:!f,section:0,value:0),time:(from:'2017-08-18T06:06:15-0600',mode:absolute,to:'2017-08-18T08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8" s="197" t="str">
        <f>IF(AA168&lt;VLOOKUP(AG168,Variables!$AC$3:$AD$8,2,FALSE),"Y","N")</f>
        <v>N</v>
      </c>
      <c r="X168" s="197">
        <f t="shared" si="80"/>
        <v>1</v>
      </c>
      <c r="Y168" s="197">
        <f t="shared" si="68"/>
        <v>5.8620999999999999</v>
      </c>
      <c r="Z168" s="197">
        <f t="shared" si="69"/>
        <v>6.8900000000000003E-2</v>
      </c>
      <c r="AA168" s="197">
        <f t="shared" si="70"/>
        <v>5.7931999999999997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6">
        <f t="shared" si="71"/>
        <v>806</v>
      </c>
      <c r="AE168" s="77" t="str">
        <f t="shared" si="72"/>
        <v>aws s3 cp s3://rtdc.mdm.uploadarchive.raw/RTDC4057/ "%USERPROFILE%\AppData\Local\Temp\OnboardLogs"\RTDC4057\2017-08-18 --exclude "*" --recursive --include "*20170818*" &amp; "%USERPROFILE%\Documents\GitHub\mrs-test-scripts\Headless Mode &amp; Sideloading\WalkAndUnGZ.bat" "%USERPROFILE%\AppData\Local\Temp\OnboardLogs"\RTDC4057\2017-08-18 &amp; aws s3 cp s3://rtdc.mdm.uploadarchive.raw/RTDC4057/ "%USERPROFILE%\AppData\Local\Temp\OnboardLogs"\RTDC4057\2017-08-19 --exclude "*" --recursive --include "*20170819*" &amp; "%USERPROFILE%\Documents\GitHub\mrs-test-scripts\Headless Mode &amp; Sideloading\WalkAndUnGZ.bat" "%USERPROFILE%\AppData\Local\Temp\OnboardLogs"\RTDC4057\2017-08-19</v>
      </c>
      <c r="AF168" s="74" t="str">
        <f t="shared" si="73"/>
        <v>"C:\Program Files (x86)\AstroGrep\AstroGrep.exe" /e /r /s /spath="%USERPROFILE%\AppData\Local\Temp\OnboardLogs" /stypes="app*4057*20170818*" /stext=" 13:.+((SYSTEM_STATE.+slice.+state.+changed )|(ment ac)|(multiple cpu faults)|(system.+state.+changed )|(\[timeout)|(PRM\|1\|D)|(kpr)|(kdp)|(train st.+moving)|(\|lc)|(penalty))"</v>
      </c>
      <c r="AG168" s="209" t="str">
        <f t="shared" si="74"/>
        <v>NW</v>
      </c>
      <c r="AH168" s="78" t="str">
        <f t="shared" si="75"/>
        <v>"%USERPROFILE%\Documents\GitHub\eaglep3\Utilities\RefineRTDCRunTimes.py" --tripid 806-18 --locoid 4057 --swversion DE.1.0.9.0 --startMP 300:58621 --initTime 2017-08-18T07:06:15 --startdatetime 2017-08-18T07:08:48 --delay 1 --endMP 204:689 --enddatetime 2017-08-18T07:25:09 --enforcementcount 0 &gt;&gt;C:\Users\stu\Documents\GitHub\eaglep3-reporting\EC\2017-08-18-refined-times.txt</v>
      </c>
      <c r="AI168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{"issue":{"subject":"","project_id":79,"tracker_id":40,"status_id":1,"priority_id":2,"assigned_to_id":23,"start_date":"2017-08-18","description":"","custom_fields":[{"id":1,"name":"Subdivision","value":"NW"},{"id":4,"name":"Milepost","value":"0.0689"},{"id":17,"name":"Train ID","value":"806-18"},{"id":16,"name":"Locomotive ID","value":"4057"},{"id":130,"name":"Impact","value":""},{"id":150,"name":"Time of Event (Mountain Time)","value":"07:25:09"},{"id":151,"name":"Denver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77"/>
        <v>start /low /b %USERPROFILE%\Documents\GitHub\eaglep3\Utilities\DownloadLogsFromS3.py --loco 4057 --day 2017-08-18</v>
      </c>
      <c r="AN168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13:25:09"},{"id":29,"name":"Sharepoint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650</v>
      </c>
      <c r="B169" s="7">
        <v>4008</v>
      </c>
      <c r="C169" s="21" t="s">
        <v>198</v>
      </c>
      <c r="D169" s="21" t="s">
        <v>571</v>
      </c>
      <c r="E169" s="13">
        <v>42965.291527777779</v>
      </c>
      <c r="F169" s="13">
        <v>42965.306469907409</v>
      </c>
      <c r="G169" s="7">
        <v>1</v>
      </c>
      <c r="H169" s="21" t="s">
        <v>983</v>
      </c>
      <c r="I169" s="13">
        <v>42965.316134259258</v>
      </c>
      <c r="J169" s="7">
        <v>0</v>
      </c>
      <c r="K169" s="89" t="str">
        <f t="shared" si="64"/>
        <v>4007/4008</v>
      </c>
      <c r="L169" s="21" t="str">
        <f>VLOOKUP(A169,'Trips&amp;Operators'!$C$1:$G$99999,5,FALSE)</f>
        <v>CASSIDY BRANDON</v>
      </c>
      <c r="M169" s="6">
        <f t="shared" si="65"/>
        <v>9.6643518481869251E-3</v>
      </c>
      <c r="N169" s="7">
        <f t="shared" si="81"/>
        <v>13.916666661389172</v>
      </c>
      <c r="O169" s="7"/>
      <c r="P169" s="7"/>
      <c r="Q169" s="22"/>
      <c r="R169" s="170"/>
      <c r="S169" s="213">
        <f t="shared" si="82"/>
        <v>1</v>
      </c>
      <c r="T169" s="195" t="str">
        <f t="shared" si="66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7"/>
        <v>https://d0f6bd738d7f1b3e5a7ca70fe4ff75f0.us-east-1.aws.found.io/app/kibana#/discover/Steve-Slow-Train-Analysis-(2080s-and-2083s)?_g=(refreshInterval:(display:Off,pause:!f,section:0,value:0),time:(from:'2017-08-18T05:59:48-0600',mode:absolute,to:'2017-08-18T08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197" t="str">
        <f>IF(AA169&lt;VLOOKUP(AG169,Variables!$AC$3:$AD$8,2,FALSE),"Y","N")</f>
        <v>N</v>
      </c>
      <c r="X169" s="197">
        <f t="shared" si="80"/>
        <v>1</v>
      </c>
      <c r="Y169" s="197">
        <f t="shared" si="68"/>
        <v>9.7199999999999995E-2</v>
      </c>
      <c r="Z169" s="197">
        <f t="shared" si="69"/>
        <v>5.8968999999999996</v>
      </c>
      <c r="AA169" s="197">
        <f t="shared" si="70"/>
        <v>5.7996999999999996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6">
        <f t="shared" si="71"/>
        <v>807</v>
      </c>
      <c r="AE169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169" s="74" t="str">
        <f t="shared" si="73"/>
        <v>"C:\Program Files (x86)\AstroGrep\AstroGrep.exe" /e /r /s /spath="%USERPROFILE%\AppData\Local\Temp\OnboardLogs" /stypes="app*4008*20170818*" /stext=" 13:.+((SYSTEM_STATE.+slice.+state.+changed )|(ment ac)|(multiple cpu faults)|(system.+state.+changed )|(\[timeout)|(PRM\|1\|D)|(kpr)|(kdp)|(train st.+moving)|(\|lc)|(penalty))"</v>
      </c>
      <c r="AG169" s="209" t="str">
        <f t="shared" si="74"/>
        <v>NW</v>
      </c>
      <c r="AH169" s="78" t="str">
        <f t="shared" si="75"/>
        <v>"%USERPROFILE%\Documents\GitHub\eaglep3\Utilities\RefineRTDCRunTimes.py" --tripid 807-18 --locoid 4008 --swversion DE.1.0.9.0 --startMP 204:972 --initTime 2017-08-18T06:59:48 --startdatetime 2017-08-18T07:21:19 --delay 1 --endMP 300:58969 --enddatetime 2017-08-18T07:35:14 --enforcementcount 0 &gt;&gt;C:\Users\stu\Documents\GitHub\eaglep3-reporting\EC\2017-08-18-refined-times.txt</v>
      </c>
      <c r="AI169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{"issue":{"subject":"","project_id":79,"tracker_id":40,"status_id":1,"priority_id":2,"assigned_to_id":23,"start_date":"2017-08-18","description":"","custom_fields":[{"id":1,"name":"Subdivision","value":"NW"},{"id":4,"name":"Milepost","value":"5.8969"},{"id":17,"name":"Train ID","value":"807-18"},{"id":16,"name":"Locomotive ID","value":"4008"},{"id":130,"name":"Impact","value":""},{"id":150,"name":"Time of Event (Mountain Time)","value":"07:35:14"},{"id":151,"name":"Denver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7"/>
        <v>start /low /b %USERPROFILE%\Documents\GitHub\eaglep3\Utilities\DownloadLogsFromS3.py --loco 4008 --day 2017-08-18</v>
      </c>
      <c r="AN169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722</v>
      </c>
      <c r="B170" s="7">
        <v>4007</v>
      </c>
      <c r="C170" s="21" t="s">
        <v>198</v>
      </c>
      <c r="D170" s="21" t="s">
        <v>984</v>
      </c>
      <c r="E170" s="13">
        <v>42965.317465277774</v>
      </c>
      <c r="F170" s="13">
        <v>42965.319131944445</v>
      </c>
      <c r="G170" s="7">
        <v>1</v>
      </c>
      <c r="H170" s="21" t="s">
        <v>985</v>
      </c>
      <c r="I170" s="13">
        <v>42965.330821759257</v>
      </c>
      <c r="J170" s="7">
        <v>0</v>
      </c>
      <c r="K170" s="89" t="str">
        <f t="shared" si="64"/>
        <v>4007/4008</v>
      </c>
      <c r="L170" s="21" t="str">
        <f>VLOOKUP(A170,'Trips&amp;Operators'!$C$1:$G$99999,5,FALSE)</f>
        <v>CASSIDY BRANDON</v>
      </c>
      <c r="M170" s="6">
        <f t="shared" si="65"/>
        <v>1.1689814811688848E-2</v>
      </c>
      <c r="N170" s="7">
        <f t="shared" si="81"/>
        <v>16.833333328831941</v>
      </c>
      <c r="O170" s="7"/>
      <c r="P170" s="7"/>
      <c r="Q170" s="22"/>
      <c r="R170" s="170"/>
      <c r="S170" s="213">
        <f t="shared" si="82"/>
        <v>1</v>
      </c>
      <c r="T170" s="195" t="str">
        <f t="shared" si="66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7"/>
        <v>https://d0f6bd738d7f1b3e5a7ca70fe4ff75f0.us-east-1.aws.found.io/app/kibana#/discover/Steve-Slow-Train-Analysis-(2080s-and-2083s)?_g=(refreshInterval:(display:Off,pause:!f,section:0,value:0),time:(from:'2017-08-18T06:37:09-0600',mode:absolute,to:'2017-08-18T08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197" t="str">
        <f>IF(AA170&lt;VLOOKUP(AG170,Variables!$AC$3:$AD$8,2,FALSE),"Y","N")</f>
        <v>N</v>
      </c>
      <c r="X170" s="197">
        <f t="shared" si="80"/>
        <v>1</v>
      </c>
      <c r="Y170" s="197">
        <f t="shared" si="68"/>
        <v>5.8654999999999999</v>
      </c>
      <c r="Z170" s="197">
        <f t="shared" si="69"/>
        <v>7.3099999999999998E-2</v>
      </c>
      <c r="AA170" s="197">
        <f t="shared" si="70"/>
        <v>5.7923999999999998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6">
        <f t="shared" si="71"/>
        <v>808</v>
      </c>
      <c r="AE170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170" s="74" t="str">
        <f t="shared" si="73"/>
        <v>"C:\Program Files (x86)\AstroGrep\AstroGrep.exe" /e /r /s /spath="%USERPROFILE%\AppData\Local\Temp\OnboardLogs" /stypes="app*4007*20170818*" /stext=" 13:.+((SYSTEM_STATE.+slice.+state.+changed )|(ment ac)|(multiple cpu faults)|(system.+state.+changed )|(\[timeout)|(PRM\|1\|D)|(kpr)|(kdp)|(train st.+moving)|(\|lc)|(penalty))"</v>
      </c>
      <c r="AG170" s="209" t="str">
        <f t="shared" si="74"/>
        <v>NW</v>
      </c>
      <c r="AH170" s="78" t="str">
        <f t="shared" si="75"/>
        <v>"%USERPROFILE%\Documents\GitHub\eaglep3\Utilities\RefineRTDCRunTimes.py" --tripid 808-18 --locoid 4007 --swversion DE.1.0.9.0 --startMP 300:58655 --initTime 2017-08-18T07:37:09 --startdatetime 2017-08-18T07:39:33 --delay 1 --endMP 204:731 --enddatetime 2017-08-18T07:56:23 --enforcementcount 0 &gt;&gt;C:\Users\stu\Documents\GitHub\eaglep3-reporting\EC\2017-08-18-refined-times.txt</v>
      </c>
      <c r="AI170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{"issue":{"subject":"","project_id":79,"tracker_id":40,"status_id":1,"priority_id":2,"assigned_to_id":23,"start_date":"2017-08-18","description":"","custom_fields":[{"id":1,"name":"Subdivision","value":"NW"},{"id":4,"name":"Milepost","value":"0.0731"},{"id":17,"name":"Train ID","value":"808-18"},{"id":16,"name":"Locomotive ID","value":"4007"},{"id":130,"name":"Impact","value":""},{"id":150,"name":"Time of Event (Mountain Time)","value":"07:56:23"},{"id":151,"name":"Denver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7"/>
        <v>start /low /b %USERPROFILE%\Documents\GitHub\eaglep3\Utilities\DownloadLogsFromS3.py --loco 4007 --day 2017-08-18</v>
      </c>
      <c r="AN170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13:56:23"},{"id":29,"name":"Sharepoint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651</v>
      </c>
      <c r="B171" s="7">
        <v>4058</v>
      </c>
      <c r="C171" s="21" t="s">
        <v>198</v>
      </c>
      <c r="D171" s="21" t="s">
        <v>572</v>
      </c>
      <c r="E171" s="13">
        <v>42965.31077546296</v>
      </c>
      <c r="F171" s="13">
        <v>42965.327245370368</v>
      </c>
      <c r="G171" s="7">
        <v>1</v>
      </c>
      <c r="H171" s="21" t="s">
        <v>511</v>
      </c>
      <c r="I171" s="13">
        <v>42965.337175925924</v>
      </c>
      <c r="J171" s="7">
        <v>0</v>
      </c>
      <c r="K171" s="89" t="str">
        <f t="shared" si="64"/>
        <v>4057/4058</v>
      </c>
      <c r="L171" s="21" t="str">
        <f>VLOOKUP(A171,'Trips&amp;Operators'!$C$1:$G$99999,5,FALSE)</f>
        <v>PAGE MARCUS</v>
      </c>
      <c r="M171" s="6">
        <f t="shared" si="65"/>
        <v>9.930555555911269E-3</v>
      </c>
      <c r="N171" s="7">
        <f t="shared" si="81"/>
        <v>14.300000000512227</v>
      </c>
      <c r="O171" s="7"/>
      <c r="P171" s="7"/>
      <c r="Q171" s="22"/>
      <c r="R171" s="170"/>
      <c r="S171" s="213">
        <f t="shared" si="82"/>
        <v>1</v>
      </c>
      <c r="T171" s="195" t="str">
        <f t="shared" si="66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7"/>
        <v>https://d0f6bd738d7f1b3e5a7ca70fe4ff75f0.us-east-1.aws.found.io/app/kibana#/discover/Steve-Slow-Train-Analysis-(2080s-and-2083s)?_g=(refreshInterval:(display:Off,pause:!f,section:0,value:0),time:(from:'2017-08-18T06:27:31-0600',mode:absolute,to:'2017-08-18T09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1" s="197" t="str">
        <f>IF(AA171&lt;VLOOKUP(AG171,Variables!$AC$3:$AD$8,2,FALSE),"Y","N")</f>
        <v>N</v>
      </c>
      <c r="X171" s="197">
        <f t="shared" si="80"/>
        <v>1</v>
      </c>
      <c r="Y171" s="197">
        <f t="shared" si="68"/>
        <v>9.8299999999999998E-2</v>
      </c>
      <c r="Z171" s="197">
        <f t="shared" si="69"/>
        <v>5.8921999999999999</v>
      </c>
      <c r="AA171" s="197">
        <f t="shared" si="70"/>
        <v>5.7938999999999998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6">
        <f t="shared" si="71"/>
        <v>809</v>
      </c>
      <c r="AE171" s="77" t="str">
        <f t="shared" si="72"/>
        <v>aws s3 cp s3://rtdc.mdm.uploadarchive.raw/RTDC4058/ "%USERPROFILE%\AppData\Local\Temp\OnboardLogs"\RTDC4058\2017-08-18 --exclude "*" --recursive --include "*20170818*" &amp; "%USERPROFILE%\Documents\GitHub\mrs-test-scripts\Headless Mode &amp; Sideloading\WalkAndUnGZ.bat" "%USERPROFILE%\AppData\Local\Temp\OnboardLogs"\RTDC4058\2017-08-18 &amp; aws s3 cp s3://rtdc.mdm.uploadarchive.raw/RTDC4058/ "%USERPROFILE%\AppData\Local\Temp\OnboardLogs"\RTDC4058\2017-08-19 --exclude "*" --recursive --include "*20170819*" &amp; "%USERPROFILE%\Documents\GitHub\mrs-test-scripts\Headless Mode &amp; Sideloading\WalkAndUnGZ.bat" "%USERPROFILE%\AppData\Local\Temp\OnboardLogs"\RTDC4058\2017-08-19</v>
      </c>
      <c r="AF171" s="74" t="str">
        <f t="shared" si="73"/>
        <v>"C:\Program Files (x86)\AstroGrep\AstroGrep.exe" /e /r /s /spath="%USERPROFILE%\AppData\Local\Temp\OnboardLogs" /stypes="app*4058*20170818*" /stext=" 14:.+((SYSTEM_STATE.+slice.+state.+changed )|(ment ac)|(multiple cpu faults)|(system.+state.+changed )|(\[timeout)|(PRM\|1\|D)|(kpr)|(kdp)|(train st.+moving)|(\|lc)|(penalty))"</v>
      </c>
      <c r="AG171" s="209" t="str">
        <f t="shared" si="74"/>
        <v>NW</v>
      </c>
      <c r="AH171" s="78" t="str">
        <f t="shared" si="75"/>
        <v>"%USERPROFILE%\Documents\GitHub\eaglep3\Utilities\RefineRTDCRunTimes.py" --tripid 809-18 --locoid 4058 --swversion DE.1.0.9.0 --startMP 204:983 --initTime 2017-08-18T07:27:31 --startdatetime 2017-08-18T07:51:14 --delay 1 --endMP 300:58922 --enddatetime 2017-08-18T08:05:32 --enforcementcount 0 &gt;&gt;C:\Users\stu\Documents\GitHub\eaglep3-reporting\EC\2017-08-18-refined-times.txt</v>
      </c>
      <c r="AI171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{"issue":{"subject":"","project_id":79,"tracker_id":40,"status_id":1,"priority_id":2,"assigned_to_id":23,"start_date":"2017-08-18","description":"","custom_fields":[{"id":1,"name":"Subdivision","value":"NW"},{"id":4,"name":"Milepost","value":"5.8922"},{"id":17,"name":"Train ID","value":"809-18"},{"id":16,"name":"Locomotive ID","value":"4058"},{"id":130,"name":"Impact","value":""},{"id":150,"name":"Time of Event (Mountain Time)","value":"08:05:32"},{"id":151,"name":"Denver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7"/>
        <v>start /low /b %USERPROFILE%\Documents\GitHub\eaglep3\Utilities\DownloadLogsFromS3.py --loco 4058 --day 2017-08-18</v>
      </c>
      <c r="AN171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14:05:32"},{"id":29,"name":"Sharepoint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730</v>
      </c>
      <c r="B172" s="7">
        <v>4057</v>
      </c>
      <c r="C172" s="21" t="s">
        <v>198</v>
      </c>
      <c r="D172" s="21" t="s">
        <v>982</v>
      </c>
      <c r="E172" s="13">
        <v>42965.338402777779</v>
      </c>
      <c r="F172" s="13">
        <v>42965.339872685188</v>
      </c>
      <c r="G172" s="7">
        <v>1</v>
      </c>
      <c r="H172" s="21" t="s">
        <v>986</v>
      </c>
      <c r="I172" s="13">
        <v>42965.350960648146</v>
      </c>
      <c r="J172" s="7">
        <v>0</v>
      </c>
      <c r="K172" s="89" t="str">
        <f t="shared" si="64"/>
        <v>4057/4058</v>
      </c>
      <c r="L172" s="21" t="str">
        <f>VLOOKUP(A172,'Trips&amp;Operators'!$C$1:$G$99999,5,FALSE)</f>
        <v>PAGE MARCUS</v>
      </c>
      <c r="M172" s="6">
        <f t="shared" si="65"/>
        <v>1.1087962957390118E-2</v>
      </c>
      <c r="N172" s="7">
        <f t="shared" si="81"/>
        <v>15.96666665864177</v>
      </c>
      <c r="O172" s="7"/>
      <c r="P172" s="7"/>
      <c r="Q172" s="22"/>
      <c r="R172" s="170"/>
      <c r="S172" s="213">
        <f t="shared" si="82"/>
        <v>1</v>
      </c>
      <c r="T172" s="195" t="str">
        <f t="shared" si="66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7"/>
        <v>https://d0f6bd738d7f1b3e5a7ca70fe4ff75f0.us-east-1.aws.found.io/app/kibana#/discover/Steve-Slow-Train-Analysis-(2080s-and-2083s)?_g=(refreshInterval:(display:Off,pause:!f,section:0,value:0),time:(from:'2017-08-18T07:07:18-0600',mode:absolute,to:'2017-08-18T09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2" s="197" t="str">
        <f>IF(AA172&lt;VLOOKUP(AG172,Variables!$AC$3:$AD$8,2,FALSE),"Y","N")</f>
        <v>N</v>
      </c>
      <c r="X172" s="197">
        <f t="shared" si="80"/>
        <v>1</v>
      </c>
      <c r="Y172" s="197">
        <f t="shared" si="68"/>
        <v>5.8620999999999999</v>
      </c>
      <c r="Z172" s="197">
        <f t="shared" si="69"/>
        <v>1.2200000000000001E-2</v>
      </c>
      <c r="AA172" s="197">
        <f t="shared" si="70"/>
        <v>5.8498999999999999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6">
        <f t="shared" si="71"/>
        <v>810</v>
      </c>
      <c r="AE172" s="77" t="str">
        <f t="shared" si="72"/>
        <v>aws s3 cp s3://rtdc.mdm.uploadarchive.raw/RTDC4057/ "%USERPROFILE%\AppData\Local\Temp\OnboardLogs"\RTDC4057\2017-08-18 --exclude "*" --recursive --include "*20170818*" &amp; "%USERPROFILE%\Documents\GitHub\mrs-test-scripts\Headless Mode &amp; Sideloading\WalkAndUnGZ.bat" "%USERPROFILE%\AppData\Local\Temp\OnboardLogs"\RTDC4057\2017-08-18 &amp; aws s3 cp s3://rtdc.mdm.uploadarchive.raw/RTDC4057/ "%USERPROFILE%\AppData\Local\Temp\OnboardLogs"\RTDC4057\2017-08-19 --exclude "*" --recursive --include "*20170819*" &amp; "%USERPROFILE%\Documents\GitHub\mrs-test-scripts\Headless Mode &amp; Sideloading\WalkAndUnGZ.bat" "%USERPROFILE%\AppData\Local\Temp\OnboardLogs"\RTDC4057\2017-08-19</v>
      </c>
      <c r="AF172" s="74" t="str">
        <f t="shared" si="73"/>
        <v>"C:\Program Files (x86)\AstroGrep\AstroGrep.exe" /e /r /s /spath="%USERPROFILE%\AppData\Local\Temp\OnboardLogs" /stypes="app*4057*20170818*" /stext=" 14:.+((SYSTEM_STATE.+slice.+state.+changed )|(ment ac)|(multiple cpu faults)|(system.+state.+changed )|(\[timeout)|(PRM\|1\|D)|(kpr)|(kdp)|(train st.+moving)|(\|lc)|(penalty))"</v>
      </c>
      <c r="AG172" s="209" t="str">
        <f t="shared" si="74"/>
        <v>NW</v>
      </c>
      <c r="AH172" s="78" t="str">
        <f t="shared" si="75"/>
        <v>"%USERPROFILE%\Documents\GitHub\eaglep3\Utilities\RefineRTDCRunTimes.py" --tripid 810-18 --locoid 4057 --swversion DE.1.0.9.0 --startMP 300:58621 --initTime 2017-08-18T08:07:18 --startdatetime 2017-08-18T08:09:25 --delay 1 --endMP 204:122 --enddatetime 2017-08-18T08:25:23 --enforcementcount 0 &gt;&gt;C:\Users\stu\Documents\GitHub\eaglep3-reporting\EC\2017-08-18-refined-times.txt</v>
      </c>
      <c r="AI172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{"issue":{"subject":"","project_id":79,"tracker_id":40,"status_id":1,"priority_id":2,"assigned_to_id":23,"start_date":"2017-08-18","description":"","custom_fields":[{"id":1,"name":"Subdivision","value":"NW"},{"id":4,"name":"Milepost","value":"0.0122"},{"id":17,"name":"Train ID","value":"810-18"},{"id":16,"name":"Locomotive ID","value":"4057"},{"id":130,"name":"Impact","value":""},{"id":150,"name":"Time of Event (Mountain Time)","value":"08:25:23"},{"id":151,"name":"Denver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77"/>
        <v>start /low /b %USERPROFILE%\Documents\GitHub\eaglep3\Utilities\DownloadLogsFromS3.py --loco 4057 --day 2017-08-18</v>
      </c>
      <c r="AN172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14:25:23"},{"id":29,"name":"Sharepoint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653</v>
      </c>
      <c r="B173" s="7">
        <v>4008</v>
      </c>
      <c r="C173" s="21" t="s">
        <v>198</v>
      </c>
      <c r="D173" s="21" t="s">
        <v>987</v>
      </c>
      <c r="E173" s="13">
        <v>42965.335509259261</v>
      </c>
      <c r="F173" s="13">
        <v>42965.348078703704</v>
      </c>
      <c r="G173" s="7">
        <v>1</v>
      </c>
      <c r="H173" s="21" t="s">
        <v>988</v>
      </c>
      <c r="I173" s="13">
        <v>42965.357164351852</v>
      </c>
      <c r="J173" s="7">
        <v>0</v>
      </c>
      <c r="K173" s="89" t="str">
        <f t="shared" si="64"/>
        <v>4007/4008</v>
      </c>
      <c r="L173" s="21" t="str">
        <f>VLOOKUP(A173,'Trips&amp;Operators'!$C$1:$G$99999,5,FALSE)</f>
        <v>LALONDE GREGORY</v>
      </c>
      <c r="M173" s="6">
        <f t="shared" si="65"/>
        <v>9.0856481474475004E-3</v>
      </c>
      <c r="N173" s="7">
        <f t="shared" si="81"/>
        <v>13.083333332324401</v>
      </c>
      <c r="O173" s="7"/>
      <c r="P173" s="7"/>
      <c r="Q173" s="22"/>
      <c r="R173" s="170"/>
      <c r="S173" s="213">
        <f t="shared" si="82"/>
        <v>1</v>
      </c>
      <c r="T173" s="195" t="str">
        <f t="shared" si="66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7"/>
        <v>https://d0f6bd738d7f1b3e5a7ca70fe4ff75f0.us-east-1.aws.found.io/app/kibana#/discover/Steve-Slow-Train-Analysis-(2080s-and-2083s)?_g=(refreshInterval:(display:Off,pause:!f,section:0,value:0),time:(from:'2017-08-18T07:03:08-0600',mode:absolute,to:'2017-08-18T09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197" t="str">
        <f>IF(AA173&lt;VLOOKUP(AG173,Variables!$AC$3:$AD$8,2,FALSE),"Y","N")</f>
        <v>N</v>
      </c>
      <c r="X173" s="197">
        <f t="shared" si="80"/>
        <v>1</v>
      </c>
      <c r="Y173" s="197">
        <f t="shared" ref="Y173:Y186" si="83">RIGHT(D173,LEN(D173)-4)/10000</f>
        <v>0.1028</v>
      </c>
      <c r="Z173" s="197">
        <f t="shared" ref="Z173:Z186" si="84">RIGHT(H173,LEN(H173)-4)/10000</f>
        <v>5.8960999999999997</v>
      </c>
      <c r="AA173" s="197">
        <f t="shared" si="70"/>
        <v>5.7932999999999995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6">
        <f t="shared" si="71"/>
        <v>811</v>
      </c>
      <c r="AE173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173" s="74" t="str">
        <f t="shared" si="73"/>
        <v>"C:\Program Files (x86)\AstroGrep\AstroGrep.exe" /e /r /s /spath="%USERPROFILE%\AppData\Local\Temp\OnboardLogs" /stypes="app*4008*20170818*" /stext=" 14:.+((SYSTEM_STATE.+slice.+state.+changed )|(ment ac)|(multiple cpu faults)|(system.+state.+changed )|(\[timeout)|(PRM\|1\|D)|(kpr)|(kdp)|(train st.+moving)|(\|lc)|(penalty))"</v>
      </c>
      <c r="AG173" s="209" t="str">
        <f t="shared" si="74"/>
        <v>NW</v>
      </c>
      <c r="AH173" s="78" t="str">
        <f t="shared" si="75"/>
        <v>"%USERPROFILE%\Documents\GitHub\eaglep3\Utilities\RefineRTDCRunTimes.py" --tripid 811-18 --locoid 4008 --swversion DE.1.0.9.0 --startMP 204:1028 --initTime 2017-08-18T08:03:08 --startdatetime 2017-08-18T08:21:14 --delay 1 --endMP 300:58961 --enddatetime 2017-08-18T08:34:19 --enforcementcount 0 &gt;&gt;C:\Users\stu\Documents\GitHub\eaglep3-reporting\EC\2017-08-18-refined-times.txt</v>
      </c>
      <c r="AI173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{"issue":{"subject":"","project_id":79,"tracker_id":40,"status_id":1,"priority_id":2,"assigned_to_id":23,"start_date":"2017-08-18","description":"","custom_fields":[{"id":1,"name":"Subdivision","value":"NW"},{"id":4,"name":"Milepost","value":"5.8961"},{"id":17,"name":"Train ID","value":"811-18"},{"id":16,"name":"Locomotive ID","value":"4008"},{"id":130,"name":"Impact","value":""},{"id":150,"name":"Time of Event (Mountain Time)","value":"08:34:19"},{"id":151,"name":"Denver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77"/>
        <v>start /low /b %USERPROFILE%\Documents\GitHub\eaglep3\Utilities\DownloadLogsFromS3.py --loco 4008 --day 2017-08-18</v>
      </c>
      <c r="AN173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14:34:19"},{"id":29,"name":"Sharepoint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734</v>
      </c>
      <c r="B174" s="7">
        <v>4007</v>
      </c>
      <c r="C174" s="21" t="s">
        <v>198</v>
      </c>
      <c r="D174" s="21" t="s">
        <v>989</v>
      </c>
      <c r="E174" s="13">
        <v>42965.357870370368</v>
      </c>
      <c r="F174" s="13">
        <v>42965.359270833331</v>
      </c>
      <c r="G174" s="7">
        <v>1</v>
      </c>
      <c r="H174" s="21" t="s">
        <v>990</v>
      </c>
      <c r="I174" s="13">
        <v>42965.371249999997</v>
      </c>
      <c r="J174" s="7">
        <v>0</v>
      </c>
      <c r="K174" s="89" t="str">
        <f t="shared" si="64"/>
        <v>4007/4008</v>
      </c>
      <c r="L174" s="21" t="str">
        <f>VLOOKUP(A174,'Trips&amp;Operators'!$C$1:$G$99999,5,FALSE)</f>
        <v>LALONDE GREGORY</v>
      </c>
      <c r="M174" s="6">
        <f t="shared" si="65"/>
        <v>1.1979166665696539E-2</v>
      </c>
      <c r="N174" s="7">
        <f t="shared" si="81"/>
        <v>17.249999998603016</v>
      </c>
      <c r="O174" s="7"/>
      <c r="P174" s="7"/>
      <c r="Q174" s="22"/>
      <c r="R174" s="170"/>
      <c r="S174" s="213">
        <f t="shared" si="82"/>
        <v>1</v>
      </c>
      <c r="T174" s="195" t="str">
        <f t="shared" si="66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7"/>
        <v>https://d0f6bd738d7f1b3e5a7ca70fe4ff75f0.us-east-1.aws.found.io/app/kibana#/discover/Steve-Slow-Train-Analysis-(2080s-and-2083s)?_g=(refreshInterval:(display:Off,pause:!f,section:0,value:0),time:(from:'2017-08-18T07:35:20-0600',mode:absolute,to:'2017-08-18T09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197" t="str">
        <f>IF(AA174&lt;VLOOKUP(AG174,Variables!$AC$3:$AD$8,2,FALSE),"Y","N")</f>
        <v>N</v>
      </c>
      <c r="X174" s="197">
        <f t="shared" si="80"/>
        <v>1</v>
      </c>
      <c r="Y174" s="197">
        <f t="shared" si="83"/>
        <v>5.8653000000000004</v>
      </c>
      <c r="Z174" s="197">
        <f t="shared" si="84"/>
        <v>6.6100000000000006E-2</v>
      </c>
      <c r="AA174" s="197">
        <f t="shared" si="70"/>
        <v>5.7992000000000008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6">
        <f t="shared" si="71"/>
        <v>812</v>
      </c>
      <c r="AE174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174" s="74" t="str">
        <f t="shared" si="73"/>
        <v>"C:\Program Files (x86)\AstroGrep\AstroGrep.exe" /e /r /s /spath="%USERPROFILE%\AppData\Local\Temp\OnboardLogs" /stypes="app*4007*20170818*" /stext=" 14:.+((SYSTEM_STATE.+slice.+state.+changed )|(ment ac)|(multiple cpu faults)|(system.+state.+changed )|(\[timeout)|(PRM\|1\|D)|(kpr)|(kdp)|(train st.+moving)|(\|lc)|(penalty))"</v>
      </c>
      <c r="AG174" s="209" t="str">
        <f t="shared" si="74"/>
        <v>NW</v>
      </c>
      <c r="AH174" s="78" t="str">
        <f t="shared" si="75"/>
        <v>"%USERPROFILE%\Documents\GitHub\eaglep3\Utilities\RefineRTDCRunTimes.py" --tripid 812-18 --locoid 4007 --swversion DE.1.0.9.0 --startMP 300:58653 --initTime 2017-08-18T08:35:20 --startdatetime 2017-08-18T08:37:21 --delay 1 --endMP 204:661 --enddatetime 2017-08-18T08:54:36 --enforcementcount 0 &gt;&gt;C:\Users\stu\Documents\GitHub\eaglep3-reporting\EC\2017-08-18-refined-times.txt</v>
      </c>
      <c r="AI174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{"issue":{"subject":"","project_id":79,"tracker_id":40,"status_id":1,"priority_id":2,"assigned_to_id":23,"start_date":"2017-08-18","description":"","custom_fields":[{"id":1,"name":"Subdivision","value":"NW"},{"id":4,"name":"Milepost","value":"0.0661"},{"id":17,"name":"Train ID","value":"812-18"},{"id":16,"name":"Locomotive ID","value":"4007"},{"id":130,"name":"Impact","value":""},{"id":150,"name":"Time of Event (Mountain Time)","value":"08:54:36"},{"id":151,"name":"Denver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77"/>
        <v>start /low /b %USERPROFILE%\Documents\GitHub\eaglep3\Utilities\DownloadLogsFromS3.py --loco 4007 --day 2017-08-18</v>
      </c>
      <c r="AN174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14:54:36"},{"id":29,"name":"Sharepoint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657</v>
      </c>
      <c r="B175" s="7">
        <v>4008</v>
      </c>
      <c r="C175" s="21" t="s">
        <v>198</v>
      </c>
      <c r="D175" s="21" t="s">
        <v>461</v>
      </c>
      <c r="E175" s="13">
        <v>42965.372303240743</v>
      </c>
      <c r="F175" s="13">
        <v>42965.389976851853</v>
      </c>
      <c r="G175" s="7">
        <v>0</v>
      </c>
      <c r="H175" s="21" t="s">
        <v>983</v>
      </c>
      <c r="I175" s="13">
        <v>42965.399456018517</v>
      </c>
      <c r="J175" s="7">
        <v>0</v>
      </c>
      <c r="K175" s="89" t="str">
        <f t="shared" si="64"/>
        <v>4007/4008</v>
      </c>
      <c r="L175" s="21" t="str">
        <f>VLOOKUP(A175,'Trips&amp;Operators'!$C$1:$G$99999,5,FALSE)</f>
        <v>LALONDE GREGORY</v>
      </c>
      <c r="M175" s="6">
        <f t="shared" si="65"/>
        <v>9.4791666633682325E-3</v>
      </c>
      <c r="N175" s="7">
        <f t="shared" si="81"/>
        <v>13.649999995250255</v>
      </c>
      <c r="O175" s="7"/>
      <c r="P175" s="7"/>
      <c r="Q175" s="22"/>
      <c r="R175" s="170"/>
      <c r="S175" s="213">
        <f t="shared" si="82"/>
        <v>1</v>
      </c>
      <c r="T175" s="195" t="str">
        <f t="shared" si="66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7"/>
        <v>https://d0f6bd738d7f1b3e5a7ca70fe4ff75f0.us-east-1.aws.found.io/app/kibana#/discover/Steve-Slow-Train-Analysis-(2080s-and-2083s)?_g=(refreshInterval:(display:Off,pause:!f,section:0,value:0),time:(from:'2017-08-18T07:56:07-0600',mode:absolute,to:'2017-08-18T10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197" t="str">
        <f>IF(AA175&lt;VLOOKUP(AG175,Variables!$AC$3:$AD$8,2,FALSE),"Y","N")</f>
        <v>N</v>
      </c>
      <c r="X175" s="197">
        <f t="shared" si="80"/>
        <v>1</v>
      </c>
      <c r="Y175" s="197">
        <f t="shared" si="83"/>
        <v>9.7600000000000006E-2</v>
      </c>
      <c r="Z175" s="197">
        <f t="shared" si="84"/>
        <v>5.8968999999999996</v>
      </c>
      <c r="AA175" s="197">
        <f t="shared" si="70"/>
        <v>5.7992999999999997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6">
        <f t="shared" si="71"/>
        <v>813</v>
      </c>
      <c r="AE175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175" s="74" t="str">
        <f t="shared" si="73"/>
        <v>"C:\Program Files (x86)\AstroGrep\AstroGrep.exe" /e /r /s /spath="%USERPROFILE%\AppData\Local\Temp\OnboardLogs" /stypes="app*4008*20170818*" /stext=" 15:.+((SYSTEM_STATE.+slice.+state.+changed )|(ment ac)|(multiple cpu faults)|(system.+state.+changed )|(\[timeout)|(PRM\|1\|D)|(kpr)|(kdp)|(train st.+moving)|(\|lc)|(penalty))"</v>
      </c>
      <c r="AG175" s="209" t="str">
        <f t="shared" si="74"/>
        <v>NW</v>
      </c>
      <c r="AH175" s="78" t="str">
        <f t="shared" si="75"/>
        <v>"%USERPROFILE%\Documents\GitHub\eaglep3\Utilities\RefineRTDCRunTimes.py" --tripid 813-18 --locoid 4008 --swversion DE.1.0.9.0 --startMP 204:976 --initTime 2017-08-18T08:56:07 --startdatetime 2017-08-18T09:21:34 --delay 0 --endMP 300:58969 --enddatetime 2017-08-18T09:35:13 --enforcementcount 0 &gt;&gt;C:\Users\stu\Documents\GitHub\eaglep3-reporting\EC\2017-08-18-refined-times.txt</v>
      </c>
      <c r="AI175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{"issue":{"subject":"","project_id":79,"tracker_id":40,"status_id":1,"priority_id":2,"assigned_to_id":23,"start_date":"2017-08-18","description":"","custom_fields":[{"id":1,"name":"Subdivision","value":"NW"},{"id":4,"name":"Milepost","value":"5.8969"},{"id":17,"name":"Train ID","value":"813-18"},{"id":16,"name":"Locomotive ID","value":"4008"},{"id":130,"name":"Impact","value":""},{"id":150,"name":"Time of Event (Mountain Time)","value":"09:35:13"},{"id":151,"name":"Denver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77"/>
        <v>start /low /b %USERPROFILE%\Documents\GitHub\eaglep3\Utilities\DownloadLogsFromS3.py --loco 4008 --day 2017-08-18</v>
      </c>
      <c r="AN175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15:35:13"},{"id":29,"name":"Sharepoint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742</v>
      </c>
      <c r="B176" s="7">
        <v>4007</v>
      </c>
      <c r="C176" s="21" t="s">
        <v>198</v>
      </c>
      <c r="D176" s="21" t="s">
        <v>991</v>
      </c>
      <c r="E176" s="13">
        <v>42965.400405092594</v>
      </c>
      <c r="F176" s="13">
        <v>42965.401770833334</v>
      </c>
      <c r="G176" s="7">
        <v>1</v>
      </c>
      <c r="H176" s="21" t="s">
        <v>992</v>
      </c>
      <c r="I176" s="13">
        <v>42965.412766203706</v>
      </c>
      <c r="J176" s="7">
        <v>0</v>
      </c>
      <c r="K176" s="89" t="str">
        <f t="shared" si="64"/>
        <v>4007/4008</v>
      </c>
      <c r="L176" s="21" t="str">
        <f>VLOOKUP(A176,'Trips&amp;Operators'!$C$1:$G$99999,5,FALSE)</f>
        <v>LALONDE GREGORY</v>
      </c>
      <c r="M176" s="6">
        <f t="shared" si="65"/>
        <v>1.099537037225673E-2</v>
      </c>
      <c r="N176" s="7">
        <f t="shared" si="81"/>
        <v>15.833333336049691</v>
      </c>
      <c r="O176" s="7"/>
      <c r="P176" s="7"/>
      <c r="Q176" s="22"/>
      <c r="R176" s="170"/>
      <c r="S176" s="213">
        <f t="shared" si="82"/>
        <v>1</v>
      </c>
      <c r="T176" s="195" t="str">
        <f t="shared" si="66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7"/>
        <v>https://d0f6bd738d7f1b3e5a7ca70fe4ff75f0.us-east-1.aws.found.io/app/kibana#/discover/Steve-Slow-Train-Analysis-(2080s-and-2083s)?_g=(refreshInterval:(display:Off,pause:!f,section:0,value:0),time:(from:'2017-08-18T08:36:35-0600',mode:absolute,to:'2017-08-18T10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197" t="str">
        <f>IF(AA176&lt;VLOOKUP(AG176,Variables!$AC$3:$AD$8,2,FALSE),"Y","N")</f>
        <v>N</v>
      </c>
      <c r="X176" s="197">
        <f t="shared" si="80"/>
        <v>1</v>
      </c>
      <c r="Y176" s="197">
        <f t="shared" si="83"/>
        <v>5.8647</v>
      </c>
      <c r="Z176" s="197">
        <f t="shared" si="84"/>
        <v>6.9900000000000004E-2</v>
      </c>
      <c r="AA176" s="197">
        <f t="shared" si="70"/>
        <v>5.7948000000000004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6">
        <f t="shared" si="71"/>
        <v>814</v>
      </c>
      <c r="AE176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176" s="74" t="str">
        <f t="shared" si="73"/>
        <v>"C:\Program Files (x86)\AstroGrep\AstroGrep.exe" /e /r /s /spath="%USERPROFILE%\AppData\Local\Temp\OnboardLogs" /stypes="app*4007*20170818*" /stext=" 15:.+((SYSTEM_STATE.+slice.+state.+changed )|(ment ac)|(multiple cpu faults)|(system.+state.+changed )|(\[timeout)|(PRM\|1\|D)|(kpr)|(kdp)|(train st.+moving)|(\|lc)|(penalty))"</v>
      </c>
      <c r="AG176" s="209" t="str">
        <f t="shared" si="74"/>
        <v>NW</v>
      </c>
      <c r="AH176" s="78" t="str">
        <f t="shared" si="75"/>
        <v>"%USERPROFILE%\Documents\GitHub\eaglep3\Utilities\RefineRTDCRunTimes.py" --tripid 814-18 --locoid 4007 --swversion DE.1.0.9.0 --startMP 300:58647 --initTime 2017-08-18T09:36:35 --startdatetime 2017-08-18T09:38:33 --delay 1 --endMP 204:699 --enddatetime 2017-08-18T09:54:23 --enforcementcount 0 &gt;&gt;C:\Users\stu\Documents\GitHub\eaglep3-reporting\EC\2017-08-18-refined-times.txt</v>
      </c>
      <c r="AI176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{"issue":{"subject":"","project_id":79,"tracker_id":40,"status_id":1,"priority_id":2,"assigned_to_id":23,"start_date":"2017-08-18","description":"","custom_fields":[{"id":1,"name":"Subdivision","value":"NW"},{"id":4,"name":"Milepost","value":"0.0699"},{"id":17,"name":"Train ID","value":"814-18"},{"id":16,"name":"Locomotive ID","value":"4007"},{"id":130,"name":"Impact","value":""},{"id":150,"name":"Time of Event (Mountain Time)","value":"09:54:23"},{"id":151,"name":"Denver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77"/>
        <v>start /low /b %USERPROFILE%\Documents\GitHub\eaglep3\Utilities\DownloadLogsFromS3.py --loco 4007 --day 2017-08-18</v>
      </c>
      <c r="AN176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15:54:23"},{"id":29,"name":"Sharepoint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746</v>
      </c>
      <c r="B177" s="7">
        <v>4008</v>
      </c>
      <c r="C177" s="21" t="s">
        <v>198</v>
      </c>
      <c r="D177" s="21" t="s">
        <v>632</v>
      </c>
      <c r="E177" s="13">
        <v>42965.413784722223</v>
      </c>
      <c r="F177" s="13">
        <v>42965.43141203704</v>
      </c>
      <c r="G177" s="7">
        <v>1</v>
      </c>
      <c r="H177" s="21" t="s">
        <v>993</v>
      </c>
      <c r="I177" s="13">
        <v>42965.440150462964</v>
      </c>
      <c r="J177" s="7">
        <v>0</v>
      </c>
      <c r="K177" s="89" t="str">
        <f t="shared" si="64"/>
        <v>4007/4008</v>
      </c>
      <c r="L177" s="21" t="str">
        <f>VLOOKUP(A177,'Trips&amp;Operators'!$C$1:$G$99999,5,FALSE)</f>
        <v>LALONDE GREGORY</v>
      </c>
      <c r="M177" s="6">
        <f t="shared" si="65"/>
        <v>8.7384259240934625E-3</v>
      </c>
      <c r="N177" s="7">
        <f t="shared" si="81"/>
        <v>12.583333330694586</v>
      </c>
      <c r="O177" s="7"/>
      <c r="P177" s="7"/>
      <c r="Q177" s="22"/>
      <c r="R177" s="170"/>
      <c r="S177" s="213">
        <f t="shared" si="82"/>
        <v>1</v>
      </c>
      <c r="T177" s="195" t="str">
        <f t="shared" si="66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7"/>
        <v>https://d0f6bd738d7f1b3e5a7ca70fe4ff75f0.us-east-1.aws.found.io/app/kibana#/discover/Steve-Slow-Train-Analysis-(2080s-and-2083s)?_g=(refreshInterval:(display:Off,pause:!f,section:0,value:0),time:(from:'2017-08-18T08:55:51-0600',mode:absolute,to:'2017-08-18T11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197" t="str">
        <f>IF(AA177&lt;VLOOKUP(AG177,Variables!$AC$3:$AD$8,2,FALSE),"Y","N")</f>
        <v>N</v>
      </c>
      <c r="X177" s="197">
        <f t="shared" si="80"/>
        <v>1</v>
      </c>
      <c r="Y177" s="197">
        <f t="shared" si="83"/>
        <v>9.8599999999999993E-2</v>
      </c>
      <c r="Z177" s="197">
        <f t="shared" si="84"/>
        <v>5.8964999999999996</v>
      </c>
      <c r="AA177" s="197">
        <f t="shared" si="70"/>
        <v>5.7978999999999994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6">
        <f t="shared" si="71"/>
        <v>815</v>
      </c>
      <c r="AE177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177" s="74" t="str">
        <f t="shared" si="73"/>
        <v>"C:\Program Files (x86)\AstroGrep\AstroGrep.exe" /e /r /s /spath="%USERPROFILE%\AppData\Local\Temp\OnboardLogs" /stypes="app*4008*20170818*" /stext=" 16:.+((SYSTEM_STATE.+slice.+state.+changed )|(ment ac)|(multiple cpu faults)|(system.+state.+changed )|(\[timeout)|(PRM\|1\|D)|(kpr)|(kdp)|(train st.+moving)|(\|lc)|(penalty))"</v>
      </c>
      <c r="AG177" s="209" t="str">
        <f t="shared" si="74"/>
        <v>NW</v>
      </c>
      <c r="AH177" s="78" t="str">
        <f t="shared" si="75"/>
        <v>"%USERPROFILE%\Documents\GitHub\eaglep3\Utilities\RefineRTDCRunTimes.py" --tripid 815-18 --locoid 4008 --swversion DE.1.0.9.0 --startMP 204:986 --initTime 2017-08-18T09:55:51 --startdatetime 2017-08-18T10:21:14 --delay 1 --endMP 300:58965 --enddatetime 2017-08-18T10:33:49 --enforcementcount 0 &gt;&gt;C:\Users\stu\Documents\GitHub\eaglep3-reporting\EC\2017-08-18-refined-times.txt</v>
      </c>
      <c r="AI177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{"issue":{"subject":"","project_id":79,"tracker_id":40,"status_id":1,"priority_id":2,"assigned_to_id":23,"start_date":"2017-08-18","description":"","custom_fields":[{"id":1,"name":"Subdivision","value":"NW"},{"id":4,"name":"Milepost","value":"5.8965"},{"id":17,"name":"Train ID","value":"815-18"},{"id":16,"name":"Locomotive ID","value":"4008"},{"id":130,"name":"Impact","value":""},{"id":150,"name":"Time of Event (Mountain Time)","value":"10:33:49"},{"id":151,"name":"Denver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77"/>
        <v>start /low /b %USERPROFILE%\Documents\GitHub\eaglep3\Utilities\DownloadLogsFromS3.py --loco 4008 --day 2017-08-18</v>
      </c>
      <c r="AN177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16:33:49"},{"id":29,"name":"Sharepoint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753</v>
      </c>
      <c r="B178" s="7">
        <v>4007</v>
      </c>
      <c r="C178" s="21" t="s">
        <v>198</v>
      </c>
      <c r="D178" s="21" t="s">
        <v>994</v>
      </c>
      <c r="E178" s="13">
        <v>42965.440937500003</v>
      </c>
      <c r="F178" s="13">
        <v>42965.442314814813</v>
      </c>
      <c r="G178" s="7">
        <v>1</v>
      </c>
      <c r="H178" s="21" t="s">
        <v>995</v>
      </c>
      <c r="I178" s="13">
        <v>42965.454548611109</v>
      </c>
      <c r="J178" s="7">
        <v>0</v>
      </c>
      <c r="K178" s="89" t="str">
        <f t="shared" si="64"/>
        <v>4007/4008</v>
      </c>
      <c r="L178" s="21" t="str">
        <f>VLOOKUP(A178,'Trips&amp;Operators'!$C$1:$G$99999,5,FALSE)</f>
        <v>LALONDE GREGORY</v>
      </c>
      <c r="M178" s="6">
        <f t="shared" si="65"/>
        <v>1.2233796296641231E-2</v>
      </c>
      <c r="N178" s="7">
        <f t="shared" si="81"/>
        <v>17.616666667163372</v>
      </c>
      <c r="O178" s="7"/>
      <c r="P178" s="7"/>
      <c r="Q178" s="22"/>
      <c r="R178" s="170"/>
      <c r="S178" s="213">
        <f t="shared" si="82"/>
        <v>1</v>
      </c>
      <c r="T178" s="195" t="str">
        <f t="shared" si="66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7"/>
        <v>https://d0f6bd738d7f1b3e5a7ca70fe4ff75f0.us-east-1.aws.found.io/app/kibana#/discover/Steve-Slow-Train-Analysis-(2080s-and-2083s)?_g=(refreshInterval:(display:Off,pause:!f,section:0,value:0),time:(from:'2017-08-18T09:34:57-0600',mode:absolute,to:'2017-08-18T11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197" t="str">
        <f>IF(AA178&lt;VLOOKUP(AG178,Variables!$AC$3:$AD$8,2,FALSE),"Y","N")</f>
        <v>N</v>
      </c>
      <c r="X178" s="197">
        <f t="shared" si="80"/>
        <v>1</v>
      </c>
      <c r="Y178" s="197">
        <f t="shared" si="83"/>
        <v>5.8651</v>
      </c>
      <c r="Z178" s="197">
        <f t="shared" si="84"/>
        <v>6.6799999999999998E-2</v>
      </c>
      <c r="AA178" s="197">
        <f t="shared" si="70"/>
        <v>5.7983000000000002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6">
        <f t="shared" si="71"/>
        <v>816</v>
      </c>
      <c r="AE178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178" s="74" t="str">
        <f t="shared" si="73"/>
        <v>"C:\Program Files (x86)\AstroGrep\AstroGrep.exe" /e /r /s /spath="%USERPROFILE%\AppData\Local\Temp\OnboardLogs" /stypes="app*4007*20170818*" /stext=" 16:.+((SYSTEM_STATE.+slice.+state.+changed )|(ment ac)|(multiple cpu faults)|(system.+state.+changed )|(\[timeout)|(PRM\|1\|D)|(kpr)|(kdp)|(train st.+moving)|(\|lc)|(penalty))"</v>
      </c>
      <c r="AG178" s="209" t="str">
        <f t="shared" si="74"/>
        <v>NW</v>
      </c>
      <c r="AH178" s="78" t="str">
        <f t="shared" si="75"/>
        <v>"%USERPROFILE%\Documents\GitHub\eaglep3\Utilities\RefineRTDCRunTimes.py" --tripid 816-18 --locoid 4007 --swversion DE.1.0.9.0 --startMP 300:58651 --initTime 2017-08-18T10:34:57 --startdatetime 2017-08-18T10:36:56 --delay 1 --endMP 204:668 --enddatetime 2017-08-18T10:54:33 --enforcementcount 0 &gt;&gt;C:\Users\stu\Documents\GitHub\eaglep3-reporting\EC\2017-08-18-refined-times.txt</v>
      </c>
      <c r="AI178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{"issue":{"subject":"","project_id":79,"tracker_id":40,"status_id":1,"priority_id":2,"assigned_to_id":23,"start_date":"2017-08-18","description":"","custom_fields":[{"id":1,"name":"Subdivision","value":"NW"},{"id":4,"name":"Milepost","value":"0.0668"},{"id":17,"name":"Train ID","value":"816-18"},{"id":16,"name":"Locomotive ID","value":"4007"},{"id":130,"name":"Impact","value":""},{"id":150,"name":"Time of Event (Mountain Time)","value":"10:54:33"},{"id":151,"name":"Denver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77"/>
        <v>start /low /b %USERPROFILE%\Documents\GitHub\eaglep3\Utilities\DownloadLogsFromS3.py --loco 4007 --day 2017-08-18</v>
      </c>
      <c r="AN178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16:54:33"},{"id":29,"name":"Sharepoint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763</v>
      </c>
      <c r="B179" s="7">
        <v>4008</v>
      </c>
      <c r="C179" s="21" t="s">
        <v>198</v>
      </c>
      <c r="D179" s="21" t="s">
        <v>569</v>
      </c>
      <c r="E179" s="13">
        <v>42965.467743055553</v>
      </c>
      <c r="F179" s="13">
        <v>42965.514826388891</v>
      </c>
      <c r="G179" s="7">
        <v>1</v>
      </c>
      <c r="H179" s="21" t="s">
        <v>636</v>
      </c>
      <c r="I179" s="13">
        <v>42965.525208333333</v>
      </c>
      <c r="J179" s="7">
        <v>0</v>
      </c>
      <c r="K179" s="89" t="str">
        <f t="shared" si="64"/>
        <v>4007/4008</v>
      </c>
      <c r="L179" s="21" t="str">
        <f>VLOOKUP(A179,'Trips&amp;Operators'!$C$1:$G$99999,5,FALSE)</f>
        <v>CASSIDY BRANDON</v>
      </c>
      <c r="M179" s="6">
        <f t="shared" si="65"/>
        <v>1.0381944441178348E-2</v>
      </c>
      <c r="N179" s="7"/>
      <c r="O179" s="7"/>
      <c r="P179" s="7">
        <f>24*60*SUM($M179:$M179)</f>
        <v>14.949999995296821</v>
      </c>
      <c r="Q179" s="22"/>
      <c r="R179" s="170" t="s">
        <v>1059</v>
      </c>
      <c r="S179" s="213">
        <f t="shared" si="82"/>
        <v>0</v>
      </c>
      <c r="T179" s="195" t="str">
        <f t="shared" si="66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0</v>
      </c>
      <c r="V179" s="196" t="str">
        <f t="shared" si="67"/>
        <v>https://d0f6bd738d7f1b3e5a7ca70fe4ff75f0.us-east-1.aws.found.io/app/kibana#/discover/Steve-Slow-Train-Analysis-(2080s-and-2083s)?_g=(refreshInterval:(display:Off,pause:!f,section:0,value:0),time:(from:'2017-08-18T10:13:33-0600',mode:absolute,to:'2017-08-18T13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197" t="str">
        <f>IF(AA179&lt;VLOOKUP(AG179,Variables!$AC$3:$AD$8,2,FALSE),"Y","N")</f>
        <v>Y</v>
      </c>
      <c r="X179" s="197">
        <f t="shared" si="80"/>
        <v>1</v>
      </c>
      <c r="Y179" s="197">
        <f t="shared" si="83"/>
        <v>9.8100000000000007E-2</v>
      </c>
      <c r="Z179" s="197">
        <f t="shared" si="84"/>
        <v>9.69E-2</v>
      </c>
      <c r="AA179" s="197">
        <f t="shared" si="70"/>
        <v>1.2000000000000066E-3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6">
        <f t="shared" si="71"/>
        <v>817</v>
      </c>
      <c r="AE179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179" s="74" t="str">
        <f t="shared" si="73"/>
        <v>"C:\Program Files (x86)\AstroGrep\AstroGrep.exe" /e /r /s /spath="%USERPROFILE%\AppData\Local\Temp\OnboardLogs" /stypes="app*4008*20170818*" /stext=" 18:.+((SYSTEM_STATE.+slice.+state.+changed )|(ment ac)|(multiple cpu faults)|(system.+state.+changed )|(\[timeout)|(PRM\|1\|D)|(kpr)|(kdp)|(train st.+moving)|(\|lc)|(penalty))"</v>
      </c>
      <c r="AG179" s="209" t="str">
        <f t="shared" si="74"/>
        <v>NW</v>
      </c>
      <c r="AH179" s="78" t="str">
        <f t="shared" si="75"/>
        <v>"%USERPROFILE%\Documents\GitHub\eaglep3\Utilities\RefineRTDCRunTimes.py" --tripid 817-18 --locoid 4008 --swversion DE.1.0.9.0 --startMP 204:981 --initTime 2017-08-18T11:13:33 --startdatetime 2017-08-18T12:21:21 --delay 1 --endMP 204:969 --enddatetime 2017-08-18T12:36:18 --enforcementcount 0 &gt;&gt;C:\Users\stu\Documents\GitHub\eaglep3-reporting\EC\2017-08-18-refined-times.txt</v>
      </c>
      <c r="AI179" s="96" t="str">
        <f t="shared" si="76"/>
        <v>echo {"issue":{"subject":"Poor GPS at DUS","project_id":79,"tracker_id":40,"status_id":1,"priority_id":2,"assigned_to_id":23,"start_date":"2017-08-18","description":"","custom_fields":[{"id":1,"name":"Subdivision","value":"NW"},{"id":4,"name":"Milepost","value":"0.0969"},{"id":17,"name":"Train ID","value":"817-18"},{"id":16,"name":"Locomotive ID","value":"4008"},{"id":130,"name":"Impact","value":""},{"id":150,"name":"Time of Event (Mountain Time)","value":"12:36:18"},{"id":151,"name":"Denver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7"/>
        <v>start /low /b %USERPROFILE%\Documents\GitHub\eaglep3\Utilities\DownloadLogsFromS3.py --loco 4008 --day 2017-08-18</v>
      </c>
      <c r="AN179" s="151" t="str">
        <f t="shared" si="78"/>
        <v>echo {"issue":{"subject":"Poor GPS at DUS","project_id":30,"tracker_id":4,"status_id":1,"priority_id":1,"assigned_to_id":10,"start_date":"2017-08-18","description":"","custom_fields":[{"id":30,"name":"Category","value":"Issue"},{"id":3,"name":"Functional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18:36:18"},{"id":29,"name":"Sharepoint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660</v>
      </c>
      <c r="B180" s="7">
        <v>4007</v>
      </c>
      <c r="C180" s="21" t="s">
        <v>198</v>
      </c>
      <c r="D180" s="21" t="s">
        <v>627</v>
      </c>
      <c r="E180" s="13">
        <v>42965.484560185185</v>
      </c>
      <c r="F180" s="13">
        <v>42965.486342592594</v>
      </c>
      <c r="G180" s="7">
        <v>1</v>
      </c>
      <c r="H180" s="21" t="s">
        <v>996</v>
      </c>
      <c r="I180" s="13">
        <v>42965.495983796296</v>
      </c>
      <c r="J180" s="7">
        <v>0</v>
      </c>
      <c r="K180" s="89" t="str">
        <f t="shared" si="64"/>
        <v>4007/4008</v>
      </c>
      <c r="L180" s="21" t="str">
        <f>VLOOKUP(A180,'Trips&amp;Operators'!$C$1:$G$99999,5,FALSE)</f>
        <v>CASSIDY BRANDON</v>
      </c>
      <c r="M180" s="6">
        <f t="shared" si="65"/>
        <v>9.6412037019035779E-3</v>
      </c>
      <c r="N180" s="7">
        <f t="shared" ref="N180:N211" si="85">24*60*SUM($M180:$M180)</f>
        <v>13.883333330741152</v>
      </c>
      <c r="O180" s="7"/>
      <c r="P180" s="7"/>
      <c r="Q180" s="22"/>
      <c r="R180" s="170"/>
      <c r="S180" s="213">
        <f t="shared" si="82"/>
        <v>1</v>
      </c>
      <c r="T180" s="195" t="str">
        <f t="shared" si="66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7"/>
        <v>https://d0f6bd738d7f1b3e5a7ca70fe4ff75f0.us-east-1.aws.found.io/app/kibana#/discover/Steve-Slow-Train-Analysis-(2080s-and-2083s)?_g=(refreshInterval:(display:Off,pause:!f,section:0,value:0),time:(from:'2017-08-18T10:37:46-0600',mode:absolute,to:'2017-08-18T12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197" t="str">
        <f>IF(AA180&lt;VLOOKUP(AG180,Variables!$AC$3:$AD$8,2,FALSE),"Y","N")</f>
        <v>N</v>
      </c>
      <c r="X180" s="197">
        <f t="shared" si="80"/>
        <v>1</v>
      </c>
      <c r="Y180" s="197">
        <f t="shared" si="83"/>
        <v>5.8662000000000001</v>
      </c>
      <c r="Z180" s="197">
        <f t="shared" si="84"/>
        <v>7.5399999999999995E-2</v>
      </c>
      <c r="AA180" s="197">
        <f t="shared" si="70"/>
        <v>5.7907999999999999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6">
        <f t="shared" si="71"/>
        <v>818</v>
      </c>
      <c r="AE180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180" s="74" t="str">
        <f t="shared" si="73"/>
        <v>"C:\Program Files (x86)\AstroGrep\AstroGrep.exe" /e /r /s /spath="%USERPROFILE%\AppData\Local\Temp\OnboardLogs" /stypes="app*4007*20170818*" /stext=" 17:.+((SYSTEM_STATE.+slice.+state.+changed )|(ment ac)|(multiple cpu faults)|(system.+state.+changed )|(\[timeout)|(PRM\|1\|D)|(kpr)|(kdp)|(train st.+moving)|(\|lc)|(penalty))"</v>
      </c>
      <c r="AG180" s="209" t="str">
        <f t="shared" si="74"/>
        <v>NW</v>
      </c>
      <c r="AH180" s="78" t="str">
        <f t="shared" si="75"/>
        <v>"%USERPROFILE%\Documents\GitHub\eaglep3\Utilities\RefineRTDCRunTimes.py" --tripid 818-18 --locoid 4007 --swversion DE.1.0.9.0 --startMP 300:58662 --initTime 2017-08-18T11:37:46 --startdatetime 2017-08-18T11:40:20 --delay 1 --endMP 204:754 --enddatetime 2017-08-18T11:54:13 --enforcementcount 0 &gt;&gt;C:\Users\stu\Documents\GitHub\eaglep3-reporting\EC\2017-08-18-refined-times.txt</v>
      </c>
      <c r="AI180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{"issue":{"subject":"","project_id":79,"tracker_id":40,"status_id":1,"priority_id":2,"assigned_to_id":23,"start_date":"2017-08-18","description":"","custom_fields":[{"id":1,"name":"Subdivision","value":"NW"},{"id":4,"name":"Milepost","value":"0.0754"},{"id":17,"name":"Train ID","value":"818-18"},{"id":16,"name":"Locomotive ID","value":"4007"},{"id":130,"name":"Impact","value":""},{"id":150,"name":"Time of Event (Mountain Time)","value":"11:54:13"},{"id":151,"name":"Denver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77"/>
        <v>start /low /b %USERPROFILE%\Documents\GitHub\eaglep3\Utilities\DownloadLogsFromS3.py --loco 4007 --day 2017-08-18</v>
      </c>
      <c r="AN180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17:54:13"},{"id":29,"name":"Sharepoint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663</v>
      </c>
      <c r="B181" s="7">
        <v>4008</v>
      </c>
      <c r="C181" s="21" t="s">
        <v>198</v>
      </c>
      <c r="D181" s="21" t="s">
        <v>631</v>
      </c>
      <c r="E181" s="13">
        <v>42965.510891203703</v>
      </c>
      <c r="F181" s="13">
        <v>42965.514826388891</v>
      </c>
      <c r="G181" s="7">
        <v>1</v>
      </c>
      <c r="H181" s="21" t="s">
        <v>634</v>
      </c>
      <c r="I181" s="13">
        <v>42965.525208333333</v>
      </c>
      <c r="J181" s="7">
        <v>0</v>
      </c>
      <c r="K181" s="89" t="str">
        <f t="shared" si="64"/>
        <v>4007/4008</v>
      </c>
      <c r="L181" s="21" t="str">
        <f>VLOOKUP(A181,'Trips&amp;Operators'!$C$1:$G$99999,5,FALSE)</f>
        <v>LALONDE GREGORY</v>
      </c>
      <c r="M181" s="6">
        <f t="shared" si="65"/>
        <v>1.0381944441178348E-2</v>
      </c>
      <c r="N181" s="7">
        <f t="shared" si="85"/>
        <v>14.949999995296821</v>
      </c>
      <c r="O181" s="7"/>
      <c r="P181" s="7"/>
      <c r="Q181" s="22"/>
      <c r="R181" s="170"/>
      <c r="S181" s="213">
        <f t="shared" si="82"/>
        <v>1</v>
      </c>
      <c r="T181" s="195" t="str">
        <f t="shared" si="66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7"/>
        <v>https://d0f6bd738d7f1b3e5a7ca70fe4ff75f0.us-east-1.aws.found.io/app/kibana#/discover/Steve-Slow-Train-Analysis-(2080s-and-2083s)?_g=(refreshInterval:(display:Off,pause:!f,section:0,value:0),time:(from:'2017-08-18T11:15:41-0600',mode:absolute,to:'2017-08-18T13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197" t="str">
        <f>IF(AA181&lt;VLOOKUP(AG181,Variables!$AC$3:$AD$8,2,FALSE),"Y","N")</f>
        <v>N</v>
      </c>
      <c r="X181" s="197">
        <f t="shared" ref="X181:X183" si="86">VALUE(LEFT(AD181,4))-VALUE(LEFT(AD180,4))</f>
        <v>1</v>
      </c>
      <c r="Y181" s="197">
        <f t="shared" si="83"/>
        <v>0.1027</v>
      </c>
      <c r="Z181" s="197">
        <f t="shared" si="84"/>
        <v>5.8917999999999999</v>
      </c>
      <c r="AA181" s="197">
        <f t="shared" si="70"/>
        <v>5.7891000000000004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6">
        <f t="shared" si="71"/>
        <v>819</v>
      </c>
      <c r="AE181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181" s="74" t="str">
        <f t="shared" si="73"/>
        <v>"C:\Program Files (x86)\AstroGrep\AstroGrep.exe" /e /r /s /spath="%USERPROFILE%\AppData\Local\Temp\OnboardLogs" /stypes="app*4008*20170818*" /stext=" 18:.+((SYSTEM_STATE.+slice.+state.+changed )|(ment ac)|(multiple cpu faults)|(system.+state.+changed )|(\[timeout)|(PRM\|1\|D)|(kpr)|(kdp)|(train st.+moving)|(\|lc)|(penalty))"</v>
      </c>
      <c r="AG181" s="209" t="str">
        <f t="shared" si="74"/>
        <v>NW</v>
      </c>
      <c r="AH181" s="78" t="str">
        <f t="shared" si="75"/>
        <v>"%USERPROFILE%\Documents\GitHub\eaglep3\Utilities\RefineRTDCRunTimes.py" --tripid 819-18 --locoid 4008 --swversion DE.1.0.9.0 --startMP 204:1027 --initTime 2017-08-18T12:15:41 --startdatetime 2017-08-18T12:21:21 --delay 1 --endMP 300:58918 --enddatetime 2017-08-18T12:36:18 --enforcementcount 0 &gt;&gt;C:\Users\stu\Documents\GitHub\eaglep3-reporting\EC\2017-08-18-refined-times.txt</v>
      </c>
      <c r="AI181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{"issue":{"subject":"","project_id":79,"tracker_id":40,"status_id":1,"priority_id":2,"assigned_to_id":23,"start_date":"2017-08-18","description":"","custom_fields":[{"id":1,"name":"Subdivision","value":"NW"},{"id":4,"name":"Milepost","value":"5.8918"},{"id":17,"name":"Train ID","value":"819-18"},{"id":16,"name":"Locomotive ID","value":"4008"},{"id":130,"name":"Impact","value":""},{"id":150,"name":"Time of Event (Mountain Time)","value":"12:36:18"},{"id":151,"name":"Denver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77"/>
        <v>start /low /b %USERPROFILE%\Documents\GitHub\eaglep3\Utilities\DownloadLogsFromS3.py --loco 4008 --day 2017-08-18</v>
      </c>
      <c r="AN181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18:36:18"},{"id":29,"name":"Sharepoint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774</v>
      </c>
      <c r="B182" s="7">
        <v>4007</v>
      </c>
      <c r="C182" s="21" t="s">
        <v>198</v>
      </c>
      <c r="D182" s="21" t="s">
        <v>630</v>
      </c>
      <c r="E182" s="13">
        <v>42965.526712962965</v>
      </c>
      <c r="F182" s="13">
        <v>42965.52820601852</v>
      </c>
      <c r="G182" s="7">
        <v>1</v>
      </c>
      <c r="H182" s="21" t="s">
        <v>997</v>
      </c>
      <c r="I182" s="13">
        <v>42965.538680555554</v>
      </c>
      <c r="J182" s="7">
        <v>0</v>
      </c>
      <c r="K182" s="89" t="str">
        <f t="shared" si="64"/>
        <v>4007/4008</v>
      </c>
      <c r="L182" s="21" t="str">
        <f>VLOOKUP(A182,'Trips&amp;Operators'!$C$1:$G$99999,5,FALSE)</f>
        <v>BIRKHOLZ NADINE</v>
      </c>
      <c r="M182" s="6">
        <f t="shared" si="65"/>
        <v>1.0474537033587694E-2</v>
      </c>
      <c r="N182" s="7">
        <f t="shared" si="85"/>
        <v>15.08333332836628</v>
      </c>
      <c r="O182" s="7"/>
      <c r="P182" s="7"/>
      <c r="Q182" s="22"/>
      <c r="R182" s="170"/>
      <c r="S182" s="213">
        <f t="shared" si="82"/>
        <v>1</v>
      </c>
      <c r="T182" s="195" t="str">
        <f t="shared" si="66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7"/>
        <v>https://d0f6bd738d7f1b3e5a7ca70fe4ff75f0.us-east-1.aws.found.io/app/kibana#/discover/Steve-Slow-Train-Analysis-(2080s-and-2083s)?_g=(refreshInterval:(display:Off,pause:!f,section:0,value:0),time:(from:'2017-08-18T11:38:28-0600',mode:absolute,to:'2017-08-18T13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197" t="str">
        <f>IF(AA182&lt;VLOOKUP(AG182,Variables!$AC$3:$AD$8,2,FALSE),"Y","N")</f>
        <v>N</v>
      </c>
      <c r="X182" s="197">
        <f t="shared" si="86"/>
        <v>1</v>
      </c>
      <c r="Y182" s="197">
        <f t="shared" si="83"/>
        <v>5.8613</v>
      </c>
      <c r="Z182" s="197">
        <f t="shared" si="84"/>
        <v>6.8699999999999997E-2</v>
      </c>
      <c r="AA182" s="197">
        <f t="shared" si="70"/>
        <v>5.7926000000000002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6">
        <f t="shared" si="71"/>
        <v>820</v>
      </c>
      <c r="AE182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182" s="74" t="str">
        <f t="shared" si="73"/>
        <v>"C:\Program Files (x86)\AstroGrep\AstroGrep.exe" /e /r /s /spath="%USERPROFILE%\AppData\Local\Temp\OnboardLogs" /stypes="app*4007*20170818*" /stext=" 18:.+((SYSTEM_STATE.+slice.+state.+changed )|(ment ac)|(multiple cpu faults)|(system.+state.+changed )|(\[timeout)|(PRM\|1\|D)|(kpr)|(kdp)|(train st.+moving)|(\|lc)|(penalty))"</v>
      </c>
      <c r="AG182" s="209" t="str">
        <f t="shared" si="74"/>
        <v>NW</v>
      </c>
      <c r="AH182" s="78" t="str">
        <f t="shared" si="75"/>
        <v>"%USERPROFILE%\Documents\GitHub\eaglep3\Utilities\RefineRTDCRunTimes.py" --tripid 820-18 --locoid 4007 --swversion DE.1.0.9.0 --startMP 300:58613 --initTime 2017-08-18T12:38:28 --startdatetime 2017-08-18T12:40:37 --delay 1 --endMP 204:687 --enddatetime 2017-08-18T12:55:42 --enforcementcount 0 &gt;&gt;C:\Users\stu\Documents\GitHub\eaglep3-reporting\EC\2017-08-18-refined-times.txt</v>
      </c>
      <c r="AI182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{"issue":{"subject":"","project_id":79,"tracker_id":40,"status_id":1,"priority_id":2,"assigned_to_id":23,"start_date":"2017-08-18","description":"","custom_fields":[{"id":1,"name":"Subdivision","value":"NW"},{"id":4,"name":"Milepost","value":"0.0687"},{"id":17,"name":"Train ID","value":"820-18"},{"id":16,"name":"Locomotive ID","value":"4007"},{"id":130,"name":"Impact","value":""},{"id":150,"name":"Time of Event (Mountain Time)","value":"12:55:42"},{"id":151,"name":"Denver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77"/>
        <v>start /low /b %USERPROFILE%\Documents\GitHub\eaglep3\Utilities\DownloadLogsFromS3.py --loco 4007 --day 2017-08-18</v>
      </c>
      <c r="AN182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18:55:42"},{"id":29,"name":"Sharepoint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777</v>
      </c>
      <c r="B183" s="7">
        <v>4008</v>
      </c>
      <c r="C183" s="21" t="s">
        <v>198</v>
      </c>
      <c r="D183" s="21" t="s">
        <v>572</v>
      </c>
      <c r="E183" s="13">
        <v>42965.544166666667</v>
      </c>
      <c r="F183" s="13">
        <v>42965.556435185186</v>
      </c>
      <c r="G183" s="7">
        <v>15</v>
      </c>
      <c r="H183" s="21" t="s">
        <v>998</v>
      </c>
      <c r="I183" s="13">
        <v>42965.565405092595</v>
      </c>
      <c r="J183" s="7">
        <v>0</v>
      </c>
      <c r="K183" s="89" t="str">
        <f t="shared" si="64"/>
        <v>4007/4008</v>
      </c>
      <c r="L183" s="21" t="str">
        <f>VLOOKUP(A183,'Trips&amp;Operators'!$C$1:$G$99999,5,FALSE)</f>
        <v>DELGADO DIANAH</v>
      </c>
      <c r="M183" s="6">
        <f t="shared" si="65"/>
        <v>8.969907408754807E-3</v>
      </c>
      <c r="N183" s="7">
        <f t="shared" si="85"/>
        <v>12.916666668606922</v>
      </c>
      <c r="O183" s="7"/>
      <c r="P183" s="7"/>
      <c r="Q183" s="22"/>
      <c r="R183" s="170"/>
      <c r="S183" s="213">
        <f t="shared" si="82"/>
        <v>1</v>
      </c>
      <c r="T183" s="195" t="str">
        <f t="shared" si="66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7"/>
        <v>https://d0f6bd738d7f1b3e5a7ca70fe4ff75f0.us-east-1.aws.found.io/app/kibana#/discover/Steve-Slow-Train-Analysis-(2080s-and-2083s)?_g=(refreshInterval:(display:Off,pause:!f,section:0,value:0),time:(from:'2017-08-18T12:03:36-0600',mode:absolute,to:'2017-08-18T14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197" t="str">
        <f>IF(AA183&lt;VLOOKUP(AG183,Variables!$AC$3:$AD$8,2,FALSE),"Y","N")</f>
        <v>N</v>
      </c>
      <c r="X183" s="197">
        <f t="shared" si="86"/>
        <v>1</v>
      </c>
      <c r="Y183" s="197">
        <f t="shared" si="83"/>
        <v>9.8299999999999998E-2</v>
      </c>
      <c r="Z183" s="197">
        <f t="shared" si="84"/>
        <v>5.8952</v>
      </c>
      <c r="AA183" s="197">
        <f t="shared" si="70"/>
        <v>5.7968999999999999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6">
        <f t="shared" si="71"/>
        <v>821</v>
      </c>
      <c r="AE183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183" s="74" t="str">
        <f t="shared" si="73"/>
        <v>"C:\Program Files (x86)\AstroGrep\AstroGrep.exe" /e /r /s /spath="%USERPROFILE%\AppData\Local\Temp\OnboardLogs" /stypes="app*4008*20170818*" /stext=" 19:.+((SYSTEM_STATE.+slice.+state.+changed )|(ment ac)|(multiple cpu faults)|(system.+state.+changed )|(\[timeout)|(PRM\|1\|D)|(kpr)|(kdp)|(train st.+moving)|(\|lc)|(penalty))"</v>
      </c>
      <c r="AG183" s="209" t="str">
        <f t="shared" si="74"/>
        <v>NW</v>
      </c>
      <c r="AH183" s="78" t="str">
        <f t="shared" si="75"/>
        <v>"%USERPROFILE%\Documents\GitHub\eaglep3\Utilities\RefineRTDCRunTimes.py" --tripid 821-18 --locoid 4008 --swversion DE.1.0.9.0 --startMP 204:983 --initTime 2017-08-18T13:03:36 --startdatetime 2017-08-18T13:21:16 --delay 15 --endMP 300:58952 --enddatetime 2017-08-18T13:34:11 --enforcementcount 0 &gt;&gt;C:\Users\stu\Documents\GitHub\eaglep3-reporting\EC\2017-08-18-refined-times.txt</v>
      </c>
      <c r="AI183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{"issue":{"subject":"","project_id":79,"tracker_id":40,"status_id":1,"priority_id":2,"assigned_to_id":23,"start_date":"2017-08-18","description":"","custom_fields":[{"id":1,"name":"Subdivision","value":"NW"},{"id":4,"name":"Milepost","value":"5.8952"},{"id":17,"name":"Train ID","value":"821-18"},{"id":16,"name":"Locomotive ID","value":"4008"},{"id":130,"name":"Impact","value":""},{"id":150,"name":"Time of Event (Mountain Time)","value":"13:34:11"},{"id":151,"name":"Denver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77"/>
        <v>start /low /b %USERPROFILE%\Documents\GitHub\eaglep3\Utilities\DownloadLogsFromS3.py --loco 4008 --day 2017-08-18</v>
      </c>
      <c r="AN183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19:34:11"},{"id":29,"name":"Sharepoint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781</v>
      </c>
      <c r="B184" s="7">
        <v>4007</v>
      </c>
      <c r="C184" s="21" t="s">
        <v>198</v>
      </c>
      <c r="D184" s="21" t="s">
        <v>999</v>
      </c>
      <c r="E184" s="13">
        <v>42965.566562499997</v>
      </c>
      <c r="F184" s="13">
        <v>42965.568611111114</v>
      </c>
      <c r="G184" s="7">
        <v>1</v>
      </c>
      <c r="H184" s="21" t="s">
        <v>1000</v>
      </c>
      <c r="I184" s="13">
        <v>42965.579664351855</v>
      </c>
      <c r="J184" s="7">
        <v>0</v>
      </c>
      <c r="K184" s="89" t="str">
        <f t="shared" si="64"/>
        <v>4007/4008</v>
      </c>
      <c r="L184" s="21" t="str">
        <f>VLOOKUP(A184,'Trips&amp;Operators'!$C$1:$G$99999,5,FALSE)</f>
        <v>DELGADO DIANAH</v>
      </c>
      <c r="M184" s="6">
        <f t="shared" si="65"/>
        <v>1.1053240741603076E-2</v>
      </c>
      <c r="N184" s="7">
        <f t="shared" si="85"/>
        <v>15.91666666790843</v>
      </c>
      <c r="O184" s="7"/>
      <c r="P184" s="7"/>
      <c r="Q184" s="22"/>
      <c r="R184" s="170"/>
      <c r="S184" s="213">
        <f t="shared" si="82"/>
        <v>1</v>
      </c>
      <c r="T184" s="195" t="str">
        <f t="shared" si="66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7"/>
        <v>https://d0f6bd738d7f1b3e5a7ca70fe4ff75f0.us-east-1.aws.found.io/app/kibana#/discover/Steve-Slow-Train-Analysis-(2080s-and-2083s)?_g=(refreshInterval:(display:Off,pause:!f,section:0,value:0),time:(from:'2017-08-18T12:35:51-0600',mode:absolute,to:'2017-08-18T14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197" t="str">
        <f>IF(AA184&lt;VLOOKUP(AG184,Variables!$AC$3:$AD$8,2,FALSE),"Y","N")</f>
        <v>N</v>
      </c>
      <c r="X184" s="197">
        <f t="shared" ref="X184:X215" si="87">VALUE(LEFT(AD184,4))-VALUE(LEFT(AD183,4))</f>
        <v>1</v>
      </c>
      <c r="Y184" s="197">
        <f t="shared" si="83"/>
        <v>5.8639999999999999</v>
      </c>
      <c r="Z184" s="197">
        <f t="shared" si="84"/>
        <v>6.4899999999999999E-2</v>
      </c>
      <c r="AA184" s="197">
        <f t="shared" si="70"/>
        <v>5.7991000000000001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6">
        <f t="shared" si="71"/>
        <v>822</v>
      </c>
      <c r="AE184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184" s="74" t="str">
        <f t="shared" si="73"/>
        <v>"C:\Program Files (x86)\AstroGrep\AstroGrep.exe" /e /r /s /spath="%USERPROFILE%\AppData\Local\Temp\OnboardLogs" /stypes="app*4007*20170818*" /stext=" 19:.+((SYSTEM_STATE.+slice.+state.+changed )|(ment ac)|(multiple cpu faults)|(system.+state.+changed )|(\[timeout)|(PRM\|1\|D)|(kpr)|(kdp)|(train st.+moving)|(\|lc)|(penalty))"</v>
      </c>
      <c r="AG184" s="209" t="str">
        <f t="shared" si="74"/>
        <v>NW</v>
      </c>
      <c r="AH184" s="78" t="str">
        <f t="shared" si="75"/>
        <v>"%USERPROFILE%\Documents\GitHub\eaglep3\Utilities\RefineRTDCRunTimes.py" --tripid 822-18 --locoid 4007 --swversion DE.1.0.9.0 --startMP 300:58640 --initTime 2017-08-18T13:35:51 --startdatetime 2017-08-18T13:38:48 --delay 1 --endMP 204:649 --enddatetime 2017-08-18T13:54:43 --enforcementcount 0 &gt;&gt;C:\Users\stu\Documents\GitHub\eaglep3-reporting\EC\2017-08-18-refined-times.txt</v>
      </c>
      <c r="AI184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{"issue":{"subject":"","project_id":79,"tracker_id":40,"status_id":1,"priority_id":2,"assigned_to_id":23,"start_date":"2017-08-18","description":"","custom_fields":[{"id":1,"name":"Subdivision","value":"NW"},{"id":4,"name":"Milepost","value":"0.0649"},{"id":17,"name":"Train ID","value":"822-18"},{"id":16,"name":"Locomotive ID","value":"4007"},{"id":130,"name":"Impact","value":""},{"id":150,"name":"Time of Event (Mountain Time)","value":"13:54:43"},{"id":151,"name":"Denver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77"/>
        <v>start /low /b %USERPROFILE%\Documents\GitHub\eaglep3\Utilities\DownloadLogsFromS3.py --loco 4007 --day 2017-08-18</v>
      </c>
      <c r="AN184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19:54:43"},{"id":29,"name":"Sharepoint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784</v>
      </c>
      <c r="B185" s="7">
        <v>4008</v>
      </c>
      <c r="C185" s="21" t="s">
        <v>198</v>
      </c>
      <c r="D185" s="21" t="s">
        <v>1001</v>
      </c>
      <c r="E185" s="13">
        <v>42965.581689814811</v>
      </c>
      <c r="F185" s="13">
        <v>42965.598090277781</v>
      </c>
      <c r="G185" s="7">
        <v>21</v>
      </c>
      <c r="H185" s="21" t="s">
        <v>633</v>
      </c>
      <c r="I185" s="13">
        <v>42965.607291666667</v>
      </c>
      <c r="J185" s="7">
        <v>0</v>
      </c>
      <c r="K185" s="89" t="str">
        <f t="shared" si="64"/>
        <v>4007/4008</v>
      </c>
      <c r="L185" s="21" t="str">
        <f>VLOOKUP(A185,'Trips&amp;Operators'!$C$1:$G$99999,5,FALSE)</f>
        <v>DELGADO DIANAH</v>
      </c>
      <c r="M185" s="6">
        <f t="shared" si="65"/>
        <v>9.2013888861401938E-3</v>
      </c>
      <c r="N185" s="7">
        <f t="shared" si="85"/>
        <v>13.249999996041879</v>
      </c>
      <c r="O185" s="7"/>
      <c r="P185" s="7"/>
      <c r="Q185" s="22"/>
      <c r="R185" s="170"/>
      <c r="S185" s="213">
        <f t="shared" si="82"/>
        <v>1</v>
      </c>
      <c r="T185" s="195" t="str">
        <f t="shared" si="66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7"/>
        <v>https://d0f6bd738d7f1b3e5a7ca70fe4ff75f0.us-east-1.aws.found.io/app/kibana#/discover/Steve-Slow-Train-Analysis-(2080s-and-2083s)?_g=(refreshInterval:(display:Off,pause:!f,section:0,value:0),time:(from:'2017-08-18T12:57:38-0600',mode:absolute,to:'2017-08-18T15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197" t="str">
        <f>IF(AA185&lt;VLOOKUP(AG185,Variables!$AC$3:$AD$8,2,FALSE),"Y","N")</f>
        <v>N</v>
      </c>
      <c r="X185" s="197">
        <f t="shared" si="87"/>
        <v>1</v>
      </c>
      <c r="Y185" s="197">
        <f t="shared" si="83"/>
        <v>9.3200000000000005E-2</v>
      </c>
      <c r="Z185" s="197">
        <f t="shared" si="84"/>
        <v>5.8944000000000001</v>
      </c>
      <c r="AA185" s="197">
        <f t="shared" si="70"/>
        <v>5.8011999999999997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6">
        <f t="shared" si="71"/>
        <v>823</v>
      </c>
      <c r="AE185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185" s="74" t="str">
        <f t="shared" si="73"/>
        <v>"C:\Program Files (x86)\AstroGrep\AstroGrep.exe" /e /r /s /spath="%USERPROFILE%\AppData\Local\Temp\OnboardLogs" /stypes="app*4008*20170818*" /stext=" 20:.+((SYSTEM_STATE.+slice.+state.+changed )|(ment ac)|(multiple cpu faults)|(system.+state.+changed )|(\[timeout)|(PRM\|1\|D)|(kpr)|(kdp)|(train st.+moving)|(\|lc)|(penalty))"</v>
      </c>
      <c r="AG185" s="209" t="str">
        <f t="shared" si="74"/>
        <v>NW</v>
      </c>
      <c r="AH185" s="78" t="str">
        <f t="shared" si="75"/>
        <v>"%USERPROFILE%\Documents\GitHub\eaglep3\Utilities\RefineRTDCRunTimes.py" --tripid 823-18 --locoid 4008 --swversion DE.1.0.9.0 --startMP 204:932 --initTime 2017-08-18T13:57:38 --startdatetime 2017-08-18T14:21:15 --delay 21 --endMP 300:58944 --enddatetime 2017-08-18T14:34:30 --enforcementcount 0 &gt;&gt;C:\Users\stu\Documents\GitHub\eaglep3-reporting\EC\2017-08-18-refined-times.txt</v>
      </c>
      <c r="AI185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{"issue":{"subject":"","project_id":79,"tracker_id":40,"status_id":1,"priority_id":2,"assigned_to_id":23,"start_date":"2017-08-18","description":"","custom_fields":[{"id":1,"name":"Subdivision","value":"NW"},{"id":4,"name":"Milepost","value":"5.8944"},{"id":17,"name":"Train ID","value":"823-18"},{"id":16,"name":"Locomotive ID","value":"4008"},{"id":130,"name":"Impact","value":""},{"id":150,"name":"Time of Event (Mountain Time)","value":"14:34:30"},{"id":151,"name":"Denver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77"/>
        <v>start /low /b %USERPROFILE%\Documents\GitHub\eaglep3\Utilities\DownloadLogsFromS3.py --loco 4008 --day 2017-08-18</v>
      </c>
      <c r="AN185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20:34:30"},{"id":29,"name":"Sharepoint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789</v>
      </c>
      <c r="B186" s="7">
        <v>4007</v>
      </c>
      <c r="C186" s="21" t="s">
        <v>198</v>
      </c>
      <c r="D186" s="21" t="s">
        <v>1002</v>
      </c>
      <c r="E186" s="13">
        <v>42965.60837962963</v>
      </c>
      <c r="F186" s="13">
        <v>42965.609814814816</v>
      </c>
      <c r="G186" s="7">
        <v>1</v>
      </c>
      <c r="H186" s="21" t="s">
        <v>1003</v>
      </c>
      <c r="I186" s="13">
        <v>42965.621203703704</v>
      </c>
      <c r="J186" s="7">
        <v>0</v>
      </c>
      <c r="K186" s="89" t="str">
        <f t="shared" si="64"/>
        <v>4007/4008</v>
      </c>
      <c r="L186" s="21" t="str">
        <f>VLOOKUP(A186,'Trips&amp;Operators'!$C$1:$G$99999,5,FALSE)</f>
        <v>DELGADO DIANAH</v>
      </c>
      <c r="M186" s="6">
        <f t="shared" si="65"/>
        <v>1.1388888888177462E-2</v>
      </c>
      <c r="N186" s="7">
        <f t="shared" si="85"/>
        <v>16.399999998975545</v>
      </c>
      <c r="O186" s="7"/>
      <c r="P186" s="7"/>
      <c r="Q186" s="22"/>
      <c r="R186" s="170"/>
      <c r="S186" s="213">
        <f t="shared" si="82"/>
        <v>1</v>
      </c>
      <c r="T186" s="195" t="str">
        <f t="shared" si="66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7"/>
        <v>https://d0f6bd738d7f1b3e5a7ca70fe4ff75f0.us-east-1.aws.found.io/app/kibana#/discover/Steve-Slow-Train-Analysis-(2080s-and-2083s)?_g=(refreshInterval:(display:Off,pause:!f,section:0,value:0),time:(from:'2017-08-18T13:36:04-0600',mode:absolute,to:'2017-08-18T15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197" t="str">
        <f>IF(AA186&lt;VLOOKUP(AG186,Variables!$AC$3:$AD$8,2,FALSE),"Y","N")</f>
        <v>N</v>
      </c>
      <c r="X186" s="197">
        <f t="shared" si="87"/>
        <v>1</v>
      </c>
      <c r="Y186" s="197">
        <f t="shared" si="83"/>
        <v>5.8630000000000004</v>
      </c>
      <c r="Z186" s="197">
        <f t="shared" si="84"/>
        <v>6.5699999999999995E-2</v>
      </c>
      <c r="AA186" s="197">
        <f t="shared" si="70"/>
        <v>5.7973000000000008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6">
        <f t="shared" si="71"/>
        <v>824</v>
      </c>
      <c r="AE186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186" s="74" t="str">
        <f t="shared" si="73"/>
        <v>"C:\Program Files (x86)\AstroGrep\AstroGrep.exe" /e /r /s /spath="%USERPROFILE%\AppData\Local\Temp\OnboardLogs" /stypes="app*4007*20170818*" /stext=" 20:.+((SYSTEM_STATE.+slice.+state.+changed )|(ment ac)|(multiple cpu faults)|(system.+state.+changed )|(\[timeout)|(PRM\|1\|D)|(kpr)|(kdp)|(train st.+moving)|(\|lc)|(penalty))"</v>
      </c>
      <c r="AG186" s="209" t="str">
        <f t="shared" si="74"/>
        <v>NW</v>
      </c>
      <c r="AH186" s="78" t="str">
        <f t="shared" si="75"/>
        <v>"%USERPROFILE%\Documents\GitHub\eaglep3\Utilities\RefineRTDCRunTimes.py" --tripid 824-18 --locoid 4007 --swversion DE.1.0.9.0 --startMP 300:58630 --initTime 2017-08-18T14:36:04 --startdatetime 2017-08-18T14:38:08 --delay 1 --endMP 204:657 --enddatetime 2017-08-18T14:54:32 --enforcementcount 0 &gt;&gt;C:\Users\stu\Documents\GitHub\eaglep3-reporting\EC\2017-08-18-refined-times.txt</v>
      </c>
      <c r="AI186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{"issue":{"subject":"","project_id":79,"tracker_id":40,"status_id":1,"priority_id":2,"assigned_to_id":23,"start_date":"2017-08-18","description":"","custom_fields":[{"id":1,"name":"Subdivision","value":"NW"},{"id":4,"name":"Milepost","value":"0.0657"},{"id":17,"name":"Train ID","value":"824-18"},{"id":16,"name":"Locomotive ID","value":"4007"},{"id":130,"name":"Impact","value":""},{"id":150,"name":"Time of Event (Mountain Time)","value":"14:54:32"},{"id":151,"name":"Denver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7"/>
        <v>start /low /b %USERPROFILE%\Documents\GitHub\eaglep3\Utilities\DownloadLogsFromS3.py --loco 4007 --day 2017-08-18</v>
      </c>
      <c r="AN186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20:54:32"},{"id":29,"name":"Sharepoint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792</v>
      </c>
      <c r="B187" s="7">
        <v>4008</v>
      </c>
      <c r="C187" s="21" t="s">
        <v>198</v>
      </c>
      <c r="D187" s="21" t="s">
        <v>1002</v>
      </c>
      <c r="E187" s="13">
        <v>42965.60837962963</v>
      </c>
      <c r="F187" s="13">
        <v>42965.639837962961</v>
      </c>
      <c r="G187" s="7">
        <v>1</v>
      </c>
      <c r="H187" s="21" t="s">
        <v>1003</v>
      </c>
      <c r="I187" s="13">
        <v>42965.648900462962</v>
      </c>
      <c r="J187" s="7">
        <v>0</v>
      </c>
      <c r="K187" s="89" t="str">
        <f t="shared" si="64"/>
        <v>4007/4008</v>
      </c>
      <c r="L187" s="21" t="str">
        <f>VLOOKUP(A187,'Trips&amp;Operators'!$C$1:$G$99999,5,FALSE)</f>
        <v>DELGADO DIANAH</v>
      </c>
      <c r="M187" s="6">
        <f t="shared" si="65"/>
        <v>9.0625000011641532E-3</v>
      </c>
      <c r="N187" s="7">
        <f t="shared" si="85"/>
        <v>13.050000001676381</v>
      </c>
      <c r="O187" s="7"/>
      <c r="P187" s="7"/>
      <c r="Q187" s="22"/>
      <c r="R187" s="170"/>
      <c r="S187" s="213">
        <f t="shared" si="82"/>
        <v>1</v>
      </c>
      <c r="T187" s="195" t="str">
        <f t="shared" si="66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7"/>
        <v>https://d0f6bd738d7f1b3e5a7ca70fe4ff75f0.us-east-1.aws.found.io/app/kibana#/discover/Steve-Slow-Train-Analysis-(2080s-and-2083s)?_g=(refreshInterval:(display:Off,pause:!f,section:0,value:0),time:(from:'2017-08-18T13:36:04-0600',mode:absolute,to:'2017-08-18T16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197" t="str">
        <f>IF(AA187&lt;VLOOKUP(AG187,Variables!$AC$3:$AD$8,2,FALSE),"Y","N")</f>
        <v>N</v>
      </c>
      <c r="X187" s="197">
        <f t="shared" si="87"/>
        <v>1</v>
      </c>
      <c r="Y187" s="197">
        <v>9.7900000000000001E-2</v>
      </c>
      <c r="Z187" s="197">
        <v>5.8944000000000001</v>
      </c>
      <c r="AA187" s="197">
        <f t="shared" si="70"/>
        <v>5.7965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6">
        <f t="shared" si="71"/>
        <v>825</v>
      </c>
      <c r="AE187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187" s="74" t="str">
        <f t="shared" si="73"/>
        <v>"C:\Program Files (x86)\AstroGrep\AstroGrep.exe" /e /r /s /spath="%USERPROFILE%\AppData\Local\Temp\OnboardLogs" /stypes="app*4008*20170818*" /stext=" 21:.+((SYSTEM_STATE.+slice.+state.+changed )|(ment ac)|(multiple cpu faults)|(system.+state.+changed )|(\[timeout)|(PRM\|1\|D)|(kpr)|(kdp)|(train st.+moving)|(\|lc)|(penalty))"</v>
      </c>
      <c r="AG187" s="209" t="str">
        <f t="shared" si="74"/>
        <v>NW</v>
      </c>
      <c r="AH187" s="78" t="str">
        <f t="shared" ref="AH187" si="88"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825-18 --locoid 4008 --swversion DE.1.0.9.0 --startMP 300:58630 --initTime 2017-08-18T14:36:04 --startdatetime 2017-08-18T15:21:22 --delay 1 --endMP 204:657 --enddatetime 2017-08-18T15:34:25 --enforcementcount 0 &gt;&gt;C:\Users\stu\Documents\GitHub\eaglep3-reporting\EC\2017-08-18-refined-times.txt</v>
      </c>
      <c r="AI187" s="96" t="str">
        <f t="shared" ref="AI187" si="89"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{"issue":{"subject":"","project_id":79,"tracker_id":40,"status_id":1,"priority_id":2,"assigned_to_id":23,"start_date":"2017-08-18","description":"","custom_fields":[{"id":1,"name":"Subdivision","value":"NW"},{"id":4,"name":"Milepost","value":"5.8944"},{"id":17,"name":"Train ID","value":"825-18"},{"id":16,"name":"Locomotive ID","value":"4008"},{"id":130,"name":"Impact","value":""},{"id":150,"name":"Time of Event (Mountain Time)","value":"15:34:25"},{"id":151,"name":"Denver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ref="AM187" si="90">"start /low /b "&amp;dls3logs&amp;" --loco "&amp;B187&amp;" --day "&amp;TEXT(F187,"YYYY-MM-DD")</f>
        <v>start /low /b %USERPROFILE%\Documents\GitHub\eaglep3\Utilities\DownloadLogsFromS3.py --loco 4008 --day 2017-08-18</v>
      </c>
      <c r="AN187" s="151" t="str">
        <f t="shared" ref="AN187" si="91">"echo {""issue"":{""subject"":"""&amp;R187&amp;""",""project_id"":30,""tracker_id"":4,""status_id"":"&amp;redmine_status_wcr&amp;",""priority_id"":"&amp;redmine_priority_wcr&amp;",""assigned_to_id"":"&amp;redmine_assignee_wcr&amp;",""start_date"":"""&amp;TEXT(I187-utc_offset/24,"YYYY-mm-dd")&amp;""",""description"":"""&amp;AJ187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21:34:25"},{"id":29,"name":"Sharepoint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674</v>
      </c>
      <c r="B188" s="7">
        <v>4007</v>
      </c>
      <c r="C188" s="21" t="s">
        <v>198</v>
      </c>
      <c r="D188" s="21" t="s">
        <v>999</v>
      </c>
      <c r="E188" s="13">
        <v>42965.649976851855</v>
      </c>
      <c r="F188" s="13">
        <v>42965.651597222219</v>
      </c>
      <c r="G188" s="7">
        <v>1</v>
      </c>
      <c r="H188" s="21" t="s">
        <v>1004</v>
      </c>
      <c r="I188" s="13">
        <v>42965.663831018515</v>
      </c>
      <c r="J188" s="7">
        <v>0</v>
      </c>
      <c r="K188" s="89" t="str">
        <f t="shared" si="64"/>
        <v>4007/4008</v>
      </c>
      <c r="L188" s="21" t="str">
        <f>VLOOKUP(A188,'Trips&amp;Operators'!$C$1:$G$99999,5,FALSE)</f>
        <v>DELGADO DIANAH</v>
      </c>
      <c r="M188" s="6">
        <f t="shared" si="65"/>
        <v>1.2233796296641231E-2</v>
      </c>
      <c r="N188" s="7">
        <f t="shared" si="85"/>
        <v>17.616666667163372</v>
      </c>
      <c r="O188" s="7"/>
      <c r="P188" s="7"/>
      <c r="Q188" s="22"/>
      <c r="R188" s="170"/>
      <c r="S188" s="213">
        <f t="shared" si="82"/>
        <v>1</v>
      </c>
      <c r="T188" s="195" t="str">
        <f t="shared" si="66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7"/>
        <v>https://d0f6bd738d7f1b3e5a7ca70fe4ff75f0.us-east-1.aws.found.io/app/kibana#/discover/Steve-Slow-Train-Analysis-(2080s-and-2083s)?_g=(refreshInterval:(display:Off,pause:!f,section:0,value:0),time:(from:'2017-08-18T14:35:58-0600',mode:absolute,to:'2017-08-18T16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197" t="str">
        <f>IF(AA188&lt;VLOOKUP(AG188,Variables!$AC$3:$AD$8,2,FALSE),"Y","N")</f>
        <v>N</v>
      </c>
      <c r="X188" s="197">
        <f t="shared" si="87"/>
        <v>1</v>
      </c>
      <c r="Y188" s="197">
        <f t="shared" ref="Y188:Y219" si="92">RIGHT(D188,LEN(D188)-4)/10000</f>
        <v>5.8639999999999999</v>
      </c>
      <c r="Z188" s="197">
        <f t="shared" ref="Z188:Z219" si="93">RIGHT(H188,LEN(H188)-4)/10000</f>
        <v>6.6299999999999998E-2</v>
      </c>
      <c r="AA188" s="197">
        <f t="shared" si="70"/>
        <v>5.7976999999999999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6">
        <f t="shared" si="71"/>
        <v>826</v>
      </c>
      <c r="AE188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188" s="74" t="str">
        <f t="shared" si="73"/>
        <v>"C:\Program Files (x86)\AstroGrep\AstroGrep.exe" /e /r /s /spath="%USERPROFILE%\AppData\Local\Temp\OnboardLogs" /stypes="app*4007*20170818*" /stext=" 21:.+((SYSTEM_STATE.+slice.+state.+changed )|(ment ac)|(multiple cpu faults)|(system.+state.+changed )|(\[timeout)|(PRM\|1\|D)|(kpr)|(kdp)|(train st.+moving)|(\|lc)|(penalty))"</v>
      </c>
      <c r="AG188" s="209" t="str">
        <f t="shared" si="74"/>
        <v>NW</v>
      </c>
      <c r="AH188" s="78" t="str">
        <f t="shared" si="75"/>
        <v>"%USERPROFILE%\Documents\GitHub\eaglep3\Utilities\RefineRTDCRunTimes.py" --tripid 826-18 --locoid 4007 --swversion DE.1.0.9.0 --startMP 300:58640 --initTime 2017-08-18T15:35:58 --startdatetime 2017-08-18T15:38:18 --delay 1 --endMP 204:663 --enddatetime 2017-08-18T15:55:55 --enforcementcount 0 &gt;&gt;C:\Users\stu\Documents\GitHub\eaglep3-reporting\EC\2017-08-18-refined-times.txt</v>
      </c>
      <c r="AI188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{"issue":{"subject":"","project_id":79,"tracker_id":40,"status_id":1,"priority_id":2,"assigned_to_id":23,"start_date":"2017-08-18","description":"","custom_fields":[{"id":1,"name":"Subdivision","value":"NW"},{"id":4,"name":"Milepost","value":"0.0663"},{"id":17,"name":"Train ID","value":"826-18"},{"id":16,"name":"Locomotive ID","value":"4007"},{"id":130,"name":"Impact","value":""},{"id":150,"name":"Time of Event (Mountain Time)","value":"15:55:55"},{"id":151,"name":"Denver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7"/>
        <v>start /low /b %USERPROFILE%\Documents\GitHub\eaglep3\Utilities\DownloadLogsFromS3.py --loco 4007 --day 2017-08-18</v>
      </c>
      <c r="AN188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21:55:55"},{"id":29,"name":"Sharepoint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798</v>
      </c>
      <c r="B189" s="7">
        <v>4058</v>
      </c>
      <c r="C189" s="21" t="s">
        <v>198</v>
      </c>
      <c r="D189" s="21" t="s">
        <v>1005</v>
      </c>
      <c r="E189" s="13">
        <v>42965.652696759258</v>
      </c>
      <c r="F189" s="13">
        <v>42965.660925925928</v>
      </c>
      <c r="G189" s="7">
        <v>1</v>
      </c>
      <c r="H189" s="21" t="s">
        <v>633</v>
      </c>
      <c r="I189" s="13">
        <v>42965.671701388892</v>
      </c>
      <c r="J189" s="7">
        <v>0</v>
      </c>
      <c r="K189" s="89" t="str">
        <f t="shared" si="64"/>
        <v>4057/4058</v>
      </c>
      <c r="L189" s="21" t="str">
        <f>VLOOKUP(A189,'Trips&amp;Operators'!$C$1:$G$99999,5,FALSE)</f>
        <v>ANDERS STEVEN</v>
      </c>
      <c r="M189" s="6">
        <f t="shared" si="65"/>
        <v>1.0775462964375038E-2</v>
      </c>
      <c r="N189" s="7">
        <f t="shared" si="85"/>
        <v>15.516666668700054</v>
      </c>
      <c r="O189" s="7"/>
      <c r="P189" s="7"/>
      <c r="Q189" s="22"/>
      <c r="R189" s="170"/>
      <c r="S189" s="213">
        <f t="shared" si="82"/>
        <v>1</v>
      </c>
      <c r="T189" s="195" t="str">
        <f t="shared" si="66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7"/>
        <v>https://d0f6bd738d7f1b3e5a7ca70fe4ff75f0.us-east-1.aws.found.io/app/kibana#/discover/Steve-Slow-Train-Analysis-(2080s-and-2083s)?_g=(refreshInterval:(display:Off,pause:!f,section:0,value:0),time:(from:'2017-08-18T14:39:53-0600',mode:absolute,to:'2017-08-18T17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9" s="197" t="str">
        <f>IF(AA189&lt;VLOOKUP(AG189,Variables!$AC$3:$AD$8,2,FALSE),"Y","N")</f>
        <v>N</v>
      </c>
      <c r="X189" s="197">
        <f t="shared" si="87"/>
        <v>1</v>
      </c>
      <c r="Y189" s="197">
        <f t="shared" si="92"/>
        <v>9.7900000000000001E-2</v>
      </c>
      <c r="Z189" s="197">
        <f t="shared" si="93"/>
        <v>5.8944000000000001</v>
      </c>
      <c r="AA189" s="197">
        <f t="shared" si="70"/>
        <v>5.7965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6">
        <f t="shared" si="71"/>
        <v>827</v>
      </c>
      <c r="AE189" s="77" t="str">
        <f t="shared" si="72"/>
        <v>aws s3 cp s3://rtdc.mdm.uploadarchive.raw/RTDC4058/ "%USERPROFILE%\AppData\Local\Temp\OnboardLogs"\RTDC4058\2017-08-18 --exclude "*" --recursive --include "*20170818*" &amp; "%USERPROFILE%\Documents\GitHub\mrs-test-scripts\Headless Mode &amp; Sideloading\WalkAndUnGZ.bat" "%USERPROFILE%\AppData\Local\Temp\OnboardLogs"\RTDC4058\2017-08-18 &amp; aws s3 cp s3://rtdc.mdm.uploadarchive.raw/RTDC4058/ "%USERPROFILE%\AppData\Local\Temp\OnboardLogs"\RTDC4058\2017-08-19 --exclude "*" --recursive --include "*20170819*" &amp; "%USERPROFILE%\Documents\GitHub\mrs-test-scripts\Headless Mode &amp; Sideloading\WalkAndUnGZ.bat" "%USERPROFILE%\AppData\Local\Temp\OnboardLogs"\RTDC4058\2017-08-19</v>
      </c>
      <c r="AF189" s="74" t="str">
        <f t="shared" si="73"/>
        <v>"C:\Program Files (x86)\AstroGrep\AstroGrep.exe" /e /r /s /spath="%USERPROFILE%\AppData\Local\Temp\OnboardLogs" /stypes="app*4058*20170818*" /stext=" 22:.+((SYSTEM_STATE.+slice.+state.+changed )|(ment ac)|(multiple cpu faults)|(system.+state.+changed )|(\[timeout)|(PRM\|1\|D)|(kpr)|(kdp)|(train st.+moving)|(\|lc)|(penalty))"</v>
      </c>
      <c r="AG189" s="209" t="str">
        <f t="shared" si="74"/>
        <v>NW</v>
      </c>
      <c r="AH189" s="78" t="str">
        <f t="shared" si="75"/>
        <v>"%USERPROFILE%\Documents\GitHub\eaglep3\Utilities\RefineRTDCRunTimes.py" --tripid 827-18 --locoid 4058 --swversion DE.1.0.9.0 --startMP 204:979 --initTime 2017-08-18T15:39:53 --startdatetime 2017-08-18T15:51:44 --delay 1 --endMP 300:58944 --enddatetime 2017-08-18T16:07:15 --enforcementcount 0 &gt;&gt;C:\Users\stu\Documents\GitHub\eaglep3-reporting\EC\2017-08-18-refined-times.txt</v>
      </c>
      <c r="AI189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{"issue":{"subject":"","project_id":79,"tracker_id":40,"status_id":1,"priority_id":2,"assigned_to_id":23,"start_date":"2017-08-18","description":"","custom_fields":[{"id":1,"name":"Subdivision","value":"NW"},{"id":4,"name":"Milepost","value":"5.8944"},{"id":17,"name":"Train ID","value":"827-18"},{"id":16,"name":"Locomotive ID","value":"4058"},{"id":130,"name":"Impact","value":""},{"id":150,"name":"Time of Event (Mountain Time)","value":"16:07:15"},{"id":151,"name":"Denver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77"/>
        <v>start /low /b %USERPROFILE%\Documents\GitHub\eaglep3\Utilities\DownloadLogsFromS3.py --loco 4058 --day 2017-08-18</v>
      </c>
      <c r="AN189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802</v>
      </c>
      <c r="B190" s="7">
        <v>4057</v>
      </c>
      <c r="C190" s="21" t="s">
        <v>198</v>
      </c>
      <c r="D190" s="21" t="s">
        <v>1006</v>
      </c>
      <c r="E190" s="13">
        <v>42965.672893518517</v>
      </c>
      <c r="F190" s="13">
        <v>42965.674467592595</v>
      </c>
      <c r="G190" s="7">
        <v>1</v>
      </c>
      <c r="H190" s="21" t="s">
        <v>1007</v>
      </c>
      <c r="I190" s="13">
        <v>42965.687349537038</v>
      </c>
      <c r="J190" s="7">
        <v>0</v>
      </c>
      <c r="K190" s="89" t="str">
        <f t="shared" si="64"/>
        <v>4057/4058</v>
      </c>
      <c r="L190" s="21" t="str">
        <f>VLOOKUP(A190,'Trips&amp;Operators'!$C$1:$G$99999,5,FALSE)</f>
        <v>ANDERS STEVEN</v>
      </c>
      <c r="M190" s="6">
        <f t="shared" si="65"/>
        <v>1.2881944443506654E-2</v>
      </c>
      <c r="N190" s="7">
        <f t="shared" si="85"/>
        <v>18.549999998649582</v>
      </c>
      <c r="O190" s="7"/>
      <c r="P190" s="7"/>
      <c r="Q190" s="22"/>
      <c r="R190" s="170"/>
      <c r="S190" s="213">
        <f t="shared" si="82"/>
        <v>1</v>
      </c>
      <c r="T190" s="195" t="str">
        <f t="shared" si="66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7"/>
        <v>https://d0f6bd738d7f1b3e5a7ca70fe4ff75f0.us-east-1.aws.found.io/app/kibana#/discover/Steve-Slow-Train-Analysis-(2080s-and-2083s)?_g=(refreshInterval:(display:Off,pause:!f,section:0,value:0),time:(from:'2017-08-18T15:08:58-0600',mode:absolute,to:'2017-08-18T17:29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0" s="197" t="str">
        <f>IF(AA190&lt;VLOOKUP(AG190,Variables!$AC$3:$AD$8,2,FALSE),"Y","N")</f>
        <v>N</v>
      </c>
      <c r="X190" s="197">
        <f t="shared" si="87"/>
        <v>1</v>
      </c>
      <c r="Y190" s="197">
        <f t="shared" si="92"/>
        <v>5.8625999999999996</v>
      </c>
      <c r="Z190" s="197">
        <f t="shared" si="93"/>
        <v>1.5299999999999999E-2</v>
      </c>
      <c r="AA190" s="197">
        <f t="shared" si="70"/>
        <v>5.8472999999999997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6">
        <f t="shared" si="71"/>
        <v>828</v>
      </c>
      <c r="AE190" s="77" t="str">
        <f t="shared" si="72"/>
        <v>aws s3 cp s3://rtdc.mdm.uploadarchive.raw/RTDC4057/ "%USERPROFILE%\AppData\Local\Temp\OnboardLogs"\RTDC4057\2017-08-18 --exclude "*" --recursive --include "*20170818*" &amp; "%USERPROFILE%\Documents\GitHub\mrs-test-scripts\Headless Mode &amp; Sideloading\WalkAndUnGZ.bat" "%USERPROFILE%\AppData\Local\Temp\OnboardLogs"\RTDC4057\2017-08-18 &amp; aws s3 cp s3://rtdc.mdm.uploadarchive.raw/RTDC4057/ "%USERPROFILE%\AppData\Local\Temp\OnboardLogs"\RTDC4057\2017-08-19 --exclude "*" --recursive --include "*20170819*" &amp; "%USERPROFILE%\Documents\GitHub\mrs-test-scripts\Headless Mode &amp; Sideloading\WalkAndUnGZ.bat" "%USERPROFILE%\AppData\Local\Temp\OnboardLogs"\RTDC4057\2017-08-19</v>
      </c>
      <c r="AF190" s="74" t="str">
        <f t="shared" si="73"/>
        <v>"C:\Program Files (x86)\AstroGrep\AstroGrep.exe" /e /r /s /spath="%USERPROFILE%\AppData\Local\Temp\OnboardLogs" /stypes="app*4057*20170818*" /stext=" 22:.+((SYSTEM_STATE.+slice.+state.+changed )|(ment ac)|(multiple cpu faults)|(system.+state.+changed )|(\[timeout)|(PRM\|1\|D)|(kpr)|(kdp)|(train st.+moving)|(\|lc)|(penalty))"</v>
      </c>
      <c r="AG190" s="209" t="str">
        <f t="shared" si="74"/>
        <v>NW</v>
      </c>
      <c r="AH190" s="78" t="str">
        <f t="shared" si="75"/>
        <v>"%USERPROFILE%\Documents\GitHub\eaglep3\Utilities\RefineRTDCRunTimes.py" --tripid 828-18 --locoid 4057 --swversion DE.1.0.9.0 --startMP 300:58626 --initTime 2017-08-18T16:08:58 --startdatetime 2017-08-18T16:11:14 --delay 1 --endMP 204:153 --enddatetime 2017-08-18T16:29:47 --enforcementcount 0 &gt;&gt;C:\Users\stu\Documents\GitHub\eaglep3-reporting\EC\2017-08-18-refined-times.txt</v>
      </c>
      <c r="AI190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{"issue":{"subject":"","project_id":79,"tracker_id":40,"status_id":1,"priority_id":2,"assigned_to_id":23,"start_date":"2017-08-18","description":"","custom_fields":[{"id":1,"name":"Subdivision","value":"NW"},{"id":4,"name":"Milepost","value":"0.0153"},{"id":17,"name":"Train ID","value":"828-18"},{"id":16,"name":"Locomotive ID","value":"4057"},{"id":130,"name":"Impact","value":""},{"id":150,"name":"Time of Event (Mountain Time)","value":"16:29:47"},{"id":151,"name":"Denver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77"/>
        <v>start /low /b %USERPROFILE%\Documents\GitHub\eaglep3\Utilities\DownloadLogsFromS3.py --loco 4057 --day 2017-08-18</v>
      </c>
      <c r="AN190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22:29:47"},{"id":29,"name":"Sharepoint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s="20" customFormat="1" x14ac:dyDescent="0.25">
      <c r="A191" s="32" t="s">
        <v>800</v>
      </c>
      <c r="B191" s="7">
        <v>4008</v>
      </c>
      <c r="C191" s="21" t="s">
        <v>198</v>
      </c>
      <c r="D191" s="21" t="s">
        <v>1008</v>
      </c>
      <c r="E191" s="13">
        <v>42965.664803240739</v>
      </c>
      <c r="F191" s="13">
        <v>42965.681250000001</v>
      </c>
      <c r="G191" s="7">
        <v>31</v>
      </c>
      <c r="H191" s="21" t="s">
        <v>637</v>
      </c>
      <c r="I191" s="13">
        <v>42965.696435185186</v>
      </c>
      <c r="J191" s="7">
        <v>0</v>
      </c>
      <c r="K191" s="89" t="str">
        <f t="shared" si="64"/>
        <v>4007/4008</v>
      </c>
      <c r="L191" s="21" t="str">
        <f>VLOOKUP(A191,'Trips&amp;Operators'!$C$1:$G$99999,5,FALSE)</f>
        <v>DELGADO DIANAH</v>
      </c>
      <c r="M191" s="6">
        <f t="shared" si="65"/>
        <v>1.5185185184236616E-2</v>
      </c>
      <c r="N191" s="7">
        <f t="shared" si="85"/>
        <v>21.866666665300727</v>
      </c>
      <c r="O191" s="7"/>
      <c r="P191" s="7"/>
      <c r="Q191" s="22"/>
      <c r="R191" s="170" t="s">
        <v>1065</v>
      </c>
      <c r="S191" s="213">
        <f t="shared" si="82"/>
        <v>1</v>
      </c>
      <c r="T191" s="195" t="str">
        <f t="shared" si="66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7"/>
        <v>https://d0f6bd738d7f1b3e5a7ca70fe4ff75f0.us-east-1.aws.found.io/app/kibana#/discover/Steve-Slow-Train-Analysis-(2080s-and-2083s)?_g=(refreshInterval:(display:Off,pause:!f,section:0,value:0),time:(from:'2017-08-18T14:57:19-0600',mode:absolute,to:'2017-08-18T17:42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1" s="197" t="str">
        <f>IF(AA191&lt;VLOOKUP(AG191,Variables!$AC$3:$AD$8,2,FALSE),"Y","N")</f>
        <v>N</v>
      </c>
      <c r="X191" s="197">
        <f t="shared" si="87"/>
        <v>1</v>
      </c>
      <c r="Y191" s="197">
        <f t="shared" si="92"/>
        <v>9.5500000000000002E-2</v>
      </c>
      <c r="Z191" s="197">
        <f t="shared" si="93"/>
        <v>5.8943000000000003</v>
      </c>
      <c r="AA191" s="197">
        <f t="shared" si="70"/>
        <v>5.7988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6">
        <f t="shared" si="71"/>
        <v>829</v>
      </c>
      <c r="AE191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191" s="74" t="str">
        <f t="shared" si="73"/>
        <v>"C:\Program Files (x86)\AstroGrep\AstroGrep.exe" /e /r /s /spath="%USERPROFILE%\AppData\Local\Temp\OnboardLogs" /stypes="app*4008*20170818*" /stext=" 22:.+((SYSTEM_STATE.+slice.+state.+changed )|(ment ac)|(multiple cpu faults)|(system.+state.+changed )|(\[timeout)|(PRM\|1\|D)|(kpr)|(kdp)|(train st.+moving)|(\|lc)|(penalty))"</v>
      </c>
      <c r="AG191" s="209" t="str">
        <f t="shared" si="74"/>
        <v>NW</v>
      </c>
      <c r="AH191" s="78" t="str">
        <f t="shared" si="75"/>
        <v>"%USERPROFILE%\Documents\GitHub\eaglep3\Utilities\RefineRTDCRunTimes.py" --tripid 829-18 --locoid 4008 --swversion DE.1.0.9.0 --startMP 204:955 --initTime 2017-08-18T15:57:19 --startdatetime 2017-08-18T16:21:00 --delay 31 --endMP 300:58943 --enddatetime 2017-08-18T16:42:52 --enforcementcount 0 &gt;&gt;C:\Users\stu\Documents\GitHub\eaglep3-reporting\EC\2017-08-18-refined-times.txt</v>
      </c>
      <c r="AI191" s="96" t="str">
        <f t="shared" si="76"/>
        <v>echo {"issue":{"subject":"Delayed by onboard in-route failure","project_id":79,"tracker_id":40,"status_id":1,"priority_id":2,"assigned_to_id":23,"start_date":"2017-08-18","description":"","custom_fields":[{"id":1,"name":"Subdivision","value":"NW"},{"id":4,"name":"Milepost","value":"5.8943"},{"id":17,"name":"Train ID","value":"829-18"},{"id":16,"name":"Locomotive ID","value":"4008"},{"id":130,"name":"Impact","value":""},{"id":150,"name":"Time of Event (Mountain Time)","value":"16:42:52"},{"id":151,"name":"Denver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77"/>
        <v>start /low /b %USERPROFILE%\Documents\GitHub\eaglep3\Utilities\DownloadLogsFromS3.py --loco 4008 --day 2017-08-18</v>
      </c>
      <c r="AN191" s="151" t="str">
        <f t="shared" si="78"/>
        <v>echo {"issue":{"subject":"Delayed by onboard in-route failure","project_id":30,"tracker_id":4,"status_id":1,"priority_id":1,"assigned_to_id":10,"start_date":"2017-08-18","description":"","custom_fields":[{"id":30,"name":"Category","value":"Issue"},{"id":3,"name":"Functional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22:42:52"},{"id":29,"name":"Sharepoint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813</v>
      </c>
      <c r="B192" s="7">
        <v>4007</v>
      </c>
      <c r="C192" s="21" t="s">
        <v>198</v>
      </c>
      <c r="D192" s="21" t="s">
        <v>630</v>
      </c>
      <c r="E192" s="13">
        <v>42965.697256944448</v>
      </c>
      <c r="F192" s="13">
        <v>42965.698703703703</v>
      </c>
      <c r="G192" s="7">
        <v>1</v>
      </c>
      <c r="H192" s="21" t="s">
        <v>1009</v>
      </c>
      <c r="I192" s="13">
        <v>42965.707430555558</v>
      </c>
      <c r="J192" s="7">
        <v>0</v>
      </c>
      <c r="K192" s="89" t="str">
        <f t="shared" si="64"/>
        <v>4007/4008</v>
      </c>
      <c r="L192" s="21" t="str">
        <f>VLOOKUP(A192,'Trips&amp;Operators'!$C$1:$G$99999,5,FALSE)</f>
        <v>DELGADO DIANAH</v>
      </c>
      <c r="M192" s="6">
        <f t="shared" si="65"/>
        <v>8.7268518545897678E-3</v>
      </c>
      <c r="N192" s="7">
        <f t="shared" si="85"/>
        <v>12.566666670609266</v>
      </c>
      <c r="O192" s="7"/>
      <c r="P192" s="7"/>
      <c r="Q192" s="22"/>
      <c r="R192" s="170"/>
      <c r="S192" s="213">
        <f t="shared" si="82"/>
        <v>1</v>
      </c>
      <c r="T192" s="195" t="str">
        <f t="shared" si="66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7"/>
        <v>https://d0f6bd738d7f1b3e5a7ca70fe4ff75f0.us-east-1.aws.found.io/app/kibana#/discover/Steve-Slow-Train-Analysis-(2080s-and-2083s)?_g=(refreshInterval:(display:Off,pause:!f,section:0,value:0),time:(from:'2017-08-18T15:44:03-0600',mode:absolute,to:'2017-08-18T17:58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2" s="197" t="str">
        <f>IF(AA192&lt;VLOOKUP(AG192,Variables!$AC$3:$AD$8,2,FALSE),"Y","N")</f>
        <v>N</v>
      </c>
      <c r="X192" s="197">
        <f t="shared" si="87"/>
        <v>1</v>
      </c>
      <c r="Y192" s="197">
        <f t="shared" si="92"/>
        <v>5.8613</v>
      </c>
      <c r="Z192" s="197">
        <f t="shared" si="93"/>
        <v>6.59E-2</v>
      </c>
      <c r="AA192" s="197">
        <f t="shared" si="70"/>
        <v>5.7953999999999999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6">
        <f t="shared" si="71"/>
        <v>830</v>
      </c>
      <c r="AE192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192" s="74" t="str">
        <f t="shared" si="73"/>
        <v>"C:\Program Files (x86)\AstroGrep\AstroGrep.exe" /e /r /s /spath="%USERPROFILE%\AppData\Local\Temp\OnboardLogs" /stypes="app*4007*20170818*" /stext=" 22:.+((SYSTEM_STATE.+slice.+state.+changed )|(ment ac)|(multiple cpu faults)|(system.+state.+changed )|(\[timeout)|(PRM\|1\|D)|(kpr)|(kdp)|(train st.+moving)|(\|lc)|(penalty))"</v>
      </c>
      <c r="AG192" s="209" t="str">
        <f t="shared" si="74"/>
        <v>NW</v>
      </c>
      <c r="AH192" s="78" t="str">
        <f t="shared" si="75"/>
        <v>"%USERPROFILE%\Documents\GitHub\eaglep3\Utilities\RefineRTDCRunTimes.py" --tripid 830-18 --locoid 4007 --swversion DE.1.0.9.0 --startMP 300:58613 --initTime 2017-08-18T16:44:03 --startdatetime 2017-08-18T16:46:08 --delay 1 --endMP 204:659 --enddatetime 2017-08-18T16:58:42 --enforcementcount 0 &gt;&gt;C:\Users\stu\Documents\GitHub\eaglep3-reporting\EC\2017-08-18-refined-times.txt</v>
      </c>
      <c r="AI192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{"issue":{"subject":"","project_id":79,"tracker_id":40,"status_id":1,"priority_id":2,"assigned_to_id":23,"start_date":"2017-08-18","description":"","custom_fields":[{"id":1,"name":"Subdivision","value":"NW"},{"id":4,"name":"Milepost","value":"0.0659"},{"id":17,"name":"Train ID","value":"830-18"},{"id":16,"name":"Locomotive ID","value":"4007"},{"id":130,"name":"Impact","value":""},{"id":150,"name":"Time of Event (Mountain Time)","value":"16:58:42"},{"id":151,"name":"Denver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77"/>
        <v>start /low /b %USERPROFILE%\Documents\GitHub\eaglep3\Utilities\DownloadLogsFromS3.py --loco 4007 --day 2017-08-18</v>
      </c>
      <c r="AN192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22:58:42"},{"id":29,"name":"Sharepoint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809</v>
      </c>
      <c r="B193" s="7">
        <v>4058</v>
      </c>
      <c r="C193" s="21" t="s">
        <v>198</v>
      </c>
      <c r="D193" s="21" t="s">
        <v>438</v>
      </c>
      <c r="E193" s="13">
        <v>42965.692662037036</v>
      </c>
      <c r="F193" s="13">
        <v>42965.702372685184</v>
      </c>
      <c r="G193" s="7">
        <v>1</v>
      </c>
      <c r="H193" s="21" t="s">
        <v>1010</v>
      </c>
      <c r="I193" s="13">
        <v>42965.712048611109</v>
      </c>
      <c r="J193" s="7">
        <v>0</v>
      </c>
      <c r="K193" s="89" t="str">
        <f t="shared" si="64"/>
        <v>4057/4058</v>
      </c>
      <c r="L193" s="21" t="str">
        <f>VLOOKUP(A193,'Trips&amp;Operators'!$C$1:$G$99999,5,FALSE)</f>
        <v>MCREYNOLDS KYLE</v>
      </c>
      <c r="M193" s="6">
        <f t="shared" si="65"/>
        <v>9.6759259249665774E-3</v>
      </c>
      <c r="N193" s="7">
        <f t="shared" si="85"/>
        <v>13.933333331951872</v>
      </c>
      <c r="O193" s="7"/>
      <c r="P193" s="7"/>
      <c r="Q193" s="22"/>
      <c r="R193" s="170"/>
      <c r="S193" s="213">
        <f t="shared" si="82"/>
        <v>1</v>
      </c>
      <c r="T193" s="195" t="str">
        <f t="shared" si="66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7"/>
        <v>https://d0f6bd738d7f1b3e5a7ca70fe4ff75f0.us-east-1.aws.found.io/app/kibana#/discover/Steve-Slow-Train-Analysis-(2080s-and-2083s)?_g=(refreshInterval:(display:Off,pause:!f,section:0,value:0),time:(from:'2017-08-18T15:37:26-0600',mode:absolute,to:'2017-08-18T18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3" s="197" t="str">
        <f>IF(AA193&lt;VLOOKUP(AG193,Variables!$AC$3:$AD$8,2,FALSE),"Y","N")</f>
        <v>N</v>
      </c>
      <c r="X193" s="197">
        <f t="shared" si="87"/>
        <v>1</v>
      </c>
      <c r="Y193" s="197">
        <f t="shared" si="92"/>
        <v>4.5999999999999999E-2</v>
      </c>
      <c r="Z193" s="197">
        <f t="shared" si="93"/>
        <v>5.8940999999999999</v>
      </c>
      <c r="AA193" s="197">
        <f t="shared" si="70"/>
        <v>5.8480999999999996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6">
        <f t="shared" si="71"/>
        <v>831</v>
      </c>
      <c r="AE193" s="77" t="str">
        <f t="shared" si="72"/>
        <v>aws s3 cp s3://rtdc.mdm.uploadarchive.raw/RTDC4058/ "%USERPROFILE%\AppData\Local\Temp\OnboardLogs"\RTDC4058\2017-08-18 --exclude "*" --recursive --include "*20170818*" &amp; "%USERPROFILE%\Documents\GitHub\mrs-test-scripts\Headless Mode &amp; Sideloading\WalkAndUnGZ.bat" "%USERPROFILE%\AppData\Local\Temp\OnboardLogs"\RTDC4058\2017-08-18 &amp; aws s3 cp s3://rtdc.mdm.uploadarchive.raw/RTDC4058/ "%USERPROFILE%\AppData\Local\Temp\OnboardLogs"\RTDC4058\2017-08-19 --exclude "*" --recursive --include "*20170819*" &amp; "%USERPROFILE%\Documents\GitHub\mrs-test-scripts\Headless Mode &amp; Sideloading\WalkAndUnGZ.bat" "%USERPROFILE%\AppData\Local\Temp\OnboardLogs"\RTDC4058\2017-08-19</v>
      </c>
      <c r="AF193" s="74" t="str">
        <f t="shared" si="73"/>
        <v>"C:\Program Files (x86)\AstroGrep\AstroGrep.exe" /e /r /s /spath="%USERPROFILE%\AppData\Local\Temp\OnboardLogs" /stypes="app*4058*20170818*" /stext=" 23:.+((SYSTEM_STATE.+slice.+state.+changed )|(ment ac)|(multiple cpu faults)|(system.+state.+changed )|(\[timeout)|(PRM\|1\|D)|(kpr)|(kdp)|(train st.+moving)|(\|lc)|(penalty))"</v>
      </c>
      <c r="AG193" s="209" t="str">
        <f t="shared" si="74"/>
        <v>NW</v>
      </c>
      <c r="AH193" s="78" t="str">
        <f t="shared" si="75"/>
        <v>"%USERPROFILE%\Documents\GitHub\eaglep3\Utilities\RefineRTDCRunTimes.py" --tripid 831-18 --locoid 4058 --swversion DE.1.0.9.0 --startMP 204:460 --initTime 2017-08-18T16:37:26 --startdatetime 2017-08-18T16:51:25 --delay 1 --endMP 300:58941 --enddatetime 2017-08-18T17:05:21 --enforcementcount 0 &gt;&gt;C:\Users\stu\Documents\GitHub\eaglep3-reporting\EC\2017-08-18-refined-times.txt</v>
      </c>
      <c r="AI193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{"issue":{"subject":"","project_id":79,"tracker_id":40,"status_id":1,"priority_id":2,"assigned_to_id":23,"start_date":"2017-08-18","description":"","custom_fields":[{"id":1,"name":"Subdivision","value":"NW"},{"id":4,"name":"Milepost","value":"5.8941"},{"id":17,"name":"Train ID","value":"831-18"},{"id":16,"name":"Locomotive ID","value":"4058"},{"id":130,"name":"Impact","value":""},{"id":150,"name":"Time of Event (Mountain Time)","value":"17:05:21"},{"id":151,"name":"Denver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77"/>
        <v>start /low /b %USERPROFILE%\Documents\GitHub\eaglep3\Utilities\DownloadLogsFromS3.py --loco 4058 --day 2017-08-18</v>
      </c>
      <c r="AN193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818</v>
      </c>
      <c r="B194" s="7">
        <v>4057</v>
      </c>
      <c r="C194" s="21" t="s">
        <v>198</v>
      </c>
      <c r="D194" s="21" t="s">
        <v>1011</v>
      </c>
      <c r="E194" s="13">
        <v>42965.713900462964</v>
      </c>
      <c r="F194" s="13">
        <v>42965.715833333335</v>
      </c>
      <c r="G194" s="7">
        <v>1</v>
      </c>
      <c r="H194" s="21" t="s">
        <v>1012</v>
      </c>
      <c r="I194" s="13">
        <v>42965.726122685184</v>
      </c>
      <c r="J194" s="7">
        <v>0</v>
      </c>
      <c r="K194" s="89" t="str">
        <f t="shared" si="64"/>
        <v>4057/4058</v>
      </c>
      <c r="L194" s="21" t="str">
        <f>VLOOKUP(A194,'Trips&amp;Operators'!$C$1:$G$99999,5,FALSE)</f>
        <v>MCREYNOLDS KYLE</v>
      </c>
      <c r="M194" s="6">
        <f t="shared" si="65"/>
        <v>1.0289351848769002E-2</v>
      </c>
      <c r="N194" s="7">
        <f t="shared" si="85"/>
        <v>14.816666662227362</v>
      </c>
      <c r="O194" s="7"/>
      <c r="P194" s="7"/>
      <c r="Q194" s="22"/>
      <c r="R194" s="170"/>
      <c r="S194" s="213">
        <f t="shared" ref="S194:S225" si="94">1/IF(AG194="EC",12,1)*SUM(U194:U194)</f>
        <v>1</v>
      </c>
      <c r="T194" s="195" t="str">
        <f t="shared" si="66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7"/>
        <v>https://d0f6bd738d7f1b3e5a7ca70fe4ff75f0.us-east-1.aws.found.io/app/kibana#/discover/Steve-Slow-Train-Analysis-(2080s-and-2083s)?_g=(refreshInterval:(display:Off,pause:!f,section:0,value:0),time:(from:'2017-08-18T16:08:01-0600',mode:absolute,to:'2017-08-18T18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4" s="197" t="str">
        <f>IF(AA194&lt;VLOOKUP(AG194,Variables!$AC$3:$AD$8,2,FALSE),"Y","N")</f>
        <v>N</v>
      </c>
      <c r="X194" s="197">
        <f t="shared" si="87"/>
        <v>1</v>
      </c>
      <c r="Y194" s="197">
        <f t="shared" si="92"/>
        <v>5.8632</v>
      </c>
      <c r="Z194" s="197">
        <f t="shared" si="93"/>
        <v>7.0599999999999996E-2</v>
      </c>
      <c r="AA194" s="197">
        <f t="shared" si="70"/>
        <v>5.7926000000000002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6">
        <f t="shared" si="71"/>
        <v>832</v>
      </c>
      <c r="AE194" s="77" t="str">
        <f t="shared" si="72"/>
        <v>aws s3 cp s3://rtdc.mdm.uploadarchive.raw/RTDC4057/ "%USERPROFILE%\AppData\Local\Temp\OnboardLogs"\RTDC4057\2017-08-18 --exclude "*" --recursive --include "*20170818*" &amp; "%USERPROFILE%\Documents\GitHub\mrs-test-scripts\Headless Mode &amp; Sideloading\WalkAndUnGZ.bat" "%USERPROFILE%\AppData\Local\Temp\OnboardLogs"\RTDC4057\2017-08-18 &amp; aws s3 cp s3://rtdc.mdm.uploadarchive.raw/RTDC4057/ "%USERPROFILE%\AppData\Local\Temp\OnboardLogs"\RTDC4057\2017-08-19 --exclude "*" --recursive --include "*20170819*" &amp; "%USERPROFILE%\Documents\GitHub\mrs-test-scripts\Headless Mode &amp; Sideloading\WalkAndUnGZ.bat" "%USERPROFILE%\AppData\Local\Temp\OnboardLogs"\RTDC4057\2017-08-19</v>
      </c>
      <c r="AF194" s="74" t="str">
        <f t="shared" si="73"/>
        <v>"C:\Program Files (x86)\AstroGrep\AstroGrep.exe" /e /r /s /spath="%USERPROFILE%\AppData\Local\Temp\OnboardLogs" /stypes="app*4057*20170818*" /stext=" 23:.+((SYSTEM_STATE.+slice.+state.+changed )|(ment ac)|(multiple cpu faults)|(system.+state.+changed )|(\[timeout)|(PRM\|1\|D)|(kpr)|(kdp)|(train st.+moving)|(\|lc)|(penalty))"</v>
      </c>
      <c r="AG194" s="209" t="str">
        <f t="shared" si="74"/>
        <v>NW</v>
      </c>
      <c r="AH194" s="78" t="str">
        <f t="shared" si="75"/>
        <v>"%USERPROFILE%\Documents\GitHub\eaglep3\Utilities\RefineRTDCRunTimes.py" --tripid 832-18 --locoid 4057 --swversion DE.1.0.9.0 --startMP 300:58632 --initTime 2017-08-18T17:08:01 --startdatetime 2017-08-18T17:10:48 --delay 1 --endMP 204:706 --enddatetime 2017-08-18T17:25:37 --enforcementcount 0 &gt;&gt;C:\Users\stu\Documents\GitHub\eaglep3-reporting\EC\2017-08-18-refined-times.txt</v>
      </c>
      <c r="AI194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{"issue":{"subject":"","project_id":79,"tracker_id":40,"status_id":1,"priority_id":2,"assigned_to_id":23,"start_date":"2017-08-18","description":"","custom_fields":[{"id":1,"name":"Subdivision","value":"NW"},{"id":4,"name":"Milepost","value":"0.0706"},{"id":17,"name":"Train ID","value":"832-18"},{"id":16,"name":"Locomotive ID","value":"4057"},{"id":130,"name":"Impact","value":""},{"id":150,"name":"Time of Event (Mountain Time)","value":"17:25:37"},{"id":151,"name":"Denver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7"/>
        <v>start /low /b %USERPROFILE%\Documents\GitHub\eaglep3\Utilities\DownloadLogsFromS3.py --loco 4057 --day 2017-08-18</v>
      </c>
      <c r="AN194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817</v>
      </c>
      <c r="B195" s="7">
        <v>4008</v>
      </c>
      <c r="C195" s="21" t="s">
        <v>198</v>
      </c>
      <c r="D195" s="21" t="s">
        <v>1013</v>
      </c>
      <c r="E195" s="13">
        <v>42965.709062499998</v>
      </c>
      <c r="F195" s="13">
        <v>42965.723344907405</v>
      </c>
      <c r="G195" s="7">
        <v>15</v>
      </c>
      <c r="H195" s="21" t="s">
        <v>981</v>
      </c>
      <c r="I195" s="13">
        <v>42965.732569444444</v>
      </c>
      <c r="J195" s="7">
        <v>0</v>
      </c>
      <c r="K195" s="89" t="str">
        <f t="shared" si="64"/>
        <v>4007/4008</v>
      </c>
      <c r="L195" s="21" t="str">
        <f>VLOOKUP(A195,'Trips&amp;Operators'!$C$1:$G$99999,5,FALSE)</f>
        <v>DELGADO DIANAH</v>
      </c>
      <c r="M195" s="6">
        <f t="shared" si="65"/>
        <v>9.2245370396994986E-3</v>
      </c>
      <c r="N195" s="7">
        <f t="shared" si="85"/>
        <v>13.283333337167278</v>
      </c>
      <c r="O195" s="7"/>
      <c r="P195" s="7"/>
      <c r="Q195" s="22"/>
      <c r="R195" s="170"/>
      <c r="S195" s="213">
        <f t="shared" si="94"/>
        <v>1</v>
      </c>
      <c r="T195" s="195" t="str">
        <f t="shared" si="66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7"/>
        <v>https://d0f6bd738d7f1b3e5a7ca70fe4ff75f0.us-east-1.aws.found.io/app/kibana#/discover/Steve-Slow-Train-Analysis-(2080s-and-2083s)?_g=(refreshInterval:(display:Off,pause:!f,section:0,value:0),time:(from:'2017-08-18T16:01:03-0600',mode:absolute,to:'2017-08-18T18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5" s="197" t="str">
        <f>IF(AA195&lt;VLOOKUP(AG195,Variables!$AC$3:$AD$8,2,FALSE),"Y","N")</f>
        <v>N</v>
      </c>
      <c r="X195" s="197">
        <f t="shared" si="87"/>
        <v>1</v>
      </c>
      <c r="Y195" s="197">
        <f t="shared" si="92"/>
        <v>9.5000000000000001E-2</v>
      </c>
      <c r="Z195" s="197">
        <f t="shared" si="93"/>
        <v>5.8935000000000004</v>
      </c>
      <c r="AA195" s="197">
        <f t="shared" si="70"/>
        <v>5.7985000000000007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6">
        <f t="shared" si="71"/>
        <v>833</v>
      </c>
      <c r="AE195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195" s="74" t="str">
        <f t="shared" si="73"/>
        <v>"C:\Program Files (x86)\AstroGrep\AstroGrep.exe" /e /r /s /spath="%USERPROFILE%\AppData\Local\Temp\OnboardLogs" /stypes="app*4008*20170818*" /stext=" 23:.+((SYSTEM_STATE.+slice.+state.+changed )|(ment ac)|(multiple cpu faults)|(system.+state.+changed )|(\[timeout)|(PRM\|1\|D)|(kpr)|(kdp)|(train st.+moving)|(\|lc)|(penalty))"</v>
      </c>
      <c r="AG195" s="209" t="str">
        <f t="shared" si="74"/>
        <v>NW</v>
      </c>
      <c r="AH195" s="78" t="str">
        <f t="shared" si="75"/>
        <v>"%USERPROFILE%\Documents\GitHub\eaglep3\Utilities\RefineRTDCRunTimes.py" --tripid 833-18 --locoid 4008 --swversion DE.1.0.9.0 --startMP 204:950 --initTime 2017-08-18T17:01:03 --startdatetime 2017-08-18T17:21:37 --delay 15 --endMP 300:58935 --enddatetime 2017-08-18T17:34:54 --enforcementcount 0 &gt;&gt;C:\Users\stu\Documents\GitHub\eaglep3-reporting\EC\2017-08-18-refined-times.txt</v>
      </c>
      <c r="AI195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{"issue":{"subject":"","project_id":79,"tracker_id":40,"status_id":1,"priority_id":2,"assigned_to_id":23,"start_date":"2017-08-18","description":"","custom_fields":[{"id":1,"name":"Subdivision","value":"NW"},{"id":4,"name":"Milepost","value":"5.8935"},{"id":17,"name":"Train ID","value":"833-18"},{"id":16,"name":"Locomotive ID","value":"4008"},{"id":130,"name":"Impact","value":""},{"id":150,"name":"Time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7"/>
        <v>start /low /b %USERPROFILE%\Documents\GitHub\eaglep3\Utilities\DownloadLogsFromS3.py --loco 4008 --day 2017-08-18</v>
      </c>
      <c r="AN195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827</v>
      </c>
      <c r="B196" s="7">
        <v>4007</v>
      </c>
      <c r="C196" s="21" t="s">
        <v>198</v>
      </c>
      <c r="D196" s="21" t="s">
        <v>521</v>
      </c>
      <c r="E196" s="13">
        <v>42965.733668981484</v>
      </c>
      <c r="F196" s="13">
        <v>42965.735196759262</v>
      </c>
      <c r="G196" s="7">
        <v>1</v>
      </c>
      <c r="H196" s="21" t="s">
        <v>1014</v>
      </c>
      <c r="I196" s="13">
        <v>42965.746840277781</v>
      </c>
      <c r="J196" s="7">
        <v>0</v>
      </c>
      <c r="K196" s="89" t="str">
        <f t="shared" si="64"/>
        <v>4007/4008</v>
      </c>
      <c r="L196" s="21" t="str">
        <f>VLOOKUP(A196,'Trips&amp;Operators'!$C$1:$G$99999,5,FALSE)</f>
        <v>DELGADO DIANAH</v>
      </c>
      <c r="M196" s="6">
        <f t="shared" si="65"/>
        <v>1.1643518519122154E-2</v>
      </c>
      <c r="N196" s="7">
        <f t="shared" si="85"/>
        <v>16.766666667535901</v>
      </c>
      <c r="O196" s="7"/>
      <c r="P196" s="7"/>
      <c r="Q196" s="22"/>
      <c r="R196" s="170"/>
      <c r="S196" s="213">
        <f t="shared" si="94"/>
        <v>1</v>
      </c>
      <c r="T196" s="195" t="str">
        <f t="shared" si="66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7"/>
        <v>https://d0f6bd738d7f1b3e5a7ca70fe4ff75f0.us-east-1.aws.found.io/app/kibana#/discover/Steve-Slow-Train-Analysis-(2080s-and-2083s)?_g=(refreshInterval:(display:Off,pause:!f,section:0,value:0),time:(from:'2017-08-18T16:36:29-0600',mode:absolute,to:'2017-08-18T18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6" s="197" t="str">
        <f>IF(AA196&lt;VLOOKUP(AG196,Variables!$AC$3:$AD$8,2,FALSE),"Y","N")</f>
        <v>N</v>
      </c>
      <c r="X196" s="197">
        <f t="shared" si="87"/>
        <v>1</v>
      </c>
      <c r="Y196" s="197">
        <f t="shared" si="92"/>
        <v>5.8623000000000003</v>
      </c>
      <c r="Z196" s="197">
        <f t="shared" si="93"/>
        <v>6.54E-2</v>
      </c>
      <c r="AA196" s="197">
        <f t="shared" si="70"/>
        <v>5.7968999999999999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6">
        <f t="shared" si="71"/>
        <v>834</v>
      </c>
      <c r="AE196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196" s="74" t="str">
        <f t="shared" si="73"/>
        <v>"C:\Program Files (x86)\AstroGrep\AstroGrep.exe" /e /r /s /spath="%USERPROFILE%\AppData\Local\Temp\OnboardLogs" /stypes="app*4007*20170818*" /stext=" 23:.+((SYSTEM_STATE.+slice.+state.+changed )|(ment ac)|(multiple cpu faults)|(system.+state.+changed )|(\[timeout)|(PRM\|1\|D)|(kpr)|(kdp)|(train st.+moving)|(\|lc)|(penalty))"</v>
      </c>
      <c r="AG196" s="209" t="str">
        <f t="shared" si="74"/>
        <v>NW</v>
      </c>
      <c r="AH196" s="78" t="str">
        <f t="shared" si="75"/>
        <v>"%USERPROFILE%\Documents\GitHub\eaglep3\Utilities\RefineRTDCRunTimes.py" --tripid 834-18 --locoid 4007 --swversion DE.1.0.9.0 --startMP 300:58623 --initTime 2017-08-18T17:36:29 --startdatetime 2017-08-18T17:38:41 --delay 1 --endMP 204:654 --enddatetime 2017-08-18T17:55:27 --enforcementcount 0 &gt;&gt;C:\Users\stu\Documents\GitHub\eaglep3-reporting\EC\2017-08-18-refined-times.txt</v>
      </c>
      <c r="AI196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{"issue":{"subject":"","project_id":79,"tracker_id":40,"status_id":1,"priority_id":2,"assigned_to_id":23,"start_date":"2017-08-18","description":"","custom_fields":[{"id":1,"name":"Subdivision","value":"NW"},{"id":4,"name":"Milepost","value":"0.0654"},{"id":17,"name":"Train ID","value":"834-18"},{"id":16,"name":"Locomotive ID","value":"4007"},{"id":130,"name":"Impact","value":""},{"id":150,"name":"Time of Event (Mountain Time)","value":"17:55:27"},{"id":151,"name":"Denver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7"/>
        <v>start /low /b %USERPROFILE%\Documents\GitHub\eaglep3\Utilities\DownloadLogsFromS3.py --loco 4007 --day 2017-08-18</v>
      </c>
      <c r="AN196" s="151" t="str">
        <f t="shared" si="78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825</v>
      </c>
      <c r="B197" s="7">
        <v>4058</v>
      </c>
      <c r="C197" s="21" t="s">
        <v>198</v>
      </c>
      <c r="D197" s="21" t="s">
        <v>569</v>
      </c>
      <c r="E197" s="13">
        <v>42965.729050925926</v>
      </c>
      <c r="F197" s="13">
        <v>42965.744085648148</v>
      </c>
      <c r="G197" s="7">
        <v>1</v>
      </c>
      <c r="H197" s="21" t="s">
        <v>979</v>
      </c>
      <c r="I197" s="13">
        <v>42965.753784722219</v>
      </c>
      <c r="J197" s="7">
        <v>0</v>
      </c>
      <c r="K197" s="89" t="str">
        <f t="shared" si="64"/>
        <v>4057/4058</v>
      </c>
      <c r="L197" s="21" t="str">
        <f>VLOOKUP(A197,'Trips&amp;Operators'!$C$1:$G$99999,5,FALSE)</f>
        <v>MCREYNOLDS KYLE</v>
      </c>
      <c r="M197" s="6">
        <f t="shared" si="65"/>
        <v>9.6990740712499246E-3</v>
      </c>
      <c r="N197" s="7">
        <f t="shared" si="85"/>
        <v>13.966666662599891</v>
      </c>
      <c r="O197" s="7"/>
      <c r="P197" s="7"/>
      <c r="Q197" s="22"/>
      <c r="R197" s="170"/>
      <c r="S197" s="213">
        <f t="shared" si="94"/>
        <v>1</v>
      </c>
      <c r="T197" s="195" t="str">
        <f t="shared" si="66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7"/>
        <v>https://d0f6bd738d7f1b3e5a7ca70fe4ff75f0.us-east-1.aws.found.io/app/kibana#/discover/Steve-Slow-Train-Analysis-(2080s-and-2083s)?_g=(refreshInterval:(display:Off,pause:!f,section:0,value:0),time:(from:'2017-08-18T16:29:50-0600',mode:absolute,to:'2017-08-18T19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7" s="197" t="str">
        <f>IF(AA197&lt;VLOOKUP(AG197,Variables!$AC$3:$AD$8,2,FALSE),"Y","N")</f>
        <v>N</v>
      </c>
      <c r="X197" s="197">
        <f t="shared" si="87"/>
        <v>1</v>
      </c>
      <c r="Y197" s="197">
        <f t="shared" si="92"/>
        <v>9.8100000000000007E-2</v>
      </c>
      <c r="Z197" s="197">
        <f t="shared" si="93"/>
        <v>5.8963000000000001</v>
      </c>
      <c r="AA197" s="197">
        <f t="shared" si="70"/>
        <v>5.7982000000000005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6">
        <f t="shared" si="71"/>
        <v>835</v>
      </c>
      <c r="AE197" s="77" t="str">
        <f t="shared" si="72"/>
        <v>aws s3 cp s3://rtdc.mdm.uploadarchive.raw/RTDC4058/ "%USERPROFILE%\AppData\Local\Temp\OnboardLogs"\RTDC4058\2017-08-18 --exclude "*" --recursive --include "*20170818*" &amp; "%USERPROFILE%\Documents\GitHub\mrs-test-scripts\Headless Mode &amp; Sideloading\WalkAndUnGZ.bat" "%USERPROFILE%\AppData\Local\Temp\OnboardLogs"\RTDC4058\2017-08-18 &amp; aws s3 cp s3://rtdc.mdm.uploadarchive.raw/RTDC4058/ "%USERPROFILE%\AppData\Local\Temp\OnboardLogs"\RTDC4058\2017-08-19 --exclude "*" --recursive --include "*20170819*" &amp; "%USERPROFILE%\Documents\GitHub\mrs-test-scripts\Headless Mode &amp; Sideloading\WalkAndUnGZ.bat" "%USERPROFILE%\AppData\Local\Temp\OnboardLogs"\RTDC4058\2017-08-19</v>
      </c>
      <c r="AF197" s="74" t="str">
        <f t="shared" si="73"/>
        <v>"C:\Program Files (x86)\AstroGrep\AstroGrep.exe" /e /r /s /spath="%USERPROFILE%\AppData\Local\Temp\OnboardLogs" /stypes="app*4058*20170819*" /stext=" 00:.+((SYSTEM_STATE.+slice.+state.+changed )|(ment ac)|(multiple cpu faults)|(system.+state.+changed )|(\[timeout)|(PRM\|1\|D)|(kpr)|(kdp)|(train st.+moving)|(\|lc)|(penalty))"</v>
      </c>
      <c r="AG197" s="209" t="str">
        <f t="shared" si="74"/>
        <v>NW</v>
      </c>
      <c r="AH197" s="78" t="str">
        <f t="shared" si="75"/>
        <v>"%USERPROFILE%\Documents\GitHub\eaglep3\Utilities\RefineRTDCRunTimes.py" --tripid 835-18 --locoid 4058 --swversion DE.1.0.9.0 --startMP 204:981 --initTime 2017-08-18T17:29:50 --startdatetime 2017-08-18T17:51:29 --delay 1 --endMP 300:58963 --enddatetime 2017-08-18T18:05:27 --enforcementcount 0 &gt;&gt;C:\Users\stu\Documents\GitHub\eaglep3-reporting\EC\2017-08-18-refined-times.txt</v>
      </c>
      <c r="AI197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{"issue":{"subject":"","project_id":79,"tracker_id":40,"status_id":1,"priority_id":2,"assigned_to_id":23,"start_date":"2017-08-18","description":"","custom_fields":[{"id":1,"name":"Subdivision","value":"NW"},{"id":4,"name":"Milepost","value":"5.8963"},{"id":17,"name":"Train ID","value":"835-18"},{"id":16,"name":"Locomotive ID","value":"4058"},{"id":130,"name":"Impact","value":""},{"id":150,"name":"Time of Event (Mountain Time)","value":"18:05:27"},{"id":151,"name":"Denver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77"/>
        <v>start /low /b %USERPROFILE%\Documents\GitHub\eaglep3\Utilities\DownloadLogsFromS3.py --loco 4058 --day 2017-08-18</v>
      </c>
      <c r="AN197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00:05:27"},{"id":29,"name":"Sharepoint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833</v>
      </c>
      <c r="B198" s="7">
        <v>4057</v>
      </c>
      <c r="C198" s="21" t="s">
        <v>198</v>
      </c>
      <c r="D198" s="21" t="s">
        <v>991</v>
      </c>
      <c r="E198" s="13">
        <v>42965.755173611113</v>
      </c>
      <c r="F198" s="13">
        <v>42965.757303240738</v>
      </c>
      <c r="G198" s="7">
        <v>0</v>
      </c>
      <c r="H198" s="21" t="s">
        <v>570</v>
      </c>
      <c r="I198" s="13">
        <v>42965.767766203702</v>
      </c>
      <c r="J198" s="7">
        <v>0</v>
      </c>
      <c r="K198" s="89" t="str">
        <f t="shared" si="64"/>
        <v>4057/4058</v>
      </c>
      <c r="L198" s="21" t="str">
        <f>VLOOKUP(A198,'Trips&amp;Operators'!$C$1:$G$99999,5,FALSE)</f>
        <v>MCREYNOLDS KYLE</v>
      </c>
      <c r="M198" s="6">
        <f t="shared" si="65"/>
        <v>1.0462962964083999E-2</v>
      </c>
      <c r="N198" s="7">
        <f t="shared" si="85"/>
        <v>15.066666668280959</v>
      </c>
      <c r="O198" s="7"/>
      <c r="P198" s="7"/>
      <c r="Q198" s="22"/>
      <c r="R198" s="170"/>
      <c r="S198" s="213">
        <f t="shared" si="94"/>
        <v>1</v>
      </c>
      <c r="T198" s="195" t="str">
        <f t="shared" si="66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7"/>
        <v>https://d0f6bd738d7f1b3e5a7ca70fe4ff75f0.us-east-1.aws.found.io/app/kibana#/discover/Steve-Slow-Train-Analysis-(2080s-and-2083s)?_g=(refreshInterval:(display:Off,pause:!f,section:0,value:0),time:(from:'2017-08-18T17:07:27-0600',mode:absolute,to:'2017-08-18T19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8" s="197" t="str">
        <f>IF(AA198&lt;VLOOKUP(AG198,Variables!$AC$3:$AD$8,2,FALSE),"Y","N")</f>
        <v>N</v>
      </c>
      <c r="X198" s="197">
        <f t="shared" si="87"/>
        <v>1</v>
      </c>
      <c r="Y198" s="197">
        <f t="shared" si="92"/>
        <v>5.8647</v>
      </c>
      <c r="Z198" s="197">
        <f t="shared" si="93"/>
        <v>6.8000000000000005E-2</v>
      </c>
      <c r="AA198" s="197">
        <f t="shared" si="70"/>
        <v>5.7967000000000004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6">
        <f t="shared" si="71"/>
        <v>836</v>
      </c>
      <c r="AE198" s="77" t="str">
        <f t="shared" si="72"/>
        <v>aws s3 cp s3://rtdc.mdm.uploadarchive.raw/RTDC4057/ "%USERPROFILE%\AppData\Local\Temp\OnboardLogs"\RTDC4057\2017-08-18 --exclude "*" --recursive --include "*20170818*" &amp; "%USERPROFILE%\Documents\GitHub\mrs-test-scripts\Headless Mode &amp; Sideloading\WalkAndUnGZ.bat" "%USERPROFILE%\AppData\Local\Temp\OnboardLogs"\RTDC4057\2017-08-18 &amp; aws s3 cp s3://rtdc.mdm.uploadarchive.raw/RTDC4057/ "%USERPROFILE%\AppData\Local\Temp\OnboardLogs"\RTDC4057\2017-08-19 --exclude "*" --recursive --include "*20170819*" &amp; "%USERPROFILE%\Documents\GitHub\mrs-test-scripts\Headless Mode &amp; Sideloading\WalkAndUnGZ.bat" "%USERPROFILE%\AppData\Local\Temp\OnboardLogs"\RTDC4057\2017-08-19</v>
      </c>
      <c r="AF198" s="74" t="str">
        <f t="shared" si="73"/>
        <v>"C:\Program Files (x86)\AstroGrep\AstroGrep.exe" /e /r /s /spath="%USERPROFILE%\AppData\Local\Temp\OnboardLogs" /stypes="app*4057*20170819*" /stext=" 00:.+((SYSTEM_STATE.+slice.+state.+changed )|(ment ac)|(multiple cpu faults)|(system.+state.+changed )|(\[timeout)|(PRM\|1\|D)|(kpr)|(kdp)|(train st.+moving)|(\|lc)|(penalty))"</v>
      </c>
      <c r="AG198" s="209" t="str">
        <f t="shared" si="74"/>
        <v>NW</v>
      </c>
      <c r="AH198" s="78" t="str">
        <f t="shared" si="75"/>
        <v>"%USERPROFILE%\Documents\GitHub\eaglep3\Utilities\RefineRTDCRunTimes.py" --tripid 836-18 --locoid 4057 --swversion DE.1.0.9.0 --startMP 300:58647 --initTime 2017-08-18T18:07:27 --startdatetime 2017-08-18T18:10:31 --delay 0 --endMP 204:680 --enddatetime 2017-08-18T18:25:35 --enforcementcount 0 &gt;&gt;C:\Users\stu\Documents\GitHub\eaglep3-reporting\EC\2017-08-18-refined-times.txt</v>
      </c>
      <c r="AI198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{"issue":{"subject":"","project_id":79,"tracker_id":40,"status_id":1,"priority_id":2,"assigned_to_id":23,"start_date":"2017-08-18","description":"","custom_fields":[{"id":1,"name":"Subdivision","value":"NW"},{"id":4,"name":"Milepost","value":"0.068"},{"id":17,"name":"Train ID","value":"836-18"},{"id":16,"name":"Locomotive ID","value":"4057"},{"id":130,"name":"Impact","value":""},{"id":150,"name":"Time of Event (Mountain Time)","value":"18:25:35"},{"id":151,"name":"Denver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77"/>
        <v>start /low /b %USERPROFILE%\Documents\GitHub\eaglep3\Utilities\DownloadLogsFromS3.py --loco 4057 --day 2017-08-18</v>
      </c>
      <c r="AN198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00:25:35"},{"id":29,"name":"Sharepoint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832</v>
      </c>
      <c r="B199" s="7">
        <v>4008</v>
      </c>
      <c r="C199" s="21" t="s">
        <v>198</v>
      </c>
      <c r="D199" s="21" t="s">
        <v>1015</v>
      </c>
      <c r="E199" s="13">
        <v>42965.753946759258</v>
      </c>
      <c r="F199" s="13">
        <v>42965.764884259261</v>
      </c>
      <c r="G199" s="7">
        <v>11</v>
      </c>
      <c r="H199" s="21" t="s">
        <v>633</v>
      </c>
      <c r="I199" s="13">
        <v>42965.773981481485</v>
      </c>
      <c r="J199" s="7">
        <v>0</v>
      </c>
      <c r="K199" s="89" t="str">
        <f t="shared" si="64"/>
        <v>4007/4008</v>
      </c>
      <c r="L199" s="21" t="str">
        <f>VLOOKUP(A199,'Trips&amp;Operators'!$C$1:$G$99999,5,FALSE)</f>
        <v>DELGADO DIANAH</v>
      </c>
      <c r="M199" s="6">
        <f t="shared" si="65"/>
        <v>9.0972222242271528E-3</v>
      </c>
      <c r="N199" s="7">
        <f t="shared" si="85"/>
        <v>13.1000000028871</v>
      </c>
      <c r="O199" s="7"/>
      <c r="P199" s="7"/>
      <c r="Q199" s="22"/>
      <c r="R199" s="170"/>
      <c r="S199" s="213">
        <f t="shared" si="94"/>
        <v>1</v>
      </c>
      <c r="T199" s="195" t="str">
        <f t="shared" si="66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7"/>
        <v>https://d0f6bd738d7f1b3e5a7ca70fe4ff75f0.us-east-1.aws.found.io/app/kibana#/discover/Steve-Slow-Train-Analysis-(2080s-and-2083s)?_g=(refreshInterval:(display:Off,pause:!f,section:0,value:0),time:(from:'2017-08-18T17:05:41-0600',mode:absolute,to:'2017-08-18T19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9" s="197" t="str">
        <f>IF(AA199&lt;VLOOKUP(AG199,Variables!$AC$3:$AD$8,2,FALSE),"Y","N")</f>
        <v>N</v>
      </c>
      <c r="X199" s="197">
        <f t="shared" si="87"/>
        <v>1</v>
      </c>
      <c r="Y199" s="197">
        <f t="shared" si="92"/>
        <v>9.4600000000000004E-2</v>
      </c>
      <c r="Z199" s="197">
        <f t="shared" si="93"/>
        <v>5.8944000000000001</v>
      </c>
      <c r="AA199" s="197">
        <f t="shared" si="70"/>
        <v>5.7998000000000003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6">
        <f t="shared" si="71"/>
        <v>837</v>
      </c>
      <c r="AE199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199" s="74" t="str">
        <f t="shared" si="73"/>
        <v>"C:\Program Files (x86)\AstroGrep\AstroGrep.exe" /e /r /s /spath="%USERPROFILE%\AppData\Local\Temp\OnboardLogs" /stypes="app*4008*20170819*" /stext=" 00:.+((SYSTEM_STATE.+slice.+state.+changed )|(ment ac)|(multiple cpu faults)|(system.+state.+changed )|(\[timeout)|(PRM\|1\|D)|(kpr)|(kdp)|(train st.+moving)|(\|lc)|(penalty))"</v>
      </c>
      <c r="AG199" s="209" t="str">
        <f t="shared" si="74"/>
        <v>NW</v>
      </c>
      <c r="AH199" s="78" t="str">
        <f t="shared" si="75"/>
        <v>"%USERPROFILE%\Documents\GitHub\eaglep3\Utilities\RefineRTDCRunTimes.py" --tripid 837-18 --locoid 4008 --swversion DE.1.0.9.0 --startMP 204:946 --initTime 2017-08-18T18:05:41 --startdatetime 2017-08-18T18:21:26 --delay 11 --endMP 300:58944 --enddatetime 2017-08-18T18:34:32 --enforcementcount 0 &gt;&gt;C:\Users\stu\Documents\GitHub\eaglep3-reporting\EC\2017-08-18-refined-times.txt</v>
      </c>
      <c r="AI199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{"issue":{"subject":"","project_id":79,"tracker_id":40,"status_id":1,"priority_id":2,"assigned_to_id":23,"start_date":"2017-08-18","description":"","custom_fields":[{"id":1,"name":"Subdivision","value":"NW"},{"id":4,"name":"Milepost","value":"5.8944"},{"id":17,"name":"Train ID","value":"837-18"},{"id":16,"name":"Locomotive ID","value":"4008"},{"id":130,"name":"Impact","value":""},{"id":150,"name":"Time of Event (Mountain Time)","value":"18:34:32"},{"id":151,"name":"Denver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77"/>
        <v>start /low /b %USERPROFILE%\Documents\GitHub\eaglep3\Utilities\DownloadLogsFromS3.py --loco 4008 --day 2017-08-18</v>
      </c>
      <c r="AN199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00:34:32"},{"id":29,"name":"Sharepoint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838</v>
      </c>
      <c r="B200" s="7">
        <v>4007</v>
      </c>
      <c r="C200" s="21" t="s">
        <v>198</v>
      </c>
      <c r="D200" s="21" t="s">
        <v>1002</v>
      </c>
      <c r="E200" s="13">
        <v>42965.775277777779</v>
      </c>
      <c r="F200" s="13">
        <v>42965.777268518519</v>
      </c>
      <c r="G200" s="7">
        <v>1</v>
      </c>
      <c r="H200" s="21" t="s">
        <v>1016</v>
      </c>
      <c r="I200" s="13">
        <v>42965.788715277777</v>
      </c>
      <c r="J200" s="7">
        <v>0</v>
      </c>
      <c r="K200" s="89" t="str">
        <f t="shared" si="64"/>
        <v>4007/4008</v>
      </c>
      <c r="L200" s="21" t="str">
        <f>VLOOKUP(A200,'Trips&amp;Operators'!$C$1:$G$99999,5,FALSE)</f>
        <v>DELGADO DIANAH</v>
      </c>
      <c r="M200" s="6">
        <f t="shared" si="65"/>
        <v>1.1446759257523809E-2</v>
      </c>
      <c r="N200" s="7">
        <f t="shared" si="85"/>
        <v>16.483333330834284</v>
      </c>
      <c r="O200" s="7"/>
      <c r="P200" s="7"/>
      <c r="Q200" s="22"/>
      <c r="R200" s="170"/>
      <c r="S200" s="213">
        <f t="shared" si="94"/>
        <v>1</v>
      </c>
      <c r="T200" s="195" t="str">
        <f t="shared" si="66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7"/>
        <v>https://d0f6bd738d7f1b3e5a7ca70fe4ff75f0.us-east-1.aws.found.io/app/kibana#/discover/Steve-Slow-Train-Analysis-(2080s-and-2083s)?_g=(refreshInterval:(display:Off,pause:!f,section:0,value:0),time:(from:'2017-08-18T17:36:24-0600',mode:absolute,to:'2017-08-18T19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0" s="197" t="str">
        <f>IF(AA200&lt;VLOOKUP(AG200,Variables!$AC$3:$AD$8,2,FALSE),"Y","N")</f>
        <v>N</v>
      </c>
      <c r="X200" s="197">
        <f t="shared" si="87"/>
        <v>1</v>
      </c>
      <c r="Y200" s="197">
        <f t="shared" si="92"/>
        <v>5.8630000000000004</v>
      </c>
      <c r="Z200" s="197">
        <f t="shared" si="93"/>
        <v>6.7699999999999996E-2</v>
      </c>
      <c r="AA200" s="197">
        <f t="shared" si="70"/>
        <v>5.7953000000000001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6">
        <f t="shared" si="71"/>
        <v>838</v>
      </c>
      <c r="AE200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200" s="74" t="str">
        <f t="shared" si="73"/>
        <v>"C:\Program Files (x86)\AstroGrep\AstroGrep.exe" /e /r /s /spath="%USERPROFILE%\AppData\Local\Temp\OnboardLogs" /stypes="app*4007*20170819*" /stext=" 00:.+((SYSTEM_STATE.+slice.+state.+changed )|(ment ac)|(multiple cpu faults)|(system.+state.+changed )|(\[timeout)|(PRM\|1\|D)|(kpr)|(kdp)|(train st.+moving)|(\|lc)|(penalty))"</v>
      </c>
      <c r="AG200" s="209" t="str">
        <f t="shared" si="74"/>
        <v>NW</v>
      </c>
      <c r="AH200" s="78" t="str">
        <f t="shared" si="75"/>
        <v>"%USERPROFILE%\Documents\GitHub\eaglep3\Utilities\RefineRTDCRunTimes.py" --tripid 838-18 --locoid 4007 --swversion DE.1.0.9.0 --startMP 300:58630 --initTime 2017-08-18T18:36:24 --startdatetime 2017-08-18T18:39:16 --delay 1 --endMP 204:677 --enddatetime 2017-08-18T18:55:45 --enforcementcount 0 &gt;&gt;C:\Users\stu\Documents\GitHub\eaglep3-reporting\EC\2017-08-18-refined-times.txt</v>
      </c>
      <c r="AI200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{"issue":{"subject":"","project_id":79,"tracker_id":40,"status_id":1,"priority_id":2,"assigned_to_id":23,"start_date":"2017-08-18","description":"","custom_fields":[{"id":1,"name":"Subdivision","value":"NW"},{"id":4,"name":"Milepost","value":"0.0677"},{"id":17,"name":"Train ID","value":"838-18"},{"id":16,"name":"Locomotive ID","value":"4007"},{"id":130,"name":"Impact","value":""},{"id":150,"name":"Time of Event (Mountain Time)","value":"18:55:45"},{"id":151,"name":"Denver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77"/>
        <v>start /low /b %USERPROFILE%\Documents\GitHub\eaglep3\Utilities\DownloadLogsFromS3.py --loco 4007 --day 2017-08-18</v>
      </c>
      <c r="AN200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00:55:45"},{"id":29,"name":"Sharepoint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837</v>
      </c>
      <c r="B201" s="7">
        <v>4058</v>
      </c>
      <c r="C201" s="21" t="s">
        <v>198</v>
      </c>
      <c r="D201" s="21" t="s">
        <v>1017</v>
      </c>
      <c r="E201" s="13">
        <v>42965.770277777781</v>
      </c>
      <c r="F201" s="13">
        <v>42965.785833333335</v>
      </c>
      <c r="G201" s="7">
        <v>1</v>
      </c>
      <c r="H201" s="21" t="s">
        <v>1018</v>
      </c>
      <c r="I201" s="13">
        <v>42965.796006944445</v>
      </c>
      <c r="J201" s="7">
        <v>0</v>
      </c>
      <c r="K201" s="89" t="str">
        <f t="shared" si="64"/>
        <v>4057/4058</v>
      </c>
      <c r="L201" s="21" t="str">
        <f>VLOOKUP(A201,'Trips&amp;Operators'!$C$1:$G$99999,5,FALSE)</f>
        <v>MCREYNOLDS KYLE</v>
      </c>
      <c r="M201" s="6">
        <f t="shared" si="65"/>
        <v>1.0173611110076308E-2</v>
      </c>
      <c r="N201" s="7">
        <f t="shared" si="85"/>
        <v>14.649999998509884</v>
      </c>
      <c r="O201" s="7"/>
      <c r="P201" s="7"/>
      <c r="Q201" s="22"/>
      <c r="R201" s="170"/>
      <c r="S201" s="213">
        <f t="shared" si="94"/>
        <v>1</v>
      </c>
      <c r="T201" s="195" t="str">
        <f t="shared" si="66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7"/>
        <v>https://d0f6bd738d7f1b3e5a7ca70fe4ff75f0.us-east-1.aws.found.io/app/kibana#/discover/Steve-Slow-Train-Analysis-(2080s-and-2083s)?_g=(refreshInterval:(display:Off,pause:!f,section:0,value:0),time:(from:'2017-08-18T17:29:12-0600',mode:absolute,to:'2017-08-18T20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1" s="197" t="str">
        <f>IF(AA201&lt;VLOOKUP(AG201,Variables!$AC$3:$AD$8,2,FALSE),"Y","N")</f>
        <v>N</v>
      </c>
      <c r="X201" s="197">
        <f t="shared" si="87"/>
        <v>1</v>
      </c>
      <c r="Y201" s="197">
        <f t="shared" si="92"/>
        <v>9.8799999999999999E-2</v>
      </c>
      <c r="Z201" s="197">
        <f t="shared" si="93"/>
        <v>5.8959999999999999</v>
      </c>
      <c r="AA201" s="197">
        <f t="shared" si="70"/>
        <v>5.7972000000000001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6">
        <f t="shared" si="71"/>
        <v>839</v>
      </c>
      <c r="AE201" s="77" t="str">
        <f t="shared" si="72"/>
        <v>aws s3 cp s3://rtdc.mdm.uploadarchive.raw/RTDC4058/ "%USERPROFILE%\AppData\Local\Temp\OnboardLogs"\RTDC4058\2017-08-18 --exclude "*" --recursive --include "*20170818*" &amp; "%USERPROFILE%\Documents\GitHub\mrs-test-scripts\Headless Mode &amp; Sideloading\WalkAndUnGZ.bat" "%USERPROFILE%\AppData\Local\Temp\OnboardLogs"\RTDC4058\2017-08-18 &amp; aws s3 cp s3://rtdc.mdm.uploadarchive.raw/RTDC4058/ "%USERPROFILE%\AppData\Local\Temp\OnboardLogs"\RTDC4058\2017-08-19 --exclude "*" --recursive --include "*20170819*" &amp; "%USERPROFILE%\Documents\GitHub\mrs-test-scripts\Headless Mode &amp; Sideloading\WalkAndUnGZ.bat" "%USERPROFILE%\AppData\Local\Temp\OnboardLogs"\RTDC4058\2017-08-19</v>
      </c>
      <c r="AF201" s="74" t="str">
        <f t="shared" si="73"/>
        <v>"C:\Program Files (x86)\AstroGrep\AstroGrep.exe" /e /r /s /spath="%USERPROFILE%\AppData\Local\Temp\OnboardLogs" /stypes="app*4058*20170819*" /stext=" 01:.+((SYSTEM_STATE.+slice.+state.+changed )|(ment ac)|(multiple cpu faults)|(system.+state.+changed )|(\[timeout)|(PRM\|1\|D)|(kpr)|(kdp)|(train st.+moving)|(\|lc)|(penalty))"</v>
      </c>
      <c r="AG201" s="209" t="str">
        <f t="shared" si="74"/>
        <v>NW</v>
      </c>
      <c r="AH201" s="78" t="str">
        <f t="shared" si="75"/>
        <v>"%USERPROFILE%\Documents\GitHub\eaglep3\Utilities\RefineRTDCRunTimes.py" --tripid 839-18 --locoid 4058 --swversion DE.1.0.9.0 --startMP 204:988 --initTime 2017-08-18T18:29:12 --startdatetime 2017-08-18T18:51:36 --delay 1 --endMP 300:58960 --enddatetime 2017-08-18T19:06:15 --enforcementcount 0 &gt;&gt;C:\Users\stu\Documents\GitHub\eaglep3-reporting\EC\2017-08-18-refined-times.txt</v>
      </c>
      <c r="AI201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{"issue":{"subject":"","project_id":79,"tracker_id":40,"status_id":1,"priority_id":2,"assigned_to_id":23,"start_date":"2017-08-18","description":"","custom_fields":[{"id":1,"name":"Subdivision","value":"NW"},{"id":4,"name":"Milepost","value":"5.896"},{"id":17,"name":"Train ID","value":"839-18"},{"id":16,"name":"Locomotive ID","value":"4058"},{"id":130,"name":"Impact","value":""},{"id":150,"name":"Time of Event (Mountain Time)","value":"19:06:15"},{"id":151,"name":"Denver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7"/>
        <v>start /low /b %USERPROFILE%\Documents\GitHub\eaglep3\Utilities\DownloadLogsFromS3.py --loco 4058 --day 2017-08-18</v>
      </c>
      <c r="AN201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01:06:15"},{"id":29,"name":"Sharepoint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848</v>
      </c>
      <c r="B202" s="7">
        <v>4007</v>
      </c>
      <c r="C202" s="21" t="s">
        <v>198</v>
      </c>
      <c r="D202" s="21" t="s">
        <v>630</v>
      </c>
      <c r="E202" s="13">
        <v>42965.817083333335</v>
      </c>
      <c r="F202" s="13">
        <v>42965.818564814814</v>
      </c>
      <c r="G202" s="7">
        <v>1</v>
      </c>
      <c r="H202" s="21" t="s">
        <v>1000</v>
      </c>
      <c r="I202" s="13">
        <v>42965.829467592594</v>
      </c>
      <c r="J202" s="7">
        <v>0</v>
      </c>
      <c r="K202" s="89" t="str">
        <f t="shared" si="64"/>
        <v>4007/4008</v>
      </c>
      <c r="L202" s="21" t="str">
        <f>VLOOKUP(A202,'Trips&amp;Operators'!$C$1:$G$99999,5,FALSE)</f>
        <v>DELGADO DIANAH</v>
      </c>
      <c r="M202" s="6">
        <f t="shared" si="65"/>
        <v>1.0902777779847383E-2</v>
      </c>
      <c r="N202" s="7">
        <f t="shared" si="85"/>
        <v>15.700000002980232</v>
      </c>
      <c r="O202" s="7"/>
      <c r="P202" s="7"/>
      <c r="Q202" s="22"/>
      <c r="R202" s="170"/>
      <c r="S202" s="213">
        <f t="shared" si="94"/>
        <v>1</v>
      </c>
      <c r="T202" s="195" t="str">
        <f t="shared" si="66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7"/>
        <v>https://d0f6bd738d7f1b3e5a7ca70fe4ff75f0.us-east-1.aws.found.io/app/kibana#/discover/Steve-Slow-Train-Analysis-(2080s-and-2083s)?_g=(refreshInterval:(display:Off,pause:!f,section:0,value:0),time:(from:'2017-08-18T18:36:36-0600',mode:absolute,to:'2017-08-18T20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2" s="197" t="str">
        <f>IF(AA202&lt;VLOOKUP(AG202,Variables!$AC$3:$AD$8,2,FALSE),"Y","N")</f>
        <v>N</v>
      </c>
      <c r="X202" s="197">
        <f t="shared" si="87"/>
        <v>1</v>
      </c>
      <c r="Y202" s="197">
        <f t="shared" si="92"/>
        <v>5.8613</v>
      </c>
      <c r="Z202" s="197">
        <f t="shared" si="93"/>
        <v>6.4899999999999999E-2</v>
      </c>
      <c r="AA202" s="197">
        <f t="shared" si="70"/>
        <v>5.7964000000000002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6">
        <f t="shared" si="71"/>
        <v>840</v>
      </c>
      <c r="AE202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202" s="74" t="str">
        <f t="shared" si="73"/>
        <v>"C:\Program Files (x86)\AstroGrep\AstroGrep.exe" /e /r /s /spath="%USERPROFILE%\AppData\Local\Temp\OnboardLogs" /stypes="app*4007*20170819*" /stext=" 01:.+((SYSTEM_STATE.+slice.+state.+changed )|(ment ac)|(multiple cpu faults)|(system.+state.+changed )|(\[timeout)|(PRM\|1\|D)|(kpr)|(kdp)|(train st.+moving)|(\|lc)|(penalty))"</v>
      </c>
      <c r="AG202" s="209" t="str">
        <f t="shared" si="74"/>
        <v>NW</v>
      </c>
      <c r="AH202" s="78" t="str">
        <f t="shared" si="75"/>
        <v>"%USERPROFILE%\Documents\GitHub\eaglep3\Utilities\RefineRTDCRunTimes.py" --tripid 840-18 --locoid 4007 --swversion DE.1.0.9.0 --startMP 300:58613 --initTime 2017-08-18T19:36:36 --startdatetime 2017-08-18T19:38:44 --delay 1 --endMP 204:649 --enddatetime 2017-08-18T19:54:26 --enforcementcount 0 &gt;&gt;C:\Users\stu\Documents\GitHub\eaglep3-reporting\EC\2017-08-18-refined-times.txt</v>
      </c>
      <c r="AI202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{"issue":{"subject":"","project_id":79,"tracker_id":40,"status_id":1,"priority_id":2,"assigned_to_id":23,"start_date":"2017-08-18","description":"","custom_fields":[{"id":1,"name":"Subdivision","value":"NW"},{"id":4,"name":"Milepost","value":"0.0649"},{"id":17,"name":"Train ID","value":"840-18"},{"id":16,"name":"Locomotive ID","value":"4007"},{"id":130,"name":"Impact","value":""},{"id":150,"name":"Time of Event (Mountain Time)","value":"19:54:26"},{"id":151,"name":"Denver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77"/>
        <v>start /low /b %USERPROFILE%\Documents\GitHub\eaglep3\Utilities\DownloadLogsFromS3.py --loco 4007 --day 2017-08-18</v>
      </c>
      <c r="AN202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01:54:26"},{"id":29,"name":"Sharepoint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843</v>
      </c>
      <c r="B203" s="7">
        <v>4008</v>
      </c>
      <c r="C203" s="21" t="s">
        <v>198</v>
      </c>
      <c r="D203" s="21" t="s">
        <v>1019</v>
      </c>
      <c r="E203" s="13">
        <v>42965.793483796297</v>
      </c>
      <c r="F203" s="13">
        <v>42965.806562500002</v>
      </c>
      <c r="G203" s="7">
        <v>15</v>
      </c>
      <c r="H203" s="21" t="s">
        <v>628</v>
      </c>
      <c r="I203" s="13">
        <v>42965.81591435185</v>
      </c>
      <c r="J203" s="7">
        <v>0</v>
      </c>
      <c r="K203" s="89" t="str">
        <f t="shared" si="64"/>
        <v>4007/4008</v>
      </c>
      <c r="L203" s="21" t="str">
        <f>VLOOKUP(A203,'Trips&amp;Operators'!$C$1:$G$99999,5,FALSE)</f>
        <v>DELGADO DIANAH</v>
      </c>
      <c r="M203" s="6">
        <f t="shared" si="65"/>
        <v>9.3518518478958867E-3</v>
      </c>
      <c r="N203" s="7">
        <f t="shared" si="85"/>
        <v>13.466666660970077</v>
      </c>
      <c r="O203" s="7"/>
      <c r="P203" s="7"/>
      <c r="Q203" s="22"/>
      <c r="R203" s="170"/>
      <c r="S203" s="213">
        <f t="shared" si="94"/>
        <v>1</v>
      </c>
      <c r="T203" s="195" t="str">
        <f t="shared" si="66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7"/>
        <v>https://d0f6bd738d7f1b3e5a7ca70fe4ff75f0.us-east-1.aws.found.io/app/kibana#/discover/Steve-Slow-Train-Analysis-(2080s-and-2083s)?_g=(refreshInterval:(display:Off,pause:!f,section:0,value:0),time:(from:'2017-08-18T18:02:37-0600',mode:absolute,to:'2017-08-18T20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3" s="197" t="str">
        <f>IF(AA203&lt;VLOOKUP(AG203,Variables!$AC$3:$AD$8,2,FALSE),"Y","N")</f>
        <v>N</v>
      </c>
      <c r="X203" s="197">
        <f t="shared" si="87"/>
        <v>1</v>
      </c>
      <c r="Y203" s="197">
        <f t="shared" si="92"/>
        <v>9.5100000000000004E-2</v>
      </c>
      <c r="Z203" s="197">
        <f t="shared" si="93"/>
        <v>5.8939000000000004</v>
      </c>
      <c r="AA203" s="197">
        <f t="shared" si="70"/>
        <v>5.7988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6">
        <f t="shared" si="71"/>
        <v>841</v>
      </c>
      <c r="AE203" s="77" t="str">
        <f t="shared" si="72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203" s="74" t="str">
        <f t="shared" si="73"/>
        <v>"C:\Program Files (x86)\AstroGrep\AstroGrep.exe" /e /r /s /spath="%USERPROFILE%\AppData\Local\Temp\OnboardLogs" /stypes="app*4008*20170819*" /stext=" 01:.+((SYSTEM_STATE.+slice.+state.+changed )|(ment ac)|(multiple cpu faults)|(system.+state.+changed )|(\[timeout)|(PRM\|1\|D)|(kpr)|(kdp)|(train st.+moving)|(\|lc)|(penalty))"</v>
      </c>
      <c r="AG203" s="209" t="str">
        <f t="shared" si="74"/>
        <v>NW</v>
      </c>
      <c r="AH203" s="78" t="str">
        <f t="shared" si="75"/>
        <v>"%USERPROFILE%\Documents\GitHub\eaglep3\Utilities\RefineRTDCRunTimes.py" --tripid 841-18 --locoid 4008 --swversion DE.1.0.9.0 --startMP 204:951 --initTime 2017-08-18T19:02:37 --startdatetime 2017-08-18T19:21:27 --delay 15 --endMP 300:58939 --enddatetime 2017-08-18T19:34:55 --enforcementcount 0 &gt;&gt;C:\Users\stu\Documents\GitHub\eaglep3-reporting\EC\2017-08-18-refined-times.txt</v>
      </c>
      <c r="AI203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{"issue":{"subject":"","project_id":79,"tracker_id":40,"status_id":1,"priority_id":2,"assigned_to_id":23,"start_date":"2017-08-18","description":"","custom_fields":[{"id":1,"name":"Subdivision","value":"NW"},{"id":4,"name":"Milepost","value":"5.8939"},{"id":17,"name":"Train ID","value":"841-18"},{"id":16,"name":"Locomotive ID","value":"4008"},{"id":130,"name":"Impact","value":""},{"id":150,"name":"Time of Event (Mountain Time)","value":"19:34:55"},{"id":151,"name":"Denver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7"/>
        <v>start /low /b %USERPROFILE%\Documents\GitHub\eaglep3\Utilities\DownloadLogsFromS3.py --loco 4008 --day 2017-08-18</v>
      </c>
      <c r="AN203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s="20" customFormat="1" x14ac:dyDescent="0.25">
      <c r="A204" s="32" t="s">
        <v>1060</v>
      </c>
      <c r="B204" s="7">
        <v>4007</v>
      </c>
      <c r="C204" s="21" t="s">
        <v>198</v>
      </c>
      <c r="D204" s="21" t="s">
        <v>1019</v>
      </c>
      <c r="E204" s="13">
        <v>42965.793483796297</v>
      </c>
      <c r="F204" s="13">
        <v>42965.861168981479</v>
      </c>
      <c r="G204" s="7">
        <v>15</v>
      </c>
      <c r="H204" s="21" t="s">
        <v>628</v>
      </c>
      <c r="I204" s="13">
        <v>42965.871215277781</v>
      </c>
      <c r="J204" s="7">
        <v>0</v>
      </c>
      <c r="K204" s="89" t="str">
        <f t="shared" si="64"/>
        <v>4007/4008</v>
      </c>
      <c r="L204" s="21" t="s">
        <v>1061</v>
      </c>
      <c r="M204" s="6">
        <f t="shared" si="65"/>
        <v>1.004629630187992E-2</v>
      </c>
      <c r="N204" s="7">
        <f t="shared" si="85"/>
        <v>14.466666674707085</v>
      </c>
      <c r="O204" s="7"/>
      <c r="P204" s="7"/>
      <c r="Q204" s="22"/>
      <c r="R204" s="170"/>
      <c r="S204" s="213">
        <f t="shared" si="94"/>
        <v>0</v>
      </c>
      <c r="T204" s="195" t="str">
        <f t="shared" si="66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96" t="str">
        <f t="shared" si="67"/>
        <v>https://d0f6bd738d7f1b3e5a7ca70fe4ff75f0.us-east-1.aws.found.io/app/kibana#/discover/Steve-Slow-Train-Analysis-(2080s-and-2083s)?_g=(refreshInterval:(display:Off,pause:!f,section:0,value:0),time:(from:'2017-08-18T18:02:37-0600',mode:absolute,to:'2017-08-18T21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4" s="197" t="str">
        <f>IF(AA204&lt;VLOOKUP(AG204,Variables!$AC$3:$AD$8,2,FALSE),"Y","N")</f>
        <v>N</v>
      </c>
      <c r="X204" s="197">
        <f t="shared" si="87"/>
        <v>1</v>
      </c>
      <c r="Y204" s="197">
        <f t="shared" si="92"/>
        <v>9.5100000000000004E-2</v>
      </c>
      <c r="Z204" s="197">
        <f t="shared" si="93"/>
        <v>5.8939000000000004</v>
      </c>
      <c r="AA204" s="197">
        <f t="shared" si="70"/>
        <v>5.7988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6">
        <f t="shared" si="71"/>
        <v>842</v>
      </c>
      <c r="AE204" s="77" t="str">
        <f t="shared" si="72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204" s="74" t="str">
        <f t="shared" si="73"/>
        <v>"C:\Program Files (x86)\AstroGrep\AstroGrep.exe" /e /r /s /spath="%USERPROFILE%\AppData\Local\Temp\OnboardLogs" /stypes="app*4007*20170819*" /stext=" 02:.+((SYSTEM_STATE.+slice.+state.+changed )|(ment ac)|(multiple cpu faults)|(system.+state.+changed )|(\[timeout)|(PRM\|1\|D)|(kpr)|(kdp)|(train st.+moving)|(\|lc)|(penalty))"</v>
      </c>
      <c r="AG204" s="209" t="str">
        <f t="shared" si="74"/>
        <v>NW</v>
      </c>
      <c r="AH204" s="78" t="str">
        <f t="shared" ref="AH204" si="95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842-18 --locoid 4007 --swversion DE.1.0.9.0 --startMP 204:951 --initTime 2017-08-18T19:02:37 --startdatetime 2017-08-18T20:40:05 --delay 15 --endMP 300:58939 --enddatetime 2017-08-18T20:54:33 --enforcementcount 0 &gt;&gt;C:\Users\stu\Documents\GitHub\eaglep3-reporting\EC\2017-08-18-refined-times.txt</v>
      </c>
      <c r="AI204" s="96" t="str">
        <f t="shared" ref="AI204" si="96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{"issue":{"subject":"","project_id":79,"tracker_id":40,"status_id":1,"priority_id":2,"assigned_to_id":23,"start_date":"2017-08-18","description":"","custom_fields":[{"id":1,"name":"Subdivision","value":"NW"},{"id":4,"name":"Milepost","value":"5.8939"},{"id":17,"name":"Train ID","value":"842-18"},{"id":16,"name":"Locomotive ID","value":"4007"},{"id":130,"name":"Impact","value":""},{"id":150,"name":"Time of Event (Mountain Time)","value":"20:54:33"},{"id":151,"name":"Denver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ref="AM204" si="97">"start /low /b "&amp;dls3logs&amp;" --loco "&amp;B204&amp;" --day "&amp;TEXT(F204,"YYYY-MM-DD")</f>
        <v>start /low /b %USERPROFILE%\Documents\GitHub\eaglep3\Utilities\DownloadLogsFromS3.py --loco 4007 --day 2017-08-18</v>
      </c>
      <c r="AN204" s="151" t="str">
        <f t="shared" ref="AN204" si="98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s="20" customFormat="1" x14ac:dyDescent="0.25">
      <c r="A205" s="32" t="s">
        <v>852</v>
      </c>
      <c r="B205" s="7">
        <v>4008</v>
      </c>
      <c r="C205" s="21" t="s">
        <v>198</v>
      </c>
      <c r="D205" s="21" t="s">
        <v>1020</v>
      </c>
      <c r="E205" s="13">
        <v>42965.831145833334</v>
      </c>
      <c r="F205" s="13">
        <v>42965.84814814815</v>
      </c>
      <c r="G205" s="7">
        <v>2</v>
      </c>
      <c r="H205" s="21" t="s">
        <v>637</v>
      </c>
      <c r="I205" s="13">
        <v>42965.858032407406</v>
      </c>
      <c r="J205" s="7">
        <v>0</v>
      </c>
      <c r="K205" s="89" t="str">
        <f t="shared" ref="K205:K237" si="99">IF(ISEVEN(B205),(B205-1)&amp;"/"&amp;B205,B205&amp;"/"&amp;(B205+1))</f>
        <v>4007/4008</v>
      </c>
      <c r="L205" s="21" t="str">
        <f>VLOOKUP(A205,'Trips&amp;Operators'!$C$1:$G$99999,5,FALSE)</f>
        <v>DELGADO DIANAH</v>
      </c>
      <c r="M205" s="6">
        <f t="shared" ref="M205:M237" si="100">I205-F205</f>
        <v>9.8842592560686171E-3</v>
      </c>
      <c r="N205" s="7">
        <f t="shared" si="85"/>
        <v>14.233333328738809</v>
      </c>
      <c r="O205" s="7"/>
      <c r="P205" s="7"/>
      <c r="Q205" s="22"/>
      <c r="R205" s="170"/>
      <c r="S205" s="213">
        <f t="shared" si="94"/>
        <v>1</v>
      </c>
      <c r="T205" s="195" t="str">
        <f t="shared" ref="T205:T237" si="101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7" si="10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-18T18:56:51-0600',mode:absolute,to:'2017-08-18T21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197" t="str">
        <f>IF(AA205&lt;VLOOKUP(AG205,Variables!$AC$3:$AD$8,2,FALSE),"Y","N")</f>
        <v>N</v>
      </c>
      <c r="X205" s="197">
        <f t="shared" si="87"/>
        <v>1</v>
      </c>
      <c r="Y205" s="197">
        <f t="shared" si="92"/>
        <v>9.4399999999999998E-2</v>
      </c>
      <c r="Z205" s="197">
        <f t="shared" si="93"/>
        <v>5.8943000000000003</v>
      </c>
      <c r="AA205" s="197">
        <f t="shared" ref="AA205:AA237" si="103">ABS(Z205-Y205)</f>
        <v>5.7999000000000001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6">
        <f t="shared" ref="AD205:AD237" si="104">VALUE(LEFT(A205,LEN(A205)-3))</f>
        <v>843</v>
      </c>
      <c r="AE205" s="77" t="str">
        <f t="shared" ref="AE205:AE237" si="10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205" s="74" t="str">
        <f t="shared" ref="AF205:AF237" si="10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/stypes="app*4008*20170819*" /stext=" 02:.+((SYSTEM_STATE.+slice.+state.+changed )|(ment ac)|(multiple cpu faults)|(system.+state.+changed )|(\[timeout)|(PRM\|1\|D)|(kpr)|(kdp)|(train st.+moving)|(\|lc)|(penalty))"</v>
      </c>
      <c r="AG205" s="209" t="str">
        <f t="shared" ref="AG205:AG237" si="107">DetSubdiv(A205)</f>
        <v>NW</v>
      </c>
      <c r="AH205" s="78" t="str">
        <f t="shared" si="75"/>
        <v>"%USERPROFILE%\Documents\GitHub\eaglep3\Utilities\RefineRTDCRunTimes.py" --tripid 843-18 --locoid 4008 --swversion DE.1.0.9.0 --startMP 204:944 --initTime 2017-08-18T19:56:51 --startdatetime 2017-08-18T20:21:20 --delay 2 --endMP 300:58943 --enddatetime 2017-08-18T20:35:34 --enforcementcount 0 &gt;&gt;C:\Users\stu\Documents\GitHub\eaglep3-reporting\EC\2017-08-18-refined-times.txt</v>
      </c>
      <c r="AI205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{"issue":{"subject":"","project_id":79,"tracker_id":40,"status_id":1,"priority_id":2,"assigned_to_id":23,"start_date":"2017-08-18","description":"","custom_fields":[{"id":1,"name":"Subdivision","value":"NW"},{"id":4,"name":"Milepost","value":"5.8943"},{"id":17,"name":"Train ID","value":"843-18"},{"id":16,"name":"Locomotive ID","value":"4008"},{"id":130,"name":"Impact","value":""},{"id":150,"name":"Time of Event (Mountain Time)","value":"20:35:34"},{"id":151,"name":"Denver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77"/>
        <v>start /low /b %USERPROFILE%\Documents\GitHub\eaglep3\Utilities\DownloadLogsFromS3.py --loco 4008 --day 2017-08-18</v>
      </c>
      <c r="AN205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860</v>
      </c>
      <c r="B206" s="7">
        <v>4007</v>
      </c>
      <c r="C206" s="21" t="s">
        <v>198</v>
      </c>
      <c r="D206" s="21" t="s">
        <v>567</v>
      </c>
      <c r="E206" s="13">
        <v>42965.900972222225</v>
      </c>
      <c r="F206" s="13">
        <v>42965.903020833335</v>
      </c>
      <c r="G206" s="7">
        <v>1</v>
      </c>
      <c r="H206" s="21" t="s">
        <v>638</v>
      </c>
      <c r="I206" s="13">
        <v>42965.913321759261</v>
      </c>
      <c r="J206" s="7">
        <v>0</v>
      </c>
      <c r="K206" s="89" t="str">
        <f t="shared" si="99"/>
        <v>4007/4008</v>
      </c>
      <c r="L206" s="21" t="str">
        <f>VLOOKUP(A206,'Trips&amp;Operators'!$C$1:$G$99999,5,FALSE)</f>
        <v>ANDERS STEVEN</v>
      </c>
      <c r="M206" s="6">
        <f t="shared" si="100"/>
        <v>1.0300925925548654E-2</v>
      </c>
      <c r="N206" s="7">
        <f t="shared" si="85"/>
        <v>14.833333332790062</v>
      </c>
      <c r="O206" s="7"/>
      <c r="P206" s="7"/>
      <c r="Q206" s="22"/>
      <c r="R206" s="170"/>
      <c r="S206" s="213">
        <f t="shared" si="94"/>
        <v>1</v>
      </c>
      <c r="T206" s="195" t="str">
        <f t="shared" si="101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102"/>
        <v>https://d0f6bd738d7f1b3e5a7ca70fe4ff75f0.us-east-1.aws.found.io/app/kibana#/discover/Steve-Slow-Train-Analysis-(2080s-and-2083s)?_g=(refreshInterval:(display:Off,pause:!f,section:0,value:0),time:(from:'2017-08-18T20:37:24-0600',mode:absolute,to:'2017-08-18T22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197" t="str">
        <f>IF(AA206&lt;VLOOKUP(AG206,Variables!$AC$3:$AD$8,2,FALSE),"Y","N")</f>
        <v>N</v>
      </c>
      <c r="X206" s="197">
        <f t="shared" si="87"/>
        <v>1</v>
      </c>
      <c r="Y206" s="197">
        <f t="shared" si="92"/>
        <v>5.8635999999999999</v>
      </c>
      <c r="Z206" s="197">
        <f t="shared" si="93"/>
        <v>7.0099999999999996E-2</v>
      </c>
      <c r="AA206" s="197">
        <f t="shared" si="103"/>
        <v>5.7934999999999999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6">
        <f t="shared" si="104"/>
        <v>844</v>
      </c>
      <c r="AE206" s="77" t="str">
        <f t="shared" si="105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206" s="74" t="str">
        <f t="shared" si="106"/>
        <v>"C:\Program Files (x86)\AstroGrep\AstroGrep.exe" /e /r /s /spath="%USERPROFILE%\AppData\Local\Temp\OnboardLogs" /stypes="app*4007*20170819*" /stext=" 03:.+((SYSTEM_STATE.+slice.+state.+changed )|(ment ac)|(multiple cpu faults)|(system.+state.+changed )|(\[timeout)|(PRM\|1\|D)|(kpr)|(kdp)|(train st.+moving)|(\|lc)|(penalty))"</v>
      </c>
      <c r="AG206" s="209" t="str">
        <f t="shared" si="107"/>
        <v>NW</v>
      </c>
      <c r="AH206" s="78" t="str">
        <f t="shared" si="75"/>
        <v>"%USERPROFILE%\Documents\GitHub\eaglep3\Utilities\RefineRTDCRunTimes.py" --tripid 844-18 --locoid 4007 --swversion DE.1.0.9.0 --startMP 300:58636 --initTime 2017-08-18T21:37:24 --startdatetime 2017-08-18T21:40:21 --delay 1 --endMP 204:701 --enddatetime 2017-08-18T21:55:11 --enforcementcount 0 &gt;&gt;C:\Users\stu\Documents\GitHub\eaglep3-reporting\EC\2017-08-18-refined-times.txt</v>
      </c>
      <c r="AI206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{"issue":{"subject":"","project_id":79,"tracker_id":40,"status_id":1,"priority_id":2,"assigned_to_id":23,"start_date":"2017-08-18","description":"","custom_fields":[{"id":1,"name":"Subdivision","value":"NW"},{"id":4,"name":"Milepost","value":"0.0701"},{"id":17,"name":"Train ID","value":"844-18"},{"id":16,"name":"Locomotive ID","value":"4007"},{"id":130,"name":"Impact","value":""},{"id":150,"name":"Time of Event (Mountain Time)","value":"21:55:11"},{"id":151,"name":"Denver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7"/>
        <v>start /low /b %USERPROFILE%\Documents\GitHub\eaglep3\Utilities\DownloadLogsFromS3.py --loco 4007 --day 2017-08-18</v>
      </c>
      <c r="AN206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857</v>
      </c>
      <c r="B207" s="7">
        <v>4008</v>
      </c>
      <c r="C207" s="21" t="s">
        <v>198</v>
      </c>
      <c r="D207" s="21" t="s">
        <v>1021</v>
      </c>
      <c r="E207" s="13">
        <v>42965.880219907405</v>
      </c>
      <c r="F207" s="13">
        <v>42965.889756944445</v>
      </c>
      <c r="G207" s="7">
        <v>3</v>
      </c>
      <c r="H207" s="21" t="s">
        <v>1022</v>
      </c>
      <c r="I207" s="13">
        <v>42965.89947916667</v>
      </c>
      <c r="J207" s="7">
        <v>0</v>
      </c>
      <c r="K207" s="89" t="str">
        <f t="shared" si="99"/>
        <v>4007/4008</v>
      </c>
      <c r="L207" s="21" t="str">
        <f>VLOOKUP(A207,'Trips&amp;Operators'!$C$1:$G$99999,5,FALSE)</f>
        <v>ANDERS STEVEN</v>
      </c>
      <c r="M207" s="6">
        <f t="shared" si="100"/>
        <v>9.7222222248092294E-3</v>
      </c>
      <c r="N207" s="7">
        <f t="shared" si="85"/>
        <v>14.00000000372529</v>
      </c>
      <c r="O207" s="7"/>
      <c r="P207" s="7"/>
      <c r="Q207" s="22"/>
      <c r="R207" s="170"/>
      <c r="S207" s="213">
        <f t="shared" si="94"/>
        <v>1</v>
      </c>
      <c r="T207" s="195" t="str">
        <f t="shared" si="101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102"/>
        <v>https://d0f6bd738d7f1b3e5a7ca70fe4ff75f0.us-east-1.aws.found.io/app/kibana#/discover/Steve-Slow-Train-Analysis-(2080s-and-2083s)?_g=(refreshInterval:(display:Off,pause:!f,section:0,value:0),time:(from:'2017-08-18T20:07:31-0600',mode:absolute,to:'2017-08-18T22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7" s="197" t="str">
        <f>IF(AA207&lt;VLOOKUP(AG207,Variables!$AC$3:$AD$8,2,FALSE),"Y","N")</f>
        <v>N</v>
      </c>
      <c r="X207" s="197">
        <f t="shared" si="87"/>
        <v>1</v>
      </c>
      <c r="Y207" s="197">
        <f t="shared" si="92"/>
        <v>9.64E-2</v>
      </c>
      <c r="Z207" s="197">
        <f t="shared" si="93"/>
        <v>5.8945999999999996</v>
      </c>
      <c r="AA207" s="197">
        <f t="shared" si="103"/>
        <v>5.7981999999999996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6">
        <f t="shared" si="104"/>
        <v>845</v>
      </c>
      <c r="AE207" s="77" t="str">
        <f t="shared" si="105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207" s="74" t="str">
        <f t="shared" si="106"/>
        <v>"C:\Program Files (x86)\AstroGrep\AstroGrep.exe" /e /r /s /spath="%USERPROFILE%\AppData\Local\Temp\OnboardLogs" /stypes="app*4008*20170819*" /stext=" 03:.+((SYSTEM_STATE.+slice.+state.+changed )|(ment ac)|(multiple cpu faults)|(system.+state.+changed )|(\[timeout)|(PRM\|1\|D)|(kpr)|(kdp)|(train st.+moving)|(\|lc)|(penalty))"</v>
      </c>
      <c r="AG207" s="209" t="str">
        <f t="shared" si="107"/>
        <v>NW</v>
      </c>
      <c r="AH207" s="78" t="str">
        <f t="shared" si="75"/>
        <v>"%USERPROFILE%\Documents\GitHub\eaglep3\Utilities\RefineRTDCRunTimes.py" --tripid 845-18 --locoid 4008 --swversion DE.1.0.9.0 --startMP 204:964 --initTime 2017-08-18T21:07:31 --startdatetime 2017-08-18T21:21:15 --delay 3 --endMP 300:58946 --enddatetime 2017-08-18T21:35:15 --enforcementcount 0 &gt;&gt;C:\Users\stu\Documents\GitHub\eaglep3-reporting\EC\2017-08-18-refined-times.txt</v>
      </c>
      <c r="AI207" s="96" t="str">
        <f t="shared" si="76"/>
        <v>echo {"issue":{"subject":"","project_id":79,"tracker_id":40,"status_id":1,"priority_id":2,"assigned_to_id":23,"start_date":"2017-08-18","description":"","custom_fields":[{"id":1,"name":"Subdivision","value":"NW"},{"id":4,"name":"Milepost","value":"5.8946"},{"id":17,"name":"Train ID","value":"845-18"},{"id":16,"name":"Locomotive ID","value":"4008"},{"id":130,"name":"Impact","value":""},{"id":150,"name":"Time of Event (Mountain Time)","value":"21:35:15"},{"id":151,"name":"Denver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7"/>
        <v>start /low /b %USERPROFILE%\Documents\GitHub\eaglep3\Utilities\DownloadLogsFromS3.py --loco 4008 --day 2017-08-18</v>
      </c>
      <c r="AN207" s="151" t="str">
        <f t="shared" si="7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03:35:15"},{"id":29,"name":"Sharepoint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s="20" customFormat="1" x14ac:dyDescent="0.25">
      <c r="A208" s="32" t="s">
        <v>862</v>
      </c>
      <c r="B208" s="7">
        <v>4008</v>
      </c>
      <c r="C208" s="21" t="s">
        <v>198</v>
      </c>
      <c r="D208" s="21" t="s">
        <v>629</v>
      </c>
      <c r="E208" s="13">
        <v>42965.915532407409</v>
      </c>
      <c r="F208" s="13">
        <v>42965.931493055556</v>
      </c>
      <c r="G208" s="7">
        <v>1</v>
      </c>
      <c r="H208" s="21" t="s">
        <v>1023</v>
      </c>
      <c r="I208" s="13">
        <v>42965.941990740743</v>
      </c>
      <c r="J208" s="7">
        <v>0</v>
      </c>
      <c r="K208" s="89" t="str">
        <f t="shared" si="99"/>
        <v>4007/4008</v>
      </c>
      <c r="L208" s="21" t="str">
        <f>VLOOKUP(A208,'Trips&amp;Operators'!$C$1:$G$99999,5,FALSE)</f>
        <v>ANDERS STEVEN</v>
      </c>
      <c r="M208" s="6">
        <f t="shared" si="100"/>
        <v>1.0497685187146999E-2</v>
      </c>
      <c r="N208" s="7">
        <f t="shared" si="85"/>
        <v>15.116666669491678</v>
      </c>
      <c r="O208" s="7"/>
      <c r="P208" s="7"/>
      <c r="Q208" s="22"/>
      <c r="R208" s="170"/>
      <c r="S208" s="213">
        <f t="shared" si="94"/>
        <v>1</v>
      </c>
      <c r="T208" s="195" t="str">
        <f t="shared" si="101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102"/>
        <v>https://d0f6bd738d7f1b3e5a7ca70fe4ff75f0.us-east-1.aws.found.io/app/kibana#/discover/Steve-Slow-Train-Analysis-(2080s-and-2083s)?_g=(refreshInterval:(display:Off,pause:!f,section:0,value:0),time:(from:'2017-08-18T20:58:22-0600',mode:absolute,to:'2017-08-18T23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8" s="197" t="str">
        <f>IF(AA208&lt;VLOOKUP(AG208,Variables!$AC$3:$AD$8,2,FALSE),"Y","N")</f>
        <v>N</v>
      </c>
      <c r="X208" s="197">
        <f t="shared" si="87"/>
        <v>2</v>
      </c>
      <c r="Y208" s="197">
        <f t="shared" si="92"/>
        <v>9.8500000000000004E-2</v>
      </c>
      <c r="Z208" s="197">
        <f t="shared" si="93"/>
        <v>5.8936999999999999</v>
      </c>
      <c r="AA208" s="197">
        <f t="shared" si="103"/>
        <v>5.7952000000000004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6">
        <f t="shared" si="104"/>
        <v>847</v>
      </c>
      <c r="AE208" s="77" t="str">
        <f t="shared" si="105"/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AF208" s="74" t="str">
        <f t="shared" si="106"/>
        <v>"C:\Program Files (x86)\AstroGrep\AstroGrep.exe" /e /r /s /spath="%USERPROFILE%\AppData\Local\Temp\OnboardLogs" /stypes="app*4008*20170819*" /stext=" 04:.+((SYSTEM_STATE.+slice.+state.+changed )|(ment ac)|(multiple cpu faults)|(system.+state.+changed )|(\[timeout)|(PRM\|1\|D)|(kpr)|(kdp)|(train st.+moving)|(\|lc)|(penalty))"</v>
      </c>
      <c r="AG208" s="209" t="str">
        <f t="shared" si="107"/>
        <v>NW</v>
      </c>
      <c r="AH208" s="78" t="str">
        <f t="shared" ref="AH208:AH237" si="108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847-18 --locoid 4008 --swversion DE.1.0.9.0 --startMP 204:985 --initTime 2017-08-18T21:58:22 --startdatetime 2017-08-18T22:21:21 --delay 1 --endMP 300:58937 --enddatetime 2017-08-18T22:36:28 --enforcementcount 0 &gt;&gt;C:\Users\stu\Documents\GitHub\eaglep3-reporting\EC\2017-08-18-refined-times.txt</v>
      </c>
      <c r="AI208" s="96" t="str">
        <f t="shared" ref="AI208:AI237" si="109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{"issue":{"subject":"","project_id":79,"tracker_id":40,"status_id":1,"priority_id":2,"assigned_to_id":23,"start_date":"2017-08-18","description":"","custom_fields":[{"id":1,"name":"Subdivision","value":"NW"},{"id":4,"name":"Milepost","value":"5.8937"},{"id":17,"name":"Train ID","value":"847-18"},{"id":16,"name":"Locomotive ID","value":"4008"},{"id":130,"name":"Impact","value":""},{"id":150,"name":"Time of Event (Mountain Time)","value":"22:36:28"},{"id":151,"name":"Denver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ref="AM208:AM237" si="110">"start /low /b "&amp;dls3logs&amp;" --loco "&amp;B208&amp;" --day "&amp;TEXT(F208,"YYYY-MM-DD")</f>
        <v>start /low /b %USERPROFILE%\Documents\GitHub\eaglep3\Utilities\DownloadLogsFromS3.py --loco 4008 --day 2017-08-18</v>
      </c>
      <c r="AN208" s="151" t="str">
        <f t="shared" ref="AN208:AN237" si="111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04:36:28"},{"id":29,"name":"Sharepoint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2" t="s">
        <v>593</v>
      </c>
      <c r="B209" s="7">
        <v>4001</v>
      </c>
      <c r="C209" s="21" t="s">
        <v>198</v>
      </c>
      <c r="D209" s="21" t="s">
        <v>620</v>
      </c>
      <c r="E209" s="13">
        <v>42965.111562500002</v>
      </c>
      <c r="F209" s="13">
        <v>42965.116006944445</v>
      </c>
      <c r="G209" s="7">
        <v>1</v>
      </c>
      <c r="H209" s="21" t="s">
        <v>341</v>
      </c>
      <c r="I209" s="13">
        <v>42965.116180555553</v>
      </c>
      <c r="J209" s="7">
        <v>0</v>
      </c>
      <c r="K209" s="89" t="str">
        <f t="shared" si="99"/>
        <v>4001/4002</v>
      </c>
      <c r="L209" s="21" t="str">
        <f>VLOOKUP(A209,'Trips&amp;Operators'!$C$1:$G$99999,5,FALSE)</f>
        <v>STARKS ANGELINA</v>
      </c>
      <c r="M209" s="6">
        <f t="shared" si="100"/>
        <v>1.7361110803904012E-4</v>
      </c>
      <c r="N209" s="7">
        <f t="shared" si="85"/>
        <v>0.24999999557621777</v>
      </c>
      <c r="O209" s="7"/>
      <c r="P209" s="7"/>
      <c r="Q209" s="22"/>
      <c r="R209" s="170"/>
      <c r="S209" s="213">
        <f t="shared" si="94"/>
        <v>1</v>
      </c>
      <c r="T209" s="195" t="str">
        <f t="shared" si="101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102"/>
        <v>https://d0f6bd738d7f1b3e5a7ca70fe4ff75f0.us-east-1.aws.found.io/app/kibana#/discover/Steve-Slow-Train-Analysis-(2080s-and-2083s)?_g=(refreshInterval:(display:Off,pause:!f,section:0,value:0),time:(from:'2017-08-18T01:40:39-0600',mode:absolute,to:'2017-08-18T03:47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9" s="197" t="str">
        <f>IF(AA209&lt;VLOOKUP(AG209,Variables!$AC$3:$AD$8,2,FALSE),"Y","N")</f>
        <v>Y</v>
      </c>
      <c r="X209" s="197">
        <f t="shared" si="87"/>
        <v>-547</v>
      </c>
      <c r="Y209" s="197">
        <f t="shared" si="92"/>
        <v>2.5131000000000001</v>
      </c>
      <c r="Z209" s="197">
        <f t="shared" si="93"/>
        <v>1.4999999999999999E-2</v>
      </c>
      <c r="AA209" s="197">
        <f t="shared" si="103"/>
        <v>2.4981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6">
        <f t="shared" si="104"/>
        <v>300</v>
      </c>
      <c r="AE209" s="77" t="str">
        <f t="shared" si="105"/>
        <v>aws s3 cp s3://rtdc.mdm.uploadarchive.raw/RTDC4001/ "%USERPROFILE%\AppData\Local\Temp\OnboardLogs"\RTDC4001\2017-08-18 --exclude "*" --recursive --include "*20170818*" &amp; "%USERPROFILE%\Documents\GitHub\mrs-test-scripts\Headless Mode &amp; Sideloading\WalkAndUnGZ.bat" "%USERPROFILE%\AppData\Local\Temp\OnboardLogs"\RTDC4001\2017-08-18 &amp; aws s3 cp s3://rtdc.mdm.uploadarchive.raw/RTDC4001/ "%USERPROFILE%\AppData\Local\Temp\OnboardLogs"\RTDC4001\2017-08-19 --exclude "*" --recursive --include "*20170819*" &amp; "%USERPROFILE%\Documents\GitHub\mrs-test-scripts\Headless Mode &amp; Sideloading\WalkAndUnGZ.bat" "%USERPROFILE%\AppData\Local\Temp\OnboardLogs"\RTDC4001\2017-08-19</v>
      </c>
      <c r="AF209" s="74" t="str">
        <f t="shared" si="106"/>
        <v>"C:\Program Files (x86)\AstroGrep\AstroGrep.exe" /e /r /s /spath="%USERPROFILE%\AppData\Local\Temp\OnboardLogs" /stypes="app*4001*20170818*" /stext=" 08:.+((SYSTEM_STATE.+slice.+state.+changed )|(ment ac)|(multiple cpu faults)|(system.+state.+changed )|(\[timeout)|(PRM\|1\|D)|(kpr)|(kdp)|(train st.+moving)|(\|lc)|(penalty))"</v>
      </c>
      <c r="AG209" s="209" t="str">
        <f t="shared" si="107"/>
        <v>Other</v>
      </c>
      <c r="AH209" s="78" t="str">
        <f t="shared" si="108"/>
        <v>"%USERPROFILE%\Documents\GitHub\eaglep3\Utilities\RefineRTDCRunTimes.py" --tripid 300-18 --locoid 4001 --swversion DE.1.0.9.0 --startMP 300:25131 --initTime 2017-08-18T02:40:39 --startdatetime 2017-08-18T02:47:03 --delay 1 --endMP 204:150 --enddatetime 2017-08-18T02:47:18 --enforcementcount 0 &gt;&gt;C:\Users\stu\Documents\GitHub\eaglep3-reporting\EC\2017-08-18-refined-times.txt</v>
      </c>
      <c r="AI209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{"issue":{"subject":"","project_id":79,"tracker_id":40,"status_id":1,"priority_id":2,"assigned_to_id":23,"start_date":"2017-08-18","description":"","custom_fields":[{"id":1,"name":"Subdivision","value":"Other"},{"id":4,"name":"Milepost","value":"0.015"},{"id":17,"name":"Train ID","value":"300-18"},{"id":16,"name":"Locomotive ID","value":"4001"},{"id":130,"name":"Impact","value":""},{"id":150,"name":"Time of Event (Mountain Time)","value":"02:47:18"},{"id":151,"name":"Denver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10"/>
        <v>start /low /b %USERPROFILE%\Documents\GitHub\eaglep3\Utilities\DownloadLogsFromS3.py --loco 4001 --day 2017-08-18</v>
      </c>
      <c r="AN209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08:47:18"},{"id":29,"name":"Sharepoint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839</v>
      </c>
      <c r="B210" s="7">
        <v>4064</v>
      </c>
      <c r="C210" s="21" t="s">
        <v>198</v>
      </c>
      <c r="D210" s="21" t="s">
        <v>340</v>
      </c>
      <c r="E210" s="13">
        <v>42965.776956018519</v>
      </c>
      <c r="F210" s="13">
        <v>42965.77853009259</v>
      </c>
      <c r="G210" s="7">
        <v>1</v>
      </c>
      <c r="H210" s="21" t="s">
        <v>566</v>
      </c>
      <c r="I210" s="13">
        <v>42965.785231481481</v>
      </c>
      <c r="J210" s="7">
        <v>0</v>
      </c>
      <c r="K210" s="89" t="str">
        <f t="shared" si="99"/>
        <v>4063/4064</v>
      </c>
      <c r="L210" s="21" t="str">
        <f>VLOOKUP(A210,'Trips&amp;Operators'!$C$1:$G$99999,5,FALSE)</f>
        <v>WEST BRYAN</v>
      </c>
      <c r="M210" s="6">
        <f t="shared" si="100"/>
        <v>6.701388891087845E-3</v>
      </c>
      <c r="N210" s="7">
        <f t="shared" si="85"/>
        <v>9.6500000031664968</v>
      </c>
      <c r="O210" s="7"/>
      <c r="P210" s="7"/>
      <c r="Q210" s="22"/>
      <c r="R210" s="170"/>
      <c r="S210" s="213">
        <f t="shared" si="94"/>
        <v>1</v>
      </c>
      <c r="T210" s="195" t="str">
        <f t="shared" si="101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102"/>
        <v>https://d0f6bd738d7f1b3e5a7ca70fe4ff75f0.us-east-1.aws.found.io/app/kibana#/discover/Steve-Slow-Train-Analysis-(2080s-and-2083s)?_g=(refreshInterval:(display:Off,pause:!f,section:0,value:0),time:(from:'2017-08-18T17:38:49-0600',mode:absolute,to:'2017-08-18T19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0" s="197" t="str">
        <f>IF(AA210&lt;VLOOKUP(AG210,Variables!$AC$3:$AD$8,2,FALSE),"Y","N")</f>
        <v>Y</v>
      </c>
      <c r="X210" s="197">
        <f t="shared" si="87"/>
        <v>1</v>
      </c>
      <c r="Y210" s="197">
        <f t="shared" si="92"/>
        <v>4.4600000000000001E-2</v>
      </c>
      <c r="Z210" s="197">
        <f t="shared" si="93"/>
        <v>2.3308</v>
      </c>
      <c r="AA210" s="197">
        <f t="shared" si="103"/>
        <v>2.2862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6">
        <f t="shared" si="104"/>
        <v>301</v>
      </c>
      <c r="AE210" s="77" t="str">
        <f t="shared" si="105"/>
        <v>aws s3 cp s3://rtdc.mdm.uploadarchive.raw/RTDC4064/ "%USERPROFILE%\AppData\Local\Temp\OnboardLogs"\RTDC4064\2017-08-18 --exclude "*" --recursive --include "*20170818*" &amp; "%USERPROFILE%\Documents\GitHub\mrs-test-scripts\Headless Mode &amp; Sideloading\WalkAndUnGZ.bat" "%USERPROFILE%\AppData\Local\Temp\OnboardLogs"\RTDC4064\2017-08-18 &amp; aws s3 cp s3://rtdc.mdm.uploadarchive.raw/RTDC4064/ "%USERPROFILE%\AppData\Local\Temp\OnboardLogs"\RTDC4064\2017-08-19 --exclude "*" --recursive --include "*20170819*" &amp; "%USERPROFILE%\Documents\GitHub\mrs-test-scripts\Headless Mode &amp; Sideloading\WalkAndUnGZ.bat" "%USERPROFILE%\AppData\Local\Temp\OnboardLogs"\RTDC4064\2017-08-19</v>
      </c>
      <c r="AF210" s="74" t="str">
        <f t="shared" si="106"/>
        <v>"C:\Program Files (x86)\AstroGrep\AstroGrep.exe" /e /r /s /spath="%USERPROFILE%\AppData\Local\Temp\OnboardLogs" /stypes="app*4064*20170819*" /stext=" 00:.+((SYSTEM_STATE.+slice.+state.+changed )|(ment ac)|(multiple cpu faults)|(system.+state.+changed )|(\[timeout)|(PRM\|1\|D)|(kpr)|(kdp)|(train st.+moving)|(\|lc)|(penalty))"</v>
      </c>
      <c r="AG210" s="209" t="str">
        <f t="shared" si="107"/>
        <v>Other</v>
      </c>
      <c r="AH210" s="78" t="str">
        <f t="shared" si="108"/>
        <v>"%USERPROFILE%\Documents\GitHub\eaglep3\Utilities\RefineRTDCRunTimes.py" --tripid 301-18 --locoid 4064 --swversion DE.1.0.9.0 --startMP 204:446 --initTime 2017-08-18T18:38:49 --startdatetime 2017-08-18T18:41:05 --delay 1 --endMP 300:23308 --enddatetime 2017-08-18T18:50:44 --enforcementcount 0 &gt;&gt;C:\Users\stu\Documents\GitHub\eaglep3-reporting\EC\2017-08-18-refined-times.txt</v>
      </c>
      <c r="AI210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{"issue":{"subject":"","project_id":79,"tracker_id":40,"status_id":1,"priority_id":2,"assigned_to_id":23,"start_date":"2017-08-18","description":"","custom_fields":[{"id":1,"name":"Subdivision","value":"Other"},{"id":4,"name":"Milepost","value":"2.3308"},{"id":17,"name":"Train ID","value":"301-18"},{"id":16,"name":"Locomotive ID","value":"4064"},{"id":130,"name":"Impact","value":""},{"id":150,"name":"Time of Event (Mountain Time)","value":"18:50:44"},{"id":151,"name":"Denver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10"/>
        <v>start /low /b %USERPROFILE%\Documents\GitHub\eaglep3\Utilities\DownloadLogsFromS3.py --loco 4064 --day 2017-08-18</v>
      </c>
      <c r="AN210" s="151" t="str">
        <f t="shared" si="11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686</v>
      </c>
      <c r="B211" s="7">
        <v>4011</v>
      </c>
      <c r="C211" s="21" t="s">
        <v>198</v>
      </c>
      <c r="D211" s="21" t="s">
        <v>639</v>
      </c>
      <c r="E211" s="13">
        <v>42965.137453703705</v>
      </c>
      <c r="F211" s="13">
        <v>42965.142557870371</v>
      </c>
      <c r="G211" s="7">
        <v>7</v>
      </c>
      <c r="H211" s="21" t="s">
        <v>437</v>
      </c>
      <c r="I211" s="13">
        <v>42965.148043981484</v>
      </c>
      <c r="J211" s="7">
        <v>0</v>
      </c>
      <c r="K211" s="89" t="str">
        <f t="shared" si="99"/>
        <v>4011/4012</v>
      </c>
      <c r="L211" s="21" t="str">
        <f>VLOOKUP(A211,'Trips&amp;Operators'!$C$1:$G$99999,5,FALSE)</f>
        <v>WILLIAMS DONTE</v>
      </c>
      <c r="M211" s="6">
        <f t="shared" si="100"/>
        <v>5.4861111129866913E-3</v>
      </c>
      <c r="N211" s="7">
        <f t="shared" si="85"/>
        <v>7.9000000027008355</v>
      </c>
      <c r="O211" s="7"/>
      <c r="P211" s="7"/>
      <c r="Q211" s="22"/>
      <c r="R211" s="170"/>
      <c r="S211" s="213">
        <f t="shared" si="94"/>
        <v>1</v>
      </c>
      <c r="T211" s="195" t="str">
        <f t="shared" si="101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102"/>
        <v>https://d0f6bd738d7f1b3e5a7ca70fe4ff75f0.us-east-1.aws.found.io/app/kibana#/discover/Steve-Slow-Train-Analysis-(2080s-and-2083s)?_g=(refreshInterval:(display:Off,pause:!f,section:0,value:0),time:(from:'2017-08-18T02:17:56-0600',mode:absolute,to:'2017-08-18T04:33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1" s="197" t="str">
        <f>IF(AA211&lt;VLOOKUP(AG211,Variables!$AC$3:$AD$8,2,FALSE),"Y","N")</f>
        <v>Y</v>
      </c>
      <c r="X211" s="197">
        <f t="shared" si="87"/>
        <v>1</v>
      </c>
      <c r="Y211" s="197">
        <f t="shared" si="92"/>
        <v>2.3569</v>
      </c>
      <c r="Z211" s="197">
        <f t="shared" si="93"/>
        <v>1.52E-2</v>
      </c>
      <c r="AA211" s="197">
        <f t="shared" si="103"/>
        <v>2.3416999999999999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6">
        <f t="shared" si="104"/>
        <v>302</v>
      </c>
      <c r="AE211" s="77" t="str">
        <f t="shared" si="105"/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AF211" s="74" t="str">
        <f t="shared" si="106"/>
        <v>"C:\Program Files (x86)\AstroGrep\AstroGrep.exe" /e /r /s /spath="%USERPROFILE%\AppData\Local\Temp\OnboardLogs" /stypes="app*4011*20170818*" /stext=" 09:.+((SYSTEM_STATE.+slice.+state.+changed )|(ment ac)|(multiple cpu faults)|(system.+state.+changed )|(\[timeout)|(PRM\|1\|D)|(kpr)|(kdp)|(train st.+moving)|(\|lc)|(penalty))"</v>
      </c>
      <c r="AG211" s="209" t="str">
        <f t="shared" si="107"/>
        <v>Other</v>
      </c>
      <c r="AH211" s="78" t="str">
        <f t="shared" si="108"/>
        <v>"%USERPROFILE%\Documents\GitHub\eaglep3\Utilities\RefineRTDCRunTimes.py" --tripid 302-18 --locoid 4011 --swversion DE.1.0.9.0 --startMP 300:23569 --initTime 2017-08-18T03:17:56 --startdatetime 2017-08-18T03:25:17 --delay 7 --endMP 204:152 --enddatetime 2017-08-18T03:33:11 --enforcementcount 0 &gt;&gt;C:\Users\stu\Documents\GitHub\eaglep3-reporting\EC\2017-08-18-refined-times.txt</v>
      </c>
      <c r="AI211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{"issue":{"subject":"","project_id":79,"tracker_id":40,"status_id":1,"priority_id":2,"assigned_to_id":23,"start_date":"2017-08-18","description":"","custom_fields":[{"id":1,"name":"Subdivision","value":"Other"},{"id":4,"name":"Milepost","value":"0.0152"},{"id":17,"name":"Train ID","value":"302-18"},{"id":16,"name":"Locomotive ID","value":"4011"},{"id":130,"name":"Impact","value":""},{"id":150,"name":"Time of Event (Mountain Time)","value":"03:33:11"},{"id":151,"name":"Denver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10"/>
        <v>start /low /b %USERPROFILE%\Documents\GitHub\eaglep3\Utilities\DownloadLogsFromS3.py --loco 4011 --day 2017-08-18</v>
      </c>
      <c r="AN211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09:33:11"},{"id":29,"name":"Sharepoint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844</v>
      </c>
      <c r="B212" s="7">
        <v>4050</v>
      </c>
      <c r="C212" s="21" t="s">
        <v>198</v>
      </c>
      <c r="D212" s="21" t="s">
        <v>470</v>
      </c>
      <c r="E212" s="13">
        <v>42965.796851851854</v>
      </c>
      <c r="F212" s="13">
        <v>42965.802418981482</v>
      </c>
      <c r="G212" s="7">
        <v>1</v>
      </c>
      <c r="H212" s="21" t="s">
        <v>621</v>
      </c>
      <c r="I212" s="13">
        <v>42965.811261574076</v>
      </c>
      <c r="J212" s="7">
        <v>0</v>
      </c>
      <c r="K212" s="89" t="str">
        <f t="shared" si="99"/>
        <v>4049/4050</v>
      </c>
      <c r="L212" s="21" t="str">
        <f>VLOOKUP(A212,'Trips&amp;Operators'!$C$1:$G$99999,5,FALSE)</f>
        <v>LEVIN SCOTT</v>
      </c>
      <c r="M212" s="6">
        <f t="shared" si="100"/>
        <v>8.8425925932824612E-3</v>
      </c>
      <c r="N212" s="7">
        <f t="shared" ref="N212:N235" si="112">24*60*SUM($M212:$M212)</f>
        <v>12.733333334326744</v>
      </c>
      <c r="O212" s="7"/>
      <c r="P212" s="7"/>
      <c r="Q212" s="22"/>
      <c r="R212" s="170"/>
      <c r="S212" s="213">
        <f t="shared" si="94"/>
        <v>1</v>
      </c>
      <c r="T212" s="195" t="str">
        <f t="shared" si="101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102"/>
        <v>https://d0f6bd738d7f1b3e5a7ca70fe4ff75f0.us-east-1.aws.found.io/app/kibana#/discover/Steve-Slow-Train-Analysis-(2080s-and-2083s)?_g=(refreshInterval:(display:Off,pause:!f,section:0,value:0),time:(from:'2017-08-18T18:07:28-0600',mode:absolute,to:'2017-08-18T20:28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2" s="197" t="str">
        <f>IF(AA212&lt;VLOOKUP(AG212,Variables!$AC$3:$AD$8,2,FALSE),"Y","N")</f>
        <v>Y</v>
      </c>
      <c r="X212" s="197">
        <f t="shared" si="87"/>
        <v>1</v>
      </c>
      <c r="Y212" s="197">
        <f t="shared" si="92"/>
        <v>4.7100000000000003E-2</v>
      </c>
      <c r="Z212" s="197">
        <f t="shared" si="93"/>
        <v>2.3302</v>
      </c>
      <c r="AA212" s="197">
        <f t="shared" si="103"/>
        <v>2.2831000000000001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6">
        <f t="shared" si="104"/>
        <v>303</v>
      </c>
      <c r="AE212" s="77" t="str">
        <f t="shared" si="105"/>
        <v>aws s3 cp s3://rtdc.mdm.uploadarchive.raw/RTDC4050/ "%USERPROFILE%\AppData\Local\Temp\OnboardLogs"\RTDC4050\2017-08-18 --exclude "*" --recursive --include "*20170818*" &amp; "%USERPROFILE%\Documents\GitHub\mrs-test-scripts\Headless Mode &amp; Sideloading\WalkAndUnGZ.bat" "%USERPROFILE%\AppData\Local\Temp\OnboardLogs"\RTDC4050\2017-08-18 &amp; aws s3 cp s3://rtdc.mdm.uploadarchive.raw/RTDC4050/ "%USERPROFILE%\AppData\Local\Temp\OnboardLogs"\RTDC4050\2017-08-19 --exclude "*" --recursive --include "*20170819*" &amp; "%USERPROFILE%\Documents\GitHub\mrs-test-scripts\Headless Mode &amp; Sideloading\WalkAndUnGZ.bat" "%USERPROFILE%\AppData\Local\Temp\OnboardLogs"\RTDC4050\2017-08-19</v>
      </c>
      <c r="AF212" s="74" t="str">
        <f t="shared" si="106"/>
        <v>"C:\Program Files (x86)\AstroGrep\AstroGrep.exe" /e /r /s /spath="%USERPROFILE%\AppData\Local\Temp\OnboardLogs" /stypes="app*4050*20170819*" /stext=" 01:.+((SYSTEM_STATE.+slice.+state.+changed )|(ment ac)|(multiple cpu faults)|(system.+state.+changed )|(\[timeout)|(PRM\|1\|D)|(kpr)|(kdp)|(train st.+moving)|(\|lc)|(penalty))"</v>
      </c>
      <c r="AG212" s="209" t="str">
        <f t="shared" si="107"/>
        <v>Other</v>
      </c>
      <c r="AH212" s="78" t="str">
        <f t="shared" si="108"/>
        <v>"%USERPROFILE%\Documents\GitHub\eaglep3\Utilities\RefineRTDCRunTimes.py" --tripid 303-18 --locoid 4050 --swversion DE.1.0.9.0 --startMP 204:471 --initTime 2017-08-18T19:07:28 --startdatetime 2017-08-18T19:15:29 --delay 1 --endMP 300:23302 --enddatetime 2017-08-18T19:28:13 --enforcementcount 0 &gt;&gt;C:\Users\stu\Documents\GitHub\eaglep3-reporting\EC\2017-08-18-refined-times.txt</v>
      </c>
      <c r="AI212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{"issue":{"subject":"","project_id":79,"tracker_id":40,"status_id":1,"priority_id":2,"assigned_to_id":23,"start_date":"2017-08-18","description":"","custom_fields":[{"id":1,"name":"Subdivision","value":"Other"},{"id":4,"name":"Milepost","value":"2.3302"},{"id":17,"name":"Train ID","value":"303-18"},{"id":16,"name":"Locomotive ID","value":"4050"},{"id":130,"name":"Impact","value":""},{"id":150,"name":"Time of Event (Mountain Time)","value":"19:28:13"},{"id":151,"name":"Denver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10"/>
        <v>start /low /b %USERPROFILE%\Documents\GitHub\eaglep3\Utilities\DownloadLogsFromS3.py --loco 4050 --day 2017-08-18</v>
      </c>
      <c r="AN212" s="151" t="str">
        <f t="shared" si="11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01:28:13"},{"id":29,"name":"Sharepoint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641</v>
      </c>
      <c r="B213" s="7">
        <v>4029</v>
      </c>
      <c r="C213" s="21" t="s">
        <v>198</v>
      </c>
      <c r="D213" s="21" t="s">
        <v>954</v>
      </c>
      <c r="E213" s="13">
        <v>42965.1562037037</v>
      </c>
      <c r="F213" s="13">
        <v>42965.16028935185</v>
      </c>
      <c r="G213" s="7">
        <v>5</v>
      </c>
      <c r="H213" s="21" t="s">
        <v>955</v>
      </c>
      <c r="I213" s="13">
        <v>42965.160474537035</v>
      </c>
      <c r="J213" s="7">
        <v>0</v>
      </c>
      <c r="K213" s="89" t="str">
        <f t="shared" si="99"/>
        <v>4029/4030</v>
      </c>
      <c r="L213" s="21" t="str">
        <f>VLOOKUP(A213,'Trips&amp;Operators'!$C$1:$G$99999,5,FALSE)</f>
        <v>GUNTHIER ERIC</v>
      </c>
      <c r="M213" s="6">
        <f t="shared" si="100"/>
        <v>1.8518518481869251E-4</v>
      </c>
      <c r="N213" s="7">
        <f t="shared" si="112"/>
        <v>0.26666666613891721</v>
      </c>
      <c r="O213" s="7"/>
      <c r="P213" s="7"/>
      <c r="Q213" s="22"/>
      <c r="R213" s="170" t="s">
        <v>1062</v>
      </c>
      <c r="S213" s="213">
        <f t="shared" si="94"/>
        <v>0</v>
      </c>
      <c r="T213" s="195" t="str">
        <f t="shared" si="101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102"/>
        <v>https://d0f6bd738d7f1b3e5a7ca70fe4ff75f0.us-east-1.aws.found.io/app/kibana#/discover/Steve-Slow-Train-Analysis-(2080s-and-2083s)?_g=(refreshInterval:(display:Off,pause:!f,section:0,value:0),time:(from:'2017-08-18T02:44:56-0600',mode:absolute,to:'2017-08-18T04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3" s="197" t="str">
        <f>IF(AA213&lt;VLOOKUP(AG213,Variables!$AC$3:$AD$8,2,FALSE),"Y","N")</f>
        <v>Y</v>
      </c>
      <c r="X213" s="197">
        <f t="shared" si="87"/>
        <v>1</v>
      </c>
      <c r="Y213" s="197">
        <f t="shared" si="92"/>
        <v>2.3239000000000001</v>
      </c>
      <c r="Z213" s="197">
        <f t="shared" si="93"/>
        <v>2.2393999999999998</v>
      </c>
      <c r="AA213" s="197">
        <f t="shared" si="103"/>
        <v>8.4500000000000242E-2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6">
        <f t="shared" si="104"/>
        <v>304</v>
      </c>
      <c r="AE213" s="77" t="str">
        <f t="shared" si="105"/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AF213" s="74" t="str">
        <f t="shared" si="106"/>
        <v>"C:\Program Files (x86)\AstroGrep\AstroGrep.exe" /e /r /s /spath="%USERPROFILE%\AppData\Local\Temp\OnboardLogs" /stypes="app*4029*20170818*" /stext=" 09:.+((SYSTEM_STATE.+slice.+state.+changed )|(ment ac)|(multiple cpu faults)|(system.+state.+changed )|(\[timeout)|(PRM\|1\|D)|(kpr)|(kdp)|(train st.+moving)|(\|lc)|(penalty))"</v>
      </c>
      <c r="AG213" s="209" t="str">
        <f t="shared" si="107"/>
        <v>Other</v>
      </c>
      <c r="AH213" s="78" t="str">
        <f t="shared" si="108"/>
        <v>"%USERPROFILE%\Documents\GitHub\eaglep3\Utilities\RefineRTDCRunTimes.py" --tripid 304-18 --locoid 4029 --swversion DE.1.0.9.0 --startMP 300:23239 --initTime 2017-08-18T03:44:56 --startdatetime 2017-08-18T03:50:49 --delay 5 --endMP 300:22394 --enddatetime 2017-08-18T03:51:05 --enforcementcount 0 &gt;&gt;C:\Users\stu\Documents\GitHub\eaglep3-reporting\EC\2017-08-18-refined-times.txt</v>
      </c>
      <c r="AI213" s="96" t="str">
        <f t="shared" si="109"/>
        <v>echo {"issue":{"subject":"Went active too close to signal","project_id":79,"tracker_id":40,"status_id":1,"priority_id":2,"assigned_to_id":23,"start_date":"2017-08-18","description":"","custom_fields":[{"id":1,"name":"Subdivision","value":"Other"},{"id":4,"name":"Milepost","value":"2.2394"},{"id":17,"name":"Train ID","value":"304-18"},{"id":16,"name":"Locomotive ID","value":"4029"},{"id":130,"name":"Impact","value":""},{"id":150,"name":"Time of Event (Mountain Time)","value":"03:51:05"},{"id":151,"name":"Denver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10"/>
        <v>start /low /b %USERPROFILE%\Documents\GitHub\eaglep3\Utilities\DownloadLogsFromS3.py --loco 4029 --day 2017-08-18</v>
      </c>
      <c r="AN213" s="151" t="str">
        <f t="shared" si="111"/>
        <v>echo {"issue":{"subject":"Went active too close to signal","project_id":30,"tracker_id":4,"status_id":1,"priority_id":1,"assigned_to_id":10,"start_date":"2017-08-18","description":"","custom_fields":[{"id":30,"name":"Category","value":"Issue"},{"id":3,"name":"Functional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09:51:05"},{"id":29,"name":"Sharepoint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849</v>
      </c>
      <c r="B214" s="7">
        <v>4018</v>
      </c>
      <c r="C214" s="21" t="s">
        <v>198</v>
      </c>
      <c r="D214" s="21" t="s">
        <v>345</v>
      </c>
      <c r="E214" s="13">
        <v>42965.817835648151</v>
      </c>
      <c r="F214" s="13">
        <v>42965.819548611114</v>
      </c>
      <c r="G214" s="7">
        <v>2</v>
      </c>
      <c r="H214" s="21" t="s">
        <v>626</v>
      </c>
      <c r="I214" s="13">
        <v>42965.827905092592</v>
      </c>
      <c r="J214" s="7">
        <v>0</v>
      </c>
      <c r="K214" s="89" t="str">
        <f t="shared" si="99"/>
        <v>4017/4018</v>
      </c>
      <c r="L214" s="21" t="str">
        <f>VLOOKUP(A214,'Trips&amp;Operators'!$C$1:$G$99999,5,FALSE)</f>
        <v>NICHOLSON WESLEY</v>
      </c>
      <c r="M214" s="6">
        <f t="shared" si="100"/>
        <v>8.3564814776764251E-3</v>
      </c>
      <c r="N214" s="7">
        <f t="shared" si="112"/>
        <v>12.033333327854052</v>
      </c>
      <c r="O214" s="7"/>
      <c r="P214" s="7"/>
      <c r="Q214" s="22"/>
      <c r="R214" s="170"/>
      <c r="S214" s="213">
        <f t="shared" si="94"/>
        <v>1</v>
      </c>
      <c r="T214" s="195" t="str">
        <f t="shared" si="101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102"/>
        <v>https://d0f6bd738d7f1b3e5a7ca70fe4ff75f0.us-east-1.aws.found.io/app/kibana#/discover/Steve-Slow-Train-Analysis-(2080s-and-2083s)?_g=(refreshInterval:(display:Off,pause:!f,section:0,value:0),time:(from:'2017-08-18T18:37:41-0600',mode:absolute,to:'2017-08-18T20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4" s="197" t="str">
        <f>IF(AA214&lt;VLOOKUP(AG214,Variables!$AC$3:$AD$8,2,FALSE),"Y","N")</f>
        <v>Y</v>
      </c>
      <c r="X214" s="197">
        <f t="shared" si="87"/>
        <v>1</v>
      </c>
      <c r="Y214" s="197">
        <f t="shared" si="92"/>
        <v>4.53E-2</v>
      </c>
      <c r="Z214" s="197">
        <f t="shared" si="93"/>
        <v>2.3296999999999999</v>
      </c>
      <c r="AA214" s="197">
        <f t="shared" si="103"/>
        <v>2.2843999999999998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6">
        <f t="shared" si="104"/>
        <v>305</v>
      </c>
      <c r="AE214" s="77" t="str">
        <f t="shared" si="105"/>
        <v>aws s3 cp s3://rtdc.mdm.uploadarchive.raw/RTDC4018/ "%USERPROFILE%\AppData\Local\Temp\OnboardLogs"\RTDC4018\2017-08-18 --exclude "*" --recursive --include "*20170818*" &amp; "%USERPROFILE%\Documents\GitHub\mrs-test-scripts\Headless Mode &amp; Sideloading\WalkAndUnGZ.bat" "%USERPROFILE%\AppData\Local\Temp\OnboardLogs"\RTDC4018\2017-08-18 &amp; aws s3 cp s3://rtdc.mdm.uploadarchive.raw/RTDC4018/ "%USERPROFILE%\AppData\Local\Temp\OnboardLogs"\RTDC4018\2017-08-19 --exclude "*" --recursive --include "*20170819*" &amp; "%USERPROFILE%\Documents\GitHub\mrs-test-scripts\Headless Mode &amp; Sideloading\WalkAndUnGZ.bat" "%USERPROFILE%\AppData\Local\Temp\OnboardLogs"\RTDC4018\2017-08-19</v>
      </c>
      <c r="AF214" s="74" t="str">
        <f t="shared" si="106"/>
        <v>"C:\Program Files (x86)\AstroGrep\AstroGrep.exe" /e /r /s /spath="%USERPROFILE%\AppData\Local\Temp\OnboardLogs" /stypes="app*4018*20170819*" /stext=" 01:.+((SYSTEM_STATE.+slice.+state.+changed )|(ment ac)|(multiple cpu faults)|(system.+state.+changed )|(\[timeout)|(PRM\|1\|D)|(kpr)|(kdp)|(train st.+moving)|(\|lc)|(penalty))"</v>
      </c>
      <c r="AG214" s="209" t="str">
        <f t="shared" si="107"/>
        <v>Other</v>
      </c>
      <c r="AH214" s="78" t="str">
        <f t="shared" si="108"/>
        <v>"%USERPROFILE%\Documents\GitHub\eaglep3\Utilities\RefineRTDCRunTimes.py" --tripid 305-18 --locoid 4018 --swversion DE.1.0.9.0 --startMP 204:453 --initTime 2017-08-18T19:37:41 --startdatetime 2017-08-18T19:40:09 --delay 2 --endMP 300:23297 --enddatetime 2017-08-18T19:52:11 --enforcementcount 0 &gt;&gt;C:\Users\stu\Documents\GitHub\eaglep3-reporting\EC\2017-08-18-refined-times.txt</v>
      </c>
      <c r="AI214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{"issue":{"subject":"","project_id":79,"tracker_id":40,"status_id":1,"priority_id":2,"assigned_to_id":23,"start_date":"2017-08-18","description":"","custom_fields":[{"id":1,"name":"Subdivision","value":"Other"},{"id":4,"name":"Milepost","value":"2.3297"},{"id":17,"name":"Train ID","value":"305-18"},{"id":16,"name":"Locomotive ID","value":"4018"},{"id":130,"name":"Impact","value":""},{"id":150,"name":"Time of Event (Mountain Time)","value":"19:52:11"},{"id":151,"name":"Denver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10"/>
        <v>start /low /b %USERPROFILE%\Documents\GitHub\eaglep3\Utilities\DownloadLogsFromS3.py --loco 4018 --day 2017-08-18</v>
      </c>
      <c r="AN214" s="151" t="str">
        <f t="shared" si="11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01:52:11"},{"id":29,"name":"Sharepoint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691</v>
      </c>
      <c r="B215" s="7">
        <v>4027</v>
      </c>
      <c r="C215" s="21" t="s">
        <v>198</v>
      </c>
      <c r="D215" s="21" t="s">
        <v>956</v>
      </c>
      <c r="E215" s="13">
        <v>42965.170960648145</v>
      </c>
      <c r="F215" s="13">
        <v>42965.174988425926</v>
      </c>
      <c r="G215" s="7">
        <v>5</v>
      </c>
      <c r="H215" s="21" t="s">
        <v>453</v>
      </c>
      <c r="I215" s="13">
        <v>42965.180509259262</v>
      </c>
      <c r="J215" s="7">
        <v>0</v>
      </c>
      <c r="K215" s="89" t="str">
        <f t="shared" si="99"/>
        <v>4027/4028</v>
      </c>
      <c r="L215" s="21" t="str">
        <f>VLOOKUP(A215,'Trips&amp;Operators'!$C$1:$G$99999,5,FALSE)</f>
        <v>BARRON PERLA</v>
      </c>
      <c r="M215" s="6">
        <f t="shared" si="100"/>
        <v>5.5208333360496908E-3</v>
      </c>
      <c r="N215" s="7">
        <f t="shared" si="112"/>
        <v>7.9500000039115548</v>
      </c>
      <c r="O215" s="7"/>
      <c r="P215" s="7"/>
      <c r="Q215" s="22"/>
      <c r="R215" s="170"/>
      <c r="S215" s="213">
        <f t="shared" si="94"/>
        <v>1</v>
      </c>
      <c r="T215" s="195" t="str">
        <f t="shared" si="101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102"/>
        <v>https://d0f6bd738d7f1b3e5a7ca70fe4ff75f0.us-east-1.aws.found.io/app/kibana#/discover/Steve-Slow-Train-Analysis-(2080s-and-2083s)?_g=(refreshInterval:(display:Off,pause:!f,section:0,value:0),time:(from:'2017-08-18T03:06:11-0600',mode:absolute,to:'2017-08-18T05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5" s="197" t="str">
        <f>IF(AA215&lt;VLOOKUP(AG215,Variables!$AC$3:$AD$8,2,FALSE),"Y","N")</f>
        <v>Y</v>
      </c>
      <c r="X215" s="197">
        <f t="shared" si="87"/>
        <v>1</v>
      </c>
      <c r="Y215" s="197">
        <f t="shared" si="92"/>
        <v>2.3723999999999998</v>
      </c>
      <c r="Z215" s="197">
        <f t="shared" si="93"/>
        <v>1.6E-2</v>
      </c>
      <c r="AA215" s="197">
        <f t="shared" si="103"/>
        <v>2.3563999999999998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6">
        <f t="shared" si="104"/>
        <v>306</v>
      </c>
      <c r="AE215" s="77" t="str">
        <f t="shared" si="105"/>
        <v>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 &amp; aws s3 cp s3://rtdc.mdm.uploadarchive.raw/RTDC4027/ "%USERPROFILE%\AppData\Local\Temp\OnboardLogs"\RTDC4027\2017-08-19 --exclude "*" --recursive --include "*20170819*" &amp; "%USERPROFILE%\Documents\GitHub\mrs-test-scripts\Headless Mode &amp; Sideloading\WalkAndUnGZ.bat" "%USERPROFILE%\AppData\Local\Temp\OnboardLogs"\RTDC4027\2017-08-19</v>
      </c>
      <c r="AF215" s="74" t="str">
        <f t="shared" si="106"/>
        <v>"C:\Program Files (x86)\AstroGrep\AstroGrep.exe" /e /r /s /spath="%USERPROFILE%\AppData\Local\Temp\OnboardLogs" /stypes="app*4027*20170818*" /stext=" 10:.+((SYSTEM_STATE.+slice.+state.+changed )|(ment ac)|(multiple cpu faults)|(system.+state.+changed )|(\[timeout)|(PRM\|1\|D)|(kpr)|(kdp)|(train st.+moving)|(\|lc)|(penalty))"</v>
      </c>
      <c r="AG215" s="209" t="str">
        <f t="shared" si="107"/>
        <v>Other</v>
      </c>
      <c r="AH215" s="78" t="str">
        <f t="shared" si="108"/>
        <v>"%USERPROFILE%\Documents\GitHub\eaglep3\Utilities\RefineRTDCRunTimes.py" --tripid 306-18 --locoid 4027 --swversion DE.1.0.9.0 --startMP 300:23724 --initTime 2017-08-18T04:06:11 --startdatetime 2017-08-18T04:11:59 --delay 5 --endMP 204:160 --enddatetime 2017-08-18T04:19:56 --enforcementcount 0 &gt;&gt;C:\Users\stu\Documents\GitHub\eaglep3-reporting\EC\2017-08-18-refined-times.txt</v>
      </c>
      <c r="AI215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{"issue":{"subject":"","project_id":79,"tracker_id":40,"status_id":1,"priority_id":2,"assigned_to_id":23,"start_date":"2017-08-18","description":"","custom_fields":[{"id":1,"name":"Subdivision","value":"Other"},{"id":4,"name":"Milepost","value":"0.016"},{"id":17,"name":"Train ID","value":"306-18"},{"id":16,"name":"Locomotive ID","value":"4027"},{"id":130,"name":"Impact","value":""},{"id":150,"name":"Time of Event (Mountain Time)","value":"04:19:56"},{"id":151,"name":"Denver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10"/>
        <v>start /low /b %USERPROFILE%\Documents\GitHub\eaglep3\Utilities\DownloadLogsFromS3.py --loco 4027 --day 2017-08-18</v>
      </c>
      <c r="AN215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10:19:56"},{"id":29,"name":"Sharepoint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874</v>
      </c>
      <c r="B216" s="7">
        <v>4012</v>
      </c>
      <c r="C216" s="21" t="s">
        <v>198</v>
      </c>
      <c r="D216" s="21" t="s">
        <v>470</v>
      </c>
      <c r="E216" s="13">
        <v>42966.047696759262</v>
      </c>
      <c r="F216" s="13">
        <v>42966.049837962964</v>
      </c>
      <c r="G216" s="7">
        <v>2</v>
      </c>
      <c r="H216" s="21" t="s">
        <v>957</v>
      </c>
      <c r="I216" s="13">
        <v>42966.067800925928</v>
      </c>
      <c r="J216" s="7">
        <v>0</v>
      </c>
      <c r="K216" s="89" t="str">
        <f t="shared" si="99"/>
        <v>4011/4012</v>
      </c>
      <c r="L216" s="21" t="str">
        <f>VLOOKUP(A216,'Trips&amp;Operators'!$C$1:$G$99999,5,FALSE)</f>
        <v>HELVIE ADAM</v>
      </c>
      <c r="M216" s="6">
        <f t="shared" si="100"/>
        <v>1.7962962963792961E-2</v>
      </c>
      <c r="N216" s="7">
        <f t="shared" si="112"/>
        <v>25.866666667861864</v>
      </c>
      <c r="O216" s="7"/>
      <c r="P216" s="7"/>
      <c r="Q216" s="22"/>
      <c r="R216" s="170"/>
      <c r="S216" s="213">
        <f t="shared" si="94"/>
        <v>1</v>
      </c>
      <c r="T216" s="195" t="str">
        <f t="shared" si="101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102"/>
        <v>https://d0f6bd738d7f1b3e5a7ca70fe4ff75f0.us-east-1.aws.found.io/app/kibana#/discover/Steve-Slow-Train-Analysis-(2080s-and-2083s)?_g=(refreshInterval:(display:Off,pause:!f,section:0,value:0),time:(from:'2017-08-19T00:08:41-0600',mode:absolute,to:'2017-08-19T02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197" t="str">
        <f>IF(AA216&lt;VLOOKUP(AG216,Variables!$AC$3:$AD$8,2,FALSE),"Y","N")</f>
        <v>Y</v>
      </c>
      <c r="X216" s="197">
        <f t="shared" ref="X216:X237" si="113">VALUE(LEFT(AD216,4))-VALUE(LEFT(AD215,4))</f>
        <v>1</v>
      </c>
      <c r="Y216" s="197">
        <f t="shared" si="92"/>
        <v>4.7100000000000003E-2</v>
      </c>
      <c r="Z216" s="197">
        <f t="shared" si="93"/>
        <v>2.3292999999999999</v>
      </c>
      <c r="AA216" s="197">
        <f t="shared" si="103"/>
        <v>2.2822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6">
        <f t="shared" si="104"/>
        <v>307</v>
      </c>
      <c r="AE216" s="77" t="str">
        <f t="shared" si="105"/>
        <v>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 &amp; aws s3 cp s3://rtdc.mdm.uploadarchive.raw/RTDC4012/ "%USERPROFILE%\AppData\Local\Temp\OnboardLogs"\RTDC4012\2017-08-20 --exclude "*" --recursive --include "*20170820*" &amp; "%USERPROFILE%\Documents\GitHub\mrs-test-scripts\Headless Mode &amp; Sideloading\WalkAndUnGZ.bat" "%USERPROFILE%\AppData\Local\Temp\OnboardLogs"\RTDC4012\2017-08-20</v>
      </c>
      <c r="AF216" s="74" t="str">
        <f t="shared" si="106"/>
        <v>"C:\Program Files (x86)\AstroGrep\AstroGrep.exe" /e /r /s /spath="%USERPROFILE%\AppData\Local\Temp\OnboardLogs" /stypes="app*4012*20170819*" /stext=" 07:.+((SYSTEM_STATE.+slice.+state.+changed )|(ment ac)|(multiple cpu faults)|(system.+state.+changed )|(\[timeout)|(PRM\|1\|D)|(kpr)|(kdp)|(train st.+moving)|(\|lc)|(penalty))"</v>
      </c>
      <c r="AG216" s="209" t="str">
        <f t="shared" si="107"/>
        <v>Other</v>
      </c>
      <c r="AH216" s="78" t="str">
        <f t="shared" si="108"/>
        <v>"%USERPROFILE%\Documents\GitHub\eaglep3\Utilities\RefineRTDCRunTimes.py" --tripid 307-18 --locoid 4012 --swversion DE.1.0.9.0 --startMP 204:471 --initTime 2017-08-19T01:08:41 --startdatetime 2017-08-19T01:11:46 --delay 2 --endMP 300:23293 --enddatetime 2017-08-19T01:37:38 --enforcementcount 0 &gt;&gt;C:\Users\stu\Documents\GitHub\eaglep3-reporting\EC\2017-08-18-refined-times.txt</v>
      </c>
      <c r="AI216" s="96" t="str">
        <f t="shared" si="109"/>
        <v>echo {"issue":{"subject":"","project_id":79,"tracker_id":40,"status_id":1,"priority_id":2,"assigned_to_id":23,"start_date":"2017-08-19","description":"","custom_fields":[{"id":1,"name":"Subdivision","value":"Other"},{"id":4,"name":"Milepost","value":"2.3293"},{"id":17,"name":"Train ID","value":"307-18"},{"id":16,"name":"Locomotive ID","value":"4012"},{"id":130,"name":"Impact","value":""},{"id":150,"name":"Time of Event (Mountain Time)","value":"01:37:38"},{"id":151,"name":"Denver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10"/>
        <v>start /low /b %USERPROFILE%\Documents\GitHub\eaglep3\Utilities\DownloadLogsFromS3.py --loco 4012 --day 2017-08-19</v>
      </c>
      <c r="AN216" s="151" t="str">
        <f t="shared" si="11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07:37:38"},{"id":29,"name":"Sharepoint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693</v>
      </c>
      <c r="B217" s="7">
        <v>4063</v>
      </c>
      <c r="C217" s="21" t="s">
        <v>198</v>
      </c>
      <c r="D217" s="21" t="s">
        <v>958</v>
      </c>
      <c r="E217" s="13">
        <v>42965.182800925926</v>
      </c>
      <c r="F217" s="13">
        <v>42965.186724537038</v>
      </c>
      <c r="G217" s="7">
        <v>5</v>
      </c>
      <c r="H217" s="21" t="s">
        <v>913</v>
      </c>
      <c r="I217" s="13">
        <v>42965.192650462966</v>
      </c>
      <c r="J217" s="7">
        <v>0</v>
      </c>
      <c r="K217" s="89" t="str">
        <f t="shared" si="99"/>
        <v>4063/4064</v>
      </c>
      <c r="L217" s="21" t="str">
        <f>VLOOKUP(A217,'Trips&amp;Operators'!$C$1:$G$99999,5,FALSE)</f>
        <v>DAVIS WENDY</v>
      </c>
      <c r="M217" s="6">
        <f t="shared" si="100"/>
        <v>5.9259259287500754E-3</v>
      </c>
      <c r="N217" s="7">
        <f t="shared" si="112"/>
        <v>8.5333333374001086</v>
      </c>
      <c r="O217" s="7"/>
      <c r="P217" s="7"/>
      <c r="Q217" s="22"/>
      <c r="R217" s="170"/>
      <c r="S217" s="213">
        <f t="shared" si="94"/>
        <v>1</v>
      </c>
      <c r="T217" s="195" t="str">
        <f t="shared" si="101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102"/>
        <v>https://d0f6bd738d7f1b3e5a7ca70fe4ff75f0.us-east-1.aws.found.io/app/kibana#/discover/Steve-Slow-Train-Analysis-(2080s-and-2083s)?_g=(refreshInterval:(display:Off,pause:!f,section:0,value:0),time:(from:'2017-08-18T03:23:14-0600',mode:absolute,to:'2017-08-18T05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7" s="197" t="str">
        <f>IF(AA217&lt;VLOOKUP(AG217,Variables!$AC$3:$AD$8,2,FALSE),"Y","N")</f>
        <v>Y</v>
      </c>
      <c r="X217" s="197">
        <f t="shared" si="113"/>
        <v>1</v>
      </c>
      <c r="Y217" s="197">
        <f t="shared" si="92"/>
        <v>2.2216</v>
      </c>
      <c r="Z217" s="197">
        <f t="shared" si="93"/>
        <v>1.6500000000000001E-2</v>
      </c>
      <c r="AA217" s="197">
        <f t="shared" si="103"/>
        <v>2.2050999999999998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6">
        <f t="shared" si="104"/>
        <v>308</v>
      </c>
      <c r="AE217" s="77" t="str">
        <f t="shared" si="105"/>
        <v>aws s3 cp s3://rtdc.mdm.uploadarchive.raw/RTDC4063/ "%USERPROFILE%\AppData\Local\Temp\OnboardLogs"\RTDC4063\2017-08-18 --exclude "*" --recursive --include "*20170818*" &amp; "%USERPROFILE%\Documents\GitHub\mrs-test-scripts\Headless Mode &amp; Sideloading\WalkAndUnGZ.bat" "%USERPROFILE%\AppData\Local\Temp\OnboardLogs"\RTDC4063\2017-08-18 &amp; aws s3 cp s3://rtdc.mdm.uploadarchive.raw/RTDC4063/ "%USERPROFILE%\AppData\Local\Temp\OnboardLogs"\RTDC4063\2017-08-19 --exclude "*" --recursive --include "*20170819*" &amp; "%USERPROFILE%\Documents\GitHub\mrs-test-scripts\Headless Mode &amp; Sideloading\WalkAndUnGZ.bat" "%USERPROFILE%\AppData\Local\Temp\OnboardLogs"\RTDC4063\2017-08-19</v>
      </c>
      <c r="AF217" s="74" t="str">
        <f t="shared" si="106"/>
        <v>"C:\Program Files (x86)\AstroGrep\AstroGrep.exe" /e /r /s /spath="%USERPROFILE%\AppData\Local\Temp\OnboardLogs" /stypes="app*4063*20170818*" /stext=" 10:.+((SYSTEM_STATE.+slice.+state.+changed )|(ment ac)|(multiple cpu faults)|(system.+state.+changed )|(\[timeout)|(PRM\|1\|D)|(kpr)|(kdp)|(train st.+moving)|(\|lc)|(penalty))"</v>
      </c>
      <c r="AG217" s="209" t="str">
        <f t="shared" si="107"/>
        <v>Other</v>
      </c>
      <c r="AH217" s="78" t="str">
        <f t="shared" si="108"/>
        <v>"%USERPROFILE%\Documents\GitHub\eaglep3\Utilities\RefineRTDCRunTimes.py" --tripid 308-18 --locoid 4063 --swversion DE.1.0.9.0 --startMP 300:22216 --initTime 2017-08-18T04:23:14 --startdatetime 2017-08-18T04:28:53 --delay 5 --endMP 204:165 --enddatetime 2017-08-18T04:37:25 --enforcementcount 0 &gt;&gt;C:\Users\stu\Documents\GitHub\eaglep3-reporting\EC\2017-08-18-refined-times.txt</v>
      </c>
      <c r="AI217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{"issue":{"subject":"","project_id":79,"tracker_id":40,"status_id":1,"priority_id":2,"assigned_to_id":23,"start_date":"2017-08-18","description":"","custom_fields":[{"id":1,"name":"Subdivision","value":"Other"},{"id":4,"name":"Milepost","value":"0.0165"},{"id":17,"name":"Train ID","value":"308-18"},{"id":16,"name":"Locomotive ID","value":"4063"},{"id":130,"name":"Impact","value":""},{"id":150,"name":"Time of Event (Mountain Time)","value":"04:37:25"},{"id":151,"name":"Denver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10"/>
        <v>start /low /b %USERPROFILE%\Documents\GitHub\eaglep3\Utilities\DownloadLogsFromS3.py --loco 4063 --day 2017-08-18</v>
      </c>
      <c r="AN217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877</v>
      </c>
      <c r="B218" s="7">
        <v>4030</v>
      </c>
      <c r="C218" s="21" t="s">
        <v>198</v>
      </c>
      <c r="D218" s="21" t="s">
        <v>597</v>
      </c>
      <c r="E218" s="13">
        <v>42966.068020833336</v>
      </c>
      <c r="F218" s="13">
        <v>42966.070069444446</v>
      </c>
      <c r="G218" s="7">
        <v>1</v>
      </c>
      <c r="H218" s="21" t="s">
        <v>565</v>
      </c>
      <c r="I218" s="13">
        <v>42966.08016203704</v>
      </c>
      <c r="J218" s="7">
        <v>0</v>
      </c>
      <c r="K218" s="89" t="str">
        <f t="shared" si="99"/>
        <v>4029/4030</v>
      </c>
      <c r="L218" s="21" t="str">
        <f>VLOOKUP(A218,'Trips&amp;Operators'!$C$1:$G$99999,5,FALSE)</f>
        <v>PERKINS DARREN</v>
      </c>
      <c r="M218" s="6">
        <f t="shared" si="100"/>
        <v>1.0092592594446614E-2</v>
      </c>
      <c r="N218" s="7">
        <f t="shared" si="112"/>
        <v>14.533333336003125</v>
      </c>
      <c r="O218" s="7"/>
      <c r="P218" s="7"/>
      <c r="Q218" s="22"/>
      <c r="R218" s="170"/>
      <c r="S218" s="213">
        <f t="shared" si="94"/>
        <v>1</v>
      </c>
      <c r="T218" s="195" t="str">
        <f t="shared" si="101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102"/>
        <v>https://d0f6bd738d7f1b3e5a7ca70fe4ff75f0.us-east-1.aws.found.io/app/kibana#/discover/Steve-Slow-Train-Analysis-(2080s-and-2083s)?_g=(refreshInterval:(display:Off,pause:!f,section:0,value:0),time:(from:'2017-08-19T00:37:57-0600',mode:absolute,to:'2017-08-19T02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8" s="197" t="str">
        <f>IF(AA218&lt;VLOOKUP(AG218,Variables!$AC$3:$AD$8,2,FALSE),"Y","N")</f>
        <v>Y</v>
      </c>
      <c r="X218" s="197">
        <f t="shared" si="113"/>
        <v>1</v>
      </c>
      <c r="Y218" s="197">
        <f t="shared" si="92"/>
        <v>4.2599999999999999E-2</v>
      </c>
      <c r="Z218" s="197">
        <f t="shared" si="93"/>
        <v>2.3304</v>
      </c>
      <c r="AA218" s="197">
        <f t="shared" si="103"/>
        <v>2.2877999999999998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6">
        <f t="shared" si="104"/>
        <v>309</v>
      </c>
      <c r="AE218" s="77" t="str">
        <f t="shared" si="105"/>
        <v>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 &amp; aws s3 cp s3://rtdc.mdm.uploadarchive.raw/RTDC4030/ "%USERPROFILE%\AppData\Local\Temp\OnboardLogs"\RTDC4030\2017-08-20 --exclude "*" --recursive --include "*20170820*" &amp; "%USERPROFILE%\Documents\GitHub\mrs-test-scripts\Headless Mode &amp; Sideloading\WalkAndUnGZ.bat" "%USERPROFILE%\AppData\Local\Temp\OnboardLogs"\RTDC4030\2017-08-20</v>
      </c>
      <c r="AF218" s="74" t="str">
        <f t="shared" si="106"/>
        <v>"C:\Program Files (x86)\AstroGrep\AstroGrep.exe" /e /r /s /spath="%USERPROFILE%\AppData\Local\Temp\OnboardLogs" /stypes="app*4030*20170819*" /stext=" 07:.+((SYSTEM_STATE.+slice.+state.+changed )|(ment ac)|(multiple cpu faults)|(system.+state.+changed )|(\[timeout)|(PRM\|1\|D)|(kpr)|(kdp)|(train st.+moving)|(\|lc)|(penalty))"</v>
      </c>
      <c r="AG218" s="209" t="str">
        <f t="shared" si="107"/>
        <v>Other</v>
      </c>
      <c r="AH218" s="78" t="str">
        <f t="shared" si="108"/>
        <v>"%USERPROFILE%\Documents\GitHub\eaglep3\Utilities\RefineRTDCRunTimes.py" --tripid 309-18 --locoid 4030 --swversion DE.1.0.9.0 --startMP 204:426 --initTime 2017-08-19T01:37:57 --startdatetime 2017-08-19T01:40:54 --delay 1 --endMP 300:23304 --enddatetime 2017-08-19T01:55:26 --enforcementcount 0 &gt;&gt;C:\Users\stu\Documents\GitHub\eaglep3-reporting\EC\2017-08-18-refined-times.txt</v>
      </c>
      <c r="AI218" s="96" t="str">
        <f t="shared" si="109"/>
        <v>echo {"issue":{"subject":"","project_id":79,"tracker_id":40,"status_id":1,"priority_id":2,"assigned_to_id":23,"start_date":"2017-08-19","description":"","custom_fields":[{"id":1,"name":"Subdivision","value":"Other"},{"id":4,"name":"Milepost","value":"2.3304"},{"id":17,"name":"Train ID","value":"309-18"},{"id":16,"name":"Locomotive ID","value":"4030"},{"id":130,"name":"Impact","value":""},{"id":150,"name":"Time of Event (Mountain Time)","value":"01:55:26"},{"id":151,"name":"Denver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10"/>
        <v>start /low /b %USERPROFILE%\Documents\GitHub\eaglep3\Utilities\DownloadLogsFromS3.py --loco 4030 --day 2017-08-19</v>
      </c>
      <c r="AN218" s="151" t="str">
        <f t="shared" si="11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07:55:26"},{"id":29,"name":"Sharepoint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695</v>
      </c>
      <c r="B219" s="7">
        <v>4049</v>
      </c>
      <c r="C219" s="21" t="s">
        <v>198</v>
      </c>
      <c r="D219" s="21" t="s">
        <v>959</v>
      </c>
      <c r="E219" s="13">
        <v>42965.194467592592</v>
      </c>
      <c r="F219" s="13">
        <v>42965.197071759256</v>
      </c>
      <c r="G219" s="7">
        <v>3</v>
      </c>
      <c r="H219" s="21" t="s">
        <v>350</v>
      </c>
      <c r="I219" s="13">
        <v>42965.206064814818</v>
      </c>
      <c r="J219" s="7">
        <v>0</v>
      </c>
      <c r="K219" s="89" t="str">
        <f t="shared" si="99"/>
        <v>4049/4050</v>
      </c>
      <c r="L219" s="21" t="str">
        <f>VLOOKUP(A219,'Trips&amp;Operators'!$C$1:$G$99999,5,FALSE)</f>
        <v>BIRKHOLZ NADINE</v>
      </c>
      <c r="M219" s="6">
        <f t="shared" si="100"/>
        <v>8.9930555623141117E-3</v>
      </c>
      <c r="N219" s="7">
        <f t="shared" si="112"/>
        <v>12.950000009732321</v>
      </c>
      <c r="O219" s="7"/>
      <c r="P219" s="7"/>
      <c r="Q219" s="22"/>
      <c r="R219" s="170"/>
      <c r="S219" s="213">
        <f t="shared" si="94"/>
        <v>1</v>
      </c>
      <c r="T219" s="195" t="str">
        <f t="shared" si="101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102"/>
        <v>https://d0f6bd738d7f1b3e5a7ca70fe4ff75f0.us-east-1.aws.found.io/app/kibana#/discover/Steve-Slow-Train-Analysis-(2080s-and-2083s)?_g=(refreshInterval:(display:Off,pause:!f,section:0,value:0),time:(from:'2017-08-18T03:40:02-0600',mode:absolute,to:'2017-08-18T05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9" s="197" t="str">
        <f>IF(AA219&lt;VLOOKUP(AG219,Variables!$AC$3:$AD$8,2,FALSE),"Y","N")</f>
        <v>Y</v>
      </c>
      <c r="X219" s="197">
        <f t="shared" si="113"/>
        <v>1</v>
      </c>
      <c r="Y219" s="197">
        <f t="shared" si="92"/>
        <v>2.3711000000000002</v>
      </c>
      <c r="Z219" s="197">
        <f t="shared" si="93"/>
        <v>1.47E-2</v>
      </c>
      <c r="AA219" s="197">
        <f t="shared" si="103"/>
        <v>2.3564000000000003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6">
        <f t="shared" si="104"/>
        <v>310</v>
      </c>
      <c r="AE219" s="77" t="str">
        <f t="shared" si="105"/>
        <v>aws s3 cp s3://rtdc.mdm.uploadarchive.raw/RTDC4049/ "%USERPROFILE%\AppData\Local\Temp\OnboardLogs"\RTDC4049\2017-08-18 --exclude "*" --recursive --include "*20170818*" &amp; "%USERPROFILE%\Documents\GitHub\mrs-test-scripts\Headless Mode &amp; Sideloading\WalkAndUnGZ.bat" "%USERPROFILE%\AppData\Local\Temp\OnboardLogs"\RTDC4049\2017-08-18 &amp; aws s3 cp s3://rtdc.mdm.uploadarchive.raw/RTDC4049/ "%USERPROFILE%\AppData\Local\Temp\OnboardLogs"\RTDC4049\2017-08-19 --exclude "*" --recursive --include "*20170819*" &amp; "%USERPROFILE%\Documents\GitHub\mrs-test-scripts\Headless Mode &amp; Sideloading\WalkAndUnGZ.bat" "%USERPROFILE%\AppData\Local\Temp\OnboardLogs"\RTDC4049\2017-08-19</v>
      </c>
      <c r="AF219" s="74" t="str">
        <f t="shared" si="106"/>
        <v>"C:\Program Files (x86)\AstroGrep\AstroGrep.exe" /e /r /s /spath="%USERPROFILE%\AppData\Local\Temp\OnboardLogs" /stypes="app*4049*20170818*" /stext=" 10:.+((SYSTEM_STATE.+slice.+state.+changed )|(ment ac)|(multiple cpu faults)|(system.+state.+changed )|(\[timeout)|(PRM\|1\|D)|(kpr)|(kdp)|(train st.+moving)|(\|lc)|(penalty))"</v>
      </c>
      <c r="AG219" s="209" t="str">
        <f t="shared" si="107"/>
        <v>Other</v>
      </c>
      <c r="AH219" s="78" t="str">
        <f t="shared" si="108"/>
        <v>"%USERPROFILE%\Documents\GitHub\eaglep3\Utilities\RefineRTDCRunTimes.py" --tripid 310-18 --locoid 4049 --swversion DE.1.0.9.0 --startMP 300:23711 --initTime 2017-08-18T04:40:02 --startdatetime 2017-08-18T04:43:47 --delay 3 --endMP 204:147 --enddatetime 2017-08-18T04:56:44 --enforcementcount 0 &gt;&gt;C:\Users\stu\Documents\GitHub\eaglep3-reporting\EC\2017-08-18-refined-times.txt</v>
      </c>
      <c r="AI219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{"issue":{"subject":"","project_id":79,"tracker_id":40,"status_id":1,"priority_id":2,"assigned_to_id":23,"start_date":"2017-08-18","description":"","custom_fields":[{"id":1,"name":"Subdivision","value":"Other"},{"id":4,"name":"Milepost","value":"0.0147"},{"id":17,"name":"Train ID","value":"310-18"},{"id":16,"name":"Locomotive ID","value":"4049"},{"id":130,"name":"Impact","value":""},{"id":150,"name":"Time of Event (Mountain Time)","value":"04:56:44"},{"id":151,"name":"Denver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110"/>
        <v>start /low /b %USERPROFILE%\Documents\GitHub\eaglep3\Utilities\DownloadLogsFromS3.py --loco 4049 --day 2017-08-18</v>
      </c>
      <c r="AN219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10:56:44"},{"id":29,"name":"Sharepoint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683</v>
      </c>
      <c r="B220" s="7">
        <v>4028</v>
      </c>
      <c r="C220" s="21" t="s">
        <v>198</v>
      </c>
      <c r="D220" s="21" t="s">
        <v>443</v>
      </c>
      <c r="E220" s="13">
        <v>42966.088368055556</v>
      </c>
      <c r="F220" s="13">
        <v>42966.092638888891</v>
      </c>
      <c r="G220" s="7">
        <v>1</v>
      </c>
      <c r="H220" s="21" t="s">
        <v>960</v>
      </c>
      <c r="I220" s="13">
        <v>42966.099768518521</v>
      </c>
      <c r="J220" s="7">
        <v>0</v>
      </c>
      <c r="K220" s="89" t="str">
        <f t="shared" si="99"/>
        <v>4027/4028</v>
      </c>
      <c r="L220" s="21" t="str">
        <f>VLOOKUP(A220,'Trips&amp;Operators'!$C$1:$G$99999,5,FALSE)</f>
        <v>FORTUNATO FRANK</v>
      </c>
      <c r="M220" s="6">
        <f t="shared" si="100"/>
        <v>7.1296296300715767E-3</v>
      </c>
      <c r="N220" s="7">
        <f t="shared" si="112"/>
        <v>10.26666666730307</v>
      </c>
      <c r="O220" s="7"/>
      <c r="P220" s="7"/>
      <c r="Q220" s="22"/>
      <c r="R220" s="170"/>
      <c r="S220" s="213">
        <f t="shared" si="94"/>
        <v>0</v>
      </c>
      <c r="T220" s="195" t="str">
        <f t="shared" si="101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102"/>
        <v>https://d0f6bd738d7f1b3e5a7ca70fe4ff75f0.us-east-1.aws.found.io/app/kibana#/discover/Steve-Slow-Train-Analysis-(2080s-and-2083s)?_g=(refreshInterval:(display:Off,pause:!f,section:0,value:0),time:(from:'2017-08-19T01:07:15-0600',mode:absolute,to:'2017-08-19T03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0" s="197" t="str">
        <f>IF(AA220&lt;VLOOKUP(AG220,Variables!$AC$3:$AD$8,2,FALSE),"Y","N")</f>
        <v>Y</v>
      </c>
      <c r="X220" s="197">
        <f t="shared" si="113"/>
        <v>1</v>
      </c>
      <c r="Y220" s="197">
        <f t="shared" ref="Y220:Y237" si="114">RIGHT(D220,LEN(D220)-4)/10000</f>
        <v>4.7300000000000002E-2</v>
      </c>
      <c r="Z220" s="197">
        <f t="shared" ref="Z220:Z237" si="115">RIGHT(H220,LEN(H220)-4)/10000</f>
        <v>0.33560000000000001</v>
      </c>
      <c r="AA220" s="197">
        <f t="shared" si="103"/>
        <v>0.2883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6">
        <f t="shared" si="104"/>
        <v>311</v>
      </c>
      <c r="AE220" s="77" t="str">
        <f t="shared" si="105"/>
        <v>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 &amp; 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</v>
      </c>
      <c r="AF220" s="74" t="str">
        <f t="shared" si="106"/>
        <v>"C:\Program Files (x86)\AstroGrep\AstroGrep.exe" /e /r /s /spath="%USERPROFILE%\AppData\Local\Temp\OnboardLogs" /stypes="app*4028*20170819*" /stext=" 08:.+((SYSTEM_STATE.+slice.+state.+changed )|(ment ac)|(multiple cpu faults)|(system.+state.+changed )|(\[timeout)|(PRM\|1\|D)|(kpr)|(kdp)|(train st.+moving)|(\|lc)|(penalty))"</v>
      </c>
      <c r="AG220" s="209" t="str">
        <f t="shared" si="107"/>
        <v>Other</v>
      </c>
      <c r="AH220" s="78" t="str">
        <f t="shared" si="108"/>
        <v>"%USERPROFILE%\Documents\GitHub\eaglep3\Utilities\RefineRTDCRunTimes.py" --tripid 311-18 --locoid 4028 --swversion DE.1.0.9.0 --startMP 204:473 --initTime 2017-08-19T02:07:15 --startdatetime 2017-08-19T02:13:24 --delay 1 --endMP 204:3356 --enddatetime 2017-08-19T02:23:40 --enforcementcount 0 &gt;&gt;C:\Users\stu\Documents\GitHub\eaglep3-reporting\EC\2017-08-18-refined-times.txt</v>
      </c>
      <c r="AI220" s="96" t="str">
        <f t="shared" si="109"/>
        <v>echo {"issue":{"subject":"","project_id":79,"tracker_id":40,"status_id":1,"priority_id":2,"assigned_to_id":23,"start_date":"2017-08-19","description":"","custom_fields":[{"id":1,"name":"Subdivision","value":"Other"},{"id":4,"name":"Milepost","value":"0.3356"},{"id":17,"name":"Train ID","value":"311-18"},{"id":16,"name":"Locomotive ID","value":"4028"},{"id":130,"name":"Impact","value":""},{"id":150,"name":"Time of Event (Mountain Time)","value":"02:23:40"},{"id":151,"name":"Denver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10"/>
        <v>start /low /b %USERPROFILE%\Documents\GitHub\eaglep3\Utilities\DownloadLogsFromS3.py --loco 4028 --day 2017-08-19</v>
      </c>
      <c r="AN220" s="151" t="str">
        <f t="shared" si="11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08:23:40"},{"id":29,"name":"Sharepoint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683</v>
      </c>
      <c r="B221" s="7">
        <v>4028</v>
      </c>
      <c r="C221" s="21" t="s">
        <v>198</v>
      </c>
      <c r="D221" s="21" t="s">
        <v>961</v>
      </c>
      <c r="E221" s="13">
        <v>42966.091782407406</v>
      </c>
      <c r="F221" s="13">
        <v>42966.092638888891</v>
      </c>
      <c r="G221" s="7">
        <v>1</v>
      </c>
      <c r="H221" s="21" t="s">
        <v>344</v>
      </c>
      <c r="I221" s="13">
        <v>42966.099768518521</v>
      </c>
      <c r="J221" s="7">
        <v>0</v>
      </c>
      <c r="K221" s="89" t="str">
        <f t="shared" si="99"/>
        <v>4027/4028</v>
      </c>
      <c r="L221" s="21" t="str">
        <f>VLOOKUP(A221,'Trips&amp;Operators'!$C$1:$G$99999,5,FALSE)</f>
        <v>FORTUNATO FRANK</v>
      </c>
      <c r="M221" s="6">
        <f t="shared" si="100"/>
        <v>7.1296296300715767E-3</v>
      </c>
      <c r="N221" s="7">
        <f t="shared" si="112"/>
        <v>10.26666666730307</v>
      </c>
      <c r="O221" s="7"/>
      <c r="P221" s="7"/>
      <c r="Q221" s="22"/>
      <c r="R221" s="170"/>
      <c r="S221" s="213">
        <f t="shared" si="94"/>
        <v>1</v>
      </c>
      <c r="T221" s="195" t="str">
        <f t="shared" si="101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102"/>
        <v>https://d0f6bd738d7f1b3e5a7ca70fe4ff75f0.us-east-1.aws.found.io/app/kibana#/discover/Steve-Slow-Train-Analysis-(2080s-and-2083s)?_g=(refreshInterval:(display:Off,pause:!f,section:0,value:0),time:(from:'2017-08-19T01:12:10-0600',mode:absolute,to:'2017-08-19T03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1" s="197" t="str">
        <f>IF(AA221&lt;VLOOKUP(AG221,Variables!$AC$3:$AD$8,2,FALSE),"Y","N")</f>
        <v>Y</v>
      </c>
      <c r="X221" s="197">
        <f t="shared" si="113"/>
        <v>0</v>
      </c>
      <c r="Y221" s="197">
        <f t="shared" si="114"/>
        <v>0.48049999999999998</v>
      </c>
      <c r="Z221" s="197">
        <f t="shared" si="115"/>
        <v>2.3346</v>
      </c>
      <c r="AA221" s="197">
        <f t="shared" si="103"/>
        <v>1.8541000000000001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6">
        <f t="shared" si="104"/>
        <v>311</v>
      </c>
      <c r="AE221" s="77" t="str">
        <f t="shared" si="105"/>
        <v>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 &amp; 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</v>
      </c>
      <c r="AF221" s="74" t="str">
        <f t="shared" si="106"/>
        <v>"C:\Program Files (x86)\AstroGrep\AstroGrep.exe" /e /r /s /spath="%USERPROFILE%\AppData\Local\Temp\OnboardLogs" /stypes="app*4028*20170819*" /stext=" 08:.+((SYSTEM_STATE.+slice.+state.+changed )|(ment ac)|(multiple cpu faults)|(system.+state.+changed )|(\[timeout)|(PRM\|1\|D)|(kpr)|(kdp)|(train st.+moving)|(\|lc)|(penalty))"</v>
      </c>
      <c r="AG221" s="209" t="str">
        <f t="shared" si="107"/>
        <v>Other</v>
      </c>
      <c r="AH221" s="78" t="str">
        <f t="shared" si="108"/>
        <v>"%USERPROFILE%\Documents\GitHub\eaglep3\Utilities\RefineRTDCRunTimes.py" --tripid 311-18 --locoid 4028 --swversion DE.1.0.9.0 --startMP 300:4805 --initTime 2017-08-19T02:12:10 --startdatetime 2017-08-19T02:13:24 --delay 1 --endMP 300:23346 --enddatetime 2017-08-19T02:23:40 --enforcementcount 0 &gt;&gt;C:\Users\stu\Documents\GitHub\eaglep3-reporting\EC\2017-08-18-refined-times.txt</v>
      </c>
      <c r="AI221" s="96" t="str">
        <f t="shared" si="109"/>
        <v>echo {"issue":{"subject":"","project_id":79,"tracker_id":40,"status_id":1,"priority_id":2,"assigned_to_id":23,"start_date":"2017-08-19","description":"","custom_fields":[{"id":1,"name":"Subdivision","value":"Other"},{"id":4,"name":"Milepost","value":"2.3346"},{"id":17,"name":"Train ID","value":"311-18"},{"id":16,"name":"Locomotive ID","value":"4028"},{"id":130,"name":"Impact","value":""},{"id":150,"name":"Time of Event (Mountain Time)","value":"02:23:40"},{"id":151,"name":"Denver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10"/>
        <v>start /low /b %USERPROFILE%\Documents\GitHub\eaglep3\Utilities\DownloadLogsFromS3.py --loco 4028 --day 2017-08-19</v>
      </c>
      <c r="AN221" s="151" t="str">
        <f t="shared" si="11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08:23:40"},{"id":29,"name":"Sharepoint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644</v>
      </c>
      <c r="B222" s="7">
        <v>4017</v>
      </c>
      <c r="C222" s="21" t="s">
        <v>198</v>
      </c>
      <c r="D222" s="21" t="s">
        <v>962</v>
      </c>
      <c r="E222" s="13">
        <v>42965.224293981482</v>
      </c>
      <c r="F222" s="13">
        <v>42965.227650462963</v>
      </c>
      <c r="G222" s="7">
        <v>4</v>
      </c>
      <c r="H222" s="21" t="s">
        <v>611</v>
      </c>
      <c r="I222" s="13">
        <v>42965.233159722222</v>
      </c>
      <c r="J222" s="7">
        <v>0</v>
      </c>
      <c r="K222" s="89" t="str">
        <f t="shared" si="99"/>
        <v>4017/4018</v>
      </c>
      <c r="L222" s="21" t="str">
        <f>VLOOKUP(A222,'Trips&amp;Operators'!$C$1:$G$99999,5,FALSE)</f>
        <v>LOZA FIDEL</v>
      </c>
      <c r="M222" s="6">
        <f t="shared" si="100"/>
        <v>5.5092592592700385E-3</v>
      </c>
      <c r="N222" s="7">
        <f t="shared" si="112"/>
        <v>7.9333333333488554</v>
      </c>
      <c r="O222" s="7"/>
      <c r="P222" s="7"/>
      <c r="Q222" s="22"/>
      <c r="R222" s="170"/>
      <c r="S222" s="213">
        <f t="shared" si="94"/>
        <v>1</v>
      </c>
      <c r="T222" s="195" t="str">
        <f t="shared" si="101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102"/>
        <v>https://d0f6bd738d7f1b3e5a7ca70fe4ff75f0.us-east-1.aws.found.io/app/kibana#/discover/Steve-Slow-Train-Analysis-(2080s-and-2083s)?_g=(refreshInterval:(display:Off,pause:!f,section:0,value:0),time:(from:'2017-08-18T04:22:59-0600',mode:absolute,to:'2017-08-18T06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2" s="197" t="str">
        <f>IF(AA222&lt;VLOOKUP(AG222,Variables!$AC$3:$AD$8,2,FALSE),"Y","N")</f>
        <v>Y</v>
      </c>
      <c r="X222" s="197">
        <f t="shared" si="113"/>
        <v>1</v>
      </c>
      <c r="Y222" s="197">
        <f t="shared" si="114"/>
        <v>2.3563000000000001</v>
      </c>
      <c r="Z222" s="197">
        <f t="shared" si="115"/>
        <v>1.34E-2</v>
      </c>
      <c r="AA222" s="197">
        <f t="shared" si="103"/>
        <v>2.3429000000000002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6">
        <f t="shared" si="104"/>
        <v>312</v>
      </c>
      <c r="AE222" s="77" t="str">
        <f t="shared" si="105"/>
        <v>aws s3 cp s3://rtdc.mdm.uploadarchive.raw/RTDC4017/ "%USERPROFILE%\AppData\Local\Temp\OnboardLogs"\RTDC4017\2017-08-18 --exclude "*" --recursive --include "*20170818*" &amp; "%USERPROFILE%\Documents\GitHub\mrs-test-scripts\Headless Mode &amp; Sideloading\WalkAndUnGZ.bat" "%USERPROFILE%\AppData\Local\Temp\OnboardLogs"\RTDC4017\2017-08-18 &amp; aws s3 cp s3://rtdc.mdm.uploadarchive.raw/RTDC4017/ "%USERPROFILE%\AppData\Local\Temp\OnboardLogs"\RTDC4017\2017-08-19 --exclude "*" --recursive --include "*20170819*" &amp; "%USERPROFILE%\Documents\GitHub\mrs-test-scripts\Headless Mode &amp; Sideloading\WalkAndUnGZ.bat" "%USERPROFILE%\AppData\Local\Temp\OnboardLogs"\RTDC4017\2017-08-19</v>
      </c>
      <c r="AF222" s="74" t="str">
        <f t="shared" si="106"/>
        <v>"C:\Program Files (x86)\AstroGrep\AstroGrep.exe" /e /r /s /spath="%USERPROFILE%\AppData\Local\Temp\OnboardLogs" /stypes="app*4017*20170818*" /stext=" 11:.+((SYSTEM_STATE.+slice.+state.+changed )|(ment ac)|(multiple cpu faults)|(system.+state.+changed )|(\[timeout)|(PRM\|1\|D)|(kpr)|(kdp)|(train st.+moving)|(\|lc)|(penalty))"</v>
      </c>
      <c r="AG222" s="209" t="str">
        <f t="shared" si="107"/>
        <v>Other</v>
      </c>
      <c r="AH222" s="78" t="str">
        <f t="shared" si="108"/>
        <v>"%USERPROFILE%\Documents\GitHub\eaglep3\Utilities\RefineRTDCRunTimes.py" --tripid 312-18 --locoid 4017 --swversion DE.1.0.9.0 --startMP 300:23563 --initTime 2017-08-18T05:22:59 --startdatetime 2017-08-18T05:27:49 --delay 4 --endMP 204:134 --enddatetime 2017-08-18T05:35:45 --enforcementcount 0 &gt;&gt;C:\Users\stu\Documents\GitHub\eaglep3-reporting\EC\2017-08-18-refined-times.txt</v>
      </c>
      <c r="AI222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{"issue":{"subject":"","project_id":79,"tracker_id":40,"status_id":1,"priority_id":2,"assigned_to_id":23,"start_date":"2017-08-18","description":"","custom_fields":[{"id":1,"name":"Subdivision","value":"Other"},{"id":4,"name":"Milepost","value":"0.0134"},{"id":17,"name":"Train ID","value":"312-18"},{"id":16,"name":"Locomotive ID","value":"4017"},{"id":130,"name":"Impact","value":""},{"id":150,"name":"Time of Event (Mountain Time)","value":"05:35:45"},{"id":151,"name":"Denver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10"/>
        <v>start /low /b %USERPROFILE%\Documents\GitHub\eaglep3\Utilities\DownloadLogsFromS3.py --loco 4017 --day 2017-08-18</v>
      </c>
      <c r="AN222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11:35:45"},{"id":29,"name":"Sharepoint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592</v>
      </c>
      <c r="B223" s="7">
        <v>4032</v>
      </c>
      <c r="C223" s="21" t="s">
        <v>198</v>
      </c>
      <c r="D223" s="21" t="s">
        <v>624</v>
      </c>
      <c r="E223" s="13">
        <v>42965.088993055557</v>
      </c>
      <c r="F223" s="13">
        <v>42965.09003472222</v>
      </c>
      <c r="G223" s="7">
        <v>2</v>
      </c>
      <c r="H223" s="21" t="s">
        <v>482</v>
      </c>
      <c r="I223" s="13">
        <v>42965.098877314813</v>
      </c>
      <c r="J223" s="7">
        <v>0</v>
      </c>
      <c r="K223" s="89" t="str">
        <f t="shared" si="99"/>
        <v>4031/4032</v>
      </c>
      <c r="L223" s="21" t="str">
        <f>VLOOKUP(A223,'Trips&amp;Operators'!$C$1:$G$99999,5,FALSE)</f>
        <v>FORTUNATO FRANK</v>
      </c>
      <c r="M223" s="6">
        <f t="shared" si="100"/>
        <v>8.8425925932824612E-3</v>
      </c>
      <c r="N223" s="7">
        <f t="shared" si="112"/>
        <v>12.733333334326744</v>
      </c>
      <c r="O223" s="7"/>
      <c r="P223" s="7"/>
      <c r="Q223" s="22"/>
      <c r="R223" s="170"/>
      <c r="S223" s="213">
        <f t="shared" si="94"/>
        <v>1</v>
      </c>
      <c r="T223" s="195" t="str">
        <f t="shared" si="101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102"/>
        <v>https://d0f6bd738d7f1b3e5a7ca70fe4ff75f0.us-east-1.aws.found.io/app/kibana#/discover/Steve-Slow-Train-Analysis-(2080s-and-2083s)?_g=(refreshInterval:(display:Off,pause:!f,section:0,value:0),time:(from:'2017-08-18T01:08:09-0600',mode:absolute,to:'2017-08-18T03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3" s="197" t="str">
        <f>IF(AA223&lt;VLOOKUP(AG223,Variables!$AC$3:$AD$8,2,FALSE),"Y","N")</f>
        <v>Y</v>
      </c>
      <c r="X223" s="197">
        <f t="shared" si="113"/>
        <v>1</v>
      </c>
      <c r="Y223" s="197">
        <f t="shared" si="114"/>
        <v>0.22589999999999999</v>
      </c>
      <c r="Z223" s="197">
        <f t="shared" si="115"/>
        <v>2.3306</v>
      </c>
      <c r="AA223" s="197">
        <f t="shared" si="103"/>
        <v>2.1047000000000002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6">
        <f t="shared" si="104"/>
        <v>313</v>
      </c>
      <c r="AE223" s="77" t="str">
        <f t="shared" si="105"/>
        <v>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 &amp; aws s3 cp s3://rtdc.mdm.uploadarchive.raw/RTDC4032/ "%USERPROFILE%\AppData\Local\Temp\OnboardLogs"\RTDC4032\2017-08-19 --exclude "*" --recursive --include "*20170819*" &amp; "%USERPROFILE%\Documents\GitHub\mrs-test-scripts\Headless Mode &amp; Sideloading\WalkAndUnGZ.bat" "%USERPROFILE%\AppData\Local\Temp\OnboardLogs"\RTDC4032\2017-08-19</v>
      </c>
      <c r="AF223" s="74" t="str">
        <f t="shared" si="106"/>
        <v>"C:\Program Files (x86)\AstroGrep\AstroGrep.exe" /e /r /s /spath="%USERPROFILE%\AppData\Local\Temp\OnboardLogs" /stypes="app*4032*20170818*" /stext=" 08:.+((SYSTEM_STATE.+slice.+state.+changed )|(ment ac)|(multiple cpu faults)|(system.+state.+changed )|(\[timeout)|(PRM\|1\|D)|(kpr)|(kdp)|(train st.+moving)|(\|lc)|(penalty))"</v>
      </c>
      <c r="AG223" s="209" t="str">
        <f t="shared" si="107"/>
        <v>Other</v>
      </c>
      <c r="AH223" s="78" t="str">
        <f t="shared" si="108"/>
        <v>"%USERPROFILE%\Documents\GitHub\eaglep3\Utilities\RefineRTDCRunTimes.py" --tripid 313-17 --locoid 4032 --swversion DE.1.0.9.0 --startMP 204:2259 --initTime 2017-08-18T02:08:09 --startdatetime 2017-08-18T02:09:39 --delay 2 --endMP 300:23306 --enddatetime 2017-08-18T02:22:23 --enforcementcount 0 &gt;&gt;C:\Users\stu\Documents\GitHub\eaglep3-reporting\EC\2017-08-18-refined-times.txt</v>
      </c>
      <c r="AI223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{"issue":{"subject":"","project_id":79,"tracker_id":40,"status_id":1,"priority_id":2,"assigned_to_id":23,"start_date":"2017-08-18","description":"","custom_fields":[{"id":1,"name":"Subdivision","value":"Other"},{"id":4,"name":"Milepost","value":"2.3306"},{"id":17,"name":"Train ID","value":"313-17"},{"id":16,"name":"Locomotive ID","value":"4032"},{"id":130,"name":"Impact","value":""},{"id":150,"name":"Time of Event (Mountain Time)","value":"02:22:23"},{"id":151,"name":"Denver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10"/>
        <v>start /low /b %USERPROFILE%\Documents\GitHub\eaglep3\Utilities\DownloadLogsFromS3.py --loco 4032 --day 2017-08-18</v>
      </c>
      <c r="AN223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08:22:23"},{"id":29,"name":"Sharepoint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696</v>
      </c>
      <c r="B224" s="7">
        <v>4058</v>
      </c>
      <c r="C224" s="21" t="s">
        <v>198</v>
      </c>
      <c r="D224" s="21" t="s">
        <v>1024</v>
      </c>
      <c r="E224" s="13">
        <v>42965.193923611114</v>
      </c>
      <c r="F224" s="13">
        <v>42965.199467592596</v>
      </c>
      <c r="G224" s="7">
        <v>7</v>
      </c>
      <c r="H224" s="21" t="s">
        <v>1025</v>
      </c>
      <c r="I224" s="13">
        <v>42965.204560185186</v>
      </c>
      <c r="J224" s="7">
        <v>0</v>
      </c>
      <c r="K224" s="89" t="str">
        <f t="shared" si="99"/>
        <v>4057/4058</v>
      </c>
      <c r="L224" s="21" t="str">
        <f>VLOOKUP(A224,'Trips&amp;Operators'!$C$1:$G$99999,5,FALSE)</f>
        <v>PAGE MARCUS</v>
      </c>
      <c r="M224" s="6">
        <f t="shared" si="100"/>
        <v>5.0925925897900015E-3</v>
      </c>
      <c r="N224" s="7">
        <f t="shared" si="112"/>
        <v>7.3333333292976022</v>
      </c>
      <c r="O224" s="7"/>
      <c r="P224" s="7"/>
      <c r="Q224" s="22"/>
      <c r="R224" s="170"/>
      <c r="S224" s="213">
        <f t="shared" si="94"/>
        <v>0</v>
      </c>
      <c r="T224" s="195" t="str">
        <f t="shared" si="101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102"/>
        <v>https://d0f6bd738d7f1b3e5a7ca70fe4ff75f0.us-east-1.aws.found.io/app/kibana#/discover/Steve-Slow-Train-Analysis-(2080s-and-2083s)?_g=(refreshInterval:(display:Off,pause:!f,section:0,value:0),time:(from:'2017-08-18T03:39:15-0600',mode:absolute,to:'2017-08-18T05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4" s="197" t="str">
        <f>IF(AA224&lt;VLOOKUP(AG224,Variables!$AC$3:$AD$8,2,FALSE),"Y","N")</f>
        <v>Y</v>
      </c>
      <c r="X224" s="197">
        <f t="shared" si="113"/>
        <v>588</v>
      </c>
      <c r="Y224" s="197">
        <f t="shared" si="114"/>
        <v>3.0565000000000002</v>
      </c>
      <c r="Z224" s="197">
        <f t="shared" si="115"/>
        <v>5.8926999999999996</v>
      </c>
      <c r="AA224" s="197">
        <f t="shared" si="103"/>
        <v>2.8361999999999994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6">
        <f t="shared" si="104"/>
        <v>901</v>
      </c>
      <c r="AE224" s="77" t="str">
        <f t="shared" si="105"/>
        <v>aws s3 cp s3://rtdc.mdm.uploadarchive.raw/RTDC4058/ "%USERPROFILE%\AppData\Local\Temp\OnboardLogs"\RTDC4058\2017-08-18 --exclude "*" --recursive --include "*20170818*" &amp; "%USERPROFILE%\Documents\GitHub\mrs-test-scripts\Headless Mode &amp; Sideloading\WalkAndUnGZ.bat" "%USERPROFILE%\AppData\Local\Temp\OnboardLogs"\RTDC4058\2017-08-18 &amp; aws s3 cp s3://rtdc.mdm.uploadarchive.raw/RTDC4058/ "%USERPROFILE%\AppData\Local\Temp\OnboardLogs"\RTDC4058\2017-08-19 --exclude "*" --recursive --include "*20170819*" &amp; "%USERPROFILE%\Documents\GitHub\mrs-test-scripts\Headless Mode &amp; Sideloading\WalkAndUnGZ.bat" "%USERPROFILE%\AppData\Local\Temp\OnboardLogs"\RTDC4058\2017-08-19</v>
      </c>
      <c r="AF224" s="74" t="str">
        <f t="shared" si="106"/>
        <v>"C:\Program Files (x86)\AstroGrep\AstroGrep.exe" /e /r /s /spath="%USERPROFILE%\AppData\Local\Temp\OnboardLogs" /stypes="app*4058*20170818*" /stext=" 10:.+((SYSTEM_STATE.+slice.+state.+changed )|(ment ac)|(multiple cpu faults)|(system.+state.+changed )|(\[timeout)|(PRM\|1\|D)|(kpr)|(kdp)|(train st.+moving)|(\|lc)|(penalty))"</v>
      </c>
      <c r="AG224" s="209" t="str">
        <f t="shared" si="107"/>
        <v>Other</v>
      </c>
      <c r="AH224" s="78" t="str">
        <f t="shared" si="108"/>
        <v>"%USERPROFILE%\Documents\GitHub\eaglep3\Utilities\RefineRTDCRunTimes.py" --tripid 901-18 --locoid 4058 --swversion DE.1.0.9.0 --startMP 300:30565 --initTime 2017-08-18T04:39:15 --startdatetime 2017-08-18T04:47:14 --delay 7 --endMP 300:58927 --enddatetime 2017-08-18T04:54:34 --enforcementcount 0 &gt;&gt;C:\Users\stu\Documents\GitHub\eaglep3-reporting\EC\2017-08-18-refined-times.txt</v>
      </c>
      <c r="AI224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{"issue":{"subject":"","project_id":79,"tracker_id":40,"status_id":1,"priority_id":2,"assigned_to_id":23,"start_date":"2017-08-18","description":"","custom_fields":[{"id":1,"name":"Subdivision","value":"Other"},{"id":4,"name":"Milepost","value":"5.8927"},{"id":17,"name":"Train ID","value":"901-18"},{"id":16,"name":"Locomotive ID","value":"4058"},{"id":130,"name":"Impact","value":""},{"id":150,"name":"Time of Event (Mountain Time)","value":"04:54:34"},{"id":151,"name":"Denver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10"/>
        <v>start /low /b %USERPROFILE%\Documents\GitHub\eaglep3\Utilities\DownloadLogsFromS3.py --loco 4058 --day 2017-08-18</v>
      </c>
      <c r="AN224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10:54:34"},{"id":29,"name":"Sharepoint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s="20" customFormat="1" x14ac:dyDescent="0.25">
      <c r="A225" s="32" t="s">
        <v>706</v>
      </c>
      <c r="B225" s="7">
        <v>4007</v>
      </c>
      <c r="C225" s="21" t="s">
        <v>198</v>
      </c>
      <c r="D225" s="21" t="s">
        <v>621</v>
      </c>
      <c r="E225" s="13">
        <v>42965.247453703705</v>
      </c>
      <c r="F225" s="13">
        <v>42965.251574074071</v>
      </c>
      <c r="G225" s="7">
        <v>5</v>
      </c>
      <c r="H225" s="21" t="s">
        <v>568</v>
      </c>
      <c r="I225" s="13">
        <v>42965.256666666668</v>
      </c>
      <c r="J225" s="7">
        <v>0</v>
      </c>
      <c r="K225" s="89" t="str">
        <f t="shared" si="99"/>
        <v>4007/4008</v>
      </c>
      <c r="L225" s="21" t="str">
        <f>VLOOKUP(A225,'Trips&amp;Operators'!$C$1:$G$99999,5,FALSE)</f>
        <v>CASSIDY BRANDON</v>
      </c>
      <c r="M225" s="6">
        <f t="shared" si="100"/>
        <v>5.0925925970659591E-3</v>
      </c>
      <c r="N225" s="7">
        <f t="shared" si="112"/>
        <v>7.3333333397749811</v>
      </c>
      <c r="O225" s="7"/>
      <c r="P225" s="7"/>
      <c r="Q225" s="22"/>
      <c r="R225" s="170"/>
      <c r="S225" s="213">
        <f t="shared" si="94"/>
        <v>1</v>
      </c>
      <c r="T225" s="195" t="str">
        <f t="shared" si="101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102"/>
        <v>https://d0f6bd738d7f1b3e5a7ca70fe4ff75f0.us-east-1.aws.found.io/app/kibana#/discover/Steve-Slow-Train-Analysis-(2080s-and-2083s)?_g=(refreshInterval:(display:Off,pause:!f,section:0,value:0),time:(from:'2017-08-18T04:56:20-0600',mode:absolute,to:'2017-08-18T07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5" s="197" t="str">
        <f>IF(AA225&lt;VLOOKUP(AG225,Variables!$AC$3:$AD$8,2,FALSE),"Y","N")</f>
        <v>Y</v>
      </c>
      <c r="X225" s="197">
        <f t="shared" si="113"/>
        <v>1</v>
      </c>
      <c r="Y225" s="197">
        <f t="shared" si="114"/>
        <v>2.3302</v>
      </c>
      <c r="Z225" s="197">
        <f t="shared" si="115"/>
        <v>6.9099999999999995E-2</v>
      </c>
      <c r="AA225" s="197">
        <f t="shared" si="103"/>
        <v>2.2610999999999999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6">
        <f t="shared" si="104"/>
        <v>902</v>
      </c>
      <c r="AE225" s="77" t="str">
        <f t="shared" si="105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225" s="74" t="str">
        <f t="shared" si="106"/>
        <v>"C:\Program Files (x86)\AstroGrep\AstroGrep.exe" /e /r /s /spath="%USERPROFILE%\AppData\Local\Temp\OnboardLogs" /stypes="app*4007*20170818*" /stext=" 12:.+((SYSTEM_STATE.+slice.+state.+changed )|(ment ac)|(multiple cpu faults)|(system.+state.+changed )|(\[timeout)|(PRM\|1\|D)|(kpr)|(kdp)|(train st.+moving)|(\|lc)|(penalty))"</v>
      </c>
      <c r="AG225" s="209" t="str">
        <f t="shared" si="107"/>
        <v>Other</v>
      </c>
      <c r="AH225" s="78" t="str">
        <f t="shared" si="108"/>
        <v>"%USERPROFILE%\Documents\GitHub\eaglep3\Utilities\RefineRTDCRunTimes.py" --tripid 902-18 --locoid 4007 --swversion DE.1.0.9.0 --startMP 300:23302 --initTime 2017-08-18T05:56:20 --startdatetime 2017-08-18T06:02:16 --delay 5 --endMP 204:691 --enddatetime 2017-08-18T06:09:36 --enforcementcount 0 &gt;&gt;C:\Users\stu\Documents\GitHub\eaglep3-reporting\EC\2017-08-18-refined-times.txt</v>
      </c>
      <c r="AI225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{"issue":{"subject":"","project_id":79,"tracker_id":40,"status_id":1,"priority_id":2,"assigned_to_id":23,"start_date":"2017-08-18","description":"","custom_fields":[{"id":1,"name":"Subdivision","value":"Other"},{"id":4,"name":"Milepost","value":"0.0691"},{"id":17,"name":"Train ID","value":"902-18"},{"id":16,"name":"Locomotive ID","value":"4007"},{"id":130,"name":"Impact","value":""},{"id":150,"name":"Time of Event (Mountain Time)","value":"06:09:36"},{"id":151,"name":"Denver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110"/>
        <v>start /low /b %USERPROFILE%\Documents\GitHub\eaglep3\Utilities\DownloadLogsFromS3.py --loco 4007 --day 2017-08-18</v>
      </c>
      <c r="AN225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12:09:36"},{"id":29,"name":"Sharepoint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2" t="s">
        <v>733</v>
      </c>
      <c r="B226" s="7">
        <v>4058</v>
      </c>
      <c r="C226" s="21" t="s">
        <v>198</v>
      </c>
      <c r="D226" s="21" t="s">
        <v>1026</v>
      </c>
      <c r="E226" s="13">
        <v>42965.356261574074</v>
      </c>
      <c r="F226" s="13">
        <v>42965.357812499999</v>
      </c>
      <c r="G226" s="7">
        <v>1</v>
      </c>
      <c r="H226" s="21" t="s">
        <v>1027</v>
      </c>
      <c r="I226" s="13">
        <v>42965.366041666668</v>
      </c>
      <c r="J226" s="7">
        <v>0</v>
      </c>
      <c r="K226" s="89" t="str">
        <f t="shared" si="99"/>
        <v>4057/4058</v>
      </c>
      <c r="L226" s="21" t="str">
        <f>VLOOKUP(A226,'Trips&amp;Operators'!$C$1:$G$99999,5,FALSE)</f>
        <v>PAGE MARCUS</v>
      </c>
      <c r="M226" s="6">
        <f t="shared" si="100"/>
        <v>8.2291666694800369E-3</v>
      </c>
      <c r="N226" s="7">
        <f t="shared" si="112"/>
        <v>11.850000004051253</v>
      </c>
      <c r="O226" s="7"/>
      <c r="P226" s="7"/>
      <c r="Q226" s="22"/>
      <c r="R226" s="170"/>
      <c r="S226" s="213">
        <f t="shared" ref="S226:S237" si="116">1/IF(AG226="EC",12,1)*SUM(U226:U226)</f>
        <v>1</v>
      </c>
      <c r="T226" s="195" t="str">
        <f t="shared" si="101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102"/>
        <v>https://d0f6bd738d7f1b3e5a7ca70fe4ff75f0.us-east-1.aws.found.io/app/kibana#/discover/Steve-Slow-Train-Analysis-(2080s-and-2083s)?_g=(refreshInterval:(display:Off,pause:!f,section:0,value:0),time:(from:'2017-08-18T07:33:01-0600',mode:absolute,to:'2017-08-18T09:47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6" s="197" t="str">
        <f>IF(AA226&lt;VLOOKUP(AG226,Variables!$AC$3:$AD$8,2,FALSE),"Y","N")</f>
        <v>Y</v>
      </c>
      <c r="X226" s="197">
        <f t="shared" si="113"/>
        <v>1</v>
      </c>
      <c r="Y226" s="197">
        <f t="shared" si="114"/>
        <v>4.2299999999999997E-2</v>
      </c>
      <c r="Z226" s="197">
        <f t="shared" si="115"/>
        <v>2.4211999999999998</v>
      </c>
      <c r="AA226" s="197">
        <f t="shared" si="103"/>
        <v>2.3788999999999998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6">
        <f t="shared" si="104"/>
        <v>903</v>
      </c>
      <c r="AE226" s="77" t="str">
        <f t="shared" si="105"/>
        <v>aws s3 cp s3://rtdc.mdm.uploadarchive.raw/RTDC4058/ "%USERPROFILE%\AppData\Local\Temp\OnboardLogs"\RTDC4058\2017-08-18 --exclude "*" --recursive --include "*20170818*" &amp; "%USERPROFILE%\Documents\GitHub\mrs-test-scripts\Headless Mode &amp; Sideloading\WalkAndUnGZ.bat" "%USERPROFILE%\AppData\Local\Temp\OnboardLogs"\RTDC4058\2017-08-18 &amp; aws s3 cp s3://rtdc.mdm.uploadarchive.raw/RTDC4058/ "%USERPROFILE%\AppData\Local\Temp\OnboardLogs"\RTDC4058\2017-08-19 --exclude "*" --recursive --include "*20170819*" &amp; "%USERPROFILE%\Documents\GitHub\mrs-test-scripts\Headless Mode &amp; Sideloading\WalkAndUnGZ.bat" "%USERPROFILE%\AppData\Local\Temp\OnboardLogs"\RTDC4058\2017-08-19</v>
      </c>
      <c r="AF226" s="74" t="str">
        <f t="shared" si="106"/>
        <v>"C:\Program Files (x86)\AstroGrep\AstroGrep.exe" /e /r /s /spath="%USERPROFILE%\AppData\Local\Temp\OnboardLogs" /stypes="app*4058*20170818*" /stext=" 14:.+((SYSTEM_STATE.+slice.+state.+changed )|(ment ac)|(multiple cpu faults)|(system.+state.+changed )|(\[timeout)|(PRM\|1\|D)|(kpr)|(kdp)|(train st.+moving)|(\|lc)|(penalty))"</v>
      </c>
      <c r="AG226" s="209" t="str">
        <f t="shared" si="107"/>
        <v>Other</v>
      </c>
      <c r="AH226" s="78" t="str">
        <f t="shared" si="108"/>
        <v>"%USERPROFILE%\Documents\GitHub\eaglep3\Utilities\RefineRTDCRunTimes.py" --tripid 903-18 --locoid 4058 --swversion DE.1.0.9.0 --startMP 204:423 --initTime 2017-08-18T08:33:01 --startdatetime 2017-08-18T08:35:15 --delay 1 --endMP 300:24212 --enddatetime 2017-08-18T08:47:06 --enforcementcount 0 &gt;&gt;C:\Users\stu\Documents\GitHub\eaglep3-reporting\EC\2017-08-18-refined-times.txt</v>
      </c>
      <c r="AI226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{"issue":{"subject":"","project_id":79,"tracker_id":40,"status_id":1,"priority_id":2,"assigned_to_id":23,"start_date":"2017-08-18","description":"","custom_fields":[{"id":1,"name":"Subdivision","value":"Other"},{"id":4,"name":"Milepost","value":"2.4212"},{"id":17,"name":"Train ID","value":"903-18"},{"id":16,"name":"Locomotive ID","value":"4058"},{"id":130,"name":"Impact","value":""},{"id":150,"name":"Time of Event (Mountain Time)","value":"08:47:06"},{"id":151,"name":"Denver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10"/>
        <v>start /low /b %USERPROFILE%\Documents\GitHub\eaglep3\Utilities\DownloadLogsFromS3.py --loco 4058 --day 2017-08-18</v>
      </c>
      <c r="AN226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14:47:06"},{"id":29,"name":"Sharepoint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673</v>
      </c>
      <c r="B227" s="7">
        <v>4057</v>
      </c>
      <c r="C227" s="21" t="s">
        <v>198</v>
      </c>
      <c r="D227" s="21" t="s">
        <v>1028</v>
      </c>
      <c r="E227" s="13">
        <v>42965.638993055552</v>
      </c>
      <c r="F227" s="13">
        <v>42965.644317129627</v>
      </c>
      <c r="G227" s="7">
        <v>7</v>
      </c>
      <c r="H227" s="21" t="s">
        <v>1029</v>
      </c>
      <c r="I227" s="13">
        <v>42965.6483912037</v>
      </c>
      <c r="J227" s="7">
        <v>0</v>
      </c>
      <c r="K227" s="89" t="str">
        <f t="shared" si="99"/>
        <v>4057/4058</v>
      </c>
      <c r="L227" s="21" t="str">
        <f>VLOOKUP(A227,'Trips&amp;Operators'!$C$1:$G$99999,5,FALSE)</f>
        <v>ANDERS STEVEN</v>
      </c>
      <c r="M227" s="6">
        <f t="shared" si="100"/>
        <v>4.0740740732871927E-3</v>
      </c>
      <c r="N227" s="7">
        <f t="shared" si="112"/>
        <v>5.8666666655335575</v>
      </c>
      <c r="O227" s="7"/>
      <c r="P227" s="7"/>
      <c r="Q227" s="22"/>
      <c r="R227" s="170"/>
      <c r="S227" s="213">
        <f t="shared" si="116"/>
        <v>1</v>
      </c>
      <c r="T227" s="195" t="str">
        <f t="shared" si="101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102"/>
        <v>https://d0f6bd738d7f1b3e5a7ca70fe4ff75f0.us-east-1.aws.found.io/app/kibana#/discover/Steve-Slow-Train-Analysis-(2080s-and-2083s)?_g=(refreshInterval:(display:Off,pause:!f,section:0,value:0),time:(from:'2017-08-18T14:20:09-0600',mode:absolute,to:'2017-08-18T16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7" s="197" t="str">
        <f>IF(AA227&lt;VLOOKUP(AG227,Variables!$AC$3:$AD$8,2,FALSE),"Y","N")</f>
        <v>Y</v>
      </c>
      <c r="X227" s="197">
        <f t="shared" si="113"/>
        <v>1</v>
      </c>
      <c r="Y227" s="197">
        <f t="shared" si="114"/>
        <v>2.3641000000000001</v>
      </c>
      <c r="Z227" s="197">
        <f t="shared" si="115"/>
        <v>0.44419999999999998</v>
      </c>
      <c r="AA227" s="197">
        <f t="shared" si="103"/>
        <v>1.9199000000000002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6">
        <f t="shared" si="104"/>
        <v>904</v>
      </c>
      <c r="AE227" s="77" t="str">
        <f t="shared" si="105"/>
        <v>aws s3 cp s3://rtdc.mdm.uploadarchive.raw/RTDC4057/ "%USERPROFILE%\AppData\Local\Temp\OnboardLogs"\RTDC4057\2017-08-18 --exclude "*" --recursive --include "*20170818*" &amp; "%USERPROFILE%\Documents\GitHub\mrs-test-scripts\Headless Mode &amp; Sideloading\WalkAndUnGZ.bat" "%USERPROFILE%\AppData\Local\Temp\OnboardLogs"\RTDC4057\2017-08-18 &amp; aws s3 cp s3://rtdc.mdm.uploadarchive.raw/RTDC4057/ "%USERPROFILE%\AppData\Local\Temp\OnboardLogs"\RTDC4057\2017-08-19 --exclude "*" --recursive --include "*20170819*" &amp; "%USERPROFILE%\Documents\GitHub\mrs-test-scripts\Headless Mode &amp; Sideloading\WalkAndUnGZ.bat" "%USERPROFILE%\AppData\Local\Temp\OnboardLogs"\RTDC4057\2017-08-19</v>
      </c>
      <c r="AF227" s="74" t="str">
        <f t="shared" si="106"/>
        <v>"C:\Program Files (x86)\AstroGrep\AstroGrep.exe" /e /r /s /spath="%USERPROFILE%\AppData\Local\Temp\OnboardLogs" /stypes="app*4057*20170818*" /stext=" 21:.+((SYSTEM_STATE.+slice.+state.+changed )|(ment ac)|(multiple cpu faults)|(system.+state.+changed )|(\[timeout)|(PRM\|1\|D)|(kpr)|(kdp)|(train st.+moving)|(\|lc)|(penalty))"</v>
      </c>
      <c r="AG227" s="209" t="str">
        <f t="shared" si="107"/>
        <v>Other</v>
      </c>
      <c r="AH227" s="78" t="str">
        <f t="shared" si="108"/>
        <v>"%USERPROFILE%\Documents\GitHub\eaglep3\Utilities\RefineRTDCRunTimes.py" --tripid 904-18 --locoid 4057 --swversion DE.1.0.9.0 --startMP 300:23641 --initTime 2017-08-18T15:20:09 --startdatetime 2017-08-18T15:27:49 --delay 7 --endMP 204:4442 --enddatetime 2017-08-18T15:33:41 --enforcementcount 0 &gt;&gt;C:\Users\stu\Documents\GitHub\eaglep3-reporting\EC\2017-08-18-refined-times.txt</v>
      </c>
      <c r="AI227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{"issue":{"subject":"","project_id":79,"tracker_id":40,"status_id":1,"priority_id":2,"assigned_to_id":23,"start_date":"2017-08-18","description":"","custom_fields":[{"id":1,"name":"Subdivision","value":"Other"},{"id":4,"name":"Milepost","value":"0.4442"},{"id":17,"name":"Train ID","value":"904-18"},{"id":16,"name":"Locomotive ID","value":"4057"},{"id":130,"name":"Impact","value":""},{"id":150,"name":"Time of Event (Mountain Time)","value":"15:33:41"},{"id":151,"name":"Denver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10"/>
        <v>start /low /b %USERPROFILE%\Documents\GitHub\eaglep3\Utilities\DownloadLogsFromS3.py --loco 4057 --day 2017-08-18</v>
      </c>
      <c r="AN227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21:33:41"},{"id":29,"name":"Sharepoint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845</v>
      </c>
      <c r="B228" s="7">
        <v>4057</v>
      </c>
      <c r="C228" s="21" t="s">
        <v>198</v>
      </c>
      <c r="D228" s="21" t="s">
        <v>1030</v>
      </c>
      <c r="E228" s="13">
        <v>42965.797546296293</v>
      </c>
      <c r="F228" s="13">
        <v>42965.799050925925</v>
      </c>
      <c r="G228" s="7">
        <v>0</v>
      </c>
      <c r="H228" s="21" t="s">
        <v>1031</v>
      </c>
      <c r="I228" s="13">
        <v>42965.805983796294</v>
      </c>
      <c r="J228" s="7">
        <v>0</v>
      </c>
      <c r="K228" s="89" t="str">
        <f t="shared" si="99"/>
        <v>4057/4058</v>
      </c>
      <c r="L228" s="21" t="str">
        <f>VLOOKUP(A228,'Trips&amp;Operators'!$C$1:$G$99999,5,FALSE)</f>
        <v>MCREYNOLDS KYLE</v>
      </c>
      <c r="M228" s="6">
        <f t="shared" si="100"/>
        <v>6.9328703684732318E-3</v>
      </c>
      <c r="N228" s="7">
        <f t="shared" si="112"/>
        <v>9.9833333306014538</v>
      </c>
      <c r="O228" s="7"/>
      <c r="P228" s="7"/>
      <c r="Q228" s="22"/>
      <c r="R228" s="170"/>
      <c r="S228" s="213">
        <f t="shared" si="116"/>
        <v>0</v>
      </c>
      <c r="T228" s="195" t="str">
        <f t="shared" si="101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102"/>
        <v>https://d0f6bd738d7f1b3e5a7ca70fe4ff75f0.us-east-1.aws.found.io/app/kibana#/discover/Steve-Slow-Train-Analysis-(2080s-and-2083s)?_g=(refreshInterval:(display:Off,pause:!f,section:0,value:0),time:(from:'2017-08-18T18:08:28-0600',mode:absolute,to:'2017-08-18T20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8" s="197" t="str">
        <f>IF(AA228&lt;VLOOKUP(AG228,Variables!$AC$3:$AD$8,2,FALSE),"Y","N")</f>
        <v>Y</v>
      </c>
      <c r="X228" s="197">
        <f t="shared" si="113"/>
        <v>2</v>
      </c>
      <c r="Y228" s="197">
        <f t="shared" si="114"/>
        <v>5.8643000000000001</v>
      </c>
      <c r="Z228" s="197">
        <f t="shared" si="115"/>
        <v>2.8778000000000001</v>
      </c>
      <c r="AA228" s="197">
        <f t="shared" si="103"/>
        <v>2.9864999999999999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6">
        <f t="shared" si="104"/>
        <v>906</v>
      </c>
      <c r="AE228" s="77" t="str">
        <f t="shared" si="105"/>
        <v>aws s3 cp s3://rtdc.mdm.uploadarchive.raw/RTDC4057/ "%USERPROFILE%\AppData\Local\Temp\OnboardLogs"\RTDC4057\2017-08-18 --exclude "*" --recursive --include "*20170818*" &amp; "%USERPROFILE%\Documents\GitHub\mrs-test-scripts\Headless Mode &amp; Sideloading\WalkAndUnGZ.bat" "%USERPROFILE%\AppData\Local\Temp\OnboardLogs"\RTDC4057\2017-08-18 &amp; aws s3 cp s3://rtdc.mdm.uploadarchive.raw/RTDC4057/ "%USERPROFILE%\AppData\Local\Temp\OnboardLogs"\RTDC4057\2017-08-19 --exclude "*" --recursive --include "*20170819*" &amp; "%USERPROFILE%\Documents\GitHub\mrs-test-scripts\Headless Mode &amp; Sideloading\WalkAndUnGZ.bat" "%USERPROFILE%\AppData\Local\Temp\OnboardLogs"\RTDC4057\2017-08-19</v>
      </c>
      <c r="AF228" s="74" t="str">
        <f t="shared" si="106"/>
        <v>"C:\Program Files (x86)\AstroGrep\AstroGrep.exe" /e /r /s /spath="%USERPROFILE%\AppData\Local\Temp\OnboardLogs" /stypes="app*4057*20170819*" /stext=" 01:.+((SYSTEM_STATE.+slice.+state.+changed )|(ment ac)|(multiple cpu faults)|(system.+state.+changed )|(\[timeout)|(PRM\|1\|D)|(kpr)|(kdp)|(train st.+moving)|(\|lc)|(penalty))"</v>
      </c>
      <c r="AG228" s="209" t="str">
        <f t="shared" si="107"/>
        <v>Other</v>
      </c>
      <c r="AH228" s="78" t="str">
        <f t="shared" si="108"/>
        <v>"%USERPROFILE%\Documents\GitHub\eaglep3\Utilities\RefineRTDCRunTimes.py" --tripid 906-18 --locoid 4057 --swversion DE.1.0.9.0 --startMP 300:58643 --initTime 2017-08-18T19:08:28 --startdatetime 2017-08-18T19:10:38 --delay 0 --endMP 300:28778 --enddatetime 2017-08-18T19:20:37 --enforcementcount 0 &gt;&gt;C:\Users\stu\Documents\GitHub\eaglep3-reporting\EC\2017-08-18-refined-times.txt</v>
      </c>
      <c r="AI228" s="96" t="str">
        <f t="shared" si="109"/>
        <v>echo {"issue":{"subject":"","project_id":79,"tracker_id":40,"status_id":1,"priority_id":2,"assigned_to_id":23,"start_date":"2017-08-18","description":"","custom_fields":[{"id":1,"name":"Subdivision","value":"Other"},{"id":4,"name":"Milepost","value":"2.8778"},{"id":17,"name":"Train ID","value":"906-18"},{"id":16,"name":"Locomotive ID","value":"4057"},{"id":130,"name":"Impact","value":""},{"id":150,"name":"Time of Event (Mountain Time)","value":"19:20:37"},{"id":151,"name":"Denver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10"/>
        <v>start /low /b %USERPROFILE%\Documents\GitHub\eaglep3\Utilities\DownloadLogsFromS3.py --loco 4057 --day 2017-08-18</v>
      </c>
      <c r="AN228" s="151" t="str">
        <f t="shared" si="11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01:20:37"},{"id":29,"name":"Sharepoint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865</v>
      </c>
      <c r="B229" s="7">
        <v>4007</v>
      </c>
      <c r="C229" s="21" t="s">
        <v>198</v>
      </c>
      <c r="D229" s="21" t="s">
        <v>1011</v>
      </c>
      <c r="E229" s="13">
        <v>42965.943287037036</v>
      </c>
      <c r="F229" s="13">
        <v>42965.945486111108</v>
      </c>
      <c r="G229" s="7">
        <v>1</v>
      </c>
      <c r="H229" s="21" t="s">
        <v>1032</v>
      </c>
      <c r="I229" s="13">
        <v>25568.708333333332</v>
      </c>
      <c r="J229" s="7">
        <v>0</v>
      </c>
      <c r="K229" s="89" t="str">
        <f t="shared" si="99"/>
        <v>4007/4008</v>
      </c>
      <c r="L229" s="21" t="str">
        <f>VLOOKUP(A229,'Trips&amp;Operators'!$C$1:$G$99999,5,FALSE)</f>
        <v>ANDERS STEVEN</v>
      </c>
      <c r="M229" s="6">
        <f t="shared" si="100"/>
        <v>-17397.237152777776</v>
      </c>
      <c r="N229" s="7">
        <f t="shared" si="112"/>
        <v>-25052021.499999996</v>
      </c>
      <c r="O229" s="7"/>
      <c r="P229" s="7"/>
      <c r="Q229" s="22"/>
      <c r="R229" s="170"/>
      <c r="S229" s="213">
        <f t="shared" si="116"/>
        <v>0</v>
      </c>
      <c r="T229" s="195" t="str">
        <f t="shared" si="101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102"/>
        <v>https://d0f6bd738d7f1b3e5a7ca70fe4ff75f0.us-east-1.aws.found.io/app/kibana#/discover/Steve-Slow-Train-Analysis-(2080s-and-2083s)?_g=(refreshInterval:(display:Off,pause:!f,section:0,value:0),time:(from:'2017-08-18T21:38:20-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9" s="197" t="str">
        <f>IF(AA229&lt;VLOOKUP(AG229,Variables!$AC$3:$AD$8,2,FALSE),"Y","N")</f>
        <v>Y</v>
      </c>
      <c r="X229" s="197">
        <f t="shared" si="113"/>
        <v>2</v>
      </c>
      <c r="Y229" s="197">
        <f t="shared" si="114"/>
        <v>5.8632</v>
      </c>
      <c r="Z229" s="197">
        <f t="shared" si="115"/>
        <v>2.8774000000000002</v>
      </c>
      <c r="AA229" s="197">
        <f t="shared" si="103"/>
        <v>2.9857999999999998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6">
        <f t="shared" si="104"/>
        <v>908</v>
      </c>
      <c r="AE229" s="77" t="str">
        <f t="shared" si="105"/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AF229" s="74" t="str">
        <f t="shared" si="106"/>
        <v>"C:\Program Files (x86)\AstroGrep\AstroGrep.exe" /e /r /s /spath="%USERPROFILE%\AppData\Local\Temp\OnboardLogs" /stypes="app*4007*19691231*" /stext=" 23:.+((SYSTEM_STATE.+slice.+state.+changed )|(ment ac)|(multiple cpu faults)|(system.+state.+changed )|(\[timeout)|(PRM\|1\|D)|(kpr)|(kdp)|(train st.+moving)|(\|lc)|(penalty))"</v>
      </c>
      <c r="AG229" s="209" t="str">
        <f t="shared" si="107"/>
        <v>Other</v>
      </c>
      <c r="AH229" s="78" t="str">
        <f t="shared" si="108"/>
        <v>"%USERPROFILE%\Documents\GitHub\eaglep3\Utilities\RefineRTDCRunTimes.py" --tripid 908-18 --locoid 4007 --swversion DE.1.0.9.0 --startMP 300:58632 --initTime 2017-08-18T22:38:20 --startdatetime 2017-08-18T22:41:30 --delay 1 --endMP 300:28774 --enddatetime 1969-12-31T17:00:00 --enforcementcount 0 &gt;&gt;C:\Users\stu\Documents\GitHub\eaglep3-reporting\EC\2017-08-18-refined-times.txt</v>
      </c>
      <c r="AI229" s="96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{"issue":{"subject":"","project_id":79,"tracker_id":40,"status_id":1,"priority_id":2,"assigned_to_id":23,"start_date":"1969-12-31","description":"","custom_fields":[{"id":1,"name":"Subdivision","value":"Other"},{"id":4,"name":"Milepost","value":"2.8774"},{"id":17,"name":"Train ID","value":"908-18"},{"id":16,"name":"Locomotive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10"/>
        <v>start /low /b %USERPROFILE%\Documents\GitHub\eaglep3\Utilities\DownloadLogsFromS3.py --loco 4007 --day 2017-08-18</v>
      </c>
      <c r="AN229" s="151" t="str">
        <f t="shared" si="111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829</v>
      </c>
      <c r="B230" s="7">
        <v>4041</v>
      </c>
      <c r="C230" s="21" t="s">
        <v>198</v>
      </c>
      <c r="D230" s="21" t="s">
        <v>963</v>
      </c>
      <c r="E230" s="13">
        <v>42965.738969907405</v>
      </c>
      <c r="F230" s="13">
        <v>42965.743622685186</v>
      </c>
      <c r="G230" s="7">
        <v>6</v>
      </c>
      <c r="H230" s="21" t="s">
        <v>964</v>
      </c>
      <c r="I230" s="13">
        <v>42965.748368055552</v>
      </c>
      <c r="J230" s="7">
        <v>0</v>
      </c>
      <c r="K230" s="89" t="str">
        <f t="shared" si="99"/>
        <v>4041/4042</v>
      </c>
      <c r="L230" s="21" t="str">
        <f>VLOOKUP(A230,'Trips&amp;Operators'!$C$1:$G$99999,5,FALSE)</f>
        <v>BIRENBAUM THOMAS</v>
      </c>
      <c r="M230" s="6">
        <f t="shared" si="100"/>
        <v>4.7453703664359637E-3</v>
      </c>
      <c r="N230" s="7">
        <f t="shared" si="112"/>
        <v>6.8333333276677877</v>
      </c>
      <c r="O230" s="7"/>
      <c r="P230" s="7"/>
      <c r="Q230" s="22"/>
      <c r="R230" s="170"/>
      <c r="S230" s="213">
        <f t="shared" si="116"/>
        <v>1</v>
      </c>
      <c r="T230" s="195" t="str">
        <f t="shared" si="101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102"/>
        <v>https://d0f6bd738d7f1b3e5a7ca70fe4ff75f0.us-east-1.aws.found.io/app/kibana#/discover/Steve-Slow-Train-Analysis-(2080s-and-2083s)?_g=(refreshInterval:(display:Off,pause:!f,section:0,value:0),time:(from:'2017-08-18T16:44:07-0600',mode:absolute,to:'2017-08-18T18:57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0" s="197" t="str">
        <f>IF(AA230&lt;VLOOKUP(AG230,Variables!$AC$3:$AD$8,2,FALSE),"Y","N")</f>
        <v>Y</v>
      </c>
      <c r="X230" s="197">
        <f t="shared" si="113"/>
        <v>-858</v>
      </c>
      <c r="Y230" s="197">
        <f t="shared" si="114"/>
        <v>2.2404000000000002</v>
      </c>
      <c r="Z230" s="197">
        <f t="shared" si="115"/>
        <v>0.1643</v>
      </c>
      <c r="AA230" s="197">
        <f t="shared" si="103"/>
        <v>2.0761000000000003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6">
        <f t="shared" si="104"/>
        <v>50</v>
      </c>
      <c r="AE230" s="77" t="str">
        <f t="shared" si="105"/>
        <v>aws s3 cp s3://rtdc.mdm.uploadarchive.raw/RTDC4041/ "%USERPROFILE%\AppData\Local\Temp\OnboardLogs"\RTDC4041\2017-08-18 --exclude "*" --recursive --include "*20170818*" &amp; "%USERPROFILE%\Documents\GitHub\mrs-test-scripts\Headless Mode &amp; Sideloading\WalkAndUnGZ.bat" "%USERPROFILE%\AppData\Local\Temp\OnboardLogs"\RTDC4041\2017-08-18 &amp; aws s3 cp s3://rtdc.mdm.uploadarchive.raw/RTDC4041/ "%USERPROFILE%\AppData\Local\Temp\OnboardLogs"\RTDC4041\2017-08-19 --exclude "*" --recursive --include "*20170819*" &amp; "%USERPROFILE%\Documents\GitHub\mrs-test-scripts\Headless Mode &amp; Sideloading\WalkAndUnGZ.bat" "%USERPROFILE%\AppData\Local\Temp\OnboardLogs"\RTDC4041\2017-08-19</v>
      </c>
      <c r="AF230" s="74" t="str">
        <f t="shared" si="106"/>
        <v>"C:\Program Files (x86)\AstroGrep\AstroGrep.exe" /e /r /s /spath="%USERPROFILE%\AppData\Local\Temp\OnboardLogs" /stypes="app*4041*20170818*" /stext=" 23:.+((SYSTEM_STATE.+slice.+state.+changed )|(ment ac)|(multiple cpu faults)|(system.+state.+changed )|(\[timeout)|(PRM\|1\|D)|(kpr)|(kdp)|(train st.+moving)|(\|lc)|(penalty))"</v>
      </c>
      <c r="AG230" s="209" t="str">
        <f t="shared" si="107"/>
        <v>Shuttle/Test</v>
      </c>
      <c r="AH230" s="78" t="str">
        <f t="shared" si="108"/>
        <v>"%USERPROFILE%\Documents\GitHub\eaglep3\Utilities\RefineRTDCRunTimes.py" --tripid 50-18 --locoid 4041 --swversion DE.1.0.9.0 --startMP 300:22404 --initTime 2017-08-18T17:44:07 --startdatetime 2017-08-18T17:50:49 --delay 6 --endMP 204:1643 --enddatetime 2017-08-18T17:57:39 --enforcementcount 0 &gt;&gt;C:\Users\stu\Documents\GitHub\eaglep3-reporting\EC\2017-08-18-refined-times.txt</v>
      </c>
      <c r="AI230" s="96" t="str">
        <f t="shared" si="109"/>
        <v>echo {"issue":{"subject":"","project_id":79,"tracker_id":40,"status_id":1,"priority_id":2,"assigned_to_id":23,"start_date":"2017-08-18","description":"","custom_fields":[{"id":1,"name":"Subdivision","value":"Shuttle/Test"},{"id":4,"name":"Milepost","value":"0.1643"},{"id":17,"name":"Train ID","value":"50-18"},{"id":16,"name":"Locomotive ID","value":"4041"},{"id":130,"name":"Impact","value":""},{"id":150,"name":"Time of Event (Mountain Time)","value":"17:57:39"},{"id":151,"name":"Denver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10"/>
        <v>start /low /b %USERPROFILE%\Documents\GitHub\eaglep3\Utilities\DownloadLogsFromS3.py --loco 4041 --day 2017-08-18</v>
      </c>
      <c r="AN230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23:57:39"},{"id":29,"name":"Sharepoint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684</v>
      </c>
      <c r="B231" s="7">
        <v>4002</v>
      </c>
      <c r="C231" s="21" t="s">
        <v>198</v>
      </c>
      <c r="D231" s="21" t="s">
        <v>456</v>
      </c>
      <c r="E231" s="13">
        <v>42965.126388888886</v>
      </c>
      <c r="F231" s="13">
        <v>42965.137233796297</v>
      </c>
      <c r="G231" s="7">
        <v>2</v>
      </c>
      <c r="H231" s="21" t="s">
        <v>625</v>
      </c>
      <c r="I231" s="13">
        <v>42965.138379629629</v>
      </c>
      <c r="J231" s="7">
        <v>0</v>
      </c>
      <c r="K231" s="89" t="str">
        <f t="shared" si="99"/>
        <v>4001/4002</v>
      </c>
      <c r="L231" s="21" t="str">
        <f>VLOOKUP(A231,'Trips&amp;Operators'!$C$1:$G$99999,5,FALSE)</f>
        <v>SPECTOR MICHAEL</v>
      </c>
      <c r="M231" s="6">
        <f t="shared" si="100"/>
        <v>1.1458333319751546E-3</v>
      </c>
      <c r="N231" s="7">
        <f t="shared" si="112"/>
        <v>1.6499999980442226</v>
      </c>
      <c r="O231" s="7"/>
      <c r="P231" s="7"/>
      <c r="Q231" s="22"/>
      <c r="R231" s="170"/>
      <c r="S231" s="213">
        <f t="shared" si="116"/>
        <v>0</v>
      </c>
      <c r="T231" s="195" t="str">
        <f t="shared" si="101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102"/>
        <v>https://d0f6bd738d7f1b3e5a7ca70fe4ff75f0.us-east-1.aws.found.io/app/kibana#/discover/Steve-Slow-Train-Analysis-(2080s-and-2083s)?_g=(refreshInterval:(display:Off,pause:!f,section:0,value:0),time:(from:'2017-08-18T02:02:00-0600',mode:absolute,to:'2017-08-18T04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1" s="197" t="str">
        <f>IF(AA231&lt;VLOOKUP(AG231,Variables!$AC$3:$AD$8,2,FALSE),"Y","N")</f>
        <v>Y</v>
      </c>
      <c r="X231" s="197">
        <f t="shared" si="113"/>
        <v>1</v>
      </c>
      <c r="Y231" s="197">
        <f t="shared" si="114"/>
        <v>4.4200000000000003E-2</v>
      </c>
      <c r="Z231" s="197">
        <f t="shared" si="115"/>
        <v>0.35639999999999999</v>
      </c>
      <c r="AA231" s="197">
        <f t="shared" si="103"/>
        <v>0.31219999999999998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6">
        <f t="shared" si="104"/>
        <v>51</v>
      </c>
      <c r="AE231" s="77" t="str">
        <f t="shared" si="105"/>
        <v>aws s3 cp s3://rtdc.mdm.uploadarchive.raw/RTDC4002/ "%USERPROFILE%\AppData\Local\Temp\OnboardLogs"\RTDC4002\2017-08-18 --exclude "*" --recursive --include "*20170818*" &amp; "%USERPROFILE%\Documents\GitHub\mrs-test-scripts\Headless Mode &amp; Sideloading\WalkAndUnGZ.bat" "%USERPROFILE%\AppData\Local\Temp\OnboardLogs"\RTDC4002\2017-08-18 &amp; aws s3 cp s3://rtdc.mdm.uploadarchive.raw/RTDC4002/ "%USERPROFILE%\AppData\Local\Temp\OnboardLogs"\RTDC4002\2017-08-19 --exclude "*" --recursive --include "*20170819*" &amp; "%USERPROFILE%\Documents\GitHub\mrs-test-scripts\Headless Mode &amp; Sideloading\WalkAndUnGZ.bat" "%USERPROFILE%\AppData\Local\Temp\OnboardLogs"\RTDC4002\2017-08-19</v>
      </c>
      <c r="AF231" s="74" t="str">
        <f t="shared" si="106"/>
        <v>"C:\Program Files (x86)\AstroGrep\AstroGrep.exe" /e /r /s /spath="%USERPROFILE%\AppData\Local\Temp\OnboardLogs" /stypes="app*4002*20170818*" /stext=" 09:.+((SYSTEM_STATE.+slice.+state.+changed )|(ment ac)|(multiple cpu faults)|(system.+state.+changed )|(\[timeout)|(PRM\|1\|D)|(kpr)|(kdp)|(train st.+moving)|(\|lc)|(penalty))"</v>
      </c>
      <c r="AG231" s="209" t="str">
        <f t="shared" si="107"/>
        <v>Shuttle/Test</v>
      </c>
      <c r="AH231" s="78" t="str">
        <f t="shared" si="108"/>
        <v>"%USERPROFILE%\Documents\GitHub\eaglep3\Utilities\RefineRTDCRunTimes.py" --tripid 51-18 --locoid 4002 --swversion DE.1.0.9.0 --startMP 204:442 --initTime 2017-08-18T03:02:00 --startdatetime 2017-08-18T03:17:37 --delay 2 --endMP 204:3564 --enddatetime 2017-08-18T03:19:16 --enforcementcount 0 &gt;&gt;C:\Users\stu\Documents\GitHub\eaglep3-reporting\EC\2017-08-18-refined-times.txt</v>
      </c>
      <c r="AI231" s="96" t="str">
        <f t="shared" si="109"/>
        <v>echo {"issue":{"subject":"","project_id":79,"tracker_id":40,"status_id":1,"priority_id":2,"assigned_to_id":23,"start_date":"2017-08-18","description":"","custom_fields":[{"id":1,"name":"Subdivision","value":"Shuttle/Test"},{"id":4,"name":"Milepost","value":"0.3564"},{"id":17,"name":"Train ID","value":"51-18"},{"id":16,"name":"Locomotive ID","value":"4002"},{"id":130,"name":"Impact","value":""},{"id":150,"name":"Time of Event (Mountain Time)","value":"03:19:16"},{"id":151,"name":"Denver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10"/>
        <v>start /low /b %USERPROFILE%\Documents\GitHub\eaglep3\Utilities\DownloadLogsFromS3.py --loco 4002 --day 2017-08-18</v>
      </c>
      <c r="AN231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09:19:16"},{"id":29,"name":"Sharepoint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687</v>
      </c>
      <c r="B232" s="7">
        <v>4001</v>
      </c>
      <c r="C232" s="21" t="s">
        <v>198</v>
      </c>
      <c r="D232" s="21" t="s">
        <v>965</v>
      </c>
      <c r="E232" s="13">
        <v>42965.139247685183</v>
      </c>
      <c r="F232" s="13">
        <v>42965.141238425924</v>
      </c>
      <c r="G232" s="7">
        <v>1</v>
      </c>
      <c r="H232" s="21" t="s">
        <v>966</v>
      </c>
      <c r="I232" s="13">
        <v>42965.142314814817</v>
      </c>
      <c r="J232" s="7">
        <v>0</v>
      </c>
      <c r="K232" s="89" t="str">
        <f t="shared" si="99"/>
        <v>4001/4002</v>
      </c>
      <c r="L232" s="21" t="str">
        <f>VLOOKUP(A232,'Trips&amp;Operators'!$C$1:$G$99999,5,FALSE)</f>
        <v>SPECTOR MICHAEL</v>
      </c>
      <c r="M232" s="6">
        <f t="shared" si="100"/>
        <v>1.0763888931251131E-3</v>
      </c>
      <c r="N232" s="7">
        <f t="shared" si="112"/>
        <v>1.5500000061001629</v>
      </c>
      <c r="O232" s="7"/>
      <c r="P232" s="7"/>
      <c r="Q232" s="22"/>
      <c r="R232" s="170"/>
      <c r="S232" s="213">
        <f t="shared" si="116"/>
        <v>0</v>
      </c>
      <c r="T232" s="195" t="str">
        <f t="shared" si="101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102"/>
        <v>https://d0f6bd738d7f1b3e5a7ca70fe4ff75f0.us-east-1.aws.found.io/app/kibana#/discover/Steve-Slow-Train-Analysis-(2080s-and-2083s)?_g=(refreshInterval:(display:Off,pause:!f,section:0,value:0),time:(from:'2017-08-18T02:20:31-0600',mode:absolute,to:'2017-08-18T04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2" s="197" t="str">
        <f>IF(AA232&lt;VLOOKUP(AG232,Variables!$AC$3:$AD$8,2,FALSE),"Y","N")</f>
        <v>Y</v>
      </c>
      <c r="X232" s="197">
        <f t="shared" si="113"/>
        <v>1</v>
      </c>
      <c r="Y232" s="197">
        <f t="shared" si="114"/>
        <v>0.32090000000000002</v>
      </c>
      <c r="Z232" s="197">
        <f t="shared" si="115"/>
        <v>0.20849999999999999</v>
      </c>
      <c r="AA232" s="197">
        <f t="shared" si="103"/>
        <v>0.11240000000000003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6">
        <f t="shared" si="104"/>
        <v>52</v>
      </c>
      <c r="AE232" s="77" t="str">
        <f t="shared" si="105"/>
        <v>aws s3 cp s3://rtdc.mdm.uploadarchive.raw/RTDC4001/ "%USERPROFILE%\AppData\Local\Temp\OnboardLogs"\RTDC4001\2017-08-18 --exclude "*" --recursive --include "*20170818*" &amp; "%USERPROFILE%\Documents\GitHub\mrs-test-scripts\Headless Mode &amp; Sideloading\WalkAndUnGZ.bat" "%USERPROFILE%\AppData\Local\Temp\OnboardLogs"\RTDC4001\2017-08-18 &amp; aws s3 cp s3://rtdc.mdm.uploadarchive.raw/RTDC4001/ "%USERPROFILE%\AppData\Local\Temp\OnboardLogs"\RTDC4001\2017-08-19 --exclude "*" --recursive --include "*20170819*" &amp; "%USERPROFILE%\Documents\GitHub\mrs-test-scripts\Headless Mode &amp; Sideloading\WalkAndUnGZ.bat" "%USERPROFILE%\AppData\Local\Temp\OnboardLogs"\RTDC4001\2017-08-19</v>
      </c>
      <c r="AF232" s="74" t="str">
        <f t="shared" si="106"/>
        <v>"C:\Program Files (x86)\AstroGrep\AstroGrep.exe" /e /r /s /spath="%USERPROFILE%\AppData\Local\Temp\OnboardLogs" /stypes="app*4001*20170818*" /stext=" 09:.+((SYSTEM_STATE.+slice.+state.+changed )|(ment ac)|(multiple cpu faults)|(system.+state.+changed )|(\[timeout)|(PRM\|1\|D)|(kpr)|(kdp)|(train st.+moving)|(\|lc)|(penalty))"</v>
      </c>
      <c r="AG232" s="209" t="str">
        <f t="shared" si="107"/>
        <v>Shuttle/Test</v>
      </c>
      <c r="AH232" s="78" t="str">
        <f t="shared" si="108"/>
        <v>"%USERPROFILE%\Documents\GitHub\eaglep3\Utilities\RefineRTDCRunTimes.py" --tripid 52-18 --locoid 4001 --swversion DE.1.0.9.0 --startMP 204:3209 --initTime 2017-08-18T03:20:31 --startdatetime 2017-08-18T03:23:23 --delay 1 --endMP 204:2085 --enddatetime 2017-08-18T03:24:56 --enforcementcount 0 &gt;&gt;C:\Users\stu\Documents\GitHub\eaglep3-reporting\EC\2017-08-18-refined-times.txt</v>
      </c>
      <c r="AI232" s="96" t="str">
        <f t="shared" si="109"/>
        <v>echo {"issue":{"subject":"","project_id":79,"tracker_id":40,"status_id":1,"priority_id":2,"assigned_to_id":23,"start_date":"2017-08-18","description":"","custom_fields":[{"id":1,"name":"Subdivision","value":"Shuttle/Test"},{"id":4,"name":"Milepost","value":"0.2085"},{"id":17,"name":"Train ID","value":"52-18"},{"id":16,"name":"Locomotive ID","value":"4001"},{"id":130,"name":"Impact","value":""},{"id":150,"name":"Time of Event (Mountain Time)","value":"03:24:56"},{"id":151,"name":"Denver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110"/>
        <v>start /low /b %USERPROFILE%\Documents\GitHub\eaglep3\Utilities\DownloadLogsFromS3.py --loco 4001 --day 2017-08-18</v>
      </c>
      <c r="AN232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09:24:56"},{"id":29,"name":"Sharepoint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754</v>
      </c>
      <c r="B233" s="7">
        <v>4061</v>
      </c>
      <c r="C233" s="21" t="s">
        <v>198</v>
      </c>
      <c r="D233" s="21" t="s">
        <v>967</v>
      </c>
      <c r="E233" s="13">
        <v>42965.443078703705</v>
      </c>
      <c r="F233" s="13">
        <v>42965.451701388891</v>
      </c>
      <c r="G233" s="7">
        <v>12</v>
      </c>
      <c r="H233" s="21" t="s">
        <v>968</v>
      </c>
      <c r="I233" s="13">
        <v>42965.457025462965</v>
      </c>
      <c r="J233" s="7">
        <v>0</v>
      </c>
      <c r="K233" s="89" t="str">
        <f t="shared" si="99"/>
        <v>4061/4062</v>
      </c>
      <c r="L233" s="21" t="str">
        <f>VLOOKUP(A233,'Trips&amp;Operators'!$C$1:$G$99999,5,FALSE)</f>
        <v>DE LA ROSA ALEX</v>
      </c>
      <c r="M233" s="6">
        <f t="shared" si="100"/>
        <v>5.324074074451346E-3</v>
      </c>
      <c r="N233" s="7">
        <f t="shared" si="112"/>
        <v>7.6666666672099382</v>
      </c>
      <c r="O233" s="7"/>
      <c r="P233" s="7"/>
      <c r="Q233" s="22"/>
      <c r="R233" s="170"/>
      <c r="S233" s="213">
        <f t="shared" si="116"/>
        <v>1</v>
      </c>
      <c r="T233" s="195" t="str">
        <f t="shared" si="101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102"/>
        <v>https://d0f6bd738d7f1b3e5a7ca70fe4ff75f0.us-east-1.aws.found.io/app/kibana#/discover/Steve-Slow-Train-Analysis-(2080s-and-2083s)?_g=(refreshInterval:(display:Off,pause:!f,section:0,value:0),time:(from:'2017-08-18T09:38:02-0600',mode:absolute,to:'2017-08-18T11:58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3" s="197" t="str">
        <f>IF(AA233&lt;VLOOKUP(AG233,Variables!$AC$3:$AD$8,2,FALSE),"Y","N")</f>
        <v>Y</v>
      </c>
      <c r="X233" s="197">
        <f t="shared" si="113"/>
        <v>2</v>
      </c>
      <c r="Y233" s="197">
        <f t="shared" si="114"/>
        <v>2.3542000000000001</v>
      </c>
      <c r="Z233" s="197">
        <f t="shared" si="115"/>
        <v>1.46E-2</v>
      </c>
      <c r="AA233" s="197">
        <f t="shared" si="103"/>
        <v>2.3395999999999999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6">
        <f t="shared" si="104"/>
        <v>54</v>
      </c>
      <c r="AE233" s="77" t="str">
        <f t="shared" si="105"/>
        <v>aws s3 cp s3://rtdc.mdm.uploadarchive.raw/RTDC4061/ "%USERPROFILE%\AppData\Local\Temp\OnboardLogs"\RTDC4061\2017-08-18 --exclude "*" --recursive --include "*20170818*" &amp; "%USERPROFILE%\Documents\GitHub\mrs-test-scripts\Headless Mode &amp; Sideloading\WalkAndUnGZ.bat" "%USERPROFILE%\AppData\Local\Temp\OnboardLogs"\RTDC4061\2017-08-18 &amp; 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</v>
      </c>
      <c r="AF233" s="74" t="str">
        <f t="shared" si="106"/>
        <v>"C:\Program Files (x86)\AstroGrep\AstroGrep.exe" /e /r /s /spath="%USERPROFILE%\AppData\Local\Temp\OnboardLogs" /stypes="app*4061*20170818*" /stext=" 16:.+((SYSTEM_STATE.+slice.+state.+changed )|(ment ac)|(multiple cpu faults)|(system.+state.+changed )|(\[timeout)|(PRM\|1\|D)|(kpr)|(kdp)|(train st.+moving)|(\|lc)|(penalty))"</v>
      </c>
      <c r="AG233" s="209" t="str">
        <f t="shared" si="107"/>
        <v>Shuttle/Test</v>
      </c>
      <c r="AH233" s="78" t="str">
        <f t="shared" si="108"/>
        <v>"%USERPROFILE%\Documents\GitHub\eaglep3\Utilities\RefineRTDCRunTimes.py" --tripid 54-18 --locoid 4061 --swversion DE.1.0.9.0 --startMP 300:23542 --initTime 2017-08-18T10:38:02 --startdatetime 2017-08-18T10:50:27 --delay 12 --endMP 204:146 --enddatetime 2017-08-18T10:58:07 --enforcementcount 0 &gt;&gt;C:\Users\stu\Documents\GitHub\eaglep3-reporting\EC\2017-08-18-refined-times.txt</v>
      </c>
      <c r="AI233" s="96" t="str">
        <f t="shared" si="109"/>
        <v>echo {"issue":{"subject":"","project_id":79,"tracker_id":40,"status_id":1,"priority_id":2,"assigned_to_id":23,"start_date":"2017-08-18","description":"","custom_fields":[{"id":1,"name":"Subdivision","value":"Shuttle/Test"},{"id":4,"name":"Milepost","value":"0.0146"},{"id":17,"name":"Train ID","value":"54-18"},{"id":16,"name":"Locomotive ID","value":"4061"},{"id":130,"name":"Impact","value":""},{"id":150,"name":"Time of Event (Mountain Time)","value":"10:58:07"},{"id":151,"name":"Denver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10"/>
        <v>start /low /b %USERPROFILE%\Documents\GitHub\eaglep3\Utilities\DownloadLogsFromS3.py --loco 4061 --day 2017-08-18</v>
      </c>
      <c r="AN233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16:58:07"},{"id":29,"name":"Sharepoint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765</v>
      </c>
      <c r="B234" s="7">
        <v>4062</v>
      </c>
      <c r="C234" s="21" t="s">
        <v>198</v>
      </c>
      <c r="D234" s="21" t="s">
        <v>469</v>
      </c>
      <c r="E234" s="13">
        <v>42965.481620370374</v>
      </c>
      <c r="F234" s="13">
        <v>42965.483356481483</v>
      </c>
      <c r="G234" s="7">
        <v>1</v>
      </c>
      <c r="H234" s="21" t="s">
        <v>969</v>
      </c>
      <c r="I234" s="13">
        <v>42965.490543981483</v>
      </c>
      <c r="J234" s="7">
        <v>0</v>
      </c>
      <c r="K234" s="89" t="str">
        <f t="shared" si="99"/>
        <v>4061/4062</v>
      </c>
      <c r="L234" s="21" t="str">
        <f>VLOOKUP(A234,'Trips&amp;Operators'!$C$1:$G$99999,5,FALSE)</f>
        <v>GUNTHIER ERIC</v>
      </c>
      <c r="M234" s="6">
        <f t="shared" si="100"/>
        <v>7.1874999994179234E-3</v>
      </c>
      <c r="N234" s="7">
        <f t="shared" si="112"/>
        <v>10.34999999916181</v>
      </c>
      <c r="O234" s="7"/>
      <c r="P234" s="7"/>
      <c r="Q234" s="22"/>
      <c r="R234" s="170"/>
      <c r="S234" s="213">
        <f t="shared" si="116"/>
        <v>1</v>
      </c>
      <c r="T234" s="195" t="str">
        <f t="shared" si="101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102"/>
        <v>https://d0f6bd738d7f1b3e5a7ca70fe4ff75f0.us-east-1.aws.found.io/app/kibana#/discover/Steve-Slow-Train-Analysis-(2080s-and-2083s)?_g=(refreshInterval:(display:Off,pause:!f,section:0,value:0),time:(from:'2017-08-18T10:33:32-0600',mode:absolute,to:'2017-08-18T12:46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4" s="197" t="str">
        <f>IF(AA234&lt;VLOOKUP(AG234,Variables!$AC$3:$AD$8,2,FALSE),"Y","N")</f>
        <v>Y</v>
      </c>
      <c r="X234" s="197">
        <f t="shared" si="113"/>
        <v>1</v>
      </c>
      <c r="Y234" s="197">
        <f t="shared" si="114"/>
        <v>4.4400000000000002E-2</v>
      </c>
      <c r="Z234" s="197">
        <f t="shared" si="115"/>
        <v>2.4235000000000002</v>
      </c>
      <c r="AA234" s="197">
        <f t="shared" si="103"/>
        <v>2.3791000000000002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6">
        <f t="shared" si="104"/>
        <v>55</v>
      </c>
      <c r="AE234" s="77" t="str">
        <f t="shared" si="105"/>
        <v>aws s3 cp s3://rtdc.mdm.uploadarchive.raw/RTDC4062/ "%USERPROFILE%\AppData\Local\Temp\OnboardLogs"\RTDC4062\2017-08-18 --exclude "*" --recursive --include "*20170818*" &amp; "%USERPROFILE%\Documents\GitHub\mrs-test-scripts\Headless Mode &amp; Sideloading\WalkAndUnGZ.bat" "%USERPROFILE%\AppData\Local\Temp\OnboardLogs"\RTDC4062\2017-08-18 &amp; 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</v>
      </c>
      <c r="AF234" s="74" t="str">
        <f t="shared" si="106"/>
        <v>"C:\Program Files (x86)\AstroGrep\AstroGrep.exe" /e /r /s /spath="%USERPROFILE%\AppData\Local\Temp\OnboardLogs" /stypes="app*4062*20170818*" /stext=" 17:.+((SYSTEM_STATE.+slice.+state.+changed )|(ment ac)|(multiple cpu faults)|(system.+state.+changed )|(\[timeout)|(PRM\|1\|D)|(kpr)|(kdp)|(train st.+moving)|(\|lc)|(penalty))"</v>
      </c>
      <c r="AG234" s="209" t="str">
        <f t="shared" si="107"/>
        <v>Shuttle/Test</v>
      </c>
      <c r="AH234" s="78" t="str">
        <f t="shared" si="108"/>
        <v>"%USERPROFILE%\Documents\GitHub\eaglep3\Utilities\RefineRTDCRunTimes.py" --tripid 55-18 --locoid 4062 --swversion DE.1.0.9.0 --startMP 204:444 --initTime 2017-08-18T11:33:32 --startdatetime 2017-08-18T11:36:02 --delay 1 --endMP 300:24235 --enddatetime 2017-08-18T11:46:23 --enforcementcount 0 &gt;&gt;C:\Users\stu\Documents\GitHub\eaglep3-reporting\EC\2017-08-18-refined-times.txt</v>
      </c>
      <c r="AI234" s="96" t="str">
        <f t="shared" si="109"/>
        <v>echo {"issue":{"subject":"","project_id":79,"tracker_id":40,"status_id":1,"priority_id":2,"assigned_to_id":23,"start_date":"2017-08-18","description":"","custom_fields":[{"id":1,"name":"Subdivision","value":"Shuttle/Test"},{"id":4,"name":"Milepost","value":"2.4235"},{"id":17,"name":"Train ID","value":"55-18"},{"id":16,"name":"Locomotive ID","value":"4062"},{"id":130,"name":"Impact","value":""},{"id":150,"name":"Time of Event (Mountain Time)","value":"11:46:23"},{"id":151,"name":"Denver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10"/>
        <v>start /low /b %USERPROFILE%\Documents\GitHub\eaglep3\Utilities\DownloadLogsFromS3.py --loco 4062 --day 2017-08-18</v>
      </c>
      <c r="AN234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17:46:23"},{"id":29,"name":"Sharepoint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775</v>
      </c>
      <c r="B235" s="7">
        <v>4062</v>
      </c>
      <c r="C235" s="21" t="s">
        <v>198</v>
      </c>
      <c r="D235" s="21" t="s">
        <v>970</v>
      </c>
      <c r="E235" s="13">
        <v>42965.530694444446</v>
      </c>
      <c r="F235" s="13">
        <v>42965.533275462964</v>
      </c>
      <c r="G235" s="7">
        <v>2</v>
      </c>
      <c r="H235" s="21" t="s">
        <v>971</v>
      </c>
      <c r="I235" s="13">
        <v>42965.540393518517</v>
      </c>
      <c r="J235" s="7">
        <v>0</v>
      </c>
      <c r="K235" s="89" t="str">
        <f t="shared" si="99"/>
        <v>4061/4062</v>
      </c>
      <c r="L235" s="21" t="str">
        <f>VLOOKUP(A235,'Trips&amp;Operators'!$C$1:$G$99999,5,FALSE)</f>
        <v>LOZA FIDEL</v>
      </c>
      <c r="M235" s="6">
        <f t="shared" si="100"/>
        <v>7.1180555532919243E-3</v>
      </c>
      <c r="N235" s="7">
        <f t="shared" si="112"/>
        <v>10.249999996740371</v>
      </c>
      <c r="O235" s="7"/>
      <c r="P235" s="7"/>
      <c r="Q235" s="22"/>
      <c r="R235" s="170"/>
      <c r="S235" s="213">
        <f t="shared" si="116"/>
        <v>1</v>
      </c>
      <c r="T235" s="195" t="str">
        <f t="shared" si="101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102"/>
        <v>https://d0f6bd738d7f1b3e5a7ca70fe4ff75f0.us-east-1.aws.found.io/app/kibana#/discover/Steve-Slow-Train-Analysis-(2080s-and-2083s)?_g=(refreshInterval:(display:Off,pause:!f,section:0,value:0),time:(from:'2017-08-18T11:44:12-0600',mode:absolute,to:'2017-08-18T13:58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5" s="197" t="str">
        <f>IF(AA235&lt;VLOOKUP(AG235,Variables!$AC$3:$AD$8,2,FALSE),"Y","N")</f>
        <v>Y</v>
      </c>
      <c r="X235" s="197">
        <f t="shared" si="113"/>
        <v>4</v>
      </c>
      <c r="Y235" s="197">
        <f t="shared" si="114"/>
        <v>3.3399999999999999E-2</v>
      </c>
      <c r="Z235" s="197">
        <f t="shared" si="115"/>
        <v>2.4205000000000001</v>
      </c>
      <c r="AA235" s="197">
        <f t="shared" si="103"/>
        <v>2.3871000000000002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6">
        <f t="shared" si="104"/>
        <v>59</v>
      </c>
      <c r="AE235" s="77" t="str">
        <f t="shared" si="105"/>
        <v>aws s3 cp s3://rtdc.mdm.uploadarchive.raw/RTDC4062/ "%USERPROFILE%\AppData\Local\Temp\OnboardLogs"\RTDC4062\2017-08-18 --exclude "*" --recursive --include "*20170818*" &amp; "%USERPROFILE%\Documents\GitHub\mrs-test-scripts\Headless Mode &amp; Sideloading\WalkAndUnGZ.bat" "%USERPROFILE%\AppData\Local\Temp\OnboardLogs"\RTDC4062\2017-08-18 &amp; 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</v>
      </c>
      <c r="AF235" s="74" t="str">
        <f t="shared" si="106"/>
        <v>"C:\Program Files (x86)\AstroGrep\AstroGrep.exe" /e /r /s /spath="%USERPROFILE%\AppData\Local\Temp\OnboardLogs" /stypes="app*4062*20170818*" /stext=" 18:.+((SYSTEM_STATE.+slice.+state.+changed )|(ment ac)|(multiple cpu faults)|(system.+state.+changed )|(\[timeout)|(PRM\|1\|D)|(kpr)|(kdp)|(train st.+moving)|(\|lc)|(penalty))"</v>
      </c>
      <c r="AG235" s="209" t="str">
        <f t="shared" si="107"/>
        <v>Shuttle/Test</v>
      </c>
      <c r="AH235" s="78" t="str">
        <f t="shared" si="108"/>
        <v>"%USERPROFILE%\Documents\GitHub\eaglep3\Utilities\RefineRTDCRunTimes.py" --tripid 59-18 --locoid 4062 --swversion DE.1.0.9.0 --startMP 204:334 --initTime 2017-08-18T12:44:12 --startdatetime 2017-08-18T12:47:55 --delay 2 --endMP 300:24205 --enddatetime 2017-08-18T12:58:10 --enforcementcount 0 &gt;&gt;C:\Users\stu\Documents\GitHub\eaglep3-reporting\EC\2017-08-18-refined-times.txt</v>
      </c>
      <c r="AI235" s="96" t="str">
        <f t="shared" si="109"/>
        <v>echo {"issue":{"subject":"","project_id":79,"tracker_id":40,"status_id":1,"priority_id":2,"assigned_to_id":23,"start_date":"2017-08-18","description":"","custom_fields":[{"id":1,"name":"Subdivision","value":"Shuttle/Test"},{"id":4,"name":"Milepost","value":"2.4205"},{"id":17,"name":"Train ID","value":"59-18"},{"id":16,"name":"Locomotive ID","value":"4062"},{"id":130,"name":"Impact","value":""},{"id":150,"name":"Time of Event (Mountain Time)","value":"12:58:10"},{"id":151,"name":"Denver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10"/>
        <v>start /low /b %USERPROFILE%\Documents\GitHub\eaglep3\Utilities\DownloadLogsFromS3.py --loco 4062 --day 2017-08-18</v>
      </c>
      <c r="AN235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18:58:10"},{"id":29,"name":"Sharepoint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675</v>
      </c>
      <c r="B236" s="7">
        <v>4002</v>
      </c>
      <c r="C236" s="21" t="s">
        <v>198</v>
      </c>
      <c r="D236" s="21" t="s">
        <v>972</v>
      </c>
      <c r="E236" s="13">
        <v>42965.691944444443</v>
      </c>
      <c r="F236" s="13">
        <v>42965.69394675926</v>
      </c>
      <c r="G236" s="7">
        <v>2</v>
      </c>
      <c r="H236" s="21" t="s">
        <v>973</v>
      </c>
      <c r="I236" s="13">
        <v>42965.693993055553</v>
      </c>
      <c r="J236" s="7">
        <v>0</v>
      </c>
      <c r="K236" s="89" t="str">
        <f t="shared" si="99"/>
        <v>4001/4002</v>
      </c>
      <c r="L236" s="21" t="str">
        <f>VLOOKUP(A236,'Trips&amp;Operators'!$C$1:$G$99999,5,FALSE)</f>
        <v>CHANDLER KELVIN</v>
      </c>
      <c r="M236" s="6">
        <f t="shared" si="100"/>
        <v>4.6296292566694319E-5</v>
      </c>
      <c r="N236" s="7"/>
      <c r="O236" s="7"/>
      <c r="P236" s="7">
        <f>24*60*SUM($M236:$M236)</f>
        <v>6.666666129603982E-2</v>
      </c>
      <c r="Q236" s="22"/>
      <c r="R236" s="170" t="s">
        <v>1066</v>
      </c>
      <c r="S236" s="213">
        <f t="shared" si="116"/>
        <v>0</v>
      </c>
      <c r="T236" s="195" t="str">
        <f t="shared" si="101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102"/>
        <v>https://d0f6bd738d7f1b3e5a7ca70fe4ff75f0.us-east-1.aws.found.io/app/kibana#/discover/Steve-Slow-Train-Analysis-(2080s-and-2083s)?_g=(refreshInterval:(display:Off,pause:!f,section:0,value:0),time:(from:'2017-08-18T15:36:24-0600',mode:absolute,to:'2017-08-18T17:39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6" s="197" t="str">
        <f>IF(AA236&lt;VLOOKUP(AG236,Variables!$AC$3:$AD$8,2,FALSE),"Y","N")</f>
        <v>Y</v>
      </c>
      <c r="X236" s="197">
        <f t="shared" si="113"/>
        <v>16</v>
      </c>
      <c r="Y236" s="197">
        <f t="shared" si="114"/>
        <v>0.14899999999999999</v>
      </c>
      <c r="Z236" s="197">
        <f t="shared" si="115"/>
        <v>0.17119999999999999</v>
      </c>
      <c r="AA236" s="197">
        <f t="shared" si="103"/>
        <v>2.2199999999999998E-2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6">
        <f t="shared" si="104"/>
        <v>75</v>
      </c>
      <c r="AE236" s="77" t="str">
        <f t="shared" si="105"/>
        <v>aws s3 cp s3://rtdc.mdm.uploadarchive.raw/RTDC4002/ "%USERPROFILE%\AppData\Local\Temp\OnboardLogs"\RTDC4002\2017-08-18 --exclude "*" --recursive --include "*20170818*" &amp; "%USERPROFILE%\Documents\GitHub\mrs-test-scripts\Headless Mode &amp; Sideloading\WalkAndUnGZ.bat" "%USERPROFILE%\AppData\Local\Temp\OnboardLogs"\RTDC4002\2017-08-18 &amp; aws s3 cp s3://rtdc.mdm.uploadarchive.raw/RTDC4002/ "%USERPROFILE%\AppData\Local\Temp\OnboardLogs"\RTDC4002\2017-08-19 --exclude "*" --recursive --include "*20170819*" &amp; "%USERPROFILE%\Documents\GitHub\mrs-test-scripts\Headless Mode &amp; Sideloading\WalkAndUnGZ.bat" "%USERPROFILE%\AppData\Local\Temp\OnboardLogs"\RTDC4002\2017-08-19</v>
      </c>
      <c r="AF236" s="74" t="str">
        <f t="shared" si="106"/>
        <v>"C:\Program Files (x86)\AstroGrep\AstroGrep.exe" /e /r /s /spath="%USERPROFILE%\AppData\Local\Temp\OnboardLogs" /stypes="app*4002*20170818*" /stext=" 22:.+((SYSTEM_STATE.+slice.+state.+changed )|(ment ac)|(multiple cpu faults)|(system.+state.+changed )|(\[timeout)|(PRM\|1\|D)|(kpr)|(kdp)|(train st.+moving)|(\|lc)|(penalty))"</v>
      </c>
      <c r="AG236" s="209" t="str">
        <f t="shared" si="107"/>
        <v>Shuttle/Test</v>
      </c>
      <c r="AH236" s="78" t="str">
        <f t="shared" si="108"/>
        <v>"%USERPROFILE%\Documents\GitHub\eaglep3\Utilities\RefineRTDCRunTimes.py" --tripid 75-18 --locoid 4002 --swversion DE.1.0.9.0 --startMP 204:1490 --initTime 2017-08-18T16:36:24 --startdatetime 2017-08-18T16:39:17 --delay 2 --endMP 204:1712 --enddatetime 2017-08-18T16:39:21 --enforcementcount 0 &gt;&gt;C:\Users\stu\Documents\GitHub\eaglep3-reporting\EC\2017-08-18-refined-times.txt</v>
      </c>
      <c r="AI236" s="96" t="str">
        <f t="shared" si="109"/>
        <v>echo {"issue":{"subject":"Main 3 departure","project_id":79,"tracker_id":40,"status_id":1,"priority_id":2,"assigned_to_id":23,"start_date":"2017-08-18","description":"","custom_fields":[{"id":1,"name":"Subdivision","value":"Shuttle/Test"},{"id":4,"name":"Milepost","value":"0.1712"},{"id":17,"name":"Train ID","value":"75-18"},{"id":16,"name":"Locomotive ID","value":"4002"},{"id":130,"name":"Impact","value":""},{"id":150,"name":"Time of Event (Mountain Time)","value":"16:39:21"},{"id":151,"name":"Denver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10"/>
        <v>start /low /b %USERPROFILE%\Documents\GitHub\eaglep3\Utilities\DownloadLogsFromS3.py --loco 4002 --day 2017-08-18</v>
      </c>
      <c r="AN236" s="151" t="str">
        <f t="shared" si="111"/>
        <v>echo {"issue":{"subject":"Main 3 departure","project_id":30,"tracker_id":4,"status_id":1,"priority_id":1,"assigned_to_id":10,"start_date":"2017-08-18","description":"","custom_fields":[{"id":30,"name":"Category","value":"Issue"},{"id":3,"name":"Functional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22:39:21"},{"id":29,"name":"Sharepoint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822</v>
      </c>
      <c r="B237" s="7">
        <v>4014</v>
      </c>
      <c r="C237" s="21" t="s">
        <v>198</v>
      </c>
      <c r="D237" s="21" t="s">
        <v>974</v>
      </c>
      <c r="E237" s="13">
        <v>42965.723773148151</v>
      </c>
      <c r="F237" s="13">
        <v>42965.733136574076</v>
      </c>
      <c r="G237" s="7">
        <v>5</v>
      </c>
      <c r="H237" s="21" t="s">
        <v>344</v>
      </c>
      <c r="I237" s="13">
        <v>42965.739479166667</v>
      </c>
      <c r="J237" s="7">
        <v>0</v>
      </c>
      <c r="K237" s="89" t="str">
        <f t="shared" si="99"/>
        <v>4013/4014</v>
      </c>
      <c r="L237" s="21" t="str">
        <f>VLOOKUP(A237,'Trips&amp;Operators'!$C$1:$G$99999,5,FALSE)</f>
        <v>LOPES KIMBERLY</v>
      </c>
      <c r="M237" s="6">
        <f t="shared" si="100"/>
        <v>6.3425925909541547E-3</v>
      </c>
      <c r="N237" s="7">
        <f>24*60*SUM($M237:$M237)</f>
        <v>9.1333333309739828</v>
      </c>
      <c r="O237" s="7"/>
      <c r="P237" s="7"/>
      <c r="Q237" s="22"/>
      <c r="R237" s="170"/>
      <c r="S237" s="213">
        <f t="shared" si="116"/>
        <v>1</v>
      </c>
      <c r="T237" s="195" t="str">
        <f t="shared" si="101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6" t="str">
        <f t="shared" si="102"/>
        <v>https://d0f6bd738d7f1b3e5a7ca70fe4ff75f0.us-east-1.aws.found.io/app/kibana#/discover/Steve-Slow-Train-Analysis-(2080s-and-2083s)?_g=(refreshInterval:(display:Off,pause:!f,section:0,value:0),time:(from:'2017-08-18T16:22:14-0600',mode:absolute,to:'2017-08-18T18:44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7" s="197" t="str">
        <f>IF(AA237&lt;VLOOKUP(AG237,Variables!$AC$3:$AD$8,2,FALSE),"Y","N")</f>
        <v>Y</v>
      </c>
      <c r="X237" s="197">
        <f t="shared" si="113"/>
        <v>2</v>
      </c>
      <c r="Y237" s="197">
        <f t="shared" si="114"/>
        <v>0.11559999999999999</v>
      </c>
      <c r="Z237" s="197">
        <f t="shared" si="115"/>
        <v>2.3346</v>
      </c>
      <c r="AA237" s="197">
        <f t="shared" si="103"/>
        <v>2.2189999999999999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206">
        <f t="shared" si="104"/>
        <v>77</v>
      </c>
      <c r="AE237" s="77" t="str">
        <f t="shared" si="105"/>
        <v>aws s3 cp s3://rtdc.mdm.uploadarchive.raw/RTDC4014/ "%USERPROFILE%\AppData\Local\Temp\OnboardLogs"\RTDC4014\2017-08-18 --exclude "*" --recursive --include "*20170818*" &amp; "%USERPROFILE%\Documents\GitHub\mrs-test-scripts\Headless Mode &amp; Sideloading\WalkAndUnGZ.bat" "%USERPROFILE%\AppData\Local\Temp\OnboardLogs"\RTDC4014\2017-08-18 &amp; aws s3 cp s3://rtdc.mdm.uploadarchive.raw/RTDC4014/ "%USERPROFILE%\AppData\Local\Temp\OnboardLogs"\RTDC4014\2017-08-19 --exclude "*" --recursive --include "*20170819*" &amp; "%USERPROFILE%\Documents\GitHub\mrs-test-scripts\Headless Mode &amp; Sideloading\WalkAndUnGZ.bat" "%USERPROFILE%\AppData\Local\Temp\OnboardLogs"\RTDC4014\2017-08-19</v>
      </c>
      <c r="AF237" s="74" t="str">
        <f t="shared" si="106"/>
        <v>"C:\Program Files (x86)\AstroGrep\AstroGrep.exe" /e /r /s /spath="%USERPROFILE%\AppData\Local\Temp\OnboardLogs" /stypes="app*4014*20170818*" /stext=" 23:.+((SYSTEM_STATE.+slice.+state.+changed )|(ment ac)|(multiple cpu faults)|(system.+state.+changed )|(\[timeout)|(PRM\|1\|D)|(kpr)|(kdp)|(train st.+moving)|(\|lc)|(penalty))"</v>
      </c>
      <c r="AG237" s="209" t="str">
        <f t="shared" si="107"/>
        <v>Shuttle/Test</v>
      </c>
      <c r="AH237" s="78" t="str">
        <f t="shared" si="108"/>
        <v>"%USERPROFILE%\Documents\GitHub\eaglep3\Utilities\RefineRTDCRunTimes.py" --tripid 77-18 --locoid 4014 --swversion DE.1.0.9.0 --startMP 204:1156 --initTime 2017-08-18T17:22:14 --startdatetime 2017-08-18T17:35:43 --delay 5 --endMP 300:23346 --enddatetime 2017-08-18T17:44:51 --enforcementcount 0 &gt;&gt;C:\Users\stu\Documents\GitHub\eaglep3-reporting\EC\2017-08-18-refined-times.txt</v>
      </c>
      <c r="AI237" s="96" t="str">
        <f t="shared" si="109"/>
        <v>echo {"issue":{"subject":"","project_id":79,"tracker_id":40,"status_id":1,"priority_id":2,"assigned_to_id":23,"start_date":"2017-08-18","description":"","custom_fields":[{"id":1,"name":"Subdivision","value":"Shuttle/Test"},{"id":4,"name":"Milepost","value":"2.3346"},{"id":17,"name":"Train ID","value":"77-18"},{"id":16,"name":"Locomotive ID","value":"4014"},{"id":130,"name":"Impact","value":""},{"id":150,"name":"Time of Event (Mountain Time)","value":"17:44:51"},{"id":151,"name":"Denver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10"/>
        <v>start /low /b %USERPROFILE%\Documents\GitHub\eaglep3\Utilities\DownloadLogsFromS3.py --loco 4014 --day 2017-08-18</v>
      </c>
      <c r="AN237" s="151" t="str">
        <f t="shared" si="111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23:44:51"},{"id":29,"name":"Sharepoint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</sheetData>
  <autoFilter ref="A12:AG262"/>
  <sortState ref="A13:AN217">
    <sortCondition ref="AG13:AG217"/>
    <sortCondition ref="AD13:AD217"/>
  </sortState>
  <mergeCells count="1">
    <mergeCell ref="A11:P11"/>
  </mergeCells>
  <conditionalFormatting sqref="W11:W12 W268:X1048576 W13:X237">
    <cfRule type="cellIs" dxfId="10" priority="415" operator="equal">
      <formula>"Y"</formula>
    </cfRule>
  </conditionalFormatting>
  <conditionalFormatting sqref="X268:X1048576 X13:X237">
    <cfRule type="cellIs" dxfId="9" priority="398" operator="greaterThan">
      <formula>1</formula>
    </cfRule>
  </conditionalFormatting>
  <conditionalFormatting sqref="X268:X1048576 X12:X237">
    <cfRule type="cellIs" dxfId="8" priority="395" operator="equal">
      <formula>0</formula>
    </cfRule>
  </conditionalFormatting>
  <conditionalFormatting sqref="A13:S237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2" workbookViewId="0">
      <selection activeCell="O12" sqref="O1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COUNTIF($O$7:$O$260,"=Y")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COUNTA($O$7:$O$260)-O2</f>
        <v>38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- 2017-08-18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401</v>
      </c>
      <c r="X6" s="208" t="s">
        <v>394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42965.516018518516</v>
      </c>
      <c r="B7" s="30" t="s">
        <v>661</v>
      </c>
      <c r="C7" s="30" t="s">
        <v>662</v>
      </c>
      <c r="D7" s="30" t="s">
        <v>49</v>
      </c>
      <c r="E7" s="30" t="s">
        <v>187</v>
      </c>
      <c r="F7" s="42">
        <v>0</v>
      </c>
      <c r="G7" s="42">
        <v>193</v>
      </c>
      <c r="H7" s="42">
        <v>30729</v>
      </c>
      <c r="I7" s="42">
        <v>30910</v>
      </c>
      <c r="J7" s="30" t="s">
        <v>188</v>
      </c>
      <c r="K7" s="42">
        <v>30830</v>
      </c>
      <c r="L7" s="131" t="s">
        <v>50</v>
      </c>
      <c r="M7" s="132">
        <f t="shared" ref="M7:M48" si="0">CONVERT((I7-K7)/10000,"mi","ft")*IF(L7="Increasing Mileposts (1)",-1,1)</f>
        <v>-42.24</v>
      </c>
      <c r="N7" s="133" t="str">
        <f>VLOOKUP(C7,'Trips&amp;Operators'!$C$1:$G$99999,5,FALSE)</f>
        <v>LEVIN SCOTT</v>
      </c>
      <c r="O7" s="203" t="s">
        <v>180</v>
      </c>
      <c r="P7" s="134" t="s">
        <v>474</v>
      </c>
      <c r="Q7" s="30"/>
      <c r="R7" s="81" t="str">
        <f>VLOOKUP(C7,'Train Runs'!$A$13:$AE$9921,31,0)</f>
        <v>aws s3 cp s3://rtdc.mdm.uploadarchive.raw/RTDC4050/ "%USERPROFILE%\AppData\Local\Temp\OnboardLogs"\RTDC4050\2017-08-18 --exclude "*" --recursive --include "*20170818*" &amp; "%USERPROFILE%\Documents\GitHub\mrs-test-scripts\Headless Mode &amp; Sideloading\WalkAndUnGZ.bat" "%USERPROFILE%\AppData\Local\Temp\OnboardLogs"\RTDC4050\2017-08-18 &amp; aws s3 cp s3://rtdc.mdm.uploadarchive.raw/RTDC4050/ "%USERPROFILE%\AppData\Local\Temp\OnboardLogs"\RTDC4050\2017-08-19 --exclude "*" --recursive --include "*20170819*" &amp; "%USERPROFILE%\Documents\GitHub\mrs-test-scripts\Headless Mode &amp; Sideloading\WalkAndUnGZ.bat" "%USERPROFILE%\AppData\Local\Temp\OnboardLogs"\RTDC4050\2017-08-19</v>
      </c>
      <c r="S7" s="84" t="str">
        <f>VLOOKUP(C7,'Train Runs'!$A$13:$AE$9921,22,0)</f>
        <v>https://d0f6bd738d7f1b3e5a7ca70fe4ff75f0.us-east-1.aws.found.io/app/kibana#/discover/Steve-Slow-Train-Analysis-(2080s-and-2083s)?_g=(refreshInterval:(display:Off,pause:!f,section:0,value:0),time:(from:'2017-08-18T11:11:46-0600',mode:absolute,to:'2017-08-18T13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7" s="86" t="str">
        <f t="shared" ref="T7:T4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/stypes="*4050*201708181*" /stext=" 18:.+((SYSTEM_STATE.+slice.+state.+changed )|(ment ac)|(multiple cpu faults)|(system.+state.+changed )|(\[timeout)|(PRM\|1\|D)|(kpr)|(kdp)|(train st.+moving)|(\|lc)|(penalty))"</v>
      </c>
      <c r="U7" s="9" t="str">
        <f t="shared" ref="U7:U48" si="2">MID(B7,13,4)</f>
        <v>4050</v>
      </c>
      <c r="V7" s="31">
        <f t="shared" ref="V7:V48" si="3">A7-utc_offset/24</f>
        <v>42965.766018518516</v>
      </c>
      <c r="W7" s="45" t="str">
        <f t="shared" ref="W7:W48" si="4">DetSubdiv(C7)</f>
        <v>EC</v>
      </c>
      <c r="X7" s="22">
        <f t="shared" ref="X7:X48" si="5">VALUE(LEFT(C7,LEN(C7)-3))</f>
        <v>169</v>
      </c>
      <c r="Y7" s="96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Arrival","project_id":79,"tracker_id":40,"status_id":1,"priority_id":2,"assigned_to_id":23,"start_date":"2017-08-18","description":"","custom_fields":[{"id":1,"name":"Subdivision","value":"EC"},{"id":4,"name":"Milepost","value":"3.083"},{"id":17,"name":"Train ID","value":"169-18"},{"id":16,"name":"Locomotive ID","value":"4050"},{"id":130,"name":"Impact","value":""},{"id":150,"name":"Time of Event (Mountain Time)","value":"12:23:04"},{"id":151,"name":"Denver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/c/Users/stu/AppData/Local/Temp/OnboardLogs/RTDC4050 --include="*4050*201708181*"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"%USERPROFILE%\AppData\Local\Temp\OnboardLogs"\RTDC4050\*4050*201708181* &gt;&gt; 2017-08-18-SliceDisagreementCheck.txt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4050 --day 2017-08-18</v>
      </c>
    </row>
    <row r="8" spans="1:32" s="1" customFormat="1" x14ac:dyDescent="0.25">
      <c r="A8" s="31">
        <v>42965.290416666663</v>
      </c>
      <c r="B8" s="30" t="s">
        <v>466</v>
      </c>
      <c r="C8" s="30" t="s">
        <v>649</v>
      </c>
      <c r="D8" s="30" t="s">
        <v>49</v>
      </c>
      <c r="E8" s="30" t="s">
        <v>187</v>
      </c>
      <c r="F8" s="42">
        <v>0</v>
      </c>
      <c r="G8" s="42">
        <v>221</v>
      </c>
      <c r="H8" s="42">
        <v>31021</v>
      </c>
      <c r="I8" s="42">
        <v>30626</v>
      </c>
      <c r="J8" s="30" t="s">
        <v>188</v>
      </c>
      <c r="K8" s="42">
        <v>30970</v>
      </c>
      <c r="L8" s="131" t="s">
        <v>51</v>
      </c>
      <c r="M8" s="132">
        <f t="shared" si="0"/>
        <v>-181.63200000000001</v>
      </c>
      <c r="N8" s="133" t="str">
        <f>VLOOKUP(C8,'Trips&amp;Operators'!$C$1:$G$99999,5,FALSE)</f>
        <v>WILLIAMS DONTE</v>
      </c>
      <c r="O8" s="203" t="s">
        <v>180</v>
      </c>
      <c r="P8" s="134" t="s">
        <v>474</v>
      </c>
      <c r="Q8" s="30"/>
      <c r="R8" s="81" t="str">
        <f>VLOOKUP(C8,'Train Runs'!$A$13:$AE$9921,31,0)</f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S8" s="84" t="str">
        <f>VLOOKUP(C8,'Train Runs'!$A$13:$AE$9921,22,0)</f>
        <v>https://d0f6bd738d7f1b3e5a7ca70fe4ff75f0.us-east-1.aws.found.io/app/kibana#/discover/Steve-Slow-Train-Analysis-(2080s-and-2083s)?_g=(refreshInterval:(display:Off,pause:!f,section:0,value:0),time:(from:'2017-08-18T05:21:39-0600',mode:absolute,to:'2017-08-18T08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8" s="86" t="str">
        <f t="shared" si="1"/>
        <v>"C:\Program Files (x86)\AstroGrep\AstroGrep.exe" /e /r /s /spath="%USERPROFILE%\AppData\Local\Temp\OnboardLogs" /stypes="*4011*201708181*" /stext=" 12:.+((SYSTEM_STATE.+slice.+state.+changed )|(ment ac)|(multiple cpu faults)|(system.+state.+changed )|(\[timeout)|(PRM\|1\|D)|(kpr)|(kdp)|(train st.+moving)|(\|lc)|(penalty))"</v>
      </c>
      <c r="U8" s="9" t="str">
        <f t="shared" si="2"/>
        <v>4011</v>
      </c>
      <c r="V8" s="31">
        <f t="shared" si="3"/>
        <v>42965.540416666663</v>
      </c>
      <c r="W8" s="45" t="str">
        <f t="shared" si="4"/>
        <v>EC</v>
      </c>
      <c r="X8" s="22">
        <f t="shared" si="5"/>
        <v>116</v>
      </c>
      <c r="Y8" s="96" t="str">
        <f t="shared" si="6"/>
        <v>echo {"issue":{"subject":"Early Arrival","project_id":79,"tracker_id":40,"status_id":1,"priority_id":2,"assigned_to_id":23,"start_date":"2017-08-18","description":"","custom_fields":[{"id":1,"name":"Subdivision","value":"EC"},{"id":4,"name":"Milepost","value":"3.097"},{"id":17,"name":"Train ID","value":"116-18"},{"id":16,"name":"Locomotive ID","value":"4011"},{"id":130,"name":"Impact","value":""},{"id":150,"name":"Time of Event (Mountain Time)","value":"06:58:12"},{"id":151,"name":"Denver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/c/Users/stu/AppData/Local/Temp/OnboardLogs/RTDC4011 --include="*4011*201708181*"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"%USERPROFILE%\AppData\Local\Temp\OnboardLogs"\RTDC4011\*4011*201708181* &gt;&gt; 2017-08-18-SliceDisagreementCheck.txt</v>
      </c>
      <c r="AE8" s="145" t="str">
        <f t="shared" ref="AE8:AE48" si="9">"start /low /b "&amp;dls3logs&amp;" --loco "&amp;U8&amp;" --day "&amp;TEXT(V8,"YYYY-MM-DD")</f>
        <v>start /low /b %USERPROFILE%\Documents\GitHub\eaglep3\Utilities\DownloadLogsFromS3.py --loco 4011 --day 2017-08-18</v>
      </c>
    </row>
    <row r="9" spans="1:32" s="1" customFormat="1" x14ac:dyDescent="0.25">
      <c r="A9" s="31">
        <v>42965.342175925929</v>
      </c>
      <c r="B9" s="30" t="s">
        <v>356</v>
      </c>
      <c r="C9" s="30" t="s">
        <v>652</v>
      </c>
      <c r="D9" s="30" t="s">
        <v>49</v>
      </c>
      <c r="E9" s="30" t="s">
        <v>187</v>
      </c>
      <c r="F9" s="42">
        <v>150</v>
      </c>
      <c r="G9" s="42">
        <v>202</v>
      </c>
      <c r="H9" s="42">
        <v>31578</v>
      </c>
      <c r="I9" s="42">
        <v>31207</v>
      </c>
      <c r="J9" s="30" t="s">
        <v>188</v>
      </c>
      <c r="K9" s="42">
        <v>30970</v>
      </c>
      <c r="L9" s="131" t="s">
        <v>51</v>
      </c>
      <c r="M9" s="132">
        <f t="shared" si="0"/>
        <v>125.136</v>
      </c>
      <c r="N9" s="133" t="str">
        <f>VLOOKUP(C9,'Trips&amp;Operators'!$C$1:$G$99999,5,FALSE)</f>
        <v>STARKS ANGELINA</v>
      </c>
      <c r="O9" s="203" t="s">
        <v>180</v>
      </c>
      <c r="P9" s="134" t="s">
        <v>474</v>
      </c>
      <c r="Q9" s="30"/>
      <c r="R9" s="81" t="str">
        <f>VLOOKUP(C9,'Train Runs'!$A$13:$AE$9921,31,0)</f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S9" s="84" t="str">
        <f>VLOOKUP(C9,'Train Runs'!$A$13:$AE$9921,22,0)</f>
        <v>https://d0f6bd738d7f1b3e5a7ca70fe4ff75f0.us-east-1.aws.found.io/app/kibana#/discover/Steve-Slow-Train-Analysis-(2080s-and-2083s)?_g=(refreshInterval:(display:Off,pause:!f,section:0,value:0),time:(from:'2017-08-18T06:40:33-0600',mode:absolute,to:'2017-08-18T09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9" s="86" t="str">
        <f t="shared" si="1"/>
        <v>"C:\Program Files (x86)\AstroGrep\AstroGrep.exe" /e /r /s /spath="%USERPROFILE%\AppData\Local\Temp\OnboardLogs" /stypes="*4039*201708181*" /stext=" 14:.+((SYSTEM_STATE.+slice.+state.+changed )|(ment ac)|(multiple cpu faults)|(system.+state.+changed )|(\[timeout)|(PRM\|1\|D)|(kpr)|(kdp)|(train st.+moving)|(\|lc)|(penalty))"</v>
      </c>
      <c r="U9" s="9" t="str">
        <f t="shared" si="2"/>
        <v>4039</v>
      </c>
      <c r="V9" s="31">
        <f t="shared" si="3"/>
        <v>42965.592175925929</v>
      </c>
      <c r="W9" s="45" t="str">
        <f t="shared" si="4"/>
        <v>EC</v>
      </c>
      <c r="X9" s="22">
        <f t="shared" si="5"/>
        <v>126</v>
      </c>
      <c r="Y9" s="96" t="str">
        <f t="shared" si="6"/>
        <v>echo {"issue":{"subject":"Early Arrival","project_id":79,"tracker_id":40,"status_id":1,"priority_id":2,"assigned_to_id":23,"start_date":"2017-08-18","description":"","custom_fields":[{"id":1,"name":"Subdivision","value":"EC"},{"id":4,"name":"Milepost","value":"3.097"},{"id":17,"name":"Train ID","value":"126-18"},{"id":16,"name":"Locomotive ID","value":"4039"},{"id":130,"name":"Impact","value":""},{"id":150,"name":"Time of Event (Mountain Time)","value":"08:12:44"},{"id":151,"name":"Denver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/c/Users/stu/AppData/Local/Temp/OnboardLogs/RTDC4039 --include="*4039*201708181*"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"%USERPROFILE%\AppData\Local\Temp\OnboardLogs"\RTDC4039\*4039*201708181* &gt;&gt; 2017-08-18-SliceDisagreementCheck.txt</v>
      </c>
      <c r="AE9" s="145" t="str">
        <f t="shared" si="9"/>
        <v>start /low /b %USERPROFILE%\Documents\GitHub\eaglep3\Utilities\DownloadLogsFromS3.py --loco 4039 --day 2017-08-18</v>
      </c>
    </row>
    <row r="10" spans="1:32" s="1" customFormat="1" x14ac:dyDescent="0.25">
      <c r="A10" s="31">
        <v>42965.976064814815</v>
      </c>
      <c r="B10" s="30" t="s">
        <v>467</v>
      </c>
      <c r="C10" s="30" t="s">
        <v>680</v>
      </c>
      <c r="D10" s="30" t="s">
        <v>49</v>
      </c>
      <c r="E10" s="30" t="s">
        <v>187</v>
      </c>
      <c r="F10" s="42">
        <v>0</v>
      </c>
      <c r="G10" s="42">
        <v>274</v>
      </c>
      <c r="H10" s="42">
        <v>58569</v>
      </c>
      <c r="I10" s="42">
        <v>57801</v>
      </c>
      <c r="J10" s="30" t="s">
        <v>188</v>
      </c>
      <c r="K10" s="42">
        <v>58301</v>
      </c>
      <c r="L10" s="131" t="s">
        <v>51</v>
      </c>
      <c r="M10" s="132">
        <f t="shared" si="0"/>
        <v>-264</v>
      </c>
      <c r="N10" s="133" t="str">
        <f>VLOOKUP(C10,'Trips&amp;Operators'!$C$1:$G$99999,5,FALSE)</f>
        <v>PERKINS DARREN</v>
      </c>
      <c r="O10" s="203" t="s">
        <v>180</v>
      </c>
      <c r="P10" s="134" t="s">
        <v>474</v>
      </c>
      <c r="Q10" s="30"/>
      <c r="R10" s="81" t="str">
        <f>VLOOKUP(C10,'Train Runs'!$A$13:$AE$9921,31,0)</f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S10" s="84" t="str">
        <f>VLOOKUP(C10,'Train Runs'!$A$13:$AE$9921,22,0)</f>
        <v>https://d0f6bd738d7f1b3e5a7ca70fe4ff75f0.us-east-1.aws.found.io/app/kibana#/discover/Steve-Slow-Train-Analysis-(2080s-and-2083s)?_g=(refreshInterval:(display:Off,pause:!f,section:0,value:0),time:(from:'2017-08-18T21:51:50-0600',mode:absolute,to:'2017-08-19T00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86" t="str">
        <f t="shared" si="1"/>
        <v>"C:\Program Files (x86)\AstroGrep\AstroGrep.exe" /e /r /s /spath="%USERPROFILE%\AppData\Local\Temp\OnboardLogs" /stypes="*4029*201708190*" /stext=" 05:.+((SYSTEM_STATE.+slice.+state.+changed )|(ment ac)|(multiple cpu faults)|(system.+state.+changed )|(\[timeout)|(PRM\|1\|D)|(kpr)|(kdp)|(train st.+moving)|(\|lc)|(penalty))"</v>
      </c>
      <c r="U10" s="9" t="str">
        <f t="shared" si="2"/>
        <v>4029</v>
      </c>
      <c r="V10" s="31">
        <f t="shared" si="3"/>
        <v>42966.226064814815</v>
      </c>
      <c r="W10" s="45" t="str">
        <f t="shared" si="4"/>
        <v>EC</v>
      </c>
      <c r="X10" s="22">
        <f t="shared" si="5"/>
        <v>234</v>
      </c>
      <c r="Y10" s="96" t="str">
        <f t="shared" si="6"/>
        <v>echo {"issue":{"subject":"Early Arrival","project_id":79,"tracker_id":40,"status_id":1,"priority_id":2,"assigned_to_id":23,"start_date":"2017-08-18","description":"","custom_fields":[{"id":1,"name":"Subdivision","value":"EC"},{"id":4,"name":"Milepost","value":"5.8301"},{"id":17,"name":"Train ID","value":"234-18"},{"id":16,"name":"Locomotive ID","value":"4029"},{"id":130,"name":"Impact","value":""},{"id":150,"name":"Time of Event (Mountain Time)","value":"23:25:32"},{"id":151,"name":"Denver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/c/Users/stu/AppData/Local/Temp/OnboardLogs/RTDC4029 --include="*4029*201708190*"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"%USERPROFILE%\AppData\Local\Temp\OnboardLogs"\RTDC4029\*4029*201708190* &gt;&gt; 2017-08-18-SliceDisagreementCheck.txt</v>
      </c>
      <c r="AE10" s="145" t="str">
        <f t="shared" si="9"/>
        <v>start /low /b %USERPROFILE%\Documents\GitHub\eaglep3\Utilities\DownloadLogsFromS3.py --loco 4029 --day 2017-08-19</v>
      </c>
    </row>
    <row r="11" spans="1:32" s="1" customFormat="1" x14ac:dyDescent="0.25">
      <c r="A11" s="31">
        <v>42965.488958333335</v>
      </c>
      <c r="B11" s="30" t="s">
        <v>576</v>
      </c>
      <c r="C11" s="30" t="s">
        <v>659</v>
      </c>
      <c r="D11" s="30" t="s">
        <v>49</v>
      </c>
      <c r="E11" s="30" t="s">
        <v>187</v>
      </c>
      <c r="F11" s="42">
        <v>0</v>
      </c>
      <c r="G11" s="42">
        <v>424</v>
      </c>
      <c r="H11" s="42">
        <v>62691</v>
      </c>
      <c r="I11" s="42">
        <v>63812</v>
      </c>
      <c r="J11" s="30" t="s">
        <v>188</v>
      </c>
      <c r="K11" s="42">
        <v>63069</v>
      </c>
      <c r="L11" s="131" t="s">
        <v>50</v>
      </c>
      <c r="M11" s="132">
        <f t="shared" si="0"/>
        <v>-392.30399999999997</v>
      </c>
      <c r="N11" s="133" t="str">
        <f>VLOOKUP(C11,'Trips&amp;Operators'!$C$1:$G$99999,5,FALSE)</f>
        <v>STEWART MICHAEL</v>
      </c>
      <c r="O11" s="203" t="s">
        <v>180</v>
      </c>
      <c r="P11" s="134" t="s">
        <v>474</v>
      </c>
      <c r="Q11" s="30"/>
      <c r="R11" s="81" t="str">
        <f>VLOOKUP(C11,'Train Runs'!$A$13:$AE$9921,31,0)</f>
        <v>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 &amp; 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</v>
      </c>
      <c r="S11" s="84" t="str">
        <f>VLOOKUP(C11,'Train Runs'!$A$13:$AE$9921,22,0)</f>
        <v>https://d0f6bd738d7f1b3e5a7ca70fe4ff75f0.us-east-1.aws.found.io/app/kibana#/discover/Steve-Slow-Train-Analysis-(2080s-and-2083s)?_g=(refreshInterval:(display:Off,pause:!f,section:0,value:0),time:(from:'2017-08-18T10:24:19-0600',mode:absolute,to:'2017-08-18T13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1" s="86" t="str">
        <f t="shared" si="1"/>
        <v>"C:\Program Files (x86)\AstroGrep\AstroGrep.exe" /e /r /s /spath="%USERPROFILE%\AppData\Local\Temp\OnboardLogs" /stypes="*4028*201708181*"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4028</v>
      </c>
      <c r="V11" s="31">
        <f t="shared" si="3"/>
        <v>42965.738958333335</v>
      </c>
      <c r="W11" s="45" t="str">
        <f t="shared" si="4"/>
        <v>EC</v>
      </c>
      <c r="X11" s="22">
        <f t="shared" si="5"/>
        <v>163</v>
      </c>
      <c r="Y11" s="96" t="str">
        <f t="shared" si="6"/>
        <v>echo {"issue":{"subject":"Early Arrival","project_id":79,"tracker_id":40,"status_id":1,"priority_id":2,"assigned_to_id":23,"start_date":"2017-08-18","description":"","custom_fields":[{"id":1,"name":"Subdivision","value":"EC"},{"id":4,"name":"Milepost","value":"6.3069"},{"id":17,"name":"Train ID","value":"163-18"},{"id":16,"name":"Locomotive ID","value":"4028"},{"id":130,"name":"Impact","value":""},{"id":150,"name":"Time of Event (Mountain Time)","value":"11:44:06"},{"id":151,"name":"Denver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/c/Users/stu/AppData/Local/Temp/OnboardLogs/RTDC4028 --include="*4028*201708181*"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"%USERPROFILE%\AppData\Local\Temp\OnboardLogs"\RTDC4028\*4028*201708181* &gt;&gt; 2017-08-18-SliceDisagreementCheck.txt</v>
      </c>
      <c r="AE11" s="145" t="str">
        <f t="shared" si="9"/>
        <v>start /low /b %USERPROFILE%\Documents\GitHub\eaglep3\Utilities\DownloadLogsFromS3.py --loco 4028 --day 2017-08-18</v>
      </c>
    </row>
    <row r="12" spans="1:32" x14ac:dyDescent="0.25">
      <c r="A12" s="31">
        <v>42965.540925925925</v>
      </c>
      <c r="B12" s="30" t="s">
        <v>402</v>
      </c>
      <c r="C12" s="30" t="s">
        <v>664</v>
      </c>
      <c r="D12" s="30" t="s">
        <v>49</v>
      </c>
      <c r="E12" s="30" t="s">
        <v>187</v>
      </c>
      <c r="F12" s="42">
        <v>0</v>
      </c>
      <c r="G12" s="42">
        <v>456</v>
      </c>
      <c r="H12" s="42">
        <v>62102</v>
      </c>
      <c r="I12" s="42">
        <v>63234</v>
      </c>
      <c r="J12" s="30" t="s">
        <v>188</v>
      </c>
      <c r="K12" s="42">
        <v>63069</v>
      </c>
      <c r="L12" s="131" t="s">
        <v>50</v>
      </c>
      <c r="M12" s="132">
        <f t="shared" si="0"/>
        <v>-87.12</v>
      </c>
      <c r="N12" s="133" t="str">
        <f>VLOOKUP(C12,'Trips&amp;Operators'!$C$1:$G$99999,5,FALSE)</f>
        <v>NICHOLSON WESLEY</v>
      </c>
      <c r="O12" s="203" t="s">
        <v>180</v>
      </c>
      <c r="P12" s="134" t="s">
        <v>474</v>
      </c>
      <c r="Q12" s="30"/>
      <c r="R12" s="81" t="str">
        <f>VLOOKUP(C12,'Train Runs'!$A$13:$AE$9921,31,0)</f>
        <v>aws s3 cp s3://rtdc.mdm.uploadarchive.raw/RTDC4018/ "%USERPROFILE%\AppData\Local\Temp\OnboardLogs"\RTDC4018\2017-08-18 --exclude "*" --recursive --include "*20170818*" &amp; "%USERPROFILE%\Documents\GitHub\mrs-test-scripts\Headless Mode &amp; Sideloading\WalkAndUnGZ.bat" "%USERPROFILE%\AppData\Local\Temp\OnboardLogs"\RTDC4018\2017-08-18 &amp; aws s3 cp s3://rtdc.mdm.uploadarchive.raw/RTDC4018/ "%USERPROFILE%\AppData\Local\Temp\OnboardLogs"\RTDC4018\2017-08-19 --exclude "*" --recursive --include "*20170819*" &amp; "%USERPROFILE%\Documents\GitHub\mrs-test-scripts\Headless Mode &amp; Sideloading\WalkAndUnGZ.bat" "%USERPROFILE%\AppData\Local\Temp\OnboardLogs"\RTDC4018\2017-08-19</v>
      </c>
      <c r="S12" s="84" t="str">
        <f>VLOOKUP(C12,'Train Runs'!$A$13:$AE$9921,22,0)</f>
        <v>https://d0f6bd738d7f1b3e5a7ca70fe4ff75f0.us-east-1.aws.found.io/app/kibana#/discover/Steve-Slow-Train-Analysis-(2080s-and-2083s)?_g=(refreshInterval:(display:Off,pause:!f,section:0,value:0),time:(from:'2017-08-18T11:40:36-0600',mode:absolute,to:'2017-08-18T14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2" s="86" t="str">
        <f t="shared" si="1"/>
        <v>"C:\Program Files (x86)\AstroGrep\AstroGrep.exe" /e /r /s /spath="%USERPROFILE%\AppData\Local\Temp\OnboardLogs" /stypes="*4018*201708181*" /stext=" 18:.+((SYSTEM_STATE.+slice.+state.+changed )|(ment ac)|(multiple cpu faults)|(system.+state.+changed )|(\[timeout)|(PRM\|1\|D)|(kpr)|(kdp)|(train st.+moving)|(\|lc)|(penalty))"</v>
      </c>
      <c r="U12" s="9" t="str">
        <f t="shared" si="2"/>
        <v>4018</v>
      </c>
      <c r="V12" s="31">
        <f t="shared" si="3"/>
        <v>42965.790925925925</v>
      </c>
      <c r="W12" s="45" t="str">
        <f t="shared" si="4"/>
        <v>EC</v>
      </c>
      <c r="X12" s="22">
        <f t="shared" si="5"/>
        <v>173</v>
      </c>
      <c r="Y12" s="96" t="str">
        <f t="shared" si="6"/>
        <v>echo {"issue":{"subject":"Early Arrival","project_id":79,"tracker_id":40,"status_id":1,"priority_id":2,"assigned_to_id":23,"start_date":"2017-08-18","description":"","custom_fields":[{"id":1,"name":"Subdivision","value":"EC"},{"id":4,"name":"Milepost","value":"6.3069"},{"id":17,"name":"Train ID","value":"173-18"},{"id":16,"name":"Locomotive ID","value":"4018"},{"id":130,"name":"Impact","value":""},{"id":150,"name":"Time of Event (Mountain Time)","value":"12:58:56"},{"id":151,"name":"Denver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/c/Users/stu/AppData/Local/Temp/OnboardLogs/RTDC4018 --include="*4018*201708181*"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"%USERPROFILE%\AppData\Local\Temp\OnboardLogs"\RTDC4018\*4018*201708181* &gt;&gt; 2017-08-18-SliceDisagreementCheck.txt</v>
      </c>
      <c r="AE12" s="145" t="str">
        <f t="shared" si="9"/>
        <v>start /low /b %USERPROFILE%\Documents\GitHub\eaglep3\Utilities\DownloadLogsFromS3.py --loco 4018 --day 2017-08-18</v>
      </c>
      <c r="AF12" s="1"/>
    </row>
    <row r="13" spans="1:32" x14ac:dyDescent="0.25">
      <c r="A13" s="31">
        <v>42965.991493055553</v>
      </c>
      <c r="B13" s="30" t="s">
        <v>462</v>
      </c>
      <c r="C13" s="30" t="s">
        <v>682</v>
      </c>
      <c r="D13" s="30" t="s">
        <v>49</v>
      </c>
      <c r="E13" s="30" t="s">
        <v>187</v>
      </c>
      <c r="F13" s="42">
        <v>0</v>
      </c>
      <c r="G13" s="42">
        <v>372</v>
      </c>
      <c r="H13" s="42">
        <v>62740</v>
      </c>
      <c r="I13" s="42">
        <v>63293</v>
      </c>
      <c r="J13" s="30" t="s">
        <v>188</v>
      </c>
      <c r="K13" s="42">
        <v>63069</v>
      </c>
      <c r="L13" s="131" t="s">
        <v>50</v>
      </c>
      <c r="M13" s="132">
        <f t="shared" si="0"/>
        <v>-118.27200000000001</v>
      </c>
      <c r="N13" s="133" t="str">
        <f>VLOOKUP(C13,'Trips&amp;Operators'!$C$1:$G$99999,5,FALSE)</f>
        <v>ELBAUM MIKE</v>
      </c>
      <c r="O13" s="203" t="s">
        <v>180</v>
      </c>
      <c r="P13" s="134" t="s">
        <v>474</v>
      </c>
      <c r="Q13" s="30"/>
      <c r="R13" s="81" t="str">
        <f>VLOOKUP(C13,'Train Runs'!$A$13:$AE$9921,31,0)</f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S13" s="84" t="str">
        <f>VLOOKUP(C13,'Train Runs'!$A$13:$AE$9921,22,0)</f>
        <v>https://d0f6bd738d7f1b3e5a7ca70fe4ff75f0.us-east-1.aws.found.io/app/kibana#/discover/Steve-Slow-Train-Analysis-(2080s-and-2083s)?_g=(refreshInterval:(display:Off,pause:!f,section:0,value:0),time:(from:'2017-08-18T22:25:50-0600',mode:absolute,to:'2017-08-19T01:12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3" s="86" t="str">
        <f t="shared" si="1"/>
        <v>"C:\Program Files (x86)\AstroGrep\AstroGrep.exe" /e /r /s /spath="%USERPROFILE%\AppData\Local\Temp\OnboardLogs" /stypes="*4012*201708190*" /stext=" 05:.+((SYSTEM_STATE.+slice.+state.+changed )|(ment ac)|(multiple cpu faults)|(system.+state.+changed )|(\[timeout)|(PRM\|1\|D)|(kpr)|(kdp)|(train st.+moving)|(\|lc)|(penalty))"</v>
      </c>
      <c r="U13" s="9" t="str">
        <f t="shared" si="2"/>
        <v>4012</v>
      </c>
      <c r="V13" s="31">
        <f t="shared" si="3"/>
        <v>42966.241493055553</v>
      </c>
      <c r="W13" s="45" t="str">
        <f t="shared" si="4"/>
        <v>EC</v>
      </c>
      <c r="X13" s="22">
        <f t="shared" si="5"/>
        <v>239</v>
      </c>
      <c r="Y13" s="96" t="str">
        <f t="shared" si="6"/>
        <v>echo {"issue":{"subject":"Early Arrival","project_id":79,"tracker_id":40,"status_id":1,"priority_id":2,"assigned_to_id":23,"start_date":"2017-08-18","description":"","custom_fields":[{"id":1,"name":"Subdivision","value":"EC"},{"id":4,"name":"Milepost","value":"6.3069"},{"id":17,"name":"Train ID","value":"239-18"},{"id":16,"name":"Locomotive ID","value":"4012"},{"id":130,"name":"Impact","value":""},{"id":150,"name":"Time of Event (Mountain Time)","value":"23:47:45"},{"id":151,"name":"Denver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/c/Users/stu/AppData/Local/Temp/OnboardLogs/RTDC4012 --include="*4012*201708190*"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"%USERPROFILE%\AppData\Local\Temp\OnboardLogs"\RTDC4012\*4012*201708190* &gt;&gt; 2017-08-18-SliceDisagreementCheck.txt</v>
      </c>
      <c r="AE13" s="145" t="str">
        <f t="shared" si="9"/>
        <v>start /low /b %USERPROFILE%\Documents\GitHub\eaglep3\Utilities\DownloadLogsFromS3.py --loco 4012 --day 2017-08-19</v>
      </c>
      <c r="AF13" s="1"/>
    </row>
    <row r="14" spans="1:32" x14ac:dyDescent="0.25">
      <c r="A14" s="31">
        <v>42965.353402777779</v>
      </c>
      <c r="B14" s="30" t="s">
        <v>522</v>
      </c>
      <c r="C14" s="30" t="s">
        <v>654</v>
      </c>
      <c r="D14" s="30" t="s">
        <v>49</v>
      </c>
      <c r="E14" s="30" t="s">
        <v>187</v>
      </c>
      <c r="F14" s="42">
        <v>460</v>
      </c>
      <c r="G14" s="42">
        <v>533</v>
      </c>
      <c r="H14" s="42">
        <v>62005</v>
      </c>
      <c r="I14" s="42">
        <v>63989</v>
      </c>
      <c r="J14" s="30" t="s">
        <v>188</v>
      </c>
      <c r="K14" s="42">
        <v>63069</v>
      </c>
      <c r="L14" s="131" t="s">
        <v>50</v>
      </c>
      <c r="M14" s="132">
        <f t="shared" si="0"/>
        <v>-485.76</v>
      </c>
      <c r="N14" s="133" t="str">
        <f>VLOOKUP(C14,'Trips&amp;Operators'!$C$1:$G$99999,5,FALSE)</f>
        <v>CASSIDY BRANDON</v>
      </c>
      <c r="O14" s="203" t="s">
        <v>180</v>
      </c>
      <c r="P14" s="134" t="s">
        <v>474</v>
      </c>
      <c r="Q14" s="30"/>
      <c r="R14" s="81" t="str">
        <f>VLOOKUP(C14,'Train Runs'!$A$13:$AE$9921,31,0)</f>
        <v>aws s3 cp s3://rtdc.mdm.uploadarchive.raw/RTDC4064/ "%USERPROFILE%\AppData\Local\Temp\OnboardLogs"\RTDC4064\2017-08-18 --exclude "*" --recursive --include "*20170818*" &amp; "%USERPROFILE%\Documents\GitHub\mrs-test-scripts\Headless Mode &amp; Sideloading\WalkAndUnGZ.bat" "%USERPROFILE%\AppData\Local\Temp\OnboardLogs"\RTDC4064\2017-08-18 &amp; aws s3 cp s3://rtdc.mdm.uploadarchive.raw/RTDC4064/ "%USERPROFILE%\AppData\Local\Temp\OnboardLogs"\RTDC4064\2017-08-19 --exclude "*" --recursive --include "*20170819*" &amp; "%USERPROFILE%\Documents\GitHub\mrs-test-scripts\Headless Mode &amp; Sideloading\WalkAndUnGZ.bat" "%USERPROFILE%\AppData\Local\Temp\OnboardLogs"\RTDC4064\2017-08-19</v>
      </c>
      <c r="S14" s="84" t="str">
        <f>VLOOKUP(C14,'Train Runs'!$A$13:$AE$9921,22,0)</f>
        <v>https://d0f6bd738d7f1b3e5a7ca70fe4ff75f0.us-east-1.aws.found.io/app/kibana#/discover/Steve-Slow-Train-Analysis-(2080s-and-2083s)?_g=(refreshInterval:(display:Off,pause:!f,section:0,value:0),time:(from:'2017-08-18T07:12:51-0600',mode:absolute,to:'2017-08-18T09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4" s="86" t="str">
        <f t="shared" si="1"/>
        <v>"C:\Program Files (x86)\AstroGrep\AstroGrep.exe" /e /r /s /spath="%USERPROFILE%\AppData\Local\Temp\OnboardLogs" /stypes="*4064*201708181*"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4064</v>
      </c>
      <c r="V14" s="31">
        <f t="shared" si="3"/>
        <v>42965.603402777779</v>
      </c>
      <c r="W14" s="45" t="str">
        <f t="shared" si="4"/>
        <v>EC</v>
      </c>
      <c r="X14" s="22">
        <f t="shared" si="5"/>
        <v>137</v>
      </c>
      <c r="Y14" s="96" t="str">
        <f t="shared" si="6"/>
        <v>echo {"issue":{"subject":"Early Arrival","project_id":79,"tracker_id":40,"status_id":1,"priority_id":2,"assigned_to_id":23,"start_date":"2017-08-18","description":"","custom_fields":[{"id":1,"name":"Subdivision","value":"EC"},{"id":4,"name":"Milepost","value":"6.3069"},{"id":17,"name":"Train ID","value":"137-18"},{"id":16,"name":"Locomotive ID","value":"4064"},{"id":130,"name":"Impact","value":""},{"id":150,"name":"Time of Event (Mountain Time)","value":"08:28:54"},{"id":151,"name":"Denver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/c/Users/stu/AppData/Local/Temp/OnboardLogs/RTDC4064 --include="*4064*201708181*"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"%USERPROFILE%\AppData\Local\Temp\OnboardLogs"\RTDC4064\*4064*201708181* &gt;&gt; 2017-08-18-SliceDisagreementCheck.txt</v>
      </c>
      <c r="AE14" s="145" t="str">
        <f t="shared" si="9"/>
        <v>start /low /b %USERPROFILE%\Documents\GitHub\eaglep3\Utilities\DownloadLogsFromS3.py --loco 4064 --day 2017-08-18</v>
      </c>
      <c r="AF14" s="1"/>
    </row>
    <row r="15" spans="1:32" x14ac:dyDescent="0.25">
      <c r="A15" s="31">
        <v>42965.566701388889</v>
      </c>
      <c r="B15" s="30" t="s">
        <v>665</v>
      </c>
      <c r="C15" s="30" t="s">
        <v>666</v>
      </c>
      <c r="D15" s="30" t="s">
        <v>96</v>
      </c>
      <c r="E15" s="30" t="s">
        <v>187</v>
      </c>
      <c r="F15" s="42">
        <v>0</v>
      </c>
      <c r="G15" s="42">
        <v>103</v>
      </c>
      <c r="H15" s="42">
        <v>63298</v>
      </c>
      <c r="I15" s="42">
        <v>63224</v>
      </c>
      <c r="J15" s="30" t="s">
        <v>188</v>
      </c>
      <c r="K15" s="42">
        <v>63309</v>
      </c>
      <c r="L15" s="131" t="s">
        <v>51</v>
      </c>
      <c r="M15" s="132">
        <f t="shared" si="0"/>
        <v>-44.88</v>
      </c>
      <c r="N15" s="133" t="str">
        <f>VLOOKUP(C15,'Trips&amp;Operators'!$C$1:$G$99999,5,FALSE)</f>
        <v>LEVIN SCOTT</v>
      </c>
      <c r="O15" s="203" t="s">
        <v>180</v>
      </c>
      <c r="P15" s="134" t="s">
        <v>474</v>
      </c>
      <c r="Q15" s="30"/>
      <c r="R15" s="81" t="str">
        <f>VLOOKUP(C15,'Train Runs'!$A$13:$AE$9921,31,0)</f>
        <v>aws s3 cp s3://rtdc.mdm.uploadarchive.raw/RTDC4049/ "%USERPROFILE%\AppData\Local\Temp\OnboardLogs"\RTDC4049\2017-08-18 --exclude "*" --recursive --include "*20170818*" &amp; "%USERPROFILE%\Documents\GitHub\mrs-test-scripts\Headless Mode &amp; Sideloading\WalkAndUnGZ.bat" "%USERPROFILE%\AppData\Local\Temp\OnboardLogs"\RTDC4049\2017-08-18 &amp; aws s3 cp s3://rtdc.mdm.uploadarchive.raw/RTDC4049/ "%USERPROFILE%\AppData\Local\Temp\OnboardLogs"\RTDC4049\2017-08-19 --exclude "*" --recursive --include "*20170819*" &amp; "%USERPROFILE%\Documents\GitHub\mrs-test-scripts\Headless Mode &amp; Sideloading\WalkAndUnGZ.bat" "%USERPROFILE%\AppData\Local\Temp\OnboardLogs"\RTDC4049\2017-08-19</v>
      </c>
      <c r="S15" s="84" t="str">
        <f>VLOOKUP(C15,'Train Runs'!$A$13:$AE$9921,22,0)</f>
        <v>https://d0f6bd738d7f1b3e5a7ca70fe4ff75f0.us-east-1.aws.found.io/app/kibana#/discover/Steve-Slow-Train-Analysis-(2080s-and-2083s)?_g=(refreshInterval:(display:Off,pause:!f,section:0,value:0),time:(from:'2017-08-18T12:09:05-0600',mode:absolute,to:'2017-08-18T14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5" s="86" t="str">
        <f t="shared" si="1"/>
        <v>"C:\Program Files (x86)\AstroGrep\AstroGrep.exe" /e /r /s /spath="%USERPROFILE%\AppData\Local\Temp\OnboardLogs" /stypes="*4049*201708181*" /stext=" 19:.+((SYSTEM_STATE.+slice.+state.+changed )|(ment ac)|(multiple cpu faults)|(system.+state.+changed )|(\[timeout)|(PRM\|1\|D)|(kpr)|(kdp)|(train st.+moving)|(\|lc)|(penalty))"</v>
      </c>
      <c r="U15" s="9" t="str">
        <f t="shared" si="2"/>
        <v>4049</v>
      </c>
      <c r="V15" s="31">
        <f t="shared" si="3"/>
        <v>42965.816701388889</v>
      </c>
      <c r="W15" s="45" t="str">
        <f t="shared" si="4"/>
        <v>EC</v>
      </c>
      <c r="X15" s="22">
        <f t="shared" si="5"/>
        <v>170</v>
      </c>
      <c r="Y15" s="96" t="str">
        <f t="shared" si="6"/>
        <v>echo {"issue":{"subject":"Early Arrival","project_id":79,"tracker_id":40,"status_id":1,"priority_id":2,"assigned_to_id":23,"start_date":"2017-08-18","description":"","custom_fields":[{"id":1,"name":"Subdivision","value":"EC"},{"id":4,"name":"Milepost","value":"6.3309"},{"id":17,"name":"Train ID","value":"170-18"},{"id":16,"name":"Locomotive ID","value":"4049"},{"id":130,"name":"Impact","value":""},{"id":150,"name":"Time of Event (Mountain Time)","value":"13:36:03"},{"id":151,"name":"Denver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/c/Users/stu/AppData/Local/Temp/OnboardLogs/RTDC4049 --include="*4049*201708181*"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"%USERPROFILE%\AppData\Local\Temp\OnboardLogs"\RTDC4049\*4049*201708181* &gt;&gt; 2017-08-18-SliceDisagreementCheck.txt</v>
      </c>
      <c r="AE15" s="145" t="str">
        <f t="shared" si="9"/>
        <v>start /low /b %USERPROFILE%\Documents\GitHub\eaglep3\Utilities\DownloadLogsFromS3.py --loco 4049 --day 2017-08-18</v>
      </c>
      <c r="AF15" s="1"/>
    </row>
    <row r="16" spans="1:32" x14ac:dyDescent="0.25">
      <c r="A16" s="31">
        <v>42965.272881944446</v>
      </c>
      <c r="B16" s="30" t="s">
        <v>522</v>
      </c>
      <c r="C16" s="30" t="s">
        <v>648</v>
      </c>
      <c r="D16" s="30" t="s">
        <v>96</v>
      </c>
      <c r="E16" s="30" t="s">
        <v>196</v>
      </c>
      <c r="F16" s="42">
        <v>200</v>
      </c>
      <c r="G16" s="42">
        <v>251</v>
      </c>
      <c r="H16" s="42">
        <v>5418</v>
      </c>
      <c r="I16" s="42">
        <v>6131</v>
      </c>
      <c r="J16" s="30" t="s">
        <v>197</v>
      </c>
      <c r="K16" s="42">
        <v>4677</v>
      </c>
      <c r="L16" s="131" t="s">
        <v>50</v>
      </c>
      <c r="M16" s="132">
        <f t="shared" si="0"/>
        <v>-767.71199999999999</v>
      </c>
      <c r="N16" s="133" t="str">
        <f>VLOOKUP(C16,'Trips&amp;Operators'!$C$1:$G$99999,5,FALSE)</f>
        <v>DAVIS WENDY</v>
      </c>
      <c r="O16" s="203" t="s">
        <v>180</v>
      </c>
      <c r="P16" s="134"/>
      <c r="Q16" s="30"/>
      <c r="R16" s="81" t="str">
        <f>VLOOKUP(C16,'Train Runs'!$A$13:$AE$9921,31,0)</f>
        <v>aws s3 cp s3://rtdc.mdm.uploadarchive.raw/RTDC4064/ "%USERPROFILE%\AppData\Local\Temp\OnboardLogs"\RTDC4064\2017-08-18 --exclude "*" --recursive --include "*20170818*" &amp; "%USERPROFILE%\Documents\GitHub\mrs-test-scripts\Headless Mode &amp; Sideloading\WalkAndUnGZ.bat" "%USERPROFILE%\AppData\Local\Temp\OnboardLogs"\RTDC4064\2017-08-18 &amp; aws s3 cp s3://rtdc.mdm.uploadarchive.raw/RTDC4064/ "%USERPROFILE%\AppData\Local\Temp\OnboardLogs"\RTDC4064\2017-08-19 --exclude "*" --recursive --include "*20170819*" &amp; "%USERPROFILE%\Documents\GitHub\mrs-test-scripts\Headless Mode &amp; Sideloading\WalkAndUnGZ.bat" "%USERPROFILE%\AppData\Local\Temp\OnboardLogs"\RTDC4064\2017-08-19</v>
      </c>
      <c r="S16" s="84" t="str">
        <f>VLOOKUP(C16,'Train Runs'!$A$13:$AE$9921,22,0)</f>
        <v>https://d0f6bd738d7f1b3e5a7ca70fe4ff75f0.us-east-1.aws.found.io/app/kibana#/discover/Steve-Slow-Train-Analysis-(2080s-and-2083s)?_g=(refreshInterval:(display:Off,pause:!f,section:0,value:0),time:(from:'2017-08-18T05:25:30-0600',mode:absolute,to:'2017-08-18T08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6" s="86" t="str">
        <f t="shared" si="1"/>
        <v>"C:\Program Files (x86)\AstroGrep\AstroGrep.exe" /e /r /s /spath="%USERPROFILE%\AppData\Local\Temp\OnboardLogs" /stypes="*4064*201708181*"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4064</v>
      </c>
      <c r="V16" s="31">
        <f t="shared" si="3"/>
        <v>42965.522881944446</v>
      </c>
      <c r="W16" s="45" t="str">
        <f t="shared" si="4"/>
        <v>EC</v>
      </c>
      <c r="X16" s="22">
        <f t="shared" si="5"/>
        <v>123</v>
      </c>
      <c r="Y16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{"issue":{"subject":"","project_id":79,"tracker_id":40,"status_id":1,"priority_id":2,"assigned_to_id":23,"start_date":"2017-08-18","description":"","custom_fields":[{"id":1,"name":"Subdivision","value":"EC"},{"id":4,"name":"Milepost","value":"0.4677"},{"id":17,"name":"Train ID","value":"123-18"},{"id":16,"name":"Locomotive ID","value":"4064"},{"id":130,"name":"Impact","value":""},{"id":150,"name":"Time of Event (Mountain Time)","value":"06:32:57"},{"id":151,"name":"Denver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/c/Users/stu/AppData/Local/Temp/OnboardLogs/RTDC4064 --include="*4064*201708181*"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"%USERPROFILE%\AppData\Local\Temp\OnboardLogs"\RTDC4064\*4064*201708181* &gt;&gt; 2017-08-18-SliceDisagreementCheck.txt</v>
      </c>
      <c r="AE16" s="145" t="str">
        <f t="shared" si="9"/>
        <v>start /low /b %USERPROFILE%\Documents\GitHub\eaglep3\Utilities\DownloadLogsFromS3.py --loco 4064 --day 2017-08-18</v>
      </c>
      <c r="AF16" s="1"/>
    </row>
    <row r="17" spans="1:32" x14ac:dyDescent="0.25">
      <c r="A17" s="31">
        <v>42965.919560185182</v>
      </c>
      <c r="B17" s="30" t="s">
        <v>447</v>
      </c>
      <c r="C17" s="30" t="s">
        <v>679</v>
      </c>
      <c r="D17" s="30" t="s">
        <v>49</v>
      </c>
      <c r="E17" s="30" t="s">
        <v>196</v>
      </c>
      <c r="F17" s="42">
        <v>400</v>
      </c>
      <c r="G17" s="42">
        <v>612</v>
      </c>
      <c r="H17" s="42">
        <v>13788</v>
      </c>
      <c r="I17" s="42">
        <v>17441</v>
      </c>
      <c r="J17" s="30" t="s">
        <v>197</v>
      </c>
      <c r="K17" s="42">
        <v>17867</v>
      </c>
      <c r="L17" s="131" t="s">
        <v>50</v>
      </c>
      <c r="M17" s="132">
        <f t="shared" si="0"/>
        <v>224.928</v>
      </c>
      <c r="N17" s="133" t="str">
        <f>VLOOKUP(C17,'Trips&amp;Operators'!$C$1:$G$99999,5,FALSE)</f>
        <v>PERKINS DARREN</v>
      </c>
      <c r="O17" s="203" t="s">
        <v>180</v>
      </c>
      <c r="P17" s="134"/>
      <c r="Q17" s="30"/>
      <c r="R17" s="81" t="str">
        <f>VLOOKUP(C17,'Train Runs'!$A$13:$AE$9921,31,0)</f>
        <v>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 &amp; 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</v>
      </c>
      <c r="S17" s="84" t="str">
        <f>VLOOKUP(C17,'Train Runs'!$A$13:$AE$9921,22,0)</f>
        <v>https://d0f6bd738d7f1b3e5a7ca70fe4ff75f0.us-east-1.aws.found.io/app/kibana#/discover/Steve-Slow-Train-Analysis-(2080s-and-2083s)?_g=(refreshInterval:(display:Off,pause:!f,section:0,value:0),time:(from:'2017-08-18T20:41:59-0600',mode:absolute,to:'2017-08-18T23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7" s="86" t="str">
        <f t="shared" si="1"/>
        <v>"C:\Program Files (x86)\AstroGrep\AstroGrep.exe" /e /r /s /spath="%USERPROFILE%\AppData\Local\Temp\OnboardLogs" /stypes="*4030*201708190*" /stext=" 04:.+((SYSTEM_STATE.+slice.+state.+changed )|(ment ac)|(multiple cpu faults)|(system.+state.+changed )|(\[timeout)|(PRM\|1\|D)|(kpr)|(kdp)|(train st.+moving)|(\|lc)|(penalty))"</v>
      </c>
      <c r="U17" s="9" t="str">
        <f t="shared" si="2"/>
        <v>4030</v>
      </c>
      <c r="V17" s="31">
        <f t="shared" si="3"/>
        <v>42966.169560185182</v>
      </c>
      <c r="W17" s="45" t="str">
        <f t="shared" si="4"/>
        <v>EC</v>
      </c>
      <c r="X17" s="22">
        <f t="shared" si="5"/>
        <v>233</v>
      </c>
      <c r="Y17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{"issue":{"subject":"","project_id":79,"tracker_id":40,"status_id":1,"priority_id":2,"assigned_to_id":23,"start_date":"2017-08-18","description":"","custom_fields":[{"id":1,"name":"Subdivision","value":"EC"},{"id":4,"name":"Milepost","value":"1.7867"},{"id":17,"name":"Train ID","value":"233-18"},{"id":16,"name":"Locomotive ID","value":"4030"},{"id":130,"name":"Impact","value":""},{"id":150,"name":"Time of Event (Mountain Time)","value":"22:04:10"},{"id":151,"name":"Denver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/c/Users/stu/AppData/Local/Temp/OnboardLogs/RTDC4030 --include="*4030*201708190*"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"%USERPROFILE%\AppData\Local\Temp\OnboardLogs"\RTDC4030\*4030*201708190* &gt;&gt; 2017-08-18-SliceDisagreementCheck.txt</v>
      </c>
      <c r="AE17" s="145" t="str">
        <f t="shared" si="9"/>
        <v>start /low /b %USERPROFILE%\Documents\GitHub\eaglep3\Utilities\DownloadLogsFromS3.py --loco 4030 --day 2017-08-19</v>
      </c>
      <c r="AF17" s="1"/>
    </row>
    <row r="18" spans="1:32" x14ac:dyDescent="0.25">
      <c r="A18" s="31">
        <v>42965.238067129627</v>
      </c>
      <c r="B18" s="30" t="s">
        <v>467</v>
      </c>
      <c r="C18" s="30" t="s">
        <v>645</v>
      </c>
      <c r="D18" s="30" t="s">
        <v>49</v>
      </c>
      <c r="E18" s="30" t="s">
        <v>196</v>
      </c>
      <c r="F18" s="42">
        <v>200</v>
      </c>
      <c r="G18" s="42">
        <v>254</v>
      </c>
      <c r="H18" s="42">
        <v>31087</v>
      </c>
      <c r="I18" s="42">
        <v>30595</v>
      </c>
      <c r="J18" s="30" t="s">
        <v>197</v>
      </c>
      <c r="K18" s="42">
        <v>30562</v>
      </c>
      <c r="L18" s="131" t="s">
        <v>51</v>
      </c>
      <c r="M18" s="132">
        <f t="shared" si="0"/>
        <v>17.423999999999999</v>
      </c>
      <c r="N18" s="133" t="str">
        <f>VLOOKUP(C18,'Trips&amp;Operators'!$C$1:$G$99999,5,FALSE)</f>
        <v>GUNTHIER ERIC</v>
      </c>
      <c r="O18" s="203" t="s">
        <v>180</v>
      </c>
      <c r="P18" s="134"/>
      <c r="Q18" s="30"/>
      <c r="R18" s="81" t="str">
        <f>VLOOKUP(C18,'Train Runs'!$A$13:$AE$9921,31,0)</f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S18" s="84" t="str">
        <f>VLOOKUP(C18,'Train Runs'!$A$13:$AE$9921,22,0)</f>
        <v>https://d0f6bd738d7f1b3e5a7ca70fe4ff75f0.us-east-1.aws.found.io/app/kibana#/discover/Steve-Slow-Train-Analysis-(2080s-and-2083s)?_g=(refreshInterval:(display:Off,pause:!f,section:0,value:0),time:(from:'2017-08-18T04:03:43-0600',mode:absolute,to:'2017-08-18T06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86" t="str">
        <f t="shared" si="1"/>
        <v>"C:\Program Files (x86)\AstroGrep\AstroGrep.exe" /e /r /s /spath="%USERPROFILE%\AppData\Local\Temp\OnboardLogs" /stypes="*4029*201708181*" /stext=" 11:.+((SYSTEM_STATE.+slice.+state.+changed )|(ment ac)|(multiple cpu faults)|(system.+state.+changed )|(\[timeout)|(PRM\|1\|D)|(kpr)|(kdp)|(train st.+moving)|(\|lc)|(penalty))"</v>
      </c>
      <c r="U18" s="9" t="str">
        <f t="shared" si="2"/>
        <v>4029</v>
      </c>
      <c r="V18" s="31">
        <f t="shared" si="3"/>
        <v>42965.488067129627</v>
      </c>
      <c r="W18" s="45" t="str">
        <f t="shared" si="4"/>
        <v>EC</v>
      </c>
      <c r="X18" s="22">
        <f t="shared" si="5"/>
        <v>106</v>
      </c>
      <c r="Y18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{"issue":{"subject":"","project_id":79,"tracker_id":40,"status_id":1,"priority_id":2,"assigned_to_id":23,"start_date":"2017-08-18","description":"","custom_fields":[{"id":1,"name":"Subdivision","value":"EC"},{"id":4,"name":"Milepost","value":"3.0562"},{"id":17,"name":"Train ID","value":"106-18"},{"id":16,"name":"Locomotive ID","value":"4029"},{"id":130,"name":"Impact","value":""},{"id":150,"name":"Time of Event (Mountain Time)","value":"05:42:49"},{"id":151,"name":"Denver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/c/Users/stu/AppData/Local/Temp/OnboardLogs/RTDC4029 --include="*4029*201708181*"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"%USERPROFILE%\AppData\Local\Temp\OnboardLogs"\RTDC4029\*4029*201708181* &gt;&gt; 2017-08-18-SliceDisagreementCheck.txt</v>
      </c>
      <c r="AE18" s="145" t="str">
        <f t="shared" si="9"/>
        <v>start /low /b %USERPROFILE%\Documents\GitHub\eaglep3\Utilities\DownloadLogsFromS3.py --loco 4029 --day 2017-08-18</v>
      </c>
      <c r="AF18" s="1"/>
    </row>
    <row r="19" spans="1:32" x14ac:dyDescent="0.25">
      <c r="A19" s="31">
        <v>42965.774143518516</v>
      </c>
      <c r="B19" s="30" t="s">
        <v>402</v>
      </c>
      <c r="C19" s="30" t="s">
        <v>677</v>
      </c>
      <c r="D19" s="30" t="s">
        <v>49</v>
      </c>
      <c r="E19" s="30" t="s">
        <v>196</v>
      </c>
      <c r="F19" s="42">
        <v>350</v>
      </c>
      <c r="G19" s="42">
        <v>408</v>
      </c>
      <c r="H19" s="42">
        <v>223830</v>
      </c>
      <c r="I19" s="42">
        <v>224660</v>
      </c>
      <c r="J19" s="30" t="s">
        <v>197</v>
      </c>
      <c r="K19" s="42">
        <v>224578</v>
      </c>
      <c r="L19" s="131" t="s">
        <v>50</v>
      </c>
      <c r="M19" s="132">
        <f t="shared" si="0"/>
        <v>-43.296000000000006</v>
      </c>
      <c r="N19" s="133" t="str">
        <f>VLOOKUP(C19,'Trips&amp;Operators'!$C$1:$G$99999,5,FALSE)</f>
        <v>NICHOLSON WESLEY</v>
      </c>
      <c r="O19" s="203" t="s">
        <v>180</v>
      </c>
      <c r="P19" s="134"/>
      <c r="Q19" s="30"/>
      <c r="R19" s="81" t="str">
        <f>VLOOKUP(C19,'Train Runs'!$A$13:$AE$9921,31,0)</f>
        <v>aws s3 cp s3://rtdc.mdm.uploadarchive.raw/RTDC4018/ "%USERPROFILE%\AppData\Local\Temp\OnboardLogs"\RTDC4018\2017-08-18 --exclude "*" --recursive --include "*20170818*" &amp; "%USERPROFILE%\Documents\GitHub\mrs-test-scripts\Headless Mode &amp; Sideloading\WalkAndUnGZ.bat" "%USERPROFILE%\AppData\Local\Temp\OnboardLogs"\RTDC4018\2017-08-18 &amp; aws s3 cp s3://rtdc.mdm.uploadarchive.raw/RTDC4018/ "%USERPROFILE%\AppData\Local\Temp\OnboardLogs"\RTDC4018\2017-08-19 --exclude "*" --recursive --include "*20170819*" &amp; "%USERPROFILE%\Documents\GitHub\mrs-test-scripts\Headless Mode &amp; Sideloading\WalkAndUnGZ.bat" "%USERPROFILE%\AppData\Local\Temp\OnboardLogs"\RTDC4018\2017-08-19</v>
      </c>
      <c r="S19" s="84" t="str">
        <f>VLOOKUP(C19,'Train Runs'!$A$13:$AE$9921,22,0)</f>
        <v>https://d0f6bd738d7f1b3e5a7ca70fe4ff75f0.us-east-1.aws.found.io/app/kibana#/discover/Steve-Slow-Train-Analysis-(2080s-and-2083s)?_g=(refreshInterval:(display:Off,pause:!f,section:0,value:0),time:(from:'2017-08-18T16:53:48-0600',mode:absolute,to:'2017-08-18T19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9" s="86" t="str">
        <f t="shared" si="1"/>
        <v>"C:\Program Files (x86)\AstroGrep\AstroGrep.exe" /e /r /s /spath="%USERPROFILE%\AppData\Local\Temp\OnboardLogs" /stypes="*4018*201708190*" /stext=" 00:.+((SYSTEM_STATE.+slice.+state.+changed )|(ment ac)|(multiple cpu faults)|(system.+state.+changed )|(\[timeout)|(PRM\|1\|D)|(kpr)|(kdp)|(train st.+moving)|(\|lc)|(penalty))"</v>
      </c>
      <c r="U19" s="9" t="str">
        <f t="shared" si="2"/>
        <v>4018</v>
      </c>
      <c r="V19" s="31">
        <f t="shared" si="3"/>
        <v>42966.024143518516</v>
      </c>
      <c r="W19" s="45" t="str">
        <f t="shared" si="4"/>
        <v>EC</v>
      </c>
      <c r="X19" s="22">
        <f t="shared" si="5"/>
        <v>215</v>
      </c>
      <c r="Y19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{"issue":{"subject":"","project_id":79,"tracker_id":40,"status_id":1,"priority_id":2,"assigned_to_id":23,"start_date":"2017-08-18","description":"","custom_fields":[{"id":1,"name":"Subdivision","value":"EC"},{"id":4,"name":"Milepost","value":"22.4578"},{"id":17,"name":"Train ID","value":"215-18"},{"id":16,"name":"Locomotive ID","value":"4018"},{"id":130,"name":"Impact","value":""},{"id":150,"name":"Time of Event (Mountain Time)","value":"18:34:46"},{"id":151,"name":"Denver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/c/Users/stu/AppData/Local/Temp/OnboardLogs/RTDC4018 --include="*4018*201708190*"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"%USERPROFILE%\AppData\Local\Temp\OnboardLogs"\RTDC4018\*4018*201708190* &gt;&gt; 2017-08-18-SliceDisagreementCheck.txt</v>
      </c>
      <c r="AE19" s="145" t="str">
        <f t="shared" si="9"/>
        <v>start /low /b %USERPROFILE%\Documents\GitHub\eaglep3\Utilities\DownloadLogsFromS3.py --loco 4018 --day 2017-08-19</v>
      </c>
      <c r="AF19" s="1"/>
    </row>
    <row r="20" spans="1:32" x14ac:dyDescent="0.25">
      <c r="A20" s="31">
        <v>42965.647233796299</v>
      </c>
      <c r="B20" s="30" t="s">
        <v>466</v>
      </c>
      <c r="C20" s="30" t="s">
        <v>672</v>
      </c>
      <c r="D20" s="30" t="s">
        <v>49</v>
      </c>
      <c r="E20" s="30" t="s">
        <v>444</v>
      </c>
      <c r="F20" s="42">
        <v>0</v>
      </c>
      <c r="G20" s="42">
        <v>433</v>
      </c>
      <c r="H20" s="42">
        <v>87933</v>
      </c>
      <c r="I20" s="42">
        <v>86374</v>
      </c>
      <c r="J20" s="30" t="s">
        <v>445</v>
      </c>
      <c r="K20" s="42">
        <v>87902</v>
      </c>
      <c r="L20" s="131" t="s">
        <v>51</v>
      </c>
      <c r="M20" s="132">
        <f t="shared" si="0"/>
        <v>-806.78399999999999</v>
      </c>
      <c r="N20" s="133" t="str">
        <f>VLOOKUP(C20,'Trips&amp;Operators'!$C$1:$G$99999,5,FALSE)</f>
        <v>SULLIVAN BRANDON</v>
      </c>
      <c r="O20" s="203" t="s">
        <v>448</v>
      </c>
      <c r="P20" s="134" t="s">
        <v>483</v>
      </c>
      <c r="Q20" s="30"/>
      <c r="R20" s="81" t="str">
        <f>VLOOKUP(C20,'Train Runs'!$A$13:$AE$9921,31,0)</f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S20" s="84" t="str">
        <f>VLOOKUP(C20,'Train Runs'!$A$13:$AE$9921,22,0)</f>
        <v>https://d0f6bd738d7f1b3e5a7ca70fe4ff75f0.us-east-1.aws.found.io/app/kibana#/discover/Steve-Slow-Train-Analysis-(2080s-and-2083s)?_g=(refreshInterval:(display:Off,pause:!f,section:0,value:0),time:(from:'2017-08-18T14:02:02-0600',mode:absolute,to:'2017-08-18T16:32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0" s="86" t="str">
        <f t="shared" si="1"/>
        <v>"C:\Program Files (x86)\AstroGrep\AstroGrep.exe" /e /r /s /spath="%USERPROFILE%\AppData\Local\Temp\OnboardLogs" /stypes="*4011*201708182*" /stext=" 21:.+((SYSTEM_STATE.+slice.+state.+changed )|(ment ac)|(multiple cpu faults)|(system.+state.+changed )|(\[timeout)|(PRM\|1\|D)|(kpr)|(kdp)|(train st.+moving)|(\|lc)|(penalty))"</v>
      </c>
      <c r="U20" s="9" t="str">
        <f t="shared" si="2"/>
        <v>4011</v>
      </c>
      <c r="V20" s="31">
        <f t="shared" si="3"/>
        <v>42965.897233796299</v>
      </c>
      <c r="W20" s="45" t="str">
        <f t="shared" si="4"/>
        <v>EC</v>
      </c>
      <c r="X20" s="22">
        <f t="shared" si="5"/>
        <v>186</v>
      </c>
      <c r="Y20" s="96" t="str">
        <f t="shared" si="6"/>
        <v>echo {"issue":{"subject":"Wi-MAX data drop","project_id":79,"tracker_id":40,"status_id":1,"priority_id":2,"assigned_to_id":23,"start_date":"2017-08-18","description":"","custom_fields":[{"id":1,"name":"Subdivision","value":"EC"},{"id":4,"name":"Milepost","value":"8.7902"},{"id":17,"name":"Train ID","value":"186-18"},{"id":16,"name":"Locomotive ID","value":"4011"},{"id":130,"name":"Impact","value":""},{"id":150,"name":"Time of Event (Mountain Time)","value":"15:32:01"},{"id":151,"name":"Denver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/c/Users/stu/AppData/Local/Temp/OnboardLogs/RTDC4011 --include="*4011*201708182*"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"%USERPROFILE%\AppData\Local\Temp\OnboardLogs"\RTDC4011\*4011*201708182* &gt;&gt; 2017-08-18-SliceDisagreementCheck.txt</v>
      </c>
      <c r="AE20" s="145" t="str">
        <f t="shared" si="9"/>
        <v>start /low /b %USERPROFILE%\Documents\GitHub\eaglep3\Utilities\DownloadLogsFromS3.py --loco 4011 --day 2017-08-18</v>
      </c>
      <c r="AF20" s="1"/>
    </row>
    <row r="21" spans="1:32" x14ac:dyDescent="0.25">
      <c r="A21" s="31">
        <v>42965.584953703707</v>
      </c>
      <c r="B21" s="30" t="s">
        <v>466</v>
      </c>
      <c r="C21" s="30" t="s">
        <v>668</v>
      </c>
      <c r="D21" s="30" t="s">
        <v>96</v>
      </c>
      <c r="E21" s="30" t="s">
        <v>463</v>
      </c>
      <c r="F21" s="42">
        <v>0</v>
      </c>
      <c r="G21" s="42">
        <v>455</v>
      </c>
      <c r="H21" s="42">
        <v>13115</v>
      </c>
      <c r="I21" s="42">
        <v>11627</v>
      </c>
      <c r="J21" s="30" t="s">
        <v>464</v>
      </c>
      <c r="K21" s="42">
        <v>17100</v>
      </c>
      <c r="L21" s="131" t="s">
        <v>51</v>
      </c>
      <c r="M21" s="132">
        <f t="shared" si="0"/>
        <v>-2889.7440000000001</v>
      </c>
      <c r="N21" s="133" t="str">
        <f>VLOOKUP(C21,'Trips&amp;Operators'!$C$1:$G$99999,5,FALSE)</f>
        <v>SULLIVAN BRANDON</v>
      </c>
      <c r="O21" s="203" t="s">
        <v>448</v>
      </c>
      <c r="P21" s="134" t="s">
        <v>483</v>
      </c>
      <c r="Q21" s="30"/>
      <c r="R21" s="81" t="str">
        <f>VLOOKUP(C21,'Train Runs'!$A$13:$AE$9921,31,0)</f>
        <v>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 &amp; aws s3 cp s3://rtdc.mdm.uploadarchive.raw/RTDC4011/ "%USERPROFILE%\AppData\Local\Temp\OnboardLogs"\RTDC4011\2017-08-19 --exclude "*" --recursive --include "*20170819*" &amp; "%USERPROFILE%\Documents\GitHub\mrs-test-scripts\Headless Mode &amp; Sideloading\WalkAndUnGZ.bat" "%USERPROFILE%\AppData\Local\Temp\OnboardLogs"\RTDC4011\2017-08-19</v>
      </c>
      <c r="S21" s="84" t="str">
        <f>VLOOKUP(C21,'Train Runs'!$A$13:$AE$9921,22,0)</f>
        <v>https://d0f6bd738d7f1b3e5a7ca70fe4ff75f0.us-east-1.aws.found.io/app/kibana#/discover/Steve-Slow-Train-Analysis-(2080s-and-2083s)?_g=(refreshInterval:(display:Off,pause:!f,section:0,value:0),time:(from:'2017-08-18T12:18:14-0600',mode:absolute,to:'2017-08-18T15:02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1" s="86" t="str">
        <f t="shared" si="1"/>
        <v>"C:\Program Files (x86)\AstroGrep\AstroGrep.exe" /e /r /s /spath="%USERPROFILE%\AppData\Local\Temp\OnboardLogs" /stypes="*4011*201708182*" /stext=" 20:.+((SYSTEM_STATE.+slice.+state.+changed )|(ment ac)|(multiple cpu faults)|(system.+state.+changed )|(\[timeout)|(PRM\|1\|D)|(kpr)|(kdp)|(train st.+moving)|(\|lc)|(penalty))"</v>
      </c>
      <c r="U21" s="9" t="str">
        <f t="shared" si="2"/>
        <v>4011</v>
      </c>
      <c r="V21" s="31">
        <f t="shared" si="3"/>
        <v>42965.834953703707</v>
      </c>
      <c r="W21" s="45" t="str">
        <f t="shared" si="4"/>
        <v>EC</v>
      </c>
      <c r="X21" s="22">
        <f t="shared" si="5"/>
        <v>172</v>
      </c>
      <c r="Y21" s="96" t="str">
        <f t="shared" si="6"/>
        <v>echo {"issue":{"subject":"Wi-MAX data drop","project_id":79,"tracker_id":40,"status_id":1,"priority_id":2,"assigned_to_id":23,"start_date":"2017-08-18","description":"","custom_fields":[{"id":1,"name":"Subdivision","value":"EC"},{"id":4,"name":"Milepost","value":"1.71"},{"id":17,"name":"Train ID","value":"172-18"},{"id":16,"name":"Locomotive ID","value":"4011"},{"id":130,"name":"Impact","value":""},{"id":150,"name":"Time of Event (Mountain Time)","value":"14:02:20"},{"id":151,"name":"Denver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/c/Users/stu/AppData/Local/Temp/OnboardLogs/RTDC4011 --include="*4011*201708182*"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"%USERPROFILE%\AppData\Local\Temp\OnboardLogs"\RTDC4011\*4011*201708182* &gt;&gt; 2017-08-18-SliceDisagreementCheck.txt</v>
      </c>
      <c r="AE21" s="145" t="str">
        <f t="shared" si="9"/>
        <v>start /low /b %USERPROFILE%\Documents\GitHub\eaglep3\Utilities\DownloadLogsFromS3.py --loco 4011 --day 2017-08-18</v>
      </c>
      <c r="AF21" s="1"/>
    </row>
    <row r="22" spans="1:32" x14ac:dyDescent="0.25">
      <c r="A22" s="31">
        <v>42965.388796296298</v>
      </c>
      <c r="B22" s="30" t="s">
        <v>467</v>
      </c>
      <c r="C22" s="30" t="s">
        <v>656</v>
      </c>
      <c r="D22" s="30" t="s">
        <v>49</v>
      </c>
      <c r="E22" s="30" t="s">
        <v>181</v>
      </c>
      <c r="F22" s="42">
        <v>0</v>
      </c>
      <c r="G22" s="42">
        <v>56</v>
      </c>
      <c r="H22" s="42">
        <v>187</v>
      </c>
      <c r="I22" s="42">
        <v>149</v>
      </c>
      <c r="J22" s="30" t="s">
        <v>182</v>
      </c>
      <c r="K22" s="42">
        <v>1</v>
      </c>
      <c r="L22" s="131" t="s">
        <v>51</v>
      </c>
      <c r="M22" s="132">
        <f t="shared" si="0"/>
        <v>78.144000000000005</v>
      </c>
      <c r="N22" s="133" t="str">
        <f>VLOOKUP(C22,'Trips&amp;Operators'!$C$1:$G$99999,5,FALSE)</f>
        <v>SANTIZO D. EDY</v>
      </c>
      <c r="O22" s="203" t="s">
        <v>180</v>
      </c>
      <c r="P22" s="134"/>
      <c r="Q22" s="30"/>
      <c r="R22" s="81" t="str">
        <f>VLOOKUP(C22,'Train Runs'!$A$13:$AE$9921,31,0)</f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S22" s="84" t="str">
        <f>VLOOKUP(C22,'Train Runs'!$A$13:$AE$9921,22,0)</f>
        <v>https://d0f6bd738d7f1b3e5a7ca70fe4ff75f0.us-east-1.aws.found.io/app/kibana#/discover/Steve-Slow-Train-Analysis-(2080s-and-2083s)?_g=(refreshInterval:(display:Off,pause:!f,section:0,value:0),time:(from:'2017-08-18T07:23:21-0600',mode:absolute,to:'2017-08-18T10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86" t="str">
        <f t="shared" si="1"/>
        <v>"C:\Program Files (x86)\AstroGrep\AstroGrep.exe" /e /r /s /spath="%USERPROFILE%\AppData\Local\Temp\OnboardLogs" /stypes="*4029*201708181*" /stext=" 15:.+((SYSTEM_STATE.+slice.+state.+changed )|(ment ac)|(multiple cpu faults)|(system.+state.+changed )|(\[timeout)|(PRM\|1\|D)|(kpr)|(kdp)|(train st.+moving)|(\|lc)|(penalty))"</v>
      </c>
      <c r="U22" s="9" t="str">
        <f t="shared" si="2"/>
        <v>4029</v>
      </c>
      <c r="V22" s="31">
        <f t="shared" si="3"/>
        <v>42965.638796296298</v>
      </c>
      <c r="W22" s="45" t="str">
        <f t="shared" si="4"/>
        <v>EC</v>
      </c>
      <c r="X22" s="22">
        <f t="shared" si="5"/>
        <v>134</v>
      </c>
      <c r="Y22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{"issue":{"subject":"","project_id":79,"tracker_id":40,"status_id":1,"priority_id":2,"assigned_to_id":23,"start_date":"2017-08-18","description":"","custom_fields":[{"id":1,"name":"Subdivision","value":"EC"},{"id":4,"name":"Milepost","value":"0.0001"},{"id":17,"name":"Train ID","value":"134-18"},{"id":16,"name":"Locomotive ID","value":"4029"},{"id":130,"name":"Impact","value":""},{"id":150,"name":"Time of Event (Mountain Time)","value":"09:19:52"},{"id":151,"name":"Denver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/c/Users/stu/AppData/Local/Temp/OnboardLogs/RTDC4029 --include="*4029*201708181*"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"%USERPROFILE%\AppData\Local\Temp\OnboardLogs"\RTDC4029\*4029*201708181* &gt;&gt; 2017-08-18-SliceDisagreementCheck.txt</v>
      </c>
      <c r="AE22" s="145" t="str">
        <f t="shared" si="9"/>
        <v>start /low /b %USERPROFILE%\Documents\GitHub\eaglep3\Utilities\DownloadLogsFromS3.py --loco 4029 --day 2017-08-18</v>
      </c>
      <c r="AF22" s="1"/>
    </row>
    <row r="23" spans="1:32" x14ac:dyDescent="0.25">
      <c r="A23" s="31">
        <v>42965.567060185182</v>
      </c>
      <c r="B23" s="30" t="s">
        <v>356</v>
      </c>
      <c r="C23" s="30" t="s">
        <v>667</v>
      </c>
      <c r="D23" s="30" t="s">
        <v>49</v>
      </c>
      <c r="E23" s="30" t="s">
        <v>181</v>
      </c>
      <c r="F23" s="42">
        <v>0</v>
      </c>
      <c r="G23" s="42">
        <v>49</v>
      </c>
      <c r="H23" s="42">
        <v>172</v>
      </c>
      <c r="I23" s="42">
        <v>114</v>
      </c>
      <c r="J23" s="30" t="s">
        <v>182</v>
      </c>
      <c r="K23" s="42">
        <v>1</v>
      </c>
      <c r="L23" s="131" t="s">
        <v>51</v>
      </c>
      <c r="M23" s="132">
        <f t="shared" si="0"/>
        <v>59.664000000000001</v>
      </c>
      <c r="N23" s="133" t="str">
        <f>VLOOKUP(C23,'Trips&amp;Operators'!$C$1:$G$99999,5,FALSE)</f>
        <v>LANGERAK WILLIAM</v>
      </c>
      <c r="O23" s="203" t="s">
        <v>180</v>
      </c>
      <c r="P23" s="134"/>
      <c r="Q23" s="30"/>
      <c r="R23" s="81" t="str">
        <f>VLOOKUP(C23,'Train Runs'!$A$13:$AE$9921,31,0)</f>
        <v>aws s3 cp s3://rtdc.mdm.uploadarchive.raw/RTDC4039/ "%USERPROFILE%\AppData\Local\Temp\OnboardLogs"\RTDC4039\2017-08-18 --exclude "*" --recursive --include "*20170818*" &amp; "%USERPROFILE%\Documents\GitHub\mrs-test-scripts\Headless Mode &amp; Sideloading\WalkAndUnGZ.bat" "%USERPROFILE%\AppData\Local\Temp\OnboardLogs"\RTDC4039\2017-08-18 &amp; aws s3 cp s3://rtdc.mdm.uploadarchive.raw/RTDC4039/ "%USERPROFILE%\AppData\Local\Temp\OnboardLogs"\RTDC4039\2017-08-19 --exclude "*" --recursive --include "*20170819*" &amp; "%USERPROFILE%\Documents\GitHub\mrs-test-scripts\Headless Mode &amp; Sideloading\WalkAndUnGZ.bat" "%USERPROFILE%\AppData\Local\Temp\OnboardLogs"\RTDC4039\2017-08-19</v>
      </c>
      <c r="S23" s="84" t="str">
        <f>VLOOKUP(C23,'Train Runs'!$A$13:$AE$9921,22,0)</f>
        <v>https://d0f6bd738d7f1b3e5a7ca70fe4ff75f0.us-east-1.aws.found.io/app/kibana#/discover/Steve-Slow-Train-Analysis-(2080s-and-2083s)?_g=(refreshInterval:(display:Off,pause:!f,section:0,value:0),time:(from:'2017-08-18T11:39:22-0600',mode:absolute,to:'2017-08-18T14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86" t="str">
        <f t="shared" si="1"/>
        <v>"C:\Program Files (x86)\AstroGrep\AstroGrep.exe" /e /r /s /spath="%USERPROFILE%\AppData\Local\Temp\OnboardLogs" /stypes="*4039*201708181*"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4039</v>
      </c>
      <c r="V23" s="31">
        <f t="shared" si="3"/>
        <v>42965.817060185182</v>
      </c>
      <c r="W23" s="45" t="str">
        <f t="shared" si="4"/>
        <v>EC</v>
      </c>
      <c r="X23" s="22">
        <f t="shared" si="5"/>
        <v>168</v>
      </c>
      <c r="Y23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{"issue":{"subject":"","project_id":79,"tracker_id":40,"status_id":1,"priority_id":2,"assigned_to_id":23,"start_date":"2017-08-18","description":"","custom_fields":[{"id":1,"name":"Subdivision","value":"EC"},{"id":4,"name":"Milepost","value":"0.0001"},{"id":17,"name":"Train ID","value":"168-18"},{"id":16,"name":"Locomotive ID","value":"4039"},{"id":130,"name":"Impact","value":""},{"id":150,"name":"Time of Event (Mountain Time)","value":"13:36:34"},{"id":151,"name":"Denver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/c/Users/stu/AppData/Local/Temp/OnboardLogs/RTDC4039 --include="*4039*201708181*"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"%USERPROFILE%\AppData\Local\Temp\OnboardLogs"\RTDC4039\*4039*201708181* &gt;&gt; 2017-08-18-SliceDisagreementCheck.txt</v>
      </c>
      <c r="AE23" s="145" t="str">
        <f t="shared" si="9"/>
        <v>start /low /b %USERPROFILE%\Documents\GitHub\eaglep3\Utilities\DownloadLogsFromS3.py --loco 4039 --day 2017-08-18</v>
      </c>
      <c r="AF23" s="1"/>
    </row>
    <row r="24" spans="1:32" x14ac:dyDescent="0.25">
      <c r="A24" s="31">
        <v>42965.702245370368</v>
      </c>
      <c r="B24" s="30" t="s">
        <v>523</v>
      </c>
      <c r="C24" s="30" t="s">
        <v>676</v>
      </c>
      <c r="D24" s="30" t="s">
        <v>49</v>
      </c>
      <c r="E24" s="30" t="s">
        <v>181</v>
      </c>
      <c r="F24" s="42">
        <v>0</v>
      </c>
      <c r="G24" s="42">
        <v>81</v>
      </c>
      <c r="H24" s="42">
        <v>302</v>
      </c>
      <c r="I24" s="42">
        <v>231</v>
      </c>
      <c r="J24" s="30" t="s">
        <v>182</v>
      </c>
      <c r="K24" s="42">
        <v>1</v>
      </c>
      <c r="L24" s="131" t="s">
        <v>51</v>
      </c>
      <c r="M24" s="132">
        <f t="shared" si="0"/>
        <v>121.44</v>
      </c>
      <c r="N24" s="133" t="str">
        <f>VLOOKUP(C24,'Trips&amp;Operators'!$C$1:$G$99999,5,FALSE)</f>
        <v>WEST BRYAN</v>
      </c>
      <c r="O24" s="203" t="s">
        <v>180</v>
      </c>
      <c r="P24" s="134"/>
      <c r="Q24" s="30"/>
      <c r="R24" s="81" t="str">
        <f>VLOOKUP(C24,'Train Runs'!$A$13:$AE$9921,31,0)</f>
        <v>aws s3 cp s3://rtdc.mdm.uploadarchive.raw/RTDC4063/ "%USERPROFILE%\AppData\Local\Temp\OnboardLogs"\RTDC4063\2017-08-18 --exclude "*" --recursive --include "*20170818*" &amp; "%USERPROFILE%\Documents\GitHub\mrs-test-scripts\Headless Mode &amp; Sideloading\WalkAndUnGZ.bat" "%USERPROFILE%\AppData\Local\Temp\OnboardLogs"\RTDC4063\2017-08-18 &amp; aws s3 cp s3://rtdc.mdm.uploadarchive.raw/RTDC4063/ "%USERPROFILE%\AppData\Local\Temp\OnboardLogs"\RTDC4063\2017-08-19 --exclude "*" --recursive --include "*20170819*" &amp; "%USERPROFILE%\Documents\GitHub\mrs-test-scripts\Headless Mode &amp; Sideloading\WalkAndUnGZ.bat" "%USERPROFILE%\AppData\Local\Temp\OnboardLogs"\RTDC4063\2017-08-19</v>
      </c>
      <c r="S24" s="84" t="str">
        <f>VLOOKUP(C24,'Train Runs'!$A$13:$AE$9921,22,0)</f>
        <v>https://d0f6bd738d7f1b3e5a7ca70fe4ff75f0.us-east-1.aws.found.io/app/kibana#/discover/Steve-Slow-Train-Analysis-(2080s-and-2083s)?_g=(refreshInterval:(display:Off,pause:!f,section:0,value:0),time:(from:'2017-08-18T15:07:01-0600',mode:absolute,to:'2017-08-18T17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4" s="86" t="str">
        <f t="shared" si="1"/>
        <v>"C:\Program Files (x86)\AstroGrep\AstroGrep.exe" /e /r /s /spath="%USERPROFILE%\AppData\Local\Temp\OnboardLogs" /stypes="*4063*201708182*" /stext=" 22:.+((SYSTEM_STATE.+slice.+state.+changed )|(ment ac)|(multiple cpu faults)|(system.+state.+changed )|(\[timeout)|(PRM\|1\|D)|(kpr)|(kdp)|(train st.+moving)|(\|lc)|(penalty))"</v>
      </c>
      <c r="U24" s="9" t="str">
        <f t="shared" si="2"/>
        <v>4063</v>
      </c>
      <c r="V24" s="31">
        <f t="shared" si="3"/>
        <v>42965.952245370368</v>
      </c>
      <c r="W24" s="45" t="str">
        <f t="shared" si="4"/>
        <v>EC</v>
      </c>
      <c r="X24" s="22">
        <f t="shared" si="5"/>
        <v>194</v>
      </c>
      <c r="Y24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{"issue":{"subject":"","project_id":79,"tracker_id":40,"status_id":1,"priority_id":2,"assigned_to_id":23,"start_date":"2017-08-18","description":"","custom_fields":[{"id":1,"name":"Subdivision","value":"EC"},{"id":4,"name":"Milepost","value":"0.0001"},{"id":17,"name":"Train ID","value":"194-18"},{"id":16,"name":"Locomotive ID","value":"4063"},{"id":130,"name":"Impact","value":""},{"id":150,"name":"Time of Event (Mountain Time)","value":"16:51:14"},{"id":151,"name":"Denver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/c/Users/stu/AppData/Local/Temp/OnboardLogs/RTDC4063 --include="*4063*201708182*"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"%USERPROFILE%\AppData\Local\Temp\OnboardLogs"\RTDC4063\*4063*201708182* &gt;&gt; 2017-08-18-SliceDisagreementCheck.txt</v>
      </c>
      <c r="AE24" s="145" t="str">
        <f t="shared" si="9"/>
        <v>start /low /b %USERPROFILE%\Documents\GitHub\eaglep3\Utilities\DownloadLogsFromS3.py --loco 4063 --day 2017-08-18</v>
      </c>
      <c r="AF24" s="1"/>
    </row>
    <row r="25" spans="1:32" x14ac:dyDescent="0.25">
      <c r="A25" s="31">
        <v>42965.795023148145</v>
      </c>
      <c r="B25" s="30" t="s">
        <v>665</v>
      </c>
      <c r="C25" s="30" t="s">
        <v>678</v>
      </c>
      <c r="D25" s="30" t="s">
        <v>49</v>
      </c>
      <c r="E25" s="30" t="s">
        <v>181</v>
      </c>
      <c r="F25" s="42">
        <v>0</v>
      </c>
      <c r="G25" s="42">
        <v>47</v>
      </c>
      <c r="H25" s="42">
        <v>189</v>
      </c>
      <c r="I25" s="42">
        <v>139</v>
      </c>
      <c r="J25" s="30" t="s">
        <v>182</v>
      </c>
      <c r="K25" s="42">
        <v>1</v>
      </c>
      <c r="L25" s="131" t="s">
        <v>51</v>
      </c>
      <c r="M25" s="132">
        <f t="shared" si="0"/>
        <v>72.864000000000004</v>
      </c>
      <c r="N25" s="133" t="str">
        <f>VLOOKUP(C25,'Trips&amp;Operators'!$C$1:$G$99999,5,FALSE)</f>
        <v>LEVIN SCOTT</v>
      </c>
      <c r="O25" s="203" t="s">
        <v>180</v>
      </c>
      <c r="P25" s="134"/>
      <c r="Q25" s="30"/>
      <c r="R25" s="81" t="str">
        <f>VLOOKUP(C25,'Train Runs'!$A$13:$AE$9921,31,0)</f>
        <v>aws s3 cp s3://rtdc.mdm.uploadarchive.raw/RTDC4049/ "%USERPROFILE%\AppData\Local\Temp\OnboardLogs"\RTDC4049\2017-08-18 --exclude "*" --recursive --include "*20170818*" &amp; "%USERPROFILE%\Documents\GitHub\mrs-test-scripts\Headless Mode &amp; Sideloading\WalkAndUnGZ.bat" "%USERPROFILE%\AppData\Local\Temp\OnboardLogs"\RTDC4049\2017-08-18 &amp; aws s3 cp s3://rtdc.mdm.uploadarchive.raw/RTDC4049/ "%USERPROFILE%\AppData\Local\Temp\OnboardLogs"\RTDC4049\2017-08-19 --exclude "*" --recursive --include "*20170819*" &amp; "%USERPROFILE%\Documents\GitHub\mrs-test-scripts\Headless Mode &amp; Sideloading\WalkAndUnGZ.bat" "%USERPROFILE%\AppData\Local\Temp\OnboardLogs"\RTDC4049\2017-08-19</v>
      </c>
      <c r="S25" s="84" t="str">
        <f>VLOOKUP(C25,'Train Runs'!$A$13:$AE$9921,22,0)</f>
        <v>https://d0f6bd738d7f1b3e5a7ca70fe4ff75f0.us-east-1.aws.found.io/app/kibana#/discover/Steve-Slow-Train-Analysis-(2080s-and-2083s)?_g=(refreshInterval:(display:Off,pause:!f,section:0,value:0),time:(from:'2017-08-18T17:18:12-0600',mode:absolute,to:'2017-08-18T20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5" s="86" t="str">
        <f t="shared" si="1"/>
        <v>"C:\Program Files (x86)\AstroGrep\AstroGrep.exe" /e /r /s /spath="%USERPROFILE%\AppData\Local\Temp\OnboardLogs" /stypes="*4049*201708190*"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4049</v>
      </c>
      <c r="V25" s="31">
        <f t="shared" si="3"/>
        <v>42966.045023148145</v>
      </c>
      <c r="W25" s="45" t="str">
        <f t="shared" si="4"/>
        <v>EC</v>
      </c>
      <c r="X25" s="22">
        <f t="shared" si="5"/>
        <v>212</v>
      </c>
      <c r="Y25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{"issue":{"subject":"","project_id":79,"tracker_id":40,"status_id":1,"priority_id":2,"assigned_to_id":23,"start_date":"2017-08-18","description":"","custom_fields":[{"id":1,"name":"Subdivision","value":"EC"},{"id":4,"name":"Milepost","value":"0.0001"},{"id":17,"name":"Train ID","value":"212-18"},{"id":16,"name":"Locomotive ID","value":"4049"},{"id":130,"name":"Impact","value":""},{"id":150,"name":"Time of Event (Mountain Time)","value":"19:04:50"},{"id":151,"name":"Denver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/c/Users/stu/AppData/Local/Temp/OnboardLogs/RTDC4049 --include="*4049*201708190*"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"%USERPROFILE%\AppData\Local\Temp\OnboardLogs"\RTDC4049\*4049*201708190* &gt;&gt; 2017-08-18-SliceDisagreementCheck.txt</v>
      </c>
      <c r="AE25" s="145" t="str">
        <f t="shared" si="9"/>
        <v>start /low /b %USERPROFILE%\Documents\GitHub\eaglep3\Utilities\DownloadLogsFromS3.py --loco 4049 --day 2017-08-19</v>
      </c>
      <c r="AF25" s="1"/>
    </row>
    <row r="26" spans="1:32" x14ac:dyDescent="0.25">
      <c r="A26" s="31">
        <v>42965.358425925922</v>
      </c>
      <c r="B26" s="30" t="s">
        <v>576</v>
      </c>
      <c r="C26" s="30" t="s">
        <v>655</v>
      </c>
      <c r="D26" s="30" t="s">
        <v>49</v>
      </c>
      <c r="E26" s="30" t="s">
        <v>181</v>
      </c>
      <c r="F26" s="42">
        <v>0</v>
      </c>
      <c r="G26" s="42">
        <v>155</v>
      </c>
      <c r="H26" s="42">
        <v>232817</v>
      </c>
      <c r="I26" s="42">
        <v>233023</v>
      </c>
      <c r="J26" s="30" t="s">
        <v>182</v>
      </c>
      <c r="K26" s="42">
        <v>233491</v>
      </c>
      <c r="L26" s="131" t="s">
        <v>50</v>
      </c>
      <c r="M26" s="132">
        <f t="shared" si="0"/>
        <v>247.10400000000001</v>
      </c>
      <c r="N26" s="133" t="str">
        <f>VLOOKUP(C26,'Trips&amp;Operators'!$C$1:$G$99999,5,FALSE)</f>
        <v>BARRON PERLA</v>
      </c>
      <c r="O26" s="203" t="s">
        <v>180</v>
      </c>
      <c r="P26" s="134"/>
      <c r="Q26" s="30"/>
      <c r="R26" s="81" t="str">
        <f>VLOOKUP(C26,'Train Runs'!$A$13:$AE$9921,31,0)</f>
        <v>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 &amp; 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</v>
      </c>
      <c r="S26" s="84" t="str">
        <f>VLOOKUP(C26,'Train Runs'!$A$13:$AE$9921,22,0)</f>
        <v>https://d0f6bd738d7f1b3e5a7ca70fe4ff75f0.us-east-1.aws.found.io/app/kibana#/discover/Steve-Slow-Train-Analysis-(2080s-and-2083s)?_g=(refreshInterval:(display:Off,pause:!f,section:0,value:0),time:(from:'2017-08-18T06:53:31-0600',mode:absolute,to:'2017-08-18T09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6" s="86" t="str">
        <f t="shared" si="1"/>
        <v>"C:\Program Files (x86)\AstroGrep\AstroGrep.exe" /e /r /s /spath="%USERPROFILE%\AppData\Local\Temp\OnboardLogs" /stypes="*4028*201708181*" /stext=" 14:.+((SYSTEM_STATE.+slice.+state.+changed )|(ment ac)|(multiple cpu faults)|(system.+state.+changed )|(\[timeout)|(PRM\|1\|D)|(kpr)|(kdp)|(train st.+moving)|(\|lc)|(penalty))"</v>
      </c>
      <c r="U26" s="9" t="str">
        <f t="shared" si="2"/>
        <v>4028</v>
      </c>
      <c r="V26" s="31">
        <f t="shared" si="3"/>
        <v>42965.608425925922</v>
      </c>
      <c r="W26" s="45" t="str">
        <f t="shared" si="4"/>
        <v>EC</v>
      </c>
      <c r="X26" s="22">
        <f t="shared" si="5"/>
        <v>135</v>
      </c>
      <c r="Y26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{"issue":{"subject":"","project_id":79,"tracker_id":40,"status_id":1,"priority_id":2,"assigned_to_id":23,"start_date":"2017-08-18","description":"","custom_fields":[{"id":1,"name":"Subdivision","value":"EC"},{"id":4,"name":"Milepost","value":"23.3491"},{"id":17,"name":"Train ID","value":"135-18"},{"id":16,"name":"Locomotive ID","value":"4028"},{"id":130,"name":"Impact","value":""},{"id":150,"name":"Time of Event (Mountain Time)","value":"08:36:08"},{"id":151,"name":"Denver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/c/Users/stu/AppData/Local/Temp/OnboardLogs/RTDC4028 --include="*4028*201708181*"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"%USERPROFILE%\AppData\Local\Temp\OnboardLogs"\RTDC4028\*4028*201708181* &gt;&gt; 2017-08-18-SliceDisagreementCheck.txt</v>
      </c>
      <c r="AE26" s="145" t="str">
        <f t="shared" si="9"/>
        <v>start /low /b %USERPROFILE%\Documents\GitHub\eaglep3\Utilities\DownloadLogsFromS3.py --loco 4028 --day 2017-08-18</v>
      </c>
      <c r="AF26" s="1"/>
    </row>
    <row r="27" spans="1:32" x14ac:dyDescent="0.25">
      <c r="A27" s="31">
        <v>42965.473553240743</v>
      </c>
      <c r="B27" s="30" t="s">
        <v>462</v>
      </c>
      <c r="C27" s="30" t="s">
        <v>658</v>
      </c>
      <c r="D27" s="30" t="s">
        <v>49</v>
      </c>
      <c r="E27" s="30" t="s">
        <v>181</v>
      </c>
      <c r="F27" s="42">
        <v>0</v>
      </c>
      <c r="G27" s="42">
        <v>54</v>
      </c>
      <c r="H27" s="42">
        <v>233298</v>
      </c>
      <c r="I27" s="42">
        <v>233353</v>
      </c>
      <c r="J27" s="30" t="s">
        <v>182</v>
      </c>
      <c r="K27" s="42">
        <v>233491</v>
      </c>
      <c r="L27" s="131" t="s">
        <v>50</v>
      </c>
      <c r="M27" s="132">
        <f t="shared" si="0"/>
        <v>72.864000000000004</v>
      </c>
      <c r="N27" s="133" t="str">
        <f>VLOOKUP(C27,'Trips&amp;Operators'!$C$1:$G$99999,5,FALSE)</f>
        <v>SULLIVAN BRANDON</v>
      </c>
      <c r="O27" s="203" t="s">
        <v>180</v>
      </c>
      <c r="P27" s="134"/>
      <c r="Q27" s="30"/>
      <c r="R27" s="81" t="str">
        <f>VLOOKUP(C27,'Train Runs'!$A$13:$AE$9921,31,0)</f>
        <v>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 &amp; aws s3 cp s3://rtdc.mdm.uploadarchive.raw/RTDC4012/ "%USERPROFILE%\AppData\Local\Temp\OnboardLogs"\RTDC4012\2017-08-19 --exclude "*" --recursive --include "*20170819*" &amp; "%USERPROFILE%\Documents\GitHub\mrs-test-scripts\Headless Mode &amp; Sideloading\WalkAndUnGZ.bat" "%USERPROFILE%\AppData\Local\Temp\OnboardLogs"\RTDC4012\2017-08-19</v>
      </c>
      <c r="S27" s="84" t="str">
        <f>VLOOKUP(C27,'Train Runs'!$A$13:$AE$9921,22,0)</f>
        <v>https://d0f6bd738d7f1b3e5a7ca70fe4ff75f0.us-east-1.aws.found.io/app/kibana#/discover/Steve-Slow-Train-Analysis-(2080s-and-2083s)?_g=(refreshInterval:(display:Off,pause:!f,section:0,value:0),time:(from:'2017-08-18T09:39:01-0600',mode:absolute,to:'2017-08-18T12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7" s="86" t="str">
        <f t="shared" si="1"/>
        <v>"C:\Program Files (x86)\AstroGrep\AstroGrep.exe" /e /r /s /spath="%USERPROFILE%\AppData\Local\Temp\OnboardLogs" /stypes="*4012*201708181*" /stext=" 17:.+((SYSTEM_STATE.+slice.+state.+changed )|(ment ac)|(multiple cpu faults)|(system.+state.+changed )|(\[timeout)|(PRM\|1\|D)|(kpr)|(kdp)|(train st.+moving)|(\|lc)|(penalty))"</v>
      </c>
      <c r="U27" s="9" t="str">
        <f t="shared" si="2"/>
        <v>4012</v>
      </c>
      <c r="V27" s="31">
        <f t="shared" si="3"/>
        <v>42965.723553240743</v>
      </c>
      <c r="W27" s="45" t="str">
        <f t="shared" si="4"/>
        <v>EC</v>
      </c>
      <c r="X27" s="22">
        <f t="shared" si="5"/>
        <v>157</v>
      </c>
      <c r="Y27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{"issue":{"subject":"","project_id":79,"tracker_id":40,"status_id":1,"priority_id":2,"assigned_to_id":23,"start_date":"2017-08-18","description":"","custom_fields":[{"id":1,"name":"Subdivision","value":"EC"},{"id":4,"name":"Milepost","value":"23.3491"},{"id":17,"name":"Train ID","value":"157-18"},{"id":16,"name":"Locomotive ID","value":"4012"},{"id":130,"name":"Impact","value":""},{"id":150,"name":"Time of Event (Mountain Time)","value":"11:21:55"},{"id":151,"name":"Denver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/c/Users/stu/AppData/Local/Temp/OnboardLogs/RTDC4012 --include="*4012*201708181*"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"%USERPROFILE%\AppData\Local\Temp\OnboardLogs"\RTDC4012\*4012*201708181* &gt;&gt; 2017-08-18-SliceDisagreementCheck.txt</v>
      </c>
      <c r="AE27" s="145" t="str">
        <f t="shared" si="9"/>
        <v>start /low /b %USERPROFILE%\Documents\GitHub\eaglep3\Utilities\DownloadLogsFromS3.py --loco 4012 --day 2017-08-18</v>
      </c>
      <c r="AF27" s="1"/>
    </row>
    <row r="28" spans="1:32" x14ac:dyDescent="0.25">
      <c r="A28" s="31">
        <v>42965.535787037035</v>
      </c>
      <c r="B28" s="30" t="s">
        <v>661</v>
      </c>
      <c r="C28" s="30" t="s">
        <v>662</v>
      </c>
      <c r="D28" s="30" t="s">
        <v>49</v>
      </c>
      <c r="E28" s="30" t="s">
        <v>181</v>
      </c>
      <c r="F28" s="42">
        <v>0</v>
      </c>
      <c r="G28" s="42">
        <v>33</v>
      </c>
      <c r="H28" s="42">
        <v>233376</v>
      </c>
      <c r="I28" s="42">
        <v>233387</v>
      </c>
      <c r="J28" s="30" t="s">
        <v>182</v>
      </c>
      <c r="K28" s="42">
        <v>233491</v>
      </c>
      <c r="L28" s="131" t="s">
        <v>50</v>
      </c>
      <c r="M28" s="132">
        <f t="shared" si="0"/>
        <v>54.911999999999999</v>
      </c>
      <c r="N28" s="133" t="str">
        <f>VLOOKUP(C28,'Trips&amp;Operators'!$C$1:$G$99999,5,FALSE)</f>
        <v>LEVIN SCOTT</v>
      </c>
      <c r="O28" s="203" t="s">
        <v>180</v>
      </c>
      <c r="P28" s="134"/>
      <c r="Q28" s="30"/>
      <c r="R28" s="81" t="str">
        <f>VLOOKUP(C28,'Train Runs'!$A$13:$AE$9921,31,0)</f>
        <v>aws s3 cp s3://rtdc.mdm.uploadarchive.raw/RTDC4050/ "%USERPROFILE%\AppData\Local\Temp\OnboardLogs"\RTDC4050\2017-08-18 --exclude "*" --recursive --include "*20170818*" &amp; "%USERPROFILE%\Documents\GitHub\mrs-test-scripts\Headless Mode &amp; Sideloading\WalkAndUnGZ.bat" "%USERPROFILE%\AppData\Local\Temp\OnboardLogs"\RTDC4050\2017-08-18 &amp; aws s3 cp s3://rtdc.mdm.uploadarchive.raw/RTDC4050/ "%USERPROFILE%\AppData\Local\Temp\OnboardLogs"\RTDC4050\2017-08-19 --exclude "*" --recursive --include "*20170819*" &amp; "%USERPROFILE%\Documents\GitHub\mrs-test-scripts\Headless Mode &amp; Sideloading\WalkAndUnGZ.bat" "%USERPROFILE%\AppData\Local\Temp\OnboardLogs"\RTDC4050\2017-08-19</v>
      </c>
      <c r="S28" s="84" t="str">
        <f>VLOOKUP(C28,'Train Runs'!$A$13:$AE$9921,22,0)</f>
        <v>https://d0f6bd738d7f1b3e5a7ca70fe4ff75f0.us-east-1.aws.found.io/app/kibana#/discover/Steve-Slow-Train-Analysis-(2080s-and-2083s)?_g=(refreshInterval:(display:Off,pause:!f,section:0,value:0),time:(from:'2017-08-18T11:11:46-0600',mode:absolute,to:'2017-08-18T13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8" s="86" t="str">
        <f t="shared" si="1"/>
        <v>"C:\Program Files (x86)\AstroGrep\AstroGrep.exe" /e /r /s /spath="%USERPROFILE%\AppData\Local\Temp\OnboardLogs" /stypes="*4050*201708181*" /stext=" 18:.+((SYSTEM_STATE.+slice.+state.+changed )|(ment ac)|(multiple cpu faults)|(system.+state.+changed )|(\[timeout)|(PRM\|1\|D)|(kpr)|(kdp)|(train st.+moving)|(\|lc)|(penalty))"</v>
      </c>
      <c r="U28" s="9" t="str">
        <f t="shared" si="2"/>
        <v>4050</v>
      </c>
      <c r="V28" s="31">
        <f t="shared" si="3"/>
        <v>42965.785787037035</v>
      </c>
      <c r="W28" s="45" t="str">
        <f t="shared" si="4"/>
        <v>EC</v>
      </c>
      <c r="X28" s="22">
        <f t="shared" si="5"/>
        <v>169</v>
      </c>
      <c r="Y28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{"issue":{"subject":"","project_id":79,"tracker_id":40,"status_id":1,"priority_id":2,"assigned_to_id":23,"start_date":"2017-08-18","description":"","custom_fields":[{"id":1,"name":"Subdivision","value":"EC"},{"id":4,"name":"Milepost","value":"23.3491"},{"id":17,"name":"Train ID","value":"169-18"},{"id":16,"name":"Locomotive ID","value":"4050"},{"id":130,"name":"Impact","value":""},{"id":150,"name":"Time of Event (Mountain Time)","value":"12:51:32"},{"id":151,"name":"Denver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/c/Users/stu/AppData/Local/Temp/OnboardLogs/RTDC4050 --include="*4050*201708181*"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"%USERPROFILE%\AppData\Local\Temp\OnboardLogs"\RTDC4050\*4050*201708181* &gt;&gt; 2017-08-18-SliceDisagreementCheck.txt</v>
      </c>
      <c r="AE28" s="145" t="str">
        <f t="shared" si="9"/>
        <v>start /low /b %USERPROFILE%\Documents\GitHub\eaglep3\Utilities\DownloadLogsFromS3.py --loco 4050 --day 2017-08-18</v>
      </c>
      <c r="AF28" s="1"/>
    </row>
    <row r="29" spans="1:32" x14ac:dyDescent="0.25">
      <c r="A29" s="31">
        <v>42965.608831018515</v>
      </c>
      <c r="B29" s="30" t="s">
        <v>661</v>
      </c>
      <c r="C29" s="30" t="s">
        <v>669</v>
      </c>
      <c r="D29" s="30" t="s">
        <v>49</v>
      </c>
      <c r="E29" s="30" t="s">
        <v>181</v>
      </c>
      <c r="F29" s="42">
        <v>0</v>
      </c>
      <c r="G29" s="42">
        <v>32</v>
      </c>
      <c r="H29" s="42">
        <v>233380</v>
      </c>
      <c r="I29" s="42">
        <v>233407</v>
      </c>
      <c r="J29" s="30" t="s">
        <v>182</v>
      </c>
      <c r="K29" s="42">
        <v>233491</v>
      </c>
      <c r="L29" s="131" t="s">
        <v>50</v>
      </c>
      <c r="M29" s="132">
        <f t="shared" si="0"/>
        <v>44.351999999999997</v>
      </c>
      <c r="N29" s="133" t="str">
        <f>VLOOKUP(C29,'Trips&amp;Operators'!$C$1:$G$99999,5,FALSE)</f>
        <v>LEVIN SCOTT</v>
      </c>
      <c r="O29" s="203" t="s">
        <v>180</v>
      </c>
      <c r="P29" s="134"/>
      <c r="Q29" s="30"/>
      <c r="R29" s="81" t="str">
        <f>VLOOKUP(C29,'Train Runs'!$A$13:$AE$9921,31,0)</f>
        <v>aws s3 cp s3://rtdc.mdm.uploadarchive.raw/RTDC4050/ "%USERPROFILE%\AppData\Local\Temp\OnboardLogs"\RTDC4050\2017-08-18 --exclude "*" --recursive --include "*20170818*" &amp; "%USERPROFILE%\Documents\GitHub\mrs-test-scripts\Headless Mode &amp; Sideloading\WalkAndUnGZ.bat" "%USERPROFILE%\AppData\Local\Temp\OnboardLogs"\RTDC4050\2017-08-18 &amp; aws s3 cp s3://rtdc.mdm.uploadarchive.raw/RTDC4050/ "%USERPROFILE%\AppData\Local\Temp\OnboardLogs"\RTDC4050\2017-08-19 --exclude "*" --recursive --include "*20170819*" &amp; "%USERPROFILE%\Documents\GitHub\mrs-test-scripts\Headless Mode &amp; Sideloading\WalkAndUnGZ.bat" "%USERPROFILE%\AppData\Local\Temp\OnboardLogs"\RTDC4050\2017-08-19</v>
      </c>
      <c r="S29" s="84" t="str">
        <f>VLOOKUP(C29,'Train Runs'!$A$13:$AE$9921,22,0)</f>
        <v>https://d0f6bd738d7f1b3e5a7ca70fe4ff75f0.us-east-1.aws.found.io/app/kibana#/discover/Steve-Slow-Train-Analysis-(2080s-and-2083s)?_g=(refreshInterval:(display:Off,pause:!f,section:0,value:0),time:(from:'2017-08-18T12:56:12-0600',mode:absolute,to:'2017-08-18T15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9" s="86" t="str">
        <f t="shared" si="1"/>
        <v>"C:\Program Files (x86)\AstroGrep\AstroGrep.exe" /e /r /s /spath="%USERPROFILE%\AppData\Local\Temp\OnboardLogs" /stypes="*4050*201708182*" /stext=" 20:.+((SYSTEM_STATE.+slice.+state.+changed )|(ment ac)|(multiple cpu faults)|(system.+state.+changed )|(\[timeout)|(PRM\|1\|D)|(kpr)|(kdp)|(train st.+moving)|(\|lc)|(penalty))"</v>
      </c>
      <c r="U29" s="9" t="str">
        <f t="shared" si="2"/>
        <v>4050</v>
      </c>
      <c r="V29" s="31">
        <f t="shared" si="3"/>
        <v>42965.858831018515</v>
      </c>
      <c r="W29" s="45" t="str">
        <f t="shared" si="4"/>
        <v>EC</v>
      </c>
      <c r="X29" s="22">
        <f t="shared" si="5"/>
        <v>183</v>
      </c>
      <c r="Y29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{"issue":{"subject":"","project_id":79,"tracker_id":40,"status_id":1,"priority_id":2,"assigned_to_id":23,"start_date":"2017-08-18","description":"","custom_fields":[{"id":1,"name":"Subdivision","value":"EC"},{"id":4,"name":"Milepost","value":"23.3491"},{"id":17,"name":"Train ID","value":"183-18"},{"id":16,"name":"Locomotive ID","value":"4050"},{"id":130,"name":"Impact","value":""},{"id":150,"name":"Time of Event (Mountain Time)","value":"14:36:43"},{"id":151,"name":"Denver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/c/Users/stu/AppData/Local/Temp/OnboardLogs/RTDC4050 --include="*4050*201708182*"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"%USERPROFILE%\AppData\Local\Temp\OnboardLogs"\RTDC4050\*4050*201708182* &gt;&gt; 2017-08-18-SliceDisagreementCheck.txt</v>
      </c>
      <c r="AE29" s="145" t="str">
        <f t="shared" si="9"/>
        <v>start /low /b %USERPROFILE%\Documents\GitHub\eaglep3\Utilities\DownloadLogsFromS3.py --loco 4050 --day 2017-08-18</v>
      </c>
      <c r="AF29" s="1"/>
    </row>
    <row r="30" spans="1:32" x14ac:dyDescent="0.25">
      <c r="A30" s="31">
        <v>42965.629537037035</v>
      </c>
      <c r="B30" s="30" t="s">
        <v>402</v>
      </c>
      <c r="C30" s="30" t="s">
        <v>670</v>
      </c>
      <c r="D30" s="30" t="s">
        <v>49</v>
      </c>
      <c r="E30" s="30" t="s">
        <v>181</v>
      </c>
      <c r="F30" s="42">
        <v>0</v>
      </c>
      <c r="G30" s="42">
        <v>52</v>
      </c>
      <c r="H30" s="42">
        <v>233401</v>
      </c>
      <c r="I30" s="42">
        <v>233437</v>
      </c>
      <c r="J30" s="30" t="s">
        <v>182</v>
      </c>
      <c r="K30" s="42">
        <v>233491</v>
      </c>
      <c r="L30" s="131" t="s">
        <v>50</v>
      </c>
      <c r="M30" s="132">
        <f t="shared" si="0"/>
        <v>28.512</v>
      </c>
      <c r="N30" s="133" t="str">
        <f>VLOOKUP(C30,'Trips&amp;Operators'!$C$1:$G$99999,5,FALSE)</f>
        <v>NICHOLSON WESLEY</v>
      </c>
      <c r="O30" s="203" t="s">
        <v>180</v>
      </c>
      <c r="P30" s="134"/>
      <c r="Q30" s="30"/>
      <c r="R30" s="81" t="str">
        <f>VLOOKUP(C30,'Train Runs'!$A$13:$AE$9921,31,0)</f>
        <v>aws s3 cp s3://rtdc.mdm.uploadarchive.raw/RTDC4018/ "%USERPROFILE%\AppData\Local\Temp\OnboardLogs"\RTDC4018\2017-08-18 --exclude "*" --recursive --include "*20170818*" &amp; "%USERPROFILE%\Documents\GitHub\mrs-test-scripts\Headless Mode &amp; Sideloading\WalkAndUnGZ.bat" "%USERPROFILE%\AppData\Local\Temp\OnboardLogs"\RTDC4018\2017-08-18 &amp; aws s3 cp s3://rtdc.mdm.uploadarchive.raw/RTDC4018/ "%USERPROFILE%\AppData\Local\Temp\OnboardLogs"\RTDC4018\2017-08-19 --exclude "*" --recursive --include "*20170819*" &amp; "%USERPROFILE%\Documents\GitHub\mrs-test-scripts\Headless Mode &amp; Sideloading\WalkAndUnGZ.bat" "%USERPROFILE%\AppData\Local\Temp\OnboardLogs"\RTDC4018\2017-08-19</v>
      </c>
      <c r="S30" s="84" t="str">
        <f>VLOOKUP(C30,'Train Runs'!$A$13:$AE$9921,22,0)</f>
        <v>https://d0f6bd738d7f1b3e5a7ca70fe4ff75f0.us-east-1.aws.found.io/app/kibana#/discover/Steve-Slow-Train-Analysis-(2080s-and-2083s)?_g=(refreshInterval:(display:Off,pause:!f,section:0,value:0),time:(from:'2017-08-18T13:24:40-0600',mode:absolute,to:'2017-08-18T16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86" t="str">
        <f t="shared" si="1"/>
        <v>"C:\Program Files (x86)\AstroGrep\AstroGrep.exe" /e /r /s /spath="%USERPROFILE%\AppData\Local\Temp\OnboardLogs" /stypes="*4018*201708182*" /stext=" 21:.+((SYSTEM_STATE.+slice.+state.+changed )|(ment ac)|(multiple cpu faults)|(system.+state.+changed )|(\[timeout)|(PRM\|1\|D)|(kpr)|(kdp)|(train st.+moving)|(\|lc)|(penalty))"</v>
      </c>
      <c r="U30" s="9" t="str">
        <f t="shared" si="2"/>
        <v>4018</v>
      </c>
      <c r="V30" s="31">
        <f t="shared" si="3"/>
        <v>42965.879537037035</v>
      </c>
      <c r="W30" s="45" t="str">
        <f t="shared" si="4"/>
        <v>EC</v>
      </c>
      <c r="X30" s="22">
        <f t="shared" si="5"/>
        <v>187</v>
      </c>
      <c r="Y30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{"issue":{"subject":"","project_id":79,"tracker_id":40,"status_id":1,"priority_id":2,"assigned_to_id":23,"start_date":"2017-08-18","description":"","custom_fields":[{"id":1,"name":"Subdivision","value":"EC"},{"id":4,"name":"Milepost","value":"23.3491"},{"id":17,"name":"Train ID","value":"187-18"},{"id":16,"name":"Locomotive ID","value":"4018"},{"id":130,"name":"Impact","value":""},{"id":150,"name":"Time of Event (Mountain Time)","value":"15:06:32"},{"id":151,"name":"Denver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/c/Users/stu/AppData/Local/Temp/OnboardLogs/RTDC4018 --include="*4018*201708182*"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"%USERPROFILE%\AppData\Local\Temp\OnboardLogs"\RTDC4018\*4018*201708182* &gt;&gt; 2017-08-18-SliceDisagreementCheck.txt</v>
      </c>
      <c r="AE30" s="145" t="str">
        <f t="shared" si="9"/>
        <v>start /low /b %USERPROFILE%\Documents\GitHub\eaglep3\Utilities\DownloadLogsFromS3.py --loco 4018 --day 2017-08-18</v>
      </c>
      <c r="AF30" s="1"/>
    </row>
    <row r="31" spans="1:32" x14ac:dyDescent="0.25">
      <c r="A31" s="31">
        <v>42965.641145833331</v>
      </c>
      <c r="B31" s="30" t="s">
        <v>447</v>
      </c>
      <c r="C31" s="30" t="s">
        <v>671</v>
      </c>
      <c r="D31" s="30" t="s">
        <v>49</v>
      </c>
      <c r="E31" s="30" t="s">
        <v>181</v>
      </c>
      <c r="F31" s="42">
        <v>0</v>
      </c>
      <c r="G31" s="42">
        <v>60</v>
      </c>
      <c r="H31" s="42">
        <v>233283</v>
      </c>
      <c r="I31" s="42">
        <v>233338</v>
      </c>
      <c r="J31" s="30" t="s">
        <v>182</v>
      </c>
      <c r="K31" s="42">
        <v>233491</v>
      </c>
      <c r="L31" s="131" t="s">
        <v>50</v>
      </c>
      <c r="M31" s="132">
        <f t="shared" si="0"/>
        <v>80.784000000000006</v>
      </c>
      <c r="N31" s="133" t="str">
        <f>VLOOKUP(C31,'Trips&amp;Operators'!$C$1:$G$99999,5,FALSE)</f>
        <v>THOMPSON LESTER</v>
      </c>
      <c r="O31" s="203" t="s">
        <v>180</v>
      </c>
      <c r="P31" s="134"/>
      <c r="Q31" s="30"/>
      <c r="R31" s="81" t="str">
        <f>VLOOKUP(C31,'Train Runs'!$A$13:$AE$9921,31,0)</f>
        <v>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 &amp; aws s3 cp s3://rtdc.mdm.uploadarchive.raw/RTDC4030/ "%USERPROFILE%\AppData\Local\Temp\OnboardLogs"\RTDC4030\2017-08-19 --exclude "*" --recursive --include "*20170819*" &amp; "%USERPROFILE%\Documents\GitHub\mrs-test-scripts\Headless Mode &amp; Sideloading\WalkAndUnGZ.bat" "%USERPROFILE%\AppData\Local\Temp\OnboardLogs"\RTDC4030\2017-08-19</v>
      </c>
      <c r="S31" s="84" t="str">
        <f>VLOOKUP(C31,'Train Runs'!$A$13:$AE$9921,22,0)</f>
        <v>https://d0f6bd738d7f1b3e5a7ca70fe4ff75f0.us-east-1.aws.found.io/app/kibana#/discover/Steve-Slow-Train-Analysis-(2080s-and-2083s)?_g=(refreshInterval:(display:Off,pause:!f,section:0,value:0),time:(from:'2017-08-18T13:41:10-0600',mode:absolute,to:'2017-08-18T16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1" s="86" t="str">
        <f t="shared" si="1"/>
        <v>"C:\Program Files (x86)\AstroGrep\AstroGrep.exe" /e /r /s /spath="%USERPROFILE%\AppData\Local\Temp\OnboardLogs" /stypes="*4030*201708182*" /stext=" 21:.+((SYSTEM_STATE.+slice.+state.+changed )|(ment ac)|(multiple cpu faults)|(system.+state.+changed )|(\[timeout)|(PRM\|1\|D)|(kpr)|(kdp)|(train st.+moving)|(\|lc)|(penalty))"</v>
      </c>
      <c r="U31" s="9" t="str">
        <f t="shared" si="2"/>
        <v>4030</v>
      </c>
      <c r="V31" s="31">
        <f t="shared" si="3"/>
        <v>42965.891145833331</v>
      </c>
      <c r="W31" s="45" t="str">
        <f t="shared" si="4"/>
        <v>EC</v>
      </c>
      <c r="X31" s="22">
        <f t="shared" si="5"/>
        <v>189</v>
      </c>
      <c r="Y31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{"issue":{"subject":"","project_id":79,"tracker_id":40,"status_id":1,"priority_id":2,"assigned_to_id":23,"start_date":"2017-08-18","description":"","custom_fields":[{"id":1,"name":"Subdivision","value":"EC"},{"id":4,"name":"Milepost","value":"23.3491"},{"id":17,"name":"Train ID","value":"189-18"},{"id":16,"name":"Locomotive ID","value":"4030"},{"id":130,"name":"Impact","value":""},{"id":150,"name":"Time of Event (Mountain Time)","value":"15:23:15"},{"id":151,"name":"Denver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/c/Users/stu/AppData/Local/Temp/OnboardLogs/RTDC4030 --include="*4030*201708182*"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"%USERPROFILE%\AppData\Local\Temp\OnboardLogs"\RTDC4030\*4030*201708182* &gt;&gt; 2017-08-18-SliceDisagreementCheck.txt</v>
      </c>
      <c r="AE31" s="145" t="str">
        <f t="shared" si="9"/>
        <v>start /low /b %USERPROFILE%\Documents\GitHub\eaglep3\Utilities\DownloadLogsFromS3.py --loco 4030 --day 2017-08-18</v>
      </c>
      <c r="AF31" s="1"/>
    </row>
    <row r="32" spans="1:32" x14ac:dyDescent="0.25">
      <c r="A32" s="31">
        <v>42965.98333333333</v>
      </c>
      <c r="B32" s="30" t="s">
        <v>359</v>
      </c>
      <c r="C32" s="30" t="s">
        <v>681</v>
      </c>
      <c r="D32" s="30" t="s">
        <v>49</v>
      </c>
      <c r="E32" s="30" t="s">
        <v>181</v>
      </c>
      <c r="F32" s="42">
        <v>0</v>
      </c>
      <c r="G32" s="42">
        <v>79</v>
      </c>
      <c r="H32" s="42">
        <v>233176</v>
      </c>
      <c r="I32" s="42">
        <v>233272</v>
      </c>
      <c r="J32" s="30" t="s">
        <v>182</v>
      </c>
      <c r="K32" s="42">
        <v>233491</v>
      </c>
      <c r="L32" s="131" t="s">
        <v>50</v>
      </c>
      <c r="M32" s="132">
        <f t="shared" si="0"/>
        <v>115.63200000000001</v>
      </c>
      <c r="N32" s="133" t="str">
        <f>VLOOKUP(C32,'Trips&amp;Operators'!$C$1:$G$99999,5,FALSE)</f>
        <v>BIRENBAUM THOMAS</v>
      </c>
      <c r="O32" s="203" t="s">
        <v>180</v>
      </c>
      <c r="P32" s="134"/>
      <c r="Q32" s="30"/>
      <c r="R32" s="81" t="str">
        <f>VLOOKUP(C32,'Train Runs'!$A$13:$AE$9921,31,0)</f>
        <v>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 &amp; aws s3 cp s3://rtdc.mdm.uploadarchive.raw/RTDC4040/ "%USERPROFILE%\AppData\Local\Temp\OnboardLogs"\RTDC4040\2017-08-19 --exclude "*" --recursive --include "*20170819*" &amp; "%USERPROFILE%\Documents\GitHub\mrs-test-scripts\Headless Mode &amp; Sideloading\WalkAndUnGZ.bat" "%USERPROFILE%\AppData\Local\Temp\OnboardLogs"\RTDC4040\2017-08-19</v>
      </c>
      <c r="S32" s="84" t="str">
        <f>VLOOKUP(C32,'Train Runs'!$A$13:$AE$9921,22,0)</f>
        <v>https://d0f6bd738d7f1b3e5a7ca70fe4ff75f0.us-east-1.aws.found.io/app/kibana#/discover/Steve-Slow-Train-Analysis-(2080s-and-2083s)?_g=(refreshInterval:(display:Off,pause:!f,section:0,value:0),time:(from:'2017-08-18T21:53:33-0600',mode:absolute,to:'2017-08-19T00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2" s="86" t="str">
        <f t="shared" si="1"/>
        <v>"C:\Program Files (x86)\AstroGrep\AstroGrep.exe" /e /r /s /spath="%USERPROFILE%\AppData\Local\Temp\OnboardLogs" /stypes="*4040*201708190*" /stext=" 05:.+((SYSTEM_STATE.+slice.+state.+changed )|(ment ac)|(multiple cpu faults)|(system.+state.+changed )|(\[timeout)|(PRM\|1\|D)|(kpr)|(kdp)|(train st.+moving)|(\|lc)|(penalty))"</v>
      </c>
      <c r="U32" s="9" t="str">
        <f t="shared" si="2"/>
        <v>4040</v>
      </c>
      <c r="V32" s="31">
        <f t="shared" si="3"/>
        <v>42966.23333333333</v>
      </c>
      <c r="W32" s="45" t="str">
        <f t="shared" si="4"/>
        <v>EC</v>
      </c>
      <c r="X32" s="22">
        <f t="shared" si="5"/>
        <v>237</v>
      </c>
      <c r="Y32" s="96" t="str">
        <f t="shared" si="6"/>
        <v>echo {"issue":{"subject":"","project_id":79,"tracker_id":40,"status_id":1,"priority_id":2,"assigned_to_id":23,"start_date":"2017-08-18","description":"","custom_fields":[{"id":1,"name":"Subdivision","value":"EC"},{"id":4,"name":"Milepost","value":"23.3491"},{"id":17,"name":"Train ID","value":"237-18"},{"id":16,"name":"Locomotive ID","value":"4040"},{"id":130,"name":"Impact","value":""},{"id":150,"name":"Time of Event (Mountain Time)","value":"23:36:00"},{"id":151,"name":"Denver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/c/Users/stu/AppData/Local/Temp/OnboardLogs/RTDC4040 --include="*4040*201708190*"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"%USERPROFILE%\AppData\Local\Temp\OnboardLogs"\RTDC4040\*4040*201708190* &gt;&gt; 2017-08-18-SliceDisagreementCheck.txt</v>
      </c>
      <c r="AE32" s="145" t="str">
        <f t="shared" si="9"/>
        <v>start /low /b %USERPROFILE%\Documents\GitHub\eaglep3\Utilities\DownloadLogsFromS3.py --loco 4040 --day 2017-08-19</v>
      </c>
      <c r="AF32" s="1"/>
    </row>
    <row r="33" spans="1:32" x14ac:dyDescent="0.25">
      <c r="A33" s="31">
        <v>42965.392326388886</v>
      </c>
      <c r="B33" s="30" t="s">
        <v>376</v>
      </c>
      <c r="C33" s="30" t="s">
        <v>657</v>
      </c>
      <c r="D33" s="30" t="s">
        <v>96</v>
      </c>
      <c r="E33" s="30" t="s">
        <v>187</v>
      </c>
      <c r="F33" s="42">
        <v>430</v>
      </c>
      <c r="G33" s="42">
        <v>481</v>
      </c>
      <c r="H33" s="42">
        <v>10883</v>
      </c>
      <c r="I33" s="42">
        <v>12122</v>
      </c>
      <c r="J33" s="30" t="s">
        <v>188</v>
      </c>
      <c r="K33" s="42">
        <v>10714</v>
      </c>
      <c r="L33" s="131" t="s">
        <v>50</v>
      </c>
      <c r="M33" s="132">
        <f t="shared" si="0"/>
        <v>-743.42399999999998</v>
      </c>
      <c r="N33" s="133" t="str">
        <f>VLOOKUP(C33,'Trips&amp;Operators'!$C$1:$G$99999,5,FALSE)</f>
        <v>LALONDE GREGORY</v>
      </c>
      <c r="O33" s="203" t="s">
        <v>180</v>
      </c>
      <c r="P33" s="134" t="s">
        <v>474</v>
      </c>
      <c r="Q33" s="30"/>
      <c r="R33" s="81" t="str">
        <f>VLOOKUP(C33,'Train Runs'!$A$13:$AE$9921,31,0)</f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S33" s="84" t="str">
        <f>VLOOKUP(C33,'Train Runs'!$A$13:$AE$9921,22,0)</f>
        <v>https://d0f6bd738d7f1b3e5a7ca70fe4ff75f0.us-east-1.aws.found.io/app/kibana#/discover/Steve-Slow-Train-Analysis-(2080s-and-2083s)?_g=(refreshInterval:(display:Off,pause:!f,section:0,value:0),time:(from:'2017-08-18T07:56:07-0600',mode:absolute,to:'2017-08-18T10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3" s="86" t="str">
        <f t="shared" si="1"/>
        <v>"C:\Program Files (x86)\AstroGrep\AstroGrep.exe" /e /r /s /spath="%USERPROFILE%\AppData\Local\Temp\OnboardLogs" /stypes="*4008*201708181*" /stext=" 15:.+((SYSTEM_STATE.+slice.+state.+changed )|(ment ac)|(multiple cpu faults)|(system.+state.+changed )|(\[timeout)|(PRM\|1\|D)|(kpr)|(kdp)|(train st.+moving)|(\|lc)|(penalty))"</v>
      </c>
      <c r="U33" s="9" t="str">
        <f t="shared" si="2"/>
        <v>4008</v>
      </c>
      <c r="V33" s="31">
        <f t="shared" si="3"/>
        <v>42965.642326388886</v>
      </c>
      <c r="W33" s="45" t="str">
        <f t="shared" si="4"/>
        <v>NW</v>
      </c>
      <c r="X33" s="22">
        <f t="shared" si="5"/>
        <v>813</v>
      </c>
      <c r="Y33" s="96" t="str">
        <f t="shared" si="6"/>
        <v>echo {"issue":{"subject":"Early Arrival","project_id":79,"tracker_id":40,"status_id":1,"priority_id":2,"assigned_to_id":23,"start_date":"2017-08-18","description":"","custom_fields":[{"id":1,"name":"Subdivision","value":"NW"},{"id":4,"name":"Milepost","value":"1.0714"},{"id":17,"name":"Train ID","value":"813-18"},{"id":16,"name":"Locomotive ID","value":"4008"},{"id":130,"name":"Impact","value":""},{"id":150,"name":"Time of Event (Mountain Time)","value":"09:24:57"},{"id":151,"name":"Denver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/c/Users/stu/AppData/Local/Temp/OnboardLogs/RTDC4008 --include="*4008*201708181*"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"%USERPROFILE%\AppData\Local\Temp\OnboardLogs"\RTDC4008\*4008*201708181* &gt;&gt; 2017-08-18-SliceDisagreementCheck.txt</v>
      </c>
      <c r="AE33" s="145" t="str">
        <f t="shared" si="9"/>
        <v>start /low /b %USERPROFILE%\Documents\GitHub\eaglep3\Utilities\DownloadLogsFromS3.py --loco 4008 --day 2017-08-18</v>
      </c>
      <c r="AF33" s="1"/>
    </row>
    <row r="34" spans="1:32" x14ac:dyDescent="0.25">
      <c r="A34" s="31">
        <v>42965.349282407406</v>
      </c>
      <c r="B34" s="30" t="s">
        <v>376</v>
      </c>
      <c r="C34" s="30" t="s">
        <v>653</v>
      </c>
      <c r="D34" s="30" t="s">
        <v>96</v>
      </c>
      <c r="E34" s="30" t="s">
        <v>196</v>
      </c>
      <c r="F34" s="42">
        <v>150</v>
      </c>
      <c r="G34" s="42">
        <v>210</v>
      </c>
      <c r="H34" s="42">
        <v>5283</v>
      </c>
      <c r="I34" s="42">
        <v>5614</v>
      </c>
      <c r="J34" s="30" t="s">
        <v>197</v>
      </c>
      <c r="K34" s="42">
        <v>574</v>
      </c>
      <c r="L34" s="131" t="s">
        <v>50</v>
      </c>
      <c r="M34" s="132">
        <f t="shared" si="0"/>
        <v>-2661.12</v>
      </c>
      <c r="N34" s="133" t="str">
        <f>VLOOKUP(C34,'Trips&amp;Operators'!$C$1:$G$99999,5,FALSE)</f>
        <v>LALONDE GREGORY</v>
      </c>
      <c r="O34" s="203" t="s">
        <v>180</v>
      </c>
      <c r="P34" s="134"/>
      <c r="Q34" s="30"/>
      <c r="R34" s="81" t="str">
        <f>VLOOKUP(C34,'Train Runs'!$A$13:$AE$9921,31,0)</f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S34" s="84" t="str">
        <f>VLOOKUP(C34,'Train Runs'!$A$13:$AE$9921,22,0)</f>
        <v>https://d0f6bd738d7f1b3e5a7ca70fe4ff75f0.us-east-1.aws.found.io/app/kibana#/discover/Steve-Slow-Train-Analysis-(2080s-and-2083s)?_g=(refreshInterval:(display:Off,pause:!f,section:0,value:0),time:(from:'2017-08-18T07:03:08-0600',mode:absolute,to:'2017-08-18T09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4" s="86" t="str">
        <f t="shared" si="1"/>
        <v>"C:\Program Files (x86)\AstroGrep\AstroGrep.exe" /e /r /s /spath="%USERPROFILE%\AppData\Local\Temp\OnboardLogs" /stypes="*4008*201708181*" /stext=" 14:.+((SYSTEM_STATE.+slice.+state.+changed )|(ment ac)|(multiple cpu faults)|(system.+state.+changed )|(\[timeout)|(PRM\|1\|D)|(kpr)|(kdp)|(train st.+moving)|(\|lc)|(penalty))"</v>
      </c>
      <c r="U34" s="9" t="str">
        <f t="shared" si="2"/>
        <v>4008</v>
      </c>
      <c r="V34" s="31">
        <f t="shared" si="3"/>
        <v>42965.599282407406</v>
      </c>
      <c r="W34" s="45" t="str">
        <f t="shared" si="4"/>
        <v>NW</v>
      </c>
      <c r="X34" s="22">
        <f t="shared" si="5"/>
        <v>811</v>
      </c>
      <c r="Y34" s="96" t="str">
        <f t="shared" si="6"/>
        <v>echo {"issue":{"subject":"","project_id":79,"tracker_id":40,"status_id":1,"priority_id":2,"assigned_to_id":23,"start_date":"2017-08-18","description":"","custom_fields":[{"id":1,"name":"Subdivision","value":"NW"},{"id":4,"name":"Milepost","value":"0.0574"},{"id":17,"name":"Train ID","value":"811-18"},{"id":16,"name":"Locomotive ID","value":"4008"},{"id":130,"name":"Impact","value":""},{"id":150,"name":"Time of Event (Mountain Time)","value":"08:22:58"},{"id":151,"name":"Denver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/c/Users/stu/AppData/Local/Temp/OnboardLogs/RTDC4008 --include="*4008*201708181*"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"%USERPROFILE%\AppData\Local\Temp\OnboardLogs"\RTDC4008\*4008*201708181* &gt;&gt; 2017-08-18-SliceDisagreementCheck.txt</v>
      </c>
      <c r="AE34" s="145" t="str">
        <f t="shared" si="9"/>
        <v>start /low /b %USERPROFILE%\Documents\GitHub\eaglep3\Utilities\DownloadLogsFromS3.py --loco 4008 --day 2017-08-18</v>
      </c>
      <c r="AF34" s="1"/>
    </row>
    <row r="35" spans="1:32" x14ac:dyDescent="0.25">
      <c r="A35" s="31">
        <v>42965.309710648151</v>
      </c>
      <c r="B35" s="30" t="s">
        <v>376</v>
      </c>
      <c r="C35" s="30" t="s">
        <v>650</v>
      </c>
      <c r="D35" s="30" t="s">
        <v>49</v>
      </c>
      <c r="E35" s="30" t="s">
        <v>196</v>
      </c>
      <c r="F35" s="42">
        <v>300</v>
      </c>
      <c r="G35" s="42">
        <v>384</v>
      </c>
      <c r="H35" s="42">
        <v>20377</v>
      </c>
      <c r="I35" s="42">
        <v>21534</v>
      </c>
      <c r="J35" s="30" t="s">
        <v>197</v>
      </c>
      <c r="K35" s="42">
        <v>21299</v>
      </c>
      <c r="L35" s="131" t="s">
        <v>50</v>
      </c>
      <c r="M35" s="132">
        <f t="shared" si="0"/>
        <v>-124.08</v>
      </c>
      <c r="N35" s="133" t="str">
        <f>VLOOKUP(C35,'Trips&amp;Operators'!$C$1:$G$99999,5,FALSE)</f>
        <v>CASSIDY BRANDON</v>
      </c>
      <c r="O35" s="203" t="s">
        <v>180</v>
      </c>
      <c r="P35" s="134"/>
      <c r="Q35" s="30"/>
      <c r="R35" s="81" t="str">
        <f>VLOOKUP(C35,'Train Runs'!$A$13:$AE$9921,31,0)</f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S35" s="84" t="str">
        <f>VLOOKUP(C35,'Train Runs'!$A$13:$AE$9921,22,0)</f>
        <v>https://d0f6bd738d7f1b3e5a7ca70fe4ff75f0.us-east-1.aws.found.io/app/kibana#/discover/Steve-Slow-Train-Analysis-(2080s-and-2083s)?_g=(refreshInterval:(display:Off,pause:!f,section:0,value:0),time:(from:'2017-08-18T05:59:48-0600',mode:absolute,to:'2017-08-18T08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5" s="86" t="str">
        <f t="shared" si="1"/>
        <v>"C:\Program Files (x86)\AstroGrep\AstroGrep.exe" /e /r /s /spath="%USERPROFILE%\AppData\Local\Temp\OnboardLogs" /stypes="*4008*201708181*" /stext=" 13:.+((SYSTEM_STATE.+slice.+state.+changed )|(ment ac)|(multiple cpu faults)|(system.+state.+changed )|(\[timeout)|(PRM\|1\|D)|(kpr)|(kdp)|(train st.+moving)|(\|lc)|(penalty))"</v>
      </c>
      <c r="U35" s="9" t="str">
        <f t="shared" si="2"/>
        <v>4008</v>
      </c>
      <c r="V35" s="31">
        <f t="shared" si="3"/>
        <v>42965.559710648151</v>
      </c>
      <c r="W35" s="45" t="str">
        <f t="shared" si="4"/>
        <v>NW</v>
      </c>
      <c r="X35" s="22">
        <f t="shared" si="5"/>
        <v>807</v>
      </c>
      <c r="Y35" s="96" t="str">
        <f t="shared" si="6"/>
        <v>echo {"issue":{"subject":"","project_id":79,"tracker_id":40,"status_id":1,"priority_id":2,"assigned_to_id":23,"start_date":"2017-08-18","description":"","custom_fields":[{"id":1,"name":"Subdivision","value":"NW"},{"id":4,"name":"Milepost","value":"2.1299"},{"id":17,"name":"Train ID","value":"807-18"},{"id":16,"name":"Locomotive ID","value":"4008"},{"id":130,"name":"Impact","value":""},{"id":150,"name":"Time of Event (Mountain Time)","value":"07:25:59"},{"id":151,"name":"Denver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/c/Users/stu/AppData/Local/Temp/OnboardLogs/RTDC4008 --include="*4008*201708181*"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"%USERPROFILE%\AppData\Local\Temp\OnboardLogs"\RTDC4008\*4008*201708181* &gt;&gt; 2017-08-18-SliceDisagreementCheck.txt</v>
      </c>
      <c r="AE35" s="145" t="str">
        <f t="shared" si="9"/>
        <v>start /low /b %USERPROFILE%\Documents\GitHub\eaglep3\Utilities\DownloadLogsFromS3.py --loco 4008 --day 2017-08-18</v>
      </c>
      <c r="AF35" s="1"/>
    </row>
    <row r="36" spans="1:32" x14ac:dyDescent="0.25">
      <c r="A36" s="31">
        <v>42965.519201388888</v>
      </c>
      <c r="B36" s="30" t="s">
        <v>376</v>
      </c>
      <c r="C36" s="30" t="s">
        <v>663</v>
      </c>
      <c r="D36" s="30" t="s">
        <v>96</v>
      </c>
      <c r="E36" s="30" t="s">
        <v>196</v>
      </c>
      <c r="F36" s="42">
        <v>300</v>
      </c>
      <c r="G36" s="42">
        <v>353</v>
      </c>
      <c r="H36" s="42">
        <v>23949</v>
      </c>
      <c r="I36" s="42">
        <v>24809</v>
      </c>
      <c r="J36" s="30" t="s">
        <v>197</v>
      </c>
      <c r="K36" s="42">
        <v>21312</v>
      </c>
      <c r="L36" s="131" t="s">
        <v>50</v>
      </c>
      <c r="M36" s="132">
        <f t="shared" si="0"/>
        <v>-1846.4159999999999</v>
      </c>
      <c r="N36" s="133" t="str">
        <f>VLOOKUP(C36,'Trips&amp;Operators'!$C$1:$G$99999,5,FALSE)</f>
        <v>LALONDE GREGORY</v>
      </c>
      <c r="O36" s="203" t="s">
        <v>180</v>
      </c>
      <c r="P36" s="134"/>
      <c r="Q36" s="30"/>
      <c r="R36" s="81" t="str">
        <f>VLOOKUP(C36,'Train Runs'!$A$13:$AE$9921,31,0)</f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S36" s="84" t="str">
        <f>VLOOKUP(C36,'Train Runs'!$A$13:$AE$9921,22,0)</f>
        <v>https://d0f6bd738d7f1b3e5a7ca70fe4ff75f0.us-east-1.aws.found.io/app/kibana#/discover/Steve-Slow-Train-Analysis-(2080s-and-2083s)?_g=(refreshInterval:(display:Off,pause:!f,section:0,value:0),time:(from:'2017-08-18T11:15:41-0600',mode:absolute,to:'2017-08-18T13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6" s="86" t="str">
        <f t="shared" si="1"/>
        <v>"C:\Program Files (x86)\AstroGrep\AstroGrep.exe" /e /r /s /spath="%USERPROFILE%\AppData\Local\Temp\OnboardLogs" /stypes="*4008*201708181*" /stext=" 18:.+((SYSTEM_STATE.+slice.+state.+changed )|(ment ac)|(multiple cpu faults)|(system.+state.+changed )|(\[timeout)|(PRM\|1\|D)|(kpr)|(kdp)|(train st.+moving)|(\|lc)|(penalty))"</v>
      </c>
      <c r="U36" s="9" t="str">
        <f t="shared" si="2"/>
        <v>4008</v>
      </c>
      <c r="V36" s="31">
        <f t="shared" si="3"/>
        <v>42965.769201388888</v>
      </c>
      <c r="W36" s="45" t="str">
        <f t="shared" si="4"/>
        <v>NW</v>
      </c>
      <c r="X36" s="22">
        <f t="shared" si="5"/>
        <v>819</v>
      </c>
      <c r="Y36" s="96" t="str">
        <f t="shared" si="6"/>
        <v>echo {"issue":{"subject":"","project_id":79,"tracker_id":40,"status_id":1,"priority_id":2,"assigned_to_id":23,"start_date":"2017-08-18","description":"","custom_fields":[{"id":1,"name":"Subdivision","value":"NW"},{"id":4,"name":"Milepost","value":"2.1312"},{"id":17,"name":"Train ID","value":"819-18"},{"id":16,"name":"Locomotive ID","value":"4008"},{"id":130,"name":"Impact","value":""},{"id":150,"name":"Time of Event (Mountain Time)","value":"12:27:39"},{"id":151,"name":"Denver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/c/Users/stu/AppData/Local/Temp/OnboardLogs/RTDC4008 --include="*4008*201708181*"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"%USERPROFILE%\AppData\Local\Temp\OnboardLogs"\RTDC4008\*4008*201708181* &gt;&gt; 2017-08-18-SliceDisagreementCheck.txt</v>
      </c>
      <c r="AE36" s="145" t="str">
        <f t="shared" si="9"/>
        <v>start /low /b %USERPROFILE%\Documents\GitHub\eaglep3\Utilities\DownloadLogsFromS3.py --loco 4008 --day 2017-08-18</v>
      </c>
      <c r="AF36" s="1"/>
    </row>
    <row r="37" spans="1:32" x14ac:dyDescent="0.25">
      <c r="A37" s="31">
        <v>42965.334664351853</v>
      </c>
      <c r="B37" s="30" t="s">
        <v>646</v>
      </c>
      <c r="C37" s="30" t="s">
        <v>651</v>
      </c>
      <c r="D37" s="30" t="s">
        <v>49</v>
      </c>
      <c r="E37" s="30" t="s">
        <v>196</v>
      </c>
      <c r="F37" s="42">
        <v>150</v>
      </c>
      <c r="G37" s="42">
        <v>338</v>
      </c>
      <c r="H37" s="42">
        <v>55311</v>
      </c>
      <c r="I37" s="42">
        <v>55955</v>
      </c>
      <c r="J37" s="30" t="s">
        <v>197</v>
      </c>
      <c r="K37" s="42">
        <v>57008</v>
      </c>
      <c r="L37" s="131" t="s">
        <v>50</v>
      </c>
      <c r="M37" s="132">
        <f t="shared" si="0"/>
        <v>555.98400000000004</v>
      </c>
      <c r="N37" s="133" t="str">
        <f>VLOOKUP(C37,'Trips&amp;Operators'!$C$1:$G$99999,5,FALSE)</f>
        <v>PAGE MARCUS</v>
      </c>
      <c r="O37" s="203" t="s">
        <v>180</v>
      </c>
      <c r="P37" s="134"/>
      <c r="Q37" s="30"/>
      <c r="R37" s="81" t="str">
        <f>VLOOKUP(C37,'Train Runs'!$A$13:$AE$9921,31,0)</f>
        <v>aws s3 cp s3://rtdc.mdm.uploadarchive.raw/RTDC4058/ "%USERPROFILE%\AppData\Local\Temp\OnboardLogs"\RTDC4058\2017-08-18 --exclude "*" --recursive --include "*20170818*" &amp; "%USERPROFILE%\Documents\GitHub\mrs-test-scripts\Headless Mode &amp; Sideloading\WalkAndUnGZ.bat" "%USERPROFILE%\AppData\Local\Temp\OnboardLogs"\RTDC4058\2017-08-18 &amp; aws s3 cp s3://rtdc.mdm.uploadarchive.raw/RTDC4058/ "%USERPROFILE%\AppData\Local\Temp\OnboardLogs"\RTDC4058\2017-08-19 --exclude "*" --recursive --include "*20170819*" &amp; "%USERPROFILE%\Documents\GitHub\mrs-test-scripts\Headless Mode &amp; Sideloading\WalkAndUnGZ.bat" "%USERPROFILE%\AppData\Local\Temp\OnboardLogs"\RTDC4058\2017-08-19</v>
      </c>
      <c r="S37" s="84" t="str">
        <f>VLOOKUP(C37,'Train Runs'!$A$13:$AE$9921,22,0)</f>
        <v>https://d0f6bd738d7f1b3e5a7ca70fe4ff75f0.us-east-1.aws.found.io/app/kibana#/discover/Steve-Slow-Train-Analysis-(2080s-and-2083s)?_g=(refreshInterval:(display:Off,pause:!f,section:0,value:0),time:(from:'2017-08-18T06:27:31-0600',mode:absolute,to:'2017-08-18T09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7" s="86" t="str">
        <f t="shared" si="1"/>
        <v>"C:\Program Files (x86)\AstroGrep\AstroGrep.exe" /e /r /s /spath="%USERPROFILE%\AppData\Local\Temp\OnboardLogs" /stypes="*4058*201708181*" /stext=" 14:.+((SYSTEM_STATE.+slice.+state.+changed )|(ment ac)|(multiple cpu faults)|(system.+state.+changed )|(\[timeout)|(PRM\|1\|D)|(kpr)|(kdp)|(train st.+moving)|(\|lc)|(penalty))"</v>
      </c>
      <c r="U37" s="9" t="str">
        <f t="shared" si="2"/>
        <v>4058</v>
      </c>
      <c r="V37" s="31">
        <f t="shared" si="3"/>
        <v>42965.584664351853</v>
      </c>
      <c r="W37" s="45" t="str">
        <f t="shared" si="4"/>
        <v>NW</v>
      </c>
      <c r="X37" s="22">
        <f t="shared" si="5"/>
        <v>809</v>
      </c>
      <c r="Y37" s="96" t="str">
        <f t="shared" si="6"/>
        <v>echo {"issue":{"subject":"","project_id":79,"tracker_id":40,"status_id":1,"priority_id":2,"assigned_to_id":23,"start_date":"2017-08-18","description":"","custom_fields":[{"id":1,"name":"Subdivision","value":"NW"},{"id":4,"name":"Milepost","value":"5.7008"},{"id":17,"name":"Train ID","value":"809-18"},{"id":16,"name":"Locomotive ID","value":"4058"},{"id":130,"name":"Impact","value":""},{"id":150,"name":"Time of Event (Mountain Time)","value":"08:01:55"},{"id":151,"name":"Denver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/c/Users/stu/AppData/Local/Temp/OnboardLogs/RTDC4058 --include="*4058*201708181*"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"%USERPROFILE%\AppData\Local\Temp\OnboardLogs"\RTDC4058\*4058*201708181* &gt;&gt; 2017-08-18-SliceDisagreementCheck.txt</v>
      </c>
      <c r="AE37" s="145" t="str">
        <f t="shared" si="9"/>
        <v>start /low /b %USERPROFILE%\Documents\GitHub\eaglep3\Utilities\DownloadLogsFromS3.py --loco 4058 --day 2017-08-18</v>
      </c>
      <c r="AF37" s="1"/>
    </row>
    <row r="38" spans="1:32" x14ac:dyDescent="0.25">
      <c r="A38" s="31">
        <v>42965.225405092591</v>
      </c>
      <c r="B38" s="30" t="s">
        <v>642</v>
      </c>
      <c r="C38" s="30" t="s">
        <v>643</v>
      </c>
      <c r="D38" s="30" t="s">
        <v>49</v>
      </c>
      <c r="E38" s="30" t="s">
        <v>181</v>
      </c>
      <c r="F38" s="42">
        <v>0</v>
      </c>
      <c r="G38" s="42">
        <v>53</v>
      </c>
      <c r="H38" s="42">
        <v>733</v>
      </c>
      <c r="I38" s="42">
        <v>692</v>
      </c>
      <c r="J38" s="30" t="s">
        <v>182</v>
      </c>
      <c r="K38" s="42">
        <v>575</v>
      </c>
      <c r="L38" s="131" t="s">
        <v>51</v>
      </c>
      <c r="M38" s="132">
        <f t="shared" si="0"/>
        <v>61.776000000000003</v>
      </c>
      <c r="N38" s="133" t="str">
        <f>VLOOKUP(C38,'Trips&amp;Operators'!$C$1:$G$99999,5,FALSE)</f>
        <v>PAGE MARCUS</v>
      </c>
      <c r="O38" s="203" t="s">
        <v>180</v>
      </c>
      <c r="P38" s="134"/>
      <c r="Q38" s="30"/>
      <c r="R38" s="81" t="str">
        <f>VLOOKUP(C38,'Train Runs'!$A$13:$AE$9921,31,0)</f>
        <v>aws s3 cp s3://rtdc.mdm.uploadarchive.raw/RTDC4057/ "%USERPROFILE%\AppData\Local\Temp\OnboardLogs"\RTDC4057\2017-08-18 --exclude "*" --recursive --include "*20170818*" &amp; "%USERPROFILE%\Documents\GitHub\mrs-test-scripts\Headless Mode &amp; Sideloading\WalkAndUnGZ.bat" "%USERPROFILE%\AppData\Local\Temp\OnboardLogs"\RTDC4057\2017-08-18 &amp; aws s3 cp s3://rtdc.mdm.uploadarchive.raw/RTDC4057/ "%USERPROFILE%\AppData\Local\Temp\OnboardLogs"\RTDC4057\2017-08-19 --exclude "*" --recursive --include "*20170819*" &amp; "%USERPROFILE%\Documents\GitHub\mrs-test-scripts\Headless Mode &amp; Sideloading\WalkAndUnGZ.bat" "%USERPROFILE%\AppData\Local\Temp\OnboardLogs"\RTDC4057\2017-08-19</v>
      </c>
      <c r="S38" s="84" t="str">
        <f>VLOOKUP(C38,'Train Runs'!$A$13:$AE$9921,22,0)</f>
        <v>https://d0f6bd738d7f1b3e5a7ca70fe4ff75f0.us-east-1.aws.found.io/app/kibana#/discover/Steve-Slow-Train-Analysis-(2080s-and-2083s)?_g=(refreshInterval:(display:Off,pause:!f,section:0,value:0),time:(from:'2017-08-18T03:56:26-0600',mode:absolute,to:'2017-08-18T06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8" s="86" t="str">
        <f t="shared" si="1"/>
        <v>"C:\Program Files (x86)\AstroGrep\AstroGrep.exe" /e /r /s /spath="%USERPROFILE%\AppData\Local\Temp\OnboardLogs" /stypes="*4057*201708181*" /stext=" 11:.+((SYSTEM_STATE.+slice.+state.+changed )|(ment ac)|(multiple cpu faults)|(system.+state.+changed )|(\[timeout)|(PRM\|1\|D)|(kpr)|(kdp)|(train st.+moving)|(\|lc)|(penalty))"</v>
      </c>
      <c r="U38" s="9" t="str">
        <f t="shared" si="2"/>
        <v>4057</v>
      </c>
      <c r="V38" s="31">
        <f t="shared" si="3"/>
        <v>42965.475405092591</v>
      </c>
      <c r="W38" s="45" t="str">
        <f t="shared" si="4"/>
        <v>NW</v>
      </c>
      <c r="X38" s="22">
        <f t="shared" si="5"/>
        <v>800</v>
      </c>
      <c r="Y38" s="96" t="str">
        <f t="shared" si="6"/>
        <v>echo {"issue":{"subject":"","project_id":79,"tracker_id":40,"status_id":1,"priority_id":2,"assigned_to_id":23,"start_date":"2017-08-18","description":"","custom_fields":[{"id":1,"name":"Subdivision","value":"NW"},{"id":4,"name":"Milepost","value":"0.0575"},{"id":17,"name":"Train ID","value":"800-18"},{"id":16,"name":"Locomotive ID","value":"4057"},{"id":130,"name":"Impact","value":""},{"id":150,"name":"Time of Event (Mountain Time)","value":"05:24:35"},{"id":151,"name":"Denver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/c/Users/stu/AppData/Local/Temp/OnboardLogs/RTDC4057 --include="*4057*201708181*"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"%USERPROFILE%\AppData\Local\Temp\OnboardLogs"\RTDC4057\*4057*201708181* &gt;&gt; 2017-08-18-SliceDisagreementCheck.txt</v>
      </c>
      <c r="AE38" s="145" t="str">
        <f t="shared" si="9"/>
        <v>start /low /b %USERPROFILE%\Documents\GitHub\eaglep3\Utilities\DownloadLogsFromS3.py --loco 4057 --day 2017-08-18</v>
      </c>
      <c r="AF38" s="1"/>
    </row>
    <row r="39" spans="1:32" x14ac:dyDescent="0.25">
      <c r="A39" s="31">
        <v>42965.495983796296</v>
      </c>
      <c r="B39" s="30" t="s">
        <v>405</v>
      </c>
      <c r="C39" s="30" t="s">
        <v>660</v>
      </c>
      <c r="D39" s="30" t="s">
        <v>49</v>
      </c>
      <c r="E39" s="30" t="s">
        <v>181</v>
      </c>
      <c r="F39" s="42">
        <v>0</v>
      </c>
      <c r="G39" s="42">
        <v>164</v>
      </c>
      <c r="H39" s="42">
        <v>1429</v>
      </c>
      <c r="I39" s="42">
        <v>1214</v>
      </c>
      <c r="J39" s="30" t="s">
        <v>182</v>
      </c>
      <c r="K39" s="42">
        <v>575</v>
      </c>
      <c r="L39" s="131" t="s">
        <v>51</v>
      </c>
      <c r="M39" s="132">
        <f t="shared" si="0"/>
        <v>337.392</v>
      </c>
      <c r="N39" s="133" t="str">
        <f>VLOOKUP(C39,'Trips&amp;Operators'!$C$1:$G$99999,5,FALSE)</f>
        <v>CASSIDY BRANDON</v>
      </c>
      <c r="O39" s="203" t="s">
        <v>180</v>
      </c>
      <c r="P39" s="134"/>
      <c r="Q39" s="30"/>
      <c r="R39" s="81" t="str">
        <f>VLOOKUP(C39,'Train Runs'!$A$13:$AE$9921,31,0)</f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S39" s="84" t="str">
        <f>VLOOKUP(C39,'Train Runs'!$A$13:$AE$9921,22,0)</f>
        <v>https://d0f6bd738d7f1b3e5a7ca70fe4ff75f0.us-east-1.aws.found.io/app/kibana#/discover/Steve-Slow-Train-Analysis-(2080s-and-2083s)?_g=(refreshInterval:(display:Off,pause:!f,section:0,value:0),time:(from:'2017-08-18T10:37:46-0600',mode:absolute,to:'2017-08-18T12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9" s="86" t="str">
        <f t="shared" si="1"/>
        <v>"C:\Program Files (x86)\AstroGrep\AstroGrep.exe" /e /r /s /spath="%USERPROFILE%\AppData\Local\Temp\OnboardLogs" /stypes="*4007*201708181*" /stext=" 17:.+((SYSTEM_STATE.+slice.+state.+changed )|(ment ac)|(multiple cpu faults)|(system.+state.+changed )|(\[timeout)|(PRM\|1\|D)|(kpr)|(kdp)|(train st.+moving)|(\|lc)|(penalty))"</v>
      </c>
      <c r="U39" s="9" t="str">
        <f t="shared" si="2"/>
        <v>4007</v>
      </c>
      <c r="V39" s="31">
        <f t="shared" si="3"/>
        <v>42965.745983796296</v>
      </c>
      <c r="W39" s="45" t="str">
        <f t="shared" si="4"/>
        <v>NW</v>
      </c>
      <c r="X39" s="22">
        <f t="shared" si="5"/>
        <v>818</v>
      </c>
      <c r="Y39" s="96" t="str">
        <f t="shared" si="6"/>
        <v>echo {"issue":{"subject":"","project_id":79,"tracker_id":40,"status_id":1,"priority_id":2,"assigned_to_id":23,"start_date":"2017-08-18","description":"","custom_fields":[{"id":1,"name":"Subdivision","value":"NW"},{"id":4,"name":"Milepost","value":"0.0575"},{"id":17,"name":"Train ID","value":"818-18"},{"id":16,"name":"Locomotive ID","value":"4007"},{"id":130,"name":"Impact","value":""},{"id":150,"name":"Time of Event (Mountain Time)","value":"11:54:13"},{"id":151,"name":"Denver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/c/Users/stu/AppData/Local/Temp/OnboardLogs/RTDC4007 --include="*4007*201708181*"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"%USERPROFILE%\AppData\Local\Temp\OnboardLogs"\RTDC4007\*4007*201708181* &gt;&gt; 2017-08-18-SliceDisagreementCheck.txt</v>
      </c>
      <c r="AE39" s="145" t="str">
        <f t="shared" si="9"/>
        <v>start /low /b %USERPROFILE%\Documents\GitHub\eaglep3\Utilities\DownloadLogsFromS3.py --loco 4007 --day 2017-08-18</v>
      </c>
      <c r="AF39" s="1"/>
    </row>
    <row r="40" spans="1:32" x14ac:dyDescent="0.25">
      <c r="A40" s="31">
        <v>42965.663831018515</v>
      </c>
      <c r="B40" s="30" t="s">
        <v>405</v>
      </c>
      <c r="C40" s="30" t="s">
        <v>674</v>
      </c>
      <c r="D40" s="30" t="s">
        <v>49</v>
      </c>
      <c r="E40" s="30" t="s">
        <v>181</v>
      </c>
      <c r="F40" s="42">
        <v>0</v>
      </c>
      <c r="G40" s="42">
        <v>32</v>
      </c>
      <c r="H40" s="42">
        <v>664</v>
      </c>
      <c r="I40" s="42">
        <v>638</v>
      </c>
      <c r="J40" s="30" t="s">
        <v>182</v>
      </c>
      <c r="K40" s="42">
        <v>575</v>
      </c>
      <c r="L40" s="131" t="s">
        <v>51</v>
      </c>
      <c r="M40" s="132">
        <f t="shared" si="0"/>
        <v>33.264000000000003</v>
      </c>
      <c r="N40" s="133" t="str">
        <f>VLOOKUP(C40,'Trips&amp;Operators'!$C$1:$G$99999,5,FALSE)</f>
        <v>DELGADO DIANAH</v>
      </c>
      <c r="O40" s="203" t="s">
        <v>180</v>
      </c>
      <c r="P40" s="134"/>
      <c r="Q40" s="30"/>
      <c r="R40" s="81" t="str">
        <f>VLOOKUP(C40,'Train Runs'!$A$13:$AE$9921,31,0)</f>
        <v>aws s3 cp s3://rtdc.mdm.uploadarchive.raw/RTDC4007/ "%USERPROFILE%\AppData\Local\Temp\OnboardLogs"\RTDC4007\2017-08-18 --exclude "*" --recursive --include "*20170818*" &amp; "%USERPROFILE%\Documents\GitHub\mrs-test-scripts\Headless Mode &amp; Sideloading\WalkAndUnGZ.bat" "%USERPROFILE%\AppData\Local\Temp\OnboardLogs"\RTDC4007\2017-08-18 &amp; 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</v>
      </c>
      <c r="S40" s="84" t="str">
        <f>VLOOKUP(C40,'Train Runs'!$A$13:$AE$9921,22,0)</f>
        <v>https://d0f6bd738d7f1b3e5a7ca70fe4ff75f0.us-east-1.aws.found.io/app/kibana#/discover/Steve-Slow-Train-Analysis-(2080s-and-2083s)?_g=(refreshInterval:(display:Off,pause:!f,section:0,value:0),time:(from:'2017-08-18T14:35:58-0600',mode:absolute,to:'2017-08-18T16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0" s="86" t="str">
        <f t="shared" si="1"/>
        <v>"C:\Program Files (x86)\AstroGrep\AstroGrep.exe" /e /r /s /spath="%USERPROFILE%\AppData\Local\Temp\OnboardLogs" /stypes="*4007*201708182*" /stext=" 21:.+((SYSTEM_STATE.+slice.+state.+changed )|(ment ac)|(multiple cpu faults)|(system.+state.+changed )|(\[timeout)|(PRM\|1\|D)|(kpr)|(kdp)|(train st.+moving)|(\|lc)|(penalty))"</v>
      </c>
      <c r="U40" s="9" t="str">
        <f t="shared" si="2"/>
        <v>4007</v>
      </c>
      <c r="V40" s="31">
        <f t="shared" si="3"/>
        <v>42965.913831018515</v>
      </c>
      <c r="W40" s="45" t="str">
        <f t="shared" si="4"/>
        <v>NW</v>
      </c>
      <c r="X40" s="22">
        <f t="shared" si="5"/>
        <v>826</v>
      </c>
      <c r="Y40" s="96" t="str">
        <f t="shared" si="6"/>
        <v>echo {"issue":{"subject":"","project_id":79,"tracker_id":40,"status_id":1,"priority_id":2,"assigned_to_id":23,"start_date":"2017-08-18","description":"","custom_fields":[{"id":1,"name":"Subdivision","value":"NW"},{"id":4,"name":"Milepost","value":"0.0575"},{"id":17,"name":"Train ID","value":"826-18"},{"id":16,"name":"Locomotive ID","value":"4007"},{"id":130,"name":"Impact","value":""},{"id":150,"name":"Time of Event (Mountain Time)","value":"15:55:55"},{"id":151,"name":"Denver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/c/Users/stu/AppData/Local/Temp/OnboardLogs/RTDC4007 --include="*4007*201708182*"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"%USERPROFILE%\AppData\Local\Temp\OnboardLogs"\RTDC4007\*4007*201708182* &gt;&gt; 2017-08-18-SliceDisagreementCheck.txt</v>
      </c>
      <c r="AE40" s="145" t="str">
        <f t="shared" si="9"/>
        <v>start /low /b %USERPROFILE%\Documents\GitHub\eaglep3\Utilities\DownloadLogsFromS3.py --loco 4007 --day 2017-08-18</v>
      </c>
      <c r="AF40" s="1"/>
    </row>
    <row r="41" spans="1:32" x14ac:dyDescent="0.25">
      <c r="A41" s="31">
        <v>42965.316122685188</v>
      </c>
      <c r="B41" s="30" t="s">
        <v>376</v>
      </c>
      <c r="C41" s="30" t="s">
        <v>650</v>
      </c>
      <c r="D41" s="30" t="s">
        <v>49</v>
      </c>
      <c r="E41" s="30" t="s">
        <v>181</v>
      </c>
      <c r="F41" s="42">
        <v>0</v>
      </c>
      <c r="G41" s="42">
        <v>20</v>
      </c>
      <c r="H41" s="42">
        <v>58997</v>
      </c>
      <c r="I41" s="42">
        <v>59001</v>
      </c>
      <c r="J41" s="30" t="s">
        <v>182</v>
      </c>
      <c r="K41" s="42">
        <v>59048</v>
      </c>
      <c r="L41" s="131" t="s">
        <v>50</v>
      </c>
      <c r="M41" s="132">
        <f t="shared" si="0"/>
        <v>24.815999999999999</v>
      </c>
      <c r="N41" s="133" t="str">
        <f>VLOOKUP(C41,'Trips&amp;Operators'!$C$1:$G$99999,5,FALSE)</f>
        <v>CASSIDY BRANDON</v>
      </c>
      <c r="O41" s="203" t="s">
        <v>180</v>
      </c>
      <c r="P41" s="134"/>
      <c r="Q41" s="30"/>
      <c r="R41" s="81" t="str">
        <f>VLOOKUP(C41,'Train Runs'!$A$13:$AE$9921,31,0)</f>
        <v>aws s3 cp s3://rtdc.mdm.uploadarchive.raw/RTDC4008/ "%USERPROFILE%\AppData\Local\Temp\OnboardLogs"\RTDC4008\2017-08-18 --exclude "*" --recursive --include "*20170818*" &amp; "%USERPROFILE%\Documents\GitHub\mrs-test-scripts\Headless Mode &amp; Sideloading\WalkAndUnGZ.bat" "%USERPROFILE%\AppData\Local\Temp\OnboardLogs"\RTDC4008\2017-08-18 &amp; 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</v>
      </c>
      <c r="S41" s="84" t="str">
        <f>VLOOKUP(C41,'Train Runs'!$A$13:$AE$9921,22,0)</f>
        <v>https://d0f6bd738d7f1b3e5a7ca70fe4ff75f0.us-east-1.aws.found.io/app/kibana#/discover/Steve-Slow-Train-Analysis-(2080s-and-2083s)?_g=(refreshInterval:(display:Off,pause:!f,section:0,value:0),time:(from:'2017-08-18T05:59:48-0600',mode:absolute,to:'2017-08-18T08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1" s="86" t="str">
        <f t="shared" si="1"/>
        <v>"C:\Program Files (x86)\AstroGrep\AstroGrep.exe" /e /r /s /spath="%USERPROFILE%\AppData\Local\Temp\OnboardLogs" /stypes="*4008*201708181*" /stext=" 13:.+((SYSTEM_STATE.+slice.+state.+changed )|(ment ac)|(multiple cpu faults)|(system.+state.+changed )|(\[timeout)|(PRM\|1\|D)|(kpr)|(kdp)|(train st.+moving)|(\|lc)|(penalty))"</v>
      </c>
      <c r="U41" s="9" t="str">
        <f t="shared" si="2"/>
        <v>4008</v>
      </c>
      <c r="V41" s="31">
        <f t="shared" si="3"/>
        <v>42965.566122685188</v>
      </c>
      <c r="W41" s="45" t="str">
        <f t="shared" si="4"/>
        <v>NW</v>
      </c>
      <c r="X41" s="22">
        <f t="shared" si="5"/>
        <v>807</v>
      </c>
      <c r="Y41" s="96" t="str">
        <f t="shared" si="6"/>
        <v>echo {"issue":{"subject":"","project_id":79,"tracker_id":40,"status_id":1,"priority_id":2,"assigned_to_id":23,"start_date":"2017-08-18","description":"","custom_fields":[{"id":1,"name":"Subdivision","value":"NW"},{"id":4,"name":"Milepost","value":"5.9048"},{"id":17,"name":"Train ID","value":"807-18"},{"id":16,"name":"Locomotive ID","value":"4008"},{"id":130,"name":"Impact","value":""},{"id":150,"name":"Time of Event (Mountain Time)","value":"07:35:13"},{"id":151,"name":"Denver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/c/Users/stu/AppData/Local/Temp/OnboardLogs/RTDC4008 --include="*4008*201708181*"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"%USERPROFILE%\AppData\Local\Temp\OnboardLogs"\RTDC4008\*4008*201708181* &gt;&gt; 2017-08-18-SliceDisagreementCheck.txt</v>
      </c>
      <c r="AE41" s="145" t="str">
        <f t="shared" si="9"/>
        <v>start /low /b %USERPROFILE%\Documents\GitHub\eaglep3\Utilities\DownloadLogsFromS3.py --loco 4008 --day 2017-08-18</v>
      </c>
      <c r="AF41" s="1"/>
    </row>
    <row r="42" spans="1:32" x14ac:dyDescent="0.25">
      <c r="A42" s="31">
        <v>42965.336192129631</v>
      </c>
      <c r="B42" s="30" t="s">
        <v>646</v>
      </c>
      <c r="C42" s="30" t="s">
        <v>651</v>
      </c>
      <c r="D42" s="30" t="s">
        <v>49</v>
      </c>
      <c r="E42" s="30" t="s">
        <v>181</v>
      </c>
      <c r="F42" s="42">
        <v>0</v>
      </c>
      <c r="G42" s="42">
        <v>151</v>
      </c>
      <c r="H42" s="42">
        <v>57840</v>
      </c>
      <c r="I42" s="42">
        <v>58150</v>
      </c>
      <c r="J42" s="30" t="s">
        <v>182</v>
      </c>
      <c r="K42" s="42">
        <v>59048</v>
      </c>
      <c r="L42" s="131" t="s">
        <v>50</v>
      </c>
      <c r="M42" s="132">
        <f t="shared" si="0"/>
        <v>474.14400000000001</v>
      </c>
      <c r="N42" s="133" t="str">
        <f>VLOOKUP(C42,'Trips&amp;Operators'!$C$1:$G$99999,5,FALSE)</f>
        <v>PAGE MARCUS</v>
      </c>
      <c r="O42" s="203" t="s">
        <v>180</v>
      </c>
      <c r="P42" s="134"/>
      <c r="Q42" s="30"/>
      <c r="R42" s="81" t="str">
        <f>VLOOKUP(C42,'Train Runs'!$A$13:$AE$9921,31,0)</f>
        <v>aws s3 cp s3://rtdc.mdm.uploadarchive.raw/RTDC4058/ "%USERPROFILE%\AppData\Local\Temp\OnboardLogs"\RTDC4058\2017-08-18 --exclude "*" --recursive --include "*20170818*" &amp; "%USERPROFILE%\Documents\GitHub\mrs-test-scripts\Headless Mode &amp; Sideloading\WalkAndUnGZ.bat" "%USERPROFILE%\AppData\Local\Temp\OnboardLogs"\RTDC4058\2017-08-18 &amp; aws s3 cp s3://rtdc.mdm.uploadarchive.raw/RTDC4058/ "%USERPROFILE%\AppData\Local\Temp\OnboardLogs"\RTDC4058\2017-08-19 --exclude "*" --recursive --include "*20170819*" &amp; "%USERPROFILE%\Documents\GitHub\mrs-test-scripts\Headless Mode &amp; Sideloading\WalkAndUnGZ.bat" "%USERPROFILE%\AppData\Local\Temp\OnboardLogs"\RTDC4058\2017-08-19</v>
      </c>
      <c r="S42" s="84" t="str">
        <f>VLOOKUP(C42,'Train Runs'!$A$13:$AE$9921,22,0)</f>
        <v>https://d0f6bd738d7f1b3e5a7ca70fe4ff75f0.us-east-1.aws.found.io/app/kibana#/discover/Steve-Slow-Train-Analysis-(2080s-and-2083s)?_g=(refreshInterval:(display:Off,pause:!f,section:0,value:0),time:(from:'2017-08-18T06:27:31-0600',mode:absolute,to:'2017-08-18T09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2" s="86" t="str">
        <f t="shared" si="1"/>
        <v>"C:\Program Files (x86)\AstroGrep\AstroGrep.exe" /e /r /s /spath="%USERPROFILE%\AppData\Local\Temp\OnboardLogs" /stypes="*4058*201708181*" /stext=" 14:.+((SYSTEM_STATE.+slice.+state.+changed )|(ment ac)|(multiple cpu faults)|(system.+state.+changed )|(\[timeout)|(PRM\|1\|D)|(kpr)|(kdp)|(train st.+moving)|(\|lc)|(penalty))"</v>
      </c>
      <c r="U42" s="9" t="str">
        <f t="shared" si="2"/>
        <v>4058</v>
      </c>
      <c r="V42" s="31">
        <f t="shared" si="3"/>
        <v>42965.586192129631</v>
      </c>
      <c r="W42" s="45" t="str">
        <f t="shared" si="4"/>
        <v>NW</v>
      </c>
      <c r="X42" s="22">
        <f t="shared" si="5"/>
        <v>809</v>
      </c>
      <c r="Y42" s="96" t="str">
        <f t="shared" si="6"/>
        <v>echo {"issue":{"subject":"","project_id":79,"tracker_id":40,"status_id":1,"priority_id":2,"assigned_to_id":23,"start_date":"2017-08-18","description":"","custom_fields":[{"id":1,"name":"Subdivision","value":"NW"},{"id":4,"name":"Milepost","value":"5.9048"},{"id":17,"name":"Train ID","value":"809-18"},{"id":16,"name":"Locomotive ID","value":"4058"},{"id":130,"name":"Impact","value":""},{"id":150,"name":"Time of Event (Mountain Time)","value":"08:04:07"},{"id":151,"name":"Denver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/c/Users/stu/AppData/Local/Temp/OnboardLogs/RTDC4058 --include="*4058*201708181*"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"%USERPROFILE%\AppData\Local\Temp\OnboardLogs"\RTDC4058\*4058*201708181* &gt;&gt; 2017-08-18-SliceDisagreementCheck.txt</v>
      </c>
      <c r="AE42" s="145" t="str">
        <f t="shared" si="9"/>
        <v>start /low /b %USERPROFILE%\Documents\GitHub\eaglep3\Utilities\DownloadLogsFromS3.py --loco 4058 --day 2017-08-18</v>
      </c>
      <c r="AF42" s="1"/>
    </row>
    <row r="43" spans="1:32" x14ac:dyDescent="0.25">
      <c r="A43" s="31">
        <v>42965.252546296295</v>
      </c>
      <c r="B43" s="30" t="s">
        <v>646</v>
      </c>
      <c r="C43" s="30" t="s">
        <v>647</v>
      </c>
      <c r="D43" s="30" t="s">
        <v>49</v>
      </c>
      <c r="E43" s="30" t="s">
        <v>181</v>
      </c>
      <c r="F43" s="42">
        <v>0</v>
      </c>
      <c r="G43" s="42">
        <v>164</v>
      </c>
      <c r="H43" s="42">
        <v>58035</v>
      </c>
      <c r="I43" s="42">
        <v>58239</v>
      </c>
      <c r="J43" s="30" t="s">
        <v>182</v>
      </c>
      <c r="K43" s="42">
        <v>59058</v>
      </c>
      <c r="L43" s="131" t="s">
        <v>50</v>
      </c>
      <c r="M43" s="132">
        <f t="shared" si="0"/>
        <v>432.43200000000002</v>
      </c>
      <c r="N43" s="133" t="str">
        <f>VLOOKUP(C43,'Trips&amp;Operators'!$C$1:$G$99999,5,FALSE)</f>
        <v>PAGE MARCUS</v>
      </c>
      <c r="O43" s="203" t="s">
        <v>180</v>
      </c>
      <c r="P43" s="134"/>
      <c r="Q43" s="30"/>
      <c r="R43" s="81" t="str">
        <f>VLOOKUP(C43,'Train Runs'!$A$13:$AE$9921,31,0)</f>
        <v>aws s3 cp s3://rtdc.mdm.uploadarchive.raw/RTDC4058/ "%USERPROFILE%\AppData\Local\Temp\OnboardLogs"\RTDC4058\2017-08-18 --exclude "*" --recursive --include "*20170818*" &amp; "%USERPROFILE%\Documents\GitHub\mrs-test-scripts\Headless Mode &amp; Sideloading\WalkAndUnGZ.bat" "%USERPROFILE%\AppData\Local\Temp\OnboardLogs"\RTDC4058\2017-08-18 &amp; aws s3 cp s3://rtdc.mdm.uploadarchive.raw/RTDC4058/ "%USERPROFILE%\AppData\Local\Temp\OnboardLogs"\RTDC4058\2017-08-19 --exclude "*" --recursive --include "*20170819*" &amp; "%USERPROFILE%\Documents\GitHub\mrs-test-scripts\Headless Mode &amp; Sideloading\WalkAndUnGZ.bat" "%USERPROFILE%\AppData\Local\Temp\OnboardLogs"\RTDC4058\2017-08-19</v>
      </c>
      <c r="S43" s="84" t="str">
        <f>VLOOKUP(C43,'Train Runs'!$A$13:$AE$9921,22,0)</f>
        <v>https://d0f6bd738d7f1b3e5a7ca70fe4ff75f0.us-east-1.aws.found.io/app/kibana#/discover/Steve-Slow-Train-Analysis-(2080s-and-2083s)?_g=(refreshInterval:(display:Off,pause:!f,section:0,value:0),time:(from:'2017-08-18T04:26:48-0600',mode:absolute,to:'2017-08-18T07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3" s="86" t="str">
        <f t="shared" si="1"/>
        <v>"C:\Program Files (x86)\AstroGrep\AstroGrep.exe" /e /r /s /spath="%USERPROFILE%\AppData\Local\Temp\OnboardLogs" /stypes="*4058*201708181*" /stext=" 12:.+((SYSTEM_STATE.+slice.+state.+changed )|(ment ac)|(multiple cpu faults)|(system.+state.+changed )|(\[timeout)|(PRM\|1\|D)|(kpr)|(kdp)|(train st.+moving)|(\|lc)|(penalty))"</v>
      </c>
      <c r="U43" s="9" t="str">
        <f t="shared" si="2"/>
        <v>4058</v>
      </c>
      <c r="V43" s="31">
        <f t="shared" si="3"/>
        <v>42965.502546296295</v>
      </c>
      <c r="W43" s="45" t="str">
        <f t="shared" si="4"/>
        <v>NW</v>
      </c>
      <c r="X43" s="22">
        <f t="shared" si="5"/>
        <v>801</v>
      </c>
      <c r="Y43" s="96" t="str">
        <f t="shared" si="6"/>
        <v>echo {"issue":{"subject":"","project_id":79,"tracker_id":40,"status_id":1,"priority_id":2,"assigned_to_id":23,"start_date":"2017-08-18","description":"","custom_fields":[{"id":1,"name":"Subdivision","value":"NW"},{"id":4,"name":"Milepost","value":"5.9058"},{"id":17,"name":"Train ID","value":"801-18"},{"id":16,"name":"Locomotive ID","value":"4058"},{"id":130,"name":"Impact","value":""},{"id":150,"name":"Time of Event (Mountain Time)","value":"06:03:40"},{"id":151,"name":"Denver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/c/Users/stu/AppData/Local/Temp/OnboardLogs/RTDC4058 --include="*4058*201708181*"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"%USERPROFILE%\AppData\Local\Temp\OnboardLogs"\RTDC4058\*4058*201708181* &gt;&gt; 2017-08-18-SliceDisagreementCheck.txt</v>
      </c>
      <c r="AE43" s="145" t="str">
        <f t="shared" si="9"/>
        <v>start /low /b %USERPROFILE%\Documents\GitHub\eaglep3\Utilities\DownloadLogsFromS3.py --loco 4058 --day 2017-08-18</v>
      </c>
      <c r="AF43" s="1"/>
    </row>
    <row r="44" spans="1:32" x14ac:dyDescent="0.25">
      <c r="A44" s="31">
        <v>42965.229791666665</v>
      </c>
      <c r="B44" s="30" t="s">
        <v>404</v>
      </c>
      <c r="C44" s="30" t="s">
        <v>644</v>
      </c>
      <c r="D44" s="30" t="s">
        <v>49</v>
      </c>
      <c r="E44" s="30" t="s">
        <v>187</v>
      </c>
      <c r="F44" s="42">
        <v>200</v>
      </c>
      <c r="G44" s="42">
        <v>260</v>
      </c>
      <c r="H44" s="42">
        <v>11685</v>
      </c>
      <c r="I44" s="42">
        <v>11164</v>
      </c>
      <c r="J44" s="30" t="s">
        <v>188</v>
      </c>
      <c r="K44" s="42">
        <v>10988</v>
      </c>
      <c r="L44" s="131" t="s">
        <v>51</v>
      </c>
      <c r="M44" s="132">
        <f t="shared" si="0"/>
        <v>92.927999999999997</v>
      </c>
      <c r="N44" s="133" t="str">
        <f>VLOOKUP(C44,'Trips&amp;Operators'!$C$1:$G$99999,5,FALSE)</f>
        <v>LOZA FIDEL</v>
      </c>
      <c r="O44" s="203" t="s">
        <v>180</v>
      </c>
      <c r="P44" s="134" t="s">
        <v>474</v>
      </c>
      <c r="Q44" s="30"/>
      <c r="R44" s="81" t="str">
        <f>VLOOKUP(C44,'Train Runs'!$A$13:$AE$9921,31,0)</f>
        <v>aws s3 cp s3://rtdc.mdm.uploadarchive.raw/RTDC4017/ "%USERPROFILE%\AppData\Local\Temp\OnboardLogs"\RTDC4017\2017-08-18 --exclude "*" --recursive --include "*20170818*" &amp; "%USERPROFILE%\Documents\GitHub\mrs-test-scripts\Headless Mode &amp; Sideloading\WalkAndUnGZ.bat" "%USERPROFILE%\AppData\Local\Temp\OnboardLogs"\RTDC4017\2017-08-18 &amp; aws s3 cp s3://rtdc.mdm.uploadarchive.raw/RTDC4017/ "%USERPROFILE%\AppData\Local\Temp\OnboardLogs"\RTDC4017\2017-08-19 --exclude "*" --recursive --include "*20170819*" &amp; "%USERPROFILE%\Documents\GitHub\mrs-test-scripts\Headless Mode &amp; Sideloading\WalkAndUnGZ.bat" "%USERPROFILE%\AppData\Local\Temp\OnboardLogs"\RTDC4017\2017-08-19</v>
      </c>
      <c r="S44" s="84" t="str">
        <f>VLOOKUP(C44,'Train Runs'!$A$13:$AE$9921,22,0)</f>
        <v>https://d0f6bd738d7f1b3e5a7ca70fe4ff75f0.us-east-1.aws.found.io/app/kibana#/discover/Steve-Slow-Train-Analysis-(2080s-and-2083s)?_g=(refreshInterval:(display:Off,pause:!f,section:0,value:0),time:(from:'2017-08-18T04:22:59-0600',mode:absolute,to:'2017-08-18T06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4" s="86" t="str">
        <f t="shared" si="1"/>
        <v>"C:\Program Files (x86)\AstroGrep\AstroGrep.exe" /e /r /s /spath="%USERPROFILE%\AppData\Local\Temp\OnboardLogs" /stypes="*4017*201708181*" /stext=" 11:.+((SYSTEM_STATE.+slice.+state.+changed )|(ment ac)|(multiple cpu faults)|(system.+state.+changed )|(\[timeout)|(PRM\|1\|D)|(kpr)|(kdp)|(train st.+moving)|(\|lc)|(penalty))"</v>
      </c>
      <c r="U44" s="9" t="str">
        <f t="shared" si="2"/>
        <v>4017</v>
      </c>
      <c r="V44" s="31">
        <f t="shared" si="3"/>
        <v>42965.479791666665</v>
      </c>
      <c r="W44" s="45" t="str">
        <f t="shared" si="4"/>
        <v>Other</v>
      </c>
      <c r="X44" s="22">
        <f t="shared" si="5"/>
        <v>312</v>
      </c>
      <c r="Y44" s="96" t="str">
        <f t="shared" si="6"/>
        <v>echo {"issue":{"subject":"Early Arrival","project_id":79,"tracker_id":40,"status_id":1,"priority_id":2,"assigned_to_id":23,"start_date":"2017-08-18","description":"","custom_fields":[{"id":1,"name":"Subdivision","value":"Other"},{"id":4,"name":"Milepost","value":"1.0988"},{"id":17,"name":"Train ID","value":"312-18"},{"id":16,"name":"Locomotive ID","value":"4017"},{"id":130,"name":"Impact","value":""},{"id":150,"name":"Time of Event (Mountain Time)","value":"05:30:54"},{"id":151,"name":"Denver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/c/Users/stu/AppData/Local/Temp/OnboardLogs/RTDC4017 --include="*4017*201708181*"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"%USERPROFILE%\AppData\Local\Temp\OnboardLogs"\RTDC4017\*4017*201708181* &gt;&gt; 2017-08-18-SliceDisagreementCheck.txt</v>
      </c>
      <c r="AE44" s="145" t="str">
        <f t="shared" si="9"/>
        <v>start /low /b %USERPROFILE%\Documents\GitHub\eaglep3\Utilities\DownloadLogsFromS3.py --loco 4017 --day 2017-08-18</v>
      </c>
      <c r="AF44" s="1"/>
    </row>
    <row r="45" spans="1:32" x14ac:dyDescent="0.25">
      <c r="A45" s="31">
        <v>42965.6483912037</v>
      </c>
      <c r="B45" s="30" t="s">
        <v>642</v>
      </c>
      <c r="C45" s="30" t="s">
        <v>673</v>
      </c>
      <c r="D45" s="30" t="s">
        <v>96</v>
      </c>
      <c r="E45" s="30" t="s">
        <v>444</v>
      </c>
      <c r="F45" s="42">
        <v>0</v>
      </c>
      <c r="G45" s="42">
        <v>130</v>
      </c>
      <c r="H45" s="42">
        <v>4754</v>
      </c>
      <c r="I45" s="42">
        <v>4532</v>
      </c>
      <c r="J45" s="30" t="s">
        <v>445</v>
      </c>
      <c r="K45" s="42">
        <v>4790</v>
      </c>
      <c r="L45" s="131" t="s">
        <v>51</v>
      </c>
      <c r="M45" s="132">
        <f t="shared" si="0"/>
        <v>-136.22399999999999</v>
      </c>
      <c r="N45" s="133" t="str">
        <f>VLOOKUP(C45,'Trips&amp;Operators'!$C$1:$G$99999,5,FALSE)</f>
        <v>ANDERS STEVEN</v>
      </c>
      <c r="O45" s="203" t="s">
        <v>448</v>
      </c>
      <c r="P45" s="134" t="s">
        <v>1063</v>
      </c>
      <c r="Q45" s="30"/>
      <c r="R45" s="81" t="str">
        <f>VLOOKUP(C45,'Train Runs'!$A$13:$AE$9921,31,0)</f>
        <v>aws s3 cp s3://rtdc.mdm.uploadarchive.raw/RTDC4057/ "%USERPROFILE%\AppData\Local\Temp\OnboardLogs"\RTDC4057\2017-08-18 --exclude "*" --recursive --include "*20170818*" &amp; "%USERPROFILE%\Documents\GitHub\mrs-test-scripts\Headless Mode &amp; Sideloading\WalkAndUnGZ.bat" "%USERPROFILE%\AppData\Local\Temp\OnboardLogs"\RTDC4057\2017-08-18 &amp; aws s3 cp s3://rtdc.mdm.uploadarchive.raw/RTDC4057/ "%USERPROFILE%\AppData\Local\Temp\OnboardLogs"\RTDC4057\2017-08-19 --exclude "*" --recursive --include "*20170819*" &amp; "%USERPROFILE%\Documents\GitHub\mrs-test-scripts\Headless Mode &amp; Sideloading\WalkAndUnGZ.bat" "%USERPROFILE%\AppData\Local\Temp\OnboardLogs"\RTDC4057\2017-08-19</v>
      </c>
      <c r="S45" s="84" t="str">
        <f>VLOOKUP(C45,'Train Runs'!$A$13:$AE$9921,22,0)</f>
        <v>https://d0f6bd738d7f1b3e5a7ca70fe4ff75f0.us-east-1.aws.found.io/app/kibana#/discover/Steve-Slow-Train-Analysis-(2080s-and-2083s)?_g=(refreshInterval:(display:Off,pause:!f,section:0,value:0),time:(from:'2017-08-18T14:20:09-0600',mode:absolute,to:'2017-08-18T16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5" s="86" t="str">
        <f t="shared" si="1"/>
        <v>"C:\Program Files (x86)\AstroGrep\AstroGrep.exe" /e /r /s /spath="%USERPROFILE%\AppData\Local\Temp\OnboardLogs" /stypes="*4057*201708182*" /stext=" 21:.+((SYSTEM_STATE.+slice.+state.+changed )|(ment ac)|(multiple cpu faults)|(system.+state.+changed )|(\[timeout)|(PRM\|1\|D)|(kpr)|(kdp)|(train st.+moving)|(\|lc)|(penalty))"</v>
      </c>
      <c r="U45" s="9" t="str">
        <f t="shared" si="2"/>
        <v>4057</v>
      </c>
      <c r="V45" s="31">
        <f t="shared" si="3"/>
        <v>42965.8983912037</v>
      </c>
      <c r="W45" s="45" t="str">
        <f t="shared" si="4"/>
        <v>Other</v>
      </c>
      <c r="X45" s="22">
        <f t="shared" si="5"/>
        <v>904</v>
      </c>
      <c r="Y45" s="96" t="str">
        <f t="shared" si="6"/>
        <v>echo {"issue":{"subject":"Premature downgrade at DUS 28S","project_id":79,"tracker_id":40,"status_id":1,"priority_id":2,"assigned_to_id":23,"start_date":"2017-08-18","description":"","custom_fields":[{"id":1,"name":"Subdivision","value":"Other"},{"id":4,"name":"Milepost","value":"0.479"},{"id":17,"name":"Train ID","value":"904-18"},{"id":16,"name":"Locomotive ID","value":"4057"},{"id":130,"name":"Impact","value":""},{"id":150,"name":"Time of Event (Mountain Time)","value":"15:33:41"},{"id":151,"name":"Denver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/c/Users/stu/AppData/Local/Temp/OnboardLogs/RTDC4057 --include="*4057*201708182*"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"%USERPROFILE%\AppData\Local\Temp\OnboardLogs"\RTDC4057\*4057*201708182* &gt;&gt; 2017-08-18-SliceDisagreementCheck.txt</v>
      </c>
      <c r="AE45" s="145" t="str">
        <f t="shared" si="9"/>
        <v>start /low /b %USERPROFILE%\Documents\GitHub\eaglep3\Utilities\DownloadLogsFromS3.py --loco 4057 --day 2017-08-18</v>
      </c>
      <c r="AF45" s="1"/>
    </row>
    <row r="46" spans="1:32" x14ac:dyDescent="0.25">
      <c r="A46" s="31">
        <v>42965.160462962966</v>
      </c>
      <c r="B46" s="30" t="s">
        <v>467</v>
      </c>
      <c r="C46" s="30" t="s">
        <v>641</v>
      </c>
      <c r="D46" s="30" t="s">
        <v>96</v>
      </c>
      <c r="E46" s="30" t="s">
        <v>444</v>
      </c>
      <c r="F46" s="42">
        <v>0</v>
      </c>
      <c r="G46" s="42">
        <v>152</v>
      </c>
      <c r="H46" s="42">
        <v>22631</v>
      </c>
      <c r="I46" s="42">
        <v>22368</v>
      </c>
      <c r="J46" s="30" t="s">
        <v>445</v>
      </c>
      <c r="K46" s="42">
        <v>24235</v>
      </c>
      <c r="L46" s="131" t="s">
        <v>51</v>
      </c>
      <c r="M46" s="132">
        <f t="shared" si="0"/>
        <v>-985.77599999999995</v>
      </c>
      <c r="N46" s="133" t="str">
        <f>VLOOKUP(C46,'Trips&amp;Operators'!$C$1:$G$99999,5,FALSE)</f>
        <v>GUNTHIER ERIC</v>
      </c>
      <c r="O46" s="203" t="s">
        <v>180</v>
      </c>
      <c r="P46" s="134"/>
      <c r="Q46" s="30"/>
      <c r="R46" s="81" t="str">
        <f>VLOOKUP(C46,'Train Runs'!$A$13:$AE$9921,31,0)</f>
        <v>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 &amp; aws s3 cp s3://rtdc.mdm.uploadarchive.raw/RTDC4029/ "%USERPROFILE%\AppData\Local\Temp\OnboardLogs"\RTDC4029\2017-08-19 --exclude "*" --recursive --include "*20170819*" &amp; "%USERPROFILE%\Documents\GitHub\mrs-test-scripts\Headless Mode &amp; Sideloading\WalkAndUnGZ.bat" "%USERPROFILE%\AppData\Local\Temp\OnboardLogs"\RTDC4029\2017-08-19</v>
      </c>
      <c r="S46" s="84" t="str">
        <f>VLOOKUP(C46,'Train Runs'!$A$13:$AE$9921,22,0)</f>
        <v>https://d0f6bd738d7f1b3e5a7ca70fe4ff75f0.us-east-1.aws.found.io/app/kibana#/discover/Steve-Slow-Train-Analysis-(2080s-and-2083s)?_g=(refreshInterval:(display:Off,pause:!f,section:0,value:0),time:(from:'2017-08-18T02:44:56-0600',mode:absolute,to:'2017-08-18T04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6" s="86" t="str">
        <f t="shared" si="1"/>
        <v>"C:\Program Files (x86)\AstroGrep\AstroGrep.exe" /e /r /s /spath="%USERPROFILE%\AppData\Local\Temp\OnboardLogs" /stypes="*4029*201708180*" /stext=" 09:.+((SYSTEM_STATE.+slice.+state.+changed )|(ment ac)|(multiple cpu faults)|(system.+state.+changed )|(\[timeout)|(PRM\|1\|D)|(kpr)|(kdp)|(train st.+moving)|(\|lc)|(penalty))"</v>
      </c>
      <c r="U46" s="9" t="str">
        <f t="shared" si="2"/>
        <v>4029</v>
      </c>
      <c r="V46" s="31">
        <f t="shared" si="3"/>
        <v>42965.410462962966</v>
      </c>
      <c r="W46" s="45" t="str">
        <f t="shared" si="4"/>
        <v>Other</v>
      </c>
      <c r="X46" s="22">
        <f t="shared" si="5"/>
        <v>304</v>
      </c>
      <c r="Y46" s="96" t="str">
        <f t="shared" si="6"/>
        <v>echo {"issue":{"subject":"","project_id":79,"tracker_id":40,"status_id":1,"priority_id":2,"assigned_to_id":23,"start_date":"2017-08-18","description":"","custom_fields":[{"id":1,"name":"Subdivision","value":"Other"},{"id":4,"name":"Milepost","value":"2.4235"},{"id":17,"name":"Train ID","value":"304-18"},{"id":16,"name":"Locomotive ID","value":"4029"},{"id":130,"name":"Impact","value":""},{"id":150,"name":"Time of Event (Mountain Time)","value":"03:51:04"},{"id":151,"name":"Denver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/c/Users/stu/AppData/Local/Temp/OnboardLogs/RTDC4029 --include="*4029*201708180*"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"%USERPROFILE%\AppData\Local\Temp\OnboardLogs"\RTDC4029\*4029*201708180* &gt;&gt; 2017-08-18-SliceDisagreementCheck.txt</v>
      </c>
      <c r="AE46" s="145" t="str">
        <f t="shared" si="9"/>
        <v>start /low /b %USERPROFILE%\Documents\GitHub\eaglep3\Utilities\DownloadLogsFromS3.py --loco 4029 --day 2017-08-18</v>
      </c>
      <c r="AF46" s="1"/>
    </row>
    <row r="47" spans="1:32" x14ac:dyDescent="0.25">
      <c r="A47" s="31">
        <v>42966.090474537035</v>
      </c>
      <c r="B47" s="30" t="s">
        <v>576</v>
      </c>
      <c r="C47" s="30" t="s">
        <v>683</v>
      </c>
      <c r="D47" s="30" t="s">
        <v>49</v>
      </c>
      <c r="E47" s="30" t="s">
        <v>463</v>
      </c>
      <c r="F47" s="42">
        <v>0</v>
      </c>
      <c r="G47" s="42">
        <v>127</v>
      </c>
      <c r="H47" s="42">
        <v>3421</v>
      </c>
      <c r="I47" s="42">
        <v>0</v>
      </c>
      <c r="J47" s="30" t="s">
        <v>464</v>
      </c>
      <c r="K47" s="42">
        <v>3452</v>
      </c>
      <c r="L47" s="131" t="s">
        <v>50</v>
      </c>
      <c r="M47" s="132">
        <f t="shared" si="0"/>
        <v>1822.6559999999999</v>
      </c>
      <c r="N47" s="133" t="str">
        <f>VLOOKUP(C47,'Trips&amp;Operators'!$C$1:$G$99999,5,FALSE)</f>
        <v>FORTUNATO FRANK</v>
      </c>
      <c r="O47" s="203" t="s">
        <v>448</v>
      </c>
      <c r="P47" s="134" t="s">
        <v>483</v>
      </c>
      <c r="Q47" s="30"/>
      <c r="R47" s="81" t="str">
        <f>VLOOKUP(C47,'Train Runs'!$A$13:$AE$9921,31,0)</f>
        <v>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 &amp; 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</v>
      </c>
      <c r="S47" s="84" t="str">
        <f>VLOOKUP(C47,'Train Runs'!$A$13:$AE$9921,22,0)</f>
        <v>https://d0f6bd738d7f1b3e5a7ca70fe4ff75f0.us-east-1.aws.found.io/app/kibana#/discover/Steve-Slow-Train-Analysis-(2080s-and-2083s)?_g=(refreshInterval:(display:Off,pause:!f,section:0,value:0),time:(from:'2017-08-19T01:07:15-0600',mode:absolute,to:'2017-08-19T03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7" s="86" t="str">
        <f t="shared" si="1"/>
        <v>"C:\Program Files (x86)\AstroGrep\AstroGrep.exe" /e /r /s /spath="%USERPROFILE%\AppData\Local\Temp\OnboardLogs" /stypes="*4028*201708190*" /stext=" 08:.+((SYSTEM_STATE.+slice.+state.+changed )|(ment ac)|(multiple cpu faults)|(system.+state.+changed )|(\[timeout)|(PRM\|1\|D)|(kpr)|(kdp)|(train st.+moving)|(\|lc)|(penalty))"</v>
      </c>
      <c r="U47" s="9" t="str">
        <f t="shared" si="2"/>
        <v>4028</v>
      </c>
      <c r="V47" s="31">
        <f t="shared" si="3"/>
        <v>42966.340474537035</v>
      </c>
      <c r="W47" s="45" t="str">
        <f t="shared" si="4"/>
        <v>Other</v>
      </c>
      <c r="X47" s="22">
        <f t="shared" si="5"/>
        <v>311</v>
      </c>
      <c r="Y47" s="96" t="str">
        <f t="shared" si="6"/>
        <v>echo {"issue":{"subject":"Wi-MAX data drop","project_id":79,"tracker_id":40,"status_id":1,"priority_id":2,"assigned_to_id":23,"start_date":"2017-08-19","description":"","custom_fields":[{"id":1,"name":"Subdivision","value":"Other"},{"id":4,"name":"Milepost","value":"0.3452"},{"id":17,"name":"Train ID","value":"311-18"},{"id":16,"name":"Locomotive ID","value":"4028"},{"id":130,"name":"Impact","value":""},{"id":150,"name":"Time of Event (Mountain Time)","value":"02:10:17"},{"id":151,"name":"Denver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/c/Users/stu/AppData/Local/Temp/OnboardLogs/RTDC4028 --include="*4028*201708190*"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"%USERPROFILE%\AppData\Local\Temp\OnboardLogs"\RTDC4028\*4028*201708190* &gt;&gt; 2017-08-18-SliceDisagreementCheck.txt</v>
      </c>
      <c r="AE47" s="145" t="str">
        <f t="shared" si="9"/>
        <v>start /low /b %USERPROFILE%\Documents\GitHub\eaglep3\Utilities\DownloadLogsFromS3.py --loco 4028 --day 2017-08-19</v>
      </c>
      <c r="AF47" s="1"/>
    </row>
    <row r="48" spans="1:32" x14ac:dyDescent="0.25">
      <c r="A48" s="31">
        <v>42965.694085648145</v>
      </c>
      <c r="B48" s="30" t="s">
        <v>385</v>
      </c>
      <c r="C48" s="30" t="s">
        <v>675</v>
      </c>
      <c r="D48" s="30" t="s">
        <v>96</v>
      </c>
      <c r="E48" s="30" t="s">
        <v>444</v>
      </c>
      <c r="F48" s="42">
        <v>0</v>
      </c>
      <c r="G48" s="42">
        <v>5</v>
      </c>
      <c r="H48" s="42">
        <v>1738</v>
      </c>
      <c r="I48" s="42">
        <v>1738</v>
      </c>
      <c r="J48" s="30" t="s">
        <v>445</v>
      </c>
      <c r="K48" s="42">
        <v>1692</v>
      </c>
      <c r="L48" s="131" t="s">
        <v>50</v>
      </c>
      <c r="M48" s="132">
        <f t="shared" si="0"/>
        <v>-24.288</v>
      </c>
      <c r="N48" s="133" t="str">
        <f>VLOOKUP(C48,'Trips&amp;Operators'!$C$1:$G$99999,5,FALSE)</f>
        <v>CHANDLER KELVIN</v>
      </c>
      <c r="O48" s="203" t="s">
        <v>180</v>
      </c>
      <c r="P48" s="134"/>
      <c r="Q48" s="30"/>
      <c r="R48" s="81" t="str">
        <f>VLOOKUP(C48,'Train Runs'!$A$13:$AE$9921,31,0)</f>
        <v>aws s3 cp s3://rtdc.mdm.uploadarchive.raw/RTDC4002/ "%USERPROFILE%\AppData\Local\Temp\OnboardLogs"\RTDC4002\2017-08-18 --exclude "*" --recursive --include "*20170818*" &amp; "%USERPROFILE%\Documents\GitHub\mrs-test-scripts\Headless Mode &amp; Sideloading\WalkAndUnGZ.bat" "%USERPROFILE%\AppData\Local\Temp\OnboardLogs"\RTDC4002\2017-08-18 &amp; aws s3 cp s3://rtdc.mdm.uploadarchive.raw/RTDC4002/ "%USERPROFILE%\AppData\Local\Temp\OnboardLogs"\RTDC4002\2017-08-19 --exclude "*" --recursive --include "*20170819*" &amp; "%USERPROFILE%\Documents\GitHub\mrs-test-scripts\Headless Mode &amp; Sideloading\WalkAndUnGZ.bat" "%USERPROFILE%\AppData\Local\Temp\OnboardLogs"\RTDC4002\2017-08-19</v>
      </c>
      <c r="S48" s="84" t="str">
        <f>VLOOKUP(C48,'Train Runs'!$A$13:$AE$9921,22,0)</f>
        <v>https://d0f6bd738d7f1b3e5a7ca70fe4ff75f0.us-east-1.aws.found.io/app/kibana#/discover/Steve-Slow-Train-Analysis-(2080s-and-2083s)?_g=(refreshInterval:(display:Off,pause:!f,section:0,value:0),time:(from:'2017-08-18T15:36:24-0600',mode:absolute,to:'2017-08-18T17:39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8" s="86" t="str">
        <f t="shared" si="1"/>
        <v>"C:\Program Files (x86)\AstroGrep\AstroGrep.exe" /e /r /s /spath="%USERPROFILE%\AppData\Local\Temp\OnboardLogs" /stypes="*4002*201708182*" /stext=" 22:.+((SYSTEM_STATE.+slice.+state.+changed )|(ment ac)|(multiple cpu faults)|(system.+state.+changed )|(\[timeout)|(PRM\|1\|D)|(kpr)|(kdp)|(train st.+moving)|(\|lc)|(penalty))"</v>
      </c>
      <c r="U48" s="9" t="str">
        <f t="shared" si="2"/>
        <v>4002</v>
      </c>
      <c r="V48" s="31">
        <f t="shared" si="3"/>
        <v>42965.944085648145</v>
      </c>
      <c r="W48" s="45" t="str">
        <f t="shared" si="4"/>
        <v>Shuttle/Test</v>
      </c>
      <c r="X48" s="22">
        <f t="shared" si="5"/>
        <v>75</v>
      </c>
      <c r="Y48" s="96" t="str">
        <f t="shared" si="6"/>
        <v>echo {"issue":{"subject":"","project_id":79,"tracker_id":40,"status_id":1,"priority_id":2,"assigned_to_id":23,"start_date":"2017-08-18","description":"","custom_fields":[{"id":1,"name":"Subdivision","value":"Shuttle/Test"},{"id":4,"name":"Milepost","value":"0.1692"},{"id":17,"name":"Train ID","value":"75-18"},{"id":16,"name":"Locomotive ID","value":"4002"},{"id":130,"name":"Impact","value":""},{"id":150,"name":"Time of Event (Mountain Time)","value":"16:39:29"},{"id":151,"name":"Denver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/c/Users/stu/AppData/Local/Temp/OnboardLogs/RTDC4002 --include="*4002*201708182*"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"%USERPROFILE%\AppData\Local\Temp\OnboardLogs"\RTDC4002\*4002*201708182* &gt;&gt; 2017-08-18-SliceDisagreementCheck.txt</v>
      </c>
      <c r="AE48" s="145" t="str">
        <f t="shared" si="9"/>
        <v>start /low /b %USERPROFILE%\Documents\GitHub\eaglep3\Utilities\DownloadLogsFromS3.py --loco 4002 --day 2017-08-18</v>
      </c>
      <c r="AF48" s="1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</sheetData>
  <autoFilter ref="A6:AC58">
    <sortState ref="A7:AC58">
      <sortCondition ref="W7:W48"/>
      <sortCondition ref="E7:E48"/>
      <sortCondition ref="K7:K48"/>
      <sortCondition ref="F7:F48"/>
    </sortState>
  </autoFilter>
  <sortState ref="A7:AE38">
    <sortCondition ref="W7:W38"/>
    <sortCondition ref="E7:E38"/>
    <sortCondition ref="K7:K38"/>
    <sortCondition ref="C7:C38"/>
    <sortCondition ref="F7:F38"/>
  </sortState>
  <mergeCells count="1">
    <mergeCell ref="A5:O5"/>
  </mergeCells>
  <conditionalFormatting sqref="O6:P6 R6 O64:O1048576 O7:O4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9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2017-08-18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-18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" s="30" t="e">
        <f>VLOOKUP(B3,'Train Runs'!$A$13:$A$99918,1,FALSE)</f>
        <v>#N/A</v>
      </c>
    </row>
    <row r="4" spans="1:10" x14ac:dyDescent="0.25">
      <c r="A4" s="195"/>
      <c r="B4" s="42" t="str">
        <f>A4&amp;"-"&amp;IF(DAY(Variables!$A$2)&lt;10,0,"")&amp;DAY(Variables!$A$2)</f>
        <v>-18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" s="30" t="e">
        <f>VLOOKUP(B4,'Train Runs'!$A$13:$A$99918,1,FALSE)</f>
        <v>#N/A</v>
      </c>
    </row>
    <row r="5" spans="1:10" x14ac:dyDescent="0.25">
      <c r="A5" s="195"/>
      <c r="B5" s="42" t="str">
        <f>A5&amp;"-"&amp;IF(DAY(Variables!$A$2)&lt;10,0,"")&amp;DAY(Variables!$A$2)</f>
        <v>-18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ref="I5:I2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" s="30" t="e">
        <f>VLOOKUP(B5,'Train Runs'!$A$13:$A$99918,1,FALSE)</f>
        <v>#N/A</v>
      </c>
    </row>
    <row r="6" spans="1:10" x14ac:dyDescent="0.25">
      <c r="A6" s="195"/>
      <c r="B6" s="42" t="str">
        <f>A6&amp;"-"&amp;IF(DAY(Variables!$A$2)&lt;10,0,"")&amp;DAY(Variables!$A$2)</f>
        <v>-18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" s="30" t="e">
        <f>VLOOKUP(B6,'Train Runs'!$A$13:$A$99918,1,FALSE)</f>
        <v>#N/A</v>
      </c>
    </row>
    <row r="7" spans="1:10" x14ac:dyDescent="0.25">
      <c r="A7" s="195"/>
      <c r="B7" s="42" t="str">
        <f>A7&amp;"-"&amp;IF(DAY(Variables!$A$2)&lt;10,0,"")&amp;DAY(Variables!$A$2)</f>
        <v>-18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" s="30" t="e">
        <f>VLOOKUP(B7,'Train Runs'!$A$13:$A$99918,1,FALSE)</f>
        <v>#N/A</v>
      </c>
    </row>
    <row r="8" spans="1:10" x14ac:dyDescent="0.25">
      <c r="A8" s="195"/>
      <c r="B8" s="42" t="str">
        <f>A8&amp;"-"&amp;IF(DAY(Variables!$A$2)&lt;10,0,"")&amp;DAY(Variables!$A$2)</f>
        <v>-18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" s="30" t="e">
        <f>VLOOKUP(B8,'Train Runs'!$A$13:$A$99918,1,FALSE)</f>
        <v>#N/A</v>
      </c>
    </row>
    <row r="9" spans="1:10" x14ac:dyDescent="0.25">
      <c r="A9" s="195"/>
      <c r="B9" s="42" t="str">
        <f>A9&amp;"-"&amp;IF(DAY(Variables!$A$2)&lt;10,0,"")&amp;DAY(Variables!$A$2)</f>
        <v>-18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" s="30" t="e">
        <f>VLOOKUP(B9,'Train Runs'!$A$13:$A$99918,1,FALSE)</f>
        <v>#N/A</v>
      </c>
    </row>
    <row r="10" spans="1:10" x14ac:dyDescent="0.25">
      <c r="A10" s="195"/>
      <c r="B10" s="42" t="str">
        <f>A10&amp;"-"&amp;IF(DAY(Variables!$A$2)&lt;10,0,"")&amp;DAY(Variables!$A$2)</f>
        <v>-18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" s="30" t="e">
        <f>VLOOKUP(B10,'Train Runs'!$A$13:$A$99918,1,FALSE)</f>
        <v>#N/A</v>
      </c>
    </row>
    <row r="11" spans="1:10" x14ac:dyDescent="0.25">
      <c r="A11" s="195"/>
      <c r="B11" s="42" t="str">
        <f>A11&amp;"-"&amp;IF(DAY(Variables!$A$2)&lt;10,0,"")&amp;DAY(Variables!$A$2)</f>
        <v>-18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0" t="e">
        <f>VLOOKUP(B11,'Train Runs'!$A$13:$A$99918,1,FALSE)</f>
        <v>#N/A</v>
      </c>
    </row>
    <row r="12" spans="1:10" x14ac:dyDescent="0.25">
      <c r="A12" s="195"/>
      <c r="B12" s="42" t="str">
        <f>A12&amp;"-"&amp;IF(DAY(Variables!$A$2)&lt;10,0,"")&amp;DAY(Variables!$A$2)</f>
        <v>-18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0" t="e">
        <f>VLOOKUP(B12,'Train Runs'!$A$13:$A$99918,1,FALSE)</f>
        <v>#N/A</v>
      </c>
    </row>
    <row r="13" spans="1:10" x14ac:dyDescent="0.25">
      <c r="A13" s="195"/>
      <c r="B13" s="42" t="str">
        <f>A13&amp;"-"&amp;IF(DAY(Variables!$A$2)&lt;10,0,"")&amp;DAY(Variables!$A$2)</f>
        <v>-18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0" t="e">
        <f>VLOOKUP(B13,'Train Runs'!$A$13:$A$99918,1,FALSE)</f>
        <v>#N/A</v>
      </c>
    </row>
    <row r="14" spans="1:10" x14ac:dyDescent="0.25">
      <c r="A14" s="195"/>
      <c r="B14" s="42" t="str">
        <f>A14&amp;"-"&amp;IF(DAY(Variables!$A$2)&lt;10,0,"")&amp;DAY(Variables!$A$2)</f>
        <v>-18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0" t="e">
        <f>VLOOKUP(B14,'Train Runs'!$A$13:$A$99918,1,FALSE)</f>
        <v>#N/A</v>
      </c>
    </row>
    <row r="15" spans="1:10" x14ac:dyDescent="0.25">
      <c r="A15" s="195"/>
      <c r="B15" s="42" t="str">
        <f>A15&amp;"-"&amp;IF(DAY(Variables!$A$2)&lt;10,0,"")&amp;DAY(Variables!$A$2)</f>
        <v>-18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0" t="e">
        <f>VLOOKUP(B15,'Train Runs'!$A$13:$A$99918,1,FALSE)</f>
        <v>#N/A</v>
      </c>
    </row>
    <row r="16" spans="1:10" x14ac:dyDescent="0.25">
      <c r="A16" s="195"/>
      <c r="B16" s="42" t="str">
        <f>A16&amp;"-"&amp;IF(DAY(Variables!$A$2)&lt;10,0,"")&amp;DAY(Variables!$A$2)</f>
        <v>-18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0" t="e">
        <f>VLOOKUP(B16,'Train Runs'!$A$13:$A$99918,1,FALSE)</f>
        <v>#N/A</v>
      </c>
    </row>
    <row r="17" spans="1:10" x14ac:dyDescent="0.25">
      <c r="A17" s="195"/>
      <c r="B17" s="42" t="str">
        <f>A17&amp;"-"&amp;IF(DAY(Variables!$A$2)&lt;10,0,"")&amp;DAY(Variables!$A$2)</f>
        <v>-18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0" t="e">
        <f>VLOOKUP(B17,'Train Runs'!$A$13:$A$99918,1,FALSE)</f>
        <v>#N/A</v>
      </c>
    </row>
    <row r="18" spans="1:10" x14ac:dyDescent="0.25">
      <c r="A18" s="195"/>
      <c r="B18" s="42" t="str">
        <f>A18&amp;"-"&amp;IF(DAY(Variables!$A$2)&lt;10,0,"")&amp;DAY(Variables!$A$2)</f>
        <v>-18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0" t="e">
        <f>VLOOKUP(B18,'Train Runs'!$A$13:$A$99918,1,FALSE)</f>
        <v>#N/A</v>
      </c>
    </row>
    <row r="19" spans="1:10" x14ac:dyDescent="0.25">
      <c r="A19" s="195"/>
      <c r="B19" s="42" t="str">
        <f>A19&amp;"-"&amp;IF(DAY(Variables!$A$2)&lt;10,0,"")&amp;DAY(Variables!$A$2)</f>
        <v>-18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9" s="30" t="e">
        <f>VLOOKUP(B19,'Train Runs'!$A$13:$A$99918,1,FALSE)</f>
        <v>#N/A</v>
      </c>
    </row>
    <row r="20" spans="1:10" x14ac:dyDescent="0.25">
      <c r="A20" s="195"/>
      <c r="B20" s="42" t="str">
        <f>A20&amp;"-"&amp;IF(DAY(Variables!$A$2)&lt;10,0,"")&amp;DAY(Variables!$A$2)</f>
        <v>-18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0" s="30" t="e">
        <f>VLOOKUP(B20,'Train Runs'!$A$13:$A$99918,1,FALSE)</f>
        <v>#N/A</v>
      </c>
    </row>
    <row r="21" spans="1:10" x14ac:dyDescent="0.25">
      <c r="A21" s="195"/>
      <c r="B21" s="42" t="str">
        <f>A21&amp;"-"&amp;IF(DAY(Variables!$A$2)&lt;10,0,"")&amp;DAY(Variables!$A$2)</f>
        <v>-18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1" s="30" t="e">
        <f>VLOOKUP(B21,'Train Runs'!$A$13:$A$99918,1,FALSE)</f>
        <v>#N/A</v>
      </c>
    </row>
    <row r="22" spans="1:10" x14ac:dyDescent="0.25">
      <c r="A22" s="195"/>
      <c r="B22" s="42" t="str">
        <f>A22&amp;"-"&amp;IF(DAY(Variables!$A$2)&lt;10,0,"")&amp;DAY(Variables!$A$2)</f>
        <v>-18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2" s="30" t="e">
        <f>VLOOKUP(B22,'Train Runs'!$A$13:$A$99918,1,FALSE)</f>
        <v>#N/A</v>
      </c>
    </row>
    <row r="23" spans="1:10" x14ac:dyDescent="0.25">
      <c r="A23" s="195"/>
      <c r="B23" s="42" t="str">
        <f>A23&amp;"-"&amp;IF(DAY(Variables!$A$2)&lt;10,0,"")&amp;DAY(Variables!$A$2)</f>
        <v>-18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3" s="30" t="e">
        <f>VLOOKUP(B23,'Train Runs'!$A$13:$A$99918,1,FALSE)</f>
        <v>#N/A</v>
      </c>
    </row>
    <row r="24" spans="1:10" x14ac:dyDescent="0.25">
      <c r="A24" s="195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5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</sheetData>
  <autoFilter ref="A2:J31"/>
  <sortState ref="A3:J110">
    <sortCondition ref="A3:A11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42965.048726851855</v>
      </c>
      <c r="B2" s="20" t="s">
        <v>435</v>
      </c>
      <c r="C2" s="20" t="s">
        <v>589</v>
      </c>
      <c r="D2" s="138">
        <v>3000000</v>
      </c>
      <c r="E2" s="20" t="s">
        <v>380</v>
      </c>
      <c r="F2" s="20" t="s">
        <v>381</v>
      </c>
      <c r="G2" s="8" t="str">
        <f>E2&amp;" "&amp;F2</f>
        <v>FORTUNATO FRANK</v>
      </c>
    </row>
    <row r="3" spans="1:7" x14ac:dyDescent="0.25">
      <c r="A3" s="8">
        <v>42965.052199074074</v>
      </c>
      <c r="B3" s="20" t="s">
        <v>478</v>
      </c>
      <c r="C3" s="20" t="s">
        <v>590</v>
      </c>
      <c r="D3" s="138">
        <v>2230000</v>
      </c>
      <c r="E3" s="20" t="s">
        <v>336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42965.068749999999</v>
      </c>
      <c r="B4" s="20" t="s">
        <v>468</v>
      </c>
      <c r="C4" s="20" t="s">
        <v>591</v>
      </c>
      <c r="D4" s="138">
        <v>2620000</v>
      </c>
      <c r="E4" s="20" t="s">
        <v>580</v>
      </c>
      <c r="F4" s="20" t="s">
        <v>581</v>
      </c>
      <c r="G4" s="8" t="str">
        <f t="shared" si="0"/>
        <v>PERKINS DARREN</v>
      </c>
    </row>
    <row r="5" spans="1:7" x14ac:dyDescent="0.25">
      <c r="A5" s="8">
        <v>42965.08929398148</v>
      </c>
      <c r="B5" s="20" t="s">
        <v>527</v>
      </c>
      <c r="C5" s="20" t="s">
        <v>592</v>
      </c>
      <c r="D5" s="138">
        <v>3000000</v>
      </c>
      <c r="E5" s="20" t="s">
        <v>380</v>
      </c>
      <c r="F5" s="20" t="s">
        <v>381</v>
      </c>
      <c r="G5" s="8" t="str">
        <f t="shared" si="0"/>
        <v>FORTUNATO FRANK</v>
      </c>
    </row>
    <row r="6" spans="1:7" x14ac:dyDescent="0.25">
      <c r="A6" s="8">
        <v>42965.112025462964</v>
      </c>
      <c r="B6" s="20" t="s">
        <v>384</v>
      </c>
      <c r="C6" s="20" t="s">
        <v>593</v>
      </c>
      <c r="D6" s="138">
        <v>1110000</v>
      </c>
      <c r="E6" s="20" t="s">
        <v>406</v>
      </c>
      <c r="F6" s="20" t="s">
        <v>407</v>
      </c>
      <c r="G6" s="8" t="str">
        <f t="shared" si="0"/>
        <v>STARKS ANGELINA</v>
      </c>
    </row>
    <row r="7" spans="1:7" x14ac:dyDescent="0.25">
      <c r="A7" s="8">
        <v>42965.127372685187</v>
      </c>
      <c r="B7" s="20" t="s">
        <v>385</v>
      </c>
      <c r="C7" s="20" t="s">
        <v>684</v>
      </c>
      <c r="D7" s="138">
        <v>1090000</v>
      </c>
      <c r="E7" s="20" t="s">
        <v>512</v>
      </c>
      <c r="F7" s="20" t="s">
        <v>192</v>
      </c>
      <c r="G7" s="8" t="str">
        <f t="shared" si="0"/>
        <v>SPECTOR MICHAEL</v>
      </c>
    </row>
    <row r="8" spans="1:7" x14ac:dyDescent="0.25">
      <c r="A8" s="8">
        <v>42965.127500000002</v>
      </c>
      <c r="B8" s="20" t="s">
        <v>359</v>
      </c>
      <c r="C8" s="20" t="s">
        <v>685</v>
      </c>
      <c r="D8" s="138">
        <v>1110000</v>
      </c>
      <c r="E8" s="20" t="s">
        <v>406</v>
      </c>
      <c r="F8" s="20" t="s">
        <v>407</v>
      </c>
      <c r="G8" s="8" t="str">
        <f t="shared" si="0"/>
        <v>STARKS ANGELINA</v>
      </c>
    </row>
    <row r="9" spans="1:7" ht="15.75" thickBot="1" x14ac:dyDescent="0.3">
      <c r="A9" s="24">
        <v>42965.138159722221</v>
      </c>
      <c r="B9" s="20" t="s">
        <v>466</v>
      </c>
      <c r="C9" s="20" t="s">
        <v>686</v>
      </c>
      <c r="D9" s="138">
        <v>3040000</v>
      </c>
      <c r="E9" s="20" t="s">
        <v>367</v>
      </c>
      <c r="F9" s="20" t="s">
        <v>368</v>
      </c>
      <c r="G9" s="8" t="str">
        <f t="shared" si="0"/>
        <v>WILLIAMS DONTE</v>
      </c>
    </row>
    <row r="10" spans="1:7" x14ac:dyDescent="0.25">
      <c r="A10" s="8">
        <v>42965.139699074076</v>
      </c>
      <c r="B10" s="20" t="s">
        <v>384</v>
      </c>
      <c r="C10" s="20" t="s">
        <v>687</v>
      </c>
      <c r="D10" s="138">
        <v>1090000</v>
      </c>
      <c r="E10" s="20" t="s">
        <v>512</v>
      </c>
      <c r="F10" s="20" t="s">
        <v>192</v>
      </c>
      <c r="G10" s="8" t="str">
        <f t="shared" si="0"/>
        <v>SPECTOR MICHAEL</v>
      </c>
    </row>
    <row r="11" spans="1:7" x14ac:dyDescent="0.25">
      <c r="A11" s="8">
        <v>42965.153923611113</v>
      </c>
      <c r="B11" s="20" t="s">
        <v>462</v>
      </c>
      <c r="C11" s="20" t="s">
        <v>688</v>
      </c>
      <c r="D11" s="138">
        <v>3040000</v>
      </c>
      <c r="E11" s="20" t="s">
        <v>367</v>
      </c>
      <c r="F11" s="20" t="s">
        <v>368</v>
      </c>
      <c r="G11" s="8" t="str">
        <f t="shared" si="0"/>
        <v>WILLIAMS DONTE</v>
      </c>
    </row>
    <row r="12" spans="1:7" x14ac:dyDescent="0.25">
      <c r="A12" s="8">
        <v>42965.157210648147</v>
      </c>
      <c r="B12" s="20" t="s">
        <v>467</v>
      </c>
      <c r="C12" s="20" t="s">
        <v>641</v>
      </c>
      <c r="D12" s="138">
        <v>3500000</v>
      </c>
      <c r="E12" s="20" t="s">
        <v>485</v>
      </c>
      <c r="F12" s="20" t="s">
        <v>486</v>
      </c>
      <c r="G12" s="8" t="str">
        <f t="shared" si="0"/>
        <v>GUNTHIER ERIC</v>
      </c>
    </row>
    <row r="13" spans="1:7" x14ac:dyDescent="0.25">
      <c r="A13" s="8">
        <v>42965.16505787037</v>
      </c>
      <c r="B13" s="20" t="s">
        <v>356</v>
      </c>
      <c r="C13" s="20" t="s">
        <v>689</v>
      </c>
      <c r="D13" s="138">
        <v>1110000</v>
      </c>
      <c r="E13" s="20" t="s">
        <v>406</v>
      </c>
      <c r="F13" s="20" t="s">
        <v>407</v>
      </c>
      <c r="G13" s="8" t="str">
        <f t="shared" si="0"/>
        <v>STARKS ANGELINA</v>
      </c>
    </row>
    <row r="14" spans="1:7" x14ac:dyDescent="0.25">
      <c r="A14" s="8">
        <v>42965.169606481482</v>
      </c>
      <c r="B14" s="20" t="s">
        <v>447</v>
      </c>
      <c r="C14" s="20" t="s">
        <v>690</v>
      </c>
      <c r="D14" s="138">
        <v>3500000</v>
      </c>
      <c r="E14" s="20" t="s">
        <v>485</v>
      </c>
      <c r="F14" s="20" t="s">
        <v>486</v>
      </c>
      <c r="G14" s="8" t="str">
        <f t="shared" si="0"/>
        <v>GUNTHIER ERIC</v>
      </c>
    </row>
    <row r="15" spans="1:7" x14ac:dyDescent="0.25">
      <c r="A15" s="8">
        <v>42965.171712962961</v>
      </c>
      <c r="B15" s="20" t="s">
        <v>575</v>
      </c>
      <c r="C15" s="20" t="s">
        <v>691</v>
      </c>
      <c r="D15" s="138">
        <v>3510000</v>
      </c>
      <c r="E15" s="20" t="s">
        <v>489</v>
      </c>
      <c r="F15" s="20" t="s">
        <v>490</v>
      </c>
      <c r="G15" s="8" t="str">
        <f t="shared" si="0"/>
        <v>BARRON PERLA</v>
      </c>
    </row>
    <row r="16" spans="1:7" x14ac:dyDescent="0.25">
      <c r="A16" s="8">
        <v>42965.183449074073</v>
      </c>
      <c r="B16" s="20" t="s">
        <v>576</v>
      </c>
      <c r="C16" s="20" t="s">
        <v>692</v>
      </c>
      <c r="D16" s="138">
        <v>3510000</v>
      </c>
      <c r="E16" s="20" t="s">
        <v>489</v>
      </c>
      <c r="F16" s="20" t="s">
        <v>490</v>
      </c>
      <c r="G16" s="8" t="str">
        <f t="shared" si="0"/>
        <v>BARRON PERLA</v>
      </c>
    </row>
    <row r="17" spans="1:7" x14ac:dyDescent="0.25">
      <c r="A17" s="8">
        <v>42965.183506944442</v>
      </c>
      <c r="B17" s="20" t="s">
        <v>523</v>
      </c>
      <c r="C17" s="20" t="s">
        <v>693</v>
      </c>
      <c r="D17" s="138">
        <v>1990000</v>
      </c>
      <c r="E17" s="20" t="s">
        <v>377</v>
      </c>
      <c r="F17" s="20" t="s">
        <v>526</v>
      </c>
      <c r="G17" s="8" t="str">
        <f t="shared" si="0"/>
        <v>DAVIS WENDY</v>
      </c>
    </row>
    <row r="18" spans="1:7" x14ac:dyDescent="0.25">
      <c r="A18" s="8">
        <v>42965.193553240744</v>
      </c>
      <c r="B18" s="20" t="s">
        <v>466</v>
      </c>
      <c r="C18" s="20" t="s">
        <v>694</v>
      </c>
      <c r="D18" s="138">
        <v>3040000</v>
      </c>
      <c r="E18" s="20" t="s">
        <v>367</v>
      </c>
      <c r="F18" s="20" t="s">
        <v>368</v>
      </c>
      <c r="G18" s="8" t="str">
        <f t="shared" si="0"/>
        <v>WILLIAMS DONTE</v>
      </c>
    </row>
    <row r="19" spans="1:7" x14ac:dyDescent="0.25">
      <c r="A19" s="8">
        <v>42965.195069444446</v>
      </c>
      <c r="B19" s="20" t="s">
        <v>665</v>
      </c>
      <c r="C19" s="20" t="s">
        <v>695</v>
      </c>
      <c r="D19" s="138">
        <v>3280000</v>
      </c>
      <c r="E19" s="20" t="s">
        <v>493</v>
      </c>
      <c r="F19" s="20" t="s">
        <v>494</v>
      </c>
      <c r="G19" s="8" t="str">
        <f t="shared" si="0"/>
        <v>BIRKHOLZ NADINE</v>
      </c>
    </row>
    <row r="20" spans="1:7" x14ac:dyDescent="0.25">
      <c r="A20" s="8">
        <v>42965.195231481484</v>
      </c>
      <c r="B20" s="20" t="s">
        <v>646</v>
      </c>
      <c r="C20" s="20" t="s">
        <v>696</v>
      </c>
      <c r="D20" s="138">
        <v>3260000</v>
      </c>
      <c r="E20" s="20" t="s">
        <v>441</v>
      </c>
      <c r="F20" s="20" t="s">
        <v>442</v>
      </c>
      <c r="G20" s="8" t="str">
        <f t="shared" si="0"/>
        <v>PAGE MARCUS</v>
      </c>
    </row>
    <row r="21" spans="1:7" x14ac:dyDescent="0.25">
      <c r="A21" s="8">
        <v>42965.195451388892</v>
      </c>
      <c r="B21" s="20" t="s">
        <v>522</v>
      </c>
      <c r="C21" s="20" t="s">
        <v>697</v>
      </c>
      <c r="D21" s="138">
        <v>1990000</v>
      </c>
      <c r="E21" s="20" t="s">
        <v>377</v>
      </c>
      <c r="F21" s="20" t="s">
        <v>526</v>
      </c>
      <c r="G21" s="8" t="str">
        <f t="shared" si="0"/>
        <v>DAVIS WENDY</v>
      </c>
    </row>
    <row r="22" spans="1:7" x14ac:dyDescent="0.25">
      <c r="A22" s="26">
        <v>42965.20590277778</v>
      </c>
      <c r="B22" s="20" t="s">
        <v>359</v>
      </c>
      <c r="C22" s="20" t="s">
        <v>698</v>
      </c>
      <c r="D22" s="138">
        <v>1110000</v>
      </c>
      <c r="E22" s="20" t="s">
        <v>406</v>
      </c>
      <c r="F22" s="20" t="s">
        <v>407</v>
      </c>
      <c r="G22" s="8" t="str">
        <f t="shared" si="0"/>
        <v>STARKS ANGELINA</v>
      </c>
    </row>
    <row r="23" spans="1:7" x14ac:dyDescent="0.25">
      <c r="A23" s="8">
        <v>42965.206400462965</v>
      </c>
      <c r="B23" s="20" t="s">
        <v>642</v>
      </c>
      <c r="C23" s="20" t="s">
        <v>643</v>
      </c>
      <c r="D23" s="138">
        <v>3260000</v>
      </c>
      <c r="E23" s="20" t="s">
        <v>441</v>
      </c>
      <c r="F23" s="20" t="s">
        <v>442</v>
      </c>
      <c r="G23" s="8" t="str">
        <f t="shared" si="0"/>
        <v>PAGE MARCUS</v>
      </c>
    </row>
    <row r="24" spans="1:7" x14ac:dyDescent="0.25">
      <c r="A24" s="8">
        <v>42965.211319444446</v>
      </c>
      <c r="B24" s="20" t="s">
        <v>467</v>
      </c>
      <c r="C24" s="20" t="s">
        <v>645</v>
      </c>
      <c r="D24" s="138">
        <v>3500000</v>
      </c>
      <c r="E24" s="20" t="s">
        <v>485</v>
      </c>
      <c r="F24" s="20" t="s">
        <v>486</v>
      </c>
      <c r="G24" s="8" t="str">
        <f t="shared" si="0"/>
        <v>GUNTHIER ERIC</v>
      </c>
    </row>
    <row r="25" spans="1:7" x14ac:dyDescent="0.25">
      <c r="A25" s="8">
        <v>42965.21303240741</v>
      </c>
      <c r="B25" s="20" t="s">
        <v>661</v>
      </c>
      <c r="C25" s="20" t="s">
        <v>699</v>
      </c>
      <c r="D25" s="138">
        <v>3280000</v>
      </c>
      <c r="E25" s="20" t="s">
        <v>493</v>
      </c>
      <c r="F25" s="20" t="s">
        <v>494</v>
      </c>
      <c r="G25" s="8" t="str">
        <f t="shared" si="0"/>
        <v>BIRKHOLZ NADINE</v>
      </c>
    </row>
    <row r="26" spans="1:7" x14ac:dyDescent="0.25">
      <c r="A26" s="8">
        <v>42965.215613425928</v>
      </c>
      <c r="B26" s="20" t="s">
        <v>575</v>
      </c>
      <c r="C26" s="20" t="s">
        <v>700</v>
      </c>
      <c r="D26" s="138">
        <v>3510000</v>
      </c>
      <c r="E26" s="20" t="s">
        <v>489</v>
      </c>
      <c r="F26" s="20" t="s">
        <v>490</v>
      </c>
      <c r="G26" s="8" t="str">
        <f t="shared" si="0"/>
        <v>BARRON PERLA</v>
      </c>
    </row>
    <row r="27" spans="1:7" x14ac:dyDescent="0.25">
      <c r="A27" s="8">
        <v>42965.224814814814</v>
      </c>
      <c r="B27" s="20" t="s">
        <v>404</v>
      </c>
      <c r="C27" s="20" t="s">
        <v>644</v>
      </c>
      <c r="D27" s="138">
        <v>890000</v>
      </c>
      <c r="E27" s="20" t="s">
        <v>491</v>
      </c>
      <c r="F27" s="20" t="s">
        <v>492</v>
      </c>
      <c r="G27" s="8" t="str">
        <f t="shared" si="0"/>
        <v>LOZA FIDEL</v>
      </c>
    </row>
    <row r="28" spans="1:7" x14ac:dyDescent="0.25">
      <c r="A28" s="8">
        <v>42965.226875</v>
      </c>
      <c r="B28" s="20" t="s">
        <v>462</v>
      </c>
      <c r="C28" s="20" t="s">
        <v>701</v>
      </c>
      <c r="D28" s="138">
        <v>3040000</v>
      </c>
      <c r="E28" s="20" t="s">
        <v>367</v>
      </c>
      <c r="F28" s="20" t="s">
        <v>368</v>
      </c>
      <c r="G28" s="8" t="str">
        <f t="shared" si="0"/>
        <v>WILLIAMS DONTE</v>
      </c>
    </row>
    <row r="29" spans="1:7" x14ac:dyDescent="0.25">
      <c r="A29" s="8">
        <v>42965.227256944447</v>
      </c>
      <c r="B29" s="20" t="s">
        <v>646</v>
      </c>
      <c r="C29" s="20" t="s">
        <v>647</v>
      </c>
      <c r="D29" s="138">
        <v>3260000</v>
      </c>
      <c r="E29" s="20" t="s">
        <v>441</v>
      </c>
      <c r="F29" s="20" t="s">
        <v>442</v>
      </c>
      <c r="G29" s="8" t="str">
        <f t="shared" si="0"/>
        <v>PAGE MARCUS</v>
      </c>
    </row>
    <row r="30" spans="1:7" x14ac:dyDescent="0.25">
      <c r="A30" s="8">
        <v>42965.235127314816</v>
      </c>
      <c r="B30" s="20" t="s">
        <v>523</v>
      </c>
      <c r="C30" s="20" t="s">
        <v>702</v>
      </c>
      <c r="D30" s="138">
        <v>1990000</v>
      </c>
      <c r="E30" s="20" t="s">
        <v>377</v>
      </c>
      <c r="F30" s="20" t="s">
        <v>526</v>
      </c>
      <c r="G30" s="8" t="str">
        <f t="shared" si="0"/>
        <v>DAVIS WENDY</v>
      </c>
    </row>
    <row r="31" spans="1:7" x14ac:dyDescent="0.25">
      <c r="A31" s="8">
        <v>42965.237615740742</v>
      </c>
      <c r="B31" s="20" t="s">
        <v>402</v>
      </c>
      <c r="C31" s="20" t="s">
        <v>703</v>
      </c>
      <c r="D31" s="138">
        <v>890000</v>
      </c>
      <c r="E31" s="20" t="s">
        <v>491</v>
      </c>
      <c r="F31" s="20" t="s">
        <v>492</v>
      </c>
      <c r="G31" s="8" t="str">
        <f t="shared" si="0"/>
        <v>LOZA FIDEL</v>
      </c>
    </row>
    <row r="32" spans="1:7" x14ac:dyDescent="0.25">
      <c r="A32" s="8">
        <v>42965.240081018521</v>
      </c>
      <c r="B32" s="20" t="s">
        <v>402</v>
      </c>
      <c r="C32" s="20" t="s">
        <v>703</v>
      </c>
      <c r="D32" s="138">
        <v>890000</v>
      </c>
      <c r="E32" s="20" t="s">
        <v>491</v>
      </c>
      <c r="F32" s="20" t="s">
        <v>492</v>
      </c>
      <c r="G32" s="8" t="str">
        <f t="shared" si="0"/>
        <v>LOZA FIDEL</v>
      </c>
    </row>
    <row r="33" spans="1:7" x14ac:dyDescent="0.25">
      <c r="A33" s="8">
        <v>42965.243981481479</v>
      </c>
      <c r="B33" s="20" t="s">
        <v>356</v>
      </c>
      <c r="C33" s="20" t="s">
        <v>704</v>
      </c>
      <c r="D33" s="138">
        <v>1110000</v>
      </c>
      <c r="E33" s="20" t="s">
        <v>406</v>
      </c>
      <c r="F33" s="20" t="s">
        <v>407</v>
      </c>
      <c r="G33" s="8" t="str">
        <f t="shared" si="0"/>
        <v>STARKS ANGELINA</v>
      </c>
    </row>
    <row r="34" spans="1:7" x14ac:dyDescent="0.25">
      <c r="A34" s="8">
        <v>42965.247928240744</v>
      </c>
      <c r="B34" s="20" t="s">
        <v>447</v>
      </c>
      <c r="C34" s="20" t="s">
        <v>705</v>
      </c>
      <c r="D34" s="138">
        <v>3500000</v>
      </c>
      <c r="E34" s="20" t="s">
        <v>485</v>
      </c>
      <c r="F34" s="20" t="s">
        <v>486</v>
      </c>
      <c r="G34" s="8" t="str">
        <f t="shared" si="0"/>
        <v>GUNTHIER ERIC</v>
      </c>
    </row>
    <row r="35" spans="1:7" x14ac:dyDescent="0.25">
      <c r="A35" s="8">
        <v>42965.247939814813</v>
      </c>
      <c r="B35" s="20" t="s">
        <v>405</v>
      </c>
      <c r="C35" s="20" t="s">
        <v>706</v>
      </c>
      <c r="D35" s="138">
        <v>3290000</v>
      </c>
      <c r="E35" s="20" t="s">
        <v>484</v>
      </c>
      <c r="F35" s="20" t="s">
        <v>475</v>
      </c>
      <c r="G35" s="8" t="str">
        <f t="shared" si="0"/>
        <v>CASSIDY BRANDON</v>
      </c>
    </row>
    <row r="36" spans="1:7" x14ac:dyDescent="0.25">
      <c r="A36" s="8">
        <v>42965.254791666666</v>
      </c>
      <c r="B36" s="20" t="s">
        <v>642</v>
      </c>
      <c r="C36" s="20" t="s">
        <v>707</v>
      </c>
      <c r="D36" s="138">
        <v>3260000</v>
      </c>
      <c r="E36" s="20" t="s">
        <v>441</v>
      </c>
      <c r="F36" s="20" t="s">
        <v>442</v>
      </c>
      <c r="G36" s="8" t="str">
        <f t="shared" si="0"/>
        <v>PAGE MARCUS</v>
      </c>
    </row>
    <row r="37" spans="1:7" x14ac:dyDescent="0.25">
      <c r="A37" s="8">
        <v>42965.256064814814</v>
      </c>
      <c r="B37" s="20" t="s">
        <v>665</v>
      </c>
      <c r="C37" s="20" t="s">
        <v>708</v>
      </c>
      <c r="D37" s="138">
        <v>3280000</v>
      </c>
      <c r="E37" s="20" t="s">
        <v>493</v>
      </c>
      <c r="F37" s="20" t="s">
        <v>494</v>
      </c>
      <c r="G37" s="8" t="str">
        <f t="shared" si="0"/>
        <v>BIRKHOLZ NADINE</v>
      </c>
    </row>
    <row r="38" spans="1:7" x14ac:dyDescent="0.25">
      <c r="A38" s="8">
        <v>42965.256886574076</v>
      </c>
      <c r="B38" s="20" t="s">
        <v>576</v>
      </c>
      <c r="C38" s="20" t="s">
        <v>709</v>
      </c>
      <c r="D38" s="138">
        <v>3510000</v>
      </c>
      <c r="E38" s="20" t="s">
        <v>489</v>
      </c>
      <c r="F38" s="20" t="s">
        <v>490</v>
      </c>
      <c r="G38" s="8" t="str">
        <f t="shared" si="0"/>
        <v>BARRON PERLA</v>
      </c>
    </row>
    <row r="39" spans="1:7" x14ac:dyDescent="0.25">
      <c r="A39" s="8">
        <v>42965.259363425925</v>
      </c>
      <c r="B39" s="20" t="s">
        <v>376</v>
      </c>
      <c r="C39" s="20" t="s">
        <v>710</v>
      </c>
      <c r="D39" s="138">
        <v>3290000</v>
      </c>
      <c r="E39" s="20" t="s">
        <v>484</v>
      </c>
      <c r="F39" s="20" t="s">
        <v>475</v>
      </c>
      <c r="G39" s="8" t="str">
        <f t="shared" si="0"/>
        <v>CASSIDY BRANDON</v>
      </c>
    </row>
    <row r="40" spans="1:7" x14ac:dyDescent="0.25">
      <c r="A40" s="8">
        <v>42965.265590277777</v>
      </c>
      <c r="B40" s="25" t="s">
        <v>466</v>
      </c>
      <c r="C40" s="20" t="s">
        <v>649</v>
      </c>
      <c r="D40" s="138">
        <v>3040000</v>
      </c>
      <c r="E40" s="20" t="s">
        <v>367</v>
      </c>
      <c r="F40" s="20" t="s">
        <v>368</v>
      </c>
      <c r="G40" s="8" t="str">
        <f t="shared" si="0"/>
        <v>WILLIAMS DONTE</v>
      </c>
    </row>
    <row r="41" spans="1:7" x14ac:dyDescent="0.25">
      <c r="A41" s="8">
        <v>42965.268090277779</v>
      </c>
      <c r="B41" s="20" t="s">
        <v>522</v>
      </c>
      <c r="C41" s="20" t="s">
        <v>648</v>
      </c>
      <c r="D41" s="138">
        <v>1990000</v>
      </c>
      <c r="E41" s="20" t="s">
        <v>377</v>
      </c>
      <c r="F41" s="20" t="s">
        <v>526</v>
      </c>
      <c r="G41" s="8" t="str">
        <f t="shared" si="0"/>
        <v>DAVIS WENDY</v>
      </c>
    </row>
    <row r="42" spans="1:7" x14ac:dyDescent="0.25">
      <c r="A42" s="8">
        <v>42965.269837962966</v>
      </c>
      <c r="B42" s="20" t="s">
        <v>646</v>
      </c>
      <c r="C42" s="20" t="s">
        <v>711</v>
      </c>
      <c r="D42" s="138">
        <v>3260000</v>
      </c>
      <c r="E42" s="20" t="s">
        <v>441</v>
      </c>
      <c r="F42" s="20" t="s">
        <v>442</v>
      </c>
      <c r="G42" s="8" t="str">
        <f t="shared" si="0"/>
        <v>PAGE MARCUS</v>
      </c>
    </row>
    <row r="43" spans="1:7" x14ac:dyDescent="0.25">
      <c r="A43" s="8">
        <v>42965.274814814817</v>
      </c>
      <c r="B43" s="20" t="s">
        <v>405</v>
      </c>
      <c r="C43" s="20" t="s">
        <v>712</v>
      </c>
      <c r="D43" s="138">
        <v>3290000</v>
      </c>
      <c r="E43" s="20" t="s">
        <v>484</v>
      </c>
      <c r="F43" s="20" t="s">
        <v>475</v>
      </c>
      <c r="G43" s="8" t="str">
        <f t="shared" si="0"/>
        <v>CASSIDY BRANDON</v>
      </c>
    </row>
    <row r="44" spans="1:7" x14ac:dyDescent="0.25">
      <c r="A44" s="8">
        <v>42965.27784722222</v>
      </c>
      <c r="B44" s="20" t="s">
        <v>404</v>
      </c>
      <c r="C44" s="20" t="s">
        <v>713</v>
      </c>
      <c r="D44" s="138">
        <v>890000</v>
      </c>
      <c r="E44" s="20" t="s">
        <v>491</v>
      </c>
      <c r="F44" s="20" t="s">
        <v>492</v>
      </c>
      <c r="G44" s="8" t="str">
        <f t="shared" si="0"/>
        <v>LOZA FIDEL</v>
      </c>
    </row>
    <row r="45" spans="1:7" x14ac:dyDescent="0.25">
      <c r="A45" s="8">
        <v>42965.278460648151</v>
      </c>
      <c r="B45" s="20" t="s">
        <v>359</v>
      </c>
      <c r="C45" s="20" t="s">
        <v>714</v>
      </c>
      <c r="D45" s="138">
        <v>1110000</v>
      </c>
      <c r="E45" s="20" t="s">
        <v>406</v>
      </c>
      <c r="F45" s="20" t="s">
        <v>407</v>
      </c>
      <c r="G45" s="8" t="str">
        <f t="shared" si="0"/>
        <v>STARKS ANGELINA</v>
      </c>
    </row>
    <row r="46" spans="1:7" x14ac:dyDescent="0.25">
      <c r="A46" s="8">
        <v>42965.280949074076</v>
      </c>
      <c r="B46" s="20" t="s">
        <v>467</v>
      </c>
      <c r="C46" s="20" t="s">
        <v>715</v>
      </c>
      <c r="D46" s="138">
        <v>3500000</v>
      </c>
      <c r="E46" s="20" t="s">
        <v>485</v>
      </c>
      <c r="F46" s="20" t="s">
        <v>486</v>
      </c>
      <c r="G46" s="8" t="str">
        <f t="shared" si="0"/>
        <v>GUNTHIER ERIC</v>
      </c>
    </row>
    <row r="47" spans="1:7" x14ac:dyDescent="0.25">
      <c r="A47" s="8">
        <v>42965.287685185183</v>
      </c>
      <c r="B47" s="20" t="s">
        <v>661</v>
      </c>
      <c r="C47" s="20" t="s">
        <v>716</v>
      </c>
      <c r="D47" s="138">
        <v>3280000</v>
      </c>
      <c r="E47" s="20" t="s">
        <v>493</v>
      </c>
      <c r="F47" s="20" t="s">
        <v>494</v>
      </c>
      <c r="G47" s="8" t="str">
        <f t="shared" si="0"/>
        <v>BIRKHOLZ NADINE</v>
      </c>
    </row>
    <row r="48" spans="1:7" x14ac:dyDescent="0.25">
      <c r="A48" s="8">
        <v>42965.288483796299</v>
      </c>
      <c r="B48" s="20" t="s">
        <v>575</v>
      </c>
      <c r="C48" s="20" t="s">
        <v>717</v>
      </c>
      <c r="D48" s="138">
        <v>3510000</v>
      </c>
      <c r="E48" s="20" t="s">
        <v>489</v>
      </c>
      <c r="F48" s="20" t="s">
        <v>490</v>
      </c>
      <c r="G48" s="8" t="str">
        <f t="shared" si="0"/>
        <v>BARRON PERLA</v>
      </c>
    </row>
    <row r="49" spans="1:7" x14ac:dyDescent="0.25">
      <c r="A49" s="8">
        <v>42965.291979166665</v>
      </c>
      <c r="B49" s="20" t="s">
        <v>376</v>
      </c>
      <c r="C49" s="20" t="s">
        <v>650</v>
      </c>
      <c r="D49" s="138">
        <v>3290000</v>
      </c>
      <c r="E49" s="20" t="s">
        <v>484</v>
      </c>
      <c r="F49" s="20" t="s">
        <v>475</v>
      </c>
      <c r="G49" s="8" t="str">
        <f t="shared" si="0"/>
        <v>CASSIDY BRANDON</v>
      </c>
    </row>
    <row r="50" spans="1:7" x14ac:dyDescent="0.25">
      <c r="A50" s="8">
        <v>42965.296365740738</v>
      </c>
      <c r="B50" s="20" t="s">
        <v>642</v>
      </c>
      <c r="C50" s="20" t="s">
        <v>718</v>
      </c>
      <c r="D50" s="138">
        <v>3260000</v>
      </c>
      <c r="E50" s="20" t="s">
        <v>441</v>
      </c>
      <c r="F50" s="20" t="s">
        <v>442</v>
      </c>
      <c r="G50" s="8" t="str">
        <f t="shared" si="0"/>
        <v>PAGE MARCUS</v>
      </c>
    </row>
    <row r="51" spans="1:7" x14ac:dyDescent="0.25">
      <c r="A51" s="8">
        <v>42965.299050925925</v>
      </c>
      <c r="B51" s="20" t="s">
        <v>462</v>
      </c>
      <c r="C51" s="20" t="s">
        <v>719</v>
      </c>
      <c r="D51" s="138">
        <v>3040000</v>
      </c>
      <c r="E51" s="20" t="s">
        <v>367</v>
      </c>
      <c r="F51" s="20" t="s">
        <v>368</v>
      </c>
      <c r="G51" s="8" t="str">
        <f t="shared" si="0"/>
        <v>WILLIAMS DONTE</v>
      </c>
    </row>
    <row r="52" spans="1:7" x14ac:dyDescent="0.25">
      <c r="A52" s="8">
        <v>42965.308472222219</v>
      </c>
      <c r="B52" s="20" t="s">
        <v>523</v>
      </c>
      <c r="C52" s="20" t="s">
        <v>720</v>
      </c>
      <c r="D52" s="138">
        <v>1990000</v>
      </c>
      <c r="E52" s="20" t="s">
        <v>377</v>
      </c>
      <c r="F52" s="20" t="s">
        <v>526</v>
      </c>
      <c r="G52" s="8" t="str">
        <f t="shared" si="0"/>
        <v>DAVIS WENDY</v>
      </c>
    </row>
    <row r="53" spans="1:7" x14ac:dyDescent="0.25">
      <c r="A53" s="8">
        <v>42965.310555555552</v>
      </c>
      <c r="B53" s="20" t="s">
        <v>402</v>
      </c>
      <c r="C53" s="20" t="s">
        <v>721</v>
      </c>
      <c r="D53" s="138">
        <v>890000</v>
      </c>
      <c r="E53" s="20" t="s">
        <v>491</v>
      </c>
      <c r="F53" s="20" t="s">
        <v>492</v>
      </c>
      <c r="G53" s="8" t="str">
        <f t="shared" si="0"/>
        <v>LOZA FIDEL</v>
      </c>
    </row>
    <row r="54" spans="1:7" x14ac:dyDescent="0.25">
      <c r="A54" s="8">
        <v>42965.311111111114</v>
      </c>
      <c r="B54" s="20" t="s">
        <v>646</v>
      </c>
      <c r="C54" s="20" t="s">
        <v>651</v>
      </c>
      <c r="D54" s="138">
        <v>3260000</v>
      </c>
      <c r="E54" s="20" t="s">
        <v>441</v>
      </c>
      <c r="F54" s="20" t="s">
        <v>442</v>
      </c>
      <c r="G54" s="8" t="str">
        <f t="shared" si="0"/>
        <v>PAGE MARCUS</v>
      </c>
    </row>
    <row r="55" spans="1:7" x14ac:dyDescent="0.25">
      <c r="A55" s="8">
        <v>42965.318043981482</v>
      </c>
      <c r="B55" s="20" t="s">
        <v>405</v>
      </c>
      <c r="C55" s="20" t="s">
        <v>722</v>
      </c>
      <c r="D55" s="138">
        <v>3290000</v>
      </c>
      <c r="E55" s="20" t="s">
        <v>484</v>
      </c>
      <c r="F55" s="20" t="s">
        <v>475</v>
      </c>
      <c r="G55" s="8" t="str">
        <f t="shared" si="0"/>
        <v>CASSIDY BRANDON</v>
      </c>
    </row>
    <row r="56" spans="1:7" x14ac:dyDescent="0.25">
      <c r="A56" s="8">
        <v>42965.320381944446</v>
      </c>
      <c r="B56" s="20" t="s">
        <v>356</v>
      </c>
      <c r="C56" s="20" t="s">
        <v>652</v>
      </c>
      <c r="D56" s="138">
        <v>1110000</v>
      </c>
      <c r="E56" s="20" t="s">
        <v>406</v>
      </c>
      <c r="F56" s="20" t="s">
        <v>407</v>
      </c>
      <c r="G56" s="8" t="str">
        <f t="shared" si="0"/>
        <v>STARKS ANGELINA</v>
      </c>
    </row>
    <row r="57" spans="1:7" x14ac:dyDescent="0.25">
      <c r="A57" s="8">
        <v>42965.321145833332</v>
      </c>
      <c r="B57" s="20" t="s">
        <v>447</v>
      </c>
      <c r="C57" s="20" t="s">
        <v>723</v>
      </c>
      <c r="D57" s="138">
        <v>1360000</v>
      </c>
      <c r="E57" s="20" t="s">
        <v>724</v>
      </c>
      <c r="F57" s="20" t="s">
        <v>725</v>
      </c>
      <c r="G57" s="8" t="str">
        <f t="shared" si="0"/>
        <v>SANTIZO D. EDY</v>
      </c>
    </row>
    <row r="58" spans="1:7" x14ac:dyDescent="0.25">
      <c r="A58" s="8">
        <v>42965.326655092591</v>
      </c>
      <c r="B58" s="20" t="s">
        <v>665</v>
      </c>
      <c r="C58" s="20" t="s">
        <v>726</v>
      </c>
      <c r="D58" s="138">
        <v>3280000</v>
      </c>
      <c r="E58" s="20" t="s">
        <v>493</v>
      </c>
      <c r="F58" s="20" t="s">
        <v>494</v>
      </c>
      <c r="G58" s="8" t="str">
        <f t="shared" si="0"/>
        <v>BIRKHOLZ NADINE</v>
      </c>
    </row>
    <row r="59" spans="1:7" x14ac:dyDescent="0.25">
      <c r="A59" s="8">
        <v>42965.329293981478</v>
      </c>
      <c r="B59" s="20" t="s">
        <v>576</v>
      </c>
      <c r="C59" s="20" t="s">
        <v>655</v>
      </c>
      <c r="D59" s="138">
        <v>3510000</v>
      </c>
      <c r="E59" s="20" t="s">
        <v>489</v>
      </c>
      <c r="F59" s="20" t="s">
        <v>490</v>
      </c>
      <c r="G59" s="8" t="str">
        <f t="shared" si="0"/>
        <v>BARRON PERLA</v>
      </c>
    </row>
    <row r="60" spans="1:7" x14ac:dyDescent="0.25">
      <c r="A60" s="8">
        <v>42965.336516203701</v>
      </c>
      <c r="B60" s="20" t="s">
        <v>376</v>
      </c>
      <c r="C60" s="20" t="s">
        <v>653</v>
      </c>
      <c r="D60" s="138">
        <v>2530000</v>
      </c>
      <c r="E60" s="20" t="s">
        <v>727</v>
      </c>
      <c r="F60" s="20" t="s">
        <v>728</v>
      </c>
      <c r="G60" s="8" t="str">
        <f t="shared" si="0"/>
        <v>LALONDE GREGORY</v>
      </c>
    </row>
    <row r="61" spans="1:7" x14ac:dyDescent="0.25">
      <c r="A61" s="8">
        <v>42965.337280092594</v>
      </c>
      <c r="B61" s="20" t="s">
        <v>466</v>
      </c>
      <c r="C61" s="20" t="s">
        <v>729</v>
      </c>
      <c r="D61" s="138">
        <v>3040000</v>
      </c>
      <c r="E61" s="20" t="s">
        <v>367</v>
      </c>
      <c r="F61" s="20" t="s">
        <v>368</v>
      </c>
      <c r="G61" s="8" t="str">
        <f t="shared" si="0"/>
        <v>WILLIAMS DONTE</v>
      </c>
    </row>
    <row r="62" spans="1:7" x14ac:dyDescent="0.25">
      <c r="A62" s="8">
        <v>42965.338726851849</v>
      </c>
      <c r="B62" s="20" t="s">
        <v>642</v>
      </c>
      <c r="C62" s="20" t="s">
        <v>730</v>
      </c>
      <c r="D62" s="138">
        <v>3260000</v>
      </c>
      <c r="E62" s="20" t="s">
        <v>441</v>
      </c>
      <c r="F62" s="20" t="s">
        <v>442</v>
      </c>
      <c r="G62" s="8" t="str">
        <f t="shared" si="0"/>
        <v>PAGE MARCUS</v>
      </c>
    </row>
    <row r="63" spans="1:7" x14ac:dyDescent="0.25">
      <c r="A63" s="8">
        <v>42965.340486111112</v>
      </c>
      <c r="B63" s="20" t="s">
        <v>404</v>
      </c>
      <c r="C63" s="20" t="s">
        <v>731</v>
      </c>
      <c r="D63" s="138">
        <v>890000</v>
      </c>
      <c r="E63" s="20" t="s">
        <v>491</v>
      </c>
      <c r="F63" s="20" t="s">
        <v>492</v>
      </c>
      <c r="G63" s="8" t="str">
        <f t="shared" si="0"/>
        <v>LOZA FIDEL</v>
      </c>
    </row>
    <row r="64" spans="1:7" x14ac:dyDescent="0.25">
      <c r="A64" s="26">
        <v>42965.342881944445</v>
      </c>
      <c r="B64" s="20" t="s">
        <v>522</v>
      </c>
      <c r="C64" s="20" t="s">
        <v>654</v>
      </c>
      <c r="D64" s="138">
        <v>3290000</v>
      </c>
      <c r="E64" s="20" t="s">
        <v>484</v>
      </c>
      <c r="F64" s="20" t="s">
        <v>475</v>
      </c>
      <c r="G64" s="8" t="str">
        <f t="shared" si="0"/>
        <v>CASSIDY BRANDON</v>
      </c>
    </row>
    <row r="65" spans="1:7" x14ac:dyDescent="0.25">
      <c r="A65" s="8">
        <v>42965.350081018521</v>
      </c>
      <c r="B65" s="20" t="s">
        <v>467</v>
      </c>
      <c r="C65" s="20" t="s">
        <v>656</v>
      </c>
      <c r="D65" s="138">
        <v>1360000</v>
      </c>
      <c r="E65" s="20" t="s">
        <v>724</v>
      </c>
      <c r="F65" s="20" t="s">
        <v>725</v>
      </c>
      <c r="G65" s="8" t="str">
        <f t="shared" si="0"/>
        <v>SANTIZO D. EDY</v>
      </c>
    </row>
    <row r="66" spans="1:7" x14ac:dyDescent="0.25">
      <c r="A66" s="8">
        <v>42965.352835648147</v>
      </c>
      <c r="B66" s="20" t="s">
        <v>359</v>
      </c>
      <c r="C66" s="20" t="s">
        <v>732</v>
      </c>
      <c r="D66" s="138">
        <v>1110000</v>
      </c>
      <c r="E66" s="20" t="s">
        <v>406</v>
      </c>
      <c r="F66" s="20" t="s">
        <v>407</v>
      </c>
      <c r="G66" s="8" t="str">
        <f t="shared" si="0"/>
        <v>STARKS ANGELINA</v>
      </c>
    </row>
    <row r="67" spans="1:7" x14ac:dyDescent="0.25">
      <c r="A67" s="8">
        <v>42965.35670138889</v>
      </c>
      <c r="B67" s="20" t="s">
        <v>646</v>
      </c>
      <c r="C67" s="20" t="s">
        <v>733</v>
      </c>
      <c r="D67" s="138">
        <v>3260000</v>
      </c>
      <c r="E67" s="20" t="s">
        <v>441</v>
      </c>
      <c r="F67" s="20" t="s">
        <v>442</v>
      </c>
      <c r="G67" s="8" t="str">
        <f t="shared" ref="G67:G130" si="1">E67&amp;" "&amp;F67</f>
        <v>PAGE MARCUS</v>
      </c>
    </row>
    <row r="68" spans="1:7" x14ac:dyDescent="0.25">
      <c r="A68" s="8">
        <v>42965.358159722222</v>
      </c>
      <c r="B68" s="20" t="s">
        <v>359</v>
      </c>
      <c r="C68" s="20" t="s">
        <v>732</v>
      </c>
      <c r="D68" s="138">
        <v>1110000</v>
      </c>
      <c r="E68" s="20" t="s">
        <v>406</v>
      </c>
      <c r="F68" s="20" t="s">
        <v>407</v>
      </c>
      <c r="G68" s="8" t="str">
        <f t="shared" si="1"/>
        <v>STARKS ANGELINA</v>
      </c>
    </row>
    <row r="69" spans="1:7" x14ac:dyDescent="0.25">
      <c r="A69" s="8">
        <v>42965.35833333333</v>
      </c>
      <c r="B69" s="20" t="s">
        <v>405</v>
      </c>
      <c r="C69" s="20" t="s">
        <v>734</v>
      </c>
      <c r="D69" s="138">
        <v>2530000</v>
      </c>
      <c r="E69" s="20" t="s">
        <v>727</v>
      </c>
      <c r="F69" s="20" t="s">
        <v>728</v>
      </c>
      <c r="G69" s="8" t="str">
        <f t="shared" si="1"/>
        <v>LALONDE GREGORY</v>
      </c>
    </row>
    <row r="70" spans="1:7" x14ac:dyDescent="0.25">
      <c r="A70" s="8">
        <v>42965.361493055556</v>
      </c>
      <c r="B70" s="20" t="s">
        <v>661</v>
      </c>
      <c r="C70" s="20" t="s">
        <v>735</v>
      </c>
      <c r="D70" s="138">
        <v>3280000</v>
      </c>
      <c r="E70" s="20" t="s">
        <v>493</v>
      </c>
      <c r="F70" s="20" t="s">
        <v>494</v>
      </c>
      <c r="G70" s="8" t="str">
        <f t="shared" si="1"/>
        <v>BIRKHOLZ NADINE</v>
      </c>
    </row>
    <row r="71" spans="1:7" x14ac:dyDescent="0.25">
      <c r="A71" s="8">
        <v>42965.361655092594</v>
      </c>
      <c r="B71" s="20" t="s">
        <v>575</v>
      </c>
      <c r="C71" s="20" t="s">
        <v>736</v>
      </c>
      <c r="D71" s="138">
        <v>3510000</v>
      </c>
      <c r="E71" s="20" t="s">
        <v>489</v>
      </c>
      <c r="F71" s="20" t="s">
        <v>490</v>
      </c>
      <c r="G71" s="8" t="str">
        <f t="shared" si="1"/>
        <v>BARRON PERLA</v>
      </c>
    </row>
    <row r="72" spans="1:7" x14ac:dyDescent="0.25">
      <c r="A72" s="8">
        <v>42965.372199074074</v>
      </c>
      <c r="B72" s="20" t="s">
        <v>462</v>
      </c>
      <c r="C72" s="20" t="s">
        <v>737</v>
      </c>
      <c r="D72" s="138">
        <v>3040000</v>
      </c>
      <c r="E72" s="20" t="s">
        <v>367</v>
      </c>
      <c r="F72" s="20" t="s">
        <v>368</v>
      </c>
      <c r="G72" s="8" t="str">
        <f t="shared" si="1"/>
        <v>WILLIAMS DONTE</v>
      </c>
    </row>
    <row r="73" spans="1:7" x14ac:dyDescent="0.25">
      <c r="A73" s="8">
        <v>42965.372627314813</v>
      </c>
      <c r="B73" s="20" t="s">
        <v>376</v>
      </c>
      <c r="C73" s="20" t="s">
        <v>657</v>
      </c>
      <c r="D73" s="138">
        <v>2530000</v>
      </c>
      <c r="E73" s="20" t="s">
        <v>727</v>
      </c>
      <c r="F73" s="20" t="s">
        <v>728</v>
      </c>
      <c r="G73" s="8" t="str">
        <f t="shared" si="1"/>
        <v>LALONDE GREGORY</v>
      </c>
    </row>
    <row r="74" spans="1:7" x14ac:dyDescent="0.25">
      <c r="A74" s="8">
        <v>42965.373668981483</v>
      </c>
      <c r="B74" s="20" t="s">
        <v>523</v>
      </c>
      <c r="C74" s="20" t="s">
        <v>738</v>
      </c>
      <c r="D74" s="138">
        <v>3290000</v>
      </c>
      <c r="E74" s="20" t="s">
        <v>484</v>
      </c>
      <c r="F74" s="20" t="s">
        <v>475</v>
      </c>
      <c r="G74" s="8" t="str">
        <f t="shared" si="1"/>
        <v>CASSIDY BRANDON</v>
      </c>
    </row>
    <row r="75" spans="1:7" x14ac:dyDescent="0.25">
      <c r="A75" s="8">
        <v>42965.382002314815</v>
      </c>
      <c r="B75" s="20" t="s">
        <v>356</v>
      </c>
      <c r="C75" s="20" t="s">
        <v>739</v>
      </c>
      <c r="D75" s="138">
        <v>1110000</v>
      </c>
      <c r="E75" s="20" t="s">
        <v>406</v>
      </c>
      <c r="F75" s="20" t="s">
        <v>407</v>
      </c>
      <c r="G75" s="8" t="str">
        <f t="shared" si="1"/>
        <v>STARKS ANGELINA</v>
      </c>
    </row>
    <row r="76" spans="1:7" x14ac:dyDescent="0.25">
      <c r="A76" s="8">
        <v>42965.383310185185</v>
      </c>
      <c r="B76" s="20" t="s">
        <v>402</v>
      </c>
      <c r="C76" s="20" t="s">
        <v>740</v>
      </c>
      <c r="D76" s="138">
        <v>890000</v>
      </c>
      <c r="E76" s="20" t="s">
        <v>491</v>
      </c>
      <c r="F76" s="20" t="s">
        <v>492</v>
      </c>
      <c r="G76" s="8" t="str">
        <f t="shared" si="1"/>
        <v>LOZA FIDEL</v>
      </c>
    </row>
    <row r="77" spans="1:7" x14ac:dyDescent="0.25">
      <c r="A77" s="8">
        <v>42965.391168981485</v>
      </c>
      <c r="B77" s="20" t="s">
        <v>447</v>
      </c>
      <c r="C77" s="20" t="s">
        <v>741</v>
      </c>
      <c r="D77" s="138">
        <v>3500000</v>
      </c>
      <c r="E77" s="20" t="s">
        <v>485</v>
      </c>
      <c r="F77" s="20" t="s">
        <v>486</v>
      </c>
      <c r="G77" s="8" t="str">
        <f t="shared" si="1"/>
        <v>GUNTHIER ERIC</v>
      </c>
    </row>
    <row r="78" spans="1:7" x14ac:dyDescent="0.25">
      <c r="A78" s="8">
        <v>42965.400717592594</v>
      </c>
      <c r="B78" s="20" t="s">
        <v>405</v>
      </c>
      <c r="C78" s="20" t="s">
        <v>742</v>
      </c>
      <c r="D78" s="138">
        <v>2530000</v>
      </c>
      <c r="E78" s="20" t="s">
        <v>727</v>
      </c>
      <c r="F78" s="20" t="s">
        <v>728</v>
      </c>
      <c r="G78" s="8" t="str">
        <f t="shared" si="1"/>
        <v>LALONDE GREGORY</v>
      </c>
    </row>
    <row r="79" spans="1:7" x14ac:dyDescent="0.25">
      <c r="A79" s="8">
        <v>42965.401180555556</v>
      </c>
      <c r="B79" s="20" t="s">
        <v>665</v>
      </c>
      <c r="C79" s="20" t="s">
        <v>743</v>
      </c>
      <c r="D79" s="138">
        <v>3280000</v>
      </c>
      <c r="E79" s="20" t="s">
        <v>493</v>
      </c>
      <c r="F79" s="20" t="s">
        <v>494</v>
      </c>
      <c r="G79" s="8" t="str">
        <f t="shared" si="1"/>
        <v>BIRKHOLZ NADINE</v>
      </c>
    </row>
    <row r="80" spans="1:7" x14ac:dyDescent="0.25">
      <c r="A80" s="8">
        <v>42965.402951388889</v>
      </c>
      <c r="B80" s="20" t="s">
        <v>576</v>
      </c>
      <c r="C80" s="20" t="s">
        <v>744</v>
      </c>
      <c r="D80" s="138">
        <v>3510000</v>
      </c>
      <c r="E80" s="20" t="s">
        <v>489</v>
      </c>
      <c r="F80" s="20" t="s">
        <v>490</v>
      </c>
      <c r="G80" s="8" t="str">
        <f t="shared" si="1"/>
        <v>BARRON PERLA</v>
      </c>
    </row>
    <row r="81" spans="1:7" x14ac:dyDescent="0.25">
      <c r="A81" s="8">
        <v>42965.413090277776</v>
      </c>
      <c r="B81" s="20" t="s">
        <v>466</v>
      </c>
      <c r="C81" s="20" t="s">
        <v>745</v>
      </c>
      <c r="D81" s="138">
        <v>3040000</v>
      </c>
      <c r="E81" s="20" t="s">
        <v>367</v>
      </c>
      <c r="F81" s="20" t="s">
        <v>368</v>
      </c>
      <c r="G81" s="8" t="str">
        <f t="shared" si="1"/>
        <v>WILLIAMS DONTE</v>
      </c>
    </row>
    <row r="82" spans="1:7" x14ac:dyDescent="0.25">
      <c r="A82" s="8">
        <v>42965.414050925923</v>
      </c>
      <c r="B82" s="20" t="s">
        <v>376</v>
      </c>
      <c r="C82" s="20" t="s">
        <v>746</v>
      </c>
      <c r="D82" s="138">
        <v>2530000</v>
      </c>
      <c r="E82" s="20" t="s">
        <v>727</v>
      </c>
      <c r="F82" s="20" t="s">
        <v>728</v>
      </c>
      <c r="G82" s="8" t="str">
        <f t="shared" si="1"/>
        <v>LALONDE GREGORY</v>
      </c>
    </row>
    <row r="83" spans="1:7" x14ac:dyDescent="0.25">
      <c r="A83" s="8">
        <v>42965.414236111108</v>
      </c>
      <c r="B83" s="20" t="s">
        <v>404</v>
      </c>
      <c r="C83" s="20" t="s">
        <v>747</v>
      </c>
      <c r="D83" s="138">
        <v>890000</v>
      </c>
      <c r="E83" s="20" t="s">
        <v>491</v>
      </c>
      <c r="F83" s="20" t="s">
        <v>492</v>
      </c>
      <c r="G83" s="8" t="str">
        <f t="shared" si="1"/>
        <v>LOZA FIDEL</v>
      </c>
    </row>
    <row r="84" spans="1:7" x14ac:dyDescent="0.25">
      <c r="A84" s="8">
        <v>42965.415208333332</v>
      </c>
      <c r="B84" s="20" t="s">
        <v>522</v>
      </c>
      <c r="C84" s="20" t="s">
        <v>748</v>
      </c>
      <c r="D84" s="138">
        <v>1990000</v>
      </c>
      <c r="E84" s="20" t="s">
        <v>377</v>
      </c>
      <c r="F84" s="20" t="s">
        <v>526</v>
      </c>
      <c r="G84" s="8" t="str">
        <f t="shared" si="1"/>
        <v>DAVIS WENDY</v>
      </c>
    </row>
    <row r="85" spans="1:7" x14ac:dyDescent="0.25">
      <c r="A85" s="8">
        <v>42965.423310185186</v>
      </c>
      <c r="B85" s="20" t="s">
        <v>359</v>
      </c>
      <c r="C85" s="20" t="s">
        <v>749</v>
      </c>
      <c r="D85" s="138">
        <v>3260000</v>
      </c>
      <c r="E85" s="20" t="s">
        <v>441</v>
      </c>
      <c r="F85" s="20" t="s">
        <v>442</v>
      </c>
      <c r="G85" s="8" t="str">
        <f t="shared" si="1"/>
        <v>PAGE MARCUS</v>
      </c>
    </row>
    <row r="86" spans="1:7" x14ac:dyDescent="0.25">
      <c r="A86" s="8">
        <v>42965.42664351852</v>
      </c>
      <c r="B86" s="20" t="s">
        <v>467</v>
      </c>
      <c r="C86" s="20" t="s">
        <v>750</v>
      </c>
      <c r="D86" s="138">
        <v>1360000</v>
      </c>
      <c r="E86" s="20" t="s">
        <v>724</v>
      </c>
      <c r="F86" s="20" t="s">
        <v>725</v>
      </c>
      <c r="G86" s="8" t="str">
        <f t="shared" si="1"/>
        <v>SANTIZO D. EDY</v>
      </c>
    </row>
    <row r="87" spans="1:7" x14ac:dyDescent="0.25">
      <c r="A87" s="8">
        <v>42965.433761574073</v>
      </c>
      <c r="B87" s="20" t="s">
        <v>661</v>
      </c>
      <c r="C87" s="20" t="s">
        <v>751</v>
      </c>
      <c r="D87" s="138">
        <v>3280000</v>
      </c>
      <c r="E87" s="20" t="s">
        <v>493</v>
      </c>
      <c r="F87" s="20" t="s">
        <v>494</v>
      </c>
      <c r="G87" s="8" t="str">
        <f t="shared" si="1"/>
        <v>BIRKHOLZ NADINE</v>
      </c>
    </row>
    <row r="88" spans="1:7" x14ac:dyDescent="0.25">
      <c r="A88" s="8">
        <v>42965.434166666666</v>
      </c>
      <c r="B88" s="20" t="s">
        <v>575</v>
      </c>
      <c r="C88" s="20" t="s">
        <v>752</v>
      </c>
      <c r="D88" s="138">
        <v>3510000</v>
      </c>
      <c r="E88" s="20" t="s">
        <v>489</v>
      </c>
      <c r="F88" s="20" t="s">
        <v>490</v>
      </c>
      <c r="G88" s="8" t="str">
        <f t="shared" si="1"/>
        <v>BARRON PERLA</v>
      </c>
    </row>
    <row r="89" spans="1:7" x14ac:dyDescent="0.25">
      <c r="A89" s="8">
        <v>42965.441261574073</v>
      </c>
      <c r="B89" s="20" t="s">
        <v>405</v>
      </c>
      <c r="C89" s="20" t="s">
        <v>753</v>
      </c>
      <c r="D89" s="138">
        <v>2530000</v>
      </c>
      <c r="E89" s="20" t="s">
        <v>727</v>
      </c>
      <c r="F89" s="20" t="s">
        <v>728</v>
      </c>
      <c r="G89" s="8" t="str">
        <f t="shared" si="1"/>
        <v>LALONDE GREGORY</v>
      </c>
    </row>
    <row r="90" spans="1:7" x14ac:dyDescent="0.25">
      <c r="A90" s="8">
        <v>42965.442777777775</v>
      </c>
      <c r="B90" s="20" t="s">
        <v>410</v>
      </c>
      <c r="C90" s="20" t="s">
        <v>754</v>
      </c>
      <c r="D90" s="138">
        <v>1780000</v>
      </c>
      <c r="E90" s="20" t="s">
        <v>528</v>
      </c>
      <c r="F90" s="20" t="s">
        <v>529</v>
      </c>
      <c r="G90" s="8" t="str">
        <f t="shared" si="1"/>
        <v>DE LA ROSA ALEX</v>
      </c>
    </row>
    <row r="91" spans="1:7" x14ac:dyDescent="0.25">
      <c r="A91" s="8">
        <v>42965.44358796296</v>
      </c>
      <c r="B91" s="20" t="s">
        <v>410</v>
      </c>
      <c r="C91" s="20" t="s">
        <v>754</v>
      </c>
      <c r="D91" s="138">
        <v>1780000</v>
      </c>
      <c r="E91" s="20" t="s">
        <v>528</v>
      </c>
      <c r="F91" s="20" t="s">
        <v>529</v>
      </c>
      <c r="G91" s="8" t="str">
        <f t="shared" si="1"/>
        <v>DE LA ROSA ALEX</v>
      </c>
    </row>
    <row r="92" spans="1:7" x14ac:dyDescent="0.25">
      <c r="A92" s="8">
        <v>42965.444155092591</v>
      </c>
      <c r="B92" s="20" t="s">
        <v>462</v>
      </c>
      <c r="C92" s="20" t="s">
        <v>658</v>
      </c>
      <c r="D92" s="138">
        <v>3010000</v>
      </c>
      <c r="E92" s="20" t="s">
        <v>755</v>
      </c>
      <c r="F92" s="20" t="s">
        <v>475</v>
      </c>
      <c r="G92" s="8" t="str">
        <f t="shared" si="1"/>
        <v>SULLIVAN BRANDON</v>
      </c>
    </row>
    <row r="93" spans="1:7" x14ac:dyDescent="0.25">
      <c r="A93" s="8">
        <v>42965.454571759263</v>
      </c>
      <c r="B93" s="20" t="s">
        <v>356</v>
      </c>
      <c r="C93" s="20" t="s">
        <v>756</v>
      </c>
      <c r="D93" s="138">
        <v>3260000</v>
      </c>
      <c r="E93" s="20" t="s">
        <v>441</v>
      </c>
      <c r="F93" s="20" t="s">
        <v>442</v>
      </c>
      <c r="G93" s="8" t="str">
        <f t="shared" si="1"/>
        <v>PAGE MARCUS</v>
      </c>
    </row>
    <row r="94" spans="1:7" x14ac:dyDescent="0.25">
      <c r="A94" s="8">
        <v>42965.454814814817</v>
      </c>
      <c r="B94" s="20" t="s">
        <v>523</v>
      </c>
      <c r="C94" s="20" t="s">
        <v>757</v>
      </c>
      <c r="D94" s="138">
        <v>1990000</v>
      </c>
      <c r="E94" s="20" t="s">
        <v>377</v>
      </c>
      <c r="F94" s="20" t="s">
        <v>526</v>
      </c>
      <c r="G94" s="8" t="str">
        <f t="shared" si="1"/>
        <v>DAVIS WENDY</v>
      </c>
    </row>
    <row r="95" spans="1:7" x14ac:dyDescent="0.25">
      <c r="A95" s="8">
        <v>42965.457337962966</v>
      </c>
      <c r="B95" s="20" t="s">
        <v>402</v>
      </c>
      <c r="C95" s="20" t="s">
        <v>758</v>
      </c>
      <c r="D95" s="138">
        <v>890000</v>
      </c>
      <c r="E95" s="20" t="s">
        <v>491</v>
      </c>
      <c r="F95" s="20" t="s">
        <v>492</v>
      </c>
      <c r="G95" s="8" t="str">
        <f t="shared" si="1"/>
        <v>LOZA FIDEL</v>
      </c>
    </row>
    <row r="96" spans="1:7" x14ac:dyDescent="0.25">
      <c r="A96" s="8">
        <v>42965.46601851852</v>
      </c>
      <c r="B96" s="20" t="s">
        <v>665</v>
      </c>
      <c r="C96" s="20" t="s">
        <v>759</v>
      </c>
      <c r="D96" s="138">
        <v>3280000</v>
      </c>
      <c r="E96" s="20" t="s">
        <v>493</v>
      </c>
      <c r="F96" s="20" t="s">
        <v>494</v>
      </c>
      <c r="G96" s="8" t="str">
        <f t="shared" si="1"/>
        <v>BIRKHOLZ NADINE</v>
      </c>
    </row>
    <row r="97" spans="1:7" x14ac:dyDescent="0.25">
      <c r="A97" s="8">
        <v>42965.46738425926</v>
      </c>
      <c r="B97" s="20" t="s">
        <v>447</v>
      </c>
      <c r="C97" s="20" t="s">
        <v>760</v>
      </c>
      <c r="D97" s="138">
        <v>3120000</v>
      </c>
      <c r="E97" s="20" t="s">
        <v>761</v>
      </c>
      <c r="F97" s="20" t="s">
        <v>762</v>
      </c>
      <c r="G97" s="8" t="str">
        <f t="shared" si="1"/>
        <v>THOMPSON LESTER</v>
      </c>
    </row>
    <row r="98" spans="1:7" x14ac:dyDescent="0.25">
      <c r="A98" s="8">
        <v>42965.468263888892</v>
      </c>
      <c r="B98" s="20" t="s">
        <v>376</v>
      </c>
      <c r="C98" s="20" t="s">
        <v>763</v>
      </c>
      <c r="D98" s="138">
        <v>3290000</v>
      </c>
      <c r="E98" s="20" t="s">
        <v>484</v>
      </c>
      <c r="F98" s="20" t="s">
        <v>475</v>
      </c>
      <c r="G98" s="8" t="str">
        <f t="shared" si="1"/>
        <v>CASSIDY BRANDON</v>
      </c>
    </row>
    <row r="99" spans="1:7" x14ac:dyDescent="0.25">
      <c r="A99" s="8">
        <v>42965.471562500003</v>
      </c>
      <c r="B99" s="20" t="s">
        <v>402</v>
      </c>
      <c r="C99" s="20" t="s">
        <v>758</v>
      </c>
      <c r="D99" s="138">
        <v>890000</v>
      </c>
      <c r="E99" s="20" t="s">
        <v>491</v>
      </c>
      <c r="F99" s="20" t="s">
        <v>492</v>
      </c>
      <c r="G99" s="8" t="str">
        <f t="shared" si="1"/>
        <v>LOZA FIDEL</v>
      </c>
    </row>
    <row r="100" spans="1:7" x14ac:dyDescent="0.25">
      <c r="A100" s="8">
        <v>42965.475914351853</v>
      </c>
      <c r="B100" s="20" t="s">
        <v>576</v>
      </c>
      <c r="C100" s="20" t="s">
        <v>659</v>
      </c>
      <c r="D100" s="138">
        <v>880000</v>
      </c>
      <c r="E100" s="20" t="s">
        <v>579</v>
      </c>
      <c r="F100" s="20" t="s">
        <v>192</v>
      </c>
      <c r="G100" s="8" t="str">
        <f t="shared" si="1"/>
        <v>STEWART MICHAEL</v>
      </c>
    </row>
    <row r="101" spans="1:7" x14ac:dyDescent="0.25">
      <c r="A101" s="8">
        <v>42965.481354166666</v>
      </c>
      <c r="B101" s="20" t="s">
        <v>466</v>
      </c>
      <c r="C101" s="20" t="s">
        <v>764</v>
      </c>
      <c r="D101" s="138">
        <v>3010000</v>
      </c>
      <c r="E101" s="20" t="s">
        <v>755</v>
      </c>
      <c r="F101" s="20" t="s">
        <v>475</v>
      </c>
      <c r="G101" s="8" t="str">
        <f t="shared" si="1"/>
        <v>SULLIVAN BRANDON</v>
      </c>
    </row>
    <row r="102" spans="1:7" x14ac:dyDescent="0.25">
      <c r="A102" s="8">
        <v>42965.48228009259</v>
      </c>
      <c r="B102" s="20" t="s">
        <v>409</v>
      </c>
      <c r="C102" s="20" t="s">
        <v>765</v>
      </c>
      <c r="D102" s="138">
        <v>3500000</v>
      </c>
      <c r="E102" s="20" t="s">
        <v>485</v>
      </c>
      <c r="F102" s="20" t="s">
        <v>486</v>
      </c>
      <c r="G102" s="8" t="str">
        <f t="shared" si="1"/>
        <v>GUNTHIER ERIC</v>
      </c>
    </row>
    <row r="103" spans="1:7" x14ac:dyDescent="0.25">
      <c r="A103" s="8">
        <v>42965.485127314816</v>
      </c>
      <c r="B103" s="20" t="s">
        <v>405</v>
      </c>
      <c r="C103" s="20" t="s">
        <v>660</v>
      </c>
      <c r="D103" s="138">
        <v>3290000</v>
      </c>
      <c r="E103" s="20" t="s">
        <v>484</v>
      </c>
      <c r="F103" s="20" t="s">
        <v>475</v>
      </c>
      <c r="G103" s="8" t="str">
        <f t="shared" si="1"/>
        <v>CASSIDY BRANDON</v>
      </c>
    </row>
    <row r="104" spans="1:7" x14ac:dyDescent="0.25">
      <c r="A104" s="8">
        <v>42965.48715277778</v>
      </c>
      <c r="B104" s="20" t="s">
        <v>522</v>
      </c>
      <c r="C104" s="20" t="s">
        <v>766</v>
      </c>
      <c r="D104" s="138">
        <v>3490000</v>
      </c>
      <c r="E104" s="20" t="s">
        <v>495</v>
      </c>
      <c r="F104" s="20" t="s">
        <v>496</v>
      </c>
      <c r="G104" s="8" t="str">
        <f t="shared" si="1"/>
        <v>WEST BRYAN</v>
      </c>
    </row>
    <row r="105" spans="1:7" x14ac:dyDescent="0.25">
      <c r="A105" s="8">
        <v>42965.496307870373</v>
      </c>
      <c r="B105" s="20" t="s">
        <v>404</v>
      </c>
      <c r="C105" s="20" t="s">
        <v>767</v>
      </c>
      <c r="D105" s="138">
        <v>890000</v>
      </c>
      <c r="E105" s="20" t="s">
        <v>491</v>
      </c>
      <c r="F105" s="20" t="s">
        <v>492</v>
      </c>
      <c r="G105" s="8" t="str">
        <f t="shared" si="1"/>
        <v>LOZA FIDEL</v>
      </c>
    </row>
    <row r="106" spans="1:7" x14ac:dyDescent="0.25">
      <c r="A106" s="8">
        <v>42965.499062499999</v>
      </c>
      <c r="B106" s="20" t="s">
        <v>376</v>
      </c>
      <c r="C106" s="20" t="s">
        <v>663</v>
      </c>
      <c r="D106" s="138">
        <v>2530000</v>
      </c>
      <c r="E106" s="20" t="s">
        <v>727</v>
      </c>
      <c r="F106" s="20" t="s">
        <v>728</v>
      </c>
      <c r="G106" s="8" t="str">
        <f t="shared" si="1"/>
        <v>LALONDE GREGORY</v>
      </c>
    </row>
    <row r="107" spans="1:7" x14ac:dyDescent="0.25">
      <c r="A107" s="8">
        <v>42965.499131944445</v>
      </c>
      <c r="B107" s="20" t="s">
        <v>359</v>
      </c>
      <c r="C107" s="20" t="s">
        <v>768</v>
      </c>
      <c r="D107" s="138">
        <v>3300000</v>
      </c>
      <c r="E107" s="20" t="s">
        <v>449</v>
      </c>
      <c r="F107" s="20" t="s">
        <v>450</v>
      </c>
      <c r="G107" s="8" t="str">
        <f t="shared" si="1"/>
        <v>LANGERAK WILLIAM</v>
      </c>
    </row>
    <row r="108" spans="1:7" x14ac:dyDescent="0.25">
      <c r="A108" s="8">
        <v>42965.503391203703</v>
      </c>
      <c r="B108" s="20" t="s">
        <v>410</v>
      </c>
      <c r="C108" s="20" t="s">
        <v>769</v>
      </c>
      <c r="D108" s="138">
        <v>3320000</v>
      </c>
      <c r="E108" s="20" t="s">
        <v>497</v>
      </c>
      <c r="F108" s="20" t="s">
        <v>498</v>
      </c>
      <c r="G108" s="8" t="str">
        <f t="shared" si="1"/>
        <v>NICHOLSON WESLEY</v>
      </c>
    </row>
    <row r="109" spans="1:7" x14ac:dyDescent="0.25">
      <c r="A109" s="8">
        <v>42965.503946759258</v>
      </c>
      <c r="B109" s="20" t="s">
        <v>410</v>
      </c>
      <c r="C109" s="20" t="s">
        <v>769</v>
      </c>
      <c r="D109" s="138">
        <v>3320000</v>
      </c>
      <c r="E109" s="20" t="s">
        <v>497</v>
      </c>
      <c r="F109" s="20" t="s">
        <v>498</v>
      </c>
      <c r="G109" s="8" t="str">
        <f t="shared" si="1"/>
        <v>NICHOLSON WESLEY</v>
      </c>
    </row>
    <row r="110" spans="1:7" x14ac:dyDescent="0.25">
      <c r="A110" s="8">
        <v>42965.507916666669</v>
      </c>
      <c r="B110" s="20" t="s">
        <v>467</v>
      </c>
      <c r="C110" s="20" t="s">
        <v>770</v>
      </c>
      <c r="D110" s="138">
        <v>3120000</v>
      </c>
      <c r="E110" s="20" t="s">
        <v>761</v>
      </c>
      <c r="F110" s="20" t="s">
        <v>762</v>
      </c>
      <c r="G110" s="8" t="str">
        <f t="shared" si="1"/>
        <v>THOMPSON LESTER</v>
      </c>
    </row>
    <row r="111" spans="1:7" x14ac:dyDescent="0.25">
      <c r="A111" s="8">
        <v>42965.508923611109</v>
      </c>
      <c r="B111" s="20" t="s">
        <v>661</v>
      </c>
      <c r="C111" s="20" t="s">
        <v>662</v>
      </c>
      <c r="D111" s="138">
        <v>1300000</v>
      </c>
      <c r="E111" s="20" t="s">
        <v>513</v>
      </c>
      <c r="F111" s="20" t="s">
        <v>514</v>
      </c>
      <c r="G111" s="8" t="str">
        <f t="shared" si="1"/>
        <v>LEVIN SCOTT</v>
      </c>
    </row>
    <row r="112" spans="1:7" x14ac:dyDescent="0.25">
      <c r="A112" s="8">
        <v>42965.511423611111</v>
      </c>
      <c r="B112" s="20" t="s">
        <v>376</v>
      </c>
      <c r="C112" s="20" t="s">
        <v>663</v>
      </c>
      <c r="D112" s="138">
        <v>3280000</v>
      </c>
      <c r="E112" s="20" t="s">
        <v>493</v>
      </c>
      <c r="F112" s="20" t="s">
        <v>494</v>
      </c>
      <c r="G112" s="8" t="str">
        <f t="shared" si="1"/>
        <v>BIRKHOLZ NADINE</v>
      </c>
    </row>
    <row r="113" spans="1:7" x14ac:dyDescent="0.25">
      <c r="A113" s="8">
        <v>42965.5155787037</v>
      </c>
      <c r="B113" s="20" t="s">
        <v>575</v>
      </c>
      <c r="C113" s="20" t="s">
        <v>771</v>
      </c>
      <c r="D113" s="138">
        <v>880000</v>
      </c>
      <c r="E113" s="20" t="s">
        <v>579</v>
      </c>
      <c r="F113" s="20" t="s">
        <v>192</v>
      </c>
      <c r="G113" s="8" t="str">
        <f t="shared" si="1"/>
        <v>STEWART MICHAEL</v>
      </c>
    </row>
    <row r="114" spans="1:7" x14ac:dyDescent="0.25">
      <c r="A114" s="8">
        <v>42965.517442129632</v>
      </c>
      <c r="B114" s="20" t="s">
        <v>462</v>
      </c>
      <c r="C114" s="20" t="s">
        <v>772</v>
      </c>
      <c r="D114" s="138">
        <v>3010000</v>
      </c>
      <c r="E114" s="20" t="s">
        <v>755</v>
      </c>
      <c r="F114" s="20" t="s">
        <v>475</v>
      </c>
      <c r="G114" s="8" t="str">
        <f t="shared" si="1"/>
        <v>SULLIVAN BRANDON</v>
      </c>
    </row>
    <row r="115" spans="1:7" x14ac:dyDescent="0.25">
      <c r="A115" s="8">
        <v>42965.525081018517</v>
      </c>
      <c r="B115" s="20" t="s">
        <v>523</v>
      </c>
      <c r="C115" s="20" t="s">
        <v>773</v>
      </c>
      <c r="D115" s="138">
        <v>3490000</v>
      </c>
      <c r="E115" s="20" t="s">
        <v>495</v>
      </c>
      <c r="F115" s="20" t="s">
        <v>496</v>
      </c>
      <c r="G115" s="8" t="str">
        <f t="shared" si="1"/>
        <v>WEST BRYAN</v>
      </c>
    </row>
    <row r="116" spans="1:7" x14ac:dyDescent="0.25">
      <c r="A116" s="8">
        <v>42965.527222222219</v>
      </c>
      <c r="B116" s="20" t="s">
        <v>405</v>
      </c>
      <c r="C116" s="20" t="s">
        <v>774</v>
      </c>
      <c r="D116" s="138">
        <v>3280000</v>
      </c>
      <c r="E116" s="20" t="s">
        <v>493</v>
      </c>
      <c r="F116" s="20" t="s">
        <v>494</v>
      </c>
      <c r="G116" s="8" t="str">
        <f t="shared" si="1"/>
        <v>BIRKHOLZ NADINE</v>
      </c>
    </row>
    <row r="117" spans="1:7" x14ac:dyDescent="0.25">
      <c r="A117" s="8">
        <v>42965.527997685182</v>
      </c>
      <c r="B117" s="20" t="s">
        <v>356</v>
      </c>
      <c r="C117" s="20" t="s">
        <v>667</v>
      </c>
      <c r="D117" s="138">
        <v>3300000</v>
      </c>
      <c r="E117" s="20" t="s">
        <v>449</v>
      </c>
      <c r="F117" s="20" t="s">
        <v>450</v>
      </c>
      <c r="G117" s="8" t="str">
        <f t="shared" si="1"/>
        <v>LANGERAK WILLIAM</v>
      </c>
    </row>
    <row r="118" spans="1:7" x14ac:dyDescent="0.25">
      <c r="A118" s="8">
        <v>42965.528981481482</v>
      </c>
      <c r="B118" s="20" t="s">
        <v>402</v>
      </c>
      <c r="C118" s="20" t="s">
        <v>664</v>
      </c>
      <c r="D118" s="138">
        <v>3320000</v>
      </c>
      <c r="E118" s="20" t="s">
        <v>497</v>
      </c>
      <c r="F118" s="20" t="s">
        <v>498</v>
      </c>
      <c r="G118" s="8" t="str">
        <f t="shared" si="1"/>
        <v>NICHOLSON WESLEY</v>
      </c>
    </row>
    <row r="119" spans="1:7" x14ac:dyDescent="0.25">
      <c r="A119" s="8">
        <v>42965.531840277778</v>
      </c>
      <c r="B119" s="20" t="s">
        <v>409</v>
      </c>
      <c r="C119" s="20" t="s">
        <v>775</v>
      </c>
      <c r="D119" s="138">
        <v>890000</v>
      </c>
      <c r="E119" s="20" t="s">
        <v>491</v>
      </c>
      <c r="F119" s="20" t="s">
        <v>492</v>
      </c>
      <c r="G119" s="8" t="str">
        <f t="shared" si="1"/>
        <v>LOZA FIDEL</v>
      </c>
    </row>
    <row r="120" spans="1:7" x14ac:dyDescent="0.25">
      <c r="A120" s="8">
        <v>42965.539664351854</v>
      </c>
      <c r="B120" s="20" t="s">
        <v>447</v>
      </c>
      <c r="C120" s="20" t="s">
        <v>776</v>
      </c>
      <c r="D120" s="138">
        <v>3120000</v>
      </c>
      <c r="E120" s="20" t="s">
        <v>761</v>
      </c>
      <c r="F120" s="20" t="s">
        <v>762</v>
      </c>
      <c r="G120" s="8" t="str">
        <f t="shared" si="1"/>
        <v>THOMPSON LESTER</v>
      </c>
    </row>
    <row r="121" spans="1:7" x14ac:dyDescent="0.25">
      <c r="A121" s="8">
        <v>42965.54488425926</v>
      </c>
      <c r="B121" s="20" t="s">
        <v>376</v>
      </c>
      <c r="C121" s="20" t="s">
        <v>777</v>
      </c>
      <c r="D121" s="138">
        <v>2370000</v>
      </c>
      <c r="E121" s="20" t="s">
        <v>530</v>
      </c>
      <c r="F121" s="20" t="s">
        <v>531</v>
      </c>
      <c r="G121" s="8" t="str">
        <f t="shared" si="1"/>
        <v>DELGADO DIANAH</v>
      </c>
    </row>
    <row r="122" spans="1:7" x14ac:dyDescent="0.25">
      <c r="A122" s="8">
        <v>42965.548391203702</v>
      </c>
      <c r="B122" s="25" t="s">
        <v>665</v>
      </c>
      <c r="C122" s="20" t="s">
        <v>666</v>
      </c>
      <c r="D122" s="138">
        <v>1300000</v>
      </c>
      <c r="E122" s="20" t="s">
        <v>513</v>
      </c>
      <c r="F122" s="20" t="s">
        <v>514</v>
      </c>
      <c r="G122" s="8" t="str">
        <f t="shared" si="1"/>
        <v>LEVIN SCOTT</v>
      </c>
    </row>
    <row r="123" spans="1:7" x14ac:dyDescent="0.25">
      <c r="A123" s="8">
        <v>42965.548946759256</v>
      </c>
      <c r="B123" s="20" t="s">
        <v>576</v>
      </c>
      <c r="C123" s="20" t="s">
        <v>778</v>
      </c>
      <c r="D123" s="138">
        <v>880000</v>
      </c>
      <c r="E123" s="20" t="s">
        <v>579</v>
      </c>
      <c r="F123" s="20" t="s">
        <v>192</v>
      </c>
      <c r="G123" s="8" t="str">
        <f t="shared" si="1"/>
        <v>STEWART MICHAEL</v>
      </c>
    </row>
    <row r="124" spans="1:7" x14ac:dyDescent="0.25">
      <c r="A124" s="8">
        <v>42965.554606481484</v>
      </c>
      <c r="B124" s="20" t="s">
        <v>466</v>
      </c>
      <c r="C124" s="20" t="s">
        <v>668</v>
      </c>
      <c r="D124" s="138">
        <v>3010000</v>
      </c>
      <c r="E124" s="20" t="s">
        <v>755</v>
      </c>
      <c r="F124" s="20" t="s">
        <v>475</v>
      </c>
      <c r="G124" s="8" t="str">
        <f t="shared" si="1"/>
        <v>SULLIVAN BRANDON</v>
      </c>
    </row>
    <row r="125" spans="1:7" x14ac:dyDescent="0.25">
      <c r="A125" s="8">
        <v>42965.559965277775</v>
      </c>
      <c r="B125" s="20" t="s">
        <v>522</v>
      </c>
      <c r="C125" s="20" t="s">
        <v>779</v>
      </c>
      <c r="D125" s="138">
        <v>3490000</v>
      </c>
      <c r="E125" s="20" t="s">
        <v>495</v>
      </c>
      <c r="F125" s="20" t="s">
        <v>496</v>
      </c>
      <c r="G125" s="8" t="str">
        <f t="shared" si="1"/>
        <v>WEST BRYAN</v>
      </c>
    </row>
    <row r="126" spans="1:7" x14ac:dyDescent="0.25">
      <c r="A126" s="8">
        <v>42965.560497685183</v>
      </c>
      <c r="B126" s="20" t="s">
        <v>404</v>
      </c>
      <c r="C126" s="20" t="s">
        <v>780</v>
      </c>
      <c r="D126" s="138">
        <v>3320000</v>
      </c>
      <c r="E126" s="20" t="s">
        <v>497</v>
      </c>
      <c r="F126" s="20" t="s">
        <v>498</v>
      </c>
      <c r="G126" s="8" t="str">
        <f t="shared" si="1"/>
        <v>NICHOLSON WESLEY</v>
      </c>
    </row>
    <row r="127" spans="1:7" x14ac:dyDescent="0.25">
      <c r="A127" s="8">
        <v>42965.567025462966</v>
      </c>
      <c r="B127" s="20" t="s">
        <v>405</v>
      </c>
      <c r="C127" s="20" t="s">
        <v>781</v>
      </c>
      <c r="D127" s="138">
        <v>2370000</v>
      </c>
      <c r="E127" s="20" t="s">
        <v>530</v>
      </c>
      <c r="F127" s="20" t="s">
        <v>531</v>
      </c>
      <c r="G127" s="8" t="str">
        <f t="shared" si="1"/>
        <v>DELGADO DIANAH</v>
      </c>
    </row>
    <row r="128" spans="1:7" x14ac:dyDescent="0.25">
      <c r="A128" s="8">
        <v>42965.569479166668</v>
      </c>
      <c r="B128" s="20" t="s">
        <v>359</v>
      </c>
      <c r="C128" s="20" t="s">
        <v>782</v>
      </c>
      <c r="D128" s="138">
        <v>3300000</v>
      </c>
      <c r="E128" s="20" t="s">
        <v>449</v>
      </c>
      <c r="F128" s="20" t="s">
        <v>450</v>
      </c>
      <c r="G128" s="8" t="str">
        <f t="shared" si="1"/>
        <v>LANGERAK WILLIAM</v>
      </c>
    </row>
    <row r="129" spans="1:7" x14ac:dyDescent="0.25">
      <c r="A129" s="8">
        <v>42965.579722222225</v>
      </c>
      <c r="B129" s="20" t="s">
        <v>467</v>
      </c>
      <c r="C129" s="20" t="s">
        <v>783</v>
      </c>
      <c r="D129" s="138">
        <v>3120000</v>
      </c>
      <c r="E129" s="20" t="s">
        <v>761</v>
      </c>
      <c r="F129" s="20" t="s">
        <v>762</v>
      </c>
      <c r="G129" s="8" t="str">
        <f t="shared" si="1"/>
        <v>THOMPSON LESTER</v>
      </c>
    </row>
    <row r="130" spans="1:7" x14ac:dyDescent="0.25">
      <c r="A130" s="8">
        <v>42965.581087962964</v>
      </c>
      <c r="B130" s="20" t="s">
        <v>661</v>
      </c>
      <c r="C130" s="20" t="s">
        <v>669</v>
      </c>
      <c r="D130" s="138">
        <v>1300000</v>
      </c>
      <c r="E130" s="20" t="s">
        <v>513</v>
      </c>
      <c r="F130" s="20" t="s">
        <v>514</v>
      </c>
      <c r="G130" s="8" t="str">
        <f t="shared" si="1"/>
        <v>LEVIN SCOTT</v>
      </c>
    </row>
    <row r="131" spans="1:7" x14ac:dyDescent="0.25">
      <c r="A131" s="8">
        <v>42965.582233796296</v>
      </c>
      <c r="B131" s="20" t="s">
        <v>376</v>
      </c>
      <c r="C131" s="20" t="s">
        <v>784</v>
      </c>
      <c r="D131" s="138">
        <v>2370000</v>
      </c>
      <c r="E131" s="20" t="s">
        <v>530</v>
      </c>
      <c r="F131" s="20" t="s">
        <v>531</v>
      </c>
      <c r="G131" s="8" t="str">
        <f t="shared" ref="G131:G194" si="2">E131&amp;" "&amp;F131</f>
        <v>DELGADO DIANAH</v>
      </c>
    </row>
    <row r="132" spans="1:7" x14ac:dyDescent="0.25">
      <c r="A132" s="8">
        <v>42965.588078703702</v>
      </c>
      <c r="B132" s="20" t="s">
        <v>575</v>
      </c>
      <c r="C132" s="20" t="s">
        <v>785</v>
      </c>
      <c r="D132" s="138">
        <v>880000</v>
      </c>
      <c r="E132" s="20" t="s">
        <v>579</v>
      </c>
      <c r="F132" s="20" t="s">
        <v>192</v>
      </c>
      <c r="G132" s="8" t="str">
        <f t="shared" si="2"/>
        <v>STEWART MICHAEL</v>
      </c>
    </row>
    <row r="133" spans="1:7" x14ac:dyDescent="0.25">
      <c r="A133" s="8">
        <v>42965.59</v>
      </c>
      <c r="B133" s="20" t="s">
        <v>462</v>
      </c>
      <c r="C133" s="20" t="s">
        <v>786</v>
      </c>
      <c r="D133" s="138">
        <v>3010000</v>
      </c>
      <c r="E133" s="20" t="s">
        <v>755</v>
      </c>
      <c r="F133" s="20" t="s">
        <v>475</v>
      </c>
      <c r="G133" s="8" t="str">
        <f t="shared" si="2"/>
        <v>SULLIVAN BRANDON</v>
      </c>
    </row>
    <row r="134" spans="1:7" x14ac:dyDescent="0.25">
      <c r="A134" s="8">
        <v>42965.599398148152</v>
      </c>
      <c r="B134" s="20" t="s">
        <v>523</v>
      </c>
      <c r="C134" s="20" t="s">
        <v>787</v>
      </c>
      <c r="D134" s="138">
        <v>3490000</v>
      </c>
      <c r="E134" s="20" t="s">
        <v>495</v>
      </c>
      <c r="F134" s="20" t="s">
        <v>496</v>
      </c>
      <c r="G134" s="8" t="str">
        <f t="shared" si="2"/>
        <v>WEST BRYAN</v>
      </c>
    </row>
    <row r="135" spans="1:7" x14ac:dyDescent="0.25">
      <c r="A135" s="8">
        <v>42965.600740740738</v>
      </c>
      <c r="B135" s="20" t="s">
        <v>402</v>
      </c>
      <c r="C135" s="20" t="s">
        <v>670</v>
      </c>
      <c r="D135" s="138">
        <v>3320000</v>
      </c>
      <c r="E135" s="20" t="s">
        <v>497</v>
      </c>
      <c r="F135" s="20" t="s">
        <v>498</v>
      </c>
      <c r="G135" s="8" t="str">
        <f t="shared" si="2"/>
        <v>NICHOLSON WESLEY</v>
      </c>
    </row>
    <row r="136" spans="1:7" x14ac:dyDescent="0.25">
      <c r="A136" s="8">
        <v>42965.601168981484</v>
      </c>
      <c r="B136" s="20" t="s">
        <v>356</v>
      </c>
      <c r="C136" s="20" t="s">
        <v>788</v>
      </c>
      <c r="D136" s="138">
        <v>3300000</v>
      </c>
      <c r="E136" s="20" t="s">
        <v>449</v>
      </c>
      <c r="F136" s="20" t="s">
        <v>450</v>
      </c>
      <c r="G136" s="8" t="str">
        <f t="shared" si="2"/>
        <v>LANGERAK WILLIAM</v>
      </c>
    </row>
    <row r="137" spans="1:7" x14ac:dyDescent="0.25">
      <c r="A137" s="8">
        <v>42965.608738425923</v>
      </c>
      <c r="B137" s="20" t="s">
        <v>405</v>
      </c>
      <c r="C137" s="20" t="s">
        <v>789</v>
      </c>
      <c r="D137" s="138">
        <v>2370000</v>
      </c>
      <c r="E137" s="20" t="s">
        <v>530</v>
      </c>
      <c r="F137" s="20" t="s">
        <v>531</v>
      </c>
      <c r="G137" s="8" t="str">
        <f t="shared" si="2"/>
        <v>DELGADO DIANAH</v>
      </c>
    </row>
    <row r="138" spans="1:7" x14ac:dyDescent="0.25">
      <c r="A138" s="8">
        <v>42965.612291666665</v>
      </c>
      <c r="B138" s="20" t="s">
        <v>447</v>
      </c>
      <c r="C138" s="20" t="s">
        <v>671</v>
      </c>
      <c r="D138" s="138">
        <v>3120000</v>
      </c>
      <c r="E138" s="20" t="s">
        <v>761</v>
      </c>
      <c r="F138" s="20" t="s">
        <v>762</v>
      </c>
      <c r="G138" s="8" t="str">
        <f t="shared" si="2"/>
        <v>THOMPSON LESTER</v>
      </c>
    </row>
    <row r="139" spans="1:7" x14ac:dyDescent="0.25">
      <c r="A139" s="8">
        <v>42965.621168981481</v>
      </c>
      <c r="B139" s="20" t="s">
        <v>665</v>
      </c>
      <c r="C139" s="20" t="s">
        <v>790</v>
      </c>
      <c r="D139" s="138">
        <v>1300000</v>
      </c>
      <c r="E139" s="20" t="s">
        <v>513</v>
      </c>
      <c r="F139" s="20" t="s">
        <v>514</v>
      </c>
      <c r="G139" s="8" t="str">
        <f t="shared" si="2"/>
        <v>LEVIN SCOTT</v>
      </c>
    </row>
    <row r="140" spans="1:7" x14ac:dyDescent="0.25">
      <c r="A140" s="8">
        <v>42965.621759259258</v>
      </c>
      <c r="B140" s="20" t="s">
        <v>576</v>
      </c>
      <c r="C140" s="20" t="s">
        <v>791</v>
      </c>
      <c r="D140" s="138">
        <v>880000</v>
      </c>
      <c r="E140" s="20" t="s">
        <v>579</v>
      </c>
      <c r="F140" s="20" t="s">
        <v>192</v>
      </c>
      <c r="G140" s="8" t="str">
        <f t="shared" si="2"/>
        <v>STEWART MICHAEL</v>
      </c>
    </row>
    <row r="141" spans="1:7" x14ac:dyDescent="0.25">
      <c r="A141" s="8">
        <v>42965.622824074075</v>
      </c>
      <c r="B141" s="20" t="s">
        <v>376</v>
      </c>
      <c r="C141" s="20" t="s">
        <v>792</v>
      </c>
      <c r="D141" s="138">
        <v>2370000</v>
      </c>
      <c r="E141" s="20" t="s">
        <v>530</v>
      </c>
      <c r="F141" s="20" t="s">
        <v>531</v>
      </c>
      <c r="G141" s="8" t="str">
        <f t="shared" si="2"/>
        <v>DELGADO DIANAH</v>
      </c>
    </row>
    <row r="142" spans="1:7" x14ac:dyDescent="0.25">
      <c r="A142" s="8">
        <v>42965.626701388886</v>
      </c>
      <c r="B142" s="20" t="s">
        <v>466</v>
      </c>
      <c r="C142" s="20" t="s">
        <v>672</v>
      </c>
      <c r="D142" s="138">
        <v>3010000</v>
      </c>
      <c r="E142" s="20" t="s">
        <v>755</v>
      </c>
      <c r="F142" s="20" t="s">
        <v>475</v>
      </c>
      <c r="G142" s="8" t="str">
        <f t="shared" si="2"/>
        <v>SULLIVAN BRANDON</v>
      </c>
    </row>
    <row r="143" spans="1:7" x14ac:dyDescent="0.25">
      <c r="A143" s="8">
        <v>42965.631215277775</v>
      </c>
      <c r="B143" s="20" t="s">
        <v>522</v>
      </c>
      <c r="C143" s="20" t="s">
        <v>787</v>
      </c>
      <c r="D143" s="138">
        <v>3490000</v>
      </c>
      <c r="E143" s="20" t="s">
        <v>495</v>
      </c>
      <c r="F143" s="20" t="s">
        <v>496</v>
      </c>
      <c r="G143" s="8" t="str">
        <f t="shared" si="2"/>
        <v>WEST BRYAN</v>
      </c>
    </row>
    <row r="144" spans="1:7" x14ac:dyDescent="0.25">
      <c r="A144" s="8">
        <v>42965.631990740738</v>
      </c>
      <c r="B144" s="20" t="s">
        <v>404</v>
      </c>
      <c r="C144" s="20" t="s">
        <v>793</v>
      </c>
      <c r="D144" s="138">
        <v>3320000</v>
      </c>
      <c r="E144" s="20" t="s">
        <v>497</v>
      </c>
      <c r="F144" s="20" t="s">
        <v>498</v>
      </c>
      <c r="G144" s="8" t="str">
        <f t="shared" si="2"/>
        <v>NICHOLSON WESLEY</v>
      </c>
    </row>
    <row r="145" spans="1:7" x14ac:dyDescent="0.25">
      <c r="A145" s="8">
        <v>42965.632395833331</v>
      </c>
      <c r="B145" s="20" t="s">
        <v>522</v>
      </c>
      <c r="C145" s="20" t="s">
        <v>794</v>
      </c>
      <c r="D145" s="138">
        <v>3490000</v>
      </c>
      <c r="E145" s="20" t="s">
        <v>495</v>
      </c>
      <c r="F145" s="20" t="s">
        <v>496</v>
      </c>
      <c r="G145" s="8" t="str">
        <f t="shared" si="2"/>
        <v>WEST BRYAN</v>
      </c>
    </row>
    <row r="146" spans="1:7" x14ac:dyDescent="0.25">
      <c r="A146" s="8">
        <v>42965.641817129632</v>
      </c>
      <c r="B146" s="20" t="s">
        <v>359</v>
      </c>
      <c r="C146" s="20" t="s">
        <v>795</v>
      </c>
      <c r="D146" s="138">
        <v>3300000</v>
      </c>
      <c r="E146" s="20" t="s">
        <v>449</v>
      </c>
      <c r="F146" s="20" t="s">
        <v>450</v>
      </c>
      <c r="G146" s="8" t="str">
        <f t="shared" si="2"/>
        <v>LANGERAK WILLIAM</v>
      </c>
    </row>
    <row r="147" spans="1:7" x14ac:dyDescent="0.25">
      <c r="A147" s="8">
        <v>42965.641886574071</v>
      </c>
      <c r="B147" s="20" t="s">
        <v>642</v>
      </c>
      <c r="C147" s="20" t="s">
        <v>673</v>
      </c>
      <c r="D147" s="138">
        <v>3310000</v>
      </c>
      <c r="E147" s="20" t="s">
        <v>501</v>
      </c>
      <c r="F147" s="20" t="s">
        <v>502</v>
      </c>
      <c r="G147" s="8" t="str">
        <f t="shared" si="2"/>
        <v>ANDERS STEVEN</v>
      </c>
    </row>
    <row r="148" spans="1:7" x14ac:dyDescent="0.25">
      <c r="A148" s="8">
        <v>42965.650416666664</v>
      </c>
      <c r="B148" s="20" t="s">
        <v>405</v>
      </c>
      <c r="C148" s="20" t="s">
        <v>674</v>
      </c>
      <c r="D148" s="138">
        <v>2370000</v>
      </c>
      <c r="E148" s="20" t="s">
        <v>530</v>
      </c>
      <c r="F148" s="20" t="s">
        <v>531</v>
      </c>
      <c r="G148" s="8" t="str">
        <f t="shared" si="2"/>
        <v>DELGADO DIANAH</v>
      </c>
    </row>
    <row r="149" spans="1:7" x14ac:dyDescent="0.25">
      <c r="A149" s="8">
        <v>42965.651435185187</v>
      </c>
      <c r="B149" s="20" t="s">
        <v>661</v>
      </c>
      <c r="C149" s="20" t="s">
        <v>796</v>
      </c>
      <c r="D149" s="138">
        <v>1300000</v>
      </c>
      <c r="E149" s="20" t="s">
        <v>513</v>
      </c>
      <c r="F149" s="20" t="s">
        <v>514</v>
      </c>
      <c r="G149" s="8" t="str">
        <f t="shared" si="2"/>
        <v>LEVIN SCOTT</v>
      </c>
    </row>
    <row r="150" spans="1:7" x14ac:dyDescent="0.25">
      <c r="A150" s="8">
        <v>42965.651805555557</v>
      </c>
      <c r="B150" s="20" t="s">
        <v>467</v>
      </c>
      <c r="C150" s="20" t="s">
        <v>797</v>
      </c>
      <c r="D150" s="138">
        <v>3120000</v>
      </c>
      <c r="E150" s="20" t="s">
        <v>761</v>
      </c>
      <c r="F150" s="20" t="s">
        <v>762</v>
      </c>
      <c r="G150" s="8" t="str">
        <f t="shared" si="2"/>
        <v>THOMPSON LESTER</v>
      </c>
    </row>
    <row r="151" spans="1:7" x14ac:dyDescent="0.25">
      <c r="A151" s="8">
        <v>42965.653194444443</v>
      </c>
      <c r="B151" s="20" t="s">
        <v>646</v>
      </c>
      <c r="C151" s="20" t="s">
        <v>798</v>
      </c>
      <c r="D151" s="138">
        <v>3310000</v>
      </c>
      <c r="E151" s="20" t="s">
        <v>501</v>
      </c>
      <c r="F151" s="20" t="s">
        <v>502</v>
      </c>
      <c r="G151" s="8" t="str">
        <f t="shared" si="2"/>
        <v>ANDERS STEVEN</v>
      </c>
    </row>
    <row r="152" spans="1:7" x14ac:dyDescent="0.25">
      <c r="A152" s="8">
        <v>42965.661944444444</v>
      </c>
      <c r="B152" s="20" t="s">
        <v>575</v>
      </c>
      <c r="C152" s="20" t="s">
        <v>799</v>
      </c>
      <c r="D152" s="138">
        <v>880000</v>
      </c>
      <c r="E152" s="20" t="s">
        <v>579</v>
      </c>
      <c r="F152" s="20" t="s">
        <v>192</v>
      </c>
      <c r="G152" s="8" t="str">
        <f t="shared" si="2"/>
        <v>STEWART MICHAEL</v>
      </c>
    </row>
    <row r="153" spans="1:7" x14ac:dyDescent="0.25">
      <c r="A153" s="8">
        <v>42965.665081018517</v>
      </c>
      <c r="B153" s="20" t="s">
        <v>376</v>
      </c>
      <c r="C153" s="20" t="s">
        <v>800</v>
      </c>
      <c r="D153" s="138">
        <v>2370000</v>
      </c>
      <c r="E153" s="20" t="s">
        <v>530</v>
      </c>
      <c r="F153" s="20" t="s">
        <v>531</v>
      </c>
      <c r="G153" s="8" t="str">
        <f t="shared" si="2"/>
        <v>DELGADO DIANAH</v>
      </c>
    </row>
    <row r="154" spans="1:7" x14ac:dyDescent="0.25">
      <c r="A154" s="8">
        <v>42965.665277777778</v>
      </c>
      <c r="B154" s="20" t="s">
        <v>462</v>
      </c>
      <c r="C154" s="20" t="s">
        <v>801</v>
      </c>
      <c r="D154" s="138">
        <v>3010000</v>
      </c>
      <c r="E154" s="20" t="s">
        <v>755</v>
      </c>
      <c r="F154" s="20" t="s">
        <v>475</v>
      </c>
      <c r="G154" s="8" t="str">
        <f t="shared" si="2"/>
        <v>SULLIVAN BRANDON</v>
      </c>
    </row>
    <row r="155" spans="1:7" x14ac:dyDescent="0.25">
      <c r="A155" s="8">
        <v>42965.672048611108</v>
      </c>
      <c r="B155" s="20" t="s">
        <v>523</v>
      </c>
      <c r="C155" s="20" t="s">
        <v>676</v>
      </c>
      <c r="D155" s="138">
        <v>3490000</v>
      </c>
      <c r="E155" s="20" t="s">
        <v>495</v>
      </c>
      <c r="F155" s="20" t="s">
        <v>496</v>
      </c>
      <c r="G155" s="8" t="str">
        <f t="shared" si="2"/>
        <v>WEST BRYAN</v>
      </c>
    </row>
    <row r="156" spans="1:7" x14ac:dyDescent="0.25">
      <c r="A156" s="8">
        <v>42965.673229166663</v>
      </c>
      <c r="B156" s="20" t="s">
        <v>642</v>
      </c>
      <c r="C156" s="20" t="s">
        <v>802</v>
      </c>
      <c r="D156" s="138">
        <v>3310000</v>
      </c>
      <c r="E156" s="20" t="s">
        <v>501</v>
      </c>
      <c r="F156" s="20" t="s">
        <v>502</v>
      </c>
      <c r="G156" s="8" t="str">
        <f t="shared" si="2"/>
        <v>ANDERS STEVEN</v>
      </c>
    </row>
    <row r="157" spans="1:7" x14ac:dyDescent="0.25">
      <c r="A157" s="8">
        <v>42965.673252314817</v>
      </c>
      <c r="B157" s="20" t="s">
        <v>356</v>
      </c>
      <c r="C157" s="20" t="s">
        <v>803</v>
      </c>
      <c r="D157" s="138">
        <v>3300000</v>
      </c>
      <c r="E157" s="20" t="s">
        <v>449</v>
      </c>
      <c r="F157" s="20" t="s">
        <v>450</v>
      </c>
      <c r="G157" s="8" t="str">
        <f t="shared" si="2"/>
        <v>LANGERAK WILLIAM</v>
      </c>
    </row>
    <row r="158" spans="1:7" x14ac:dyDescent="0.25">
      <c r="A158" s="8">
        <v>42965.676006944443</v>
      </c>
      <c r="B158" s="20" t="s">
        <v>402</v>
      </c>
      <c r="C158" s="20" t="s">
        <v>804</v>
      </c>
      <c r="D158" s="138">
        <v>3320000</v>
      </c>
      <c r="E158" s="20" t="s">
        <v>497</v>
      </c>
      <c r="F158" s="20" t="s">
        <v>498</v>
      </c>
      <c r="G158" s="8" t="str">
        <f t="shared" si="2"/>
        <v>NICHOLSON WESLEY</v>
      </c>
    </row>
    <row r="159" spans="1:7" x14ac:dyDescent="0.25">
      <c r="A159" s="8">
        <v>42965.68550925926</v>
      </c>
      <c r="B159" s="20" t="s">
        <v>447</v>
      </c>
      <c r="C159" s="20" t="s">
        <v>805</v>
      </c>
      <c r="D159" s="138">
        <v>3120000</v>
      </c>
      <c r="E159" s="20" t="s">
        <v>761</v>
      </c>
      <c r="F159" s="20" t="s">
        <v>762</v>
      </c>
      <c r="G159" s="8" t="str">
        <f t="shared" si="2"/>
        <v>THOMPSON LESTER</v>
      </c>
    </row>
    <row r="160" spans="1:7" x14ac:dyDescent="0.25">
      <c r="A160" s="8">
        <v>42965.685995370368</v>
      </c>
      <c r="B160" s="20" t="s">
        <v>376</v>
      </c>
      <c r="C160" s="20" t="s">
        <v>800</v>
      </c>
      <c r="D160" s="138">
        <v>2370000</v>
      </c>
      <c r="E160" s="20" t="s">
        <v>530</v>
      </c>
      <c r="F160" s="20" t="s">
        <v>531</v>
      </c>
      <c r="G160" s="8" t="str">
        <f t="shared" si="2"/>
        <v>DELGADO DIANAH</v>
      </c>
    </row>
    <row r="161" spans="1:7" x14ac:dyDescent="0.25">
      <c r="A161" s="8">
        <v>42965.692199074074</v>
      </c>
      <c r="B161" s="20" t="s">
        <v>665</v>
      </c>
      <c r="C161" s="20" t="s">
        <v>806</v>
      </c>
      <c r="D161" s="138">
        <v>1300000</v>
      </c>
      <c r="E161" s="20" t="s">
        <v>513</v>
      </c>
      <c r="F161" s="20" t="s">
        <v>514</v>
      </c>
      <c r="G161" s="8" t="str">
        <f t="shared" si="2"/>
        <v>LEVIN SCOTT</v>
      </c>
    </row>
    <row r="162" spans="1:7" x14ac:dyDescent="0.25">
      <c r="A162" s="8">
        <v>42965.692349537036</v>
      </c>
      <c r="B162" s="20" t="s">
        <v>385</v>
      </c>
      <c r="C162" s="20" t="s">
        <v>675</v>
      </c>
      <c r="D162" s="138">
        <v>1800000</v>
      </c>
      <c r="E162" s="20" t="s">
        <v>807</v>
      </c>
      <c r="F162" s="20" t="s">
        <v>808</v>
      </c>
      <c r="G162" s="8" t="str">
        <f t="shared" si="2"/>
        <v>CHANDLER KELVIN</v>
      </c>
    </row>
    <row r="163" spans="1:7" x14ac:dyDescent="0.25">
      <c r="A163" s="8">
        <v>42965.693171296298</v>
      </c>
      <c r="B163" s="20" t="s">
        <v>646</v>
      </c>
      <c r="C163" s="20" t="s">
        <v>809</v>
      </c>
      <c r="D163" s="138">
        <v>2540000</v>
      </c>
      <c r="E163" s="20" t="s">
        <v>810</v>
      </c>
      <c r="F163" s="20" t="s">
        <v>811</v>
      </c>
      <c r="G163" s="8" t="str">
        <f t="shared" si="2"/>
        <v>MCREYNOLDS KYLE</v>
      </c>
    </row>
    <row r="164" spans="1:7" x14ac:dyDescent="0.25">
      <c r="A164" s="8">
        <v>42965.695347222223</v>
      </c>
      <c r="B164" s="20" t="s">
        <v>576</v>
      </c>
      <c r="C164" s="20" t="s">
        <v>812</v>
      </c>
      <c r="D164" s="138">
        <v>880000</v>
      </c>
      <c r="E164" s="20" t="s">
        <v>579</v>
      </c>
      <c r="F164" s="20" t="s">
        <v>192</v>
      </c>
      <c r="G164" s="8" t="str">
        <f t="shared" si="2"/>
        <v>STEWART MICHAEL</v>
      </c>
    </row>
    <row r="165" spans="1:7" x14ac:dyDescent="0.25">
      <c r="A165" s="8">
        <v>42965.697627314818</v>
      </c>
      <c r="B165" s="20" t="s">
        <v>405</v>
      </c>
      <c r="C165" s="20" t="s">
        <v>813</v>
      </c>
      <c r="D165" s="138">
        <v>2370000</v>
      </c>
      <c r="E165" s="20" t="s">
        <v>530</v>
      </c>
      <c r="F165" s="20" t="s">
        <v>531</v>
      </c>
      <c r="G165" s="8" t="str">
        <f t="shared" si="2"/>
        <v>DELGADO DIANAH</v>
      </c>
    </row>
    <row r="166" spans="1:7" x14ac:dyDescent="0.25">
      <c r="A166" s="8">
        <v>42965.701435185183</v>
      </c>
      <c r="B166" s="20" t="s">
        <v>466</v>
      </c>
      <c r="C166" s="20" t="s">
        <v>814</v>
      </c>
      <c r="D166" s="138">
        <v>3010000</v>
      </c>
      <c r="E166" s="20" t="s">
        <v>755</v>
      </c>
      <c r="F166" s="20" t="s">
        <v>475</v>
      </c>
      <c r="G166" s="8" t="str">
        <f t="shared" si="2"/>
        <v>SULLIVAN BRANDON</v>
      </c>
    </row>
    <row r="167" spans="1:7" x14ac:dyDescent="0.25">
      <c r="A167" s="8">
        <v>42965.704548611109</v>
      </c>
      <c r="B167" s="20" t="s">
        <v>522</v>
      </c>
      <c r="C167" s="20" t="s">
        <v>815</v>
      </c>
      <c r="D167" s="138">
        <v>3490000</v>
      </c>
      <c r="E167" s="20" t="s">
        <v>495</v>
      </c>
      <c r="F167" s="20" t="s">
        <v>496</v>
      </c>
      <c r="G167" s="8" t="str">
        <f t="shared" si="2"/>
        <v>WEST BRYAN</v>
      </c>
    </row>
    <row r="168" spans="1:7" x14ac:dyDescent="0.25">
      <c r="A168" s="8">
        <v>42965.706631944442</v>
      </c>
      <c r="B168" s="20" t="s">
        <v>404</v>
      </c>
      <c r="C168" s="20" t="s">
        <v>816</v>
      </c>
      <c r="D168" s="138">
        <v>3320000</v>
      </c>
      <c r="E168" s="20" t="s">
        <v>497</v>
      </c>
      <c r="F168" s="20" t="s">
        <v>498</v>
      </c>
      <c r="G168" s="8" t="str">
        <f t="shared" si="2"/>
        <v>NICHOLSON WESLEY</v>
      </c>
    </row>
    <row r="169" spans="1:7" x14ac:dyDescent="0.25">
      <c r="A169" s="8">
        <v>42965.709606481483</v>
      </c>
      <c r="B169" s="20" t="s">
        <v>376</v>
      </c>
      <c r="C169" s="20" t="s">
        <v>817</v>
      </c>
      <c r="D169" s="138">
        <v>2370000</v>
      </c>
      <c r="E169" s="20" t="s">
        <v>530</v>
      </c>
      <c r="F169" s="20" t="s">
        <v>531</v>
      </c>
      <c r="G169" s="8" t="str">
        <f t="shared" si="2"/>
        <v>DELGADO DIANAH</v>
      </c>
    </row>
    <row r="170" spans="1:7" x14ac:dyDescent="0.25">
      <c r="A170" s="8">
        <v>42965.714432870373</v>
      </c>
      <c r="B170" s="20" t="s">
        <v>642</v>
      </c>
      <c r="C170" s="20" t="s">
        <v>818</v>
      </c>
      <c r="D170" s="138">
        <v>2540000</v>
      </c>
      <c r="E170" s="20" t="s">
        <v>810</v>
      </c>
      <c r="F170" s="20" t="s">
        <v>811</v>
      </c>
      <c r="G170" s="8" t="str">
        <f t="shared" si="2"/>
        <v>MCREYNOLDS KYLE</v>
      </c>
    </row>
    <row r="171" spans="1:7" x14ac:dyDescent="0.25">
      <c r="A171" s="8">
        <v>42965.714745370373</v>
      </c>
      <c r="B171" s="20" t="s">
        <v>359</v>
      </c>
      <c r="C171" s="20" t="s">
        <v>819</v>
      </c>
      <c r="D171" s="138">
        <v>3300000</v>
      </c>
      <c r="E171" s="20" t="s">
        <v>449</v>
      </c>
      <c r="F171" s="20" t="s">
        <v>450</v>
      </c>
      <c r="G171" s="8" t="str">
        <f t="shared" si="2"/>
        <v>LANGERAK WILLIAM</v>
      </c>
    </row>
    <row r="172" spans="1:7" x14ac:dyDescent="0.25">
      <c r="A172" s="8">
        <v>42965.725462962961</v>
      </c>
      <c r="B172" s="20" t="s">
        <v>467</v>
      </c>
      <c r="C172" s="20" t="s">
        <v>820</v>
      </c>
      <c r="D172" s="138">
        <v>3120000</v>
      </c>
      <c r="E172" s="20" t="s">
        <v>761</v>
      </c>
      <c r="F172" s="20" t="s">
        <v>762</v>
      </c>
      <c r="G172" s="8" t="str">
        <f t="shared" si="2"/>
        <v>THOMPSON LESTER</v>
      </c>
    </row>
    <row r="173" spans="1:7" x14ac:dyDescent="0.25">
      <c r="A173" s="8">
        <v>42965.726053240738</v>
      </c>
      <c r="B173" s="20" t="s">
        <v>661</v>
      </c>
      <c r="C173" s="20" t="s">
        <v>821</v>
      </c>
      <c r="D173" s="138">
        <v>1300000</v>
      </c>
      <c r="E173" s="20" t="s">
        <v>513</v>
      </c>
      <c r="F173" s="20" t="s">
        <v>514</v>
      </c>
      <c r="G173" s="8" t="str">
        <f t="shared" si="2"/>
        <v>LEVIN SCOTT</v>
      </c>
    </row>
    <row r="174" spans="1:7" x14ac:dyDescent="0.25">
      <c r="A174" s="8">
        <v>42965.727002314816</v>
      </c>
      <c r="B174" s="20" t="s">
        <v>361</v>
      </c>
      <c r="C174" s="20" t="s">
        <v>822</v>
      </c>
      <c r="D174" s="138">
        <v>2440000</v>
      </c>
      <c r="E174" s="20" t="s">
        <v>823</v>
      </c>
      <c r="F174" s="20" t="s">
        <v>824</v>
      </c>
      <c r="G174" s="8" t="str">
        <f t="shared" si="2"/>
        <v>LOPES KIMBERLY</v>
      </c>
    </row>
    <row r="175" spans="1:7" x14ac:dyDescent="0.25">
      <c r="A175" s="8">
        <v>42965.729398148149</v>
      </c>
      <c r="B175" s="20" t="s">
        <v>646</v>
      </c>
      <c r="C175" s="20" t="s">
        <v>825</v>
      </c>
      <c r="D175" s="138">
        <v>2540000</v>
      </c>
      <c r="E175" s="20" t="s">
        <v>810</v>
      </c>
      <c r="F175" s="20" t="s">
        <v>811</v>
      </c>
      <c r="G175" s="8" t="str">
        <f t="shared" si="2"/>
        <v>MCREYNOLDS KYLE</v>
      </c>
    </row>
    <row r="176" spans="1:7" x14ac:dyDescent="0.25">
      <c r="A176" s="8">
        <v>42965.733124999999</v>
      </c>
      <c r="B176" s="20" t="s">
        <v>575</v>
      </c>
      <c r="C176" s="20" t="s">
        <v>826</v>
      </c>
      <c r="D176" s="138">
        <v>880000</v>
      </c>
      <c r="E176" s="20" t="s">
        <v>579</v>
      </c>
      <c r="F176" s="20" t="s">
        <v>192</v>
      </c>
      <c r="G176" s="8" t="str">
        <f t="shared" si="2"/>
        <v>STEWART MICHAEL</v>
      </c>
    </row>
    <row r="177" spans="1:7" x14ac:dyDescent="0.25">
      <c r="A177" s="8">
        <v>42965.734131944446</v>
      </c>
      <c r="B177" s="20" t="s">
        <v>405</v>
      </c>
      <c r="C177" s="20" t="s">
        <v>827</v>
      </c>
      <c r="D177" s="138">
        <v>2370000</v>
      </c>
      <c r="E177" s="20" t="s">
        <v>530</v>
      </c>
      <c r="F177" s="20" t="s">
        <v>531</v>
      </c>
      <c r="G177" s="8" t="str">
        <f t="shared" si="2"/>
        <v>DELGADO DIANAH</v>
      </c>
    </row>
    <row r="178" spans="1:7" x14ac:dyDescent="0.25">
      <c r="A178" s="8">
        <v>42965.736030092594</v>
      </c>
      <c r="B178" s="20" t="s">
        <v>462</v>
      </c>
      <c r="C178" s="20" t="s">
        <v>828</v>
      </c>
      <c r="D178" s="138">
        <v>3340000</v>
      </c>
      <c r="E178" s="20" t="s">
        <v>487</v>
      </c>
      <c r="F178" s="20" t="s">
        <v>488</v>
      </c>
      <c r="G178" s="8" t="str">
        <f t="shared" si="2"/>
        <v>ELBAUM MIKE</v>
      </c>
    </row>
    <row r="179" spans="1:7" x14ac:dyDescent="0.25">
      <c r="A179" s="8">
        <v>42965.739328703705</v>
      </c>
      <c r="B179" s="20" t="s">
        <v>408</v>
      </c>
      <c r="C179" s="20" t="s">
        <v>829</v>
      </c>
      <c r="D179" s="138">
        <v>3030000</v>
      </c>
      <c r="E179" s="20" t="s">
        <v>366</v>
      </c>
      <c r="F179" s="20" t="s">
        <v>354</v>
      </c>
      <c r="G179" s="8" t="str">
        <f t="shared" si="2"/>
        <v>BIRENBAUM THOMAS</v>
      </c>
    </row>
    <row r="180" spans="1:7" x14ac:dyDescent="0.25">
      <c r="A180" s="8">
        <v>42965.745011574072</v>
      </c>
      <c r="B180" s="20" t="s">
        <v>523</v>
      </c>
      <c r="C180" s="20" t="s">
        <v>830</v>
      </c>
      <c r="D180" s="138">
        <v>3490000</v>
      </c>
      <c r="E180" s="20" t="s">
        <v>495</v>
      </c>
      <c r="F180" s="20" t="s">
        <v>496</v>
      </c>
      <c r="G180" s="8" t="str">
        <f t="shared" si="2"/>
        <v>WEST BRYAN</v>
      </c>
    </row>
    <row r="181" spans="1:7" x14ac:dyDescent="0.25">
      <c r="A181" s="8">
        <v>42965.746400462966</v>
      </c>
      <c r="B181" s="20" t="s">
        <v>402</v>
      </c>
      <c r="C181" s="20" t="s">
        <v>677</v>
      </c>
      <c r="D181" s="138">
        <v>3320000</v>
      </c>
      <c r="E181" s="20" t="s">
        <v>497</v>
      </c>
      <c r="F181" s="20" t="s">
        <v>498</v>
      </c>
      <c r="G181" s="8" t="str">
        <f t="shared" si="2"/>
        <v>NICHOLSON WESLEY</v>
      </c>
    </row>
    <row r="182" spans="1:7" x14ac:dyDescent="0.25">
      <c r="A182" s="8">
        <v>42965.74759259259</v>
      </c>
      <c r="B182" s="20" t="s">
        <v>356</v>
      </c>
      <c r="C182" s="20" t="s">
        <v>831</v>
      </c>
      <c r="D182" s="138">
        <v>3300000</v>
      </c>
      <c r="E182" s="20" t="s">
        <v>449</v>
      </c>
      <c r="F182" s="20" t="s">
        <v>450</v>
      </c>
      <c r="G182" s="8" t="str">
        <f t="shared" si="2"/>
        <v>LANGERAK WILLIAM</v>
      </c>
    </row>
    <row r="183" spans="1:7" x14ac:dyDescent="0.25">
      <c r="A183" s="8">
        <v>42965.754247685189</v>
      </c>
      <c r="B183" s="20" t="s">
        <v>376</v>
      </c>
      <c r="C183" s="20" t="s">
        <v>832</v>
      </c>
      <c r="D183" s="138">
        <v>2370000</v>
      </c>
      <c r="E183" s="20" t="s">
        <v>530</v>
      </c>
      <c r="F183" s="20" t="s">
        <v>531</v>
      </c>
      <c r="G183" s="8" t="str">
        <f t="shared" si="2"/>
        <v>DELGADO DIANAH</v>
      </c>
    </row>
    <row r="184" spans="1:7" x14ac:dyDescent="0.25">
      <c r="A184" s="8">
        <v>42965.755462962959</v>
      </c>
      <c r="B184" s="20" t="s">
        <v>642</v>
      </c>
      <c r="C184" s="20" t="s">
        <v>833</v>
      </c>
      <c r="D184" s="138">
        <v>2540000</v>
      </c>
      <c r="E184" s="20" t="s">
        <v>810</v>
      </c>
      <c r="F184" s="20" t="s">
        <v>811</v>
      </c>
      <c r="G184" s="8" t="str">
        <f t="shared" si="2"/>
        <v>MCREYNOLDS KYLE</v>
      </c>
    </row>
    <row r="185" spans="1:7" x14ac:dyDescent="0.25">
      <c r="A185" s="8">
        <v>42965.758032407408</v>
      </c>
      <c r="B185" s="20" t="s">
        <v>447</v>
      </c>
      <c r="C185" s="20" t="s">
        <v>834</v>
      </c>
      <c r="D185" s="138">
        <v>2620000</v>
      </c>
      <c r="E185" s="20" t="s">
        <v>580</v>
      </c>
      <c r="F185" s="20" t="s">
        <v>581</v>
      </c>
      <c r="G185" s="8" t="str">
        <f t="shared" si="2"/>
        <v>PERKINS DARREN</v>
      </c>
    </row>
    <row r="186" spans="1:7" x14ac:dyDescent="0.25">
      <c r="A186" s="8">
        <v>42965.763009259259</v>
      </c>
      <c r="B186" s="20" t="s">
        <v>665</v>
      </c>
      <c r="C186" s="20" t="s">
        <v>678</v>
      </c>
      <c r="D186" s="138">
        <v>1300000</v>
      </c>
      <c r="E186" s="20" t="s">
        <v>513</v>
      </c>
      <c r="F186" s="20" t="s">
        <v>514</v>
      </c>
      <c r="G186" s="8" t="str">
        <f t="shared" si="2"/>
        <v>LEVIN SCOTT</v>
      </c>
    </row>
    <row r="187" spans="1:7" x14ac:dyDescent="0.25">
      <c r="A187" s="8">
        <v>42965.768333333333</v>
      </c>
      <c r="B187" s="20" t="s">
        <v>466</v>
      </c>
      <c r="C187" s="20" t="s">
        <v>835</v>
      </c>
      <c r="D187" s="138">
        <v>3340000</v>
      </c>
      <c r="E187" s="20" t="s">
        <v>487</v>
      </c>
      <c r="F187" s="20" t="s">
        <v>488</v>
      </c>
      <c r="G187" s="8" t="str">
        <f t="shared" si="2"/>
        <v>ELBAUM MIKE</v>
      </c>
    </row>
    <row r="188" spans="1:7" x14ac:dyDescent="0.25">
      <c r="A188" s="8">
        <v>42965.770115740743</v>
      </c>
      <c r="B188" s="20" t="s">
        <v>576</v>
      </c>
      <c r="C188" s="20" t="s">
        <v>836</v>
      </c>
      <c r="D188" s="138">
        <v>3000000</v>
      </c>
      <c r="E188" s="20" t="s">
        <v>380</v>
      </c>
      <c r="F188" s="20" t="s">
        <v>381</v>
      </c>
      <c r="G188" s="8" t="str">
        <f t="shared" si="2"/>
        <v>FORTUNATO FRANK</v>
      </c>
    </row>
    <row r="189" spans="1:7" x14ac:dyDescent="0.25">
      <c r="A189" s="8">
        <v>42965.770671296297</v>
      </c>
      <c r="B189" s="20" t="s">
        <v>646</v>
      </c>
      <c r="C189" s="20" t="s">
        <v>837</v>
      </c>
      <c r="D189" s="138">
        <v>2540000</v>
      </c>
      <c r="E189" s="20" t="s">
        <v>810</v>
      </c>
      <c r="F189" s="20" t="s">
        <v>811</v>
      </c>
      <c r="G189" s="8" t="str">
        <f t="shared" si="2"/>
        <v>MCREYNOLDS KYLE</v>
      </c>
    </row>
    <row r="190" spans="1:7" x14ac:dyDescent="0.25">
      <c r="A190" s="8">
        <v>42965.776006944441</v>
      </c>
      <c r="B190" s="20" t="s">
        <v>405</v>
      </c>
      <c r="C190" s="20" t="s">
        <v>838</v>
      </c>
      <c r="D190" s="138">
        <v>2370000</v>
      </c>
      <c r="E190" s="20" t="s">
        <v>530</v>
      </c>
      <c r="F190" s="20" t="s">
        <v>531</v>
      </c>
      <c r="G190" s="8" t="str">
        <f t="shared" si="2"/>
        <v>DELGADO DIANAH</v>
      </c>
    </row>
    <row r="191" spans="1:7" x14ac:dyDescent="0.25">
      <c r="A191" s="8">
        <v>42965.776238425926</v>
      </c>
      <c r="B191" s="20" t="s">
        <v>466</v>
      </c>
      <c r="C191" s="20" t="s">
        <v>835</v>
      </c>
      <c r="D191" s="138">
        <v>3340000</v>
      </c>
      <c r="E191" s="20" t="s">
        <v>487</v>
      </c>
      <c r="F191" s="20" t="s">
        <v>488</v>
      </c>
      <c r="G191" s="8" t="str">
        <f t="shared" si="2"/>
        <v>ELBAUM MIKE</v>
      </c>
    </row>
    <row r="192" spans="1:7" x14ac:dyDescent="0.25">
      <c r="A192" s="8">
        <v>42965.777418981481</v>
      </c>
      <c r="B192" s="20" t="s">
        <v>522</v>
      </c>
      <c r="C192" s="20" t="s">
        <v>839</v>
      </c>
      <c r="D192" s="138">
        <v>3490000</v>
      </c>
      <c r="E192" s="20" t="s">
        <v>495</v>
      </c>
      <c r="F192" s="20" t="s">
        <v>496</v>
      </c>
      <c r="G192" s="8" t="str">
        <f t="shared" si="2"/>
        <v>WEST BRYAN</v>
      </c>
    </row>
    <row r="193" spans="1:7" x14ac:dyDescent="0.25">
      <c r="A193" s="8">
        <v>42965.779270833336</v>
      </c>
      <c r="B193" s="20" t="s">
        <v>404</v>
      </c>
      <c r="C193" s="20" t="s">
        <v>840</v>
      </c>
      <c r="D193" s="138">
        <v>3320000</v>
      </c>
      <c r="E193" s="20" t="s">
        <v>497</v>
      </c>
      <c r="F193" s="20" t="s">
        <v>498</v>
      </c>
      <c r="G193" s="8" t="str">
        <f t="shared" si="2"/>
        <v>NICHOLSON WESLEY</v>
      </c>
    </row>
    <row r="194" spans="1:7" x14ac:dyDescent="0.25">
      <c r="A194" s="8">
        <v>42965.788090277776</v>
      </c>
      <c r="B194" s="20" t="s">
        <v>359</v>
      </c>
      <c r="C194" s="20" t="s">
        <v>841</v>
      </c>
      <c r="D194" s="138">
        <v>3220000</v>
      </c>
      <c r="E194" s="20" t="s">
        <v>538</v>
      </c>
      <c r="F194" s="20" t="s">
        <v>539</v>
      </c>
      <c r="G194" s="8" t="str">
        <f t="shared" si="2"/>
        <v>RESPASS AARON</v>
      </c>
    </row>
    <row r="195" spans="1:7" x14ac:dyDescent="0.25">
      <c r="A195" s="8">
        <v>42965.791759259257</v>
      </c>
      <c r="B195" s="20" t="s">
        <v>467</v>
      </c>
      <c r="C195" s="20" t="s">
        <v>842</v>
      </c>
      <c r="D195" s="138">
        <v>2620000</v>
      </c>
      <c r="E195" s="20" t="s">
        <v>580</v>
      </c>
      <c r="F195" s="20" t="s">
        <v>581</v>
      </c>
      <c r="G195" s="8" t="str">
        <f t="shared" ref="G195:G258" si="3">E195&amp;" "&amp;F195</f>
        <v>PERKINS DARREN</v>
      </c>
    </row>
    <row r="196" spans="1:7" x14ac:dyDescent="0.25">
      <c r="A196" s="8">
        <v>42965.79383101852</v>
      </c>
      <c r="B196" s="20" t="s">
        <v>376</v>
      </c>
      <c r="C196" s="20" t="s">
        <v>843</v>
      </c>
      <c r="D196" s="138">
        <v>2370000</v>
      </c>
      <c r="E196" s="20" t="s">
        <v>530</v>
      </c>
      <c r="F196" s="20" t="s">
        <v>531</v>
      </c>
      <c r="G196" s="8" t="str">
        <f t="shared" si="3"/>
        <v>DELGADO DIANAH</v>
      </c>
    </row>
    <row r="197" spans="1:7" x14ac:dyDescent="0.25">
      <c r="A197" s="8">
        <v>42965.797129629631</v>
      </c>
      <c r="B197" s="20" t="s">
        <v>661</v>
      </c>
      <c r="C197" s="20" t="s">
        <v>844</v>
      </c>
      <c r="D197" s="138">
        <v>1300000</v>
      </c>
      <c r="E197" s="20" t="s">
        <v>513</v>
      </c>
      <c r="F197" s="20" t="s">
        <v>514</v>
      </c>
      <c r="G197" s="8" t="str">
        <f t="shared" si="3"/>
        <v>LEVIN SCOTT</v>
      </c>
    </row>
    <row r="198" spans="1:7" x14ac:dyDescent="0.25">
      <c r="A198" s="8">
        <v>42965.79787037037</v>
      </c>
      <c r="B198" s="20" t="s">
        <v>642</v>
      </c>
      <c r="C198" s="20" t="s">
        <v>845</v>
      </c>
      <c r="D198" s="138">
        <v>2540000</v>
      </c>
      <c r="E198" s="20" t="s">
        <v>810</v>
      </c>
      <c r="F198" s="20" t="s">
        <v>811</v>
      </c>
      <c r="G198" s="8" t="str">
        <f t="shared" si="3"/>
        <v>MCREYNOLDS KYLE</v>
      </c>
    </row>
    <row r="199" spans="1:7" x14ac:dyDescent="0.25">
      <c r="A199" s="8">
        <v>42965.800821759258</v>
      </c>
      <c r="B199" s="20" t="s">
        <v>575</v>
      </c>
      <c r="C199" s="20" t="s">
        <v>846</v>
      </c>
      <c r="D199" s="138">
        <v>3000000</v>
      </c>
      <c r="E199" s="20" t="s">
        <v>380</v>
      </c>
      <c r="F199" s="20" t="s">
        <v>381</v>
      </c>
      <c r="G199" s="8" t="str">
        <f t="shared" si="3"/>
        <v>FORTUNATO FRANK</v>
      </c>
    </row>
    <row r="200" spans="1:7" x14ac:dyDescent="0.25">
      <c r="A200" s="8">
        <v>42965.807372685187</v>
      </c>
      <c r="B200" s="20" t="s">
        <v>462</v>
      </c>
      <c r="C200" s="20" t="s">
        <v>847</v>
      </c>
      <c r="D200" s="138">
        <v>3340000</v>
      </c>
      <c r="E200" s="20" t="s">
        <v>487</v>
      </c>
      <c r="F200" s="20" t="s">
        <v>488</v>
      </c>
      <c r="G200" s="8" t="str">
        <f t="shared" si="3"/>
        <v>ELBAUM MIKE</v>
      </c>
    </row>
    <row r="201" spans="1:7" x14ac:dyDescent="0.25">
      <c r="A201" s="8">
        <v>42965.817523148151</v>
      </c>
      <c r="B201" s="20" t="s">
        <v>405</v>
      </c>
      <c r="C201" s="20" t="s">
        <v>848</v>
      </c>
      <c r="D201" s="138">
        <v>2370000</v>
      </c>
      <c r="E201" s="20" t="s">
        <v>530</v>
      </c>
      <c r="F201" s="20" t="s">
        <v>531</v>
      </c>
      <c r="G201" s="8" t="str">
        <f t="shared" si="3"/>
        <v>DELGADO DIANAH</v>
      </c>
    </row>
    <row r="202" spans="1:7" x14ac:dyDescent="0.25">
      <c r="A202" s="26">
        <v>42965.818703703706</v>
      </c>
      <c r="B202" s="20" t="s">
        <v>402</v>
      </c>
      <c r="C202" s="20" t="s">
        <v>849</v>
      </c>
      <c r="D202" s="138">
        <v>3320000</v>
      </c>
      <c r="E202" s="20" t="s">
        <v>497</v>
      </c>
      <c r="F202" s="20" t="s">
        <v>498</v>
      </c>
      <c r="G202" s="8" t="str">
        <f t="shared" si="3"/>
        <v>NICHOLSON WESLEY</v>
      </c>
    </row>
    <row r="203" spans="1:7" x14ac:dyDescent="0.25">
      <c r="A203" s="8">
        <v>42965.820034722223</v>
      </c>
      <c r="B203" s="20" t="s">
        <v>356</v>
      </c>
      <c r="C203" s="20" t="s">
        <v>850</v>
      </c>
      <c r="D203" s="138">
        <v>3220000</v>
      </c>
      <c r="E203" s="20" t="s">
        <v>538</v>
      </c>
      <c r="F203" s="20" t="s">
        <v>539</v>
      </c>
      <c r="G203" s="8" t="str">
        <f t="shared" si="3"/>
        <v>RESPASS AARON</v>
      </c>
    </row>
    <row r="204" spans="1:7" x14ac:dyDescent="0.25">
      <c r="A204" s="8">
        <v>42965.828576388885</v>
      </c>
      <c r="B204" s="20" t="s">
        <v>447</v>
      </c>
      <c r="C204" s="20" t="s">
        <v>851</v>
      </c>
      <c r="D204" s="138">
        <v>2620000</v>
      </c>
      <c r="E204" s="20" t="s">
        <v>580</v>
      </c>
      <c r="F204" s="20" t="s">
        <v>581</v>
      </c>
      <c r="G204" s="8" t="str">
        <f t="shared" si="3"/>
        <v>PERKINS DARREN</v>
      </c>
    </row>
    <row r="205" spans="1:7" x14ac:dyDescent="0.25">
      <c r="A205" s="8">
        <v>42965.832106481481</v>
      </c>
      <c r="B205" s="20" t="s">
        <v>376</v>
      </c>
      <c r="C205" s="20" t="s">
        <v>852</v>
      </c>
      <c r="D205" s="138">
        <v>2370000</v>
      </c>
      <c r="E205" s="20" t="s">
        <v>530</v>
      </c>
      <c r="F205" s="20" t="s">
        <v>531</v>
      </c>
      <c r="G205" s="8" t="str">
        <f t="shared" si="3"/>
        <v>DELGADO DIANAH</v>
      </c>
    </row>
    <row r="206" spans="1:7" x14ac:dyDescent="0.25">
      <c r="A206" s="8">
        <v>42965.84002314815</v>
      </c>
      <c r="B206" s="20" t="s">
        <v>576</v>
      </c>
      <c r="C206" s="20" t="s">
        <v>853</v>
      </c>
      <c r="D206" s="138">
        <v>3000000</v>
      </c>
      <c r="E206" s="20" t="s">
        <v>380</v>
      </c>
      <c r="F206" s="20" t="s">
        <v>381</v>
      </c>
      <c r="G206" s="8" t="str">
        <f t="shared" si="3"/>
        <v>FORTUNATO FRANK</v>
      </c>
    </row>
    <row r="207" spans="1:7" x14ac:dyDescent="0.25">
      <c r="A207" s="8">
        <v>42965.850972222222</v>
      </c>
      <c r="B207" s="20" t="s">
        <v>466</v>
      </c>
      <c r="C207" s="20" t="s">
        <v>854</v>
      </c>
      <c r="D207" s="138">
        <v>3340000</v>
      </c>
      <c r="E207" s="20" t="s">
        <v>487</v>
      </c>
      <c r="F207" s="20" t="s">
        <v>488</v>
      </c>
      <c r="G207" s="8" t="str">
        <f t="shared" si="3"/>
        <v>ELBAUM MIKE</v>
      </c>
    </row>
    <row r="208" spans="1:7" x14ac:dyDescent="0.25">
      <c r="A208" s="8">
        <v>42965.862164351849</v>
      </c>
      <c r="B208" s="20" t="s">
        <v>467</v>
      </c>
      <c r="C208" s="20" t="s">
        <v>855</v>
      </c>
      <c r="D208" s="138">
        <v>2620000</v>
      </c>
      <c r="E208" s="20" t="s">
        <v>580</v>
      </c>
      <c r="F208" s="20" t="s">
        <v>581</v>
      </c>
      <c r="G208" s="8" t="str">
        <f t="shared" si="3"/>
        <v>PERKINS DARREN</v>
      </c>
    </row>
    <row r="209" spans="1:7" x14ac:dyDescent="0.25">
      <c r="A209" s="8">
        <v>42965.864270833335</v>
      </c>
      <c r="B209" s="20" t="s">
        <v>359</v>
      </c>
      <c r="C209" s="20" t="s">
        <v>856</v>
      </c>
      <c r="D209" s="138">
        <v>3220000</v>
      </c>
      <c r="E209" s="20" t="s">
        <v>538</v>
      </c>
      <c r="F209" s="20" t="s">
        <v>539</v>
      </c>
      <c r="G209" s="8" t="str">
        <f t="shared" si="3"/>
        <v>RESPASS AARON</v>
      </c>
    </row>
    <row r="210" spans="1:7" x14ac:dyDescent="0.25">
      <c r="A210" s="8">
        <v>42965.882141203707</v>
      </c>
      <c r="B210" s="20" t="s">
        <v>376</v>
      </c>
      <c r="C210" s="20" t="s">
        <v>857</v>
      </c>
      <c r="D210" s="138">
        <v>3310000</v>
      </c>
      <c r="E210" s="20" t="s">
        <v>501</v>
      </c>
      <c r="F210" s="20" t="s">
        <v>502</v>
      </c>
      <c r="G210" s="8" t="str">
        <f t="shared" si="3"/>
        <v>ANDERS STEVEN</v>
      </c>
    </row>
    <row r="211" spans="1:7" x14ac:dyDescent="0.25">
      <c r="A211" s="8">
        <v>42965.882326388892</v>
      </c>
      <c r="B211" s="20" t="s">
        <v>575</v>
      </c>
      <c r="C211" s="20" t="s">
        <v>858</v>
      </c>
      <c r="D211" s="138">
        <v>3000000</v>
      </c>
      <c r="E211" s="20" t="s">
        <v>380</v>
      </c>
      <c r="F211" s="20" t="s">
        <v>381</v>
      </c>
      <c r="G211" s="8" t="str">
        <f t="shared" si="3"/>
        <v>FORTUNATO FRANK</v>
      </c>
    </row>
    <row r="212" spans="1:7" x14ac:dyDescent="0.25">
      <c r="A212" s="8">
        <v>42965.892546296294</v>
      </c>
      <c r="B212" s="20" t="s">
        <v>462</v>
      </c>
      <c r="C212" s="20" t="s">
        <v>859</v>
      </c>
      <c r="D212" s="138">
        <v>3340000</v>
      </c>
      <c r="E212" s="20" t="s">
        <v>487</v>
      </c>
      <c r="F212" s="20" t="s">
        <v>488</v>
      </c>
      <c r="G212" s="8" t="str">
        <f t="shared" si="3"/>
        <v>ELBAUM MIKE</v>
      </c>
    </row>
    <row r="213" spans="1:7" x14ac:dyDescent="0.25">
      <c r="A213" s="8">
        <v>42965.901504629626</v>
      </c>
      <c r="B213" s="20" t="s">
        <v>405</v>
      </c>
      <c r="C213" s="20" t="s">
        <v>860</v>
      </c>
      <c r="D213" s="138">
        <v>3310000</v>
      </c>
      <c r="E213" s="20" t="s">
        <v>501</v>
      </c>
      <c r="F213" s="20" t="s">
        <v>502</v>
      </c>
      <c r="G213" s="8" t="str">
        <f t="shared" si="3"/>
        <v>ANDERS STEVEN</v>
      </c>
    </row>
    <row r="214" spans="1:7" x14ac:dyDescent="0.25">
      <c r="A214" s="8">
        <v>42965.904513888891</v>
      </c>
      <c r="B214" s="20" t="s">
        <v>447</v>
      </c>
      <c r="C214" s="20" t="s">
        <v>679</v>
      </c>
      <c r="D214" s="138">
        <v>2620000</v>
      </c>
      <c r="E214" s="20" t="s">
        <v>580</v>
      </c>
      <c r="F214" s="20" t="s">
        <v>581</v>
      </c>
      <c r="G214" s="8" t="str">
        <f t="shared" si="3"/>
        <v>PERKINS DARREN</v>
      </c>
    </row>
    <row r="215" spans="1:7" x14ac:dyDescent="0.25">
      <c r="A215" s="8">
        <v>42965.906608796293</v>
      </c>
      <c r="B215" s="20" t="s">
        <v>356</v>
      </c>
      <c r="C215" s="20" t="s">
        <v>861</v>
      </c>
      <c r="D215" s="138">
        <v>3220000</v>
      </c>
      <c r="E215" s="20" t="s">
        <v>538</v>
      </c>
      <c r="F215" s="20" t="s">
        <v>539</v>
      </c>
      <c r="G215" s="8" t="str">
        <f t="shared" si="3"/>
        <v>RESPASS AARON</v>
      </c>
    </row>
    <row r="216" spans="1:7" x14ac:dyDescent="0.25">
      <c r="A216" s="8">
        <v>42965.915856481479</v>
      </c>
      <c r="B216" s="20" t="s">
        <v>376</v>
      </c>
      <c r="C216" s="20" t="s">
        <v>862</v>
      </c>
      <c r="D216" s="138">
        <v>3310000</v>
      </c>
      <c r="E216" s="20" t="s">
        <v>501</v>
      </c>
      <c r="F216" s="20" t="s">
        <v>502</v>
      </c>
      <c r="G216" s="8" t="str">
        <f t="shared" si="3"/>
        <v>ANDERS STEVEN</v>
      </c>
    </row>
    <row r="217" spans="1:7" x14ac:dyDescent="0.25">
      <c r="A217" s="8">
        <v>42965.922337962962</v>
      </c>
      <c r="B217" s="20" t="s">
        <v>576</v>
      </c>
      <c r="C217" s="20" t="s">
        <v>863</v>
      </c>
      <c r="D217" s="138">
        <v>3000000</v>
      </c>
      <c r="E217" s="20" t="s">
        <v>380</v>
      </c>
      <c r="F217" s="20" t="s">
        <v>381</v>
      </c>
      <c r="G217" s="8" t="str">
        <f t="shared" si="3"/>
        <v>FORTUNATO FRANK</v>
      </c>
    </row>
    <row r="218" spans="1:7" x14ac:dyDescent="0.25">
      <c r="A218" s="8">
        <v>42965.924050925925</v>
      </c>
      <c r="B218" s="20" t="s">
        <v>466</v>
      </c>
      <c r="C218" s="20" t="s">
        <v>864</v>
      </c>
      <c r="D218" s="138">
        <v>3340000</v>
      </c>
      <c r="E218" s="20" t="s">
        <v>487</v>
      </c>
      <c r="F218" s="20" t="s">
        <v>488</v>
      </c>
      <c r="G218" s="8" t="str">
        <f t="shared" si="3"/>
        <v>ELBAUM MIKE</v>
      </c>
    </row>
    <row r="219" spans="1:7" x14ac:dyDescent="0.25">
      <c r="A219" s="8">
        <v>42965.943888888891</v>
      </c>
      <c r="B219" s="20" t="s">
        <v>405</v>
      </c>
      <c r="C219" s="20" t="s">
        <v>865</v>
      </c>
      <c r="D219" s="138">
        <v>3310000</v>
      </c>
      <c r="E219" s="20" t="s">
        <v>501</v>
      </c>
      <c r="F219" s="20" t="s">
        <v>502</v>
      </c>
      <c r="G219" s="8" t="str">
        <f t="shared" si="3"/>
        <v>ANDERS STEVEN</v>
      </c>
    </row>
    <row r="220" spans="1:7" x14ac:dyDescent="0.25">
      <c r="A220" s="8">
        <v>42965.9450462963</v>
      </c>
      <c r="B220" s="20" t="s">
        <v>467</v>
      </c>
      <c r="C220" s="20" t="s">
        <v>680</v>
      </c>
      <c r="D220" s="138">
        <v>2620000</v>
      </c>
      <c r="E220" s="20" t="s">
        <v>580</v>
      </c>
      <c r="F220" s="20" t="s">
        <v>581</v>
      </c>
      <c r="G220" s="8" t="str">
        <f t="shared" si="3"/>
        <v>PERKINS DARREN</v>
      </c>
    </row>
    <row r="221" spans="1:7" x14ac:dyDescent="0.25">
      <c r="A221" s="8">
        <v>42965.946527777778</v>
      </c>
      <c r="B221" s="20" t="s">
        <v>467</v>
      </c>
      <c r="C221" s="20" t="s">
        <v>680</v>
      </c>
      <c r="D221" s="138">
        <v>2620000</v>
      </c>
      <c r="E221" s="20" t="s">
        <v>580</v>
      </c>
      <c r="F221" s="20" t="s">
        <v>581</v>
      </c>
      <c r="G221" s="8" t="str">
        <f t="shared" si="3"/>
        <v>PERKINS DARREN</v>
      </c>
    </row>
    <row r="222" spans="1:7" x14ac:dyDescent="0.25">
      <c r="A222" s="8">
        <v>42965.953159722223</v>
      </c>
      <c r="B222" s="20" t="s">
        <v>467</v>
      </c>
      <c r="C222" s="20" t="s">
        <v>680</v>
      </c>
      <c r="D222" s="138">
        <v>2620000</v>
      </c>
      <c r="E222" s="20" t="s">
        <v>580</v>
      </c>
      <c r="F222" s="20" t="s">
        <v>581</v>
      </c>
      <c r="G222" s="8" t="str">
        <f t="shared" si="3"/>
        <v>PERKINS DARREN</v>
      </c>
    </row>
    <row r="223" spans="1:7" x14ac:dyDescent="0.25">
      <c r="A223" s="8">
        <v>42965.954479166663</v>
      </c>
      <c r="B223" s="20" t="s">
        <v>359</v>
      </c>
      <c r="C223" s="20" t="s">
        <v>681</v>
      </c>
      <c r="D223" s="138">
        <v>3030000</v>
      </c>
      <c r="E223" s="20" t="s">
        <v>366</v>
      </c>
      <c r="F223" s="20" t="s">
        <v>354</v>
      </c>
      <c r="G223" s="8" t="str">
        <f t="shared" si="3"/>
        <v>BIRENBAUM THOMAS</v>
      </c>
    </row>
    <row r="224" spans="1:7" x14ac:dyDescent="0.25">
      <c r="A224" s="8">
        <v>42965.9690162037</v>
      </c>
      <c r="B224" t="s">
        <v>575</v>
      </c>
      <c r="C224" t="s">
        <v>866</v>
      </c>
      <c r="D224" s="138">
        <v>3000000</v>
      </c>
      <c r="E224" t="s">
        <v>380</v>
      </c>
      <c r="F224" s="20" t="s">
        <v>381</v>
      </c>
      <c r="G224" s="8" t="str">
        <f t="shared" si="3"/>
        <v>FORTUNATO FRANK</v>
      </c>
    </row>
    <row r="225" spans="1:7" x14ac:dyDescent="0.25">
      <c r="A225" s="8">
        <v>42965.976655092592</v>
      </c>
      <c r="B225" t="s">
        <v>462</v>
      </c>
      <c r="C225" t="s">
        <v>682</v>
      </c>
      <c r="D225" s="138">
        <v>3340000</v>
      </c>
      <c r="E225" t="s">
        <v>487</v>
      </c>
      <c r="F225" s="20" t="s">
        <v>488</v>
      </c>
      <c r="G225" s="8" t="str">
        <f t="shared" si="3"/>
        <v>ELBAUM MIKE</v>
      </c>
    </row>
    <row r="226" spans="1:7" x14ac:dyDescent="0.25">
      <c r="A226" s="8">
        <v>42965.988136574073</v>
      </c>
      <c r="B226" t="s">
        <v>447</v>
      </c>
      <c r="C226" t="s">
        <v>867</v>
      </c>
      <c r="D226" s="138">
        <v>2620000</v>
      </c>
      <c r="E226" t="s">
        <v>580</v>
      </c>
      <c r="F226" s="20" t="s">
        <v>581</v>
      </c>
      <c r="G226" s="8" t="str">
        <f t="shared" si="3"/>
        <v>PERKINS DARREN</v>
      </c>
    </row>
    <row r="227" spans="1:7" x14ac:dyDescent="0.25">
      <c r="A227" s="8">
        <v>42965.994479166664</v>
      </c>
      <c r="B227" t="s">
        <v>356</v>
      </c>
      <c r="C227" t="s">
        <v>868</v>
      </c>
      <c r="D227" s="138">
        <v>3030000</v>
      </c>
      <c r="E227" t="s">
        <v>366</v>
      </c>
      <c r="F227" s="20" t="s">
        <v>354</v>
      </c>
      <c r="G227" s="8" t="str">
        <f t="shared" si="3"/>
        <v>BIRENBAUM THOMAS</v>
      </c>
    </row>
    <row r="228" spans="1:7" x14ac:dyDescent="0.25">
      <c r="A228" s="8">
        <v>42966.005740740744</v>
      </c>
      <c r="B228" t="s">
        <v>576</v>
      </c>
      <c r="C228" t="s">
        <v>869</v>
      </c>
      <c r="D228" s="138">
        <v>3000000</v>
      </c>
      <c r="E228" t="s">
        <v>380</v>
      </c>
      <c r="F228" s="20" t="s">
        <v>381</v>
      </c>
      <c r="G228" s="8" t="str">
        <f t="shared" si="3"/>
        <v>FORTUNATO FRANK</v>
      </c>
    </row>
    <row r="229" spans="1:7" x14ac:dyDescent="0.25">
      <c r="A229" s="8">
        <v>42966.011157407411</v>
      </c>
      <c r="B229" t="s">
        <v>466</v>
      </c>
      <c r="C229" t="s">
        <v>870</v>
      </c>
      <c r="D229" s="138">
        <v>3340000</v>
      </c>
      <c r="E229" t="s">
        <v>487</v>
      </c>
      <c r="F229" s="20" t="s">
        <v>488</v>
      </c>
      <c r="G229" s="8" t="str">
        <f t="shared" si="3"/>
        <v>ELBAUM MIKE</v>
      </c>
    </row>
    <row r="230" spans="1:7" x14ac:dyDescent="0.25">
      <c r="A230" s="8">
        <v>42966.030312499999</v>
      </c>
      <c r="B230" t="s">
        <v>359</v>
      </c>
      <c r="C230" t="s">
        <v>871</v>
      </c>
      <c r="D230" s="138">
        <v>3220000</v>
      </c>
      <c r="E230" t="s">
        <v>538</v>
      </c>
      <c r="F230" s="20" t="s">
        <v>539</v>
      </c>
      <c r="G230" s="8" t="str">
        <f t="shared" si="3"/>
        <v>RESPASS AARON</v>
      </c>
    </row>
    <row r="231" spans="1:7" x14ac:dyDescent="0.25">
      <c r="A231" s="8">
        <v>42966.032372685186</v>
      </c>
      <c r="B231" t="s">
        <v>467</v>
      </c>
      <c r="C231" t="s">
        <v>872</v>
      </c>
      <c r="D231" s="138">
        <v>2620000</v>
      </c>
      <c r="E231" t="s">
        <v>580</v>
      </c>
      <c r="F231" s="20" t="s">
        <v>581</v>
      </c>
      <c r="G231" s="8" t="str">
        <f t="shared" si="3"/>
        <v>PERKINS DARREN</v>
      </c>
    </row>
    <row r="232" spans="1:7" x14ac:dyDescent="0.25">
      <c r="A232" s="8">
        <v>42966.048159722224</v>
      </c>
      <c r="B232" t="s">
        <v>575</v>
      </c>
      <c r="C232" t="s">
        <v>873</v>
      </c>
      <c r="D232" s="138">
        <v>3000000</v>
      </c>
      <c r="E232" t="s">
        <v>380</v>
      </c>
      <c r="F232" s="20" t="s">
        <v>381</v>
      </c>
      <c r="G232" s="8" t="str">
        <f t="shared" si="3"/>
        <v>FORTUNATO FRANK</v>
      </c>
    </row>
    <row r="233" spans="1:7" x14ac:dyDescent="0.25">
      <c r="A233" s="8">
        <v>42966.048703703702</v>
      </c>
      <c r="B233" t="s">
        <v>462</v>
      </c>
      <c r="C233" t="s">
        <v>874</v>
      </c>
      <c r="D233" s="138">
        <v>1540000</v>
      </c>
      <c r="E233" t="s">
        <v>875</v>
      </c>
      <c r="F233" s="20" t="s">
        <v>876</v>
      </c>
      <c r="G233" s="8" t="str">
        <f t="shared" si="3"/>
        <v>HELVIE ADAM</v>
      </c>
    </row>
    <row r="234" spans="1:7" x14ac:dyDescent="0.25">
      <c r="A234" s="8">
        <v>42966.068368055552</v>
      </c>
      <c r="B234" t="s">
        <v>447</v>
      </c>
      <c r="C234" t="s">
        <v>877</v>
      </c>
      <c r="D234" s="138">
        <v>2620000</v>
      </c>
      <c r="E234" t="s">
        <v>580</v>
      </c>
      <c r="F234" s="20" t="s">
        <v>581</v>
      </c>
      <c r="G234" s="8" t="str">
        <f t="shared" si="3"/>
        <v>PERKINS DARREN</v>
      </c>
    </row>
    <row r="235" spans="1:7" x14ac:dyDescent="0.25">
      <c r="A235" s="8">
        <v>42966.077928240738</v>
      </c>
      <c r="B235" t="s">
        <v>356</v>
      </c>
      <c r="C235" t="s">
        <v>878</v>
      </c>
      <c r="D235" s="138">
        <v>3220000</v>
      </c>
      <c r="E235" t="s">
        <v>538</v>
      </c>
      <c r="F235" s="20" t="s">
        <v>539</v>
      </c>
      <c r="G235" s="8" t="str">
        <f t="shared" si="3"/>
        <v>RESPASS AARON</v>
      </c>
    </row>
    <row r="236" spans="1:7" x14ac:dyDescent="0.25">
      <c r="A236" s="8">
        <v>42966.088819444441</v>
      </c>
      <c r="B236" t="s">
        <v>576</v>
      </c>
      <c r="C236" t="s">
        <v>683</v>
      </c>
      <c r="D236" s="138">
        <v>3000000</v>
      </c>
      <c r="E236" t="s">
        <v>380</v>
      </c>
      <c r="F236" s="20" t="s">
        <v>381</v>
      </c>
      <c r="G236" s="8" t="str">
        <f t="shared" si="3"/>
        <v>FORTUNATO FRANK</v>
      </c>
    </row>
    <row r="237" spans="1:7" x14ac:dyDescent="0.25">
      <c r="A237" s="8">
        <v>42966.091956018521</v>
      </c>
      <c r="B237" t="s">
        <v>576</v>
      </c>
      <c r="C237" t="s">
        <v>683</v>
      </c>
      <c r="D237" s="138">
        <v>3000000</v>
      </c>
      <c r="E237" t="s">
        <v>380</v>
      </c>
      <c r="F237" s="20" t="s">
        <v>381</v>
      </c>
      <c r="G237" s="8" t="str">
        <f t="shared" si="3"/>
        <v>FORTUNATO FRANK</v>
      </c>
    </row>
    <row r="238" spans="1:7" x14ac:dyDescent="0.25">
      <c r="A238" s="8">
        <v>42966.093101851853</v>
      </c>
      <c r="B238" t="s">
        <v>356</v>
      </c>
      <c r="C238" t="s">
        <v>878</v>
      </c>
      <c r="D238" s="138">
        <v>3220000</v>
      </c>
      <c r="E238" t="s">
        <v>538</v>
      </c>
      <c r="F238" s="20" t="s">
        <v>539</v>
      </c>
      <c r="G238" s="8" t="str">
        <f t="shared" si="3"/>
        <v>RESPASS AARON</v>
      </c>
    </row>
    <row r="239" spans="1:7" x14ac:dyDescent="0.25">
      <c r="A239" s="8">
        <v>42964.994814814818</v>
      </c>
      <c r="B239" t="s">
        <v>578</v>
      </c>
      <c r="C239" t="s">
        <v>584</v>
      </c>
      <c r="D239" s="138">
        <v>3030000</v>
      </c>
      <c r="E239" t="s">
        <v>366</v>
      </c>
      <c r="F239" s="20" t="s">
        <v>354</v>
      </c>
      <c r="G239" s="8" t="str">
        <f t="shared" si="3"/>
        <v>BIRENBAUM THOMAS</v>
      </c>
    </row>
    <row r="240" spans="1:7" x14ac:dyDescent="0.25">
      <c r="A240" s="8">
        <v>42965.016111111108</v>
      </c>
      <c r="B240" t="s">
        <v>465</v>
      </c>
      <c r="C240" t="s">
        <v>585</v>
      </c>
      <c r="D240" s="138">
        <v>2150000</v>
      </c>
      <c r="E240" t="s">
        <v>582</v>
      </c>
      <c r="F240" s="20" t="s">
        <v>583</v>
      </c>
      <c r="G240" s="8" t="str">
        <f t="shared" si="3"/>
        <v>SWANSON BRYCE</v>
      </c>
    </row>
    <row r="241" spans="1:7" x14ac:dyDescent="0.25">
      <c r="A241" s="8">
        <v>42965.017164351855</v>
      </c>
      <c r="B241" t="s">
        <v>527</v>
      </c>
      <c r="C241" t="s">
        <v>586</v>
      </c>
      <c r="D241" s="138">
        <v>3000000</v>
      </c>
      <c r="E241" t="s">
        <v>380</v>
      </c>
      <c r="F241" s="20" t="s">
        <v>381</v>
      </c>
      <c r="G241" s="8" t="str">
        <f t="shared" si="3"/>
        <v>FORTUNATO FRANK</v>
      </c>
    </row>
    <row r="242" spans="1:7" x14ac:dyDescent="0.25">
      <c r="A242" s="8">
        <v>42965.027141203704</v>
      </c>
      <c r="B242" t="s">
        <v>577</v>
      </c>
      <c r="C242" t="s">
        <v>587</v>
      </c>
      <c r="D242" s="138">
        <v>3090000</v>
      </c>
      <c r="E242" t="s">
        <v>362</v>
      </c>
      <c r="F242" s="20" t="s">
        <v>363</v>
      </c>
      <c r="G242" s="8" t="str">
        <f t="shared" si="3"/>
        <v>LAMAR NEKESHA</v>
      </c>
    </row>
    <row r="243" spans="1:7" x14ac:dyDescent="0.25">
      <c r="A243" s="8">
        <v>42965.027268518519</v>
      </c>
      <c r="B243" t="s">
        <v>574</v>
      </c>
      <c r="C243" t="s">
        <v>588</v>
      </c>
      <c r="D243" s="138">
        <v>2620000</v>
      </c>
      <c r="E243" t="s">
        <v>580</v>
      </c>
      <c r="F243" s="20" t="s">
        <v>581</v>
      </c>
      <c r="G243" s="8" t="str">
        <f t="shared" si="3"/>
        <v>PERKINS DARREN</v>
      </c>
    </row>
    <row r="244" spans="1:7" x14ac:dyDescent="0.25">
      <c r="A244" s="8">
        <v>42965.048726851855</v>
      </c>
      <c r="B244" t="s">
        <v>435</v>
      </c>
      <c r="C244" t="s">
        <v>589</v>
      </c>
      <c r="D244" s="138">
        <v>3000000</v>
      </c>
      <c r="E244" t="s">
        <v>380</v>
      </c>
      <c r="F244" s="20" t="s">
        <v>381</v>
      </c>
      <c r="G244" s="8" t="str">
        <f t="shared" si="3"/>
        <v>FORTUNATO FRANK</v>
      </c>
    </row>
    <row r="245" spans="1:7" x14ac:dyDescent="0.25">
      <c r="A245" s="8">
        <v>42965.052199074074</v>
      </c>
      <c r="B245" t="s">
        <v>478</v>
      </c>
      <c r="C245" t="s">
        <v>590</v>
      </c>
      <c r="D245" s="138">
        <v>2230000</v>
      </c>
      <c r="E245" t="s">
        <v>336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42965.068749999999</v>
      </c>
      <c r="B246" t="s">
        <v>468</v>
      </c>
      <c r="C246" t="s">
        <v>591</v>
      </c>
      <c r="D246" s="138">
        <v>2620000</v>
      </c>
      <c r="E246" t="s">
        <v>580</v>
      </c>
      <c r="F246" s="20" t="s">
        <v>581</v>
      </c>
      <c r="G246" s="8" t="str">
        <f t="shared" si="3"/>
        <v>PERKINS DARREN</v>
      </c>
    </row>
    <row r="247" spans="1:7" x14ac:dyDescent="0.25">
      <c r="A247" s="8">
        <v>42965.08929398148</v>
      </c>
      <c r="B247" t="s">
        <v>527</v>
      </c>
      <c r="C247" t="s">
        <v>592</v>
      </c>
      <c r="D247" s="138">
        <v>3000000</v>
      </c>
      <c r="E247" t="s">
        <v>380</v>
      </c>
      <c r="F247" s="20" t="s">
        <v>381</v>
      </c>
      <c r="G247" s="8" t="str">
        <f t="shared" si="3"/>
        <v>FORTUNATO FRANK</v>
      </c>
    </row>
    <row r="248" spans="1:7" x14ac:dyDescent="0.25">
      <c r="A248" s="8">
        <v>42965.112025462964</v>
      </c>
      <c r="B248" t="s">
        <v>384</v>
      </c>
      <c r="C248" t="s">
        <v>593</v>
      </c>
      <c r="D248" s="138">
        <v>1110000</v>
      </c>
      <c r="E248" t="s">
        <v>406</v>
      </c>
      <c r="F248" s="20" t="s">
        <v>407</v>
      </c>
      <c r="G248" s="8" t="str">
        <f t="shared" si="3"/>
        <v>STARKS ANGELINA</v>
      </c>
    </row>
    <row r="249" spans="1:7" x14ac:dyDescent="0.25">
      <c r="A249" s="8">
        <v>42963.908472222225</v>
      </c>
      <c r="B249" t="s">
        <v>356</v>
      </c>
      <c r="C249" t="s">
        <v>532</v>
      </c>
      <c r="D249" s="138">
        <v>3000000</v>
      </c>
      <c r="E249" t="s">
        <v>380</v>
      </c>
      <c r="F249" s="20" t="s">
        <v>381</v>
      </c>
      <c r="G249" s="8" t="str">
        <f t="shared" si="3"/>
        <v>FORTUNATO FRANK</v>
      </c>
    </row>
    <row r="250" spans="1:7" x14ac:dyDescent="0.25">
      <c r="A250" s="8">
        <v>42963.914351851854</v>
      </c>
      <c r="B250" t="s">
        <v>462</v>
      </c>
      <c r="C250" t="s">
        <v>524</v>
      </c>
      <c r="D250" s="138">
        <v>3310000</v>
      </c>
      <c r="E250" t="s">
        <v>501</v>
      </c>
      <c r="F250" s="20" t="s">
        <v>502</v>
      </c>
      <c r="G250" s="8" t="str">
        <f t="shared" si="3"/>
        <v>ANDERS STEVEN</v>
      </c>
    </row>
    <row r="251" spans="1:7" x14ac:dyDescent="0.25">
      <c r="A251" s="8">
        <v>42963.914768518516</v>
      </c>
      <c r="B251" t="s">
        <v>527</v>
      </c>
      <c r="C251" t="s">
        <v>533</v>
      </c>
      <c r="D251" s="138">
        <v>3340000</v>
      </c>
      <c r="E251" t="s">
        <v>487</v>
      </c>
      <c r="F251" s="20" t="s">
        <v>488</v>
      </c>
      <c r="G251" s="8" t="str">
        <f t="shared" si="3"/>
        <v>ELBAUM MIKE</v>
      </c>
    </row>
    <row r="252" spans="1:7" x14ac:dyDescent="0.25">
      <c r="A252" s="8">
        <v>42963.92659722222</v>
      </c>
      <c r="B252" t="s">
        <v>523</v>
      </c>
      <c r="C252" t="s">
        <v>534</v>
      </c>
      <c r="D252" s="138">
        <v>2090000</v>
      </c>
      <c r="E252" t="s">
        <v>389</v>
      </c>
      <c r="F252" s="20" t="s">
        <v>192</v>
      </c>
      <c r="G252" s="8" t="str">
        <f t="shared" si="3"/>
        <v>HAITHCOX MICHAEL</v>
      </c>
    </row>
    <row r="253" spans="1:7" x14ac:dyDescent="0.25">
      <c r="A253" s="8">
        <v>42963.927141203705</v>
      </c>
      <c r="B253" t="s">
        <v>447</v>
      </c>
      <c r="C253" t="s">
        <v>535</v>
      </c>
      <c r="D253" s="138">
        <v>2680000</v>
      </c>
      <c r="E253" t="s">
        <v>499</v>
      </c>
      <c r="F253" s="20" t="s">
        <v>500</v>
      </c>
      <c r="G253" s="8" t="str">
        <f t="shared" si="3"/>
        <v>DUNCAN SHEILA</v>
      </c>
    </row>
    <row r="254" spans="1:7" x14ac:dyDescent="0.25">
      <c r="A254" s="8">
        <v>42963.942175925928</v>
      </c>
      <c r="B254" t="s">
        <v>435</v>
      </c>
      <c r="C254" t="s">
        <v>536</v>
      </c>
      <c r="D254" s="138">
        <v>3340000</v>
      </c>
      <c r="E254" t="s">
        <v>487</v>
      </c>
      <c r="F254" s="20" t="s">
        <v>488</v>
      </c>
      <c r="G254" s="8" t="str">
        <f t="shared" si="3"/>
        <v>ELBAUM MIKE</v>
      </c>
    </row>
    <row r="255" spans="1:7" x14ac:dyDescent="0.25">
      <c r="A255" s="8">
        <v>42963.949155092596</v>
      </c>
      <c r="B255" t="s">
        <v>359</v>
      </c>
      <c r="C255" t="s">
        <v>537</v>
      </c>
      <c r="D255" s="138">
        <v>3220000</v>
      </c>
      <c r="E255" t="s">
        <v>538</v>
      </c>
      <c r="F255" s="20" t="s">
        <v>539</v>
      </c>
      <c r="G255" s="8" t="str">
        <f t="shared" si="3"/>
        <v>RESPASS AARON</v>
      </c>
    </row>
    <row r="256" spans="1:7" x14ac:dyDescent="0.25">
      <c r="A256" s="8">
        <v>42963.953946759262</v>
      </c>
      <c r="B256" t="s">
        <v>466</v>
      </c>
      <c r="C256" t="s">
        <v>540</v>
      </c>
      <c r="D256" s="138">
        <v>3310000</v>
      </c>
      <c r="E256" t="s">
        <v>501</v>
      </c>
      <c r="F256" s="20" t="s">
        <v>502</v>
      </c>
      <c r="G256" s="8" t="str">
        <f t="shared" si="3"/>
        <v>ANDERS STEVEN</v>
      </c>
    </row>
    <row r="257" spans="1:7" x14ac:dyDescent="0.25">
      <c r="A257" s="8">
        <v>42963.964872685188</v>
      </c>
      <c r="B257" t="s">
        <v>522</v>
      </c>
      <c r="C257" t="s">
        <v>541</v>
      </c>
      <c r="D257" s="138">
        <v>2090000</v>
      </c>
      <c r="E257" t="s">
        <v>389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42963.966412037036</v>
      </c>
      <c r="B258" t="s">
        <v>467</v>
      </c>
      <c r="C258" t="s">
        <v>542</v>
      </c>
      <c r="D258" s="138">
        <v>2680000</v>
      </c>
      <c r="E258" t="s">
        <v>499</v>
      </c>
      <c r="F258" s="20" t="s">
        <v>500</v>
      </c>
      <c r="G258" s="8" t="str">
        <f t="shared" si="3"/>
        <v>DUNCAN SHEILA</v>
      </c>
    </row>
    <row r="259" spans="1:7" x14ac:dyDescent="0.25">
      <c r="A259" s="8">
        <v>42963.986319444448</v>
      </c>
      <c r="B259" t="s">
        <v>462</v>
      </c>
      <c r="C259" t="s">
        <v>525</v>
      </c>
      <c r="D259" s="138">
        <v>3310000</v>
      </c>
      <c r="E259" t="s">
        <v>501</v>
      </c>
      <c r="F259" s="20" t="s">
        <v>502</v>
      </c>
      <c r="G259" s="8" t="str">
        <f t="shared" ref="G259:G322" si="4">E259&amp;" "&amp;F259</f>
        <v>ANDERS STEVEN</v>
      </c>
    </row>
    <row r="260" spans="1:7" x14ac:dyDescent="0.25">
      <c r="A260" s="8">
        <v>42963.988726851851</v>
      </c>
      <c r="B260" t="s">
        <v>356</v>
      </c>
      <c r="C260" t="s">
        <v>543</v>
      </c>
      <c r="D260" s="138">
        <v>3220000</v>
      </c>
      <c r="E260" t="s">
        <v>538</v>
      </c>
      <c r="F260" s="20" t="s">
        <v>539</v>
      </c>
      <c r="G260" s="8" t="str">
        <f t="shared" si="4"/>
        <v>RESPASS AARON</v>
      </c>
    </row>
    <row r="261" spans="1:7" x14ac:dyDescent="0.25">
      <c r="A261" s="8">
        <v>42964.006793981483</v>
      </c>
      <c r="B261" t="s">
        <v>447</v>
      </c>
      <c r="C261" t="s">
        <v>544</v>
      </c>
      <c r="D261" s="138">
        <v>2680000</v>
      </c>
      <c r="E261" t="s">
        <v>499</v>
      </c>
      <c r="F261" s="20" t="s">
        <v>500</v>
      </c>
      <c r="G261" s="8" t="str">
        <f t="shared" si="4"/>
        <v>DUNCAN SHEILA</v>
      </c>
    </row>
    <row r="262" spans="1:7" x14ac:dyDescent="0.25">
      <c r="A262" s="8">
        <v>42964.01017361111</v>
      </c>
      <c r="B262" t="s">
        <v>523</v>
      </c>
      <c r="C262" t="s">
        <v>545</v>
      </c>
      <c r="D262" s="138">
        <v>2090000</v>
      </c>
      <c r="E262" t="s">
        <v>389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42964.033576388887</v>
      </c>
      <c r="B263" t="s">
        <v>359</v>
      </c>
      <c r="C263" t="s">
        <v>546</v>
      </c>
      <c r="D263" s="138">
        <v>3000000</v>
      </c>
      <c r="E263" t="s">
        <v>380</v>
      </c>
      <c r="F263" s="20" t="s">
        <v>381</v>
      </c>
      <c r="G263" s="8" t="str">
        <f t="shared" si="4"/>
        <v>FORTUNATO FRANK</v>
      </c>
    </row>
    <row r="264" spans="1:7" x14ac:dyDescent="0.25">
      <c r="A264" s="8">
        <v>42964.035324074073</v>
      </c>
      <c r="B264" t="s">
        <v>466</v>
      </c>
      <c r="C264" t="s">
        <v>547</v>
      </c>
      <c r="D264" s="138">
        <v>3310000</v>
      </c>
      <c r="E264" t="s">
        <v>501</v>
      </c>
      <c r="F264" s="20" t="s">
        <v>502</v>
      </c>
      <c r="G264" s="8" t="str">
        <f t="shared" si="4"/>
        <v>ANDERS STEVEN</v>
      </c>
    </row>
    <row r="265" spans="1:7" x14ac:dyDescent="0.25">
      <c r="A265" s="8">
        <v>42964.047233796293</v>
      </c>
      <c r="B265" t="s">
        <v>522</v>
      </c>
      <c r="C265" t="s">
        <v>548</v>
      </c>
      <c r="D265" s="138">
        <v>2090000</v>
      </c>
      <c r="E265" t="s">
        <v>389</v>
      </c>
      <c r="F265" s="20" t="s">
        <v>192</v>
      </c>
      <c r="G265" s="8" t="str">
        <f t="shared" si="4"/>
        <v>HAITHCOX MICHAEL</v>
      </c>
    </row>
    <row r="266" spans="1:7" x14ac:dyDescent="0.25">
      <c r="A266" s="8">
        <v>42964.047893518517</v>
      </c>
      <c r="B266" t="s">
        <v>467</v>
      </c>
      <c r="C266" t="s">
        <v>549</v>
      </c>
      <c r="D266" s="138">
        <v>2680000</v>
      </c>
      <c r="E266" t="s">
        <v>499</v>
      </c>
      <c r="F266" s="20" t="s">
        <v>500</v>
      </c>
      <c r="G266" s="8" t="str">
        <f t="shared" si="4"/>
        <v>DUNCAN SHEILA</v>
      </c>
    </row>
    <row r="267" spans="1:7" x14ac:dyDescent="0.25">
      <c r="A267" s="8">
        <v>42964.068229166667</v>
      </c>
      <c r="B267" t="s">
        <v>462</v>
      </c>
      <c r="C267" t="s">
        <v>550</v>
      </c>
      <c r="D267" s="138">
        <v>3310000</v>
      </c>
      <c r="E267" t="s">
        <v>501</v>
      </c>
      <c r="F267" s="20" t="s">
        <v>502</v>
      </c>
      <c r="G267" s="8" t="str">
        <f t="shared" si="4"/>
        <v>ANDERS STEVEN</v>
      </c>
    </row>
    <row r="268" spans="1:7" x14ac:dyDescent="0.25">
      <c r="A268" s="8">
        <v>42964.09002314815</v>
      </c>
      <c r="B268" t="s">
        <v>447</v>
      </c>
      <c r="C268" t="s">
        <v>551</v>
      </c>
      <c r="D268" s="138">
        <v>2680000</v>
      </c>
      <c r="E268" t="s">
        <v>499</v>
      </c>
      <c r="F268" s="20" t="s">
        <v>500</v>
      </c>
      <c r="G268" s="8" t="str">
        <f t="shared" si="4"/>
        <v>DUNCAN SHEILA</v>
      </c>
    </row>
    <row r="269" spans="1:7" x14ac:dyDescent="0.25">
      <c r="A269" s="8">
        <v>42964.111990740741</v>
      </c>
      <c r="B269" t="s">
        <v>477</v>
      </c>
      <c r="C269" t="s">
        <v>552</v>
      </c>
      <c r="D269" s="138">
        <v>1110000</v>
      </c>
      <c r="E269" t="s">
        <v>406</v>
      </c>
      <c r="F269" s="20" t="s">
        <v>407</v>
      </c>
      <c r="G269" s="8" t="str">
        <f t="shared" si="4"/>
        <v>STARKS ANGELINA</v>
      </c>
    </row>
    <row r="270" spans="1:7" x14ac:dyDescent="0.25">
      <c r="A270" s="8">
        <v>42921.891724537039</v>
      </c>
      <c r="B270" t="s">
        <v>386</v>
      </c>
      <c r="C270" t="s">
        <v>413</v>
      </c>
      <c r="D270" s="138">
        <v>2610000</v>
      </c>
      <c r="E270" t="s">
        <v>378</v>
      </c>
      <c r="F270" s="20" t="s">
        <v>379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402</v>
      </c>
      <c r="C271" t="s">
        <v>412</v>
      </c>
      <c r="D271" s="138">
        <v>2090000</v>
      </c>
      <c r="E271" t="s">
        <v>389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384</v>
      </c>
      <c r="C272" t="s">
        <v>414</v>
      </c>
      <c r="D272" s="138">
        <v>2000000</v>
      </c>
      <c r="E272" t="s">
        <v>390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387</v>
      </c>
      <c r="C273" t="s">
        <v>413</v>
      </c>
      <c r="D273" s="138">
        <v>2610000</v>
      </c>
      <c r="E273" t="s">
        <v>378</v>
      </c>
      <c r="F273" s="20" t="s">
        <v>379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410</v>
      </c>
      <c r="C274" t="s">
        <v>415</v>
      </c>
      <c r="D274" s="138">
        <v>3000000</v>
      </c>
      <c r="E274" t="s">
        <v>380</v>
      </c>
      <c r="F274" s="20" t="s">
        <v>381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386</v>
      </c>
      <c r="C275" t="s">
        <v>416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385</v>
      </c>
      <c r="C276" t="s">
        <v>417</v>
      </c>
      <c r="D276" s="138">
        <v>2000000</v>
      </c>
      <c r="E276" t="s">
        <v>390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404</v>
      </c>
      <c r="C277" t="s">
        <v>418</v>
      </c>
      <c r="D277" s="138">
        <v>2090000</v>
      </c>
      <c r="E277" t="s">
        <v>389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376</v>
      </c>
      <c r="C278" t="s">
        <v>419</v>
      </c>
      <c r="D278" s="138">
        <v>3090000</v>
      </c>
      <c r="E278" t="s">
        <v>362</v>
      </c>
      <c r="F278" s="20" t="s">
        <v>363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384</v>
      </c>
      <c r="C279" t="s">
        <v>420</v>
      </c>
      <c r="D279" s="138">
        <v>2000000</v>
      </c>
      <c r="E279" t="s">
        <v>390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409</v>
      </c>
      <c r="C280" t="s">
        <v>421</v>
      </c>
      <c r="D280" s="138">
        <v>3000000</v>
      </c>
      <c r="E280" t="s">
        <v>380</v>
      </c>
      <c r="F280" s="20" t="s">
        <v>381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387</v>
      </c>
      <c r="C281" t="s">
        <v>422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385</v>
      </c>
      <c r="C282" t="s">
        <v>420</v>
      </c>
      <c r="D282" s="138">
        <v>2000000</v>
      </c>
      <c r="E282" t="s">
        <v>390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402</v>
      </c>
      <c r="C283" t="s">
        <v>423</v>
      </c>
      <c r="D283" s="138">
        <v>2090000</v>
      </c>
      <c r="E283" t="s">
        <v>389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348</v>
      </c>
      <c r="C284" t="s">
        <v>424</v>
      </c>
      <c r="D284" s="138">
        <v>2610000</v>
      </c>
      <c r="E284" t="s">
        <v>378</v>
      </c>
      <c r="F284" s="20" t="s">
        <v>379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408</v>
      </c>
      <c r="C285" t="s">
        <v>425</v>
      </c>
      <c r="D285" s="138">
        <v>2610000</v>
      </c>
      <c r="E285" t="s">
        <v>378</v>
      </c>
      <c r="F285" s="20" t="s">
        <v>379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405</v>
      </c>
      <c r="C286" t="s">
        <v>426</v>
      </c>
      <c r="D286" s="138">
        <v>3090000</v>
      </c>
      <c r="E286" t="s">
        <v>362</v>
      </c>
      <c r="F286" s="20" t="s">
        <v>363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410</v>
      </c>
      <c r="C287" t="s">
        <v>427</v>
      </c>
      <c r="D287" s="138">
        <v>3000000</v>
      </c>
      <c r="E287" t="s">
        <v>380</v>
      </c>
      <c r="F287" s="20" t="s">
        <v>381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348</v>
      </c>
      <c r="C288" t="s">
        <v>428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404</v>
      </c>
      <c r="C289" t="s">
        <v>411</v>
      </c>
      <c r="D289" s="138">
        <v>2090000</v>
      </c>
      <c r="E289" t="s">
        <v>389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376</v>
      </c>
      <c r="C290" t="s">
        <v>429</v>
      </c>
      <c r="D290" s="138">
        <v>3090000</v>
      </c>
      <c r="E290" t="s">
        <v>362</v>
      </c>
      <c r="F290" s="20" t="s">
        <v>363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409</v>
      </c>
      <c r="C291" t="s">
        <v>430</v>
      </c>
      <c r="D291" s="138">
        <v>3000000</v>
      </c>
      <c r="E291" t="s">
        <v>380</v>
      </c>
      <c r="F291" s="20" t="s">
        <v>381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402</v>
      </c>
      <c r="C292" t="s">
        <v>431</v>
      </c>
      <c r="D292" s="138">
        <v>2090000</v>
      </c>
      <c r="E292" t="s">
        <v>389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405</v>
      </c>
      <c r="C293" t="s">
        <v>432</v>
      </c>
      <c r="D293" s="138">
        <v>3090000</v>
      </c>
      <c r="E293" t="s">
        <v>362</v>
      </c>
      <c r="F293" s="20" t="s">
        <v>363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348</v>
      </c>
      <c r="C294" t="s">
        <v>433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376</v>
      </c>
      <c r="C295" t="s">
        <v>434</v>
      </c>
      <c r="D295" s="138">
        <v>3090000</v>
      </c>
      <c r="E295" t="s">
        <v>362</v>
      </c>
      <c r="F295" s="20" t="s">
        <v>363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376</v>
      </c>
      <c r="C296" t="s">
        <v>434</v>
      </c>
      <c r="D296" s="138">
        <v>3090000</v>
      </c>
      <c r="E296" t="s">
        <v>362</v>
      </c>
      <c r="F296" s="20" t="s">
        <v>363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376</v>
      </c>
      <c r="C297" t="s">
        <v>434</v>
      </c>
      <c r="D297" s="138">
        <v>3090000</v>
      </c>
      <c r="E297" t="s">
        <v>362</v>
      </c>
      <c r="F297" s="20" t="s">
        <v>363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348</v>
      </c>
      <c r="C298" t="s">
        <v>371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355</v>
      </c>
      <c r="C299" t="s">
        <v>357</v>
      </c>
      <c r="D299" s="138">
        <v>2970000</v>
      </c>
      <c r="E299" t="s">
        <v>364</v>
      </c>
      <c r="F299" s="20" t="s">
        <v>365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356</v>
      </c>
      <c r="C300" t="s">
        <v>360</v>
      </c>
      <c r="D300" s="138">
        <v>3130000</v>
      </c>
      <c r="E300" t="s">
        <v>369</v>
      </c>
      <c r="F300" s="20" t="s">
        <v>370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355</v>
      </c>
      <c r="C301" t="s">
        <v>357</v>
      </c>
      <c r="D301" s="138">
        <v>2970000</v>
      </c>
      <c r="E301" t="s">
        <v>364</v>
      </c>
      <c r="F301" s="20" t="s">
        <v>365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352</v>
      </c>
      <c r="C302" t="s">
        <v>358</v>
      </c>
      <c r="D302" s="138">
        <v>3040000</v>
      </c>
      <c r="E302" t="s">
        <v>367</v>
      </c>
      <c r="F302" s="20" t="s">
        <v>368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352</v>
      </c>
      <c r="C303" t="s">
        <v>358</v>
      </c>
      <c r="D303" s="138">
        <v>3040000</v>
      </c>
      <c r="E303" t="s">
        <v>367</v>
      </c>
      <c r="F303" s="20" t="s">
        <v>368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372</v>
      </c>
      <c r="D304" s="138">
        <v>3030000</v>
      </c>
      <c r="E304" t="s">
        <v>366</v>
      </c>
      <c r="F304" s="20" t="s">
        <v>354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361</v>
      </c>
      <c r="C305" t="s">
        <v>357</v>
      </c>
      <c r="D305" s="138">
        <v>2970000</v>
      </c>
      <c r="E305" t="s">
        <v>364</v>
      </c>
      <c r="F305" s="20" t="s">
        <v>365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355</v>
      </c>
      <c r="C306" t="s">
        <v>357</v>
      </c>
      <c r="D306" s="138">
        <v>2970000</v>
      </c>
      <c r="E306" t="s">
        <v>364</v>
      </c>
      <c r="F306" s="20" t="s">
        <v>365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353</v>
      </c>
      <c r="C307" t="s">
        <v>358</v>
      </c>
      <c r="D307" s="138">
        <v>3040000</v>
      </c>
      <c r="E307" t="s">
        <v>367</v>
      </c>
      <c r="F307" s="20" t="s">
        <v>368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359</v>
      </c>
      <c r="C308" t="s">
        <v>373</v>
      </c>
      <c r="D308" s="138">
        <v>3130000</v>
      </c>
      <c r="E308" t="s">
        <v>369</v>
      </c>
      <c r="F308" s="20" t="s">
        <v>370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352</v>
      </c>
      <c r="C309" t="s">
        <v>358</v>
      </c>
      <c r="D309" s="138">
        <v>3040000</v>
      </c>
      <c r="E309" t="s">
        <v>367</v>
      </c>
      <c r="F309" s="20" t="s">
        <v>368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361</v>
      </c>
      <c r="C310" t="s">
        <v>357</v>
      </c>
      <c r="D310" s="138">
        <v>2970000</v>
      </c>
      <c r="E310" t="s">
        <v>364</v>
      </c>
      <c r="F310" s="20" t="s">
        <v>365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355</v>
      </c>
      <c r="C311" t="s">
        <v>357</v>
      </c>
      <c r="D311" s="138">
        <v>2970000</v>
      </c>
      <c r="E311" t="s">
        <v>364</v>
      </c>
      <c r="F311" s="20" t="s">
        <v>365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391</v>
      </c>
      <c r="O1" s="171" t="s">
        <v>156</v>
      </c>
      <c r="P1" s="171" t="s">
        <v>163</v>
      </c>
      <c r="Q1" s="171" t="s">
        <v>392</v>
      </c>
      <c r="R1" s="171" t="s">
        <v>160</v>
      </c>
      <c r="S1"/>
    </row>
    <row r="2" spans="1:19" x14ac:dyDescent="0.25">
      <c r="A2" s="172">
        <v>65.069999999999993</v>
      </c>
      <c r="B2" s="172">
        <v>0.02</v>
      </c>
      <c r="C2" s="172">
        <v>43.2</v>
      </c>
      <c r="D2" s="8">
        <v>42965</v>
      </c>
      <c r="E2" s="172">
        <v>0.45</v>
      </c>
      <c r="F2" s="172" t="s">
        <v>459</v>
      </c>
      <c r="G2" s="172">
        <v>302.70999999999998</v>
      </c>
      <c r="H2" s="172">
        <v>0</v>
      </c>
      <c r="I2" s="172">
        <v>0</v>
      </c>
      <c r="J2" s="172">
        <v>1013.29</v>
      </c>
      <c r="K2" s="172" t="s">
        <v>458</v>
      </c>
      <c r="L2" s="172">
        <v>65.069999999999993</v>
      </c>
      <c r="M2" s="172">
        <v>1503036000</v>
      </c>
      <c r="N2" s="172">
        <v>0</v>
      </c>
      <c r="O2" s="172">
        <v>3.81</v>
      </c>
      <c r="P2" s="172">
        <v>228</v>
      </c>
      <c r="Q2" s="172">
        <v>4.4000000000000004</v>
      </c>
      <c r="R2" s="172">
        <v>1.83</v>
      </c>
      <c r="S2"/>
    </row>
    <row r="3" spans="1:19" x14ac:dyDescent="0.25">
      <c r="A3" s="172">
        <v>63.61</v>
      </c>
      <c r="B3" s="172">
        <v>0</v>
      </c>
      <c r="C3" s="172">
        <v>43.59</v>
      </c>
      <c r="D3" s="8">
        <v>42965.041666666664</v>
      </c>
      <c r="E3" s="172">
        <v>0.48</v>
      </c>
      <c r="F3" s="172" t="s">
        <v>459</v>
      </c>
      <c r="G3" s="172">
        <v>302.5</v>
      </c>
      <c r="H3" s="172">
        <v>0</v>
      </c>
      <c r="I3" s="172">
        <v>0</v>
      </c>
      <c r="J3" s="172">
        <v>1013.52</v>
      </c>
      <c r="K3" s="172" t="s">
        <v>458</v>
      </c>
      <c r="L3" s="172">
        <v>63.61</v>
      </c>
      <c r="M3" s="172">
        <v>1503039600</v>
      </c>
      <c r="N3" s="172">
        <v>0</v>
      </c>
      <c r="O3" s="172">
        <v>3.52</v>
      </c>
      <c r="P3" s="172">
        <v>219</v>
      </c>
      <c r="Q3" s="172">
        <v>5.0199999999999996</v>
      </c>
      <c r="R3" s="172">
        <v>1.27</v>
      </c>
      <c r="S3"/>
    </row>
    <row r="4" spans="1:19" x14ac:dyDescent="0.25">
      <c r="A4" s="172">
        <v>62.16</v>
      </c>
      <c r="B4" s="172">
        <v>0</v>
      </c>
      <c r="C4" s="172">
        <v>43.79</v>
      </c>
      <c r="D4" s="8">
        <v>42965.083333333336</v>
      </c>
      <c r="E4" s="172">
        <v>0.51</v>
      </c>
      <c r="F4" s="172" t="s">
        <v>459</v>
      </c>
      <c r="G4" s="172">
        <v>302.18</v>
      </c>
      <c r="H4" s="172">
        <v>0</v>
      </c>
      <c r="I4" s="172">
        <v>0</v>
      </c>
      <c r="J4" s="172">
        <v>1013.79</v>
      </c>
      <c r="K4" s="172" t="s">
        <v>458</v>
      </c>
      <c r="L4" s="172">
        <v>62.16</v>
      </c>
      <c r="M4" s="172">
        <v>1503043200</v>
      </c>
      <c r="N4" s="172">
        <v>0</v>
      </c>
      <c r="O4" s="172">
        <v>3.52</v>
      </c>
      <c r="P4" s="172">
        <v>275</v>
      </c>
      <c r="Q4" s="172">
        <v>4.01</v>
      </c>
      <c r="R4" s="172">
        <v>1.02</v>
      </c>
      <c r="S4"/>
    </row>
    <row r="5" spans="1:19" x14ac:dyDescent="0.25">
      <c r="A5" s="172">
        <v>60.8</v>
      </c>
      <c r="B5" s="172">
        <v>0.04</v>
      </c>
      <c r="C5" s="172">
        <v>44.19</v>
      </c>
      <c r="D5" s="8">
        <v>42965.125</v>
      </c>
      <c r="E5" s="172">
        <v>0.54</v>
      </c>
      <c r="F5" s="172" t="s">
        <v>459</v>
      </c>
      <c r="G5" s="172">
        <v>301.97000000000003</v>
      </c>
      <c r="H5" s="172">
        <v>0</v>
      </c>
      <c r="I5" s="172">
        <v>0</v>
      </c>
      <c r="J5" s="172">
        <v>1014.27</v>
      </c>
      <c r="K5" s="172" t="s">
        <v>458</v>
      </c>
      <c r="L5" s="172">
        <v>60.8</v>
      </c>
      <c r="M5" s="172">
        <v>1503046800</v>
      </c>
      <c r="N5" s="172">
        <v>0</v>
      </c>
      <c r="O5" s="172">
        <v>3.52</v>
      </c>
      <c r="P5" s="172">
        <v>260</v>
      </c>
      <c r="Q5" s="172">
        <v>3.29</v>
      </c>
      <c r="R5" s="172">
        <v>1.23</v>
      </c>
      <c r="S5"/>
    </row>
    <row r="6" spans="1:19" x14ac:dyDescent="0.25">
      <c r="A6" s="172">
        <v>58.67</v>
      </c>
      <c r="B6" s="172">
        <v>0.05</v>
      </c>
      <c r="C6" s="172">
        <v>44.88</v>
      </c>
      <c r="D6" s="8">
        <v>42965.166666666664</v>
      </c>
      <c r="E6" s="172">
        <v>0.6</v>
      </c>
      <c r="F6" s="172" t="s">
        <v>459</v>
      </c>
      <c r="G6" s="172">
        <v>302.19</v>
      </c>
      <c r="H6" s="172">
        <v>0</v>
      </c>
      <c r="I6" s="172">
        <v>0</v>
      </c>
      <c r="J6" s="172">
        <v>1014.83</v>
      </c>
      <c r="K6" s="172" t="s">
        <v>458</v>
      </c>
      <c r="L6" s="172">
        <v>58.67</v>
      </c>
      <c r="M6" s="172">
        <v>1503050400</v>
      </c>
      <c r="N6" s="172">
        <v>0</v>
      </c>
      <c r="O6" s="172">
        <v>3.58</v>
      </c>
      <c r="P6" s="172">
        <v>274</v>
      </c>
      <c r="Q6" s="172">
        <v>2.39</v>
      </c>
      <c r="R6" s="172">
        <v>0.67</v>
      </c>
      <c r="S6"/>
    </row>
    <row r="7" spans="1:19" x14ac:dyDescent="0.25">
      <c r="A7" s="172">
        <v>56.61</v>
      </c>
      <c r="B7" s="172">
        <v>0.03</v>
      </c>
      <c r="C7" s="172">
        <v>45.25</v>
      </c>
      <c r="D7" s="8">
        <v>42965.208333333336</v>
      </c>
      <c r="E7" s="172">
        <v>0.66</v>
      </c>
      <c r="F7" s="172" t="s">
        <v>459</v>
      </c>
      <c r="G7" s="172">
        <v>302.73</v>
      </c>
      <c r="H7" s="172">
        <v>0</v>
      </c>
      <c r="I7" s="172">
        <v>0</v>
      </c>
      <c r="J7" s="172">
        <v>1015.41</v>
      </c>
      <c r="K7" s="172" t="s">
        <v>458</v>
      </c>
      <c r="L7" s="172">
        <v>56.61</v>
      </c>
      <c r="M7" s="172">
        <v>1503054000</v>
      </c>
      <c r="N7" s="172">
        <v>0</v>
      </c>
      <c r="O7" s="172">
        <v>3.54</v>
      </c>
      <c r="P7" s="172">
        <v>275</v>
      </c>
      <c r="Q7" s="172">
        <v>1.91</v>
      </c>
      <c r="R7" s="172">
        <v>0.69</v>
      </c>
      <c r="S7"/>
    </row>
    <row r="8" spans="1:19" x14ac:dyDescent="0.25">
      <c r="A8" s="172">
        <v>54.78</v>
      </c>
      <c r="B8" s="172">
        <v>0.06</v>
      </c>
      <c r="C8" s="172">
        <v>45.29</v>
      </c>
      <c r="D8" s="8">
        <v>42965.25</v>
      </c>
      <c r="E8" s="172">
        <v>0.7</v>
      </c>
      <c r="F8" s="172" t="s">
        <v>459</v>
      </c>
      <c r="G8" s="172">
        <v>298.77999999999997</v>
      </c>
      <c r="H8" s="172">
        <v>0</v>
      </c>
      <c r="I8" s="172">
        <v>0</v>
      </c>
      <c r="J8" s="172">
        <v>1015.98</v>
      </c>
      <c r="K8" s="172" t="s">
        <v>458</v>
      </c>
      <c r="L8" s="172">
        <v>54.78</v>
      </c>
      <c r="M8" s="172">
        <v>1503057600</v>
      </c>
      <c r="N8" s="172">
        <v>0</v>
      </c>
      <c r="O8" s="172">
        <v>4.33</v>
      </c>
      <c r="P8" s="172">
        <v>230</v>
      </c>
      <c r="Q8" s="172">
        <v>1.58</v>
      </c>
      <c r="R8" s="172">
        <v>0.51</v>
      </c>
      <c r="S8"/>
    </row>
    <row r="9" spans="1:19" x14ac:dyDescent="0.25">
      <c r="A9" s="172">
        <v>54.75</v>
      </c>
      <c r="B9" s="172">
        <v>0.05</v>
      </c>
      <c r="C9" s="172">
        <v>46.07</v>
      </c>
      <c r="D9" s="8">
        <v>42965.291666666664</v>
      </c>
      <c r="E9" s="172">
        <v>0.72</v>
      </c>
      <c r="F9" s="172" t="s">
        <v>457</v>
      </c>
      <c r="G9" s="172">
        <v>298.68</v>
      </c>
      <c r="H9" s="172">
        <v>0</v>
      </c>
      <c r="I9" s="172">
        <v>0</v>
      </c>
      <c r="J9" s="172">
        <v>1017.27</v>
      </c>
      <c r="K9" s="172" t="s">
        <v>458</v>
      </c>
      <c r="L9" s="172">
        <v>54.75</v>
      </c>
      <c r="M9" s="172">
        <v>1503061200</v>
      </c>
      <c r="N9" s="172">
        <v>0</v>
      </c>
      <c r="O9" s="172">
        <v>4.1399999999999997</v>
      </c>
      <c r="P9" s="172">
        <v>198</v>
      </c>
      <c r="Q9" s="172">
        <v>1.82</v>
      </c>
      <c r="R9" s="172">
        <v>0.56999999999999995</v>
      </c>
      <c r="S9"/>
    </row>
    <row r="10" spans="1:19" x14ac:dyDescent="0.25">
      <c r="A10" s="172">
        <v>60.35</v>
      </c>
      <c r="B10" s="172">
        <v>0.01</v>
      </c>
      <c r="C10" s="172">
        <v>47.95</v>
      </c>
      <c r="D10" s="8">
        <v>42965.333333333336</v>
      </c>
      <c r="E10" s="172">
        <v>0.64</v>
      </c>
      <c r="F10" s="172" t="s">
        <v>457</v>
      </c>
      <c r="G10" s="172">
        <v>299.01</v>
      </c>
      <c r="H10" s="172">
        <v>0</v>
      </c>
      <c r="I10" s="172">
        <v>0</v>
      </c>
      <c r="J10" s="172">
        <v>1017.28</v>
      </c>
      <c r="K10" s="172" t="s">
        <v>458</v>
      </c>
      <c r="L10" s="172">
        <v>60.35</v>
      </c>
      <c r="M10" s="172">
        <v>1503064800</v>
      </c>
      <c r="N10" s="172">
        <v>1</v>
      </c>
      <c r="O10" s="172">
        <v>3.43</v>
      </c>
      <c r="P10" s="172">
        <v>162</v>
      </c>
      <c r="Q10" s="172">
        <v>2.11</v>
      </c>
      <c r="R10" s="172">
        <v>0.54</v>
      </c>
      <c r="S10"/>
    </row>
    <row r="11" spans="1:19" x14ac:dyDescent="0.25">
      <c r="A11" s="172">
        <v>67.22</v>
      </c>
      <c r="B11" s="172">
        <v>0.04</v>
      </c>
      <c r="C11" s="172">
        <v>47.86</v>
      </c>
      <c r="D11" s="8">
        <v>42965.375</v>
      </c>
      <c r="E11" s="172">
        <v>0.5</v>
      </c>
      <c r="F11" s="172" t="s">
        <v>457</v>
      </c>
      <c r="G11" s="172">
        <v>299.33999999999997</v>
      </c>
      <c r="H11" s="172">
        <v>0</v>
      </c>
      <c r="I11" s="172">
        <v>0</v>
      </c>
      <c r="J11" s="172">
        <v>1017.49</v>
      </c>
      <c r="K11" s="172" t="s">
        <v>458</v>
      </c>
      <c r="L11" s="172">
        <v>67.22</v>
      </c>
      <c r="M11" s="172">
        <v>1503068400</v>
      </c>
      <c r="N11" s="172">
        <v>2</v>
      </c>
      <c r="O11" s="172">
        <v>4.33</v>
      </c>
      <c r="P11" s="172">
        <v>122</v>
      </c>
      <c r="Q11" s="172">
        <v>2.98</v>
      </c>
      <c r="R11" s="172">
        <v>0.27</v>
      </c>
      <c r="S11"/>
    </row>
    <row r="12" spans="1:19" x14ac:dyDescent="0.25">
      <c r="A12" s="172">
        <v>71.510000000000005</v>
      </c>
      <c r="B12" s="172">
        <v>0.04</v>
      </c>
      <c r="C12" s="172">
        <v>47.98</v>
      </c>
      <c r="D12" s="8">
        <v>42965.416666666664</v>
      </c>
      <c r="E12" s="172">
        <v>0.43</v>
      </c>
      <c r="F12" s="172" t="s">
        <v>457</v>
      </c>
      <c r="G12" s="172">
        <v>299.33999999999997</v>
      </c>
      <c r="H12" s="172">
        <v>0</v>
      </c>
      <c r="I12" s="172">
        <v>0</v>
      </c>
      <c r="J12" s="172">
        <v>1017.08</v>
      </c>
      <c r="K12" s="172" t="s">
        <v>458</v>
      </c>
      <c r="L12" s="172">
        <v>71.510000000000005</v>
      </c>
      <c r="M12" s="172">
        <v>1503072000</v>
      </c>
      <c r="N12" s="172">
        <v>4</v>
      </c>
      <c r="O12" s="172">
        <v>4.2300000000000004</v>
      </c>
      <c r="P12" s="172">
        <v>102</v>
      </c>
      <c r="Q12" s="172">
        <v>3.54</v>
      </c>
      <c r="R12" s="172">
        <v>0.7</v>
      </c>
      <c r="S12"/>
    </row>
    <row r="13" spans="1:19" x14ac:dyDescent="0.25">
      <c r="A13" s="172">
        <v>75.48</v>
      </c>
      <c r="B13" s="172">
        <v>0.04</v>
      </c>
      <c r="C13" s="172">
        <v>47.63</v>
      </c>
      <c r="D13" s="8">
        <v>42965.458333333336</v>
      </c>
      <c r="E13" s="172">
        <v>0.37</v>
      </c>
      <c r="F13" s="172" t="s">
        <v>457</v>
      </c>
      <c r="G13" s="172">
        <v>299.23</v>
      </c>
      <c r="H13" s="172">
        <v>0</v>
      </c>
      <c r="I13" s="172">
        <v>0</v>
      </c>
      <c r="J13" s="172">
        <v>1015.88</v>
      </c>
      <c r="K13" s="172" t="s">
        <v>458</v>
      </c>
      <c r="L13" s="172">
        <v>75.48</v>
      </c>
      <c r="M13" s="172">
        <v>1503075600</v>
      </c>
      <c r="N13" s="172">
        <v>6</v>
      </c>
      <c r="O13" s="172">
        <v>4.3600000000000003</v>
      </c>
      <c r="P13" s="172">
        <v>90</v>
      </c>
      <c r="Q13" s="172">
        <v>4.4800000000000004</v>
      </c>
      <c r="R13" s="172">
        <v>1.1100000000000001</v>
      </c>
      <c r="S13"/>
    </row>
    <row r="14" spans="1:19" x14ac:dyDescent="0.25">
      <c r="A14" s="172">
        <v>79.28</v>
      </c>
      <c r="B14" s="172">
        <v>0.04</v>
      </c>
      <c r="C14" s="172">
        <v>47.47</v>
      </c>
      <c r="D14" s="8">
        <v>42965.5</v>
      </c>
      <c r="E14" s="172">
        <v>0.33</v>
      </c>
      <c r="F14" s="172" t="s">
        <v>457</v>
      </c>
      <c r="G14" s="172">
        <v>301.42</v>
      </c>
      <c r="H14" s="172">
        <v>0</v>
      </c>
      <c r="I14" s="172">
        <v>0</v>
      </c>
      <c r="J14" s="172">
        <v>1015.06</v>
      </c>
      <c r="K14" s="172" t="s">
        <v>458</v>
      </c>
      <c r="L14" s="172">
        <v>79.28</v>
      </c>
      <c r="M14" s="172">
        <v>1503079200</v>
      </c>
      <c r="N14" s="172">
        <v>9</v>
      </c>
      <c r="O14" s="172">
        <v>4.9000000000000004</v>
      </c>
      <c r="P14" s="172">
        <v>95</v>
      </c>
      <c r="Q14" s="172">
        <v>5.52</v>
      </c>
      <c r="R14" s="172">
        <v>1.63</v>
      </c>
      <c r="S14"/>
    </row>
    <row r="15" spans="1:19" x14ac:dyDescent="0.25">
      <c r="A15" s="172">
        <v>82.8</v>
      </c>
      <c r="B15" s="172">
        <v>0.06</v>
      </c>
      <c r="C15" s="172">
        <v>45.77</v>
      </c>
      <c r="D15" s="8">
        <v>42965.541666666664</v>
      </c>
      <c r="E15" s="172">
        <v>0.27</v>
      </c>
      <c r="F15" s="172" t="s">
        <v>457</v>
      </c>
      <c r="G15" s="172">
        <v>301.31</v>
      </c>
      <c r="H15" s="172">
        <v>0</v>
      </c>
      <c r="I15" s="172">
        <v>0</v>
      </c>
      <c r="J15" s="172">
        <v>1014.12</v>
      </c>
      <c r="K15" s="172" t="s">
        <v>458</v>
      </c>
      <c r="L15" s="172">
        <v>82.8</v>
      </c>
      <c r="M15" s="172">
        <v>1503082800</v>
      </c>
      <c r="N15" s="172">
        <v>10</v>
      </c>
      <c r="O15" s="172">
        <v>3.87</v>
      </c>
      <c r="P15" s="172">
        <v>60</v>
      </c>
      <c r="Q15" s="172">
        <v>7.12</v>
      </c>
      <c r="R15" s="172">
        <v>2.0299999999999998</v>
      </c>
      <c r="S15"/>
    </row>
    <row r="16" spans="1:19" x14ac:dyDescent="0.25">
      <c r="A16" s="172">
        <v>85.18</v>
      </c>
      <c r="B16" s="172">
        <v>0.05</v>
      </c>
      <c r="C16" s="172">
        <v>43.52</v>
      </c>
      <c r="D16" s="8">
        <v>42965.583333333336</v>
      </c>
      <c r="E16" s="172">
        <v>0.23</v>
      </c>
      <c r="F16" s="172" t="s">
        <v>457</v>
      </c>
      <c r="G16" s="172">
        <v>300.86</v>
      </c>
      <c r="H16" s="172">
        <v>0</v>
      </c>
      <c r="I16" s="172">
        <v>0</v>
      </c>
      <c r="J16" s="172">
        <v>1013.55</v>
      </c>
      <c r="K16" s="172" t="s">
        <v>458</v>
      </c>
      <c r="L16" s="172">
        <v>85.18</v>
      </c>
      <c r="M16" s="172">
        <v>1503086400</v>
      </c>
      <c r="N16" s="172">
        <v>9</v>
      </c>
      <c r="O16" s="172">
        <v>3.75</v>
      </c>
      <c r="P16" s="172">
        <v>54</v>
      </c>
      <c r="Q16" s="172">
        <v>7.81</v>
      </c>
      <c r="R16" s="172">
        <v>2.34</v>
      </c>
      <c r="S16"/>
    </row>
    <row r="17" spans="1:19" x14ac:dyDescent="0.25">
      <c r="A17" s="172">
        <v>86.98</v>
      </c>
      <c r="B17" s="172">
        <v>0.08</v>
      </c>
      <c r="C17" s="172">
        <v>42.68</v>
      </c>
      <c r="D17" s="8">
        <v>42965.625</v>
      </c>
      <c r="E17" s="172">
        <v>0.21</v>
      </c>
      <c r="F17" s="172" t="s">
        <v>457</v>
      </c>
      <c r="G17" s="172">
        <v>300.64</v>
      </c>
      <c r="H17" s="172">
        <v>0</v>
      </c>
      <c r="I17" s="172">
        <v>0</v>
      </c>
      <c r="J17" s="172">
        <v>1012.74</v>
      </c>
      <c r="K17" s="172" t="s">
        <v>458</v>
      </c>
      <c r="L17" s="172">
        <v>86.98</v>
      </c>
      <c r="M17" s="172">
        <v>1503090000</v>
      </c>
      <c r="N17" s="172">
        <v>7</v>
      </c>
      <c r="O17" s="172">
        <v>3.78</v>
      </c>
      <c r="P17" s="172">
        <v>48</v>
      </c>
      <c r="Q17" s="172">
        <v>8.1</v>
      </c>
      <c r="R17" s="172">
        <v>2.0699999999999998</v>
      </c>
      <c r="S17"/>
    </row>
    <row r="18" spans="1:19" x14ac:dyDescent="0.25">
      <c r="A18" s="172">
        <v>87.08</v>
      </c>
      <c r="B18" s="172">
        <v>0.09</v>
      </c>
      <c r="C18" s="172">
        <v>37.26</v>
      </c>
      <c r="D18" s="8">
        <v>42965.666666666664</v>
      </c>
      <c r="E18" s="172">
        <v>0.17</v>
      </c>
      <c r="F18" s="172" t="s">
        <v>457</v>
      </c>
      <c r="G18" s="172">
        <v>300.85000000000002</v>
      </c>
      <c r="H18" s="172">
        <v>0</v>
      </c>
      <c r="I18" s="172">
        <v>0</v>
      </c>
      <c r="J18" s="172">
        <v>1010.67</v>
      </c>
      <c r="K18" s="172" t="s">
        <v>458</v>
      </c>
      <c r="L18" s="172">
        <v>87.08</v>
      </c>
      <c r="M18" s="172">
        <v>1503093600</v>
      </c>
      <c r="N18" s="172">
        <v>4</v>
      </c>
      <c r="O18" s="172">
        <v>10</v>
      </c>
      <c r="P18" s="172">
        <v>82</v>
      </c>
      <c r="Q18" s="172">
        <v>9.4499999999999993</v>
      </c>
      <c r="R18" s="172">
        <v>3.91</v>
      </c>
      <c r="S18"/>
    </row>
    <row r="19" spans="1:19" x14ac:dyDescent="0.25">
      <c r="A19" s="172">
        <v>88.17</v>
      </c>
      <c r="B19" s="172">
        <v>0.1</v>
      </c>
      <c r="C19" s="172">
        <v>42.28</v>
      </c>
      <c r="D19" s="8">
        <v>42965.708333333336</v>
      </c>
      <c r="E19" s="172">
        <v>0.2</v>
      </c>
      <c r="F19" s="172" t="s">
        <v>457</v>
      </c>
      <c r="G19" s="172">
        <v>301.27999999999997</v>
      </c>
      <c r="H19" s="172">
        <v>0</v>
      </c>
      <c r="I19" s="172">
        <v>0</v>
      </c>
      <c r="J19" s="172">
        <v>1012.21</v>
      </c>
      <c r="K19" s="172" t="s">
        <v>458</v>
      </c>
      <c r="L19" s="172">
        <v>88.17</v>
      </c>
      <c r="M19" s="172">
        <v>1503097200</v>
      </c>
      <c r="N19" s="172">
        <v>2</v>
      </c>
      <c r="O19" s="172">
        <v>10</v>
      </c>
      <c r="P19" s="172">
        <v>80</v>
      </c>
      <c r="Q19" s="172">
        <v>10.15</v>
      </c>
      <c r="R19" s="172">
        <v>1.98</v>
      </c>
      <c r="S19"/>
    </row>
    <row r="20" spans="1:19" x14ac:dyDescent="0.25">
      <c r="A20" s="172">
        <v>87.02</v>
      </c>
      <c r="B20" s="172">
        <v>0.06</v>
      </c>
      <c r="C20" s="172">
        <v>41.95</v>
      </c>
      <c r="D20" s="8">
        <v>42965.75</v>
      </c>
      <c r="E20" s="172">
        <v>0.21</v>
      </c>
      <c r="F20" s="172" t="s">
        <v>457</v>
      </c>
      <c r="G20" s="172">
        <v>299.64</v>
      </c>
      <c r="H20" s="172">
        <v>0</v>
      </c>
      <c r="I20" s="172">
        <v>0</v>
      </c>
      <c r="J20" s="172">
        <v>1012.31</v>
      </c>
      <c r="K20" s="172" t="s">
        <v>458</v>
      </c>
      <c r="L20" s="172">
        <v>87.02</v>
      </c>
      <c r="M20" s="172">
        <v>1503100800</v>
      </c>
      <c r="N20" s="172">
        <v>1</v>
      </c>
      <c r="O20" s="172">
        <v>3.96</v>
      </c>
      <c r="P20" s="172">
        <v>62</v>
      </c>
      <c r="Q20" s="172">
        <v>6.15</v>
      </c>
      <c r="R20" s="172">
        <v>1.94</v>
      </c>
      <c r="S20"/>
    </row>
    <row r="21" spans="1:19" x14ac:dyDescent="0.25">
      <c r="A21" s="172">
        <v>84.46</v>
      </c>
      <c r="B21" s="172">
        <v>0.05</v>
      </c>
      <c r="C21" s="172">
        <v>44.76</v>
      </c>
      <c r="D21" s="8">
        <v>42965.791666666664</v>
      </c>
      <c r="E21" s="172">
        <v>0.25</v>
      </c>
      <c r="F21" s="172" t="s">
        <v>457</v>
      </c>
      <c r="G21" s="172">
        <v>299.98</v>
      </c>
      <c r="H21" s="172">
        <v>0</v>
      </c>
      <c r="I21" s="172">
        <v>0</v>
      </c>
      <c r="J21" s="172">
        <v>1012.72</v>
      </c>
      <c r="K21" s="172" t="s">
        <v>458</v>
      </c>
      <c r="L21" s="172">
        <v>84.46</v>
      </c>
      <c r="M21" s="172">
        <v>1503104400</v>
      </c>
      <c r="N21" s="172">
        <v>0</v>
      </c>
      <c r="O21" s="172">
        <v>4.38</v>
      </c>
      <c r="P21" s="172">
        <v>84</v>
      </c>
      <c r="Q21" s="172">
        <v>5.76</v>
      </c>
      <c r="R21" s="172">
        <v>2.4300000000000002</v>
      </c>
      <c r="S21"/>
    </row>
    <row r="22" spans="1:19" x14ac:dyDescent="0.25">
      <c r="A22" s="172">
        <v>78.95</v>
      </c>
      <c r="B22" s="172">
        <v>0.06</v>
      </c>
      <c r="C22" s="172">
        <v>46.67</v>
      </c>
      <c r="D22" s="8">
        <v>42965.833333333336</v>
      </c>
      <c r="E22" s="172">
        <v>0.32</v>
      </c>
      <c r="F22" s="172" t="s">
        <v>459</v>
      </c>
      <c r="G22" s="172">
        <v>300.43</v>
      </c>
      <c r="H22" s="172">
        <v>0</v>
      </c>
      <c r="I22" s="172">
        <v>0</v>
      </c>
      <c r="J22" s="172">
        <v>1012.56</v>
      </c>
      <c r="K22" s="172" t="s">
        <v>458</v>
      </c>
      <c r="L22" s="172">
        <v>78.95</v>
      </c>
      <c r="M22" s="172">
        <v>1503108000</v>
      </c>
      <c r="N22" s="172">
        <v>0</v>
      </c>
      <c r="O22" s="172">
        <v>3.76</v>
      </c>
      <c r="P22" s="172">
        <v>98</v>
      </c>
      <c r="Q22" s="172">
        <v>4.0999999999999996</v>
      </c>
      <c r="R22" s="172">
        <v>0.85</v>
      </c>
      <c r="S22"/>
    </row>
    <row r="23" spans="1:19" x14ac:dyDescent="0.25">
      <c r="A23" s="172">
        <v>74.84</v>
      </c>
      <c r="B23" s="172">
        <v>0.05</v>
      </c>
      <c r="C23" s="172">
        <v>47.32</v>
      </c>
      <c r="D23" s="8">
        <v>42965.875</v>
      </c>
      <c r="E23" s="172">
        <v>0.38</v>
      </c>
      <c r="F23" s="172" t="s">
        <v>459</v>
      </c>
      <c r="G23" s="172">
        <v>300.66000000000003</v>
      </c>
      <c r="H23" s="172">
        <v>0</v>
      </c>
      <c r="I23" s="172">
        <v>0</v>
      </c>
      <c r="J23" s="172">
        <v>1013.59</v>
      </c>
      <c r="K23" s="172" t="s">
        <v>458</v>
      </c>
      <c r="L23" s="172">
        <v>74.84</v>
      </c>
      <c r="M23" s="172">
        <v>1503111600</v>
      </c>
      <c r="N23" s="172">
        <v>0</v>
      </c>
      <c r="O23" s="172">
        <v>4.03</v>
      </c>
      <c r="P23" s="172">
        <v>240</v>
      </c>
      <c r="Q23" s="172">
        <v>3.96</v>
      </c>
      <c r="R23" s="172">
        <v>0.27</v>
      </c>
      <c r="S23"/>
    </row>
    <row r="24" spans="1:19" x14ac:dyDescent="0.25">
      <c r="A24" s="172">
        <v>71.53</v>
      </c>
      <c r="B24" s="172">
        <v>0.03</v>
      </c>
      <c r="C24" s="172">
        <v>47.1</v>
      </c>
      <c r="D24" s="8">
        <v>42965.916666666664</v>
      </c>
      <c r="E24" s="172">
        <v>0.42</v>
      </c>
      <c r="F24" s="172" t="s">
        <v>459</v>
      </c>
      <c r="G24" s="172">
        <v>300.56</v>
      </c>
      <c r="H24" s="172">
        <v>0</v>
      </c>
      <c r="I24" s="172">
        <v>0</v>
      </c>
      <c r="J24" s="172">
        <v>1013.76</v>
      </c>
      <c r="K24" s="172" t="s">
        <v>458</v>
      </c>
      <c r="L24" s="172">
        <v>71.53</v>
      </c>
      <c r="M24" s="172">
        <v>1503115200</v>
      </c>
      <c r="N24" s="172">
        <v>0</v>
      </c>
      <c r="O24" s="172">
        <v>3.52</v>
      </c>
      <c r="P24" s="172">
        <v>230</v>
      </c>
      <c r="Q24" s="172">
        <v>3.58</v>
      </c>
      <c r="R24" s="172">
        <v>0.9</v>
      </c>
      <c r="S24"/>
    </row>
    <row r="25" spans="1:19" x14ac:dyDescent="0.25">
      <c r="A25" s="172">
        <v>68.91</v>
      </c>
      <c r="B25" s="172">
        <v>0.03</v>
      </c>
      <c r="C25" s="172">
        <v>47.56</v>
      </c>
      <c r="D25" s="8">
        <v>42965.958333333336</v>
      </c>
      <c r="E25" s="172">
        <v>0.47</v>
      </c>
      <c r="F25" s="172" t="s">
        <v>459</v>
      </c>
      <c r="G25" s="172">
        <v>300.02</v>
      </c>
      <c r="H25" s="172">
        <v>0</v>
      </c>
      <c r="I25" s="172">
        <v>0</v>
      </c>
      <c r="J25" s="172">
        <v>1013.54</v>
      </c>
      <c r="K25" s="172" t="s">
        <v>458</v>
      </c>
      <c r="L25" s="172">
        <v>68.91</v>
      </c>
      <c r="M25" s="172">
        <v>1503118800</v>
      </c>
      <c r="N25" s="172">
        <v>0</v>
      </c>
      <c r="O25" s="172">
        <v>3.47</v>
      </c>
      <c r="P25" s="172">
        <v>194</v>
      </c>
      <c r="Q25" s="172">
        <v>3.25</v>
      </c>
      <c r="R25" s="172">
        <v>1.1100000000000001</v>
      </c>
      <c r="S25"/>
    </row>
    <row r="26" spans="1:19" x14ac:dyDescent="0.25">
      <c r="A26" s="172">
        <v>66.87</v>
      </c>
      <c r="B26" s="172">
        <v>0.02</v>
      </c>
      <c r="C26" s="172">
        <v>47.44</v>
      </c>
      <c r="D26" s="8">
        <v>42966</v>
      </c>
      <c r="E26" s="172">
        <v>0.5</v>
      </c>
      <c r="F26" s="172" t="s">
        <v>459</v>
      </c>
      <c r="G26" s="172">
        <v>299.69</v>
      </c>
      <c r="H26" s="172">
        <v>0</v>
      </c>
      <c r="I26" s="172">
        <v>0</v>
      </c>
      <c r="J26" s="172">
        <v>1013.16</v>
      </c>
      <c r="K26" s="172" t="s">
        <v>458</v>
      </c>
      <c r="L26" s="172">
        <v>66.87</v>
      </c>
      <c r="M26" s="172">
        <v>1503122400</v>
      </c>
      <c r="N26" s="172">
        <v>0</v>
      </c>
      <c r="O26" s="172">
        <v>2.44</v>
      </c>
      <c r="P26" s="172">
        <v>195</v>
      </c>
      <c r="Q26" s="172">
        <v>3.97</v>
      </c>
      <c r="R26" s="172">
        <v>1.45</v>
      </c>
      <c r="S26"/>
    </row>
    <row r="27" spans="1:19" x14ac:dyDescent="0.25">
      <c r="A27" s="172">
        <v>65.73</v>
      </c>
      <c r="B27" s="172">
        <v>0</v>
      </c>
      <c r="C27" s="172">
        <v>47.15</v>
      </c>
      <c r="D27" s="8">
        <v>42966.041666666664</v>
      </c>
      <c r="E27" s="172">
        <v>0.51</v>
      </c>
      <c r="F27" s="172" t="s">
        <v>459</v>
      </c>
      <c r="G27" s="172">
        <v>299.58</v>
      </c>
      <c r="H27" s="172">
        <v>0</v>
      </c>
      <c r="I27" s="172">
        <v>0</v>
      </c>
      <c r="J27" s="172">
        <v>1012.68</v>
      </c>
      <c r="K27" s="172" t="s">
        <v>458</v>
      </c>
      <c r="L27" s="172">
        <v>65.73</v>
      </c>
      <c r="M27" s="172">
        <v>1503126000</v>
      </c>
      <c r="N27" s="172">
        <v>0</v>
      </c>
      <c r="O27" s="172">
        <v>3.27</v>
      </c>
      <c r="P27" s="172">
        <v>197</v>
      </c>
      <c r="Q27" s="172">
        <v>4.95</v>
      </c>
      <c r="R27" s="172">
        <v>1.89</v>
      </c>
      <c r="S27"/>
    </row>
    <row r="28" spans="1:19" x14ac:dyDescent="0.25">
      <c r="A28" s="172">
        <v>64.61</v>
      </c>
      <c r="B28" s="172">
        <v>0</v>
      </c>
      <c r="C28" s="172">
        <v>46.92</v>
      </c>
      <c r="D28" s="8">
        <v>42966.083333333336</v>
      </c>
      <c r="E28" s="172">
        <v>0.53</v>
      </c>
      <c r="F28" s="172" t="s">
        <v>459</v>
      </c>
      <c r="G28" s="172">
        <v>299.58</v>
      </c>
      <c r="H28" s="172">
        <v>0</v>
      </c>
      <c r="I28" s="172">
        <v>0</v>
      </c>
      <c r="J28" s="172">
        <v>1011.98</v>
      </c>
      <c r="K28" s="172" t="s">
        <v>458</v>
      </c>
      <c r="L28" s="172">
        <v>64.61</v>
      </c>
      <c r="M28" s="172">
        <v>1503129600</v>
      </c>
      <c r="N28" s="172">
        <v>0</v>
      </c>
      <c r="O28" s="172">
        <v>3.12</v>
      </c>
      <c r="P28" s="172">
        <v>198</v>
      </c>
      <c r="Q28" s="172">
        <v>4.5599999999999996</v>
      </c>
      <c r="R28" s="172">
        <v>1.9</v>
      </c>
      <c r="S28"/>
    </row>
    <row r="29" spans="1:19" x14ac:dyDescent="0.25">
      <c r="A29" s="172">
        <v>63.56</v>
      </c>
      <c r="B29" s="172">
        <v>0</v>
      </c>
      <c r="C29" s="172">
        <v>46.52</v>
      </c>
      <c r="D29" s="8">
        <v>42966.125</v>
      </c>
      <c r="E29" s="172">
        <v>0.54</v>
      </c>
      <c r="F29" s="172" t="s">
        <v>459</v>
      </c>
      <c r="G29" s="172">
        <v>299.58</v>
      </c>
      <c r="H29" s="172">
        <v>0</v>
      </c>
      <c r="I29" s="172">
        <v>0</v>
      </c>
      <c r="J29" s="172">
        <v>1011.72</v>
      </c>
      <c r="K29" s="172" t="s">
        <v>458</v>
      </c>
      <c r="L29" s="172">
        <v>63.56</v>
      </c>
      <c r="M29" s="172">
        <v>1503133200</v>
      </c>
      <c r="N29" s="172">
        <v>0</v>
      </c>
      <c r="O29" s="172">
        <v>3</v>
      </c>
      <c r="P29" s="172">
        <v>207</v>
      </c>
      <c r="Q29" s="172">
        <v>4.5</v>
      </c>
      <c r="R29" s="172">
        <v>1.91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1"/>
  <sheetViews>
    <sheetView workbookViewId="0">
      <selection activeCell="C14" sqref="C14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42965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395</v>
      </c>
      <c r="AE2" s="56" t="s">
        <v>398</v>
      </c>
      <c r="AF2" s="56" t="s">
        <v>399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396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397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400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1033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1034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1035</v>
      </c>
      <c r="J20" s="140" t="s">
        <v>87</v>
      </c>
      <c r="M20" s="154" t="s">
        <v>351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1036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1037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1038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1039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1040</v>
      </c>
      <c r="J25" s="140" t="s">
        <v>146</v>
      </c>
      <c r="M25" s="154" t="b">
        <v>1</v>
      </c>
    </row>
    <row r="26" spans="3:24" x14ac:dyDescent="0.25">
      <c r="C26" t="s">
        <v>1041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C:\Users\stu\Documents\GitHub\eaglep3-reporting\EC\2017-08-18-refined-times.txt</v>
      </c>
    </row>
    <row r="27" spans="3:24" x14ac:dyDescent="0.25">
      <c r="C27" t="s">
        <v>1042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C:\Users\stu\Documents\GitHub\eaglep3-reporting\EC\2017-08-18-Enforcements.txt</v>
      </c>
    </row>
    <row r="28" spans="3:24" x14ac:dyDescent="0.25">
      <c r="C28" t="s">
        <v>1043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C:\Users\stu\Documents\GitHub\eaglep3-reporting\EC\2017-08-18-Runs-refined.txt</v>
      </c>
    </row>
    <row r="29" spans="3:24" x14ac:dyDescent="0.25">
      <c r="C29" t="s">
        <v>1044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C:\Users\stu\Documents\GitHub\eaglep3-reporting\EC\2017-08-18-Trips.txt</v>
      </c>
    </row>
    <row r="30" spans="3:24" x14ac:dyDescent="0.25">
      <c r="C30" t="s">
        <v>1045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C:\Users\stu\Documents\GitHub\eaglep3-reporting\EC\2017-08-18-Weather.txt</v>
      </c>
    </row>
    <row r="31" spans="3:24" x14ac:dyDescent="0.25">
      <c r="C31" t="s">
        <v>1046</v>
      </c>
      <c r="J31" s="140" t="s">
        <v>194</v>
      </c>
      <c r="M31" s="154" t="s">
        <v>195</v>
      </c>
    </row>
    <row r="32" spans="3:24" x14ac:dyDescent="0.25">
      <c r="C32" t="s">
        <v>1047</v>
      </c>
    </row>
    <row r="33" spans="3:3" x14ac:dyDescent="0.25">
      <c r="C33" t="s">
        <v>1048</v>
      </c>
    </row>
    <row r="34" spans="3:3" x14ac:dyDescent="0.25">
      <c r="C34" t="s">
        <v>1049</v>
      </c>
    </row>
    <row r="35" spans="3:3" x14ac:dyDescent="0.25">
      <c r="C35" t="s">
        <v>1050</v>
      </c>
    </row>
    <row r="36" spans="3:3" x14ac:dyDescent="0.25">
      <c r="C36" t="s">
        <v>1051</v>
      </c>
    </row>
    <row r="37" spans="3:3" x14ac:dyDescent="0.25">
      <c r="C37" t="s">
        <v>1052</v>
      </c>
    </row>
    <row r="38" spans="3:3" x14ac:dyDescent="0.25">
      <c r="C38" t="s">
        <v>1053</v>
      </c>
    </row>
    <row r="39" spans="3:3" x14ac:dyDescent="0.25">
      <c r="C39" t="s">
        <v>1054</v>
      </c>
    </row>
    <row r="40" spans="3:3" x14ac:dyDescent="0.25">
      <c r="C40" t="s">
        <v>1055</v>
      </c>
    </row>
    <row r="41" spans="3:3" x14ac:dyDescent="0.25">
      <c r="C41" t="s">
        <v>1056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2017-08-21T19:12:37Z</dcterms:modified>
</cp:coreProperties>
</file>