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Trips'!$A$2:$J$43</definedName>
    <definedName name="_xlnm._FilterDatabase" localSheetId="0" hidden="1">'Train Runs'!$A$12:$AG$279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3" i="1" l="1"/>
  <c r="L183" i="1"/>
  <c r="M183" i="1"/>
  <c r="N183" i="1" s="1"/>
  <c r="V183" i="1"/>
  <c r="AA183" i="1"/>
  <c r="AB183" i="1"/>
  <c r="AC183" i="1"/>
  <c r="AD183" i="1"/>
  <c r="AE183" i="1"/>
  <c r="AF183" i="1"/>
  <c r="AH183" i="1"/>
  <c r="AM183" i="1"/>
  <c r="AN183" i="1"/>
  <c r="K181" i="1"/>
  <c r="L181" i="1"/>
  <c r="M181" i="1"/>
  <c r="N181" i="1" s="1"/>
  <c r="V181" i="1"/>
  <c r="AA181" i="1"/>
  <c r="AB181" i="1"/>
  <c r="AC181" i="1"/>
  <c r="AD181" i="1"/>
  <c r="T181" i="1" s="1"/>
  <c r="AE181" i="1"/>
  <c r="AF181" i="1"/>
  <c r="AH181" i="1"/>
  <c r="AM181" i="1"/>
  <c r="AN181" i="1"/>
  <c r="K91" i="1"/>
  <c r="L91" i="1"/>
  <c r="M91" i="1"/>
  <c r="N91" i="1" s="1"/>
  <c r="V91" i="1"/>
  <c r="AA91" i="1"/>
  <c r="AB91" i="1"/>
  <c r="AC91" i="1"/>
  <c r="AD91" i="1"/>
  <c r="T91" i="1" s="1"/>
  <c r="AE91" i="1"/>
  <c r="AF91" i="1"/>
  <c r="AH91" i="1"/>
  <c r="AM91" i="1"/>
  <c r="AN91" i="1"/>
  <c r="K87" i="1"/>
  <c r="L87" i="1"/>
  <c r="M87" i="1"/>
  <c r="N87" i="1" s="1"/>
  <c r="V87" i="1"/>
  <c r="AA87" i="1"/>
  <c r="AB87" i="1"/>
  <c r="AC87" i="1"/>
  <c r="AD87" i="1"/>
  <c r="T87" i="1" s="1"/>
  <c r="AE87" i="1"/>
  <c r="AF87" i="1"/>
  <c r="AH87" i="1"/>
  <c r="AM87" i="1"/>
  <c r="AN87" i="1"/>
  <c r="K81" i="1"/>
  <c r="L81" i="1"/>
  <c r="M81" i="1"/>
  <c r="N81" i="1" s="1"/>
  <c r="V81" i="1"/>
  <c r="AA81" i="1"/>
  <c r="AB81" i="1"/>
  <c r="AC81" i="1"/>
  <c r="AD81" i="1"/>
  <c r="T81" i="1" s="1"/>
  <c r="AE81" i="1"/>
  <c r="AF81" i="1"/>
  <c r="AH81" i="1"/>
  <c r="AM81" i="1"/>
  <c r="AN81" i="1"/>
  <c r="K79" i="1"/>
  <c r="L79" i="1"/>
  <c r="M79" i="1"/>
  <c r="N79" i="1" s="1"/>
  <c r="V79" i="1"/>
  <c r="AA79" i="1"/>
  <c r="AB79" i="1"/>
  <c r="AC79" i="1"/>
  <c r="AD79" i="1"/>
  <c r="AE79" i="1"/>
  <c r="AF79" i="1"/>
  <c r="AH79" i="1"/>
  <c r="AM79" i="1"/>
  <c r="AN79" i="1"/>
  <c r="K72" i="1"/>
  <c r="L72" i="1"/>
  <c r="M72" i="1"/>
  <c r="N72" i="1"/>
  <c r="V72" i="1"/>
  <c r="AA72" i="1"/>
  <c r="AB72" i="1"/>
  <c r="AC72" i="1"/>
  <c r="AD72" i="1"/>
  <c r="T72" i="1" s="1"/>
  <c r="AE72" i="1"/>
  <c r="AF72" i="1"/>
  <c r="AH72" i="1"/>
  <c r="AM72" i="1"/>
  <c r="AN72" i="1"/>
  <c r="K70" i="1"/>
  <c r="L70" i="1"/>
  <c r="M70" i="1"/>
  <c r="N70" i="1" s="1"/>
  <c r="V70" i="1"/>
  <c r="AA70" i="1"/>
  <c r="AB70" i="1"/>
  <c r="AC70" i="1"/>
  <c r="AD70" i="1"/>
  <c r="T70" i="1" s="1"/>
  <c r="AE70" i="1"/>
  <c r="AF70" i="1"/>
  <c r="AH70" i="1"/>
  <c r="AM70" i="1"/>
  <c r="AN70" i="1"/>
  <c r="K66" i="1"/>
  <c r="L66" i="1"/>
  <c r="M66" i="1"/>
  <c r="N66" i="1" s="1"/>
  <c r="V66" i="1"/>
  <c r="AA66" i="1"/>
  <c r="AB66" i="1"/>
  <c r="AC66" i="1"/>
  <c r="AD66" i="1"/>
  <c r="T66" i="1" s="1"/>
  <c r="AE66" i="1"/>
  <c r="AF66" i="1"/>
  <c r="AH66" i="1"/>
  <c r="AM66" i="1"/>
  <c r="AN6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S26" i="3" s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21" i="3" s="1"/>
  <c r="Y35" i="1"/>
  <c r="Z35" i="1"/>
  <c r="AB35" i="1"/>
  <c r="AC35" i="1"/>
  <c r="AD35" i="1"/>
  <c r="T35" i="1" s="1"/>
  <c r="AE35" i="1"/>
  <c r="R21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T41" i="1"/>
  <c r="V41" i="1"/>
  <c r="S10" i="3" s="1"/>
  <c r="X41" i="1"/>
  <c r="Y41" i="1"/>
  <c r="Z41" i="1"/>
  <c r="AA41" i="1" s="1"/>
  <c r="AB41" i="1"/>
  <c r="AC41" i="1"/>
  <c r="AD41" i="1"/>
  <c r="AE41" i="1"/>
  <c r="R10" i="3" s="1"/>
  <c r="AF41" i="1"/>
  <c r="AH41" i="1"/>
  <c r="AM41" i="1"/>
  <c r="AN41" i="1"/>
  <c r="K42" i="1"/>
  <c r="L42" i="1"/>
  <c r="M42" i="1"/>
  <c r="N42" i="1" s="1"/>
  <c r="V42" i="1"/>
  <c r="S15" i="3" s="1"/>
  <c r="Y42" i="1"/>
  <c r="Z42" i="1"/>
  <c r="AA42" i="1" s="1"/>
  <c r="AB42" i="1"/>
  <c r="AC42" i="1"/>
  <c r="AD42" i="1"/>
  <c r="X42" i="1" s="1"/>
  <c r="AE42" i="1"/>
  <c r="R15" i="3" s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AE49" i="1"/>
  <c r="R9" i="3" s="1"/>
  <c r="AF49" i="1"/>
  <c r="AH49" i="1"/>
  <c r="AM49" i="1"/>
  <c r="AN49" i="1"/>
  <c r="K50" i="1"/>
  <c r="L50" i="1"/>
  <c r="M50" i="1"/>
  <c r="N50" i="1" s="1"/>
  <c r="V50" i="1"/>
  <c r="Y50" i="1"/>
  <c r="AA50" i="1" s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R14" i="3" s="1"/>
  <c r="AF59" i="1"/>
  <c r="AH59" i="1"/>
  <c r="AM59" i="1"/>
  <c r="AN59" i="1"/>
  <c r="K60" i="1"/>
  <c r="L60" i="1"/>
  <c r="M60" i="1"/>
  <c r="N60" i="1" s="1"/>
  <c r="V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S32" i="3" s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7" i="3" s="1"/>
  <c r="Y64" i="1"/>
  <c r="Z64" i="1"/>
  <c r="AB64" i="1"/>
  <c r="AC64" i="1"/>
  <c r="AD64" i="1"/>
  <c r="AE64" i="1"/>
  <c r="R7" i="3" s="1"/>
  <c r="AF64" i="1"/>
  <c r="AH64" i="1"/>
  <c r="AM64" i="1"/>
  <c r="AN64" i="1"/>
  <c r="K65" i="1"/>
  <c r="L65" i="1"/>
  <c r="M65" i="1"/>
  <c r="N65" i="1" s="1"/>
  <c r="V65" i="1"/>
  <c r="S33" i="3" s="1"/>
  <c r="Y65" i="1"/>
  <c r="Z65" i="1"/>
  <c r="AB65" i="1"/>
  <c r="AC65" i="1"/>
  <c r="AD65" i="1"/>
  <c r="X66" i="1" s="1"/>
  <c r="AE65" i="1"/>
  <c r="R33" i="3" s="1"/>
  <c r="AF65" i="1"/>
  <c r="AH65" i="1"/>
  <c r="AM65" i="1"/>
  <c r="AN65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3" i="1"/>
  <c r="L73" i="1"/>
  <c r="M73" i="1"/>
  <c r="N73" i="1" s="1"/>
  <c r="V73" i="1"/>
  <c r="AB73" i="1"/>
  <c r="AC73" i="1"/>
  <c r="AD73" i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11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R28" i="3" s="1"/>
  <c r="AF78" i="1"/>
  <c r="AH78" i="1"/>
  <c r="AM78" i="1"/>
  <c r="AN78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29" i="3" s="1"/>
  <c r="Y84" i="1"/>
  <c r="AA84" i="1" s="1"/>
  <c r="Z84" i="1"/>
  <c r="AB84" i="1"/>
  <c r="AC84" i="1"/>
  <c r="AD84" i="1"/>
  <c r="T84" i="1" s="1"/>
  <c r="AE84" i="1"/>
  <c r="R29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P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36" i="3" s="1"/>
  <c r="Y99" i="1"/>
  <c r="Z99" i="1"/>
  <c r="AB99" i="1"/>
  <c r="AC99" i="1"/>
  <c r="AD99" i="1"/>
  <c r="AE99" i="1"/>
  <c r="R36" i="3" s="1"/>
  <c r="AF99" i="1"/>
  <c r="AH99" i="1"/>
  <c r="AM99" i="1"/>
  <c r="AN99" i="1"/>
  <c r="K100" i="1"/>
  <c r="L100" i="1"/>
  <c r="M100" i="1"/>
  <c r="N100" i="1" s="1"/>
  <c r="V100" i="1"/>
  <c r="S24" i="3" s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S16" i="3" s="1"/>
  <c r="Y102" i="1"/>
  <c r="Z102" i="1"/>
  <c r="AB102" i="1"/>
  <c r="AC102" i="1"/>
  <c r="AD102" i="1"/>
  <c r="AE102" i="1"/>
  <c r="R16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R27" i="3" s="1"/>
  <c r="AF107" i="1"/>
  <c r="AH107" i="1"/>
  <c r="AM107" i="1"/>
  <c r="AN107" i="1"/>
  <c r="K108" i="1"/>
  <c r="L108" i="1"/>
  <c r="M108" i="1"/>
  <c r="N108" i="1" s="1"/>
  <c r="V108" i="1"/>
  <c r="S25" i="3" s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S37" i="3" s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19" i="3" s="1"/>
  <c r="Y114" i="1"/>
  <c r="Z114" i="1"/>
  <c r="AB114" i="1"/>
  <c r="AC114" i="1"/>
  <c r="AD114" i="1"/>
  <c r="T114" i="1" s="1"/>
  <c r="AE114" i="1"/>
  <c r="R19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38" i="3" s="1"/>
  <c r="Y131" i="1"/>
  <c r="Z131" i="1"/>
  <c r="AB131" i="1"/>
  <c r="AC131" i="1"/>
  <c r="AD131" i="1"/>
  <c r="X131" i="1" s="1"/>
  <c r="AE131" i="1"/>
  <c r="R38" i="3" s="1"/>
  <c r="AF131" i="1"/>
  <c r="AH131" i="1"/>
  <c r="AM131" i="1"/>
  <c r="AN131" i="1"/>
  <c r="K132" i="1"/>
  <c r="L132" i="1"/>
  <c r="M132" i="1"/>
  <c r="N132" i="1" s="1"/>
  <c r="V132" i="1"/>
  <c r="S30" i="3" s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P134" i="1" s="1"/>
  <c r="V134" i="1"/>
  <c r="S20" i="3" s="1"/>
  <c r="Y134" i="1"/>
  <c r="Z134" i="1"/>
  <c r="AB134" i="1"/>
  <c r="AC134" i="1"/>
  <c r="AD134" i="1"/>
  <c r="AE134" i="1"/>
  <c r="R20" i="3" s="1"/>
  <c r="AF134" i="1"/>
  <c r="AH134" i="1"/>
  <c r="AM134" i="1"/>
  <c r="AN134" i="1"/>
  <c r="K135" i="1"/>
  <c r="L135" i="1"/>
  <c r="M135" i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X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P143" i="1" s="1"/>
  <c r="V143" i="1"/>
  <c r="S17" i="3" s="1"/>
  <c r="Y143" i="1"/>
  <c r="AA143" i="1" s="1"/>
  <c r="Z143" i="1"/>
  <c r="AB143" i="1"/>
  <c r="AC143" i="1"/>
  <c r="AD143" i="1"/>
  <c r="T143" i="1" s="1"/>
  <c r="AE143" i="1"/>
  <c r="R17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P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44" i="1"/>
  <c r="AM244" i="1"/>
  <c r="AN24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S51" i="3" s="1"/>
  <c r="Y222" i="1"/>
  <c r="Z222" i="1"/>
  <c r="AB222" i="1"/>
  <c r="AC222" i="1"/>
  <c r="AD222" i="1"/>
  <c r="T222" i="1" s="1"/>
  <c r="AE222" i="1"/>
  <c r="R51" i="3" s="1"/>
  <c r="AF222" i="1"/>
  <c r="AH174" i="1"/>
  <c r="AM174" i="1"/>
  <c r="AN17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5" i="1"/>
  <c r="AM175" i="1"/>
  <c r="AN17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S53" i="3" s="1"/>
  <c r="Y233" i="1"/>
  <c r="Z233" i="1"/>
  <c r="AB233" i="1"/>
  <c r="AC233" i="1"/>
  <c r="AD233" i="1"/>
  <c r="T233" i="1" s="1"/>
  <c r="AE233" i="1"/>
  <c r="R52" i="3" s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44" i="1"/>
  <c r="L244" i="1"/>
  <c r="M244" i="1"/>
  <c r="N244" i="1" s="1"/>
  <c r="V244" i="1"/>
  <c r="S39" i="3" s="1"/>
  <c r="Y244" i="1"/>
  <c r="Z244" i="1"/>
  <c r="AB244" i="1"/>
  <c r="AC244" i="1"/>
  <c r="AD244" i="1"/>
  <c r="T244" i="1" s="1"/>
  <c r="AE244" i="1"/>
  <c r="R39" i="3" s="1"/>
  <c r="AF244" i="1"/>
  <c r="AH184" i="1"/>
  <c r="AM184" i="1"/>
  <c r="AN184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5" i="1"/>
  <c r="AM185" i="1"/>
  <c r="AN185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6" i="1"/>
  <c r="AM186" i="1"/>
  <c r="AN186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7" i="1"/>
  <c r="AM187" i="1"/>
  <c r="AN187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K171" i="1"/>
  <c r="L171" i="1"/>
  <c r="M171" i="1"/>
  <c r="N171" i="1" s="1"/>
  <c r="V171" i="1"/>
  <c r="S43" i="3" s="1"/>
  <c r="Y171" i="1"/>
  <c r="Z171" i="1"/>
  <c r="AB171" i="1"/>
  <c r="AC171" i="1"/>
  <c r="AD171" i="1"/>
  <c r="T171" i="1" s="1"/>
  <c r="AE171" i="1"/>
  <c r="R43" i="3" s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8" i="1"/>
  <c r="AM198" i="1"/>
  <c r="AN198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9" i="1"/>
  <c r="AM199" i="1"/>
  <c r="AN199" i="1"/>
  <c r="K173" i="1"/>
  <c r="L173" i="1"/>
  <c r="M173" i="1"/>
  <c r="N173" i="1" s="1"/>
  <c r="V173" i="1"/>
  <c r="S45" i="3" s="1"/>
  <c r="Y173" i="1"/>
  <c r="Z173" i="1"/>
  <c r="AB173" i="1"/>
  <c r="AC173" i="1"/>
  <c r="AD173" i="1"/>
  <c r="T173" i="1" s="1"/>
  <c r="AE173" i="1"/>
  <c r="R45" i="3" s="1"/>
  <c r="AF173" i="1"/>
  <c r="AH200" i="1"/>
  <c r="AM200" i="1"/>
  <c r="AN20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1" i="1"/>
  <c r="AM201" i="1"/>
  <c r="AN20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2" i="1"/>
  <c r="AM202" i="1"/>
  <c r="AN20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AM204" i="1"/>
  <c r="AN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AM205" i="1"/>
  <c r="AN20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6" i="1"/>
  <c r="AM206" i="1"/>
  <c r="AN2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1" i="1"/>
  <c r="AM211" i="1"/>
  <c r="AN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K188" i="1"/>
  <c r="L188" i="1"/>
  <c r="M188" i="1"/>
  <c r="N188" i="1" s="1"/>
  <c r="V188" i="1"/>
  <c r="S40" i="3" s="1"/>
  <c r="Y188" i="1"/>
  <c r="Z188" i="1"/>
  <c r="AB188" i="1"/>
  <c r="AC188" i="1"/>
  <c r="AD188" i="1"/>
  <c r="T188" i="1" s="1"/>
  <c r="AE188" i="1"/>
  <c r="R40" i="3" s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K190" i="1"/>
  <c r="L190" i="1"/>
  <c r="M190" i="1"/>
  <c r="N190" i="1" s="1"/>
  <c r="V190" i="1"/>
  <c r="S41" i="3" s="1"/>
  <c r="Y190" i="1"/>
  <c r="Z190" i="1"/>
  <c r="AB190" i="1"/>
  <c r="AC190" i="1"/>
  <c r="AD190" i="1"/>
  <c r="T190" i="1" s="1"/>
  <c r="AE190" i="1"/>
  <c r="R41" i="3" s="1"/>
  <c r="AF190" i="1"/>
  <c r="AH215" i="1"/>
  <c r="AM215" i="1"/>
  <c r="AN215" i="1"/>
  <c r="K191" i="1"/>
  <c r="L191" i="1"/>
  <c r="M191" i="1"/>
  <c r="N191" i="1" s="1"/>
  <c r="V191" i="1"/>
  <c r="S46" i="3" s="1"/>
  <c r="Y191" i="1"/>
  <c r="Z191" i="1"/>
  <c r="AB191" i="1"/>
  <c r="AC191" i="1"/>
  <c r="AD191" i="1"/>
  <c r="T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9" i="1"/>
  <c r="AM219" i="1"/>
  <c r="AN219" i="1"/>
  <c r="K195" i="1"/>
  <c r="L195" i="1"/>
  <c r="M195" i="1"/>
  <c r="N195" i="1"/>
  <c r="V195" i="1"/>
  <c r="Y195" i="1"/>
  <c r="Z195" i="1"/>
  <c r="AB195" i="1"/>
  <c r="AC195" i="1"/>
  <c r="AD195" i="1"/>
  <c r="T195" i="1" s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3" i="1"/>
  <c r="AM223" i="1"/>
  <c r="AN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R44" i="3" s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6" i="1"/>
  <c r="AM226" i="1"/>
  <c r="AN226" i="1"/>
  <c r="K202" i="1"/>
  <c r="L202" i="1"/>
  <c r="M202" i="1"/>
  <c r="N202" i="1" s="1"/>
  <c r="V202" i="1"/>
  <c r="S48" i="3" s="1"/>
  <c r="Y202" i="1"/>
  <c r="Z202" i="1"/>
  <c r="AB202" i="1"/>
  <c r="AC202" i="1"/>
  <c r="AD202" i="1"/>
  <c r="T202" i="1" s="1"/>
  <c r="AE202" i="1"/>
  <c r="R48" i="3" s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8" i="1"/>
  <c r="AM228" i="1"/>
  <c r="AN22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9" i="1"/>
  <c r="AM229" i="1"/>
  <c r="AN229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0" i="1"/>
  <c r="AM230" i="1"/>
  <c r="AN23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1" i="1"/>
  <c r="AM231" i="1"/>
  <c r="AN231" i="1"/>
  <c r="K207" i="1"/>
  <c r="L207" i="1"/>
  <c r="M207" i="1"/>
  <c r="N207" i="1" s="1"/>
  <c r="V207" i="1"/>
  <c r="S42" i="3" s="1"/>
  <c r="Y207" i="1"/>
  <c r="Z207" i="1"/>
  <c r="AB207" i="1"/>
  <c r="AC207" i="1"/>
  <c r="AD207" i="1"/>
  <c r="T207" i="1" s="1"/>
  <c r="AE207" i="1"/>
  <c r="R42" i="3" s="1"/>
  <c r="AF207" i="1"/>
  <c r="AH232" i="1"/>
  <c r="AM232" i="1"/>
  <c r="AN23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3" i="1"/>
  <c r="AM233" i="1"/>
  <c r="AN23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4" i="1"/>
  <c r="AM234" i="1"/>
  <c r="AN23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5" i="1"/>
  <c r="AM235" i="1"/>
  <c r="AN23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36" i="1"/>
  <c r="AM236" i="1"/>
  <c r="AN236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37" i="1"/>
  <c r="AM237" i="1"/>
  <c r="AN23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8" i="1"/>
  <c r="AM238" i="1"/>
  <c r="AN238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9" i="1"/>
  <c r="AM239" i="1"/>
  <c r="AN239" i="1"/>
  <c r="K227" i="1"/>
  <c r="L227" i="1"/>
  <c r="M227" i="1"/>
  <c r="N227" i="1" s="1"/>
  <c r="V227" i="1"/>
  <c r="S49" i="3" s="1"/>
  <c r="Y227" i="1"/>
  <c r="Z227" i="1"/>
  <c r="AB227" i="1"/>
  <c r="AC227" i="1"/>
  <c r="AD227" i="1"/>
  <c r="T227" i="1" s="1"/>
  <c r="AE227" i="1"/>
  <c r="AF227" i="1"/>
  <c r="AH240" i="1"/>
  <c r="AM240" i="1"/>
  <c r="AN240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1" i="1"/>
  <c r="AM241" i="1"/>
  <c r="AN241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2" i="1"/>
  <c r="AM242" i="1"/>
  <c r="AN242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43" i="1"/>
  <c r="AM243" i="1"/>
  <c r="AN243" i="1"/>
  <c r="M13" i="3"/>
  <c r="R13" i="3"/>
  <c r="S13" i="3"/>
  <c r="U13" i="3"/>
  <c r="T13" i="3" s="1"/>
  <c r="V13" i="3"/>
  <c r="X13" i="3"/>
  <c r="M23" i="3"/>
  <c r="R23" i="3"/>
  <c r="U23" i="3"/>
  <c r="AD23" i="3" s="1"/>
  <c r="V23" i="3"/>
  <c r="X23" i="3"/>
  <c r="M26" i="3"/>
  <c r="R26" i="3"/>
  <c r="U26" i="3"/>
  <c r="AC26" i="3" s="1"/>
  <c r="V26" i="3"/>
  <c r="X26" i="3"/>
  <c r="M51" i="3"/>
  <c r="U51" i="3"/>
  <c r="AC51" i="3" s="1"/>
  <c r="V51" i="3"/>
  <c r="X51" i="3"/>
  <c r="M31" i="3"/>
  <c r="R31" i="3"/>
  <c r="U31" i="3"/>
  <c r="T31" i="3" s="1"/>
  <c r="V31" i="3"/>
  <c r="X31" i="3"/>
  <c r="M21" i="3"/>
  <c r="U21" i="3"/>
  <c r="V21" i="3"/>
  <c r="X21" i="3"/>
  <c r="M10" i="3"/>
  <c r="U10" i="3"/>
  <c r="AC10" i="3" s="1"/>
  <c r="V10" i="3"/>
  <c r="X10" i="3"/>
  <c r="M43" i="3"/>
  <c r="U43" i="3"/>
  <c r="T43" i="3" s="1"/>
  <c r="V43" i="3"/>
  <c r="X43" i="3"/>
  <c r="M22" i="3"/>
  <c r="R22" i="3"/>
  <c r="S22" i="3"/>
  <c r="U22" i="3"/>
  <c r="T22" i="3" s="1"/>
  <c r="V22" i="3"/>
  <c r="X22" i="3"/>
  <c r="M9" i="3"/>
  <c r="S9" i="3"/>
  <c r="U9" i="3"/>
  <c r="V9" i="3"/>
  <c r="X9" i="3"/>
  <c r="M8" i="3"/>
  <c r="S8" i="3"/>
  <c r="U8" i="3"/>
  <c r="AC8" i="3" s="1"/>
  <c r="V8" i="3"/>
  <c r="X8" i="3"/>
  <c r="M45" i="3"/>
  <c r="U45" i="3"/>
  <c r="T45" i="3" s="1"/>
  <c r="V45" i="3"/>
  <c r="X45" i="3"/>
  <c r="M15" i="3"/>
  <c r="U15" i="3"/>
  <c r="T15" i="3" s="1"/>
  <c r="V15" i="3"/>
  <c r="X15" i="3"/>
  <c r="M14" i="3"/>
  <c r="S14" i="3"/>
  <c r="U14" i="3"/>
  <c r="AD21" i="3" s="1"/>
  <c r="V14" i="3"/>
  <c r="X14" i="3"/>
  <c r="M32" i="3"/>
  <c r="R32" i="3"/>
  <c r="U32" i="3"/>
  <c r="AC32" i="3" s="1"/>
  <c r="V32" i="3"/>
  <c r="X32" i="3"/>
  <c r="M33" i="3"/>
  <c r="U33" i="3"/>
  <c r="T33" i="3" s="1"/>
  <c r="V33" i="3"/>
  <c r="X33" i="3"/>
  <c r="M7" i="3"/>
  <c r="U7" i="3"/>
  <c r="T7" i="3" s="1"/>
  <c r="V7" i="3"/>
  <c r="X7" i="3"/>
  <c r="M12" i="3"/>
  <c r="R12" i="3"/>
  <c r="U12" i="3"/>
  <c r="V12" i="3"/>
  <c r="X12" i="3"/>
  <c r="M11" i="3"/>
  <c r="R11" i="3"/>
  <c r="U11" i="3"/>
  <c r="AC11" i="3" s="1"/>
  <c r="V11" i="3"/>
  <c r="X11" i="3"/>
  <c r="M52" i="3"/>
  <c r="U52" i="3"/>
  <c r="T52" i="3" s="1"/>
  <c r="V52" i="3"/>
  <c r="X52" i="3"/>
  <c r="M53" i="3"/>
  <c r="U53" i="3"/>
  <c r="T53" i="3" s="1"/>
  <c r="V53" i="3"/>
  <c r="X53" i="3"/>
  <c r="M28" i="3"/>
  <c r="S28" i="3"/>
  <c r="U28" i="3"/>
  <c r="V28" i="3"/>
  <c r="X28" i="3"/>
  <c r="M29" i="3"/>
  <c r="U29" i="3"/>
  <c r="AC29" i="3" s="1"/>
  <c r="V29" i="3"/>
  <c r="X29" i="3"/>
  <c r="M18" i="3"/>
  <c r="R18" i="3"/>
  <c r="U18" i="3"/>
  <c r="T18" i="3" s="1"/>
  <c r="V18" i="3"/>
  <c r="X18" i="3"/>
  <c r="M34" i="3"/>
  <c r="R34" i="3"/>
  <c r="S34" i="3"/>
  <c r="U34" i="3"/>
  <c r="T34" i="3" s="1"/>
  <c r="V34" i="3"/>
  <c r="X34" i="3"/>
  <c r="M35" i="3"/>
  <c r="R35" i="3"/>
  <c r="S35" i="3"/>
  <c r="U35" i="3"/>
  <c r="V35" i="3"/>
  <c r="X35" i="3"/>
  <c r="M36" i="3"/>
  <c r="U36" i="3"/>
  <c r="AC36" i="3" s="1"/>
  <c r="V36" i="3"/>
  <c r="X36" i="3"/>
  <c r="M24" i="3"/>
  <c r="R24" i="3"/>
  <c r="U24" i="3"/>
  <c r="T24" i="3" s="1"/>
  <c r="V24" i="3"/>
  <c r="X24" i="3"/>
  <c r="M49" i="3"/>
  <c r="R49" i="3"/>
  <c r="U49" i="3"/>
  <c r="T49" i="3" s="1"/>
  <c r="V49" i="3"/>
  <c r="X49" i="3"/>
  <c r="M40" i="3"/>
  <c r="U40" i="3"/>
  <c r="V40" i="3"/>
  <c r="X40" i="3"/>
  <c r="M27" i="3"/>
  <c r="S27" i="3"/>
  <c r="U27" i="3"/>
  <c r="AC27" i="3" s="1"/>
  <c r="V27" i="3"/>
  <c r="X27" i="3"/>
  <c r="M16" i="3"/>
  <c r="U16" i="3"/>
  <c r="T16" i="3" s="1"/>
  <c r="V16" i="3"/>
  <c r="X16" i="3"/>
  <c r="M37" i="3"/>
  <c r="R37" i="3"/>
  <c r="U37" i="3"/>
  <c r="T37" i="3" s="1"/>
  <c r="V37" i="3"/>
  <c r="X37" i="3"/>
  <c r="M41" i="3"/>
  <c r="U41" i="3"/>
  <c r="AD41" i="3" s="1"/>
  <c r="V41" i="3"/>
  <c r="X41" i="3"/>
  <c r="M25" i="3"/>
  <c r="R25" i="3"/>
  <c r="U25" i="3"/>
  <c r="AC25" i="3" s="1"/>
  <c r="V25" i="3"/>
  <c r="X25" i="3"/>
  <c r="M46" i="3"/>
  <c r="U46" i="3"/>
  <c r="T46" i="3" s="1"/>
  <c r="V46" i="3"/>
  <c r="X46" i="3"/>
  <c r="M47" i="3"/>
  <c r="U47" i="3"/>
  <c r="T47" i="3" s="1"/>
  <c r="V47" i="3"/>
  <c r="X47" i="3"/>
  <c r="M19" i="3"/>
  <c r="U19" i="3"/>
  <c r="V19" i="3"/>
  <c r="X19" i="3"/>
  <c r="M44" i="3"/>
  <c r="S44" i="3"/>
  <c r="U44" i="3"/>
  <c r="AC44" i="3" s="1"/>
  <c r="V44" i="3"/>
  <c r="X44" i="3"/>
  <c r="M38" i="3"/>
  <c r="U38" i="3"/>
  <c r="T38" i="3" s="1"/>
  <c r="V38" i="3"/>
  <c r="X38" i="3"/>
  <c r="M48" i="3"/>
  <c r="U48" i="3"/>
  <c r="T48" i="3" s="1"/>
  <c r="V48" i="3"/>
  <c r="X48" i="3"/>
  <c r="M20" i="3"/>
  <c r="U20" i="3"/>
  <c r="V20" i="3"/>
  <c r="X20" i="3"/>
  <c r="M30" i="3"/>
  <c r="R30" i="3"/>
  <c r="U30" i="3"/>
  <c r="AC30" i="3" s="1"/>
  <c r="V30" i="3"/>
  <c r="X30" i="3"/>
  <c r="M17" i="3"/>
  <c r="U17" i="3"/>
  <c r="T17" i="3" s="1"/>
  <c r="V17" i="3"/>
  <c r="X17" i="3"/>
  <c r="M42" i="3"/>
  <c r="U42" i="3"/>
  <c r="T42" i="3" s="1"/>
  <c r="V42" i="3"/>
  <c r="X42" i="3"/>
  <c r="M39" i="3"/>
  <c r="U39" i="3"/>
  <c r="V39" i="3"/>
  <c r="X39" i="3"/>
  <c r="W21" i="3"/>
  <c r="W28" i="3"/>
  <c r="W19" i="3"/>
  <c r="W25" i="3"/>
  <c r="W10" i="3"/>
  <c r="W36" i="3"/>
  <c r="W43" i="3"/>
  <c r="W18" i="3"/>
  <c r="W15" i="3"/>
  <c r="W49" i="3"/>
  <c r="W42" i="3"/>
  <c r="W17" i="3"/>
  <c r="W9" i="3"/>
  <c r="W35" i="3"/>
  <c r="W20" i="3"/>
  <c r="W24" i="3"/>
  <c r="W8" i="3"/>
  <c r="W44" i="3"/>
  <c r="W45" i="3"/>
  <c r="W13" i="3"/>
  <c r="W7" i="3"/>
  <c r="W37" i="3"/>
  <c r="W27" i="3"/>
  <c r="W51" i="3"/>
  <c r="W48" i="3"/>
  <c r="W14" i="3"/>
  <c r="W40" i="3"/>
  <c r="W39" i="3"/>
  <c r="W38" i="3"/>
  <c r="W32" i="3"/>
  <c r="W46" i="3"/>
  <c r="W33" i="3"/>
  <c r="W31" i="3"/>
  <c r="W53" i="3"/>
  <c r="W47" i="3"/>
  <c r="W30" i="3"/>
  <c r="W23" i="3"/>
  <c r="W12" i="3"/>
  <c r="W41" i="3"/>
  <c r="W29" i="3"/>
  <c r="W26" i="3"/>
  <c r="W11" i="3"/>
  <c r="W52" i="3"/>
  <c r="W22" i="3"/>
  <c r="W34" i="3"/>
  <c r="W16" i="3"/>
  <c r="AG91" i="1"/>
  <c r="AG72" i="1"/>
  <c r="AG152" i="1"/>
  <c r="AG229" i="1"/>
  <c r="AG31" i="1"/>
  <c r="AG54" i="1"/>
  <c r="AG64" i="1"/>
  <c r="AG50" i="1"/>
  <c r="AG125" i="1"/>
  <c r="AG150" i="1"/>
  <c r="AG137" i="1"/>
  <c r="AG94" i="1"/>
  <c r="AG210" i="1"/>
  <c r="AG244" i="1"/>
  <c r="AG214" i="1"/>
  <c r="AG202" i="1"/>
  <c r="AG174" i="1"/>
  <c r="AG187" i="1"/>
  <c r="AG17" i="1"/>
  <c r="AG62" i="1"/>
  <c r="AG82" i="1"/>
  <c r="AG63" i="1"/>
  <c r="AG132" i="1"/>
  <c r="AG158" i="1"/>
  <c r="AG145" i="1"/>
  <c r="AG107" i="1"/>
  <c r="AG212" i="1"/>
  <c r="AG166" i="1"/>
  <c r="AG216" i="1"/>
  <c r="AG241" i="1"/>
  <c r="AG184" i="1"/>
  <c r="AG195" i="1"/>
  <c r="AG21" i="1"/>
  <c r="AG67" i="1"/>
  <c r="AG86" i="1"/>
  <c r="AG69" i="1"/>
  <c r="AG56" i="1"/>
  <c r="AG98" i="1"/>
  <c r="AG68" i="1"/>
  <c r="AG139" i="1"/>
  <c r="AG160" i="1"/>
  <c r="AG157" i="1"/>
  <c r="AG185" i="1"/>
  <c r="AG182" i="1"/>
  <c r="AG45" i="1"/>
  <c r="AG120" i="1"/>
  <c r="AG127" i="1"/>
  <c r="AG243" i="1"/>
  <c r="AG22" i="1"/>
  <c r="AG196" i="1"/>
  <c r="AG113" i="1"/>
  <c r="AG218" i="1"/>
  <c r="AG233" i="1"/>
  <c r="AG76" i="1"/>
  <c r="AG141" i="1"/>
  <c r="AG215" i="1"/>
  <c r="AG29" i="1"/>
  <c r="AG207" i="1"/>
  <c r="AG183" i="1"/>
  <c r="AG81" i="1"/>
  <c r="AG66" i="1"/>
  <c r="AG164" i="1"/>
  <c r="AG199" i="1"/>
  <c r="AG41" i="1"/>
  <c r="AG39" i="1"/>
  <c r="AG55" i="1"/>
  <c r="AG93" i="1"/>
  <c r="AG119" i="1"/>
  <c r="AG99" i="1"/>
  <c r="AG74" i="1"/>
  <c r="AG143" i="1"/>
  <c r="AG167" i="1"/>
  <c r="AG231" i="1"/>
  <c r="AG168" i="1"/>
  <c r="AG189" i="1"/>
  <c r="AG208" i="1"/>
  <c r="AG20" i="1"/>
  <c r="AG49" i="1"/>
  <c r="AG53" i="1"/>
  <c r="AG75" i="1"/>
  <c r="AG101" i="1"/>
  <c r="AG133" i="1"/>
  <c r="AG114" i="1"/>
  <c r="AG89" i="1"/>
  <c r="AG151" i="1"/>
  <c r="AG140" i="1"/>
  <c r="AG238" i="1"/>
  <c r="AG176" i="1"/>
  <c r="AG197" i="1"/>
  <c r="AG228" i="1"/>
  <c r="AG24" i="1"/>
  <c r="AG14" i="1"/>
  <c r="AG57" i="1"/>
  <c r="AG80" i="1"/>
  <c r="AG105" i="1"/>
  <c r="AG134" i="1"/>
  <c r="AG131" i="1"/>
  <c r="AG112" i="1"/>
  <c r="AG219" i="1"/>
  <c r="AG170" i="1"/>
  <c r="AG180" i="1"/>
  <c r="AG188" i="1"/>
  <c r="AG16" i="1"/>
  <c r="AG60" i="1"/>
  <c r="AG78" i="1"/>
  <c r="AG172" i="1"/>
  <c r="AG209" i="1"/>
  <c r="AG36" i="1"/>
  <c r="AG65" i="1"/>
  <c r="AG129" i="1"/>
  <c r="AG18" i="1"/>
  <c r="AG35" i="1"/>
  <c r="AG128" i="1"/>
  <c r="AG211" i="1"/>
  <c r="AG178" i="1"/>
  <c r="AG123" i="1"/>
  <c r="AG181" i="1"/>
  <c r="AG79" i="1"/>
  <c r="AG146" i="1"/>
  <c r="AG226" i="1"/>
  <c r="AG15" i="1"/>
  <c r="AG28" i="1"/>
  <c r="AG61" i="1"/>
  <c r="AG85" i="1"/>
  <c r="AG109" i="1"/>
  <c r="AG135" i="1"/>
  <c r="AG116" i="1"/>
  <c r="AG96" i="1"/>
  <c r="AG159" i="1"/>
  <c r="AG161" i="1"/>
  <c r="AG169" i="1"/>
  <c r="AG186" i="1"/>
  <c r="AG205" i="1"/>
  <c r="AG240" i="1"/>
  <c r="AG23" i="1"/>
  <c r="AG43" i="1"/>
  <c r="AG48" i="1"/>
  <c r="AG26" i="1"/>
  <c r="AG117" i="1"/>
  <c r="AG142" i="1"/>
  <c r="AG130" i="1"/>
  <c r="AG111" i="1"/>
  <c r="AG136" i="1"/>
  <c r="AG222" i="1"/>
  <c r="AG148" i="1"/>
  <c r="AG194" i="1"/>
  <c r="AG225" i="1"/>
  <c r="AG177" i="1"/>
  <c r="AG27" i="1"/>
  <c r="AG44" i="1"/>
  <c r="AG59" i="1"/>
  <c r="AG32" i="1"/>
  <c r="AG121" i="1"/>
  <c r="AG162" i="1"/>
  <c r="AG149" i="1"/>
  <c r="AG70" i="1"/>
  <c r="AG73" i="1"/>
  <c r="AG213" i="1"/>
  <c r="AG144" i="1"/>
  <c r="AG203" i="1"/>
  <c r="AG83" i="1"/>
  <c r="AG124" i="1"/>
  <c r="AG179" i="1"/>
  <c r="AG38" i="1"/>
  <c r="AG115" i="1"/>
  <c r="AG163" i="1"/>
  <c r="AG19" i="1"/>
  <c r="AG147" i="1"/>
  <c r="AG90" i="1"/>
  <c r="AG154" i="1"/>
  <c r="AG221" i="1"/>
  <c r="AG153" i="1"/>
  <c r="AG224" i="1"/>
  <c r="AG104" i="1"/>
  <c r="AG200" i="1"/>
  <c r="AG95" i="1"/>
  <c r="AG201" i="1"/>
  <c r="AG235" i="1"/>
  <c r="AG138" i="1"/>
  <c r="AG106" i="1"/>
  <c r="AG204" i="1"/>
  <c r="AG71" i="1"/>
  <c r="AG122" i="1"/>
  <c r="AG230" i="1"/>
  <c r="AG34" i="1"/>
  <c r="AG84" i="1"/>
  <c r="AG217" i="1"/>
  <c r="AG242" i="1"/>
  <c r="AG88" i="1"/>
  <c r="AG108" i="1"/>
  <c r="AG165" i="1"/>
  <c r="AG171" i="1"/>
  <c r="AG97" i="1"/>
  <c r="AG193" i="1"/>
  <c r="AG156" i="1"/>
  <c r="AG110" i="1"/>
  <c r="AG58" i="1"/>
  <c r="AG239" i="1"/>
  <c r="AG234" i="1"/>
  <c r="AG87" i="1"/>
  <c r="AG25" i="1"/>
  <c r="AG102" i="1"/>
  <c r="AG223" i="1"/>
  <c r="AG192" i="1"/>
  <c r="AG46" i="1"/>
  <c r="AG47" i="1"/>
  <c r="AG237" i="1"/>
  <c r="AG37" i="1"/>
  <c r="AG118" i="1"/>
  <c r="AG155" i="1"/>
  <c r="AG220" i="1"/>
  <c r="AG227" i="1"/>
  <c r="AG100" i="1"/>
  <c r="AG126" i="1"/>
  <c r="AG42" i="1"/>
  <c r="AG190" i="1"/>
  <c r="AG52" i="1"/>
  <c r="AG206" i="1"/>
  <c r="AG198" i="1"/>
  <c r="AG173" i="1"/>
  <c r="AG30" i="1"/>
  <c r="AG191" i="1"/>
  <c r="AG92" i="1"/>
  <c r="AG33" i="1"/>
  <c r="AG236" i="1"/>
  <c r="AG51" i="1"/>
  <c r="AG232" i="1"/>
  <c r="AG40" i="1"/>
  <c r="AG77" i="1"/>
  <c r="AG175" i="1"/>
  <c r="AG103" i="1"/>
  <c r="X39" i="1" l="1"/>
  <c r="X160" i="1"/>
  <c r="X158" i="1"/>
  <c r="X130" i="1"/>
  <c r="AA124" i="1"/>
  <c r="X102" i="1"/>
  <c r="X164" i="1"/>
  <c r="X240" i="1"/>
  <c r="AA216" i="1"/>
  <c r="AA214" i="1"/>
  <c r="X152" i="1"/>
  <c r="AA135" i="1"/>
  <c r="AA83" i="1"/>
  <c r="T155" i="1"/>
  <c r="X155" i="1"/>
  <c r="X156" i="1"/>
  <c r="R47" i="3"/>
  <c r="R46" i="3"/>
  <c r="T147" i="1"/>
  <c r="X148" i="1"/>
  <c r="S12" i="3"/>
  <c r="AA192" i="1"/>
  <c r="AA190" i="1"/>
  <c r="X189" i="1"/>
  <c r="X185" i="1"/>
  <c r="AA217" i="1"/>
  <c r="X162" i="1"/>
  <c r="X157" i="1"/>
  <c r="X151" i="1"/>
  <c r="AA117" i="1"/>
  <c r="X129" i="1"/>
  <c r="X128" i="1"/>
  <c r="AA228" i="1"/>
  <c r="AA243" i="1"/>
  <c r="AA208" i="1"/>
  <c r="AA206" i="1"/>
  <c r="W206" i="1" s="1"/>
  <c r="AA171" i="1"/>
  <c r="AA167" i="1"/>
  <c r="AA235" i="1"/>
  <c r="X161" i="1"/>
  <c r="AA146" i="1"/>
  <c r="X73" i="1"/>
  <c r="AA65" i="1"/>
  <c r="X183" i="1"/>
  <c r="X126" i="1"/>
  <c r="X166" i="1"/>
  <c r="X67" i="1"/>
  <c r="X79" i="1"/>
  <c r="X80" i="1"/>
  <c r="X186" i="1"/>
  <c r="X182" i="1"/>
  <c r="X174" i="1"/>
  <c r="AA165" i="1"/>
  <c r="AA101" i="1"/>
  <c r="AA80" i="1"/>
  <c r="AA62" i="1"/>
  <c r="W62" i="1" s="1"/>
  <c r="AA53" i="1"/>
  <c r="T26" i="1"/>
  <c r="AA14" i="1"/>
  <c r="X165" i="1"/>
  <c r="AA196" i="1"/>
  <c r="X193" i="1"/>
  <c r="X170" i="1"/>
  <c r="AA189" i="1"/>
  <c r="AA223" i="1"/>
  <c r="AA159" i="1"/>
  <c r="AA156" i="1"/>
  <c r="AA148" i="1"/>
  <c r="AA126" i="1"/>
  <c r="X119" i="1"/>
  <c r="X94" i="1"/>
  <c r="X68" i="1"/>
  <c r="X59" i="1"/>
  <c r="X22" i="1"/>
  <c r="X83" i="1"/>
  <c r="X88" i="1"/>
  <c r="X184" i="1"/>
  <c r="X205" i="1"/>
  <c r="AA193" i="1"/>
  <c r="AA176" i="1"/>
  <c r="W176" i="1" s="1"/>
  <c r="AA174" i="1"/>
  <c r="AA173" i="1"/>
  <c r="AA164" i="1"/>
  <c r="AA237" i="1"/>
  <c r="W237" i="1" s="1"/>
  <c r="AA138" i="1"/>
  <c r="AA120" i="1"/>
  <c r="AA106" i="1"/>
  <c r="X101" i="1"/>
  <c r="AA97" i="1"/>
  <c r="AA93" i="1"/>
  <c r="AA88" i="1"/>
  <c r="AA82" i="1"/>
  <c r="W82" i="1" s="1"/>
  <c r="AA76" i="1"/>
  <c r="X62" i="1"/>
  <c r="AA61" i="1"/>
  <c r="AA58" i="1"/>
  <c r="X25" i="1"/>
  <c r="X18" i="1"/>
  <c r="X167" i="1"/>
  <c r="X163" i="1"/>
  <c r="X159" i="1"/>
  <c r="X82" i="1"/>
  <c r="X92" i="1"/>
  <c r="T183" i="1"/>
  <c r="U183" i="1" s="1"/>
  <c r="S183" i="1" s="1"/>
  <c r="X181" i="1"/>
  <c r="AI183" i="1"/>
  <c r="W183" i="1"/>
  <c r="AI181" i="1"/>
  <c r="U181" i="1"/>
  <c r="S181" i="1" s="1"/>
  <c r="W181" i="1"/>
  <c r="U91" i="1"/>
  <c r="S91" i="1" s="1"/>
  <c r="AI91" i="1"/>
  <c r="W91" i="1"/>
  <c r="X91" i="1"/>
  <c r="AI87" i="1"/>
  <c r="U87" i="1"/>
  <c r="S87" i="1" s="1"/>
  <c r="W87" i="1"/>
  <c r="X87" i="1"/>
  <c r="AD53" i="3"/>
  <c r="R53" i="3"/>
  <c r="S23" i="3"/>
  <c r="S47" i="3"/>
  <c r="S52" i="3"/>
  <c r="R8" i="3"/>
  <c r="U81" i="1"/>
  <c r="S81" i="1" s="1"/>
  <c r="AI81" i="1"/>
  <c r="W81" i="1"/>
  <c r="X81" i="1"/>
  <c r="AD49" i="3"/>
  <c r="AD33" i="3"/>
  <c r="AE34" i="3"/>
  <c r="AD26" i="3"/>
  <c r="T79" i="1"/>
  <c r="U79" i="1" s="1"/>
  <c r="S79" i="1" s="1"/>
  <c r="AI79" i="1"/>
  <c r="W79" i="1"/>
  <c r="S18" i="3"/>
  <c r="AD46" i="3"/>
  <c r="AI72" i="1"/>
  <c r="U72" i="1"/>
  <c r="S72" i="1" s="1"/>
  <c r="W72" i="1"/>
  <c r="X72" i="1"/>
  <c r="AD51" i="3"/>
  <c r="AD45" i="3"/>
  <c r="AC45" i="3"/>
  <c r="AD43" i="3"/>
  <c r="AD34" i="3"/>
  <c r="S31" i="3"/>
  <c r="AI70" i="1"/>
  <c r="U70" i="1"/>
  <c r="S70" i="1" s="1"/>
  <c r="W70" i="1"/>
  <c r="AC34" i="3"/>
  <c r="X70" i="1"/>
  <c r="AI66" i="1"/>
  <c r="U66" i="1"/>
  <c r="S66" i="1" s="1"/>
  <c r="W66" i="1"/>
  <c r="T29" i="3"/>
  <c r="T25" i="3"/>
  <c r="T36" i="3"/>
  <c r="AE26" i="3"/>
  <c r="X201" i="1"/>
  <c r="AC37" i="3"/>
  <c r="T27" i="3"/>
  <c r="AD35" i="3"/>
  <c r="AD31" i="3"/>
  <c r="AC53" i="3"/>
  <c r="AD13" i="3"/>
  <c r="AA227" i="1"/>
  <c r="AA242" i="1"/>
  <c r="AA207" i="1"/>
  <c r="AA205" i="1"/>
  <c r="T205" i="1"/>
  <c r="AA200" i="1"/>
  <c r="AA186" i="1"/>
  <c r="AA184" i="1"/>
  <c r="AA178" i="1"/>
  <c r="X232" i="1"/>
  <c r="AA221" i="1"/>
  <c r="X211" i="1"/>
  <c r="AA133" i="1"/>
  <c r="AA128" i="1"/>
  <c r="AA125" i="1"/>
  <c r="AA114" i="1"/>
  <c r="AA112" i="1"/>
  <c r="AA71" i="1"/>
  <c r="X63" i="1"/>
  <c r="X54" i="1"/>
  <c r="X45" i="1"/>
  <c r="AA38" i="1"/>
  <c r="W38" i="1" s="1"/>
  <c r="AA36" i="1"/>
  <c r="AA34" i="1"/>
  <c r="AA24" i="1"/>
  <c r="T22" i="1"/>
  <c r="U22" i="1" s="1"/>
  <c r="S22" i="1" s="1"/>
  <c r="AA20" i="1"/>
  <c r="AC47" i="3"/>
  <c r="AA182" i="1"/>
  <c r="AA179" i="1"/>
  <c r="AA238" i="1"/>
  <c r="AA233" i="1"/>
  <c r="AA220" i="1"/>
  <c r="X213" i="1"/>
  <c r="AA213" i="1"/>
  <c r="AA211" i="1"/>
  <c r="AA113" i="1"/>
  <c r="AA89" i="1"/>
  <c r="AA67" i="1"/>
  <c r="AA46" i="1"/>
  <c r="AA37" i="1"/>
  <c r="X35" i="1"/>
  <c r="X21" i="1"/>
  <c r="AC49" i="3"/>
  <c r="AD47" i="3"/>
  <c r="X197" i="1"/>
  <c r="X144" i="1"/>
  <c r="T94" i="1"/>
  <c r="X31" i="1"/>
  <c r="AA28" i="1"/>
  <c r="X17" i="1"/>
  <c r="T59" i="1"/>
  <c r="X229" i="1"/>
  <c r="X225" i="1"/>
  <c r="X209" i="1"/>
  <c r="AA201" i="1"/>
  <c r="T201" i="1"/>
  <c r="AA197" i="1"/>
  <c r="T197" i="1"/>
  <c r="U197" i="1" s="1"/>
  <c r="S197" i="1" s="1"/>
  <c r="AA188" i="1"/>
  <c r="AA240" i="1"/>
  <c r="AA168" i="1"/>
  <c r="X239" i="1"/>
  <c r="AA236" i="1"/>
  <c r="AA234" i="1"/>
  <c r="AA231" i="1"/>
  <c r="AA219" i="1"/>
  <c r="AA161" i="1"/>
  <c r="AA154" i="1"/>
  <c r="AA150" i="1"/>
  <c r="W150" i="1" s="1"/>
  <c r="AA144" i="1"/>
  <c r="T144" i="1"/>
  <c r="AA139" i="1"/>
  <c r="X136" i="1"/>
  <c r="AA118" i="1"/>
  <c r="X109" i="1"/>
  <c r="X89" i="1"/>
  <c r="AA86" i="1"/>
  <c r="W86" i="1" s="1"/>
  <c r="AA78" i="1"/>
  <c r="AA68" i="1"/>
  <c r="T39" i="1"/>
  <c r="X30" i="1"/>
  <c r="AA25" i="1"/>
  <c r="AA17" i="1"/>
  <c r="X188" i="1"/>
  <c r="X178" i="1"/>
  <c r="X132" i="1"/>
  <c r="X115" i="1"/>
  <c r="X105" i="1"/>
  <c r="X93" i="1"/>
  <c r="AA55" i="1"/>
  <c r="X46" i="1"/>
  <c r="T45" i="1"/>
  <c r="AA39" i="1"/>
  <c r="AA204" i="1"/>
  <c r="AA202" i="1"/>
  <c r="AA198" i="1"/>
  <c r="AA177" i="1"/>
  <c r="AA169" i="1"/>
  <c r="AA163" i="1"/>
  <c r="AA224" i="1"/>
  <c r="X218" i="1"/>
  <c r="AA155" i="1"/>
  <c r="AA151" i="1"/>
  <c r="AA147" i="1"/>
  <c r="AA142" i="1"/>
  <c r="X133" i="1"/>
  <c r="AA122" i="1"/>
  <c r="X118" i="1"/>
  <c r="AA116" i="1"/>
  <c r="AA110" i="1"/>
  <c r="AA108" i="1"/>
  <c r="X107" i="1"/>
  <c r="X106" i="1"/>
  <c r="AA104" i="1"/>
  <c r="AA102" i="1"/>
  <c r="AA98" i="1"/>
  <c r="AA96" i="1"/>
  <c r="W96" i="1" s="1"/>
  <c r="X95" i="1"/>
  <c r="AA92" i="1"/>
  <c r="AA56" i="1"/>
  <c r="AA54" i="1"/>
  <c r="W54" i="1" s="1"/>
  <c r="AA49" i="1"/>
  <c r="AA31" i="1"/>
  <c r="AA21" i="1"/>
  <c r="X228" i="1"/>
  <c r="X243" i="1"/>
  <c r="X208" i="1"/>
  <c r="AA203" i="1"/>
  <c r="X200" i="1"/>
  <c r="AA195" i="1"/>
  <c r="X192" i="1"/>
  <c r="AA187" i="1"/>
  <c r="X179" i="1"/>
  <c r="X172" i="1"/>
  <c r="T172" i="1"/>
  <c r="AA185" i="1"/>
  <c r="T185" i="1"/>
  <c r="U185" i="1" s="1"/>
  <c r="S185" i="1" s="1"/>
  <c r="T175" i="1"/>
  <c r="U175" i="1" s="1"/>
  <c r="S175" i="1" s="1"/>
  <c r="X175" i="1"/>
  <c r="AA230" i="1"/>
  <c r="AA229" i="1"/>
  <c r="AA226" i="1"/>
  <c r="AA225" i="1"/>
  <c r="AA241" i="1"/>
  <c r="AA209" i="1"/>
  <c r="W209" i="1" s="1"/>
  <c r="X204" i="1"/>
  <c r="AA199" i="1"/>
  <c r="X196" i="1"/>
  <c r="AA191" i="1"/>
  <c r="AA170" i="1"/>
  <c r="T170" i="1"/>
  <c r="AA239" i="1"/>
  <c r="T239" i="1"/>
  <c r="X244" i="1"/>
  <c r="X235" i="1"/>
  <c r="AA232" i="1"/>
  <c r="T232" i="1"/>
  <c r="X222" i="1"/>
  <c r="X221" i="1"/>
  <c r="AA218" i="1"/>
  <c r="T218" i="1"/>
  <c r="T213" i="1"/>
  <c r="AA210" i="1"/>
  <c r="X147" i="1"/>
  <c r="X143" i="1"/>
  <c r="X139" i="1"/>
  <c r="T133" i="1"/>
  <c r="AA129" i="1"/>
  <c r="T102" i="1"/>
  <c r="U102" i="1" s="1"/>
  <c r="S102" i="1" s="1"/>
  <c r="T54" i="1"/>
  <c r="T42" i="1"/>
  <c r="X214" i="1"/>
  <c r="AA134" i="1"/>
  <c r="W134" i="1" s="1"/>
  <c r="AA131" i="1"/>
  <c r="X123" i="1"/>
  <c r="X122" i="1"/>
  <c r="X121" i="1"/>
  <c r="X117" i="1"/>
  <c r="X111" i="1"/>
  <c r="AA107" i="1"/>
  <c r="AA105" i="1"/>
  <c r="W105" i="1" s="1"/>
  <c r="AA103" i="1"/>
  <c r="X99" i="1"/>
  <c r="AA95" i="1"/>
  <c r="X84" i="1"/>
  <c r="X78" i="1"/>
  <c r="X77" i="1"/>
  <c r="AA73" i="1"/>
  <c r="T68" i="1"/>
  <c r="U68" i="1" s="1"/>
  <c r="S68" i="1" s="1"/>
  <c r="AA64" i="1"/>
  <c r="AA63" i="1"/>
  <c r="AA59" i="1"/>
  <c r="AA57" i="1"/>
  <c r="W57" i="1" s="1"/>
  <c r="X55" i="1"/>
  <c r="AA47" i="1"/>
  <c r="T46" i="1"/>
  <c r="AA45" i="1"/>
  <c r="AA30" i="1"/>
  <c r="X29" i="1"/>
  <c r="AA180" i="1"/>
  <c r="AA175" i="1"/>
  <c r="AA172" i="1"/>
  <c r="AA166" i="1"/>
  <c r="X238" i="1"/>
  <c r="AA244" i="1"/>
  <c r="X231" i="1"/>
  <c r="AA222" i="1"/>
  <c r="X217" i="1"/>
  <c r="AA212" i="1"/>
  <c r="W212" i="1" s="1"/>
  <c r="AA162" i="1"/>
  <c r="AA153" i="1"/>
  <c r="AA149" i="1"/>
  <c r="AA145" i="1"/>
  <c r="W145" i="1" s="1"/>
  <c r="AA141" i="1"/>
  <c r="AA137" i="1"/>
  <c r="X134" i="1"/>
  <c r="T130" i="1"/>
  <c r="U130" i="1" s="1"/>
  <c r="S130" i="1" s="1"/>
  <c r="AA109" i="1"/>
  <c r="X103" i="1"/>
  <c r="AA100" i="1"/>
  <c r="AA94" i="1"/>
  <c r="W94" i="1" s="1"/>
  <c r="AA90" i="1"/>
  <c r="AA85" i="1"/>
  <c r="X43" i="1"/>
  <c r="AA123" i="1"/>
  <c r="W123" i="1" s="1"/>
  <c r="AA121" i="1"/>
  <c r="AA119" i="1"/>
  <c r="AA77" i="1"/>
  <c r="AA75" i="1"/>
  <c r="W75" i="1" s="1"/>
  <c r="AA74" i="1"/>
  <c r="AA48" i="1"/>
  <c r="X47" i="1"/>
  <c r="X37" i="1"/>
  <c r="AA35" i="1"/>
  <c r="AA33" i="1"/>
  <c r="AA32" i="1"/>
  <c r="T31" i="1"/>
  <c r="U31" i="1" s="1"/>
  <c r="S31" i="1" s="1"/>
  <c r="AA29" i="1"/>
  <c r="T29" i="1"/>
  <c r="AA27" i="1"/>
  <c r="AA26" i="1"/>
  <c r="AA23" i="1"/>
  <c r="AA22" i="1"/>
  <c r="AA19" i="1"/>
  <c r="AA18" i="1"/>
  <c r="W18" i="1" s="1"/>
  <c r="AA15" i="1"/>
  <c r="AI240" i="1"/>
  <c r="U227" i="1"/>
  <c r="S227" i="1" s="1"/>
  <c r="AI236" i="1"/>
  <c r="U242" i="1"/>
  <c r="S242" i="1" s="1"/>
  <c r="AI232" i="1"/>
  <c r="U207" i="1"/>
  <c r="S207" i="1" s="1"/>
  <c r="AI228" i="1"/>
  <c r="U203" i="1"/>
  <c r="S203" i="1" s="1"/>
  <c r="AI224" i="1"/>
  <c r="U199" i="1"/>
  <c r="S199" i="1" s="1"/>
  <c r="AI220" i="1"/>
  <c r="U195" i="1"/>
  <c r="S195" i="1" s="1"/>
  <c r="AI216" i="1"/>
  <c r="U191" i="1"/>
  <c r="S191" i="1" s="1"/>
  <c r="AI212" i="1"/>
  <c r="U187" i="1"/>
  <c r="S187" i="1" s="1"/>
  <c r="AI208" i="1"/>
  <c r="U182" i="1"/>
  <c r="S182" i="1" s="1"/>
  <c r="AI204" i="1"/>
  <c r="U177" i="1"/>
  <c r="S177" i="1" s="1"/>
  <c r="U173" i="1"/>
  <c r="S173" i="1" s="1"/>
  <c r="AI200" i="1"/>
  <c r="AI199" i="1"/>
  <c r="U240" i="1"/>
  <c r="S240" i="1" s="1"/>
  <c r="AI197" i="1"/>
  <c r="U171" i="1"/>
  <c r="S171" i="1" s="1"/>
  <c r="AI241" i="1"/>
  <c r="U228" i="1"/>
  <c r="S228" i="1" s="1"/>
  <c r="AI237" i="1"/>
  <c r="U243" i="1"/>
  <c r="S243" i="1" s="1"/>
  <c r="AI233" i="1"/>
  <c r="U208" i="1"/>
  <c r="S208" i="1" s="1"/>
  <c r="AI229" i="1"/>
  <c r="U204" i="1"/>
  <c r="S204" i="1" s="1"/>
  <c r="AI225" i="1"/>
  <c r="U200" i="1"/>
  <c r="S200" i="1" s="1"/>
  <c r="AI221" i="1"/>
  <c r="U196" i="1"/>
  <c r="S196" i="1" s="1"/>
  <c r="AI217" i="1"/>
  <c r="U192" i="1"/>
  <c r="S192" i="1" s="1"/>
  <c r="AI213" i="1"/>
  <c r="U188" i="1"/>
  <c r="S188" i="1" s="1"/>
  <c r="AI209" i="1"/>
  <c r="U184" i="1"/>
  <c r="S184" i="1" s="1"/>
  <c r="AI205" i="1"/>
  <c r="U178" i="1"/>
  <c r="S178" i="1" s="1"/>
  <c r="AI201" i="1"/>
  <c r="U174" i="1"/>
  <c r="S174" i="1" s="1"/>
  <c r="U229" i="1"/>
  <c r="S229" i="1" s="1"/>
  <c r="AI242" i="1"/>
  <c r="U225" i="1"/>
  <c r="S225" i="1" s="1"/>
  <c r="AI238" i="1"/>
  <c r="U209" i="1"/>
  <c r="S209" i="1" s="1"/>
  <c r="AI234" i="1"/>
  <c r="U205" i="1"/>
  <c r="S205" i="1" s="1"/>
  <c r="AI230" i="1"/>
  <c r="U201" i="1"/>
  <c r="S201" i="1" s="1"/>
  <c r="AI226" i="1"/>
  <c r="AI222" i="1"/>
  <c r="U193" i="1"/>
  <c r="S193" i="1" s="1"/>
  <c r="AI218" i="1"/>
  <c r="U189" i="1"/>
  <c r="S189" i="1" s="1"/>
  <c r="AI214" i="1"/>
  <c r="AI210" i="1"/>
  <c r="U179" i="1"/>
  <c r="S179" i="1" s="1"/>
  <c r="AI206" i="1"/>
  <c r="AI202" i="1"/>
  <c r="U230" i="1"/>
  <c r="S230" i="1" s="1"/>
  <c r="AI243" i="1"/>
  <c r="U226" i="1"/>
  <c r="S226" i="1" s="1"/>
  <c r="AI239" i="1"/>
  <c r="U241" i="1"/>
  <c r="S241" i="1" s="1"/>
  <c r="AI235" i="1"/>
  <c r="U206" i="1"/>
  <c r="S206" i="1" s="1"/>
  <c r="AI231" i="1"/>
  <c r="U202" i="1"/>
  <c r="S202" i="1" s="1"/>
  <c r="AI227" i="1"/>
  <c r="U198" i="1"/>
  <c r="S198" i="1" s="1"/>
  <c r="AI223" i="1"/>
  <c r="U194" i="1"/>
  <c r="S194" i="1" s="1"/>
  <c r="AI219" i="1"/>
  <c r="U190" i="1"/>
  <c r="S190" i="1" s="1"/>
  <c r="AI215" i="1"/>
  <c r="U186" i="1"/>
  <c r="S186" i="1" s="1"/>
  <c r="AI211" i="1"/>
  <c r="U180" i="1"/>
  <c r="S180" i="1" s="1"/>
  <c r="AI207" i="1"/>
  <c r="U176" i="1"/>
  <c r="S176" i="1" s="1"/>
  <c r="AI203" i="1"/>
  <c r="U172" i="1"/>
  <c r="S172" i="1" s="1"/>
  <c r="AI198" i="1"/>
  <c r="AI194" i="1"/>
  <c r="AI190" i="1"/>
  <c r="AI186" i="1"/>
  <c r="AI180" i="1"/>
  <c r="AI176" i="1"/>
  <c r="AI172" i="1"/>
  <c r="AI168" i="1"/>
  <c r="AI167" i="1"/>
  <c r="U215" i="1"/>
  <c r="S215" i="1" s="1"/>
  <c r="AI166" i="1"/>
  <c r="U214" i="1"/>
  <c r="S214" i="1" s="1"/>
  <c r="AI157" i="1"/>
  <c r="AI148" i="1"/>
  <c r="U148" i="1"/>
  <c r="S148" i="1" s="1"/>
  <c r="AI126" i="1"/>
  <c r="U126" i="1"/>
  <c r="S126" i="1" s="1"/>
  <c r="U169" i="1"/>
  <c r="S169" i="1" s="1"/>
  <c r="AI195" i="1"/>
  <c r="AI191" i="1"/>
  <c r="U165" i="1"/>
  <c r="S165" i="1" s="1"/>
  <c r="AI187" i="1"/>
  <c r="U238" i="1"/>
  <c r="S238" i="1" s="1"/>
  <c r="AI182" i="1"/>
  <c r="U235" i="1"/>
  <c r="S235" i="1" s="1"/>
  <c r="AI177" i="1"/>
  <c r="U231" i="1"/>
  <c r="S231" i="1" s="1"/>
  <c r="AI173" i="1"/>
  <c r="U221" i="1"/>
  <c r="S221" i="1" s="1"/>
  <c r="AI169" i="1"/>
  <c r="U217" i="1"/>
  <c r="S217" i="1" s="1"/>
  <c r="AI156" i="1"/>
  <c r="U156" i="1"/>
  <c r="S156" i="1" s="1"/>
  <c r="AI144" i="1"/>
  <c r="U144" i="1"/>
  <c r="S144" i="1" s="1"/>
  <c r="U170" i="1"/>
  <c r="S170" i="1" s="1"/>
  <c r="AI196" i="1"/>
  <c r="U166" i="1"/>
  <c r="S166" i="1" s="1"/>
  <c r="AI192" i="1"/>
  <c r="U239" i="1"/>
  <c r="S239" i="1" s="1"/>
  <c r="AI188" i="1"/>
  <c r="U244" i="1"/>
  <c r="S244" i="1" s="1"/>
  <c r="AI184" i="1"/>
  <c r="U232" i="1"/>
  <c r="S232" i="1" s="1"/>
  <c r="AI178" i="1"/>
  <c r="U222" i="1"/>
  <c r="S222" i="1" s="1"/>
  <c r="AI174" i="1"/>
  <c r="U218" i="1"/>
  <c r="S218" i="1" s="1"/>
  <c r="AI170" i="1"/>
  <c r="AI161" i="1"/>
  <c r="AI160" i="1"/>
  <c r="AI140" i="1"/>
  <c r="U140" i="1"/>
  <c r="S140" i="1" s="1"/>
  <c r="AI127" i="1"/>
  <c r="U167" i="1"/>
  <c r="S167" i="1" s="1"/>
  <c r="AI193" i="1"/>
  <c r="U163" i="1"/>
  <c r="S163" i="1" s="1"/>
  <c r="AI189" i="1"/>
  <c r="U236" i="1"/>
  <c r="S236" i="1" s="1"/>
  <c r="AI185" i="1"/>
  <c r="U233" i="1"/>
  <c r="S233" i="1" s="1"/>
  <c r="AI179" i="1"/>
  <c r="U223" i="1"/>
  <c r="S223" i="1" s="1"/>
  <c r="AI175" i="1"/>
  <c r="U219" i="1"/>
  <c r="S219" i="1" s="1"/>
  <c r="AI171" i="1"/>
  <c r="AI164" i="1"/>
  <c r="AI163" i="1"/>
  <c r="U211" i="1"/>
  <c r="S211" i="1" s="1"/>
  <c r="U210" i="1"/>
  <c r="S210" i="1" s="1"/>
  <c r="AI244" i="1"/>
  <c r="AI152" i="1"/>
  <c r="U152" i="1"/>
  <c r="S152" i="1" s="1"/>
  <c r="U136" i="1"/>
  <c r="S136" i="1" s="1"/>
  <c r="AI136" i="1"/>
  <c r="U159" i="1"/>
  <c r="AI159" i="1"/>
  <c r="U155" i="1"/>
  <c r="S155" i="1" s="1"/>
  <c r="AI155" i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24" i="1"/>
  <c r="W124" i="1"/>
  <c r="AI123" i="1"/>
  <c r="U123" i="1"/>
  <c r="S123" i="1" s="1"/>
  <c r="AI122" i="1"/>
  <c r="U122" i="1"/>
  <c r="S122" i="1" s="1"/>
  <c r="AI108" i="1"/>
  <c r="W108" i="1"/>
  <c r="AI107" i="1"/>
  <c r="U107" i="1"/>
  <c r="S107" i="1" s="1"/>
  <c r="AI106" i="1"/>
  <c r="U106" i="1"/>
  <c r="S106" i="1" s="1"/>
  <c r="AI94" i="1"/>
  <c r="U94" i="1"/>
  <c r="S94" i="1" s="1"/>
  <c r="AI112" i="1"/>
  <c r="AI111" i="1"/>
  <c r="U111" i="1"/>
  <c r="S111" i="1" s="1"/>
  <c r="AI110" i="1"/>
  <c r="U110" i="1"/>
  <c r="S110" i="1" s="1"/>
  <c r="AI96" i="1"/>
  <c r="AI95" i="1"/>
  <c r="U95" i="1"/>
  <c r="S95" i="1" s="1"/>
  <c r="AI89" i="1"/>
  <c r="U89" i="1"/>
  <c r="S89" i="1" s="1"/>
  <c r="AI78" i="1"/>
  <c r="U78" i="1"/>
  <c r="S78" i="1" s="1"/>
  <c r="AI74" i="1"/>
  <c r="U74" i="1"/>
  <c r="S74" i="1" s="1"/>
  <c r="AI68" i="1"/>
  <c r="AI47" i="1"/>
  <c r="U47" i="1"/>
  <c r="S47" i="1" s="1"/>
  <c r="AI36" i="1"/>
  <c r="U36" i="1"/>
  <c r="S36" i="1" s="1"/>
  <c r="AI153" i="1"/>
  <c r="AI149" i="1"/>
  <c r="AI145" i="1"/>
  <c r="AI141" i="1"/>
  <c r="AI137" i="1"/>
  <c r="AI131" i="1"/>
  <c r="AI130" i="1"/>
  <c r="U129" i="1"/>
  <c r="S129" i="1" s="1"/>
  <c r="AI129" i="1"/>
  <c r="AI116" i="1"/>
  <c r="AI115" i="1"/>
  <c r="U114" i="1"/>
  <c r="S114" i="1" s="1"/>
  <c r="AI114" i="1"/>
  <c r="AI100" i="1"/>
  <c r="AI99" i="1"/>
  <c r="U98" i="1"/>
  <c r="S98" i="1" s="1"/>
  <c r="AI98" i="1"/>
  <c r="AI84" i="1"/>
  <c r="U84" i="1"/>
  <c r="S84" i="1" s="1"/>
  <c r="AI30" i="1"/>
  <c r="U30" i="1"/>
  <c r="S30" i="1" s="1"/>
  <c r="U213" i="1"/>
  <c r="S213" i="1" s="1"/>
  <c r="AI165" i="1"/>
  <c r="AI162" i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AI135" i="1"/>
  <c r="AI134" i="1"/>
  <c r="U133" i="1"/>
  <c r="S133" i="1" s="1"/>
  <c r="AI133" i="1"/>
  <c r="AI120" i="1"/>
  <c r="AI119" i="1"/>
  <c r="U118" i="1"/>
  <c r="S118" i="1" s="1"/>
  <c r="AI118" i="1"/>
  <c r="AI104" i="1"/>
  <c r="AI103" i="1"/>
  <c r="AI102" i="1"/>
  <c r="AI56" i="1"/>
  <c r="U132" i="1"/>
  <c r="S132" i="1" s="1"/>
  <c r="AI132" i="1"/>
  <c r="U128" i="1"/>
  <c r="S128" i="1" s="1"/>
  <c r="AI128" i="1"/>
  <c r="W128" i="1"/>
  <c r="AI125" i="1"/>
  <c r="U121" i="1"/>
  <c r="S121" i="1" s="1"/>
  <c r="AI121" i="1"/>
  <c r="U117" i="1"/>
  <c r="S117" i="1" s="1"/>
  <c r="AI117" i="1"/>
  <c r="U113" i="1"/>
  <c r="S113" i="1" s="1"/>
  <c r="AI113" i="1"/>
  <c r="AI109" i="1"/>
  <c r="U105" i="1"/>
  <c r="S105" i="1" s="1"/>
  <c r="AI105" i="1"/>
  <c r="U101" i="1"/>
  <c r="S101" i="1" s="1"/>
  <c r="AI101" i="1"/>
  <c r="U97" i="1"/>
  <c r="AI97" i="1"/>
  <c r="AI93" i="1"/>
  <c r="U93" i="1"/>
  <c r="S93" i="1" s="1"/>
  <c r="AI88" i="1"/>
  <c r="U88" i="1"/>
  <c r="S88" i="1" s="1"/>
  <c r="AI83" i="1"/>
  <c r="U83" i="1"/>
  <c r="S83" i="1" s="1"/>
  <c r="AI77" i="1"/>
  <c r="U77" i="1"/>
  <c r="S77" i="1" s="1"/>
  <c r="AI71" i="1"/>
  <c r="W71" i="1"/>
  <c r="AI69" i="1"/>
  <c r="AI63" i="1"/>
  <c r="U63" i="1"/>
  <c r="S63" i="1" s="1"/>
  <c r="AI52" i="1"/>
  <c r="AI50" i="1"/>
  <c r="U50" i="1"/>
  <c r="S50" i="1" s="1"/>
  <c r="U32" i="1"/>
  <c r="S32" i="1" s="1"/>
  <c r="AI32" i="1"/>
  <c r="U26" i="1"/>
  <c r="S26" i="1" s="1"/>
  <c r="AI26" i="1"/>
  <c r="AI90" i="1"/>
  <c r="AI85" i="1"/>
  <c r="AI80" i="1"/>
  <c r="AI75" i="1"/>
  <c r="AI60" i="1"/>
  <c r="AI55" i="1"/>
  <c r="U55" i="1"/>
  <c r="S55" i="1" s="1"/>
  <c r="AI51" i="1"/>
  <c r="AI46" i="1"/>
  <c r="U46" i="1"/>
  <c r="S46" i="1" s="1"/>
  <c r="AI22" i="1"/>
  <c r="U92" i="1"/>
  <c r="S92" i="1" s="1"/>
  <c r="AI92" i="1"/>
  <c r="W92" i="1"/>
  <c r="U86" i="1"/>
  <c r="S86" i="1" s="1"/>
  <c r="AI86" i="1"/>
  <c r="U82" i="1"/>
  <c r="S82" i="1" s="1"/>
  <c r="AI82" i="1"/>
  <c r="U76" i="1"/>
  <c r="AI76" i="1"/>
  <c r="W76" i="1"/>
  <c r="AI64" i="1"/>
  <c r="AI59" i="1"/>
  <c r="U59" i="1"/>
  <c r="S59" i="1" s="1"/>
  <c r="AI48" i="1"/>
  <c r="AI65" i="1"/>
  <c r="AI61" i="1"/>
  <c r="AI57" i="1"/>
  <c r="AI53" i="1"/>
  <c r="AI40" i="1"/>
  <c r="AI39" i="1"/>
  <c r="U39" i="1"/>
  <c r="S39" i="1" s="1"/>
  <c r="U38" i="1"/>
  <c r="S38" i="1" s="1"/>
  <c r="AI38" i="1"/>
  <c r="U34" i="1"/>
  <c r="S34" i="1" s="1"/>
  <c r="AI34" i="1"/>
  <c r="AI18" i="1"/>
  <c r="U18" i="1"/>
  <c r="S18" i="1" s="1"/>
  <c r="AI73" i="1"/>
  <c r="U67" i="1"/>
  <c r="S67" i="1" s="1"/>
  <c r="AI67" i="1"/>
  <c r="W67" i="1"/>
  <c r="U62" i="1"/>
  <c r="S62" i="1" s="1"/>
  <c r="AI62" i="1"/>
  <c r="U58" i="1"/>
  <c r="S58" i="1" s="1"/>
  <c r="AI58" i="1"/>
  <c r="U54" i="1"/>
  <c r="S54" i="1" s="1"/>
  <c r="AI54" i="1"/>
  <c r="W44" i="1"/>
  <c r="AI44" i="1"/>
  <c r="AI43" i="1"/>
  <c r="U43" i="1"/>
  <c r="S43" i="1" s="1"/>
  <c r="U42" i="1"/>
  <c r="S42" i="1" s="1"/>
  <c r="AI42" i="1"/>
  <c r="U28" i="1"/>
  <c r="S28" i="1" s="1"/>
  <c r="AI28" i="1"/>
  <c r="AI14" i="1"/>
  <c r="U14" i="1"/>
  <c r="S14" i="1" s="1"/>
  <c r="W49" i="1"/>
  <c r="AI49" i="1"/>
  <c r="U45" i="1"/>
  <c r="S45" i="1" s="1"/>
  <c r="AI45" i="1"/>
  <c r="U41" i="1"/>
  <c r="S41" i="1" s="1"/>
  <c r="AI41" i="1"/>
  <c r="U37" i="1"/>
  <c r="S37" i="1" s="1"/>
  <c r="AI37" i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35" i="1"/>
  <c r="S35" i="1" s="1"/>
  <c r="AI35" i="1"/>
  <c r="AI31" i="1"/>
  <c r="U27" i="1"/>
  <c r="S27" i="1" s="1"/>
  <c r="AI27" i="1"/>
  <c r="AI23" i="1"/>
  <c r="AI19" i="1"/>
  <c r="AI15" i="1"/>
  <c r="U24" i="1"/>
  <c r="S24" i="1" s="1"/>
  <c r="AI24" i="1"/>
  <c r="W24" i="1"/>
  <c r="U20" i="1"/>
  <c r="S20" i="1" s="1"/>
  <c r="W20" i="1"/>
  <c r="AI20" i="1"/>
  <c r="U16" i="1"/>
  <c r="S16" i="1" s="1"/>
  <c r="AI16" i="1"/>
  <c r="W194" i="1"/>
  <c r="W204" i="1"/>
  <c r="W189" i="1"/>
  <c r="W188" i="1"/>
  <c r="W186" i="1"/>
  <c r="W179" i="1"/>
  <c r="W178" i="1"/>
  <c r="W203" i="1"/>
  <c r="W195" i="1"/>
  <c r="W187" i="1"/>
  <c r="W177" i="1"/>
  <c r="W240" i="1"/>
  <c r="W169" i="1"/>
  <c r="W202" i="1"/>
  <c r="W197" i="1"/>
  <c r="W196" i="1"/>
  <c r="W228" i="1"/>
  <c r="W243" i="1"/>
  <c r="W208" i="1"/>
  <c r="W201" i="1"/>
  <c r="W200" i="1"/>
  <c r="W198" i="1"/>
  <c r="W193" i="1"/>
  <c r="W192" i="1"/>
  <c r="W190" i="1"/>
  <c r="W185" i="1"/>
  <c r="W184" i="1"/>
  <c r="W180" i="1"/>
  <c r="W175" i="1"/>
  <c r="W174" i="1"/>
  <c r="W205" i="1"/>
  <c r="W230" i="1"/>
  <c r="W229" i="1"/>
  <c r="W227" i="1"/>
  <c r="W226" i="1"/>
  <c r="W225" i="1"/>
  <c r="W242" i="1"/>
  <c r="W241" i="1"/>
  <c r="W207" i="1"/>
  <c r="W199" i="1"/>
  <c r="W191" i="1"/>
  <c r="W182" i="1"/>
  <c r="X230" i="1"/>
  <c r="X226" i="1"/>
  <c r="X241" i="1"/>
  <c r="X206" i="1"/>
  <c r="X202" i="1"/>
  <c r="X198" i="1"/>
  <c r="X194" i="1"/>
  <c r="X190" i="1"/>
  <c r="X180" i="1"/>
  <c r="X176" i="1"/>
  <c r="X173" i="1"/>
  <c r="W239" i="1"/>
  <c r="W232" i="1"/>
  <c r="W218" i="1"/>
  <c r="W210" i="1"/>
  <c r="X227" i="1"/>
  <c r="X242" i="1"/>
  <c r="X207" i="1"/>
  <c r="X203" i="1"/>
  <c r="X199" i="1"/>
  <c r="X195" i="1"/>
  <c r="X191" i="1"/>
  <c r="X187" i="1"/>
  <c r="X177" i="1"/>
  <c r="W170" i="1"/>
  <c r="W168" i="1"/>
  <c r="W167" i="1"/>
  <c r="W238" i="1"/>
  <c r="W236" i="1"/>
  <c r="W231" i="1"/>
  <c r="W224" i="1"/>
  <c r="W223" i="1"/>
  <c r="W217" i="1"/>
  <c r="W216" i="1"/>
  <c r="W161" i="1"/>
  <c r="W173" i="1"/>
  <c r="X169" i="1"/>
  <c r="T168" i="1"/>
  <c r="U168" i="1" s="1"/>
  <c r="S168" i="1" s="1"/>
  <c r="X168" i="1"/>
  <c r="W166" i="1"/>
  <c r="W244" i="1"/>
  <c r="W222" i="1"/>
  <c r="W214" i="1"/>
  <c r="W162" i="1"/>
  <c r="W159" i="1"/>
  <c r="W154" i="1"/>
  <c r="W146" i="1"/>
  <c r="W142" i="1"/>
  <c r="W138" i="1"/>
  <c r="W172" i="1"/>
  <c r="W171" i="1"/>
  <c r="W165" i="1"/>
  <c r="W164" i="1"/>
  <c r="W163" i="1"/>
  <c r="W235" i="1"/>
  <c r="W234" i="1"/>
  <c r="W233" i="1"/>
  <c r="W221" i="1"/>
  <c r="W220" i="1"/>
  <c r="W219" i="1"/>
  <c r="W213" i="1"/>
  <c r="W158" i="1"/>
  <c r="W133" i="1"/>
  <c r="X171" i="1"/>
  <c r="X236" i="1"/>
  <c r="X233" i="1"/>
  <c r="X223" i="1"/>
  <c r="X219" i="1"/>
  <c r="X215" i="1"/>
  <c r="X210" i="1"/>
  <c r="T162" i="1"/>
  <c r="U162" i="1" s="1"/>
  <c r="S162" i="1" s="1"/>
  <c r="AA160" i="1"/>
  <c r="W160" i="1" s="1"/>
  <c r="T158" i="1"/>
  <c r="U158" i="1" s="1"/>
  <c r="S158" i="1" s="1"/>
  <c r="T145" i="1"/>
  <c r="U145" i="1" s="1"/>
  <c r="S145" i="1" s="1"/>
  <c r="X145" i="1"/>
  <c r="W143" i="1"/>
  <c r="W141" i="1"/>
  <c r="AA140" i="1"/>
  <c r="W140" i="1" s="1"/>
  <c r="W131" i="1"/>
  <c r="W129" i="1"/>
  <c r="AA127" i="1"/>
  <c r="W127" i="1" s="1"/>
  <c r="X125" i="1"/>
  <c r="T125" i="1"/>
  <c r="U125" i="1" s="1"/>
  <c r="S125" i="1" s="1"/>
  <c r="W120" i="1"/>
  <c r="W116" i="1"/>
  <c r="W113" i="1"/>
  <c r="W112" i="1"/>
  <c r="W110" i="1"/>
  <c r="W106" i="1"/>
  <c r="W101" i="1"/>
  <c r="W98" i="1"/>
  <c r="T164" i="1"/>
  <c r="U164" i="1" s="1"/>
  <c r="S164" i="1" s="1"/>
  <c r="X237" i="1"/>
  <c r="T237" i="1"/>
  <c r="U237" i="1" s="1"/>
  <c r="S237" i="1" s="1"/>
  <c r="X234" i="1"/>
  <c r="T234" i="1"/>
  <c r="U234" i="1" s="1"/>
  <c r="S234" i="1" s="1"/>
  <c r="X224" i="1"/>
  <c r="T224" i="1"/>
  <c r="U224" i="1" s="1"/>
  <c r="S224" i="1" s="1"/>
  <c r="X220" i="1"/>
  <c r="T220" i="1"/>
  <c r="U220" i="1" s="1"/>
  <c r="S220" i="1" s="1"/>
  <c r="W211" i="1"/>
  <c r="T161" i="1"/>
  <c r="U161" i="1" s="1"/>
  <c r="S161" i="1" s="1"/>
  <c r="T160" i="1"/>
  <c r="U160" i="1" s="1"/>
  <c r="S160" i="1" s="1"/>
  <c r="W155" i="1"/>
  <c r="W153" i="1"/>
  <c r="AA152" i="1"/>
  <c r="W152" i="1" s="1"/>
  <c r="T141" i="1"/>
  <c r="U141" i="1" s="1"/>
  <c r="S141" i="1" s="1"/>
  <c r="X141" i="1"/>
  <c r="W139" i="1"/>
  <c r="W137" i="1"/>
  <c r="AA136" i="1"/>
  <c r="W136" i="1" s="1"/>
  <c r="W132" i="1"/>
  <c r="T131" i="1"/>
  <c r="U131" i="1" s="1"/>
  <c r="S131" i="1" s="1"/>
  <c r="W118" i="1"/>
  <c r="AA215" i="1"/>
  <c r="W215" i="1" s="1"/>
  <c r="T212" i="1"/>
  <c r="U212" i="1" s="1"/>
  <c r="S212" i="1" s="1"/>
  <c r="X212" i="1"/>
  <c r="AA157" i="1"/>
  <c r="W157" i="1" s="1"/>
  <c r="T153" i="1"/>
  <c r="U153" i="1" s="1"/>
  <c r="S153" i="1" s="1"/>
  <c r="X153" i="1"/>
  <c r="W151" i="1"/>
  <c r="W149" i="1"/>
  <c r="W148" i="1"/>
  <c r="T137" i="1"/>
  <c r="U137" i="1" s="1"/>
  <c r="S137" i="1" s="1"/>
  <c r="X137" i="1"/>
  <c r="W122" i="1"/>
  <c r="W117" i="1"/>
  <c r="W114" i="1"/>
  <c r="W109" i="1"/>
  <c r="W104" i="1"/>
  <c r="W100" i="1"/>
  <c r="W97" i="1"/>
  <c r="W65" i="1"/>
  <c r="T216" i="1"/>
  <c r="U216" i="1" s="1"/>
  <c r="S216" i="1" s="1"/>
  <c r="X216" i="1"/>
  <c r="T157" i="1"/>
  <c r="U157" i="1" s="1"/>
  <c r="S157" i="1" s="1"/>
  <c r="W156" i="1"/>
  <c r="T149" i="1"/>
  <c r="U149" i="1" s="1"/>
  <c r="S149" i="1" s="1"/>
  <c r="X149" i="1"/>
  <c r="W147" i="1"/>
  <c r="W144" i="1"/>
  <c r="W135" i="1"/>
  <c r="W126" i="1"/>
  <c r="W125" i="1"/>
  <c r="W121" i="1"/>
  <c r="W102" i="1"/>
  <c r="W42" i="1"/>
  <c r="X154" i="1"/>
  <c r="X150" i="1"/>
  <c r="X146" i="1"/>
  <c r="X142" i="1"/>
  <c r="X138" i="1"/>
  <c r="AA130" i="1"/>
  <c r="W130" i="1" s="1"/>
  <c r="T127" i="1"/>
  <c r="U127" i="1" s="1"/>
  <c r="S127" i="1" s="1"/>
  <c r="AA115" i="1"/>
  <c r="W115" i="1" s="1"/>
  <c r="X113" i="1"/>
  <c r="T112" i="1"/>
  <c r="U112" i="1" s="1"/>
  <c r="S112" i="1" s="1"/>
  <c r="X112" i="1"/>
  <c r="AA99" i="1"/>
  <c r="W99" i="1" s="1"/>
  <c r="X97" i="1"/>
  <c r="T96" i="1"/>
  <c r="U96" i="1" s="1"/>
  <c r="X96" i="1"/>
  <c r="T90" i="1"/>
  <c r="U90" i="1" s="1"/>
  <c r="S90" i="1" s="1"/>
  <c r="X90" i="1"/>
  <c r="W89" i="1"/>
  <c r="W88" i="1"/>
  <c r="W85" i="1"/>
  <c r="W83" i="1"/>
  <c r="T80" i="1"/>
  <c r="U80" i="1" s="1"/>
  <c r="S80" i="1" s="1"/>
  <c r="W78" i="1"/>
  <c r="W77" i="1"/>
  <c r="T75" i="1"/>
  <c r="U75" i="1" s="1"/>
  <c r="X75" i="1"/>
  <c r="W74" i="1"/>
  <c r="W73" i="1"/>
  <c r="T60" i="1"/>
  <c r="U60" i="1" s="1"/>
  <c r="S60" i="1" s="1"/>
  <c r="X60" i="1"/>
  <c r="X51" i="1"/>
  <c r="T51" i="1"/>
  <c r="U51" i="1" s="1"/>
  <c r="S51" i="1" s="1"/>
  <c r="W46" i="1"/>
  <c r="W37" i="1"/>
  <c r="W28" i="1"/>
  <c r="T23" i="1"/>
  <c r="U23" i="1" s="1"/>
  <c r="S23" i="1" s="1"/>
  <c r="X23" i="1"/>
  <c r="W119" i="1"/>
  <c r="T116" i="1"/>
  <c r="U116" i="1" s="1"/>
  <c r="S116" i="1" s="1"/>
  <c r="X116" i="1"/>
  <c r="T115" i="1"/>
  <c r="U115" i="1" s="1"/>
  <c r="S115" i="1" s="1"/>
  <c r="W103" i="1"/>
  <c r="T100" i="1"/>
  <c r="U100" i="1" s="1"/>
  <c r="S100" i="1" s="1"/>
  <c r="X100" i="1"/>
  <c r="T99" i="1"/>
  <c r="U99" i="1" s="1"/>
  <c r="S99" i="1" s="1"/>
  <c r="T85" i="1"/>
  <c r="U85" i="1" s="1"/>
  <c r="S85" i="1" s="1"/>
  <c r="X85" i="1"/>
  <c r="W84" i="1"/>
  <c r="T73" i="1"/>
  <c r="U73" i="1" s="1"/>
  <c r="S73" i="1" s="1"/>
  <c r="X74" i="1"/>
  <c r="W64" i="1"/>
  <c r="T57" i="1"/>
  <c r="U57" i="1" s="1"/>
  <c r="S57" i="1" s="1"/>
  <c r="X57" i="1"/>
  <c r="X58" i="1"/>
  <c r="W55" i="1"/>
  <c r="T135" i="1"/>
  <c r="U135" i="1" s="1"/>
  <c r="X135" i="1"/>
  <c r="T134" i="1"/>
  <c r="U134" i="1" s="1"/>
  <c r="S134" i="1" s="1"/>
  <c r="T120" i="1"/>
  <c r="U120" i="1" s="1"/>
  <c r="S120" i="1" s="1"/>
  <c r="X120" i="1"/>
  <c r="T119" i="1"/>
  <c r="U119" i="1" s="1"/>
  <c r="S119" i="1" s="1"/>
  <c r="X110" i="1"/>
  <c r="T109" i="1"/>
  <c r="U109" i="1" s="1"/>
  <c r="S109" i="1" s="1"/>
  <c r="W107" i="1"/>
  <c r="T104" i="1"/>
  <c r="U104" i="1" s="1"/>
  <c r="S104" i="1" s="1"/>
  <c r="X104" i="1"/>
  <c r="T103" i="1"/>
  <c r="U103" i="1" s="1"/>
  <c r="S103" i="1" s="1"/>
  <c r="W58" i="1"/>
  <c r="W32" i="1"/>
  <c r="W14" i="1"/>
  <c r="T124" i="1"/>
  <c r="U124" i="1" s="1"/>
  <c r="S124" i="1" s="1"/>
  <c r="X124" i="1"/>
  <c r="X114" i="1"/>
  <c r="AA111" i="1"/>
  <c r="W111" i="1" s="1"/>
  <c r="T108" i="1"/>
  <c r="U108" i="1" s="1"/>
  <c r="S108" i="1" s="1"/>
  <c r="X108" i="1"/>
  <c r="X98" i="1"/>
  <c r="W95" i="1"/>
  <c r="W93" i="1"/>
  <c r="W90" i="1"/>
  <c r="W80" i="1"/>
  <c r="W61" i="1"/>
  <c r="W53" i="1"/>
  <c r="W48" i="1"/>
  <c r="W22" i="1"/>
  <c r="X86" i="1"/>
  <c r="X76" i="1"/>
  <c r="W68" i="1"/>
  <c r="AA60" i="1"/>
  <c r="W60" i="1" s="1"/>
  <c r="T56" i="1"/>
  <c r="U56" i="1" s="1"/>
  <c r="S56" i="1" s="1"/>
  <c r="X56" i="1"/>
  <c r="T53" i="1"/>
  <c r="U53" i="1" s="1"/>
  <c r="S53" i="1" s="1"/>
  <c r="X53" i="1"/>
  <c r="X49" i="1"/>
  <c r="T49" i="1"/>
  <c r="U49" i="1" s="1"/>
  <c r="S49" i="1" s="1"/>
  <c r="X50" i="1"/>
  <c r="W43" i="1"/>
  <c r="W41" i="1"/>
  <c r="T40" i="1"/>
  <c r="U40" i="1" s="1"/>
  <c r="S40" i="1" s="1"/>
  <c r="X40" i="1"/>
  <c r="W36" i="1"/>
  <c r="W34" i="1"/>
  <c r="W30" i="1"/>
  <c r="W21" i="1"/>
  <c r="T19" i="1"/>
  <c r="U19" i="1" s="1"/>
  <c r="S19" i="1" s="1"/>
  <c r="X19" i="1"/>
  <c r="AA69" i="1"/>
  <c r="W69" i="1" s="1"/>
  <c r="T64" i="1"/>
  <c r="U64" i="1" s="1"/>
  <c r="S64" i="1" s="1"/>
  <c r="X64" i="1"/>
  <c r="T61" i="1"/>
  <c r="U61" i="1" s="1"/>
  <c r="S61" i="1" s="1"/>
  <c r="X61" i="1"/>
  <c r="W59" i="1"/>
  <c r="AA52" i="1"/>
  <c r="W52" i="1" s="1"/>
  <c r="W45" i="1"/>
  <c r="X34" i="1"/>
  <c r="T33" i="1"/>
  <c r="U33" i="1" s="1"/>
  <c r="S33" i="1" s="1"/>
  <c r="W31" i="1"/>
  <c r="W16" i="1"/>
  <c r="W15" i="1"/>
  <c r="T71" i="1"/>
  <c r="U71" i="1" s="1"/>
  <c r="S71" i="1" s="1"/>
  <c r="T69" i="1"/>
  <c r="U69" i="1" s="1"/>
  <c r="S69" i="1" s="1"/>
  <c r="X69" i="1"/>
  <c r="T65" i="1"/>
  <c r="U65" i="1" s="1"/>
  <c r="S65" i="1" s="1"/>
  <c r="X65" i="1"/>
  <c r="W63" i="1"/>
  <c r="W56" i="1"/>
  <c r="T52" i="1"/>
  <c r="U52" i="1" s="1"/>
  <c r="S52" i="1" s="1"/>
  <c r="X52" i="1"/>
  <c r="W50" i="1"/>
  <c r="W40" i="1"/>
  <c r="W39" i="1"/>
  <c r="W35" i="1"/>
  <c r="X33" i="1"/>
  <c r="X27" i="1"/>
  <c r="W19" i="1"/>
  <c r="W17" i="1"/>
  <c r="W47" i="1"/>
  <c r="T44" i="1"/>
  <c r="U44" i="1" s="1"/>
  <c r="S44" i="1" s="1"/>
  <c r="X44" i="1"/>
  <c r="W29" i="1"/>
  <c r="T15" i="1"/>
  <c r="U15" i="1" s="1"/>
  <c r="S15" i="1" s="1"/>
  <c r="X15" i="1"/>
  <c r="AA51" i="1"/>
  <c r="W51" i="1" s="1"/>
  <c r="T48" i="1"/>
  <c r="U48" i="1" s="1"/>
  <c r="S48" i="1" s="1"/>
  <c r="X48" i="1"/>
  <c r="X38" i="1"/>
  <c r="W33" i="1"/>
  <c r="W27" i="1"/>
  <c r="W26" i="1"/>
  <c r="W25" i="1"/>
  <c r="W23" i="1"/>
  <c r="X36" i="1"/>
  <c r="X32" i="1"/>
  <c r="X28" i="1"/>
  <c r="X24" i="1"/>
  <c r="X20" i="1"/>
  <c r="X16" i="1"/>
  <c r="T30" i="3"/>
  <c r="AC48" i="3"/>
  <c r="AD42" i="3"/>
  <c r="AD39" i="3"/>
  <c r="AD38" i="3"/>
  <c r="AC52" i="3"/>
  <c r="T11" i="3"/>
  <c r="AC7" i="3"/>
  <c r="AD22" i="3"/>
  <c r="T32" i="3"/>
  <c r="AC15" i="3"/>
  <c r="AD19" i="3"/>
  <c r="AC31" i="3"/>
  <c r="AD9" i="3"/>
  <c r="AC42" i="3"/>
  <c r="AE46" i="3"/>
  <c r="AE42" i="3"/>
  <c r="AE38" i="3"/>
  <c r="AE30" i="3"/>
  <c r="AE18" i="3"/>
  <c r="AD17" i="3"/>
  <c r="AD37" i="3"/>
  <c r="AD29" i="3"/>
  <c r="AE22" i="3"/>
  <c r="AD18" i="3"/>
  <c r="T8" i="3"/>
  <c r="AC22" i="3"/>
  <c r="AD15" i="3"/>
  <c r="T44" i="3"/>
  <c r="AD30" i="3"/>
  <c r="AD27" i="3"/>
  <c r="AD25" i="3"/>
  <c r="AC38" i="3"/>
  <c r="AC16" i="3"/>
  <c r="AC18" i="3"/>
  <c r="AC33" i="3"/>
  <c r="AC43" i="3"/>
  <c r="AE14" i="3"/>
  <c r="T10" i="3"/>
  <c r="AC17" i="3"/>
  <c r="AC46" i="3"/>
  <c r="AC24" i="3"/>
  <c r="Y17" i="3"/>
  <c r="Y16" i="3"/>
  <c r="Y30" i="3"/>
  <c r="Y27" i="3"/>
  <c r="Y42" i="3"/>
  <c r="Y48" i="3"/>
  <c r="Y47" i="3"/>
  <c r="Y37" i="3"/>
  <c r="Y49" i="3"/>
  <c r="Y34" i="3"/>
  <c r="Y53" i="3"/>
  <c r="Y7" i="3"/>
  <c r="Y15" i="3"/>
  <c r="Y22" i="3"/>
  <c r="Y31" i="3"/>
  <c r="Y13" i="3"/>
  <c r="Y18" i="3"/>
  <c r="Y52" i="3"/>
  <c r="Y33" i="3"/>
  <c r="Y45" i="3"/>
  <c r="Y43" i="3"/>
  <c r="Y51" i="3"/>
  <c r="Y46" i="3"/>
  <c r="Y44" i="3"/>
  <c r="Y36" i="3"/>
  <c r="Y11" i="3"/>
  <c r="Y32" i="3"/>
  <c r="Y8" i="3"/>
  <c r="Y10" i="3"/>
  <c r="Y26" i="3"/>
  <c r="Y38" i="3"/>
  <c r="Y24" i="3"/>
  <c r="Y25" i="3"/>
  <c r="Y29" i="3"/>
  <c r="Y39" i="3"/>
  <c r="Y20" i="3"/>
  <c r="Y19" i="3"/>
  <c r="Y41" i="3"/>
  <c r="Y40" i="3"/>
  <c r="Y35" i="3"/>
  <c r="Y28" i="3"/>
  <c r="Y12" i="3"/>
  <c r="Y14" i="3"/>
  <c r="Y9" i="3"/>
  <c r="Y21" i="3"/>
  <c r="Y23" i="3"/>
  <c r="T20" i="3"/>
  <c r="AE45" i="3"/>
  <c r="T19" i="3"/>
  <c r="AC39" i="3"/>
  <c r="AD52" i="3"/>
  <c r="AE51" i="3"/>
  <c r="AC20" i="3"/>
  <c r="AD48" i="3"/>
  <c r="AE47" i="3"/>
  <c r="AC19" i="3"/>
  <c r="AD44" i="3"/>
  <c r="AE43" i="3"/>
  <c r="AC41" i="3"/>
  <c r="AD40" i="3"/>
  <c r="AE39" i="3"/>
  <c r="AC40" i="3"/>
  <c r="AD36" i="3"/>
  <c r="AE35" i="3"/>
  <c r="AC35" i="3"/>
  <c r="AD32" i="3"/>
  <c r="AE31" i="3"/>
  <c r="AC28" i="3"/>
  <c r="AD28" i="3"/>
  <c r="AE27" i="3"/>
  <c r="AC12" i="3"/>
  <c r="AD24" i="3"/>
  <c r="AE23" i="3"/>
  <c r="AC14" i="3"/>
  <c r="AD20" i="3"/>
  <c r="AE19" i="3"/>
  <c r="AC9" i="3"/>
  <c r="AD16" i="3"/>
  <c r="AE15" i="3"/>
  <c r="AC21" i="3"/>
  <c r="AD12" i="3"/>
  <c r="AE11" i="3"/>
  <c r="T51" i="3"/>
  <c r="AC23" i="3"/>
  <c r="AD8" i="3"/>
  <c r="AD11" i="3"/>
  <c r="AE10" i="3"/>
  <c r="T26" i="3"/>
  <c r="AC13" i="3"/>
  <c r="AE53" i="3"/>
  <c r="T39" i="3"/>
  <c r="AE41" i="3"/>
  <c r="T41" i="3"/>
  <c r="AE29" i="3"/>
  <c r="T28" i="3"/>
  <c r="AE25" i="3"/>
  <c r="T12" i="3"/>
  <c r="AE21" i="3"/>
  <c r="T14" i="3"/>
  <c r="AE17" i="3"/>
  <c r="T9" i="3"/>
  <c r="AD14" i="3"/>
  <c r="AE13" i="3"/>
  <c r="T21" i="3"/>
  <c r="AD10" i="3"/>
  <c r="AE9" i="3"/>
  <c r="T23" i="3"/>
  <c r="AE49" i="3"/>
  <c r="AE37" i="3"/>
  <c r="T40" i="3"/>
  <c r="AE33" i="3"/>
  <c r="T35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M50" i="3" l="1"/>
  <c r="R50" i="3"/>
  <c r="S50" i="3"/>
  <c r="U50" i="3"/>
  <c r="V50" i="3"/>
  <c r="X50" i="3"/>
  <c r="W50" i="3"/>
  <c r="AD50" i="3" l="1"/>
  <c r="AE50" i="3"/>
  <c r="Y50" i="3"/>
  <c r="AC50" i="3"/>
  <c r="T5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13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51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21" i="3" s="1"/>
  <c r="G45" i="4"/>
  <c r="G46" i="4"/>
  <c r="G47" i="4"/>
  <c r="G48" i="4"/>
  <c r="G49" i="4"/>
  <c r="G50" i="4"/>
  <c r="G51" i="4"/>
  <c r="G52" i="4"/>
  <c r="G53" i="4"/>
  <c r="G54" i="4"/>
  <c r="G55" i="4"/>
  <c r="N10" i="3" s="1"/>
  <c r="G56" i="4"/>
  <c r="G57" i="4"/>
  <c r="N43" i="3" s="1"/>
  <c r="G58" i="4"/>
  <c r="G59" i="4"/>
  <c r="G60" i="4"/>
  <c r="N22" i="3" s="1"/>
  <c r="G61" i="4"/>
  <c r="G62" i="4"/>
  <c r="G63" i="4"/>
  <c r="G64" i="4"/>
  <c r="G65" i="4"/>
  <c r="N45" i="3" s="1"/>
  <c r="G66" i="4"/>
  <c r="N15" i="3" s="1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4" i="3" s="1"/>
  <c r="G81" i="4"/>
  <c r="G82" i="4"/>
  <c r="G83" i="4"/>
  <c r="G84" i="4"/>
  <c r="G85" i="4"/>
  <c r="G86" i="4"/>
  <c r="N32" i="3" s="1"/>
  <c r="G87" i="4"/>
  <c r="N33" i="3" s="1"/>
  <c r="G88" i="4"/>
  <c r="G89" i="4"/>
  <c r="G90" i="4"/>
  <c r="G91" i="4"/>
  <c r="G92" i="4"/>
  <c r="G93" i="4"/>
  <c r="G94" i="4"/>
  <c r="G95" i="4"/>
  <c r="N7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28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34" i="3" s="1"/>
  <c r="G126" i="4"/>
  <c r="G127" i="4"/>
  <c r="N35" i="3" s="1"/>
  <c r="G128" i="4"/>
  <c r="G129" i="4"/>
  <c r="G130" i="4"/>
  <c r="G131" i="4"/>
  <c r="G132" i="4"/>
  <c r="G133" i="4"/>
  <c r="N36" i="3" s="1"/>
  <c r="G134" i="4"/>
  <c r="G135" i="4"/>
  <c r="G136" i="4"/>
  <c r="G137" i="4"/>
  <c r="G138" i="4"/>
  <c r="G139" i="4"/>
  <c r="G140" i="4"/>
  <c r="G141" i="4"/>
  <c r="G142" i="4"/>
  <c r="N27" i="3" s="1"/>
  <c r="G143" i="4"/>
  <c r="G144" i="4"/>
  <c r="N24" i="3" s="1"/>
  <c r="G145" i="4"/>
  <c r="N16" i="3" s="1"/>
  <c r="G146" i="4"/>
  <c r="N49" i="3" s="1"/>
  <c r="G147" i="4"/>
  <c r="N37" i="3" s="1"/>
  <c r="G148" i="4"/>
  <c r="G149" i="4"/>
  <c r="N40" i="3" s="1"/>
  <c r="G150" i="4"/>
  <c r="G151" i="4"/>
  <c r="G152" i="4"/>
  <c r="G153" i="4"/>
  <c r="G154" i="4"/>
  <c r="N25" i="3" s="1"/>
  <c r="G155" i="4"/>
  <c r="G156" i="4"/>
  <c r="N41" i="3" s="1"/>
  <c r="G157" i="4"/>
  <c r="G158" i="4"/>
  <c r="G159" i="4"/>
  <c r="G160" i="4"/>
  <c r="G161" i="4"/>
  <c r="G162" i="4"/>
  <c r="G163" i="4"/>
  <c r="G164" i="4"/>
  <c r="G165" i="4"/>
  <c r="G166" i="4"/>
  <c r="N19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38" i="3" s="1"/>
  <c r="G186" i="4"/>
  <c r="G187" i="4"/>
  <c r="N44" i="3" s="1"/>
  <c r="G188" i="4"/>
  <c r="G189" i="4"/>
  <c r="G190" i="4"/>
  <c r="G191" i="4"/>
  <c r="G192" i="4"/>
  <c r="G193" i="4"/>
  <c r="G194" i="4"/>
  <c r="G195" i="4"/>
  <c r="G196" i="4"/>
  <c r="N48" i="3" s="1"/>
  <c r="G197" i="4"/>
  <c r="N30" i="3" s="1"/>
  <c r="G198" i="4"/>
  <c r="G199" i="4"/>
  <c r="G200" i="4"/>
  <c r="N20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17" i="3" s="1"/>
  <c r="G217" i="4"/>
  <c r="G218" i="4"/>
  <c r="G219" i="4"/>
  <c r="N42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N39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N8" i="3"/>
  <c r="N29" i="3"/>
  <c r="N18" i="3"/>
  <c r="N46" i="3"/>
  <c r="N47" i="3"/>
  <c r="N11" i="3"/>
  <c r="N12" i="3"/>
  <c r="N23" i="3"/>
  <c r="N31" i="3"/>
  <c r="N26" i="3"/>
  <c r="N53" i="3"/>
  <c r="N52" i="3"/>
  <c r="N50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B3" i="6" l="1"/>
  <c r="M26" i="5"/>
  <c r="AH13" i="1" l="1"/>
  <c r="B4" i="6"/>
  <c r="F3" i="6"/>
  <c r="G3" i="6"/>
  <c r="H3" i="6"/>
  <c r="J3" i="6"/>
  <c r="I3" i="6"/>
  <c r="J7" i="1"/>
  <c r="G4" i="6" l="1"/>
  <c r="F4" i="6"/>
  <c r="H4" i="6"/>
  <c r="J4" i="6"/>
  <c r="I4" i="6"/>
  <c r="B5" i="6"/>
  <c r="X6" i="1"/>
  <c r="W6" i="1"/>
  <c r="V6" i="1"/>
  <c r="S6" i="1"/>
  <c r="R2" i="1"/>
  <c r="I2" i="1"/>
  <c r="O6" i="1"/>
  <c r="N6" i="1"/>
  <c r="M6" i="1"/>
  <c r="J6" i="1"/>
  <c r="B6" i="6" l="1"/>
  <c r="I5" i="6"/>
  <c r="G5" i="6"/>
  <c r="H5" i="6"/>
  <c r="J5" i="6"/>
  <c r="F5" i="6"/>
  <c r="P3" i="5"/>
  <c r="G6" i="6" l="1"/>
  <c r="I6" i="6"/>
  <c r="J6" i="6"/>
  <c r="F6" i="6"/>
  <c r="H6" i="6"/>
  <c r="B7" i="6"/>
  <c r="M18" i="5"/>
  <c r="B8" i="6" l="1"/>
  <c r="F7" i="6"/>
  <c r="G7" i="6"/>
  <c r="I7" i="6"/>
  <c r="J7" i="6"/>
  <c r="H7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I8" i="6"/>
  <c r="J8" i="6"/>
  <c r="F8" i="6"/>
  <c r="H8" i="6"/>
  <c r="B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0" i="6" l="1"/>
  <c r="F9" i="6"/>
  <c r="G9" i="6"/>
  <c r="I9" i="6"/>
  <c r="H9" i="6"/>
  <c r="J9" i="6"/>
  <c r="G259" i="4"/>
  <c r="G260" i="4"/>
  <c r="G261" i="4"/>
  <c r="G262" i="4"/>
  <c r="G263" i="4"/>
  <c r="G264" i="4"/>
  <c r="G265" i="4"/>
  <c r="B11" i="6" l="1"/>
  <c r="G10" i="6"/>
  <c r="I10" i="6"/>
  <c r="H10" i="6"/>
  <c r="J10" i="6"/>
  <c r="F10" i="6"/>
  <c r="M14" i="5"/>
  <c r="M13" i="5"/>
  <c r="M12" i="5"/>
  <c r="M11" i="5"/>
  <c r="M10" i="5"/>
  <c r="M9" i="5"/>
  <c r="M8" i="5"/>
  <c r="M7" i="5"/>
  <c r="M6" i="5"/>
  <c r="M5" i="5"/>
  <c r="M4" i="5"/>
  <c r="M3" i="5"/>
  <c r="F11" i="6" l="1"/>
  <c r="G11" i="6"/>
  <c r="I11" i="6"/>
  <c r="J11" i="6"/>
  <c r="H11" i="6"/>
  <c r="B12" i="6"/>
  <c r="O3" i="3"/>
  <c r="H12" i="6" l="1"/>
  <c r="I12" i="6"/>
  <c r="F12" i="6"/>
  <c r="G12" i="6"/>
  <c r="J12" i="6"/>
  <c r="B1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4" i="6" l="1"/>
  <c r="F14" i="6" s="1"/>
  <c r="F13" i="6"/>
  <c r="G13" i="6"/>
  <c r="I13" i="6"/>
  <c r="H13" i="6"/>
  <c r="J13" i="6"/>
  <c r="J8" i="1"/>
  <c r="J4" i="1"/>
  <c r="S8" i="1"/>
  <c r="S4" i="1"/>
  <c r="J14" i="6" l="1"/>
  <c r="I14" i="6"/>
  <c r="G14" i="6"/>
  <c r="H14" i="6"/>
  <c r="B15" i="6"/>
  <c r="S9" i="1"/>
  <c r="J9" i="1"/>
  <c r="B16" i="6" l="1"/>
  <c r="H15" i="6"/>
  <c r="J15" i="6"/>
  <c r="F15" i="6"/>
  <c r="G15" i="6"/>
  <c r="I15" i="6"/>
  <c r="S11" i="1"/>
  <c r="A11" i="1"/>
  <c r="B17" i="6" l="1"/>
  <c r="F16" i="6"/>
  <c r="I16" i="6"/>
  <c r="J16" i="6"/>
  <c r="G16" i="6"/>
  <c r="H16" i="6"/>
  <c r="B1" i="6"/>
  <c r="A5" i="3"/>
  <c r="B18" i="6" l="1"/>
  <c r="G17" i="6"/>
  <c r="H17" i="6"/>
  <c r="F17" i="6"/>
  <c r="I17" i="6"/>
  <c r="J17" i="6"/>
  <c r="G18" i="6" l="1"/>
  <c r="H18" i="6"/>
  <c r="I18" i="6"/>
  <c r="J18" i="6"/>
  <c r="F18" i="6"/>
  <c r="B19" i="6"/>
  <c r="H19" i="6" l="1"/>
  <c r="F19" i="6"/>
  <c r="G19" i="6"/>
  <c r="I19" i="6"/>
  <c r="J19" i="6"/>
  <c r="B20" i="6"/>
  <c r="B21" i="6" l="1"/>
  <c r="G20" i="6"/>
  <c r="H20" i="6"/>
  <c r="I20" i="6"/>
  <c r="J20" i="6"/>
  <c r="F20" i="6"/>
  <c r="B22" i="6" l="1"/>
  <c r="I21" i="6"/>
  <c r="G21" i="6"/>
  <c r="F21" i="6"/>
  <c r="H21" i="6"/>
  <c r="J21" i="6"/>
  <c r="G22" i="6" l="1"/>
  <c r="F22" i="6"/>
  <c r="H22" i="6"/>
  <c r="I22" i="6"/>
  <c r="J22" i="6"/>
  <c r="B23" i="6"/>
  <c r="H23" i="6" l="1"/>
  <c r="J23" i="6"/>
  <c r="F23" i="6"/>
  <c r="G23" i="6"/>
  <c r="I23" i="6"/>
  <c r="B24" i="6"/>
  <c r="B25" i="6" l="1"/>
  <c r="F24" i="6"/>
  <c r="G24" i="6"/>
  <c r="I24" i="6"/>
  <c r="H24" i="6"/>
  <c r="J24" i="6"/>
  <c r="F25" i="6" l="1"/>
  <c r="G25" i="6"/>
  <c r="J25" i="6"/>
  <c r="H25" i="6"/>
  <c r="I25" i="6"/>
  <c r="B26" i="6"/>
  <c r="G26" i="6" l="1"/>
  <c r="J26" i="6"/>
  <c r="F26" i="6"/>
  <c r="H26" i="6"/>
  <c r="I26" i="6"/>
  <c r="B27" i="6"/>
  <c r="B28" i="6" l="1"/>
  <c r="F27" i="6"/>
  <c r="G27" i="6"/>
  <c r="H27" i="6"/>
  <c r="I27" i="6"/>
  <c r="J27" i="6"/>
  <c r="B29" i="6" l="1"/>
  <c r="J28" i="6"/>
  <c r="F28" i="6"/>
  <c r="I28" i="6"/>
  <c r="G28" i="6"/>
  <c r="H28" i="6"/>
  <c r="B30" i="6" l="1"/>
  <c r="G29" i="6"/>
  <c r="H29" i="6"/>
  <c r="F29" i="6"/>
  <c r="I29" i="6"/>
  <c r="J29" i="6"/>
  <c r="G30" i="6" l="1"/>
  <c r="I30" i="6"/>
  <c r="J30" i="6"/>
  <c r="F30" i="6"/>
  <c r="H30" i="6"/>
  <c r="B31" i="6"/>
  <c r="B32" i="6" l="1"/>
  <c r="J31" i="6"/>
  <c r="F31" i="6"/>
  <c r="H31" i="6"/>
  <c r="G31" i="6"/>
  <c r="I31" i="6"/>
  <c r="B33" i="6" l="1"/>
  <c r="H32" i="6"/>
  <c r="F32" i="6"/>
  <c r="I32" i="6"/>
  <c r="J32" i="6"/>
  <c r="G32" i="6"/>
  <c r="B35" i="6" l="1"/>
  <c r="B34" i="6"/>
  <c r="G33" i="6"/>
  <c r="H33" i="6"/>
  <c r="F33" i="6"/>
  <c r="I33" i="6"/>
  <c r="J33" i="6"/>
  <c r="G34" i="6" l="1"/>
  <c r="H34" i="6"/>
  <c r="I34" i="6"/>
  <c r="J34" i="6"/>
  <c r="F34" i="6"/>
  <c r="H35" i="6"/>
  <c r="J35" i="6"/>
  <c r="G35" i="6"/>
  <c r="I35" i="6"/>
  <c r="F3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<sst xmlns="http://schemas.openxmlformats.org/spreadsheetml/2006/main" count="2980" uniqueCount="1035">
  <si>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</si>
  <si>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</si>
  <si>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</si>
  <si>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</si>
  <si>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</si>
  <si>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</si>
  <si>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</si>
  <si>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</si>
  <si>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</si>
  <si>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</si>
  <si>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</si>
  <si>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</si>
  <si>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</si>
  <si>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</si>
  <si>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</si>
  <si>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</si>
  <si>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</si>
  <si>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</si>
  <si>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</si>
  <si>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</si>
  <si>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</si>
  <si>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</si>
  <si>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</si>
  <si>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</si>
  <si>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</si>
  <si>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</si>
  <si>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</si>
  <si>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</si>
  <si>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</si>
  <si>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</si>
  <si>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</si>
  <si>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</si>
  <si>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</si>
  <si>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</si>
  <si>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</si>
  <si>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</si>
  <si>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</si>
  <si>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</si>
  <si>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</si>
  <si>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</si>
  <si>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</si>
  <si>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</si>
  <si>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</si>
  <si>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</si>
  <si>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</si>
  <si>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</si>
  <si>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</si>
  <si>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</si>
  <si>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</si>
  <si>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</si>
  <si>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</si>
  <si>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</si>
  <si>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</si>
  <si>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</si>
  <si>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</si>
  <si>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</si>
  <si>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</si>
  <si>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</si>
  <si>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</si>
  <si>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</si>
  <si>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</si>
  <si>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</si>
  <si>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</si>
  <si>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</si>
  <si>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</si>
  <si>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</si>
  <si>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</si>
  <si>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</si>
  <si>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</si>
  <si>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</si>
  <si>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</si>
  <si>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</si>
  <si>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</si>
  <si>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</si>
  <si>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</si>
  <si>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</si>
  <si>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</si>
  <si>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</si>
  <si>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</si>
  <si>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</si>
  <si>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</si>
  <si>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</si>
  <si>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</si>
  <si>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</si>
  <si>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</si>
  <si>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</si>
  <si>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</si>
  <si>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</si>
  <si>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</si>
  <si>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</si>
  <si>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</si>
  <si>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</si>
  <si>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</si>
  <si>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</si>
  <si>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</si>
  <si>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</si>
  <si>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</si>
  <si>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</si>
  <si>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</si>
  <si>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</si>
  <si>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</si>
  <si>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</si>
  <si>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</si>
  <si>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</si>
  <si>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</si>
  <si>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</si>
  <si>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</si>
  <si>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</si>
  <si>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</si>
  <si>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</si>
  <si>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</si>
  <si>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</si>
  <si>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</si>
  <si>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</si>
  <si>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</si>
  <si>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</si>
  <si>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</si>
  <si>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</si>
  <si>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</si>
  <si>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</si>
  <si>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</si>
  <si>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</si>
  <si>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</si>
  <si>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</si>
  <si>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</si>
  <si>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</si>
  <si>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</si>
  <si>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</si>
  <si>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</si>
  <si>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</si>
  <si>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</si>
  <si>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</si>
  <si>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</si>
  <si>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</si>
  <si>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</si>
  <si>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</si>
  <si>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</si>
  <si>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</si>
  <si>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</si>
  <si>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</si>
  <si>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</si>
  <si>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</si>
  <si>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</si>
  <si>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</si>
  <si>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</si>
  <si>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</si>
  <si>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</si>
  <si>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</si>
  <si>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</si>
  <si>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</si>
  <si>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</si>
  <si>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</si>
  <si>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</si>
  <si>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</si>
  <si>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</si>
  <si>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</si>
  <si>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</si>
  <si>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</si>
  <si>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</si>
  <si>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</si>
  <si>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</si>
  <si>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</si>
  <si>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</si>
  <si>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</si>
  <si>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</si>
  <si>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</si>
  <si>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</si>
  <si>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</si>
  <si>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</si>
  <si>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</si>
  <si>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</si>
  <si>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</si>
  <si>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</si>
  <si>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</si>
  <si>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</si>
  <si>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</si>
  <si>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</si>
  <si>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</si>
  <si>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</si>
  <si>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</si>
  <si>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</si>
  <si>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</si>
  <si>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</si>
  <si>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</si>
  <si>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</si>
  <si>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</si>
  <si>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</si>
  <si>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</si>
  <si>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</si>
  <si>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</si>
  <si>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</si>
  <si>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</si>
  <si>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</si>
  <si>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</si>
  <si>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</si>
  <si>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</si>
  <si>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</si>
  <si>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</si>
  <si>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</si>
  <si>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</si>
  <si>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</si>
  <si>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</si>
  <si>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</si>
  <si>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</si>
  <si>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</si>
  <si>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</si>
  <si>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</si>
  <si>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</si>
  <si>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</si>
  <si>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</si>
  <si>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</si>
  <si>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</si>
  <si>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</si>
  <si>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</si>
  <si>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</si>
  <si>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</si>
  <si>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</si>
  <si>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</si>
  <si>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</si>
  <si>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</si>
  <si>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</si>
  <si>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</si>
  <si>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</si>
  <si>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</si>
  <si>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</si>
  <si>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</si>
  <si>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</si>
  <si>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</si>
  <si>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</si>
  <si>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</si>
  <si>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</si>
  <si>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</si>
  <si>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</si>
  <si>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</si>
  <si>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</si>
  <si>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</si>
  <si>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</si>
  <si>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</si>
  <si>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</si>
  <si>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</si>
  <si>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</si>
  <si>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</si>
  <si>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</si>
  <si>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</si>
  <si>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</si>
  <si>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</si>
  <si>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</si>
  <si>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</si>
  <si>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</si>
  <si>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</si>
  <si>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</si>
  <si>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</si>
  <si>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</si>
  <si>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</si>
  <si>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</si>
  <si>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</si>
  <si>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</si>
  <si>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</si>
  <si>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</si>
  <si>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</si>
  <si>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</si>
  <si>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</si>
  <si>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</si>
  <si>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</si>
  <si>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</si>
  <si>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</si>
  <si>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</si>
  <si>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</si>
  <si>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</si>
  <si>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</si>
  <si>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</si>
  <si>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</si>
  <si>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</si>
  <si>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</si>
  <si>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</si>
  <si>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</si>
  <si>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</si>
  <si>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</si>
  <si>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</si>
  <si>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</si>
  <si>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</si>
  <si>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</si>
  <si>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</si>
  <si>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</si>
  <si>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</si>
  <si>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</si>
  <si>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</si>
  <si>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</si>
  <si>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</si>
  <si>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</si>
  <si>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</si>
  <si>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</si>
  <si>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</si>
  <si>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</si>
  <si>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</si>
  <si>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</si>
  <si>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</si>
  <si>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</si>
  <si>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</si>
  <si>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</si>
  <si>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</si>
  <si>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</si>
  <si>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</si>
  <si>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</si>
  <si>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</si>
  <si>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</si>
  <si>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</si>
  <si>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</si>
  <si>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</si>
  <si>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</si>
  <si>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</si>
  <si>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</si>
  <si>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</si>
  <si>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</si>
  <si>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</si>
  <si>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</si>
  <si>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</si>
  <si>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</si>
  <si>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</si>
  <si>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</si>
  <si>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</si>
  <si>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</si>
  <si>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</si>
  <si>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</si>
  <si>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</si>
  <si>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</si>
  <si>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</si>
  <si>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</si>
  <si>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</si>
  <si>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</si>
  <si>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</si>
  <si>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</si>
  <si>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</si>
  <si>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</si>
  <si>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</si>
  <si>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</si>
  <si>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</si>
  <si>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</si>
  <si>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</si>
  <si>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</si>
  <si>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</si>
  <si>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</si>
  <si>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</si>
  <si>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</si>
  <si>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</si>
  <si>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</si>
  <si>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</si>
  <si>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</si>
  <si>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</si>
  <si>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</si>
  <si>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</si>
  <si>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</si>
  <si>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</si>
  <si>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</si>
  <si>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</si>
  <si>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</si>
  <si>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</si>
  <si>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</si>
  <si>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</si>
  <si>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</si>
  <si>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</si>
  <si>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</si>
  <si>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</si>
  <si>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</si>
  <si>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</si>
  <si>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</si>
  <si>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</si>
  <si>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</si>
  <si>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</si>
  <si>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</si>
  <si>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</si>
  <si>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</si>
  <si>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</si>
  <si>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</si>
  <si>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</si>
  <si>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</si>
  <si>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</si>
  <si>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</si>
  <si>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</si>
  <si>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</si>
  <si>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</si>
  <si>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</si>
  <si>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</si>
  <si>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</si>
  <si>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</si>
  <si>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</si>
  <si>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</si>
  <si>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</si>
  <si>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</si>
  <si>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</si>
  <si>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</si>
  <si>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</si>
  <si>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</si>
  <si>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</si>
  <si>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</si>
  <si>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</si>
  <si>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</si>
  <si>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</si>
  <si>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</si>
  <si>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</si>
  <si>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</si>
  <si>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</si>
  <si>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</si>
  <si>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</si>
  <si>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</si>
  <si>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</si>
  <si>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</si>
  <si>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</si>
  <si>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</si>
  <si>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</si>
  <si>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</si>
  <si>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</si>
  <si>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</si>
  <si>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</si>
  <si>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</si>
  <si>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</si>
  <si>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</si>
  <si>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</si>
  <si>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</si>
  <si>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</si>
  <si>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</si>
  <si>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</si>
  <si>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</si>
  <si>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</si>
  <si>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</si>
  <si>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</si>
  <si>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</si>
  <si>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</si>
  <si>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</si>
  <si>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</si>
  <si>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</si>
  <si>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</si>
  <si>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</si>
  <si>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</si>
  <si>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</si>
  <si>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</si>
  <si>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</si>
  <si>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</si>
  <si>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</si>
  <si>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</si>
  <si>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</si>
  <si>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</si>
  <si>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</si>
  <si>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</si>
  <si>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</si>
  <si>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</si>
  <si>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</si>
  <si>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</si>
  <si>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</si>
  <si>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</si>
  <si>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</si>
  <si>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</si>
  <si>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</si>
  <si>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</si>
  <si>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</si>
  <si>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</si>
  <si>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</si>
  <si>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</si>
  <si>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</si>
  <si>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</si>
  <si>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</si>
  <si>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</si>
  <si>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</si>
  <si>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</si>
  <si>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</si>
  <si>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</si>
  <si>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</si>
  <si>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</si>
  <si>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204:233004</t>
  </si>
  <si>
    <t>rtdc.l.rtdc.4018:itc</t>
  </si>
  <si>
    <t>204:458</t>
  </si>
  <si>
    <t>204:473</t>
  </si>
  <si>
    <t>rtdc.l.rtdc.4010:itc</t>
  </si>
  <si>
    <t>204:233308</t>
  </si>
  <si>
    <t>rtdc.l.rtdc.4017:itc</t>
  </si>
  <si>
    <t>rtdc.l.rtdc.4009:itc</t>
  </si>
  <si>
    <t>204:233312</t>
  </si>
  <si>
    <t>204:444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</si>
  <si>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</si>
  <si>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</si>
  <si>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</si>
  <si>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</si>
  <si>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</si>
  <si>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</si>
  <si>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</si>
  <si>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204:233329</t>
  </si>
  <si>
    <t>204:437</t>
  </si>
  <si>
    <t>204:475</t>
  </si>
  <si>
    <t>rtdc.l.rtdc.4031:itc</t>
  </si>
  <si>
    <t>rtdc.l.rtdc.4057:itc</t>
  </si>
  <si>
    <t>MAELZER</t>
  </si>
  <si>
    <t>KURT</t>
  </si>
  <si>
    <t>MACDONALD</t>
  </si>
  <si>
    <t>BRUDER</t>
  </si>
  <si>
    <t>RICHARD</t>
  </si>
  <si>
    <t>204:232989</t>
  </si>
  <si>
    <t>204:233293</t>
  </si>
  <si>
    <t>300:58944</t>
  </si>
  <si>
    <t>300:58943</t>
  </si>
  <si>
    <t>204:978</t>
  </si>
  <si>
    <t>Onboard in-route failure</t>
  </si>
  <si>
    <t>BONDS</t>
  </si>
  <si>
    <t>REYNALDO</t>
  </si>
  <si>
    <t>204:136</t>
  </si>
  <si>
    <t>204:233310</t>
  </si>
  <si>
    <t>204:232980</t>
  </si>
  <si>
    <t>300:58621</t>
  </si>
  <si>
    <t>300:58946</t>
  </si>
  <si>
    <t>300:58643</t>
  </si>
  <si>
    <t>300:58950</t>
  </si>
  <si>
    <t>rtdc.l.rtdc.4011:itc</t>
  </si>
  <si>
    <t>242-27</t>
  </si>
  <si>
    <t>rtdc.l.rtdc.4012:itc</t>
  </si>
  <si>
    <t>YANG</t>
  </si>
  <si>
    <t>JAN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</si>
  <si>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</si>
  <si>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</si>
  <si>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</si>
  <si>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</si>
  <si>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</si>
  <si>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</si>
  <si>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</si>
  <si>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</si>
  <si>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</si>
  <si>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</si>
  <si>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</si>
  <si>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204:232992</t>
  </si>
  <si>
    <t>204:233297</t>
  </si>
  <si>
    <t>204:435</t>
  </si>
  <si>
    <t>204:233300</t>
  </si>
  <si>
    <t>204:233323</t>
  </si>
  <si>
    <t>204:232998</t>
  </si>
  <si>
    <t>204:233314</t>
  </si>
  <si>
    <t>204:233341</t>
  </si>
  <si>
    <t>300:23304</t>
  </si>
  <si>
    <t>300:58954</t>
  </si>
  <si>
    <t>Form C</t>
  </si>
  <si>
    <t>rtdc.l.rtdc.4063:itc</t>
  </si>
  <si>
    <t>rtdc.l.rtdc.4064:itc</t>
  </si>
  <si>
    <t>204:233011</t>
  </si>
  <si>
    <t>204:233321</t>
  </si>
  <si>
    <t>204:232993</t>
  </si>
  <si>
    <t>204:233295</t>
  </si>
  <si>
    <t>204:232994</t>
  </si>
  <si>
    <t>204:233285</t>
  </si>
  <si>
    <t>204:478</t>
  </si>
  <si>
    <t>204:232990</t>
  </si>
  <si>
    <t>204:233332</t>
  </si>
  <si>
    <t>204:160</t>
  </si>
  <si>
    <t>204:165</t>
  </si>
  <si>
    <t>204:232963</t>
  </si>
  <si>
    <t>204:471</t>
  </si>
  <si>
    <t>204:232961</t>
  </si>
  <si>
    <t>300:23306</t>
  </si>
  <si>
    <t>300:58630</t>
  </si>
  <si>
    <t>204:703</t>
  </si>
  <si>
    <t>204:983</t>
  </si>
  <si>
    <t>300:58613</t>
  </si>
  <si>
    <t>204:680</t>
  </si>
  <si>
    <t>300:58628</t>
  </si>
  <si>
    <t>rtdc.l.rtdc.4025:itc</t>
  </si>
  <si>
    <t>rtdc.l.rtdc.4026:itc</t>
  </si>
  <si>
    <t>rtdc.l.rtdc.4016:itc</t>
  </si>
  <si>
    <t>DAVIDSON</t>
  </si>
  <si>
    <t>DAVID</t>
  </si>
  <si>
    <t>BRANDNER</t>
  </si>
  <si>
    <t>MELINDA</t>
  </si>
  <si>
    <t>NELSON</t>
  </si>
  <si>
    <t>ARIANE</t>
  </si>
  <si>
    <t>204:233376</t>
  </si>
  <si>
    <t>204:232969</t>
  </si>
  <si>
    <t>204:232974</t>
  </si>
  <si>
    <t>204:233023</t>
  </si>
  <si>
    <t>204:233013</t>
  </si>
  <si>
    <t>204:233340</t>
  </si>
  <si>
    <t>204:233280</t>
  </si>
  <si>
    <t>204:233324</t>
  </si>
  <si>
    <t>204:232987</t>
  </si>
  <si>
    <t>204:231</t>
  </si>
  <si>
    <t>204:232975</t>
  </si>
  <si>
    <t>204:233315</t>
  </si>
  <si>
    <t>204:170</t>
  </si>
  <si>
    <t>204:132</t>
  </si>
  <si>
    <t>204:233302</t>
  </si>
  <si>
    <t>204:233278</t>
  </si>
  <si>
    <t>204:232962</t>
  </si>
  <si>
    <t>204:433</t>
  </si>
  <si>
    <t>204:582</t>
  </si>
  <si>
    <t>204:997</t>
  </si>
  <si>
    <t>204:726</t>
  </si>
  <si>
    <t>300:58647</t>
  </si>
  <si>
    <t>300:58937</t>
  </si>
  <si>
    <t>300:58615</t>
  </si>
  <si>
    <t>204:752</t>
  </si>
  <si>
    <t>300:58641</t>
  </si>
  <si>
    <t>204:1109</t>
  </si>
  <si>
    <t>204:1055</t>
  </si>
  <si>
    <t>204:233330</t>
  </si>
  <si>
    <t>204:233347</t>
  </si>
  <si>
    <t>204:233009</t>
  </si>
  <si>
    <t>204:134</t>
  </si>
  <si>
    <t>204:488</t>
  </si>
  <si>
    <t>204:232991</t>
  </si>
  <si>
    <t>204:233042</t>
  </si>
  <si>
    <t>204:176</t>
  </si>
  <si>
    <t>204:1148</t>
  </si>
  <si>
    <t>302-04</t>
  </si>
  <si>
    <t>105-04</t>
  </si>
  <si>
    <t>111-04</t>
  </si>
  <si>
    <t>312-04</t>
  </si>
  <si>
    <t>123-04</t>
  </si>
  <si>
    <t>129-04</t>
  </si>
  <si>
    <t>808-04</t>
  </si>
  <si>
    <t>126-04</t>
  </si>
  <si>
    <t>137-04</t>
  </si>
  <si>
    <t>810-04</t>
  </si>
  <si>
    <t>130-04</t>
  </si>
  <si>
    <t>147-04</t>
  </si>
  <si>
    <t>151-04</t>
  </si>
  <si>
    <t>153-04</t>
  </si>
  <si>
    <t>152-04</t>
  </si>
  <si>
    <t>163-04</t>
  </si>
  <si>
    <t>rtdc.l.rtdc.4029:itc</t>
  </si>
  <si>
    <t>54-04</t>
  </si>
  <si>
    <t>164-04</t>
  </si>
  <si>
    <t>170-04</t>
  </si>
  <si>
    <t>177-04</t>
  </si>
  <si>
    <t>179-04</t>
  </si>
  <si>
    <t>183-04</t>
  </si>
  <si>
    <t>184-04</t>
  </si>
  <si>
    <t>904-04</t>
  </si>
  <si>
    <t>825-04</t>
  </si>
  <si>
    <t>191-04</t>
  </si>
  <si>
    <t>186-04</t>
  </si>
  <si>
    <t>193-04</t>
  </si>
  <si>
    <t>827-04</t>
  </si>
  <si>
    <t>192-04</t>
  </si>
  <si>
    <t>828-04</t>
  </si>
  <si>
    <t>198-04</t>
  </si>
  <si>
    <t>836-04</t>
  </si>
  <si>
    <t>215-04</t>
  </si>
  <si>
    <t>839-04</t>
  </si>
  <si>
    <t>rtdc.l.rtdc.4023:itc</t>
  </si>
  <si>
    <t>218-04</t>
  </si>
  <si>
    <t>216-04</t>
  </si>
  <si>
    <t>226-04</t>
  </si>
  <si>
    <t>844-04</t>
  </si>
  <si>
    <t>600-04</t>
  </si>
  <si>
    <t>309-03</t>
  </si>
  <si>
    <t>244-03</t>
  </si>
  <si>
    <t>rtdc.l.rtdc.4006:itc</t>
  </si>
  <si>
    <t>311-03</t>
  </si>
  <si>
    <t>313-03</t>
  </si>
  <si>
    <t>300-04</t>
  </si>
  <si>
    <t>STARKS</t>
  </si>
  <si>
    <t>ANGELINA</t>
  </si>
  <si>
    <t>rtdc.l.rtdc.4024:itc</t>
  </si>
  <si>
    <t>67-04</t>
  </si>
  <si>
    <t>SPECTOR</t>
  </si>
  <si>
    <t>101-04</t>
  </si>
  <si>
    <t>68-04</t>
  </si>
  <si>
    <t>103-04</t>
  </si>
  <si>
    <t>304-04</t>
  </si>
  <si>
    <t>102-04</t>
  </si>
  <si>
    <t>306-04</t>
  </si>
  <si>
    <t>HUFFSMITH</t>
  </si>
  <si>
    <t>MONTY</t>
  </si>
  <si>
    <t>308-04</t>
  </si>
  <si>
    <t>107-04</t>
  </si>
  <si>
    <t>104-04</t>
  </si>
  <si>
    <t>109-04</t>
  </si>
  <si>
    <t>901-04</t>
  </si>
  <si>
    <t>MILLER</t>
  </si>
  <si>
    <t>KEVIN</t>
  </si>
  <si>
    <t>310-04</t>
  </si>
  <si>
    <t>LOZA</t>
  </si>
  <si>
    <t>FIDEL</t>
  </si>
  <si>
    <t>800-04</t>
  </si>
  <si>
    <t>106-04</t>
  </si>
  <si>
    <t>108-04</t>
  </si>
  <si>
    <t>113-04</t>
  </si>
  <si>
    <t>115-04</t>
  </si>
  <si>
    <t>801-04</t>
  </si>
  <si>
    <t>117-04</t>
  </si>
  <si>
    <t>110-04</t>
  </si>
  <si>
    <t>112-04</t>
  </si>
  <si>
    <t>119-04</t>
  </si>
  <si>
    <t>50-04</t>
  </si>
  <si>
    <t>114-04</t>
  </si>
  <si>
    <t>802-04</t>
  </si>
  <si>
    <t>121-04</t>
  </si>
  <si>
    <t>803-04</t>
  </si>
  <si>
    <t>116-04</t>
  </si>
  <si>
    <t>118-04</t>
  </si>
  <si>
    <t>804-04</t>
  </si>
  <si>
    <t>125-04</t>
  </si>
  <si>
    <t>805-04</t>
  </si>
  <si>
    <t>120-04</t>
  </si>
  <si>
    <t>122-04</t>
  </si>
  <si>
    <t>127-04</t>
  </si>
  <si>
    <t>806-04</t>
  </si>
  <si>
    <t>807-04</t>
  </si>
  <si>
    <t>124-04</t>
  </si>
  <si>
    <t>CUSHING</t>
  </si>
  <si>
    <t>HARRY</t>
  </si>
  <si>
    <t>131-04</t>
  </si>
  <si>
    <t>139-04</t>
  </si>
  <si>
    <t>133-04</t>
  </si>
  <si>
    <t>809-04</t>
  </si>
  <si>
    <t>128-04</t>
  </si>
  <si>
    <t>135-04</t>
  </si>
  <si>
    <t>811-04</t>
  </si>
  <si>
    <t>132-04</t>
  </si>
  <si>
    <t>903-04</t>
  </si>
  <si>
    <t>134-04</t>
  </si>
  <si>
    <t>812-04</t>
  </si>
  <si>
    <t>141-04</t>
  </si>
  <si>
    <t>136-04</t>
  </si>
  <si>
    <t>143-04</t>
  </si>
  <si>
    <t>138-04</t>
  </si>
  <si>
    <t>145-04</t>
  </si>
  <si>
    <t>140-04</t>
  </si>
  <si>
    <t>813-04</t>
  </si>
  <si>
    <t>814-04</t>
  </si>
  <si>
    <t>142-04</t>
  </si>
  <si>
    <t>149-04</t>
  </si>
  <si>
    <t>144-04</t>
  </si>
  <si>
    <t>146-04</t>
  </si>
  <si>
    <t>815-04</t>
  </si>
  <si>
    <t>148-04</t>
  </si>
  <si>
    <t>155-04</t>
  </si>
  <si>
    <t>150-04</t>
  </si>
  <si>
    <t>816-04</t>
  </si>
  <si>
    <t>52-04</t>
  </si>
  <si>
    <t>157-04</t>
  </si>
  <si>
    <t>159-04</t>
  </si>
  <si>
    <t>817-04</t>
  </si>
  <si>
    <t>154-04</t>
  </si>
  <si>
    <t>161-04</t>
  </si>
  <si>
    <t>STEWART</t>
  </si>
  <si>
    <t>rtdc.l.rtdc.4030:itc</t>
  </si>
  <si>
    <t>55-04</t>
  </si>
  <si>
    <t>156-04</t>
  </si>
  <si>
    <t>818-04</t>
  </si>
  <si>
    <t>158-04</t>
  </si>
  <si>
    <t>160-04</t>
  </si>
  <si>
    <t>165-04</t>
  </si>
  <si>
    <t>LEVIN</t>
  </si>
  <si>
    <t>SCOTT</t>
  </si>
  <si>
    <t>167-04</t>
  </si>
  <si>
    <t>LEVERE</t>
  </si>
  <si>
    <t>CRAIG</t>
  </si>
  <si>
    <t>819-04</t>
  </si>
  <si>
    <t>MOSES</t>
  </si>
  <si>
    <t>BRADLEY</t>
  </si>
  <si>
    <t>162-04</t>
  </si>
  <si>
    <t>169-04</t>
  </si>
  <si>
    <t>171-04</t>
  </si>
  <si>
    <t>820-04</t>
  </si>
  <si>
    <t>166-04</t>
  </si>
  <si>
    <t>173-04</t>
  </si>
  <si>
    <t>57-04</t>
  </si>
  <si>
    <t>168-04</t>
  </si>
  <si>
    <t>175-04</t>
  </si>
  <si>
    <t>821-04</t>
  </si>
  <si>
    <t>172-04</t>
  </si>
  <si>
    <t>174-04</t>
  </si>
  <si>
    <t>822-04</t>
  </si>
  <si>
    <t>181-04</t>
  </si>
  <si>
    <t>176-04</t>
  </si>
  <si>
    <t>178-04</t>
  </si>
  <si>
    <t>823-04</t>
  </si>
  <si>
    <t>185-04</t>
  </si>
  <si>
    <t>180-04</t>
  </si>
  <si>
    <t>187-04</t>
  </si>
  <si>
    <t>824-04</t>
  </si>
  <si>
    <t>182-04</t>
  </si>
  <si>
    <t>189-04</t>
  </si>
  <si>
    <t>188-04</t>
  </si>
  <si>
    <t>195-04</t>
  </si>
  <si>
    <t>826-04</t>
  </si>
  <si>
    <t>190-04</t>
  </si>
  <si>
    <t>197-04</t>
  </si>
  <si>
    <t>199-04</t>
  </si>
  <si>
    <t>194-04</t>
  </si>
  <si>
    <t>201-04</t>
  </si>
  <si>
    <t>829-04</t>
  </si>
  <si>
    <t>196-04</t>
  </si>
  <si>
    <t>203-04</t>
  </si>
  <si>
    <t>831-04</t>
  </si>
  <si>
    <t>830-04</t>
  </si>
  <si>
    <t>205-04</t>
  </si>
  <si>
    <t>200-04</t>
  </si>
  <si>
    <t>207-04</t>
  </si>
  <si>
    <t>89-04</t>
  </si>
  <si>
    <t>DE LA ROSA</t>
  </si>
  <si>
    <t>ALEX</t>
  </si>
  <si>
    <t>832-04</t>
  </si>
  <si>
    <t>202-04</t>
  </si>
  <si>
    <t>209-04</t>
  </si>
  <si>
    <t>88-04</t>
  </si>
  <si>
    <t>833-04</t>
  </si>
  <si>
    <t>206-04</t>
  </si>
  <si>
    <t>204-04</t>
  </si>
  <si>
    <t>211-04</t>
  </si>
  <si>
    <t>834-04</t>
  </si>
  <si>
    <t>51-04</t>
  </si>
  <si>
    <t>BADERTSCHER</t>
  </si>
  <si>
    <t>DIANE</t>
  </si>
  <si>
    <t>213-04</t>
  </si>
  <si>
    <t>835-04</t>
  </si>
  <si>
    <t>208-04</t>
  </si>
  <si>
    <t>210-04</t>
  </si>
  <si>
    <t>217-04</t>
  </si>
  <si>
    <t>837-04</t>
  </si>
  <si>
    <t>212-04</t>
  </si>
  <si>
    <t>219-04</t>
  </si>
  <si>
    <t>214-04</t>
  </si>
  <si>
    <t>838-04</t>
  </si>
  <si>
    <t>301-04</t>
  </si>
  <si>
    <t>221-04</t>
  </si>
  <si>
    <t>906-04</t>
  </si>
  <si>
    <t>303-04</t>
  </si>
  <si>
    <t>841-04</t>
  </si>
  <si>
    <t>220-04</t>
  </si>
  <si>
    <t>223-04</t>
  </si>
  <si>
    <t>840-04</t>
  </si>
  <si>
    <t>305-04</t>
  </si>
  <si>
    <t>222-04</t>
  </si>
  <si>
    <t>225-04</t>
  </si>
  <si>
    <t>843-04</t>
  </si>
  <si>
    <t>224-04</t>
  </si>
  <si>
    <t>227-04</t>
  </si>
  <si>
    <t>842-04</t>
  </si>
  <si>
    <t>229-04</t>
  </si>
  <si>
    <t>845-04</t>
  </si>
  <si>
    <t>231-04</t>
  </si>
  <si>
    <t>228-04</t>
  </si>
  <si>
    <t>230-04</t>
  </si>
  <si>
    <t>233-04</t>
  </si>
  <si>
    <t>847-04</t>
  </si>
  <si>
    <t>232-04</t>
  </si>
  <si>
    <t>235-04</t>
  </si>
  <si>
    <t>87-04</t>
  </si>
  <si>
    <t>80-04</t>
  </si>
  <si>
    <t>SAFIEF</t>
  </si>
  <si>
    <t>AEIMEN</t>
  </si>
  <si>
    <t>234-04</t>
  </si>
  <si>
    <t>79-04</t>
  </si>
  <si>
    <t>237-04</t>
  </si>
  <si>
    <t>239-04</t>
  </si>
  <si>
    <t>81-04</t>
  </si>
  <si>
    <t>236-04</t>
  </si>
  <si>
    <t>908-04</t>
  </si>
  <si>
    <t>238-04</t>
  </si>
  <si>
    <t>241-04</t>
  </si>
  <si>
    <t>240-04</t>
  </si>
  <si>
    <t>243-04</t>
  </si>
  <si>
    <t>307-04</t>
  </si>
  <si>
    <t>242-04</t>
  </si>
  <si>
    <t>309-04</t>
  </si>
  <si>
    <t>244-04</t>
  </si>
  <si>
    <t>311-04</t>
  </si>
  <si>
    <t>313-04</t>
  </si>
  <si>
    <t>204:770</t>
  </si>
  <si>
    <t>204:233274</t>
  </si>
  <si>
    <t>204:232973</t>
  </si>
  <si>
    <t>204:233289</t>
  </si>
  <si>
    <t>204:233272</t>
  </si>
  <si>
    <t>204:232955</t>
  </si>
  <si>
    <t>204:233303</t>
  </si>
  <si>
    <t>204:172</t>
  </si>
  <si>
    <t>204:233301</t>
  </si>
  <si>
    <t>204:233284</t>
  </si>
  <si>
    <t>204:233304</t>
  </si>
  <si>
    <t>204:233343</t>
  </si>
  <si>
    <t>204:233317</t>
  </si>
  <si>
    <t>204:233291</t>
  </si>
  <si>
    <t>204:232984</t>
  </si>
  <si>
    <t>204:233298</t>
  </si>
  <si>
    <t>204:232977</t>
  </si>
  <si>
    <t>204:233320</t>
  </si>
  <si>
    <t>204:233307</t>
  </si>
  <si>
    <t>204:232986</t>
  </si>
  <si>
    <t>300:23312</t>
  </si>
  <si>
    <t>204:127854</t>
  </si>
  <si>
    <t>204:1181</t>
  </si>
  <si>
    <t>204:232972</t>
  </si>
  <si>
    <t>204:232971</t>
  </si>
  <si>
    <t>204:233079</t>
  </si>
  <si>
    <t>204:232979</t>
  </si>
  <si>
    <t>204:1501</t>
  </si>
  <si>
    <t>204:233305</t>
  </si>
  <si>
    <t>204:233077</t>
  </si>
  <si>
    <t>204:19128</t>
  </si>
  <si>
    <t>204:232985</t>
  </si>
  <si>
    <t>204:1420</t>
  </si>
  <si>
    <t>204:233270</t>
  </si>
  <si>
    <t>204:233407</t>
  </si>
  <si>
    <t>204:233069</t>
  </si>
  <si>
    <t>204:233025</t>
  </si>
  <si>
    <t>204:233353</t>
  </si>
  <si>
    <t>204:233053</t>
  </si>
  <si>
    <t>204:233065</t>
  </si>
  <si>
    <t>204:233306</t>
  </si>
  <si>
    <t>204:285</t>
  </si>
  <si>
    <t>204:82006</t>
  </si>
  <si>
    <t>204:64159</t>
  </si>
  <si>
    <t>204:232982</t>
  </si>
  <si>
    <t>204:232959</t>
  </si>
  <si>
    <t>204:126600</t>
  </si>
  <si>
    <t>204:232952</t>
  </si>
  <si>
    <t>204:233325</t>
  </si>
  <si>
    <t>204:19213</t>
  </si>
  <si>
    <t>204:1047</t>
  </si>
  <si>
    <t>204:233264</t>
  </si>
  <si>
    <t>204:232946</t>
  </si>
  <si>
    <t>300:21765</t>
  </si>
  <si>
    <t>300:23656</t>
  </si>
  <si>
    <t>300:23011</t>
  </si>
  <si>
    <t>300:19498</t>
  </si>
  <si>
    <t>300:23226</t>
  </si>
  <si>
    <t>204:491</t>
  </si>
  <si>
    <t>300:23502</t>
  </si>
  <si>
    <t>300:23239</t>
  </si>
  <si>
    <t>300:23197</t>
  </si>
  <si>
    <t>204:174</t>
  </si>
  <si>
    <t>204:515</t>
  </si>
  <si>
    <t>300:23316</t>
  </si>
  <si>
    <t>204:723</t>
  </si>
  <si>
    <t>300:23383</t>
  </si>
  <si>
    <t>300:23296</t>
  </si>
  <si>
    <t>300:22083</t>
  </si>
  <si>
    <t>204:891</t>
  </si>
  <si>
    <t>204:459</t>
  </si>
  <si>
    <t>300:24235</t>
  </si>
  <si>
    <t>204:1207</t>
  </si>
  <si>
    <t>204:232950</t>
  </si>
  <si>
    <t>204:894</t>
  </si>
  <si>
    <t>204:3570</t>
  </si>
  <si>
    <t>204:3229</t>
  </si>
  <si>
    <t>204:1188</t>
  </si>
  <si>
    <t>204:233255</t>
  </si>
  <si>
    <t>300:58623</t>
  </si>
  <si>
    <t>204:741</t>
  </si>
  <si>
    <t>204:750</t>
  </si>
  <si>
    <t>204:1021</t>
  </si>
  <si>
    <t>300:58941</t>
  </si>
  <si>
    <t>204:986</t>
  </si>
  <si>
    <t>204:1016</t>
  </si>
  <si>
    <t>300:58927</t>
  </si>
  <si>
    <t>300:58617</t>
  </si>
  <si>
    <t>204:771</t>
  </si>
  <si>
    <t>300:58933</t>
  </si>
  <si>
    <t>300:58604</t>
  </si>
  <si>
    <t>204:694</t>
  </si>
  <si>
    <t>300:58935</t>
  </si>
  <si>
    <t>204:1023</t>
  </si>
  <si>
    <t>300:58910</t>
  </si>
  <si>
    <t>300:58619</t>
  </si>
  <si>
    <t>204:189</t>
  </si>
  <si>
    <t>204:976</t>
  </si>
  <si>
    <t>204:955</t>
  </si>
  <si>
    <t>300:58636</t>
  </si>
  <si>
    <t>300:58928</t>
  </si>
  <si>
    <t>204:687</t>
  </si>
  <si>
    <t>204:964</t>
  </si>
  <si>
    <t>300:58924</t>
  </si>
  <si>
    <t>204:999</t>
  </si>
  <si>
    <t>204:722</t>
  </si>
  <si>
    <t>204:724</t>
  </si>
  <si>
    <t>204:1027</t>
  </si>
  <si>
    <t>300:58952</t>
  </si>
  <si>
    <t>204:930</t>
  </si>
  <si>
    <t>204:820</t>
  </si>
  <si>
    <t>204:1014</t>
  </si>
  <si>
    <t>300:58956</t>
  </si>
  <si>
    <t>204:719</t>
  </si>
  <si>
    <t>300:58963</t>
  </si>
  <si>
    <t>204:670</t>
  </si>
  <si>
    <t>204:1013</t>
  </si>
  <si>
    <t>300:58626</t>
  </si>
  <si>
    <t>204:727</t>
  </si>
  <si>
    <t>204:712</t>
  </si>
  <si>
    <t>204:1018</t>
  </si>
  <si>
    <t>204:747</t>
  </si>
  <si>
    <t>204:1028</t>
  </si>
  <si>
    <t>204:985</t>
  </si>
  <si>
    <t>204:3757</t>
  </si>
  <si>
    <t>204:1177</t>
  </si>
  <si>
    <t>300:23259</t>
  </si>
  <si>
    <t>204:1500</t>
  </si>
  <si>
    <t>300:29932</t>
  </si>
  <si>
    <t>204:486</t>
  </si>
  <si>
    <t>300:24227</t>
  </si>
  <si>
    <t>300:23669</t>
  </si>
  <si>
    <t>204:622</t>
  </si>
  <si>
    <t>300:28774</t>
  </si>
  <si>
    <t>300:58594</t>
  </si>
  <si>
    <t>300:21611</t>
  </si>
  <si>
    <t>300:21888</t>
  </si>
  <si>
    <t>start /low /b %USERPROFILE%\Documents\GitHub\eaglep3\Utilities\DownloadLogsFromS3.py --loco 4025 --day 2017-07-04</t>
  </si>
  <si>
    <t>start /low /b %USERPROFILE%\Documents\GitHub\eaglep3\Utilities\DownloadLogsFromS3.py --loco 4026 --day 2017-07-04</t>
  </si>
  <si>
    <t>start /low /b %USERPROFILE%\Documents\GitHub\eaglep3\Utilities\DownloadLogsFromS3.py --loco 4044 --day 2017-07-04</t>
  </si>
  <si>
    <t>start /low /b %USERPROFILE%\Documents\GitHub\eaglep3\Utilities\DownloadLogsFromS3.py --loco 4023 --day 2017-07-04</t>
  </si>
  <si>
    <t>start /low /b %USERPROFILE%\Documents\GitHub\eaglep3\Utilities\DownloadLogsFromS3.py --loco 4024 --day 2017-07-05</t>
  </si>
  <si>
    <t>start /low /b %USERPROFILE%\Documents\GitHub\eaglep3\Utilities\DownloadLogsFromS3.py --loco 4063 --day 2017-07-04</t>
  </si>
  <si>
    <t>start /low /b %USERPROFILE%\Documents\GitHub\eaglep3\Utilities\DownloadLogsFromS3.py --loco 4064 --day 2017-07-04</t>
  </si>
  <si>
    <t>start /low /b %USERPROFILE%\Documents\GitHub\eaglep3\Utilities\DownloadLogsFromS3.py --loco 4046 --day 2017-07-04</t>
  </si>
  <si>
    <t>start /low /b %USERPROFILE%\Documents\GitHub\eaglep3\Utilities\DownloadLogsFromS3.py --loco 4050 --day 2017-07-04</t>
  </si>
  <si>
    <t>start /low /b %USERPROFILE%\Documents\GitHub\eaglep3\Utilities\DownloadLogsFromS3.py --loco 4045 --day 2017-07-04</t>
  </si>
  <si>
    <t>start /low /b %USERPROFILE%\Documents\GitHub\eaglep3\Utilities\DownloadLogsFromS3.py --loco 4023 --day 2017-07-05</t>
  </si>
  <si>
    <t>start /low /b %USERPROFILE%\Documents\GitHub\eaglep3\Utilities\DownloadLogsFromS3.py --loco 4007 --day 2017-07-04</t>
  </si>
  <si>
    <t>start /low /b %USERPROFILE%\Documents\GitHub\eaglep3\Utilities\DownloadLogsFromS3.py --loco 4043 --day 2017-07-04</t>
  </si>
  <si>
    <t>start /low /b %USERPROFILE%\Documents\GitHub\eaglep3\Utilities\DownloadLogsFromS3.py --loco 4049 --day 2017-07-04</t>
  </si>
  <si>
    <t>start /low /b %USERPROFILE%\Documents\GitHub\eaglep3\Utilities\DownloadLogsFromS3.py --loco 4011 --day 2017-07-05</t>
  </si>
  <si>
    <t>start /low /b %USERPROFILE%\Documents\GitHub\eaglep3\Utilities\DownloadLogsFromS3.py --loco 4008 --day 2017-07-04</t>
  </si>
  <si>
    <t>start /low /b %USERPROFILE%\Documents\GitHub\eaglep3\Utilities\DownloadLogsFromS3.py --loco 4012 --day 2017-07-05</t>
  </si>
  <si>
    <t>start /low /b %USERPROFILE%\Documents\GitHub\eaglep3\Utilities\DownloadLogsFromS3.py --loco 4060 --day 2017-07-04</t>
  </si>
  <si>
    <t>start /low /b %USERPROFILE%\Documents\GitHub\eaglep3\Utilities\DownloadLogsFromS3.py --loco 4022 --day 2017-07-04</t>
  </si>
  <si>
    <t>start /low /b %USERPROFILE%\Documents\GitHub\eaglep3\Utilities\DownloadLogsFromS3.py --loco 4059 --day 2017-07-05</t>
  </si>
  <si>
    <t>start /low /b %USERPROFILE%\Documents\GitHub\eaglep3\Utilities\DownloadLogsFromS3.py --loco 4059 --day 2017-07-04</t>
  </si>
  <si>
    <t>start /low /b %USERPROFILE%\Documents\GitHub\eaglep3\Utilities\DownloadLogsFromS3.py --loco 4021 --day 2017-07-05</t>
  </si>
  <si>
    <t>start /low /b %USERPROFILE%\Documents\GitHub\eaglep3\Utilities\DownloadLogsFromS3.py --loco 4021 --day 2017-07-04</t>
  </si>
  <si>
    <t>start /low /b %USERPROFILE%\Documents\GitHub\eaglep3\Utilities\DownloadLogsFromS3.py --loco 4022 --day 2017-07-05</t>
  </si>
  <si>
    <t>165-05</t>
  </si>
  <si>
    <t>Delayed by onboard in-route failure</t>
  </si>
  <si>
    <t>Minor onboard in-route failure caused comm outage</t>
  </si>
  <si>
    <t>Selected wrong track</t>
  </si>
  <si>
    <t>NW0070RH 7-1T 1S STOP</t>
  </si>
  <si>
    <t>NW0096RH 9-1T 1S STOP</t>
  </si>
  <si>
    <t>Bright 4S STOP</t>
  </si>
  <si>
    <t>40th 4S STOP</t>
  </si>
  <si>
    <t>Unhealthy @ Chambers due to train stop</t>
  </si>
  <si>
    <t>Onboard in-route failure (re: 49669)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</si>
</sst>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3"/>
  <sheetViews>
    <sheetView topLeftCell="A55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COUNTIFS($N$13:$N$9327,"&gt;0",$AG$13:$AG$9327,I1)</f>
        <v>139</v>
      </c>
      <c r="K5" s="39"/>
      <c r="L5" s="39"/>
      <c r="M5" s="40">
        <f>AVERAGEIFS($N$13:$N$9327,$AG$13:$AG$9327,I1)</f>
        <v>40.057194244314196</v>
      </c>
      <c r="N5" s="38">
        <f t="array" ref="N5">MIN(IF($AG$13:$AG$9327=I1,IF(ISNUMBER($N$13:$N$9327),IF($N$13:$N$9327&gt;0,$N$13:$N$9327))))</f>
        <v>35.166666662553325</v>
      </c>
      <c r="O5" s="3">
        <f t="array" ref="O5">MAX(IF($AG$13:$AG$9327=I1,IF(ISNUMBER($N$13:$N$9327),IF($N$13:$N$9327&gt;0,$N$13:$N$9327))))</f>
        <v>52.249999997438863</v>
      </c>
      <c r="P5" s="2"/>
      <c r="R5" s="166" t="s">
        <v>17</v>
      </c>
      <c r="S5" s="186">
        <f>COUNTIFS($N$13:$N$9327,"&gt;0",$AG$13:$AG$9327,R1)</f>
        <v>47</v>
      </c>
      <c r="T5" s="187"/>
      <c r="U5" s="187"/>
      <c r="V5" s="183">
        <f>AVERAGEIFS($N$13:$N$9327,$AG$13:$AG$9327,R1)</f>
        <v>14.43404255360563</v>
      </c>
      <c r="W5" s="184">
        <f t="array" ref="W5">MIN(IF($AG$13:$AG$9327=R1,IF(ISNUMBER($N$13:$N$9327),IF($N$13:$N$9327&gt;0,$N$13:$N$9327))))</f>
        <v>12.449999997625127</v>
      </c>
      <c r="X5" s="185">
        <f t="array" ref="X5">MAX(IF($AG$13:$AG$9327=R1,IF(ISNUMBER($N$13:$N$9327),IF($N$13:$N$9327&gt;0,$N$13:$N$9327))))</f>
        <v>18.966666668420658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COUNTIFS($P$13:$P$9327,"&gt;0",$AG$13:$AG$9327,I1)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COUNTIFS($P$13:$P$9327,"&gt;0",$AG$13:$AG$9327,R1)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40.057194244314196</v>
      </c>
      <c r="N8" s="38">
        <f>N5</f>
        <v>35.166666662553325</v>
      </c>
      <c r="O8" s="3">
        <f>O5</f>
        <v>52.249999997438863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14.43404255360563</v>
      </c>
      <c r="W8" s="184">
        <f>W5</f>
        <v>12.449999997625127</v>
      </c>
      <c r="X8" s="185">
        <f>X5</f>
        <v>18.966666668420658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659</v>
      </c>
      <c r="B13" s="7">
        <v>4044</v>
      </c>
      <c r="C13" s="21" t="s">
        <v>202</v>
      </c>
      <c r="D13" s="21" t="s">
        <v>864</v>
      </c>
      <c r="E13" s="13">
        <v>42920.132268518515</v>
      </c>
      <c r="F13" s="13">
        <v>42920.135995370372</v>
      </c>
      <c r="G13" s="7">
        <v>1</v>
      </c>
      <c r="H13" s="21" t="s">
        <v>529</v>
      </c>
      <c r="I13" s="13">
        <v>42920.162766203706</v>
      </c>
      <c r="J13" s="7">
        <v>0</v>
      </c>
      <c r="K13" s="89" t="str">
        <f t="shared" ref="K13:K76" si="0">IF(ISEVEN(B13),(B13-1)&amp;"/"&amp;B13,B13&amp;"/"&amp;(B13+1))</f>
        <v>4043/4044</v>
      </c>
      <c r="L13" s="21" t="str">
        <f>VLOOKUP(A13,'Trips&amp;Operators'!$C$1:$G$99999,5,FALSE)</f>
        <v>STARKS ANGELINA</v>
      </c>
      <c r="M13" s="6">
        <f t="shared" ref="M13:M76" si="1">I13-F13</f>
        <v>2.6770833334012423E-2</v>
      </c>
      <c r="N13" s="7">
        <f t="shared" ref="N13:N44" si="2">24*60*SUM($M13:$M13)</f>
        <v>38.550000000977889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-04T02:10:28-0600',mode:absolute,to:'2017-07-04T04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59" si="7">RIGHT(D13,LEN(D13)-4)/10000</f>
        <v>7.6999999999999999E-2</v>
      </c>
      <c r="Z13" s="197">
        <f t="shared" ref="Z13:Z59" si="8">RIGHT(H13,LEN(H13)-4)/10000</f>
        <v>23.33</v>
      </c>
      <c r="AA13" s="197">
        <f t="shared" ref="AA13:AA76" si="9">ABS(Z13-Y13)</f>
        <v>23.252999999999997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/stypes="app*4044*20170704*"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4044 --swversion DE.1.0.9.0 --startMP 204:770 --initTime 2017-07-04T03:10:28 --startdatetime 2017-07-04T03:15:50 --delay 1 --endMP 204:233300 --enddatetime 2017-07-04T03:54:23 --enforcementcount 0 &gt;&gt;C:\Users\stu\Documents\GitHub\eaglep3-reporting\EC\2017-07-04-refined-times.txt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{"issue":{"subject":"","project_id":79,"tracker_id":40,"status_id":1,"priority_id":2,"assigned_to_id":23,"start_date":"2017-07-04","description":"","custom_fields":[{"id":1,"name":"Subdivision","value":"EC"},{"id":4,"name":"Milepost","value":"23.33"},{"id":17,"name":"Train ID","value":"101-04"},{"id":16,"name":"Locomotive ID","value":"4044"},{"id":130,"name":"Impact","value":""},{"id":150,"name":"Time of Event (Mountain Time)","value":"03:54:23"},{"id":151,"name":"Denver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4044 --day 2017-07-04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09:54:23"},{"id":29,"name":"Sharepoint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663</v>
      </c>
      <c r="B14" s="7">
        <v>4043</v>
      </c>
      <c r="C14" s="21" t="s">
        <v>202</v>
      </c>
      <c r="D14" s="21" t="s">
        <v>495</v>
      </c>
      <c r="E14" s="13">
        <v>42920.165219907409</v>
      </c>
      <c r="F14" s="13">
        <v>42920.175173611111</v>
      </c>
      <c r="G14" s="7">
        <v>1</v>
      </c>
      <c r="H14" s="21" t="s">
        <v>359</v>
      </c>
      <c r="I14" s="13">
        <v>42920.205543981479</v>
      </c>
      <c r="J14" s="7">
        <v>0</v>
      </c>
      <c r="K14" s="89" t="str">
        <f t="shared" si="0"/>
        <v>4043/4044</v>
      </c>
      <c r="L14" s="21" t="str">
        <f>VLOOKUP(A14,'Trips&amp;Operators'!$C$1:$G$99999,5,FALSE)</f>
        <v>STARKS ANGELINA</v>
      </c>
      <c r="M14" s="6">
        <f t="shared" si="1"/>
        <v>3.0370370368473232E-2</v>
      </c>
      <c r="N14" s="7">
        <f t="shared" si="2"/>
        <v>43.733333330601454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-04T02:57:55-0600',mode:absolute,to:'2017-07-04T05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23.2989</v>
      </c>
      <c r="Z14" s="197">
        <f t="shared" si="8"/>
        <v>1.47E-2</v>
      </c>
      <c r="AA14" s="197">
        <f t="shared" si="9"/>
        <v>23.284199999999998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4" s="74" t="str">
        <f t="shared" si="12"/>
        <v>"C:\Program Files (x86)\AstroGrep\AstroGrep.exe" /e /r /s /spath="%USERPROFILE%\AppData\Local\Temp\OnboardLogs" /stypes="app*4043*20170704*"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82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4043 --swversion DE.1.0.9.0 --startMP 204:232989 --initTime 2017-07-04T03:57:55 --startdatetime 2017-07-04T04:12:15 --delay 1 --endMP 204:147 --enddatetime 2017-07-04T04:55:59 --enforcementcount 0 &gt;&gt;C:\Users\stu\Documents\GitHub\eaglep3-reporting\EC\2017-07-04-refined-times.txt</v>
      </c>
      <c r="AI14" s="96" t="str">
        <f t="shared" ref="AI14:AI82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{"issue":{"subject":"","project_id":79,"tracker_id":40,"status_id":1,"priority_id":2,"assigned_to_id":23,"start_date":"2017-07-04","description":"","custom_fields":[{"id":1,"name":"Subdivision","value":"EC"},{"id":4,"name":"Milepost","value":"0.0147"},{"id":17,"name":"Train ID","value":"102-04"},{"id":16,"name":"Locomotive ID","value":"4043"},{"id":130,"name":"Impact","value":""},{"id":150,"name":"Time of Event (Mountain Time)","value":"04:55:59"},{"id":151,"name":"Denver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82" si="20">"start /low /b "&amp;dls3logs&amp;" --loco "&amp;B14&amp;" --day "&amp;TEXT(F14,"YYYY-MM-DD")</f>
        <v>start /low /b %USERPROFILE%\Documents\GitHub\eaglep3\Utilities\DownloadLogsFromS3.py --loco 4043 --day 2017-07-04</v>
      </c>
      <c r="AN14" s="151" t="str">
        <f t="shared" ref="AN14:AN82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661</v>
      </c>
      <c r="B15" s="7">
        <v>4046</v>
      </c>
      <c r="C15" s="21" t="s">
        <v>202</v>
      </c>
      <c r="D15" s="21" t="s">
        <v>198</v>
      </c>
      <c r="E15" s="13">
        <v>42920.151273148149</v>
      </c>
      <c r="F15" s="13">
        <v>42920.156469907408</v>
      </c>
      <c r="G15" s="7">
        <v>1</v>
      </c>
      <c r="H15" s="21" t="s">
        <v>865</v>
      </c>
      <c r="I15" s="13">
        <v>42920.183425925927</v>
      </c>
      <c r="J15" s="7">
        <v>0</v>
      </c>
      <c r="K15" s="89" t="str">
        <f t="shared" si="0"/>
        <v>4045/4046</v>
      </c>
      <c r="L15" s="21" t="str">
        <f>VLOOKUP(A15,'Trips&amp;Operators'!$C$1:$G$99999,5,FALSE)</f>
        <v>BONDS REYNALDO</v>
      </c>
      <c r="M15" s="6">
        <f t="shared" si="1"/>
        <v>2.6956018518831115E-2</v>
      </c>
      <c r="N15" s="7">
        <f t="shared" si="2"/>
        <v>38.816666667116806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-04T02:37:50-0600',mode:absolute,to:'2017-07-04T05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4.5699999999999998E-2</v>
      </c>
      <c r="Z15" s="197">
        <f t="shared" si="8"/>
        <v>23.327400000000001</v>
      </c>
      <c r="AA15" s="197">
        <f t="shared" si="9"/>
        <v>23.281700000000001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5" s="74" t="str">
        <f t="shared" si="12"/>
        <v>"C:\Program Files (x86)\AstroGrep\AstroGrep.exe" /e /r /s /spath="%USERPROFILE%\AppData\Local\Temp\OnboardLogs" /stypes="app*4046*20170704*"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103-04 --locoid 4046 --swversion DE.1.0.9.0 --startMP 204:457 --initTime 2017-07-04T03:37:50 --startdatetime 2017-07-04T03:45:19 --delay 1 --endMP 204:233274 --enddatetime 2017-07-04T04:24:08 --enforcementcount 0 &gt;&gt;C:\Users\stu\Documents\GitHub\eaglep3-reporting\EC\2017-07-04-refined-times.txt</v>
      </c>
      <c r="AI1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{"issue":{"subject":"","project_id":79,"tracker_id":40,"status_id":1,"priority_id":2,"assigned_to_id":23,"start_date":"2017-07-04","description":"","custom_fields":[{"id":1,"name":"Subdivision","value":"EC"},{"id":4,"name":"Milepost","value":"23.3274"},{"id":17,"name":"Train ID","value":"103-04"},{"id":16,"name":"Locomotive ID","value":"4046"},{"id":130,"name":"Impact","value":""},{"id":150,"name":"Time of Event (Mountain Time)","value":"04:24:08"},{"id":151,"name":"Denver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4046 --day 2017-07-04</v>
      </c>
      <c r="AN1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669</v>
      </c>
      <c r="B16" s="7">
        <v>4045</v>
      </c>
      <c r="C16" s="21" t="s">
        <v>202</v>
      </c>
      <c r="D16" s="21" t="s">
        <v>866</v>
      </c>
      <c r="E16" s="13">
        <v>42920.192777777775</v>
      </c>
      <c r="F16" s="13">
        <v>42920.196250000001</v>
      </c>
      <c r="G16" s="7">
        <v>1</v>
      </c>
      <c r="H16" s="21" t="s">
        <v>415</v>
      </c>
      <c r="I16" s="13">
        <v>42920.226087962961</v>
      </c>
      <c r="J16" s="7">
        <v>0</v>
      </c>
      <c r="K16" s="89" t="str">
        <f t="shared" si="0"/>
        <v>4045/4046</v>
      </c>
      <c r="L16" s="21" t="str">
        <f>VLOOKUP(A16,'Trips&amp;Operators'!$C$1:$G$99999,5,FALSE)</f>
        <v>BONDS REYNALDO</v>
      </c>
      <c r="M16" s="6">
        <f t="shared" si="1"/>
        <v>2.9837962960300501E-2</v>
      </c>
      <c r="N16" s="7">
        <f t="shared" si="2"/>
        <v>42.966666662832722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-04T03:37:36-0600',mode:absolute,to:'2017-07-04T06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23.2973</v>
      </c>
      <c r="Z16" s="197">
        <f t="shared" si="8"/>
        <v>1.4500000000000001E-2</v>
      </c>
      <c r="AA16" s="197">
        <f t="shared" si="9"/>
        <v>23.282799999999998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6" s="74" t="str">
        <f t="shared" si="12"/>
        <v>"C:\Program Files (x86)\AstroGrep\AstroGrep.exe" /e /r /s /spath="%USERPROFILE%\AppData\Local\Temp\OnboardLogs" /stypes="app*4045*20170704*"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104-04 --locoid 4045 --swversion DE.1.0.9.0 --startMP 204:232973 --initTime 2017-07-04T04:37:36 --startdatetime 2017-07-04T04:42:36 --delay 1 --endMP 204:145 --enddatetime 2017-07-04T05:25:34 --enforcementcount 0 &gt;&gt;C:\Users\stu\Documents\GitHub\eaglep3-reporting\EC\2017-07-04-refined-times.txt</v>
      </c>
      <c r="AI1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{"issue":{"subject":"","project_id":79,"tracker_id":40,"status_id":1,"priority_id":2,"assigned_to_id":23,"start_date":"2017-07-04","description":"","custom_fields":[{"id":1,"name":"Subdivision","value":"EC"},{"id":4,"name":"Milepost","value":"0.0145"},{"id":17,"name":"Train ID","value":"104-04"},{"id":16,"name":"Locomotive ID","value":"4045"},{"id":130,"name":"Impact","value":""},{"id":150,"name":"Time of Event (Mountain Time)","value":"05:25:34"},{"id":151,"name":"Denver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4045 --day 2017-07-04</v>
      </c>
      <c r="AN1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607</v>
      </c>
      <c r="B17" s="7">
        <v>4026</v>
      </c>
      <c r="C17" s="21" t="s">
        <v>202</v>
      </c>
      <c r="D17" s="21" t="s">
        <v>443</v>
      </c>
      <c r="E17" s="13">
        <v>42920.170787037037</v>
      </c>
      <c r="F17" s="13">
        <v>42920.177731481483</v>
      </c>
      <c r="G17" s="7">
        <v>1</v>
      </c>
      <c r="H17" s="21" t="s">
        <v>530</v>
      </c>
      <c r="I17" s="13">
        <v>42920.203726851854</v>
      </c>
      <c r="J17" s="7">
        <v>0</v>
      </c>
      <c r="K17" s="89" t="str">
        <f t="shared" si="0"/>
        <v>4025/4026</v>
      </c>
      <c r="L17" s="21" t="str">
        <f>VLOOKUP(A17,'Trips&amp;Operators'!$C$1:$G$99999,5,FALSE)</f>
        <v>MAELZER KURT</v>
      </c>
      <c r="M17" s="6">
        <f t="shared" si="1"/>
        <v>2.5995370371674653E-2</v>
      </c>
      <c r="N17" s="7">
        <f t="shared" si="2"/>
        <v>37.433333335211501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-04T03:05:56-0600',mode:absolute,to:'2017-07-04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4.4200000000000003E-2</v>
      </c>
      <c r="Z17" s="197">
        <f t="shared" si="8"/>
        <v>23.3323</v>
      </c>
      <c r="AA17" s="197">
        <f t="shared" si="9"/>
        <v>23.2881</v>
      </c>
      <c r="AB17" s="54" t="str">
        <f>VLOOKUP(A17,Enforcements!$C$7:$K$13,8,0)</f>
        <v>Bulletin (2)</v>
      </c>
      <c r="AC17" s="51" t="str">
        <f>VLOOKUP(A17,Enforcements!$C$7:$E$13,3,0)</f>
        <v>GRADE CROSSING</v>
      </c>
      <c r="AD17" s="206">
        <f t="shared" si="10"/>
        <v>105</v>
      </c>
      <c r="AE17" s="77" t="str">
        <f t="shared" si="11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17" s="74" t="str">
        <f t="shared" si="12"/>
        <v>"C:\Program Files (x86)\AstroGrep\AstroGrep.exe" /e /r /s /spath="%USERPROFILE%\AppData\Local\Temp\OnboardLogs" /stypes="app*4026*20170704*"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105-04 --locoid 4026 --swversion DE.1.0.9.0 --startMP 204:442 --initTime 2017-07-04T04:05:56 --startdatetime 2017-07-04T04:15:56 --delay 1 --endMP 204:233323 --enddatetime 2017-07-04T04:53:22 --enforcementcount 0 &gt;&gt;C:\Users\stu\Documents\GitHub\eaglep3-reporting\EC\2017-07-04-refined-times.txt</v>
      </c>
      <c r="AI1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{"issue":{"subject":"","project_id":79,"tracker_id":40,"status_id":1,"priority_id":2,"assigned_to_id":23,"start_date":"2017-07-04","description":"","custom_fields":[{"id":1,"name":"Subdivision","value":"EC"},{"id":4,"name":"Milepost","value":"23.3323"},{"id":17,"name":"Train ID","value":"105-04"},{"id":16,"name":"Locomotive ID","value":"4026"},{"id":130,"name":"Impact","value":""},{"id":150,"name":"Time of Event (Mountain Time)","value":"04:53:22"},{"id":151,"name":"Denver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4026 --day 2017-07-04</v>
      </c>
      <c r="AN1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678</v>
      </c>
      <c r="B18" s="7">
        <v>4025</v>
      </c>
      <c r="C18" s="21" t="s">
        <v>202</v>
      </c>
      <c r="D18" s="21" t="s">
        <v>468</v>
      </c>
      <c r="E18" s="13">
        <v>42920.213055555556</v>
      </c>
      <c r="F18" s="13">
        <v>42920.216828703706</v>
      </c>
      <c r="G18" s="7">
        <v>0</v>
      </c>
      <c r="H18" s="21" t="s">
        <v>447</v>
      </c>
      <c r="I18" s="13">
        <v>42920.244432870371</v>
      </c>
      <c r="J18" s="7">
        <v>0</v>
      </c>
      <c r="K18" s="89" t="str">
        <f t="shared" si="0"/>
        <v>4025/4026</v>
      </c>
      <c r="L18" s="21" t="str">
        <f>VLOOKUP(A18,'Trips&amp;Operators'!$C$1:$G$99999,5,FALSE)</f>
        <v>MAELZER KURT</v>
      </c>
      <c r="M18" s="6">
        <f t="shared" si="1"/>
        <v>2.7604166665696539E-2</v>
      </c>
      <c r="N18" s="7">
        <f t="shared" si="2"/>
        <v>39.749999998603016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-04T04:06:48-0600',mode:absolute,to:'2017-07-04T06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23.3004</v>
      </c>
      <c r="Z18" s="197">
        <f t="shared" si="8"/>
        <v>1.38E-2</v>
      </c>
      <c r="AA18" s="197">
        <f t="shared" si="9"/>
        <v>23.2866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18" s="74" t="str">
        <f t="shared" si="12"/>
        <v>"C:\Program Files (x86)\AstroGrep\AstroGrep.exe" /e /r /s /spath="%USERPROFILE%\AppData\Local\Temp\OnboardLogs" /stypes="app*4025*20170704*"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106-04 --locoid 4025 --swversion DE.1.0.9.0 --startMP 204:233004 --initTime 2017-07-04T05:06:48 --startdatetime 2017-07-04T05:12:14 --delay 0 --endMP 204:138 --enddatetime 2017-07-04T05:51:59 --enforcementcount 0 &gt;&gt;C:\Users\stu\Documents\GitHub\eaglep3-reporting\EC\2017-07-04-refined-times.txt</v>
      </c>
      <c r="AI1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{"issue":{"subject":"","project_id":79,"tracker_id":40,"status_id":1,"priority_id":2,"assigned_to_id":23,"start_date":"2017-07-04","description":"","custom_fields":[{"id":1,"name":"Subdivision","value":"EC"},{"id":4,"name":"Milepost","value":"0.0138"},{"id":17,"name":"Train ID","value":"106-04"},{"id":16,"name":"Locomotive ID","value":"4025"},{"id":130,"name":"Impact","value":""},{"id":150,"name":"Time of Event (Mountain Time)","value":"05:51:59"},{"id":151,"name":"Denver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4025 --day 2017-07-04</v>
      </c>
      <c r="AN1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668</v>
      </c>
      <c r="B19" s="7">
        <v>4050</v>
      </c>
      <c r="C19" s="21" t="s">
        <v>202</v>
      </c>
      <c r="D19" s="21" t="s">
        <v>454</v>
      </c>
      <c r="E19" s="13">
        <v>42920.185416666667</v>
      </c>
      <c r="F19" s="13">
        <v>42920.188136574077</v>
      </c>
      <c r="G19" s="7">
        <v>1</v>
      </c>
      <c r="H19" s="21" t="s">
        <v>867</v>
      </c>
      <c r="I19" s="13">
        <v>42920.214259259257</v>
      </c>
      <c r="J19" s="7">
        <v>0</v>
      </c>
      <c r="K19" s="89" t="str">
        <f t="shared" si="0"/>
        <v>4049/4050</v>
      </c>
      <c r="L19" s="21" t="str">
        <f>VLOOKUP(A19,'Trips&amp;Operators'!$C$1:$G$99999,5,FALSE)</f>
        <v>HUFFSMITH MONTY</v>
      </c>
      <c r="M19" s="6">
        <f t="shared" si="1"/>
        <v>2.6122685179871041E-2</v>
      </c>
      <c r="N19" s="7">
        <f t="shared" si="2"/>
        <v>37.6166666590143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-04T03:27:00-0600',mode:absolute,to:'2017-07-04T06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4.5499999999999999E-2</v>
      </c>
      <c r="Z19" s="197">
        <f t="shared" si="8"/>
        <v>23.328900000000001</v>
      </c>
      <c r="AA19" s="197">
        <f t="shared" si="9"/>
        <v>23.2834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9" s="74" t="str">
        <f t="shared" si="12"/>
        <v>"C:\Program Files (x86)\AstroGrep\AstroGrep.exe" /e /r /s /spath="%USERPROFILE%\AppData\Local\Temp\OnboardLogs" /stypes="app*4050*20170704*"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107-04 --locoid 4050 --swversion DE.1.0.9.0 --startMP 204:455 --initTime 2017-07-04T04:27:00 --startdatetime 2017-07-04T04:30:55 --delay 1 --endMP 204:233289 --enddatetime 2017-07-04T05:08:32 --enforcementcount 0 &gt;&gt;C:\Users\stu\Documents\GitHub\eaglep3-reporting\EC\2017-07-04-refined-times.txt</v>
      </c>
      <c r="AI1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{"issue":{"subject":"","project_id":79,"tracker_id":40,"status_id":1,"priority_id":2,"assigned_to_id":23,"start_date":"2017-07-04","description":"","custom_fields":[{"id":1,"name":"Subdivision","value":"EC"},{"id":4,"name":"Milepost","value":"23.3289"},{"id":17,"name":"Train ID","value":"107-04"},{"id":16,"name":"Locomotive ID","value":"4050"},{"id":130,"name":"Impact","value":""},{"id":150,"name":"Time of Event (Mountain Time)","value":"05:08:32"},{"id":151,"name":"Denver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4050 --day 2017-07-04</v>
      </c>
      <c r="AN1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679</v>
      </c>
      <c r="B20" s="7">
        <v>4049</v>
      </c>
      <c r="C20" s="21" t="s">
        <v>202</v>
      </c>
      <c r="D20" s="21" t="s">
        <v>440</v>
      </c>
      <c r="E20" s="13">
        <v>42920.216898148145</v>
      </c>
      <c r="F20" s="13">
        <v>42920.22729166667</v>
      </c>
      <c r="G20" s="7">
        <v>1</v>
      </c>
      <c r="H20" s="21" t="s">
        <v>359</v>
      </c>
      <c r="I20" s="13">
        <v>42920.255289351851</v>
      </c>
      <c r="J20" s="7">
        <v>0</v>
      </c>
      <c r="K20" s="89" t="str">
        <f t="shared" si="0"/>
        <v>4049/4050</v>
      </c>
      <c r="L20" s="21" t="str">
        <f>VLOOKUP(A20,'Trips&amp;Operators'!$C$1:$G$99999,5,FALSE)</f>
        <v>HUFFSMITH MONTY</v>
      </c>
      <c r="M20" s="6">
        <f t="shared" si="1"/>
        <v>2.7997685181617271E-2</v>
      </c>
      <c r="N20" s="7">
        <f t="shared" si="2"/>
        <v>40.31666666152887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-04T04:12:20-0600',mode:absolute,to:'2017-07-04T07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23.299600000000002</v>
      </c>
      <c r="Z20" s="197">
        <f t="shared" si="8"/>
        <v>1.47E-2</v>
      </c>
      <c r="AA20" s="197">
        <f t="shared" si="9"/>
        <v>23.2849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20" s="74" t="str">
        <f t="shared" si="12"/>
        <v>"C:\Program Files (x86)\AstroGrep\AstroGrep.exe" /e /r /s /spath="%USERPROFILE%\AppData\Local\Temp\OnboardLogs" /stypes="app*4049*20170704*"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108-04 --locoid 4049 --swversion DE.1.0.9.0 --startMP 204:232996 --initTime 2017-07-04T05:12:20 --startdatetime 2017-07-04T05:27:18 --delay 1 --endMP 204:147 --enddatetime 2017-07-04T06:07:37 --enforcementcount 0 &gt;&gt;C:\Users\stu\Documents\GitHub\eaglep3-reporting\EC\2017-07-04-refined-times.txt</v>
      </c>
      <c r="AI2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{"issue":{"subject":"","project_id":79,"tracker_id":40,"status_id":1,"priority_id":2,"assigned_to_id":23,"start_date":"2017-07-04","description":"","custom_fields":[{"id":1,"name":"Subdivision","value":"EC"},{"id":4,"name":"Milepost","value":"0.0147"},{"id":17,"name":"Train ID","value":"108-04"},{"id":16,"name":"Locomotive ID","value":"4049"},{"id":130,"name":"Impact","value":""},{"id":150,"name":"Time of Event (Mountain Time)","value":"06:07:37"},{"id":151,"name":"Denver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4049 --day 2017-07-04</v>
      </c>
      <c r="AN2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670</v>
      </c>
      <c r="B21" s="7">
        <v>4064</v>
      </c>
      <c r="C21" s="21" t="s">
        <v>202</v>
      </c>
      <c r="D21" s="21" t="s">
        <v>470</v>
      </c>
      <c r="E21" s="13">
        <v>42920.192291666666</v>
      </c>
      <c r="F21" s="13">
        <v>42920.198310185187</v>
      </c>
      <c r="G21" s="7">
        <v>2</v>
      </c>
      <c r="H21" s="21" t="s">
        <v>868</v>
      </c>
      <c r="I21" s="13">
        <v>42920.223877314813</v>
      </c>
      <c r="J21" s="7">
        <v>0</v>
      </c>
      <c r="K21" s="89" t="str">
        <f t="shared" si="0"/>
        <v>4063/4064</v>
      </c>
      <c r="L21" s="21" t="str">
        <f>VLOOKUP(A21,'Trips&amp;Operators'!$C$1:$G$99999,5,FALSE)</f>
        <v>MACDONALD THOMAS</v>
      </c>
      <c r="M21" s="6">
        <f t="shared" si="1"/>
        <v>2.5567129625414964E-2</v>
      </c>
      <c r="N21" s="7">
        <f t="shared" si="2"/>
        <v>36.816666660597548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-04T03:36:54-0600',mode:absolute,to:'2017-07-04T06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4.58E-2</v>
      </c>
      <c r="Z21" s="197">
        <f t="shared" si="8"/>
        <v>23.327200000000001</v>
      </c>
      <c r="AA21" s="197">
        <f t="shared" si="9"/>
        <v>23.281400000000001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21" s="74" t="str">
        <f t="shared" si="12"/>
        <v>"C:\Program Files (x86)\AstroGrep\AstroGrep.exe" /e /r /s /spath="%USERPROFILE%\AppData\Local\Temp\OnboardLogs" /stypes="app*4064*20170704*"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109-04 --locoid 4064 --swversion DE.1.0.9.0 --startMP 204:458 --initTime 2017-07-04T04:36:54 --startdatetime 2017-07-04T04:45:34 --delay 2 --endMP 204:233272 --enddatetime 2017-07-04T05:22:23 --enforcementcount 0 &gt;&gt;C:\Users\stu\Documents\GitHub\eaglep3-reporting\EC\2017-07-04-refined-times.txt</v>
      </c>
      <c r="AI2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{"issue":{"subject":"","project_id":79,"tracker_id":40,"status_id":1,"priority_id":2,"assigned_to_id":23,"start_date":"2017-07-04","description":"","custom_fields":[{"id":1,"name":"Subdivision","value":"EC"},{"id":4,"name":"Milepost","value":"23.3272"},{"id":17,"name":"Train ID","value":"109-04"},{"id":16,"name":"Locomotive ID","value":"4064"},{"id":130,"name":"Impact","value":""},{"id":150,"name":"Time of Event (Mountain Time)","value":"05:22:23"},{"id":151,"name":"Denver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4064 --day 2017-07-04</v>
      </c>
      <c r="AN2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684</v>
      </c>
      <c r="B22" s="7">
        <v>4063</v>
      </c>
      <c r="C22" s="21" t="s">
        <v>202</v>
      </c>
      <c r="D22" s="21" t="s">
        <v>869</v>
      </c>
      <c r="E22" s="13">
        <v>42920.235636574071</v>
      </c>
      <c r="F22" s="13">
        <v>42920.237858796296</v>
      </c>
      <c r="G22" s="7">
        <v>1</v>
      </c>
      <c r="H22" s="21" t="s">
        <v>348</v>
      </c>
      <c r="I22" s="13">
        <v>42920.266134259262</v>
      </c>
      <c r="J22" s="7">
        <v>0</v>
      </c>
      <c r="K22" s="89" t="str">
        <f t="shared" si="0"/>
        <v>4063/4064</v>
      </c>
      <c r="L22" s="21" t="str">
        <f>VLOOKUP(A22,'Trips&amp;Operators'!$C$1:$G$99999,5,FALSE)</f>
        <v>MACDONALD THOMAS</v>
      </c>
      <c r="M22" s="6">
        <f t="shared" si="1"/>
        <v>2.8275462966121268E-2</v>
      </c>
      <c r="N22" s="7">
        <f t="shared" si="2"/>
        <v>40.716666671214625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-04T04:39:19-0600',mode:absolute,to:'2017-07-04T07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23.295500000000001</v>
      </c>
      <c r="Z22" s="197">
        <f t="shared" si="8"/>
        <v>1.4999999999999999E-2</v>
      </c>
      <c r="AA22" s="197">
        <f t="shared" si="9"/>
        <v>23.2805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22" s="74" t="str">
        <f t="shared" si="12"/>
        <v>"C:\Program Files (x86)\AstroGrep\AstroGrep.exe" /e /r /s /spath="%USERPROFILE%\AppData\Local\Temp\OnboardLogs" /stypes="app*4063*20170704*"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110-04 --locoid 4063 --swversion DE.1.0.9.0 --startMP 204:232955 --initTime 2017-07-04T05:39:19 --startdatetime 2017-07-04T05:42:31 --delay 1 --endMP 204:150 --enddatetime 2017-07-04T06:23:14 --enforcementcount 0 &gt;&gt;C:\Users\stu\Documents\GitHub\eaglep3-reporting\EC\2017-07-04-refined-times.txt</v>
      </c>
      <c r="AI2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ID","value":"110-04"},{"id":16,"name":"Locomotive ID","value":"4063"},{"id":130,"name":"Impact","value":""},{"id":150,"name":"Time of Event (Mountain Time)","value":"06:23:14"},{"id":151,"name":"Denver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4063 --day 2017-07-04</v>
      </c>
      <c r="AN2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608</v>
      </c>
      <c r="B23" s="7">
        <v>4044</v>
      </c>
      <c r="C23" s="21" t="s">
        <v>202</v>
      </c>
      <c r="D23" s="21" t="s">
        <v>470</v>
      </c>
      <c r="E23" s="13">
        <v>42920.207361111112</v>
      </c>
      <c r="F23" s="13">
        <v>42920.208969907406</v>
      </c>
      <c r="G23" s="7">
        <v>1</v>
      </c>
      <c r="H23" s="21" t="s">
        <v>870</v>
      </c>
      <c r="I23" s="13">
        <v>42920.235648148147</v>
      </c>
      <c r="J23" s="7">
        <v>0</v>
      </c>
      <c r="K23" s="89" t="str">
        <f t="shared" si="0"/>
        <v>4043/4044</v>
      </c>
      <c r="L23" s="21" t="str">
        <f>VLOOKUP(A23,'Trips&amp;Operators'!$C$1:$G$99999,5,FALSE)</f>
        <v>STARKS ANGELINA</v>
      </c>
      <c r="M23" s="6">
        <f t="shared" si="1"/>
        <v>2.6678240741603076E-2</v>
      </c>
      <c r="N23" s="7">
        <f t="shared" si="2"/>
        <v>38.41666666790843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-04T03:58:36-0600',mode:absolute,to:'2017-07-04T06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4.58E-2</v>
      </c>
      <c r="Z23" s="197">
        <f t="shared" si="8"/>
        <v>23.330300000000001</v>
      </c>
      <c r="AA23" s="197">
        <f t="shared" si="9"/>
        <v>23.284500000000001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23" s="74" t="str">
        <f t="shared" si="12"/>
        <v>"C:\Program Files (x86)\AstroGrep\AstroGrep.exe" /e /r /s /spath="%USERPROFILE%\AppData\Local\Temp\OnboardLogs" /stypes="app*4044*20170704*"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111-04 --locoid 4044 --swversion DE.1.0.9.0 --startMP 204:458 --initTime 2017-07-04T04:58:36 --startdatetime 2017-07-04T05:00:55 --delay 1 --endMP 204:233303 --enddatetime 2017-07-04T05:39:20 --enforcementcount 0 &gt;&gt;C:\Users\stu\Documents\GitHub\eaglep3-reporting\EC\2017-07-04-refined-times.txt</v>
      </c>
      <c r="AI2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{"issue":{"subject":"","project_id":79,"tracker_id":40,"status_id":1,"priority_id":2,"assigned_to_id":23,"start_date":"2017-07-04","description":"","custom_fields":[{"id":1,"name":"Subdivision","value":"EC"},{"id":4,"name":"Milepost","value":"23.3303"},{"id":17,"name":"Train ID","value":"111-04"},{"id":16,"name":"Locomotive ID","value":"4044"},{"id":130,"name":"Impact","value":""},{"id":150,"name":"Time of Event (Mountain Time)","value":"05:39:20"},{"id":151,"name":"Denver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4044 --day 2017-07-04</v>
      </c>
      <c r="AN2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685</v>
      </c>
      <c r="B24" s="7">
        <v>4043</v>
      </c>
      <c r="C24" s="21" t="s">
        <v>202</v>
      </c>
      <c r="D24" s="21" t="s">
        <v>505</v>
      </c>
      <c r="E24" s="13">
        <v>42920.245694444442</v>
      </c>
      <c r="F24" s="13">
        <v>42920.248090277775</v>
      </c>
      <c r="G24" s="7">
        <v>1</v>
      </c>
      <c r="H24" s="21" t="s">
        <v>350</v>
      </c>
      <c r="I24" s="13">
        <v>42920.277673611112</v>
      </c>
      <c r="J24" s="7">
        <v>0</v>
      </c>
      <c r="K24" s="89" t="str">
        <f t="shared" si="0"/>
        <v>4043/4044</v>
      </c>
      <c r="L24" s="21" t="str">
        <f>VLOOKUP(A24,'Trips&amp;Operators'!$C$1:$G$99999,5,FALSE)</f>
        <v>STARKS ANGELINA</v>
      </c>
      <c r="M24" s="6">
        <f t="shared" si="1"/>
        <v>2.9583333336631767E-2</v>
      </c>
      <c r="N24" s="7">
        <f t="shared" si="2"/>
        <v>42.600000004749745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-04T04:53:48-0600',mode:absolute,to:'2017-07-04T07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23.297999999999998</v>
      </c>
      <c r="Z24" s="197">
        <f t="shared" si="8"/>
        <v>1.43E-2</v>
      </c>
      <c r="AA24" s="197">
        <f t="shared" si="9"/>
        <v>23.2837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24" s="74" t="str">
        <f t="shared" si="12"/>
        <v>"C:\Program Files (x86)\AstroGrep\AstroGrep.exe" /e /r /s /spath="%USERPROFILE%\AppData\Local\Temp\OnboardLogs" /stypes="app*4043*20170704*"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112-04 --locoid 4043 --swversion DE.1.0.9.0 --startMP 204:232980 --initTime 2017-07-04T05:53:48 --startdatetime 2017-07-04T05:57:15 --delay 1 --endMP 204:143 --enddatetime 2017-07-04T06:39:51 --enforcementcount 0 &gt;&gt;C:\Users\stu\Documents\GitHub\eaglep3-reporting\EC\2017-07-04-refined-times.txt</v>
      </c>
      <c r="AI24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ID","value":"112-04"},{"id":16,"name":"Locomotive ID","value":"4043"},{"id":130,"name":"Impact","value":""},{"id":150,"name":"Time of Event (Mountain Time)","value":"06:39:51"},{"id":151,"name":"Denver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4043 --day 2017-07-04</v>
      </c>
      <c r="AN24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680</v>
      </c>
      <c r="B25" s="7">
        <v>4008</v>
      </c>
      <c r="C25" s="21" t="s">
        <v>202</v>
      </c>
      <c r="D25" s="21" t="s">
        <v>199</v>
      </c>
      <c r="E25" s="13">
        <v>42920.216597222221</v>
      </c>
      <c r="F25" s="13">
        <v>42920.219456018516</v>
      </c>
      <c r="G25" s="7">
        <v>2</v>
      </c>
      <c r="H25" s="21" t="s">
        <v>476</v>
      </c>
      <c r="I25" s="13">
        <v>42920.245717592596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LOZA FIDEL</v>
      </c>
      <c r="M25" s="6">
        <f t="shared" si="1"/>
        <v>2.6261574079398997E-2</v>
      </c>
      <c r="N25" s="7">
        <f t="shared" si="2"/>
        <v>37.816666674334556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-04T04:11:54-0600',mode:absolute,to:'2017-07-04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4.5999999999999999E-2</v>
      </c>
      <c r="Z25" s="197">
        <f t="shared" si="8"/>
        <v>23.331199999999999</v>
      </c>
      <c r="AA25" s="197">
        <f t="shared" si="9"/>
        <v>23.2852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25" s="74" t="str">
        <f t="shared" si="12"/>
        <v>"C:\Program Files (x86)\AstroGrep\AstroGrep.exe" /e /r /s /spath="%USERPROFILE%\AppData\Local\Temp\OnboardLogs" /stypes="app*4008*20170704*"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113-04 --locoid 4008 --swversion DE.1.0.9.0 --startMP 204:460 --initTime 2017-07-04T05:11:54 --startdatetime 2017-07-04T05:16:01 --delay 2 --endMP 204:233312 --enddatetime 2017-07-04T05:53:50 --enforcementcount 0 &gt;&gt;C:\Users\stu\Documents\GitHub\eaglep3-reporting\EC\2017-07-04-refined-times.txt</v>
      </c>
      <c r="AI2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{"issue":{"subject":"","project_id":79,"tracker_id":40,"status_id":1,"priority_id":2,"assigned_to_id":23,"start_date":"2017-07-04","description":"","custom_fields":[{"id":1,"name":"Subdivision","value":"EC"},{"id":4,"name":"Milepost","value":"23.3312"},{"id":17,"name":"Train ID","value":"113-04"},{"id":16,"name":"Locomotive ID","value":"4008"},{"id":130,"name":"Impact","value":""},{"id":150,"name":"Time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4008 --day 2017-07-04</v>
      </c>
      <c r="AN2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688</v>
      </c>
      <c r="B26" s="7">
        <v>4007</v>
      </c>
      <c r="C26" s="21" t="s">
        <v>202</v>
      </c>
      <c r="D26" s="21" t="s">
        <v>440</v>
      </c>
      <c r="E26" s="13">
        <v>42920.248425925929</v>
      </c>
      <c r="F26" s="13">
        <v>42920.258657407408</v>
      </c>
      <c r="G26" s="7">
        <v>0</v>
      </c>
      <c r="H26" s="21" t="s">
        <v>349</v>
      </c>
      <c r="I26" s="13">
        <v>42920.286435185182</v>
      </c>
      <c r="J26" s="7">
        <v>0</v>
      </c>
      <c r="K26" s="89" t="str">
        <f t="shared" si="0"/>
        <v>4007/4008</v>
      </c>
      <c r="L26" s="21" t="str">
        <f>VLOOKUP(A26,'Trips&amp;Operators'!$C$1:$G$99999,5,FALSE)</f>
        <v>LOZA FIDEL</v>
      </c>
      <c r="M26" s="6">
        <f t="shared" si="1"/>
        <v>2.7777777773735579E-2</v>
      </c>
      <c r="N26" s="7">
        <f t="shared" si="2"/>
        <v>39.999999994179234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-04T04:57:44-0600',mode:absolute,to:'2017-07-04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23.299600000000002</v>
      </c>
      <c r="Z26" s="197">
        <f t="shared" si="8"/>
        <v>1.49E-2</v>
      </c>
      <c r="AA26" s="197">
        <f t="shared" si="9"/>
        <v>23.284700000000001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26" s="74" t="str">
        <f t="shared" si="12"/>
        <v>"C:\Program Files (x86)\AstroGrep\AstroGrep.exe" /e /r /s /spath="%USERPROFILE%\AppData\Local\Temp\OnboardLogs" /stypes="app*4007*20170704*"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114-04 --locoid 4007 --swversion DE.1.0.9.0 --startMP 204:232996 --initTime 2017-07-04T05:57:44 --startdatetime 2017-07-04T06:12:28 --delay 0 --endMP 204:149 --enddatetime 2017-07-04T06:52:28 --enforcementcount 0 &gt;&gt;C:\Users\stu\Documents\GitHub\eaglep3-reporting\EC\2017-07-04-refined-times.txt</v>
      </c>
      <c r="AI2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{"issue":{"subject":"","project_id":79,"tracker_id":40,"status_id":1,"priority_id":2,"assigned_to_id":23,"start_date":"2017-07-04","description":"","custom_fields":[{"id":1,"name":"Subdivision","value":"EC"},{"id":4,"name":"Milepost","value":"0.0149"},{"id":17,"name":"Train ID","value":"114-04"},{"id":16,"name":"Locomotive ID","value":"4007"},{"id":130,"name":"Impact","value":""},{"id":150,"name":"Time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4007 --day 2017-07-04</v>
      </c>
      <c r="AN2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681</v>
      </c>
      <c r="B27" s="7">
        <v>4046</v>
      </c>
      <c r="C27" s="21" t="s">
        <v>202</v>
      </c>
      <c r="D27" s="21" t="s">
        <v>470</v>
      </c>
      <c r="E27" s="13">
        <v>42920.227442129632</v>
      </c>
      <c r="F27" s="13">
        <v>42920.229791666665</v>
      </c>
      <c r="G27" s="7">
        <v>1</v>
      </c>
      <c r="H27" s="21" t="s">
        <v>584</v>
      </c>
      <c r="I27" s="13">
        <v>42920.25608796296</v>
      </c>
      <c r="J27" s="7">
        <v>0</v>
      </c>
      <c r="K27" s="89" t="str">
        <f t="shared" si="0"/>
        <v>4045/4046</v>
      </c>
      <c r="L27" s="21" t="str">
        <f>VLOOKUP(A27,'Trips&amp;Operators'!$C$1:$G$99999,5,FALSE)</f>
        <v>BONDS REYNALDO</v>
      </c>
      <c r="M27" s="6">
        <f t="shared" si="1"/>
        <v>2.6296296295186039E-2</v>
      </c>
      <c r="N27" s="7">
        <f t="shared" si="2"/>
        <v>37.866666665067896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-04T04:27:31-0600',mode:absolute,to:'2017-07-04T07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4.58E-2</v>
      </c>
      <c r="Z27" s="197">
        <f t="shared" si="8"/>
        <v>23.3278</v>
      </c>
      <c r="AA27" s="197">
        <f t="shared" si="9"/>
        <v>23.282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27" s="74" t="str">
        <f t="shared" si="12"/>
        <v>"C:\Program Files (x86)\AstroGrep\AstroGrep.exe" /e /r /s /spath="%USERPROFILE%\AppData\Local\Temp\OnboardLogs" /stypes="app*4046*20170704*"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115-04 --locoid 4046 --swversion DE.1.0.9.0 --startMP 204:458 --initTime 2017-07-04T05:27:31 --startdatetime 2017-07-04T05:30:54 --delay 1 --endMP 204:233278 --enddatetime 2017-07-04T06:08:46 --enforcementcount 0 &gt;&gt;C:\Users\stu\Documents\GitHub\eaglep3-reporting\EC\2017-07-04-refined-times.txt</v>
      </c>
      <c r="AI2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{"issue":{"subject":"","project_id":79,"tracker_id":40,"status_id":1,"priority_id":2,"assigned_to_id":23,"start_date":"2017-07-04","description":"","custom_fields":[{"id":1,"name":"Subdivision","value":"EC"},{"id":4,"name":"Milepost","value":"23.3278"},{"id":17,"name":"Train ID","value":"115-04"},{"id":16,"name":"Locomotive ID","value":"4046"},{"id":130,"name":"Impact","value":""},{"id":150,"name":"Time of Event (Mountain Time)","value":"06:08:46"},{"id":151,"name":"Denver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4046 --day 2017-07-04</v>
      </c>
      <c r="AN2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692</v>
      </c>
      <c r="B28" s="7">
        <v>4045</v>
      </c>
      <c r="C28" s="21" t="s">
        <v>202</v>
      </c>
      <c r="D28" s="21" t="s">
        <v>866</v>
      </c>
      <c r="E28" s="13">
        <v>42920.266562500001</v>
      </c>
      <c r="F28" s="13">
        <v>42920.269131944442</v>
      </c>
      <c r="G28" s="7">
        <v>1</v>
      </c>
      <c r="H28" s="21" t="s">
        <v>447</v>
      </c>
      <c r="I28" s="13">
        <v>42920.297546296293</v>
      </c>
      <c r="J28" s="7">
        <v>0</v>
      </c>
      <c r="K28" s="89" t="str">
        <f t="shared" si="0"/>
        <v>4045/4046</v>
      </c>
      <c r="L28" s="21" t="str">
        <f>VLOOKUP(A28,'Trips&amp;Operators'!$C$1:$G$99999,5,FALSE)</f>
        <v>BONDS REYNALDO</v>
      </c>
      <c r="M28" s="6">
        <f t="shared" si="1"/>
        <v>2.8414351851097308E-2</v>
      </c>
      <c r="N28" s="7">
        <f t="shared" si="2"/>
        <v>40.916666665580124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-04T05:23:51-0600',mode:absolute,to:'2017-07-04T08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23.2973</v>
      </c>
      <c r="Z28" s="197">
        <f t="shared" si="8"/>
        <v>1.38E-2</v>
      </c>
      <c r="AA28" s="197">
        <f t="shared" si="9"/>
        <v>23.2835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28" s="74" t="str">
        <f t="shared" si="12"/>
        <v>"C:\Program Files (x86)\AstroGrep\AstroGrep.exe" /e /r /s /spath="%USERPROFILE%\AppData\Local\Temp\OnboardLogs" /stypes="app*4045*20170704*"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116-04 --locoid 4045 --swversion DE.1.0.9.0 --startMP 204:232973 --initTime 2017-07-04T06:23:51 --startdatetime 2017-07-04T06:27:33 --delay 1 --endMP 204:138 --enddatetime 2017-07-04T07:08:28 --enforcementcount 0 &gt;&gt;C:\Users\stu\Documents\GitHub\eaglep3-reporting\EC\2017-07-04-refined-times.txt</v>
      </c>
      <c r="AI2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{"issue":{"subject":"","project_id":79,"tracker_id":40,"status_id":1,"priority_id":2,"assigned_to_id":23,"start_date":"2017-07-04","description":"","custom_fields":[{"id":1,"name":"Subdivision","value":"EC"},{"id":4,"name":"Milepost","value":"0.0138"},{"id":17,"name":"Train ID","value":"116-04"},{"id":16,"name":"Locomotive ID","value":"4045"},{"id":130,"name":"Impact","value":""},{"id":150,"name":"Time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4045 --day 2017-07-04</v>
      </c>
      <c r="AN2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683</v>
      </c>
      <c r="B29" s="7">
        <v>4012</v>
      </c>
      <c r="C29" s="21" t="s">
        <v>202</v>
      </c>
      <c r="D29" s="21" t="s">
        <v>471</v>
      </c>
      <c r="E29" s="13">
        <v>42920.235081018516</v>
      </c>
      <c r="F29" s="13">
        <v>42920.240127314813</v>
      </c>
      <c r="G29" s="7">
        <v>1</v>
      </c>
      <c r="H29" s="21" t="s">
        <v>504</v>
      </c>
      <c r="I29" s="13">
        <v>42920.266469907408</v>
      </c>
      <c r="J29" s="7">
        <v>0</v>
      </c>
      <c r="K29" s="89" t="str">
        <f t="shared" si="0"/>
        <v>4011/4012</v>
      </c>
      <c r="L29" s="21" t="str">
        <f>VLOOKUP(A29,'Trips&amp;Operators'!$C$1:$G$99999,5,FALSE)</f>
        <v>DAVIDSON DAVID</v>
      </c>
      <c r="M29" s="6">
        <f t="shared" si="1"/>
        <v>2.6342592595028691E-2</v>
      </c>
      <c r="N29" s="7">
        <f t="shared" si="2"/>
        <v>37.933333336841315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-04T04:38:31-0600',mode:absolute,to:'2017-07-04T07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4.7300000000000002E-2</v>
      </c>
      <c r="Z29" s="197">
        <f t="shared" si="8"/>
        <v>23.331</v>
      </c>
      <c r="AA29" s="197">
        <f t="shared" si="9"/>
        <v>23.2837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29" s="74" t="str">
        <f t="shared" si="12"/>
        <v>"C:\Program Files (x86)\AstroGrep\AstroGrep.exe" /e /r /s /spath="%USERPROFILE%\AppData\Local\Temp\OnboardLogs" /stypes="app*4012*20170704*"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117-04 --locoid 4012 --swversion DE.1.0.9.0 --startMP 204:473 --initTime 2017-07-04T05:38:31 --startdatetime 2017-07-04T05:45:47 --delay 1 --endMP 204:233310 --enddatetime 2017-07-04T06:23:43 --enforcementcount 0 &gt;&gt;C:\Users\stu\Documents\GitHub\eaglep3-reporting\EC\2017-07-04-refined-times.txt</v>
      </c>
      <c r="AI2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{"issue":{"subject":"","project_id":79,"tracker_id":40,"status_id":1,"priority_id":2,"assigned_to_id":23,"start_date":"2017-07-04","description":"","custom_fields":[{"id":1,"name":"Subdivision","value":"EC"},{"id":4,"name":"Milepost","value":"23.331"},{"id":17,"name":"Train ID","value":"117-04"},{"id":16,"name":"Locomotive ID","value":"4012"},{"id":130,"name":"Impact","value":""},{"id":150,"name":"Time of Event (Mountain Time)","value":"06:23:43"},{"id":151,"name":"Denver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4012 --day 2017-07-04</v>
      </c>
      <c r="AN2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693</v>
      </c>
      <c r="B30" s="7">
        <v>4011</v>
      </c>
      <c r="C30" s="21" t="s">
        <v>202</v>
      </c>
      <c r="D30" s="21" t="s">
        <v>541</v>
      </c>
      <c r="E30" s="13">
        <v>42920.269745370373</v>
      </c>
      <c r="F30" s="13">
        <v>42920.279421296298</v>
      </c>
      <c r="G30" s="7">
        <v>0</v>
      </c>
      <c r="H30" s="21" t="s">
        <v>871</v>
      </c>
      <c r="I30" s="13">
        <v>42920.308217592596</v>
      </c>
      <c r="J30" s="7">
        <v>0</v>
      </c>
      <c r="K30" s="89" t="str">
        <f t="shared" si="0"/>
        <v>4011/4012</v>
      </c>
      <c r="L30" s="21" t="str">
        <f>VLOOKUP(A30,'Trips&amp;Operators'!$C$1:$G$99999,5,FALSE)</f>
        <v>DAVIDSON DAVID</v>
      </c>
      <c r="M30" s="6">
        <f t="shared" si="1"/>
        <v>2.8796296297514345E-2</v>
      </c>
      <c r="N30" s="7">
        <f t="shared" si="2"/>
        <v>41.466666668420658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-04T05:28:26-0600',mode:absolute,to:'2017-07-04T08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23.299299999999999</v>
      </c>
      <c r="Z30" s="197">
        <f t="shared" si="8"/>
        <v>1.72E-2</v>
      </c>
      <c r="AA30" s="197">
        <f t="shared" si="9"/>
        <v>23.2821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30" s="74" t="str">
        <f t="shared" si="12"/>
        <v>"C:\Program Files (x86)\AstroGrep\AstroGrep.exe" /e /r /s /spath="%USERPROFILE%\AppData\Local\Temp\OnboardLogs" /stypes="app*4011*20170704*"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118-04 --locoid 4011 --swversion DE.1.0.9.0 --startMP 204:232993 --initTime 2017-07-04T06:28:26 --startdatetime 2017-07-04T06:42:22 --delay 0 --endMP 204:172 --enddatetime 2017-07-04T07:23:50 --enforcementcount 0 &gt;&gt;C:\Users\stu\Documents\GitHub\eaglep3-reporting\EC\2017-07-04-refined-times.txt</v>
      </c>
      <c r="AI3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{"issue":{"subject":"","project_id":79,"tracker_id":40,"status_id":1,"priority_id":2,"assigned_to_id":23,"start_date":"2017-07-04","description":"","custom_fields":[{"id":1,"name":"Subdivision","value":"EC"},{"id":4,"name":"Milepost","value":"0.0172"},{"id":17,"name":"Train ID","value":"118-04"},{"id":16,"name":"Locomotive ID","value":"4011"},{"id":130,"name":"Impact","value":""},{"id":150,"name":"Time of Event (Mountain Time)","value":"07:23:50"},{"id":151,"name":"Denver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4011 --day 2017-07-04</v>
      </c>
      <c r="AN3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686</v>
      </c>
      <c r="B31" s="7">
        <v>4026</v>
      </c>
      <c r="C31" s="21" t="s">
        <v>202</v>
      </c>
      <c r="D31" s="21" t="s">
        <v>455</v>
      </c>
      <c r="E31" s="13">
        <v>42920.246365740742</v>
      </c>
      <c r="F31" s="13">
        <v>42920.250532407408</v>
      </c>
      <c r="G31" s="7">
        <v>1</v>
      </c>
      <c r="H31" s="21" t="s">
        <v>872</v>
      </c>
      <c r="I31" s="13">
        <v>42920.276574074072</v>
      </c>
      <c r="J31" s="7">
        <v>0</v>
      </c>
      <c r="K31" s="89" t="str">
        <f t="shared" si="0"/>
        <v>4025/4026</v>
      </c>
      <c r="L31" s="21" t="str">
        <f>VLOOKUP(A31,'Trips&amp;Operators'!$C$1:$G$99999,5,FALSE)</f>
        <v>MAELZER KURT</v>
      </c>
      <c r="M31" s="6">
        <f t="shared" si="1"/>
        <v>2.6041666664241347E-2</v>
      </c>
      <c r="N31" s="7">
        <f t="shared" si="2"/>
        <v>37.49999999650754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-04T04:54:46-0600',mode:absolute,to:'2017-07-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4.6399999999999997E-2</v>
      </c>
      <c r="Z31" s="197">
        <f t="shared" si="8"/>
        <v>23.330100000000002</v>
      </c>
      <c r="AA31" s="197">
        <f t="shared" si="9"/>
        <v>23.283700000000003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31" s="74" t="str">
        <f t="shared" si="12"/>
        <v>"C:\Program Files (x86)\AstroGrep\AstroGrep.exe" /e /r /s /spath="%USERPROFILE%\AppData\Local\Temp\OnboardLogs" /stypes="app*4026*20170704*"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119-04 --locoid 4026 --swversion DE.1.0.9.0 --startMP 204:464 --initTime 2017-07-04T05:54:46 --startdatetime 2017-07-04T06:00:46 --delay 1 --endMP 204:233301 --enddatetime 2017-07-04T06:38:16 --enforcementcount 0 &gt;&gt;C:\Users\stu\Documents\GitHub\eaglep3-reporting\EC\2017-07-04-refined-times.txt</v>
      </c>
      <c r="AI3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{"issue":{"subject":"","project_id":79,"tracker_id":40,"status_id":1,"priority_id":2,"assigned_to_id":23,"start_date":"2017-07-04","description":"","custom_fields":[{"id":1,"name":"Subdivision","value":"EC"},{"id":4,"name":"Milepost","value":"23.3301"},{"id":17,"name":"Train ID","value":"119-04"},{"id":16,"name":"Locomotive ID","value":"4026"},{"id":130,"name":"Impact","value":""},{"id":150,"name":"Time of Event (Mountain Time)","value":"06:38:16"},{"id":151,"name":"Denver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4026 --day 2017-07-04</v>
      </c>
      <c r="AN3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697</v>
      </c>
      <c r="B32" s="7">
        <v>4025</v>
      </c>
      <c r="C32" s="21" t="s">
        <v>202</v>
      </c>
      <c r="D32" s="21" t="s">
        <v>505</v>
      </c>
      <c r="E32" s="13">
        <v>42920.28534722222</v>
      </c>
      <c r="F32" s="13">
        <v>42920.28974537037</v>
      </c>
      <c r="G32" s="7">
        <v>0</v>
      </c>
      <c r="H32" s="21" t="s">
        <v>348</v>
      </c>
      <c r="I32" s="13">
        <v>42920.317569444444</v>
      </c>
      <c r="J32" s="7">
        <v>0</v>
      </c>
      <c r="K32" s="89" t="str">
        <f t="shared" si="0"/>
        <v>4025/4026</v>
      </c>
      <c r="L32" s="21" t="str">
        <f>VLOOKUP(A32,'Trips&amp;Operators'!$C$1:$G$99999,5,FALSE)</f>
        <v>MAELZER KURT</v>
      </c>
      <c r="M32" s="6">
        <f t="shared" si="1"/>
        <v>2.7824074073578231E-2</v>
      </c>
      <c r="N32" s="7">
        <f t="shared" si="2"/>
        <v>40.066666665952653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-04T05:50:54-0600',mode:absolute,to:'2017-07-04T08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23.297999999999998</v>
      </c>
      <c r="Z32" s="197">
        <f t="shared" si="8"/>
        <v>1.4999999999999999E-2</v>
      </c>
      <c r="AA32" s="197">
        <f t="shared" si="9"/>
        <v>23.282999999999998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32" s="74" t="str">
        <f t="shared" si="12"/>
        <v>"C:\Program Files (x86)\AstroGrep\AstroGrep.exe" /e /r /s /spath="%USERPROFILE%\AppData\Local\Temp\OnboardLogs" /stypes="app*4025*20170704*"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120-04 --locoid 4025 --swversion DE.1.0.9.0 --startMP 204:232980 --initTime 2017-07-04T06:50:54 --startdatetime 2017-07-04T06:57:14 --delay 0 --endMP 204:150 --enddatetime 2017-07-04T07:37:18 --enforcementcount 0 &gt;&gt;C:\Users\stu\Documents\GitHub\eaglep3-reporting\EC\2017-07-04-refined-times.txt</v>
      </c>
      <c r="AI3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ID","value":"120-04"},{"id":16,"name":"Locomotive ID","value":"4025"},{"id":130,"name":"Impact","value":""},{"id":150,"name":"Time of Event (Mountain Time)","value":"07:37:18"},{"id":151,"name":"Denver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4025 --day 2017-07-04</v>
      </c>
      <c r="AN3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690</v>
      </c>
      <c r="B33" s="7">
        <v>4050</v>
      </c>
      <c r="C33" s="21" t="s">
        <v>202</v>
      </c>
      <c r="D33" s="21" t="s">
        <v>487</v>
      </c>
      <c r="E33" s="13">
        <v>42920.2577662037</v>
      </c>
      <c r="F33" s="13">
        <v>42920.260995370372</v>
      </c>
      <c r="G33" s="7">
        <v>1</v>
      </c>
      <c r="H33" s="21" t="s">
        <v>580</v>
      </c>
      <c r="I33" s="13">
        <v>42920.286365740743</v>
      </c>
      <c r="J33" s="7">
        <v>0</v>
      </c>
      <c r="K33" s="89" t="str">
        <f t="shared" si="0"/>
        <v>4049/4050</v>
      </c>
      <c r="L33" s="21" t="str">
        <f>VLOOKUP(A33,'Trips&amp;Operators'!$C$1:$G$99999,5,FALSE)</f>
        <v>HUFFSMITH MONTY</v>
      </c>
      <c r="M33" s="6">
        <f t="shared" si="1"/>
        <v>2.5370370371092577E-2</v>
      </c>
      <c r="N33" s="7">
        <f t="shared" si="2"/>
        <v>36.53333333437331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-04T05:11:11-0600',mode:absolute,to:'2017-07-04T07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4.7500000000000001E-2</v>
      </c>
      <c r="Z33" s="197">
        <f t="shared" si="8"/>
        <v>23.331499999999998</v>
      </c>
      <c r="AA33" s="197">
        <f t="shared" si="9"/>
        <v>23.283999999999999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33" s="74" t="str">
        <f t="shared" si="12"/>
        <v>"C:\Program Files (x86)\AstroGrep\AstroGrep.exe" /e /r /s /spath="%USERPROFILE%\AppData\Local\Temp\OnboardLogs" /stypes="app*4050*20170704*"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121-04 --locoid 4050 --swversion DE.1.0.9.0 --startMP 204:475 --initTime 2017-07-04T06:11:11 --startdatetime 2017-07-04T06:15:50 --delay 1 --endMP 204:233315 --enddatetime 2017-07-04T06:52:22 --enforcementcount 0 &gt;&gt;C:\Users\stu\Documents\GitHub\eaglep3-reporting\EC\2017-07-04-refined-times.txt</v>
      </c>
      <c r="AI3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{"issue":{"subject":"","project_id":79,"tracker_id":40,"status_id":1,"priority_id":2,"assigned_to_id":23,"start_date":"2017-07-04","description":"","custom_fields":[{"id":1,"name":"Subdivision","value":"EC"},{"id":4,"name":"Milepost","value":"23.3315"},{"id":17,"name":"Train ID","value":"121-04"},{"id":16,"name":"Locomotive ID","value":"4050"},{"id":130,"name":"Impact","value":""},{"id":150,"name":"Time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4050 --day 2017-07-04</v>
      </c>
      <c r="AN3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698</v>
      </c>
      <c r="B34" s="7">
        <v>4049</v>
      </c>
      <c r="C34" s="21" t="s">
        <v>202</v>
      </c>
      <c r="D34" s="21" t="s">
        <v>577</v>
      </c>
      <c r="E34" s="13">
        <v>42920.288842592592</v>
      </c>
      <c r="F34" s="13">
        <v>42920.300185185188</v>
      </c>
      <c r="G34" s="7">
        <v>1</v>
      </c>
      <c r="H34" s="21" t="s">
        <v>447</v>
      </c>
      <c r="I34" s="13">
        <v>42920.328402777777</v>
      </c>
      <c r="J34" s="7">
        <v>0</v>
      </c>
      <c r="K34" s="89" t="str">
        <f t="shared" si="0"/>
        <v>4049/4050</v>
      </c>
      <c r="L34" s="21" t="str">
        <f>VLOOKUP(A34,'Trips&amp;Operators'!$C$1:$G$99999,5,FALSE)</f>
        <v>HUFFSMITH MONTY</v>
      </c>
      <c r="M34" s="6">
        <f t="shared" si="1"/>
        <v>2.8217592589498963E-2</v>
      </c>
      <c r="N34" s="7">
        <f t="shared" si="2"/>
        <v>40.633333328878507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-04T05:55:56-0600',mode:absolute,to:'2017-07-04T08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23.2987</v>
      </c>
      <c r="Z34" s="197">
        <f t="shared" si="8"/>
        <v>1.38E-2</v>
      </c>
      <c r="AA34" s="197">
        <f t="shared" si="9"/>
        <v>23.2849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34" s="74" t="str">
        <f t="shared" si="12"/>
        <v>"C:\Program Files (x86)\AstroGrep\AstroGrep.exe" /e /r /s /spath="%USERPROFILE%\AppData\Local\Temp\OnboardLogs" /stypes="app*4049*20170704*"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122-04 --locoid 4049 --swversion DE.1.0.9.0 --startMP 204:232987 --initTime 2017-07-04T06:55:56 --startdatetime 2017-07-04T07:12:16 --delay 1 --endMP 204:138 --enddatetime 2017-07-04T07:52:54 --enforcementcount 0 &gt;&gt;C:\Users\stu\Documents\GitHub\eaglep3-reporting\EC\2017-07-04-refined-times.txt</v>
      </c>
      <c r="AI34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{"issue":{"subject":"","project_id":79,"tracker_id":40,"status_id":1,"priority_id":2,"assigned_to_id":23,"start_date":"2017-07-04","description":"","custom_fields":[{"id":1,"name":"Subdivision","value":"EC"},{"id":4,"name":"Milepost","value":"0.0138"},{"id":17,"name":"Train ID","value":"122-04"},{"id":16,"name":"Locomotive ID","value":"4049"},{"id":130,"name":"Impact","value":""},{"id":150,"name":"Time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4049 --day 2017-07-04</v>
      </c>
      <c r="AN34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610</v>
      </c>
      <c r="B35" s="7">
        <v>4064</v>
      </c>
      <c r="C35" s="21" t="s">
        <v>202</v>
      </c>
      <c r="D35" s="21" t="s">
        <v>551</v>
      </c>
      <c r="E35" s="13">
        <v>42920.267442129632</v>
      </c>
      <c r="F35" s="13">
        <v>42920.271377314813</v>
      </c>
      <c r="G35" s="7">
        <v>5</v>
      </c>
      <c r="H35" s="21" t="s">
        <v>873</v>
      </c>
      <c r="I35" s="13">
        <v>42920.297534722224</v>
      </c>
      <c r="J35" s="7">
        <v>0</v>
      </c>
      <c r="K35" s="89" t="str">
        <f t="shared" si="0"/>
        <v>4063/4064</v>
      </c>
      <c r="L35" s="21" t="str">
        <f>VLOOKUP(A35,'Trips&amp;Operators'!$C$1:$G$99999,5,FALSE)</f>
        <v>MACDONALD THOMAS</v>
      </c>
      <c r="M35" s="6">
        <f t="shared" si="1"/>
        <v>2.6157407410209998E-2</v>
      </c>
      <c r="N35" s="7">
        <f t="shared" si="2"/>
        <v>37.666666670702398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-04T05:25:07-0600',mode:absolute,to:'2017-07-04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4.7100000000000003E-2</v>
      </c>
      <c r="Z35" s="197">
        <f t="shared" si="8"/>
        <v>23.328399999999998</v>
      </c>
      <c r="AA35" s="197">
        <f t="shared" si="9"/>
        <v>23.281299999999998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35" s="74" t="str">
        <f t="shared" si="12"/>
        <v>"C:\Program Files (x86)\AstroGrep\AstroGrep.exe" /e /r /s /spath="%USERPROFILE%\AppData\Local\Temp\OnboardLogs" /stypes="app*4064*20170704*"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123-04 --locoid 4064 --swversion DE.1.0.9.0 --startMP 204:471 --initTime 2017-07-04T06:25:07 --startdatetime 2017-07-04T06:30:47 --delay 5 --endMP 204:233284 --enddatetime 2017-07-04T07:08:27 --enforcementcount 0 &gt;&gt;C:\Users\stu\Documents\GitHub\eaglep3-reporting\EC\2017-07-04-refined-times.txt</v>
      </c>
      <c r="AI3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{"issue":{"subject":"","project_id":79,"tracker_id":40,"status_id":1,"priority_id":2,"assigned_to_id":23,"start_date":"2017-07-04","description":"","custom_fields":[{"id":1,"name":"Subdivision","value":"EC"},{"id":4,"name":"Milepost","value":"23.3284"},{"id":17,"name":"Train ID","value":"123-04"},{"id":16,"name":"Locomotive ID","value":"4064"},{"id":130,"name":"Impact","value":""},{"id":150,"name":"Time of Event (Mountain Time)","value":"07:08:27"},{"id":151,"name":"Denver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4064 --day 2017-07-04</v>
      </c>
      <c r="AN3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702</v>
      </c>
      <c r="B36" s="7">
        <v>4063</v>
      </c>
      <c r="C36" s="21" t="s">
        <v>202</v>
      </c>
      <c r="D36" s="21" t="s">
        <v>550</v>
      </c>
      <c r="E36" s="13">
        <v>42920.299571759257</v>
      </c>
      <c r="F36" s="13">
        <v>42920.310682870368</v>
      </c>
      <c r="G36" s="7">
        <v>0</v>
      </c>
      <c r="H36" s="21" t="s">
        <v>193</v>
      </c>
      <c r="I36" s="13">
        <v>42920.338576388887</v>
      </c>
      <c r="J36" s="7">
        <v>0</v>
      </c>
      <c r="K36" s="89" t="str">
        <f t="shared" si="0"/>
        <v>4063/4064</v>
      </c>
      <c r="L36" s="21" t="str">
        <f>VLOOKUP(A36,'Trips&amp;Operators'!$C$1:$G$99999,5,FALSE)</f>
        <v>MACDONALD THOMAS</v>
      </c>
      <c r="M36" s="6">
        <f t="shared" si="1"/>
        <v>2.789351851970423E-2</v>
      </c>
      <c r="N36" s="7">
        <f t="shared" si="2"/>
        <v>40.166666668374091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-04T06:11:23-0600',mode:absolute,to:'2017-07-04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23.296299999999999</v>
      </c>
      <c r="Z36" s="197">
        <f t="shared" si="8"/>
        <v>1.52E-2</v>
      </c>
      <c r="AA36" s="197">
        <f t="shared" si="9"/>
        <v>23.281099999999999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36" s="74" t="str">
        <f t="shared" si="12"/>
        <v>"C:\Program Files (x86)\AstroGrep\AstroGrep.exe" /e /r /s /spath="%USERPROFILE%\AppData\Local\Temp\OnboardLogs" /stypes="app*4063*20170704*"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124-04 --locoid 4063 --swversion DE.1.0.9.0 --startMP 204:232963 --initTime 2017-07-04T07:11:23 --startdatetime 2017-07-04T07:27:23 --delay 0 --endMP 204:152 --enddatetime 2017-07-04T08:07:33 --enforcementcount 0 &gt;&gt;C:\Users\stu\Documents\GitHub\eaglep3-reporting\EC\2017-07-04-refined-times.txt</v>
      </c>
      <c r="AI3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{"issue":{"subject":"","project_id":79,"tracker_id":40,"status_id":1,"priority_id":2,"assigned_to_id":23,"start_date":"2017-07-04","description":"","custom_fields":[{"id":1,"name":"Subdivision","value":"EC"},{"id":4,"name":"Milepost","value":"0.0152"},{"id":17,"name":"Train ID","value":"124-04"},{"id":16,"name":"Locomotive ID","value":"4063"},{"id":130,"name":"Impact","value":""},{"id":150,"name":"Time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4063 --day 2017-07-04</v>
      </c>
      <c r="AN3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695</v>
      </c>
      <c r="B37" s="7">
        <v>4044</v>
      </c>
      <c r="C37" s="21" t="s">
        <v>202</v>
      </c>
      <c r="D37" s="21" t="s">
        <v>454</v>
      </c>
      <c r="E37" s="13">
        <v>42920.280486111114</v>
      </c>
      <c r="F37" s="13">
        <v>42920.281747685185</v>
      </c>
      <c r="G37" s="7">
        <v>1</v>
      </c>
      <c r="H37" s="21" t="s">
        <v>874</v>
      </c>
      <c r="I37" s="13">
        <v>42920.308287037034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STARKS ANGELINA</v>
      </c>
      <c r="M37" s="6">
        <f t="shared" si="1"/>
        <v>2.6539351849351078E-2</v>
      </c>
      <c r="N37" s="7">
        <f t="shared" si="2"/>
        <v>38.216666663065553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-04T05:43:54-0600',mode:absolute,to:'2017-07-04T08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4.5499999999999999E-2</v>
      </c>
      <c r="Z37" s="197">
        <f t="shared" si="8"/>
        <v>23.330400000000001</v>
      </c>
      <c r="AA37" s="197">
        <f t="shared" si="9"/>
        <v>23.2849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37" s="74" t="str">
        <f t="shared" si="12"/>
        <v>"C:\Program Files (x86)\AstroGrep\AstroGrep.exe" /e /r /s /spath="%USERPROFILE%\AppData\Local\Temp\OnboardLogs" /stypes="app*4044*20170704*"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125-04 --locoid 4044 --swversion DE.1.0.9.0 --startMP 204:455 --initTime 2017-07-04T06:43:54 --startdatetime 2017-07-04T06:45:43 --delay 1 --endMP 204:233304 --enddatetime 2017-07-04T07:23:56 --enforcementcount 0 &gt;&gt;C:\Users\stu\Documents\GitHub\eaglep3-reporting\EC\2017-07-04-refined-times.txt</v>
      </c>
      <c r="AI3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{"issue":{"subject":"","project_id":79,"tracker_id":40,"status_id":1,"priority_id":2,"assigned_to_id":23,"start_date":"2017-07-04","description":"","custom_fields":[{"id":1,"name":"Subdivision","value":"EC"},{"id":4,"name":"Milepost","value":"23.3304"},{"id":17,"name":"Train ID","value":"125-04"},{"id":16,"name":"Locomotive ID","value":"4044"},{"id":130,"name":"Impact","value":""},{"id":150,"name":"Time of Event (Mountain Time)","value":"07:23:56"},{"id":151,"name":"Denver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4044 --day 2017-07-04</v>
      </c>
      <c r="AN3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613</v>
      </c>
      <c r="B38" s="7">
        <v>4043</v>
      </c>
      <c r="C38" s="21" t="s">
        <v>202</v>
      </c>
      <c r="D38" s="21" t="s">
        <v>495</v>
      </c>
      <c r="E38" s="13">
        <v>42920.320347222223</v>
      </c>
      <c r="F38" s="13">
        <v>42920.321469907409</v>
      </c>
      <c r="G38" s="7">
        <v>1</v>
      </c>
      <c r="H38" s="21" t="s">
        <v>359</v>
      </c>
      <c r="I38" s="13">
        <v>42920.352812500001</v>
      </c>
      <c r="J38" s="7">
        <v>0</v>
      </c>
      <c r="K38" s="89" t="str">
        <f t="shared" si="0"/>
        <v>4043/4044</v>
      </c>
      <c r="L38" s="21" t="str">
        <f>VLOOKUP(A38,'Trips&amp;Operators'!$C$1:$G$99999,5,FALSE)</f>
        <v>STARKS ANGELINA</v>
      </c>
      <c r="M38" s="6">
        <f t="shared" si="1"/>
        <v>3.1342592592409346E-2</v>
      </c>
      <c r="N38" s="7">
        <f t="shared" si="2"/>
        <v>45.133333333069459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-04T06:41:18-0600',mode:absolute,to:'2017-07-04T09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23.2989</v>
      </c>
      <c r="Z38" s="197">
        <f t="shared" si="8"/>
        <v>1.47E-2</v>
      </c>
      <c r="AA38" s="197">
        <f t="shared" si="9"/>
        <v>23.284199999999998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38" s="74" t="str">
        <f t="shared" si="12"/>
        <v>"C:\Program Files (x86)\AstroGrep\AstroGrep.exe" /e /r /s /spath="%USERPROFILE%\AppData\Local\Temp\OnboardLogs" /stypes="app*4043*20170704*"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126-04 --locoid 4043 --swversion DE.1.0.9.0 --startMP 204:232989 --initTime 2017-07-04T07:41:18 --startdatetime 2017-07-04T07:42:55 --delay 1 --endMP 204:147 --enddatetime 2017-07-04T08:28:03 --enforcementcount 0 &gt;&gt;C:\Users\stu\Documents\GitHub\eaglep3-reporting\EC\2017-07-04-refined-times.txt</v>
      </c>
      <c r="AI3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{"issue":{"subject":"","project_id":79,"tracker_id":40,"status_id":1,"priority_id":2,"assigned_to_id":23,"start_date":"2017-07-04","description":"","custom_fields":[{"id":1,"name":"Subdivision","value":"EC"},{"id":4,"name":"Milepost","value":"0.0147"},{"id":17,"name":"Train ID","value":"126-04"},{"id":16,"name":"Locomotive ID","value":"4043"},{"id":130,"name":"Impact","value":""},{"id":150,"name":"Time of Event (Mountain Time)","value":"08:28:03"},{"id":151,"name":"Denver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4043 --day 2017-07-04</v>
      </c>
      <c r="AN3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699</v>
      </c>
      <c r="B39" s="7">
        <v>4008</v>
      </c>
      <c r="C39" s="21" t="s">
        <v>202</v>
      </c>
      <c r="D39" s="21" t="s">
        <v>354</v>
      </c>
      <c r="E39" s="13">
        <v>42920.290937500002</v>
      </c>
      <c r="F39" s="13">
        <v>42920.292395833334</v>
      </c>
      <c r="G39" s="7">
        <v>1</v>
      </c>
      <c r="H39" s="21" t="s">
        <v>875</v>
      </c>
      <c r="I39" s="13">
        <v>42920.318032407406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LOZA FIDEL</v>
      </c>
      <c r="M39" s="6">
        <f t="shared" si="1"/>
        <v>2.5636574071540963E-2</v>
      </c>
      <c r="N39" s="7">
        <f t="shared" si="2"/>
        <v>36.916666663018987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-04T05:58:57-0600',mode:absolute,to:'2017-07-04T08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4.53E-2</v>
      </c>
      <c r="Z39" s="197">
        <f t="shared" si="8"/>
        <v>23.334299999999999</v>
      </c>
      <c r="AA39" s="197">
        <f t="shared" si="9"/>
        <v>23.288999999999998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39" s="74" t="str">
        <f t="shared" si="12"/>
        <v>"C:\Program Files (x86)\AstroGrep\AstroGrep.exe" /e /r /s /spath="%USERPROFILE%\AppData\Local\Temp\OnboardLogs" /stypes="app*4008*20170704*"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127-04 --locoid 4008 --swversion DE.1.0.9.0 --startMP 204:453 --initTime 2017-07-04T06:58:57 --startdatetime 2017-07-04T07:01:03 --delay 1 --endMP 204:233343 --enddatetime 2017-07-04T07:37:58 --enforcementcount 0 &gt;&gt;C:\Users\stu\Documents\GitHub\eaglep3-reporting\EC\2017-07-04-refined-times.txt</v>
      </c>
      <c r="AI3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{"issue":{"subject":"","project_id":79,"tracker_id":40,"status_id":1,"priority_id":2,"assigned_to_id":23,"start_date":"2017-07-04","description":"","custom_fields":[{"id":1,"name":"Subdivision","value":"EC"},{"id":4,"name":"Milepost","value":"23.3343"},{"id":17,"name":"Train ID","value":"127-04"},{"id":16,"name":"Locomotive ID","value":"4008"},{"id":130,"name":"Impact","value":""},{"id":150,"name":"Time of Event (Mountain Time)","value":"07:37:58"},{"id":151,"name":"Denver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4008 --day 2017-07-04</v>
      </c>
      <c r="AN3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709</v>
      </c>
      <c r="B40" s="7">
        <v>4007</v>
      </c>
      <c r="C40" s="21" t="s">
        <v>202</v>
      </c>
      <c r="D40" s="21" t="s">
        <v>546</v>
      </c>
      <c r="E40" s="13">
        <v>42920.329050925924</v>
      </c>
      <c r="F40" s="13">
        <v>42920.331446759257</v>
      </c>
      <c r="G40" s="7">
        <v>1</v>
      </c>
      <c r="H40" s="21" t="s">
        <v>358</v>
      </c>
      <c r="I40" s="13">
        <v>42920.359212962961</v>
      </c>
      <c r="J40" s="7">
        <v>0</v>
      </c>
      <c r="K40" s="89" t="str">
        <f t="shared" si="0"/>
        <v>4007/4008</v>
      </c>
      <c r="L40" s="21" t="str">
        <f>VLOOKUP(A40,'Trips&amp;Operators'!$C$1:$G$99999,5,FALSE)</f>
        <v>LOZA FIDEL</v>
      </c>
      <c r="M40" s="6">
        <f t="shared" si="1"/>
        <v>2.7766203704231884E-2</v>
      </c>
      <c r="N40" s="7">
        <f t="shared" si="2"/>
        <v>39.983333334093913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-04T06:53:50-0600',mode:absolute,to:'2017-07-04T09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23.298999999999999</v>
      </c>
      <c r="Z40" s="197">
        <f t="shared" si="8"/>
        <v>1.41E-2</v>
      </c>
      <c r="AA40" s="197">
        <f t="shared" si="9"/>
        <v>23.2849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40" s="74" t="str">
        <f t="shared" si="12"/>
        <v>"C:\Program Files (x86)\AstroGrep\AstroGrep.exe" /e /r /s /spath="%USERPROFILE%\AppData\Local\Temp\OnboardLogs" /stypes="app*4007*20170704*"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128-04 --locoid 4007 --swversion DE.1.0.9.0 --startMP 204:232990 --initTime 2017-07-04T07:53:50 --startdatetime 2017-07-04T07:57:17 --delay 1 --endMP 204:141 --enddatetime 2017-07-04T08:37:16 --enforcementcount 0 &gt;&gt;C:\Users\stu\Documents\GitHub\eaglep3-reporting\EC\2017-07-04-refined-times.txt</v>
      </c>
      <c r="AI4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{"issue":{"subject":"","project_id":79,"tracker_id":40,"status_id":1,"priority_id":2,"assigned_to_id":23,"start_date":"2017-07-04","description":"","custom_fields":[{"id":1,"name":"Subdivision","value":"EC"},{"id":4,"name":"Milepost","value":"0.0141"},{"id":17,"name":"Train ID","value":"128-04"},{"id":16,"name":"Locomotive ID","value":"4007"},{"id":130,"name":"Impact","value":""},{"id":150,"name":"Time of Event (Mountain Time)","value":"08:37:16"},{"id":151,"name":"Denver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4007 --day 2017-07-04</v>
      </c>
      <c r="AN4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611</v>
      </c>
      <c r="B41" s="7">
        <v>4046</v>
      </c>
      <c r="C41" s="21" t="s">
        <v>202</v>
      </c>
      <c r="D41" s="21" t="s">
        <v>343</v>
      </c>
      <c r="E41" s="13">
        <v>42920.299826388888</v>
      </c>
      <c r="F41" s="13">
        <v>42920.302870370368</v>
      </c>
      <c r="G41" s="7">
        <v>1</v>
      </c>
      <c r="H41" s="21" t="s">
        <v>876</v>
      </c>
      <c r="I41" s="13">
        <v>42920.330046296294</v>
      </c>
      <c r="J41" s="7">
        <v>0</v>
      </c>
      <c r="K41" s="89" t="str">
        <f t="shared" si="0"/>
        <v>4045/4046</v>
      </c>
      <c r="L41" s="21" t="str">
        <f>VLOOKUP(A41,'Trips&amp;Operators'!$C$1:$G$99999,5,FALSE)</f>
        <v>CUSHING HARRY</v>
      </c>
      <c r="M41" s="6">
        <f t="shared" si="1"/>
        <v>2.7175925926712807E-2</v>
      </c>
      <c r="N41" s="7">
        <f t="shared" si="2"/>
        <v>39.133333334466442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-04T06:11:45-0600',mode:absolute,to:'2017-07-04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4.4900000000000002E-2</v>
      </c>
      <c r="Z41" s="197">
        <f t="shared" si="8"/>
        <v>23.331700000000001</v>
      </c>
      <c r="AA41" s="197">
        <f t="shared" si="9"/>
        <v>23.286800000000003</v>
      </c>
      <c r="AB41" s="54" t="str">
        <f>VLOOKUP(A41,Enforcements!$C$7:$K$13,8,0)</f>
        <v>Bulletin (2)</v>
      </c>
      <c r="AC41" s="51" t="str">
        <f>VLOOKUP(A41,Enforcements!$C$7:$E$13,3,0)</f>
        <v>GRADE CROSSING</v>
      </c>
      <c r="AD41" s="206">
        <f t="shared" si="10"/>
        <v>129</v>
      </c>
      <c r="AE41" s="77" t="str">
        <f t="shared" si="11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41" s="74" t="str">
        <f t="shared" si="12"/>
        <v>"C:\Program Files (x86)\AstroGrep\AstroGrep.exe" /e /r /s /spath="%USERPROFILE%\AppData\Local\Temp\OnboardLogs" /stypes="app*4046*20170704*"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129-04 --locoid 4046 --swversion DE.1.0.9.0 --startMP 204:449 --initTime 2017-07-04T07:11:45 --startdatetime 2017-07-04T07:16:08 --delay 1 --endMP 204:233317 --enddatetime 2017-07-04T07:55:16 --enforcementcount 0 &gt;&gt;C:\Users\stu\Documents\GitHub\eaglep3-reporting\EC\2017-07-04-refined-times.txt</v>
      </c>
      <c r="AI4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{"issue":{"subject":"","project_id":79,"tracker_id":40,"status_id":1,"priority_id":2,"assigned_to_id":23,"start_date":"2017-07-04","description":"","custom_fields":[{"id":1,"name":"Subdivision","value":"EC"},{"id":4,"name":"Milepost","value":"23.3317"},{"id":17,"name":"Train ID","value":"129-04"},{"id":16,"name":"Locomotive ID","value":"4046"},{"id":130,"name":"Impact","value":""},{"id":150,"name":"Time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4046 --day 2017-07-04</v>
      </c>
      <c r="AN4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616</v>
      </c>
      <c r="B42" s="7">
        <v>4045</v>
      </c>
      <c r="C42" s="21" t="s">
        <v>202</v>
      </c>
      <c r="D42" s="21" t="s">
        <v>543</v>
      </c>
      <c r="E42" s="13">
        <v>42920.337951388887</v>
      </c>
      <c r="F42" s="13">
        <v>42920.341967592591</v>
      </c>
      <c r="G42" s="7">
        <v>1</v>
      </c>
      <c r="H42" s="21" t="s">
        <v>348</v>
      </c>
      <c r="I42" s="13">
        <v>42920.371064814812</v>
      </c>
      <c r="J42" s="7">
        <v>0</v>
      </c>
      <c r="K42" s="89" t="str">
        <f t="shared" si="0"/>
        <v>4045/4046</v>
      </c>
      <c r="L42" s="21" t="str">
        <f>VLOOKUP(A42,'Trips&amp;Operators'!$C$1:$G$99999,5,FALSE)</f>
        <v>CUSHING HARRY</v>
      </c>
      <c r="M42" s="6">
        <f t="shared" si="1"/>
        <v>2.9097222221025731E-2</v>
      </c>
      <c r="N42" s="7">
        <f t="shared" si="2"/>
        <v>41.899999998277053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-04T07:06:39-0600',mode:absolute,to:'2017-07-04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23.299399999999999</v>
      </c>
      <c r="Z42" s="197">
        <f t="shared" si="8"/>
        <v>1.4999999999999999E-2</v>
      </c>
      <c r="AA42" s="197">
        <f t="shared" si="9"/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42" s="74" t="str">
        <f t="shared" si="12"/>
        <v>"C:\Program Files (x86)\AstroGrep\AstroGrep.exe" /e /r /s /spath="%USERPROFILE%\AppData\Local\Temp\OnboardLogs" /stypes="app*4045*20170704*"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130-04 --locoid 4045 --swversion DE.1.0.9.0 --startMP 204:232994 --initTime 2017-07-04T08:06:39 --startdatetime 2017-07-04T08:12:26 --delay 1 --endMP 204:150 --enddatetime 2017-07-04T08:54:20 --enforcementcount 0 &gt;&gt;C:\Users\stu\Documents\GitHub\eaglep3-reporting\EC\2017-07-04-refined-times.txt</v>
      </c>
      <c r="AI4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ID","value":"130-04"},{"id":16,"name":"Locomotive ID","value":"4045"},{"id":130,"name":"Impact","value":""},{"id":150,"name":"Time of Event (Mountain Time)","value":"08:54:20"},{"id":151,"name":"Denver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4045 --day 2017-07-04</v>
      </c>
      <c r="AN4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705</v>
      </c>
      <c r="B43" s="7">
        <v>4012</v>
      </c>
      <c r="C43" s="21" t="s">
        <v>202</v>
      </c>
      <c r="D43" s="21" t="s">
        <v>471</v>
      </c>
      <c r="E43" s="13">
        <v>42920.309490740743</v>
      </c>
      <c r="F43" s="13">
        <v>42920.313032407408</v>
      </c>
      <c r="G43" s="7">
        <v>1</v>
      </c>
      <c r="H43" s="21" t="s">
        <v>877</v>
      </c>
      <c r="I43" s="13">
        <v>42920.339201388888</v>
      </c>
      <c r="J43" s="7">
        <v>0</v>
      </c>
      <c r="K43" s="89" t="str">
        <f t="shared" si="0"/>
        <v>4011/4012</v>
      </c>
      <c r="L43" s="21" t="str">
        <f>VLOOKUP(A43,'Trips&amp;Operators'!$C$1:$G$99999,5,FALSE)</f>
        <v>DAVIDSON DAVID</v>
      </c>
      <c r="M43" s="6">
        <f t="shared" si="1"/>
        <v>2.6168981479713693E-2</v>
      </c>
      <c r="N43" s="7">
        <f t="shared" si="2"/>
        <v>37.683333330787718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-04T06:25:40-0600',mode:absolute,to:'2017-07-04T09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4.7300000000000002E-2</v>
      </c>
      <c r="Z43" s="197">
        <f t="shared" si="8"/>
        <v>23.3291</v>
      </c>
      <c r="AA43" s="197">
        <f t="shared" si="9"/>
        <v>23.2818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43" s="74" t="str">
        <f t="shared" si="12"/>
        <v>"C:\Program Files (x86)\AstroGrep\AstroGrep.exe" /e /r /s /spath="%USERPROFILE%\AppData\Local\Temp\OnboardLogs" /stypes="app*4012*20170704*"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131-04 --locoid 4012 --swversion DE.1.0.9.0 --startMP 204:473 --initTime 2017-07-04T07:25:40 --startdatetime 2017-07-04T07:30:46 --delay 1 --endMP 204:233291 --enddatetime 2017-07-04T08:08:27 --enforcementcount 0 &gt;&gt;C:\Users\stu\Documents\GitHub\eaglep3-reporting\EC\2017-07-04-refined-times.txt</v>
      </c>
      <c r="AI4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{"issue":{"subject":"","project_id":79,"tracker_id":40,"status_id":1,"priority_id":2,"assigned_to_id":23,"start_date":"2017-07-04","description":"","custom_fields":[{"id":1,"name":"Subdivision","value":"EC"},{"id":4,"name":"Milepost","value":"23.3291"},{"id":17,"name":"Train ID","value":"131-04"},{"id":16,"name":"Locomotive ID","value":"4012"},{"id":130,"name":"Impact","value":""},{"id":150,"name":"Time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4012 --day 2017-07-04</v>
      </c>
      <c r="AN4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712</v>
      </c>
      <c r="B44" s="7">
        <v>4011</v>
      </c>
      <c r="C44" s="21" t="s">
        <v>202</v>
      </c>
      <c r="D44" s="21" t="s">
        <v>579</v>
      </c>
      <c r="E44" s="13">
        <v>42920.340752314813</v>
      </c>
      <c r="F44" s="13">
        <v>42920.352280092593</v>
      </c>
      <c r="G44" s="7">
        <v>1</v>
      </c>
      <c r="H44" s="21" t="s">
        <v>394</v>
      </c>
      <c r="I44" s="13">
        <v>42920.381064814814</v>
      </c>
      <c r="J44" s="7">
        <v>0</v>
      </c>
      <c r="K44" s="89" t="str">
        <f t="shared" si="0"/>
        <v>4011/4012</v>
      </c>
      <c r="L44" s="21" t="str">
        <f>VLOOKUP(A44,'Trips&amp;Operators'!$C$1:$G$99999,5,FALSE)</f>
        <v>DAVIDSON DAVID</v>
      </c>
      <c r="M44" s="6">
        <f t="shared" si="1"/>
        <v>2.8784722220734693E-2</v>
      </c>
      <c r="N44" s="7">
        <f t="shared" si="2"/>
        <v>41.449999997857958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-04T07:10:41-0600',mode:absolute,to:'2017-07-04T10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23.297499999999999</v>
      </c>
      <c r="Z44" s="197">
        <f t="shared" si="8"/>
        <v>1.54E-2</v>
      </c>
      <c r="AA44" s="197">
        <f t="shared" si="9"/>
        <v>23.2821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44" s="74" t="str">
        <f t="shared" si="12"/>
        <v>"C:\Program Files (x86)\AstroGrep\AstroGrep.exe" /e /r /s /spath="%USERPROFILE%\AppData\Local\Temp\OnboardLogs" /stypes="app*4011*20170704*"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132-04 --locoid 4011 --swversion DE.1.0.9.0 --startMP 204:232975 --initTime 2017-07-04T08:10:41 --startdatetime 2017-07-04T08:27:17 --delay 1 --endMP 204:154 --enddatetime 2017-07-04T09:08:44 --enforcementcount 0 &gt;&gt;C:\Users\stu\Documents\GitHub\eaglep3-reporting\EC\2017-07-04-refined-times.txt</v>
      </c>
      <c r="AI44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{"issue":{"subject":"","project_id":79,"tracker_id":40,"status_id":1,"priority_id":2,"assigned_to_id":23,"start_date":"2017-07-04","description":"","custom_fields":[{"id":1,"name":"Subdivision","value":"EC"},{"id":4,"name":"Milepost","value":"0.0154"},{"id":17,"name":"Train ID","value":"132-04"},{"id":16,"name":"Locomotive ID","value":"4011"},{"id":130,"name":"Impact","value":""},{"id":150,"name":"Time of Event (Mountain Time)","value":"09:08:44"},{"id":151,"name":"Denver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4011 --day 2017-07-04</v>
      </c>
      <c r="AN44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707</v>
      </c>
      <c r="B45" s="7">
        <v>4026</v>
      </c>
      <c r="C45" s="21" t="s">
        <v>202</v>
      </c>
      <c r="D45" s="21" t="s">
        <v>347</v>
      </c>
      <c r="E45" s="13">
        <v>42920.320023148146</v>
      </c>
      <c r="F45" s="13">
        <v>42920.323611111111</v>
      </c>
      <c r="G45" s="7">
        <v>1</v>
      </c>
      <c r="H45" s="21" t="s">
        <v>532</v>
      </c>
      <c r="I45" s="13">
        <v>42920.349305555559</v>
      </c>
      <c r="J45" s="7">
        <v>0</v>
      </c>
      <c r="K45" s="89" t="str">
        <f t="shared" si="0"/>
        <v>4025/4026</v>
      </c>
      <c r="L45" s="21" t="str">
        <f>VLOOKUP(A45,'Trips&amp;Operators'!$C$1:$G$99999,5,FALSE)</f>
        <v>MAELZER KURT</v>
      </c>
      <c r="M45" s="6">
        <f t="shared" si="1"/>
        <v>2.5694444448163267E-2</v>
      </c>
      <c r="N45" s="7">
        <f t="shared" ref="N45:N73" si="22">24*60*SUM($M45:$M45)</f>
        <v>37.000000005355105</v>
      </c>
      <c r="O45" s="7"/>
      <c r="P45" s="7"/>
      <c r="Q45" s="22"/>
      <c r="R45" s="170"/>
      <c r="S45" s="213">
        <f t="shared" ref="S45:S74" si="23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-04T06:40:50-0600',mode:absolute,to:'2017-07-04T09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97" t="str">
        <f>IF(AA45&lt;VLOOKUP(AG45,Variables!$AC$3:$AD$8,2,FALSE),"Y","N")</f>
        <v>N</v>
      </c>
      <c r="X45" s="197">
        <f t="shared" ref="X45:X65" si="24">VALUE(LEFT(AD45,4))-VALUE(LEFT(AD44,4))</f>
        <v>1</v>
      </c>
      <c r="Y45" s="197">
        <f t="shared" si="7"/>
        <v>4.4600000000000001E-2</v>
      </c>
      <c r="Z45" s="197">
        <f t="shared" si="8"/>
        <v>23.331399999999999</v>
      </c>
      <c r="AA45" s="197">
        <f t="shared" si="9"/>
        <v>23.286799999999999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45" s="74" t="str">
        <f t="shared" si="12"/>
        <v>"C:\Program Files (x86)\AstroGrep\AstroGrep.exe" /e /r /s /spath="%USERPROFILE%\AppData\Local\Temp\OnboardLogs" /stypes="app*4026*20170704*"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133-04 --locoid 4026 --swversion DE.1.0.9.0 --startMP 204:446 --initTime 2017-07-04T07:40:50 --startdatetime 2017-07-04T07:46:00 --delay 1 --endMP 204:233314 --enddatetime 2017-07-04T08:23:00 --enforcementcount 0 &gt;&gt;C:\Users\stu\Documents\GitHub\eaglep3-reporting\EC\2017-07-04-refined-times.txt</v>
      </c>
      <c r="AI4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ID","value":"133-04"},{"id":16,"name":"Locomotive ID","value":"4026"},{"id":130,"name":"Impact","value":""},{"id":150,"name":"Time of Event (Mountain Time)","value":"08:23:00"},{"id":151,"name":"Denver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4026 --day 2017-07-04</v>
      </c>
      <c r="AN4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714</v>
      </c>
      <c r="B46" s="7">
        <v>4025</v>
      </c>
      <c r="C46" s="21" t="s">
        <v>202</v>
      </c>
      <c r="D46" s="21" t="s">
        <v>541</v>
      </c>
      <c r="E46" s="13">
        <v>42920.355486111112</v>
      </c>
      <c r="F46" s="13">
        <v>42920.362766203703</v>
      </c>
      <c r="G46" s="7">
        <v>1</v>
      </c>
      <c r="H46" s="21" t="s">
        <v>194</v>
      </c>
      <c r="I46" s="13">
        <v>42920.390844907408</v>
      </c>
      <c r="J46" s="7">
        <v>0</v>
      </c>
      <c r="K46" s="89" t="str">
        <f t="shared" si="0"/>
        <v>4025/4026</v>
      </c>
      <c r="L46" s="21" t="str">
        <f>VLOOKUP(A46,'Trips&amp;Operators'!$C$1:$G$99999,5,FALSE)</f>
        <v>MAELZER KURT</v>
      </c>
      <c r="M46" s="6">
        <f t="shared" si="1"/>
        <v>2.8078703704522923E-2</v>
      </c>
      <c r="N46" s="7">
        <f t="shared" si="22"/>
        <v>40.433333334513009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-04T07:31:54-0600',mode:absolute,to:'2017-07-04T10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23.299299999999999</v>
      </c>
      <c r="Z46" s="197">
        <f t="shared" si="8"/>
        <v>1.5800000000000002E-2</v>
      </c>
      <c r="AA46" s="197">
        <f t="shared" si="9"/>
        <v>23.2835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46" s="74" t="str">
        <f t="shared" si="12"/>
        <v>"C:\Program Files (x86)\AstroGrep\AstroGrep.exe" /e /r /s /spath="%USERPROFILE%\AppData\Local\Temp\OnboardLogs" /stypes="app*4025*20170704*"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134-04 --locoid 4025 --swversion DE.1.0.9.0 --startMP 204:232993 --initTime 2017-07-04T08:31:54 --startdatetime 2017-07-04T08:42:23 --delay 1 --endMP 204:158 --enddatetime 2017-07-04T09:22:49 --enforcementcount 0 &gt;&gt;C:\Users\stu\Documents\GitHub\eaglep3-reporting\EC\2017-07-04-refined-times.txt</v>
      </c>
      <c r="AI4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{"issue":{"subject":"","project_id":79,"tracker_id":40,"status_id":1,"priority_id":2,"assigned_to_id":23,"start_date":"2017-07-04","description":"","custom_fields":[{"id":1,"name":"Subdivision","value":"EC"},{"id":4,"name":"Milepost","value":"0.0158"},{"id":17,"name":"Train ID","value":"134-04"},{"id":16,"name":"Locomotive ID","value":"4025"},{"id":130,"name":"Impact","value":""},{"id":150,"name":"Time of Event (Mountain Time)","value":"09:22:49"},{"id":151,"name":"Denver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4025 --day 2017-07-04</v>
      </c>
      <c r="AN4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710</v>
      </c>
      <c r="B47" s="7">
        <v>4050</v>
      </c>
      <c r="C47" s="21" t="s">
        <v>202</v>
      </c>
      <c r="D47" s="21" t="s">
        <v>478</v>
      </c>
      <c r="E47" s="13">
        <v>42920.330451388887</v>
      </c>
      <c r="F47" s="13">
        <v>42920.333912037036</v>
      </c>
      <c r="G47" s="7">
        <v>1</v>
      </c>
      <c r="H47" s="21" t="s">
        <v>867</v>
      </c>
      <c r="I47" s="13">
        <v>42920.359606481485</v>
      </c>
      <c r="J47" s="7">
        <v>0</v>
      </c>
      <c r="K47" s="89" t="str">
        <f t="shared" si="0"/>
        <v>4049/4050</v>
      </c>
      <c r="L47" s="21" t="str">
        <f>VLOOKUP(A47,'Trips&amp;Operators'!$C$1:$G$99999,5,FALSE)</f>
        <v>HUFFSMITH MONTY</v>
      </c>
      <c r="M47" s="6">
        <f t="shared" si="1"/>
        <v>2.5694444448163267E-2</v>
      </c>
      <c r="N47" s="7">
        <f t="shared" si="22"/>
        <v>37.000000005355105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-04T06:55:51-0600',mode:absolute,to:'2017-07-04T09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4.3999999999999997E-2</v>
      </c>
      <c r="Z47" s="197">
        <f t="shared" si="8"/>
        <v>23.328900000000001</v>
      </c>
      <c r="AA47" s="197">
        <f t="shared" si="9"/>
        <v>23.2849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47" s="74" t="str">
        <f t="shared" si="12"/>
        <v>"C:\Program Files (x86)\AstroGrep\AstroGrep.exe" /e /r /s /spath="%USERPROFILE%\AppData\Local\Temp\OnboardLogs" /stypes="app*4050*20170704*"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135-04 --locoid 4050 --swversion DE.1.0.9.0 --startMP 204:440 --initTime 2017-07-04T07:55:51 --startdatetime 2017-07-04T08:00:50 --delay 1 --endMP 204:233289 --enddatetime 2017-07-04T08:37:50 --enforcementcount 0 &gt;&gt;C:\Users\stu\Documents\GitHub\eaglep3-reporting\EC\2017-07-04-refined-times.txt</v>
      </c>
      <c r="AI4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{"issue":{"subject":"","project_id":79,"tracker_id":40,"status_id":1,"priority_id":2,"assigned_to_id":23,"start_date":"2017-07-04","description":"","custom_fields":[{"id":1,"name":"Subdivision","value":"EC"},{"id":4,"name":"Milepost","value":"23.3289"},{"id":17,"name":"Train ID","value":"135-04"},{"id":16,"name":"Locomotive ID","value":"4050"},{"id":130,"name":"Impact","value":""},{"id":150,"name":"Time of Event (Mountain Time)","value":"08:37:50"},{"id":151,"name":"Denver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4050 --day 2017-07-04</v>
      </c>
      <c r="AN4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717</v>
      </c>
      <c r="B48" s="7">
        <v>4049</v>
      </c>
      <c r="C48" s="21" t="s">
        <v>202</v>
      </c>
      <c r="D48" s="21" t="s">
        <v>878</v>
      </c>
      <c r="E48" s="13">
        <v>42920.361712962964</v>
      </c>
      <c r="F48" s="13">
        <v>42920.373090277775</v>
      </c>
      <c r="G48" s="7">
        <v>0</v>
      </c>
      <c r="H48" s="21" t="s">
        <v>350</v>
      </c>
      <c r="I48" s="13">
        <v>42920.401018518518</v>
      </c>
      <c r="J48" s="7">
        <v>0</v>
      </c>
      <c r="K48" s="89" t="str">
        <f t="shared" si="0"/>
        <v>4049/4050</v>
      </c>
      <c r="L48" s="21" t="str">
        <f>VLOOKUP(A48,'Trips&amp;Operators'!$C$1:$G$99999,5,FALSE)</f>
        <v>HUFFSMITH MONTY</v>
      </c>
      <c r="M48" s="6">
        <f t="shared" si="1"/>
        <v>2.792824074276723E-2</v>
      </c>
      <c r="N48" s="7">
        <f t="shared" si="22"/>
        <v>40.216666669584811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-04T07:40:52-0600',mode:absolute,to:'2017-07-04T10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23.298400000000001</v>
      </c>
      <c r="Z48" s="197">
        <f t="shared" si="8"/>
        <v>1.43E-2</v>
      </c>
      <c r="AA48" s="197">
        <f t="shared" si="9"/>
        <v>23.284100000000002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48" s="74" t="str">
        <f t="shared" si="12"/>
        <v>"C:\Program Files (x86)\AstroGrep\AstroGrep.exe" /e /r /s /spath="%USERPROFILE%\AppData\Local\Temp\OnboardLogs" /stypes="app*4049*20170704*"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136-04 --locoid 4049 --swversion DE.1.0.9.0 --startMP 204:232984 --initTime 2017-07-04T08:40:52 --startdatetime 2017-07-04T08:57:15 --delay 0 --endMP 204:143 --enddatetime 2017-07-04T09:37:28 --enforcementcount 0 &gt;&gt;C:\Users\stu\Documents\GitHub\eaglep3-reporting\EC\2017-07-04-refined-times.txt</v>
      </c>
      <c r="AI4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ID","value":"136-04"},{"id":16,"name":"Locomotive ID","value":"4049"},{"id":130,"name":"Impact","value":""},{"id":150,"name":"Time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4049 --day 2017-07-04</v>
      </c>
      <c r="AN4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614</v>
      </c>
      <c r="B49" s="7">
        <v>4064</v>
      </c>
      <c r="C49" s="21" t="s">
        <v>202</v>
      </c>
      <c r="D49" s="21" t="s">
        <v>199</v>
      </c>
      <c r="E49" s="13">
        <v>42920.342164351852</v>
      </c>
      <c r="F49" s="13">
        <v>42920.344247685185</v>
      </c>
      <c r="G49" s="7">
        <v>2</v>
      </c>
      <c r="H49" s="21" t="s">
        <v>879</v>
      </c>
      <c r="I49" s="13">
        <v>42920.370567129627</v>
      </c>
      <c r="J49" s="7">
        <v>0</v>
      </c>
      <c r="K49" s="89" t="str">
        <f t="shared" si="0"/>
        <v>4063/4064</v>
      </c>
      <c r="L49" s="21" t="str">
        <f>VLOOKUP(A49,'Trips&amp;Operators'!$C$1:$G$99999,5,FALSE)</f>
        <v>MACDONALD THOMAS</v>
      </c>
      <c r="M49" s="6">
        <f t="shared" si="1"/>
        <v>2.6319444441469386E-2</v>
      </c>
      <c r="N49" s="7">
        <f t="shared" si="22"/>
        <v>37.899999995715916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-04T07:12:43-0600',mode:absolute,to:'2017-07-04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4.5999999999999999E-2</v>
      </c>
      <c r="Z49" s="197">
        <f t="shared" si="8"/>
        <v>23.329799999999999</v>
      </c>
      <c r="AA49" s="197">
        <f t="shared" si="9"/>
        <v>23.283799999999999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6">
        <f t="shared" si="10"/>
        <v>137</v>
      </c>
      <c r="AE49" s="77" t="str">
        <f t="shared" si="11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49" s="74" t="str">
        <f t="shared" si="12"/>
        <v>"C:\Program Files (x86)\AstroGrep\AstroGrep.exe" /e /r /s /spath="%USERPROFILE%\AppData\Local\Temp\OnboardLogs" /stypes="app*4064*20170704*"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137-04 --locoid 4064 --swversion DE.1.0.9.0 --startMP 204:460 --initTime 2017-07-04T08:12:43 --startdatetime 2017-07-04T08:15:43 --delay 2 --endMP 204:233298 --enddatetime 2017-07-04T08:53:37 --enforcementcount 0 &gt;&gt;C:\Users\stu\Documents\GitHub\eaglep3-reporting\EC\2017-07-04-refined-times.txt</v>
      </c>
      <c r="AI4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{"issue":{"subject":"","project_id":79,"tracker_id":40,"status_id":1,"priority_id":2,"assigned_to_id":23,"start_date":"2017-07-04","description":"","custom_fields":[{"id":1,"name":"Subdivision","value":"EC"},{"id":4,"name":"Milepost","value":"23.3298"},{"id":17,"name":"Train ID","value":"137-04"},{"id":16,"name":"Locomotive ID","value":"4064"},{"id":130,"name":"Impact","value":""},{"id":150,"name":"Time of Event (Mountain Time)","value":"08:53:37"},{"id":151,"name":"Denver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4064 --day 2017-07-04</v>
      </c>
      <c r="AN4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719</v>
      </c>
      <c r="B50" s="7">
        <v>4063</v>
      </c>
      <c r="C50" s="21" t="s">
        <v>202</v>
      </c>
      <c r="D50" s="21" t="s">
        <v>585</v>
      </c>
      <c r="E50" s="13">
        <v>42920.381932870368</v>
      </c>
      <c r="F50" s="13">
        <v>42920.383784722224</v>
      </c>
      <c r="G50" s="7">
        <v>1</v>
      </c>
      <c r="H50" s="21" t="s">
        <v>484</v>
      </c>
      <c r="I50" s="13">
        <v>42920.410266203704</v>
      </c>
      <c r="J50" s="7">
        <v>0</v>
      </c>
      <c r="K50" s="89" t="str">
        <f t="shared" si="0"/>
        <v>4063/4064</v>
      </c>
      <c r="L50" s="21" t="str">
        <f>VLOOKUP(A50,'Trips&amp;Operators'!$C$1:$G$99999,5,FALSE)</f>
        <v>MACDONALD THOMAS</v>
      </c>
      <c r="M50" s="6">
        <f t="shared" si="1"/>
        <v>2.6481481480004732E-2</v>
      </c>
      <c r="N50" s="7">
        <f t="shared" si="22"/>
        <v>38.133333331206813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-04T08:09:59-0600',mode:absolute,to:'2017-07-04T10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23.296199999999999</v>
      </c>
      <c r="Z50" s="197">
        <f t="shared" si="8"/>
        <v>1.6299999999999999E-2</v>
      </c>
      <c r="AA50" s="197">
        <f t="shared" si="9"/>
        <v>23.279899999999998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50" s="74" t="str">
        <f t="shared" si="12"/>
        <v>"C:\Program Files (x86)\AstroGrep\AstroGrep.exe" /e /r /s /spath="%USERPROFILE%\AppData\Local\Temp\OnboardLogs" /stypes="app*4063*20170704*"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138-04 --locoid 4063 --swversion DE.1.0.9.0 --startMP 204:232962 --initTime 2017-07-04T09:09:59 --startdatetime 2017-07-04T09:12:39 --delay 1 --endMP 204:163 --enddatetime 2017-07-04T09:50:47 --enforcementcount 0 &gt;&gt;C:\Users\stu\Documents\GitHub\eaglep3-reporting\EC\2017-07-04-refined-times.txt</v>
      </c>
      <c r="AI5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{"issue":{"subject":"","project_id":79,"tracker_id":40,"status_id":1,"priority_id":2,"assigned_to_id":23,"start_date":"2017-07-04","description":"","custom_fields":[{"id":1,"name":"Subdivision","value":"EC"},{"id":4,"name":"Milepost","value":"0.0163"},{"id":17,"name":"Train ID","value":"138-04"},{"id":16,"name":"Locomotive ID","value":"4063"},{"id":130,"name":"Impact","value":""},{"id":150,"name":"Time of Event (Mountain Time)","value":"09:50:47"},{"id":151,"name":"Denver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4063 --day 2017-07-04</v>
      </c>
      <c r="AN5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706</v>
      </c>
      <c r="B51" s="7">
        <v>4044</v>
      </c>
      <c r="C51" s="21" t="s">
        <v>202</v>
      </c>
      <c r="D51" s="21" t="s">
        <v>454</v>
      </c>
      <c r="E51" s="13">
        <v>42920.354247685187</v>
      </c>
      <c r="F51" s="13">
        <v>42920.355879629627</v>
      </c>
      <c r="G51" s="7">
        <v>1</v>
      </c>
      <c r="H51" s="21" t="s">
        <v>542</v>
      </c>
      <c r="I51" s="13">
        <v>42920.382152777776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STARKS ANGELINA</v>
      </c>
      <c r="M51" s="6">
        <f t="shared" si="1"/>
        <v>2.6273148148902692E-2</v>
      </c>
      <c r="N51" s="7">
        <f t="shared" si="22"/>
        <v>37.833333334419876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-04T07:30:07-0600',mode:absolute,to:'2017-07-04T10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4.5499999999999999E-2</v>
      </c>
      <c r="Z51" s="197">
        <f t="shared" si="8"/>
        <v>23.329499999999999</v>
      </c>
      <c r="AA51" s="197">
        <f t="shared" si="9"/>
        <v>23.283999999999999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51" s="74" t="str">
        <f t="shared" si="12"/>
        <v>"C:\Program Files (x86)\AstroGrep\AstroGrep.exe" /e /r /s /spath="%USERPROFILE%\AppData\Local\Temp\OnboardLogs" /stypes="app*4044*20170704*"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139-04 --locoid 4044 --swversion DE.1.0.9.0 --startMP 204:455 --initTime 2017-07-04T08:30:07 --startdatetime 2017-07-04T08:32:28 --delay 1 --endMP 204:233295 --enddatetime 2017-07-04T09:10:18 --enforcementcount 0 &gt;&gt;C:\Users\stu\Documents\GitHub\eaglep3-reporting\EC\2017-07-04-refined-times.txt</v>
      </c>
      <c r="AI5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{"issue":{"subject":"","project_id":79,"tracker_id":40,"status_id":1,"priority_id":2,"assigned_to_id":23,"start_date":"2017-07-04","description":"","custom_fields":[{"id":1,"name":"Subdivision","value":"EC"},{"id":4,"name":"Milepost","value":"23.3295"},{"id":17,"name":"Train ID","value":"139-04"},{"id":16,"name":"Locomotive ID","value":"4044"},{"id":130,"name":"Impact","value":""},{"id":150,"name":"Time of Event (Mountain Time)","value":"09:10:18"},{"id":151,"name":"Denver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4044 --day 2017-07-04</v>
      </c>
      <c r="AN5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721</v>
      </c>
      <c r="B52" s="7">
        <v>4043</v>
      </c>
      <c r="C52" s="21" t="s">
        <v>202</v>
      </c>
      <c r="D52" s="21" t="s">
        <v>880</v>
      </c>
      <c r="E52" s="13">
        <v>42920.383622685185</v>
      </c>
      <c r="F52" s="13">
        <v>42920.393923611111</v>
      </c>
      <c r="G52" s="7">
        <v>1</v>
      </c>
      <c r="H52" s="21" t="s">
        <v>394</v>
      </c>
      <c r="I52" s="13">
        <v>42920.422708333332</v>
      </c>
      <c r="J52" s="7">
        <v>0</v>
      </c>
      <c r="K52" s="89" t="str">
        <f t="shared" si="0"/>
        <v>4043/4044</v>
      </c>
      <c r="L52" s="21" t="str">
        <f>VLOOKUP(A52,'Trips&amp;Operators'!$C$1:$G$99999,5,FALSE)</f>
        <v>STARKS ANGELINA</v>
      </c>
      <c r="M52" s="6">
        <f t="shared" si="1"/>
        <v>2.8784722220734693E-2</v>
      </c>
      <c r="N52" s="7">
        <f t="shared" si="22"/>
        <v>41.449999997857958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-04T08:12:25-0600',mode:absolute,to:'2017-07-04T11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23.297699999999999</v>
      </c>
      <c r="Z52" s="197">
        <f t="shared" si="8"/>
        <v>1.54E-2</v>
      </c>
      <c r="AA52" s="197">
        <f t="shared" si="9"/>
        <v>23.282299999999999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52" s="74" t="str">
        <f t="shared" si="12"/>
        <v>"C:\Program Files (x86)\AstroGrep\AstroGrep.exe" /e /r /s /spath="%USERPROFILE%\AppData\Local\Temp\OnboardLogs" /stypes="app*4043*20170704*"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140-04 --locoid 4043 --swversion DE.1.0.9.0 --startMP 204:232977 --initTime 2017-07-04T09:12:25 --startdatetime 2017-07-04T09:27:15 --delay 1 --endMP 204:154 --enddatetime 2017-07-04T10:08:42 --enforcementcount 0 &gt;&gt;C:\Users\stu\Documents\GitHub\eaglep3-reporting\EC\2017-07-04-refined-times.txt</v>
      </c>
      <c r="AI5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{"issue":{"subject":"","project_id":79,"tracker_id":40,"status_id":1,"priority_id":2,"assigned_to_id":23,"start_date":"2017-07-04","description":"","custom_fields":[{"id":1,"name":"Subdivision","value":"EC"},{"id":4,"name":"Milepost","value":"0.0154"},{"id":17,"name":"Train ID","value":"140-04"},{"id":16,"name":"Locomotive ID","value":"4043"},{"id":130,"name":"Impact","value":""},{"id":150,"name":"Time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4043 --day 2017-07-04</v>
      </c>
      <c r="AN5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716</v>
      </c>
      <c r="B53" s="7">
        <v>4008</v>
      </c>
      <c r="C53" s="21" t="s">
        <v>202</v>
      </c>
      <c r="D53" s="21" t="s">
        <v>470</v>
      </c>
      <c r="E53" s="13">
        <v>42920.361388888887</v>
      </c>
      <c r="F53" s="13">
        <v>42920.365231481483</v>
      </c>
      <c r="G53" s="7">
        <v>2</v>
      </c>
      <c r="H53" s="21" t="s">
        <v>485</v>
      </c>
      <c r="I53" s="13">
        <v>42920.390590277777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LOZA FIDEL</v>
      </c>
      <c r="M53" s="6">
        <f t="shared" si="1"/>
        <v>2.5358796294312924E-2</v>
      </c>
      <c r="N53" s="7">
        <f t="shared" si="22"/>
        <v>36.516666663810611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-04T07:40:24-0600',mode:absolute,to:'2017-07-04T10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4.58E-2</v>
      </c>
      <c r="Z53" s="197">
        <f t="shared" si="8"/>
        <v>23.332899999999999</v>
      </c>
      <c r="AA53" s="197">
        <f t="shared" si="9"/>
        <v>23.287099999999999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53" s="74" t="str">
        <f t="shared" si="12"/>
        <v>"C:\Program Files (x86)\AstroGrep\AstroGrep.exe" /e /r /s /spath="%USERPROFILE%\AppData\Local\Temp\OnboardLogs" /stypes="app*4008*20170704*"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141-04 --locoid 4008 --swversion DE.1.0.9.0 --startMP 204:458 --initTime 2017-07-04T08:40:24 --startdatetime 2017-07-04T08:45:56 --delay 2 --endMP 204:233329 --enddatetime 2017-07-04T09:22:27 --enforcementcount 0 &gt;&gt;C:\Users\stu\Documents\GitHub\eaglep3-reporting\EC\2017-07-04-refined-times.txt</v>
      </c>
      <c r="AI5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{"issue":{"subject":"","project_id":79,"tracker_id":40,"status_id":1,"priority_id":2,"assigned_to_id":23,"start_date":"2017-07-04","description":"","custom_fields":[{"id":1,"name":"Subdivision","value":"EC"},{"id":4,"name":"Milepost","value":"23.3329"},{"id":17,"name":"Train ID","value":"141-04"},{"id":16,"name":"Locomotive ID","value":"4008"},{"id":130,"name":"Impact","value":""},{"id":150,"name":"Time of Event (Mountain Time)","value":"09:22:27"},{"id":151,"name":"Denver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4008 --day 2017-07-04</v>
      </c>
      <c r="AN5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724</v>
      </c>
      <c r="B54" s="7">
        <v>4007</v>
      </c>
      <c r="C54" s="21" t="s">
        <v>202</v>
      </c>
      <c r="D54" s="21" t="s">
        <v>577</v>
      </c>
      <c r="E54" s="13">
        <v>42920.401180555556</v>
      </c>
      <c r="F54" s="13">
        <v>42920.404456018521</v>
      </c>
      <c r="G54" s="7">
        <v>1</v>
      </c>
      <c r="H54" s="21" t="s">
        <v>350</v>
      </c>
      <c r="I54" s="13">
        <v>42920.432106481479</v>
      </c>
      <c r="J54" s="7">
        <v>0</v>
      </c>
      <c r="K54" s="89" t="str">
        <f t="shared" si="0"/>
        <v>4007/4008</v>
      </c>
      <c r="L54" s="21" t="str">
        <f>VLOOKUP(A54,'Trips&amp;Operators'!$C$1:$G$99999,5,FALSE)</f>
        <v>LOZA FIDEL</v>
      </c>
      <c r="M54" s="6">
        <f t="shared" si="1"/>
        <v>2.7650462958263233E-2</v>
      </c>
      <c r="N54" s="7">
        <f t="shared" si="22"/>
        <v>39.816666659899056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-04T08:37:42-0600',mode:absolute,to:'2017-07-04T11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23.2987</v>
      </c>
      <c r="Z54" s="197">
        <f t="shared" si="8"/>
        <v>1.43E-2</v>
      </c>
      <c r="AA54" s="197">
        <f t="shared" si="9"/>
        <v>23.284400000000002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54" s="74" t="str">
        <f t="shared" si="12"/>
        <v>"C:\Program Files (x86)\AstroGrep\AstroGrep.exe" /e /r /s /spath="%USERPROFILE%\AppData\Local\Temp\OnboardLogs" /stypes="app*4007*20170704*"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142-04 --locoid 4007 --swversion DE.1.0.9.0 --startMP 204:232987 --initTime 2017-07-04T09:37:42 --startdatetime 2017-07-04T09:42:25 --delay 1 --endMP 204:143 --enddatetime 2017-07-04T10:22:14 --enforcementcount 0 &gt;&gt;C:\Users\stu\Documents\GitHub\eaglep3-reporting\EC\2017-07-04-refined-times.txt</v>
      </c>
      <c r="AI54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ID","value":"142-04"},{"id":16,"name":"Locomotive ID","value":"4007"},{"id":130,"name":"Impact","value":""},{"id":150,"name":"Time of Event (Mountain Time)","value":"10:22:14"},{"id":151,"name":"Denver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4007 --day 2017-07-04</v>
      </c>
      <c r="AN54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718</v>
      </c>
      <c r="B55" s="7">
        <v>4046</v>
      </c>
      <c r="C55" s="21" t="s">
        <v>202</v>
      </c>
      <c r="D55" s="21" t="s">
        <v>434</v>
      </c>
      <c r="E55" s="13">
        <v>42920.371493055558</v>
      </c>
      <c r="F55" s="13">
        <v>42920.375497685185</v>
      </c>
      <c r="G55" s="7">
        <v>1</v>
      </c>
      <c r="H55" s="21" t="s">
        <v>547</v>
      </c>
      <c r="I55" s="13">
        <v>42920.402071759258</v>
      </c>
      <c r="J55" s="7">
        <v>0</v>
      </c>
      <c r="K55" s="89" t="str">
        <f t="shared" si="0"/>
        <v>4045/4046</v>
      </c>
      <c r="L55" s="21" t="str">
        <f>VLOOKUP(A55,'Trips&amp;Operators'!$C$1:$G$99999,5,FALSE)</f>
        <v>BONDS REYNALDO</v>
      </c>
      <c r="M55" s="6">
        <f t="shared" si="1"/>
        <v>2.6574074072414078E-2</v>
      </c>
      <c r="N55" s="7">
        <f t="shared" si="22"/>
        <v>38.266666664276272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-04T07:54:57-0600',mode:absolute,to:'2017-07-04T10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4.6699999999999998E-2</v>
      </c>
      <c r="Z55" s="197">
        <f t="shared" si="8"/>
        <v>23.333200000000001</v>
      </c>
      <c r="AA55" s="197">
        <f t="shared" si="9"/>
        <v>23.2865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55" s="74" t="str">
        <f t="shared" si="12"/>
        <v>"C:\Program Files (x86)\AstroGrep\AstroGrep.exe" /e /r /s /spath="%USERPROFILE%\AppData\Local\Temp\OnboardLogs" /stypes="app*4046*20170704*"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143-04 --locoid 4046 --swversion DE.1.0.9.0 --startMP 204:467 --initTime 2017-07-04T08:54:57 --startdatetime 2017-07-04T09:00:43 --delay 1 --endMP 204:233332 --enddatetime 2017-07-04T09:38:59 --enforcementcount 0 &gt;&gt;C:\Users\stu\Documents\GitHub\eaglep3-reporting\EC\2017-07-04-refined-times.txt</v>
      </c>
      <c r="AI5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{"issue":{"subject":"","project_id":79,"tracker_id":40,"status_id":1,"priority_id":2,"assigned_to_id":23,"start_date":"2017-07-04","description":"","custom_fields":[{"id":1,"name":"Subdivision","value":"EC"},{"id":4,"name":"Milepost","value":"23.3332"},{"id":17,"name":"Train ID","value":"143-04"},{"id":16,"name":"Locomotive ID","value":"4046"},{"id":130,"name":"Impact","value":""},{"id":150,"name":"Time of Event (Mountain Time)","value":"09:38:59"},{"id":151,"name":"Denver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4046 --day 2017-07-04</v>
      </c>
      <c r="AN5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726</v>
      </c>
      <c r="B56" s="7">
        <v>4045</v>
      </c>
      <c r="C56" s="21" t="s">
        <v>202</v>
      </c>
      <c r="D56" s="21" t="s">
        <v>579</v>
      </c>
      <c r="E56" s="13">
        <v>42920.413055555553</v>
      </c>
      <c r="F56" s="13">
        <v>42920.415023148147</v>
      </c>
      <c r="G56" s="7">
        <v>1</v>
      </c>
      <c r="H56" s="21" t="s">
        <v>194</v>
      </c>
      <c r="I56" s="13">
        <v>42920.44326388889</v>
      </c>
      <c r="J56" s="7">
        <v>0</v>
      </c>
      <c r="K56" s="89" t="str">
        <f t="shared" si="0"/>
        <v>4045/4046</v>
      </c>
      <c r="L56" s="21" t="str">
        <f>VLOOKUP(A56,'Trips&amp;Operators'!$C$1:$G$99999,5,FALSE)</f>
        <v>BONDS REYNALDO</v>
      </c>
      <c r="M56" s="6">
        <f t="shared" si="1"/>
        <v>2.8240740743058268E-2</v>
      </c>
      <c r="N56" s="7">
        <f t="shared" si="22"/>
        <v>40.666666670003906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-04T08:54:48-0600',mode:absolute,to:'2017-07-04T11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23.297499999999999</v>
      </c>
      <c r="Z56" s="197">
        <f t="shared" si="8"/>
        <v>1.5800000000000002E-2</v>
      </c>
      <c r="AA56" s="197">
        <f t="shared" si="9"/>
        <v>23.281700000000001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56" s="74" t="str">
        <f t="shared" si="12"/>
        <v>"C:\Program Files (x86)\AstroGrep\AstroGrep.exe" /e /r /s /spath="%USERPROFILE%\AppData\Local\Temp\OnboardLogs" /stypes="app*4045*20170704*"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144-04 --locoid 4045 --swversion DE.1.0.9.0 --startMP 204:232975 --initTime 2017-07-04T09:54:48 --startdatetime 2017-07-04T09:57:38 --delay 1 --endMP 204:158 --enddatetime 2017-07-04T10:38:18 --enforcementcount 0 &gt;&gt;C:\Users\stu\Documents\GitHub\eaglep3-reporting\EC\2017-07-04-refined-times.txt</v>
      </c>
      <c r="AI5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{"issue":{"subject":"","project_id":79,"tracker_id":40,"status_id":1,"priority_id":2,"assigned_to_id":23,"start_date":"2017-07-04","description":"","custom_fields":[{"id":1,"name":"Subdivision","value":"EC"},{"id":4,"name":"Milepost","value":"0.0158"},{"id":17,"name":"Train ID","value":"144-04"},{"id":16,"name":"Locomotive ID","value":"4045"},{"id":130,"name":"Impact","value":""},{"id":150,"name":"Time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4045 --day 2017-07-04</v>
      </c>
      <c r="AN5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720</v>
      </c>
      <c r="B57" s="7">
        <v>4012</v>
      </c>
      <c r="C57" s="21" t="s">
        <v>202</v>
      </c>
      <c r="D57" s="21" t="s">
        <v>487</v>
      </c>
      <c r="E57" s="13">
        <v>42920.382060185184</v>
      </c>
      <c r="F57" s="13">
        <v>42920.385960648149</v>
      </c>
      <c r="G57" s="7">
        <v>1</v>
      </c>
      <c r="H57" s="21" t="s">
        <v>504</v>
      </c>
      <c r="I57" s="13">
        <v>42920.411736111113</v>
      </c>
      <c r="J57" s="7">
        <v>0</v>
      </c>
      <c r="K57" s="89" t="str">
        <f t="shared" si="0"/>
        <v>4011/4012</v>
      </c>
      <c r="L57" s="21" t="str">
        <f>VLOOKUP(A57,'Trips&amp;Operators'!$C$1:$G$99999,5,FALSE)</f>
        <v>DAVIDSON DAVID</v>
      </c>
      <c r="M57" s="6">
        <f t="shared" si="1"/>
        <v>2.5775462963792961E-2</v>
      </c>
      <c r="N57" s="7">
        <f t="shared" si="22"/>
        <v>37.116666667861864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-04T08:10:10-0600',mode:absolute,to:'2017-07-04T10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4.7500000000000001E-2</v>
      </c>
      <c r="Z57" s="197">
        <f t="shared" si="8"/>
        <v>23.331</v>
      </c>
      <c r="AA57" s="197">
        <f t="shared" si="9"/>
        <v>23.2835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57" s="74" t="str">
        <f t="shared" si="12"/>
        <v>"C:\Program Files (x86)\AstroGrep\AstroGrep.exe" /e /r /s /spath="%USERPROFILE%\AppData\Local\Temp\OnboardLogs" /stypes="app*4012*20170704*"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145-04 --locoid 4012 --swversion DE.1.0.9.0 --startMP 204:475 --initTime 2017-07-04T09:10:10 --startdatetime 2017-07-04T09:15:47 --delay 1 --endMP 204:233310 --enddatetime 2017-07-04T09:52:54 --enforcementcount 0 &gt;&gt;C:\Users\stu\Documents\GitHub\eaglep3-reporting\EC\2017-07-04-refined-times.txt</v>
      </c>
      <c r="AI5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{"issue":{"subject":"","project_id":79,"tracker_id":40,"status_id":1,"priority_id":2,"assigned_to_id":23,"start_date":"2017-07-04","description":"","custom_fields":[{"id":1,"name":"Subdivision","value":"EC"},{"id":4,"name":"Milepost","value":"23.331"},{"id":17,"name":"Train ID","value":"145-04"},{"id":16,"name":"Locomotive ID","value":"4012"},{"id":130,"name":"Impact","value":""},{"id":150,"name":"Time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4012 --day 2017-07-04</v>
      </c>
      <c r="AN5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727</v>
      </c>
      <c r="B58" s="7">
        <v>4011</v>
      </c>
      <c r="C58" s="21" t="s">
        <v>202</v>
      </c>
      <c r="D58" s="21" t="s">
        <v>602</v>
      </c>
      <c r="E58" s="13">
        <v>42920.413414351853</v>
      </c>
      <c r="F58" s="13">
        <v>42920.425243055557</v>
      </c>
      <c r="G58" s="7">
        <v>1</v>
      </c>
      <c r="H58" s="21" t="s">
        <v>394</v>
      </c>
      <c r="I58" s="13">
        <v>42920.45412037037</v>
      </c>
      <c r="J58" s="7">
        <v>0</v>
      </c>
      <c r="K58" s="89" t="str">
        <f t="shared" si="0"/>
        <v>4011/4012</v>
      </c>
      <c r="L58" s="21" t="str">
        <f>VLOOKUP(A58,'Trips&amp;Operators'!$C$1:$G$99999,5,FALSE)</f>
        <v>DAVIDSON DAVID</v>
      </c>
      <c r="M58" s="6">
        <f t="shared" si="1"/>
        <v>2.8877314813144039E-2</v>
      </c>
      <c r="N58" s="7">
        <f t="shared" si="22"/>
        <v>41.583333330927417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-04T08:55:19-0600',mode:absolute,to:'2017-07-04T11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23.299099999999999</v>
      </c>
      <c r="Z58" s="197">
        <f t="shared" si="8"/>
        <v>1.54E-2</v>
      </c>
      <c r="AA58" s="197">
        <f t="shared" si="9"/>
        <v>23.2837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58" s="74" t="str">
        <f t="shared" si="12"/>
        <v>"C:\Program Files (x86)\AstroGrep\AstroGrep.exe" /e /r /s /spath="%USERPROFILE%\AppData\Local\Temp\OnboardLogs" /stypes="app*4011*20170704*"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146-04 --locoid 4011 --swversion DE.1.0.9.0 --startMP 204:232991 --initTime 2017-07-04T09:55:19 --startdatetime 2017-07-04T10:12:21 --delay 1 --endMP 204:154 --enddatetime 2017-07-04T10:53:56 --enforcementcount 0 &gt;&gt;C:\Users\stu\Documents\GitHub\eaglep3-reporting\EC\2017-07-04-refined-times.txt</v>
      </c>
      <c r="AI5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{"issue":{"subject":"","project_id":79,"tracker_id":40,"status_id":1,"priority_id":2,"assigned_to_id":23,"start_date":"2017-07-04","description":"","custom_fields":[{"id":1,"name":"Subdivision","value":"EC"},{"id":4,"name":"Milepost","value":"0.0154"},{"id":17,"name":"Train ID","value":"146-04"},{"id":16,"name":"Locomotive ID","value":"4011"},{"id":130,"name":"Impact","value":""},{"id":150,"name":"Time of Event (Mountain Time)","value":"10:53:56"},{"id":151,"name":"Denver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4011 --day 2017-07-04</v>
      </c>
      <c r="AN5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617</v>
      </c>
      <c r="B59" s="7">
        <v>4026</v>
      </c>
      <c r="C59" s="21" t="s">
        <v>202</v>
      </c>
      <c r="D59" s="21" t="s">
        <v>198</v>
      </c>
      <c r="E59" s="13">
        <v>42920.392962962964</v>
      </c>
      <c r="F59" s="13">
        <v>42920.396597222221</v>
      </c>
      <c r="G59" s="7">
        <v>1</v>
      </c>
      <c r="H59" s="21" t="s">
        <v>576</v>
      </c>
      <c r="I59" s="13">
        <v>42920.422476851854</v>
      </c>
      <c r="J59" s="7">
        <v>0</v>
      </c>
      <c r="K59" s="89" t="str">
        <f t="shared" si="0"/>
        <v>4025/4026</v>
      </c>
      <c r="L59" s="21" t="str">
        <f>VLOOKUP(A59,'Trips&amp;Operators'!$C$1:$G$99999,5,FALSE)</f>
        <v>MAELZER KURT</v>
      </c>
      <c r="M59" s="6">
        <f t="shared" si="1"/>
        <v>2.587962963298196E-2</v>
      </c>
      <c r="N59" s="7">
        <f t="shared" si="22"/>
        <v>37.266666671494022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-04T08:25:52-0600',mode:absolute,to:'2017-07-04T11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4.5699999999999998E-2</v>
      </c>
      <c r="Z59" s="197">
        <f t="shared" si="8"/>
        <v>23.3324</v>
      </c>
      <c r="AA59" s="197">
        <f t="shared" si="9"/>
        <v>23.2867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59" s="74" t="str">
        <f t="shared" si="12"/>
        <v>"C:\Program Files (x86)\AstroGrep\AstroGrep.exe" /e /r /s /spath="%USERPROFILE%\AppData\Local\Temp\OnboardLogs" /stypes="app*4026*20170704*"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147-04 --locoid 4026 --swversion DE.1.0.9.0 --startMP 204:457 --initTime 2017-07-04T09:25:52 --startdatetime 2017-07-04T09:31:06 --delay 1 --endMP 204:233324 --enddatetime 2017-07-04T10:08:22 --enforcementcount 0 &gt;&gt;C:\Users\stu\Documents\GitHub\eaglep3-reporting\EC\2017-07-04-refined-times.txt</v>
      </c>
      <c r="AI5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{"issue":{"subject":"","project_id":79,"tracker_id":40,"status_id":1,"priority_id":2,"assigned_to_id":23,"start_date":"2017-07-04","description":"","custom_fields":[{"id":1,"name":"Subdivision","value":"EC"},{"id":4,"name":"Milepost","value":"23.3324"},{"id":17,"name":"Train ID","value":"147-04"},{"id":16,"name":"Locomotive ID","value":"4026"},{"id":130,"name":"Impact","value":""},{"id":150,"name":"Time of Event (Mountain Time)","value":"10:08:22"},{"id":151,"name":"Denver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4026 --day 2017-07-04</v>
      </c>
      <c r="AN5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729</v>
      </c>
      <c r="B60" s="7">
        <v>4025</v>
      </c>
      <c r="C60" s="21" t="s">
        <v>202</v>
      </c>
      <c r="D60" s="21" t="s">
        <v>440</v>
      </c>
      <c r="E60" s="13">
        <v>42920.432557870372</v>
      </c>
      <c r="F60" s="13">
        <v>42920.435590277775</v>
      </c>
      <c r="G60" s="7">
        <v>1</v>
      </c>
      <c r="H60" s="21" t="s">
        <v>571</v>
      </c>
      <c r="I60" s="13">
        <v>42920.463530092595</v>
      </c>
      <c r="J60" s="7">
        <v>0</v>
      </c>
      <c r="K60" s="89" t="str">
        <f t="shared" si="0"/>
        <v>4025/4026</v>
      </c>
      <c r="L60" s="21" t="str">
        <f>VLOOKUP(A60,'Trips&amp;Operators'!$C$1:$G$99999,5,FALSE)</f>
        <v>MAELZER KURT</v>
      </c>
      <c r="M60" s="6">
        <f t="shared" si="1"/>
        <v>2.7939814819546882E-2</v>
      </c>
      <c r="N60" s="7">
        <f t="shared" si="22"/>
        <v>40.23333334014751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-04T09:22:53-0600',mode:absolute,to:'2017-07-04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v>23.299099999999999</v>
      </c>
      <c r="Z60" s="197">
        <v>1.54E-2</v>
      </c>
      <c r="AA60" s="197">
        <f t="shared" si="9"/>
        <v>23.2837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60" s="74" t="str">
        <f t="shared" si="12"/>
        <v>"C:\Program Files (x86)\AstroGrep\AstroGrep.exe" /e /r /s /spath="%USERPROFILE%\AppData\Local\Temp\OnboardLogs" /stypes="app*4025*20170704*"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148-04 --locoid 4025 --swversion DE.1.0.9.0 --startMP 204:232996 --initTime 2017-07-04T10:22:53 --startdatetime 2017-07-04T10:27:15 --delay 1 --endMP 204:232974 --enddatetime 2017-07-04T11:07:29 --enforcementcount 0 &gt;&gt;C:\Users\stu\Documents\GitHub\eaglep3-reporting\EC\2017-07-04-refined-times.txt</v>
      </c>
      <c r="AI6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{"issue":{"subject":"","project_id":79,"tracker_id":40,"status_id":1,"priority_id":2,"assigned_to_id":23,"start_date":"2017-07-04","description":"","custom_fields":[{"id":1,"name":"Subdivision","value":"EC"},{"id":4,"name":"Milepost","value":"0.0154"},{"id":17,"name":"Train ID","value":"148-04"},{"id":16,"name":"Locomotive ID","value":"4025"},{"id":130,"name":"Impact","value":""},{"id":150,"name":"Time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4025 --day 2017-07-04</v>
      </c>
      <c r="AN6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725</v>
      </c>
      <c r="B61" s="7">
        <v>4050</v>
      </c>
      <c r="C61" s="21" t="s">
        <v>202</v>
      </c>
      <c r="D61" s="21" t="s">
        <v>347</v>
      </c>
      <c r="E61" s="13">
        <v>42920.402488425927</v>
      </c>
      <c r="F61" s="13">
        <v>42920.406759259262</v>
      </c>
      <c r="G61" s="7">
        <v>1</v>
      </c>
      <c r="H61" s="21" t="s">
        <v>876</v>
      </c>
      <c r="I61" s="13">
        <v>42920.431250000001</v>
      </c>
      <c r="J61" s="7">
        <v>0</v>
      </c>
      <c r="K61" s="89" t="str">
        <f t="shared" si="0"/>
        <v>4049/4050</v>
      </c>
      <c r="L61" s="21" t="str">
        <f>VLOOKUP(A61,'Trips&amp;Operators'!$C$1:$G$99999,5,FALSE)</f>
        <v>HUFFSMITH MONTY</v>
      </c>
      <c r="M61" s="6">
        <f t="shared" si="1"/>
        <v>2.4490740739565808E-2</v>
      </c>
      <c r="N61" s="7">
        <f t="shared" si="22"/>
        <v>35.266666664974764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-04T08:39:35-0600',mode:absolute,to:'2017-07-04T11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>RIGHT(D61,LEN(D61)-4)/10000</f>
        <v>4.4600000000000001E-2</v>
      </c>
      <c r="Z61" s="197">
        <f>RIGHT(H61,LEN(H61)-4)/10000</f>
        <v>23.331700000000001</v>
      </c>
      <c r="AA61" s="197">
        <f t="shared" si="9"/>
        <v>23.287100000000002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61" s="74" t="str">
        <f t="shared" si="12"/>
        <v>"C:\Program Files (x86)\AstroGrep\AstroGrep.exe" /e /r /s /spath="%USERPROFILE%\AppData\Local\Temp\OnboardLogs" /stypes="app*4050*20170704*"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149-04 --locoid 4050 --swversion DE.1.0.9.0 --startMP 204:446 --initTime 2017-07-04T09:39:35 --startdatetime 2017-07-04T09:45:44 --delay 1 --endMP 204:233317 --enddatetime 2017-07-04T10:21:00 --enforcementcount 0 &gt;&gt;C:\Users\stu\Documents\GitHub\eaglep3-reporting\EC\2017-07-04-refined-times.txt</v>
      </c>
      <c r="AI6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{"issue":{"subject":"","project_id":79,"tracker_id":40,"status_id":1,"priority_id":2,"assigned_to_id":23,"start_date":"2017-07-04","description":"","custom_fields":[{"id":1,"name":"Subdivision","value":"EC"},{"id":4,"name":"Milepost","value":"23.3317"},{"id":17,"name":"Train ID","value":"149-04"},{"id":16,"name":"Locomotive ID","value":"4050"},{"id":130,"name":"Impact","value":""},{"id":150,"name":"Time of Event (Mountain Time)","value":"10:21:00"},{"id":151,"name":"Denver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4050 --day 2017-07-04</v>
      </c>
      <c r="AN6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731</v>
      </c>
      <c r="B62" s="7">
        <v>4049</v>
      </c>
      <c r="C62" s="21" t="s">
        <v>202</v>
      </c>
      <c r="D62" s="21" t="s">
        <v>602</v>
      </c>
      <c r="E62" s="13">
        <v>42920.44122685185</v>
      </c>
      <c r="F62" s="13">
        <v>42920.44636574074</v>
      </c>
      <c r="G62" s="7">
        <v>1</v>
      </c>
      <c r="H62" s="21" t="s">
        <v>348</v>
      </c>
      <c r="I62" s="13">
        <v>42920.473020833335</v>
      </c>
      <c r="J62" s="7">
        <v>0</v>
      </c>
      <c r="K62" s="89" t="str">
        <f t="shared" si="0"/>
        <v>4049/4050</v>
      </c>
      <c r="L62" s="21" t="str">
        <f>VLOOKUP(A62,'Trips&amp;Operators'!$C$1:$G$99999,5,FALSE)</f>
        <v>HUFFSMITH MONTY</v>
      </c>
      <c r="M62" s="6">
        <f t="shared" si="1"/>
        <v>2.6655092595319729E-2</v>
      </c>
      <c r="N62" s="7">
        <f t="shared" si="22"/>
        <v>38.38333333726041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-04T09:35:22-0600',mode:absolute,to:'2017-07-04T12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>RIGHT(D62,LEN(D62)-4)/10000</f>
        <v>23.299099999999999</v>
      </c>
      <c r="Z62" s="197">
        <f>RIGHT(H62,LEN(H62)-4)/10000</f>
        <v>1.4999999999999999E-2</v>
      </c>
      <c r="AA62" s="197">
        <f t="shared" si="9"/>
        <v>23.284099999999999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62" s="74" t="str">
        <f t="shared" si="12"/>
        <v>"C:\Program Files (x86)\AstroGrep\AstroGrep.exe" /e /r /s /spath="%USERPROFILE%\AppData\Local\Temp\OnboardLogs" /stypes="app*4049*20170704*"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150-04 --locoid 4049 --swversion DE.1.0.9.0 --startMP 204:232991 --initTime 2017-07-04T10:35:22 --startdatetime 2017-07-04T10:42:46 --delay 1 --endMP 204:150 --enddatetime 2017-07-04T11:21:09 --enforcementcount 0 &gt;&gt;C:\Users\stu\Documents\GitHub\eaglep3-reporting\EC\2017-07-04-refined-times.txt</v>
      </c>
      <c r="AI6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ID","value":"150-04"},{"id":16,"name":"Locomotive ID","value":"4049"},{"id":130,"name":"Impact","value":""},{"id":150,"name":"Time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4049 --day 2017-07-04</v>
      </c>
      <c r="AN6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618</v>
      </c>
      <c r="B63" s="7">
        <v>4064</v>
      </c>
      <c r="C63" s="21" t="s">
        <v>202</v>
      </c>
      <c r="D63" s="21" t="s">
        <v>434</v>
      </c>
      <c r="E63" s="13">
        <v>42920.413854166669</v>
      </c>
      <c r="F63" s="13">
        <v>42920.417349537034</v>
      </c>
      <c r="G63" s="7">
        <v>1</v>
      </c>
      <c r="H63" s="21" t="s">
        <v>881</v>
      </c>
      <c r="I63" s="13">
        <v>42920.442847222221</v>
      </c>
      <c r="J63" s="7">
        <v>0</v>
      </c>
      <c r="K63" s="89" t="str">
        <f t="shared" si="0"/>
        <v>4063/4064</v>
      </c>
      <c r="L63" s="21" t="str">
        <f>VLOOKUP(A63,'Trips&amp;Operators'!$C$1:$G$99999,5,FALSE)</f>
        <v>MACDONALD THOMAS</v>
      </c>
      <c r="M63" s="6">
        <f t="shared" si="1"/>
        <v>2.5497685186564922E-2</v>
      </c>
      <c r="N63" s="7">
        <f t="shared" si="22"/>
        <v>36.716666668653488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-04T08:55:57-0600',mode:absolute,to:'2017-07-04T11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>RIGHT(D63,LEN(D63)-4)/10000</f>
        <v>4.6699999999999998E-2</v>
      </c>
      <c r="Z63" s="197">
        <f>RIGHT(H63,LEN(H63)-4)/10000</f>
        <v>23.332000000000001</v>
      </c>
      <c r="AA63" s="197">
        <f t="shared" si="9"/>
        <v>23.285299999999999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63" s="74" t="str">
        <f t="shared" si="12"/>
        <v>"C:\Program Files (x86)\AstroGrep\AstroGrep.exe" /e /r /s /spath="%USERPROFILE%\AppData\Local\Temp\OnboardLogs" /stypes="app*4064*20170704*"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151-04 --locoid 4064 --swversion DE.1.0.9.0 --startMP 204:467 --initTime 2017-07-04T09:55:57 --startdatetime 2017-07-04T10:00:59 --delay 1 --endMP 204:233320 --enddatetime 2017-07-04T10:37:42 --enforcementcount 0 &gt;&gt;C:\Users\stu\Documents\GitHub\eaglep3-reporting\EC\2017-07-04-refined-times.txt</v>
      </c>
      <c r="AI6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{"issue":{"subject":"","project_id":79,"tracker_id":40,"status_id":1,"priority_id":2,"assigned_to_id":23,"start_date":"2017-07-04","description":"","custom_fields":[{"id":1,"name":"Subdivision","value":"EC"},{"id":4,"name":"Milepost","value":"23.332"},{"id":17,"name":"Train ID","value":"151-04"},{"id":16,"name":"Locomotive ID","value":"4064"},{"id":130,"name":"Impact","value":""},{"id":150,"name":"Time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4064 --day 2017-07-04</v>
      </c>
      <c r="AN6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620</v>
      </c>
      <c r="B64" s="7">
        <v>4063</v>
      </c>
      <c r="C64" s="21" t="s">
        <v>202</v>
      </c>
      <c r="D64" s="21" t="s">
        <v>505</v>
      </c>
      <c r="E64" s="13">
        <v>42920.454745370371</v>
      </c>
      <c r="F64" s="13">
        <v>42920.456620370373</v>
      </c>
      <c r="G64" s="7">
        <v>1</v>
      </c>
      <c r="H64" s="21" t="s">
        <v>435</v>
      </c>
      <c r="I64" s="13">
        <v>42920.48578703704</v>
      </c>
      <c r="J64" s="7">
        <v>0</v>
      </c>
      <c r="K64" s="89" t="str">
        <f t="shared" si="0"/>
        <v>4063/4064</v>
      </c>
      <c r="L64" s="21" t="str">
        <f>VLOOKUP(A64,'Trips&amp;Operators'!$C$1:$G$99999,5,FALSE)</f>
        <v>MACDONALD THOMAS</v>
      </c>
      <c r="M64" s="6">
        <f t="shared" si="1"/>
        <v>2.9166666667151731E-2</v>
      </c>
      <c r="N64" s="7">
        <f t="shared" si="22"/>
        <v>42.000000000698492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-04T09:54:50-0600',mode:absolute,to:'2017-07-04T12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>RIGHT(D64,LEN(D64)-4)/10000</f>
        <v>23.297999999999998</v>
      </c>
      <c r="Z64" s="197">
        <f>RIGHT(H64,LEN(H64)-4)/10000</f>
        <v>1.5599999999999999E-2</v>
      </c>
      <c r="AA64" s="197">
        <f t="shared" si="9"/>
        <v>23.282399999999999</v>
      </c>
      <c r="AB64" s="54" t="str">
        <f>VLOOKUP(A64,Enforcements!$C$7:$K$13,8,0)</f>
        <v>Bulletin (2)</v>
      </c>
      <c r="AC64" s="51" t="str">
        <f>VLOOKUP(A64,Enforcements!$C$7:$E$13,3,0)</f>
        <v>GRADE CROSSING</v>
      </c>
      <c r="AD64" s="206">
        <f t="shared" si="10"/>
        <v>152</v>
      </c>
      <c r="AE64" s="77" t="str">
        <f t="shared" si="11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64" s="74" t="str">
        <f t="shared" si="12"/>
        <v>"C:\Program Files (x86)\AstroGrep\AstroGrep.exe" /e /r /s /spath="%USERPROFILE%\AppData\Local\Temp\OnboardLogs" /stypes="app*4063*20170704*"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152-04 --locoid 4063 --swversion DE.1.0.9.0 --startMP 204:232980 --initTime 2017-07-04T10:54:50 --startdatetime 2017-07-04T10:57:32 --delay 1 --endMP 204:156 --enddatetime 2017-07-04T11:39:32 --enforcementcount 0 &gt;&gt;C:\Users\stu\Documents\GitHub\eaglep3-reporting\EC\2017-07-04-refined-times.txt</v>
      </c>
      <c r="AI64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{"issue":{"subject":"","project_id":79,"tracker_id":40,"status_id":1,"priority_id":2,"assigned_to_id":23,"start_date":"2017-07-04","description":"","custom_fields":[{"id":1,"name":"Subdivision","value":"EC"},{"id":4,"name":"Milepost","value":"0.0156"},{"id":17,"name":"Train ID","value":"152-04"},{"id":16,"name":"Locomotive ID","value":"4063"},{"id":130,"name":"Impact","value":""},{"id":150,"name":"Time of Event (Mountain Time)","value":"11:39:32"},{"id":151,"name":"Denver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4063 --day 2017-07-04</v>
      </c>
      <c r="AN64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619</v>
      </c>
      <c r="B65" s="7">
        <v>4044</v>
      </c>
      <c r="C65" s="21" t="s">
        <v>202</v>
      </c>
      <c r="D65" s="21" t="s">
        <v>477</v>
      </c>
      <c r="E65" s="13">
        <v>42920.424976851849</v>
      </c>
      <c r="F65" s="13">
        <v>42920.428055555552</v>
      </c>
      <c r="G65" s="7">
        <v>3</v>
      </c>
      <c r="H65" s="21" t="s">
        <v>865</v>
      </c>
      <c r="I65" s="13">
        <v>42920.454328703701</v>
      </c>
      <c r="J65" s="7">
        <v>0</v>
      </c>
      <c r="K65" s="89" t="str">
        <f t="shared" si="0"/>
        <v>4043/4044</v>
      </c>
      <c r="L65" s="21" t="str">
        <f>VLOOKUP(A65,'Trips&amp;Operators'!$C$1:$G$99999,5,FALSE)</f>
        <v>MILLER KEVIN</v>
      </c>
      <c r="M65" s="6">
        <f t="shared" si="1"/>
        <v>2.6273148148902692E-2</v>
      </c>
      <c r="N65" s="7">
        <f t="shared" si="22"/>
        <v>37.833333334419876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-04T09:11:58-0600',mode:absolute,to:'2017-07-04T11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>RIGHT(D65,LEN(D65)-4)/10000</f>
        <v>4.4400000000000002E-2</v>
      </c>
      <c r="Z65" s="197">
        <f>RIGHT(H65,LEN(H65)-4)/10000</f>
        <v>23.327400000000001</v>
      </c>
      <c r="AA65" s="197">
        <f t="shared" si="9"/>
        <v>23.283000000000001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65" s="74" t="str">
        <f t="shared" si="12"/>
        <v>"C:\Program Files (x86)\AstroGrep\AstroGrep.exe" /e /r /s /spath="%USERPROFILE%\AppData\Local\Temp\OnboardLogs" /stypes="app*4044*20170704*"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153-04 --locoid 4044 --swversion DE.1.0.9.0 --startMP 204:444 --initTime 2017-07-04T10:11:58 --startdatetime 2017-07-04T10:16:24 --delay 3 --endMP 204:233274 --enddatetime 2017-07-04T10:54:14 --enforcementcount 0 &gt;&gt;C:\Users\stu\Documents\GitHub\eaglep3-reporting\EC\2017-07-04-refined-times.txt</v>
      </c>
      <c r="AI6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{"issue":{"subject":"","project_id":79,"tracker_id":40,"status_id":1,"priority_id":2,"assigned_to_id":23,"start_date":"2017-07-04","description":"","custom_fields":[{"id":1,"name":"Subdivision","value":"EC"},{"id":4,"name":"Milepost","value":"23.3274"},{"id":17,"name":"Train ID","value":"153-04"},{"id":16,"name":"Locomotive ID","value":"4044"},{"id":130,"name":"Impact","value":""},{"id":150,"name":"Time of Event (Mountain Time)","value":"10:54:14"},{"id":151,"name":"Denver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4044 --day 2017-07-04</v>
      </c>
      <c r="AN6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737</v>
      </c>
      <c r="B66" s="7">
        <v>4043</v>
      </c>
      <c r="C66" s="21" t="s">
        <v>202</v>
      </c>
      <c r="D66" s="21" t="s">
        <v>477</v>
      </c>
      <c r="E66" s="13">
        <v>42920.424976851849</v>
      </c>
      <c r="F66" s="13">
        <v>42920.466828703706</v>
      </c>
      <c r="G66" s="7">
        <v>3</v>
      </c>
      <c r="H66" s="21" t="s">
        <v>865</v>
      </c>
      <c r="I66" s="13">
        <v>42920.496458333335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MILLER KEVIN</v>
      </c>
      <c r="M66" s="6">
        <f t="shared" si="1"/>
        <v>2.9629629629198462E-2</v>
      </c>
      <c r="N66" s="7">
        <f t="shared" si="22"/>
        <v>42.666666666045785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-04T09:11:58-0600',mode:absolute,to:'2017-07-04T12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7" t="str">
        <f>IF(AA66&lt;VLOOKUP(AG66,Variables!$AC$3:$AD$8,2,FALSE),"Y","N")</f>
        <v>N</v>
      </c>
      <c r="X66" s="197">
        <f t="shared" ref="X66:X67" si="25">VALUE(LEFT(AD66,4))-VALUE(LEFT(AD65,4))</f>
        <v>1</v>
      </c>
      <c r="Y66" s="197">
        <v>23.2986</v>
      </c>
      <c r="Z66" s="197">
        <v>1.41E-2</v>
      </c>
      <c r="AA66" s="197">
        <f t="shared" si="9"/>
        <v>23.284500000000001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66" s="74" t="str">
        <f t="shared" si="12"/>
        <v>"C:\Program Files (x86)\AstroGrep\AstroGrep.exe" /e /r /s /spath="%USERPROFILE%\AppData\Local\Temp\OnboardLogs" /stypes="app*4043*20170704*"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ref="AH66" si="26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154-04 --locoid 4043 --swversion DE.1.0.9.0 --startMP 204:444 --initTime 2017-07-04T10:11:58 --startdatetime 2017-07-04T11:12:14 --delay 3 --endMP 204:233274 --enddatetime 2017-07-04T11:54:54 --enforcementcount 0 &gt;&gt;C:\Users\stu\Documents\GitHub\eaglep3-reporting\EC\2017-07-04-refined-times.txt</v>
      </c>
      <c r="AI66" s="96" t="str">
        <f t="shared" ref="AI66" si="27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{"issue":{"subject":"","project_id":79,"tracker_id":40,"status_id":1,"priority_id":2,"assigned_to_id":23,"start_date":"2017-07-04","description":"","custom_fields":[{"id":1,"name":"Subdivision","value":"EC"},{"id":4,"name":"Milepost","value":"0.0141"},{"id":17,"name":"Train ID","value":"154-04"},{"id":16,"name":"Locomotive ID","value":"4043"},{"id":130,"name":"Impact","value":""},{"id":150,"name":"Time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ref="AM66" si="28">"start /low /b "&amp;dls3logs&amp;" --loco "&amp;B66&amp;" --day "&amp;TEXT(F66,"YYYY-MM-DD")</f>
        <v>start /low /b %USERPROFILE%\Documents\GitHub\eaglep3\Utilities\DownloadLogsFromS3.py --loco 4043 --day 2017-07-04</v>
      </c>
      <c r="AN66" s="151" t="str">
        <f t="shared" ref="AN66" si="29"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</row>
    <row r="67" spans="1:91" s="1" customFormat="1" x14ac:dyDescent="0.25">
      <c r="A67" s="32" t="s">
        <v>730</v>
      </c>
      <c r="B67" s="7">
        <v>4008</v>
      </c>
      <c r="C67" s="21" t="s">
        <v>202</v>
      </c>
      <c r="D67" s="21" t="s">
        <v>199</v>
      </c>
      <c r="E67" s="13">
        <v>42920.434444444443</v>
      </c>
      <c r="F67" s="13">
        <v>42920.438263888886</v>
      </c>
      <c r="G67" s="7">
        <v>1</v>
      </c>
      <c r="H67" s="21" t="s">
        <v>882</v>
      </c>
      <c r="I67" s="13">
        <v>42920.464409722219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LOZA FIDEL</v>
      </c>
      <c r="M67" s="6">
        <f t="shared" si="1"/>
        <v>2.6145833333430346E-2</v>
      </c>
      <c r="N67" s="7">
        <f t="shared" si="22"/>
        <v>37.650000000139698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-04T09:25:36-0600',mode:absolute,to:'2017-07-04T12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>RIGHT(D67,LEN(D67)-4)/10000</f>
        <v>4.5999999999999999E-2</v>
      </c>
      <c r="Z67" s="197">
        <f>RIGHT(H67,LEN(H67)-4)/10000</f>
        <v>23.3307</v>
      </c>
      <c r="AA67" s="197">
        <f t="shared" si="9"/>
        <v>23.284700000000001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67" s="74" t="str">
        <f t="shared" si="12"/>
        <v>"C:\Program Files (x86)\AstroGrep\AstroGrep.exe" /e /r /s /spath="%USERPROFILE%\AppData\Local\Temp\OnboardLogs" /stypes="app*4008*20170704*"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155-04 --locoid 4008 --swversion DE.1.0.9.0 --startMP 204:460 --initTime 2017-07-04T10:25:36 --startdatetime 2017-07-04T10:31:06 --delay 1 --endMP 204:233307 --enddatetime 2017-07-04T11:08:45 --enforcementcount 0 &gt;&gt;C:\Users\stu\Documents\GitHub\eaglep3-reporting\EC\2017-07-04-refined-times.txt</v>
      </c>
      <c r="AI6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{"issue":{"subject":"","project_id":79,"tracker_id":40,"status_id":1,"priority_id":2,"assigned_to_id":23,"start_date":"2017-07-04","description":"","custom_fields":[{"id":1,"name":"Subdivision","value":"EC"},{"id":4,"name":"Milepost","value":"23.3307"},{"id":17,"name":"Train ID","value":"155-04"},{"id":16,"name":"Locomotive ID","value":"4008"},{"id":130,"name":"Impact","value":""},{"id":150,"name":"Time of Event (Mountain Time)","value":"11:08:45"},{"id":151,"name":"Denver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4008 --day 2017-07-04</v>
      </c>
      <c r="AN6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742</v>
      </c>
      <c r="B68" s="7">
        <v>4007</v>
      </c>
      <c r="C68" s="21" t="s">
        <v>202</v>
      </c>
      <c r="D68" s="21" t="s">
        <v>883</v>
      </c>
      <c r="E68" s="13">
        <v>42920.474317129629</v>
      </c>
      <c r="F68" s="13">
        <v>42920.477534722224</v>
      </c>
      <c r="G68" s="7">
        <v>1</v>
      </c>
      <c r="H68" s="21" t="s">
        <v>358</v>
      </c>
      <c r="I68" s="13">
        <v>42920.505162037036</v>
      </c>
      <c r="J68" s="7">
        <v>0</v>
      </c>
      <c r="K68" s="89" t="str">
        <f t="shared" si="0"/>
        <v>4007/4008</v>
      </c>
      <c r="L68" s="21" t="str">
        <f>VLOOKUP(A68,'Trips&amp;Operators'!$C$1:$G$99999,5,FALSE)</f>
        <v>LOZA FIDEL</v>
      </c>
      <c r="M68" s="6">
        <f t="shared" si="1"/>
        <v>2.7627314811979886E-2</v>
      </c>
      <c r="N68" s="7">
        <f t="shared" si="22"/>
        <v>39.783333329251036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-04T10:23:01-0600',mode:absolute,to:'2017-07-04T13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7" t="str">
        <f>IF(AA68&lt;VLOOKUP(AG68,Variables!$AC$3:$AD$8,2,FALSE),"Y","N")</f>
        <v>N</v>
      </c>
      <c r="X68" s="197">
        <f t="shared" ref="X68:X81" si="30">VALUE(LEFT(AD68,4))-VALUE(LEFT(AD67,4))</f>
        <v>1</v>
      </c>
      <c r="Y68" s="197">
        <f>RIGHT(D68,LEN(D68)-4)/10000</f>
        <v>23.2986</v>
      </c>
      <c r="Z68" s="197">
        <f>RIGHT(H68,LEN(H68)-4)/10000</f>
        <v>1.41E-2</v>
      </c>
      <c r="AA68" s="197">
        <f t="shared" si="9"/>
        <v>23.284500000000001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68" s="74" t="str">
        <f t="shared" si="12"/>
        <v>"C:\Program Files (x86)\AstroGrep\AstroGrep.exe" /e /r /s /spath="%USERPROFILE%\AppData\Local\Temp\OnboardLogs" /stypes="app*4007*20170704*"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156-04 --locoid 4007 --swversion DE.1.0.9.0 --startMP 204:232986 --initTime 2017-07-04T11:23:01 --startdatetime 2017-07-04T11:27:39 --delay 1 --endMP 204:141 --enddatetime 2017-07-04T12:07:26 --enforcementcount 0 &gt;&gt;C:\Users\stu\Documents\GitHub\eaglep3-reporting\EC\2017-07-04-refined-times.txt</v>
      </c>
      <c r="AI6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{"issue":{"subject":"","project_id":79,"tracker_id":40,"status_id":1,"priority_id":2,"assigned_to_id":23,"start_date":"2017-07-04","description":"","custom_fields":[{"id":1,"name":"Subdivision","value":"EC"},{"id":4,"name":"Milepost","value":"0.0141"},{"id":17,"name":"Train ID","value":"156-04"},{"id":16,"name":"Locomotive ID","value":"4007"},{"id":130,"name":"Impact","value":""},{"id":150,"name":"Time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4007 --day 2017-07-04</v>
      </c>
      <c r="AN6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734</v>
      </c>
      <c r="B69" s="7">
        <v>4046</v>
      </c>
      <c r="C69" s="21" t="s">
        <v>202</v>
      </c>
      <c r="D69" s="21" t="s">
        <v>455</v>
      </c>
      <c r="E69" s="13">
        <v>42920.44699074074</v>
      </c>
      <c r="F69" s="13">
        <v>42920.449490740742</v>
      </c>
      <c r="G69" s="7">
        <v>2</v>
      </c>
      <c r="H69" s="21" t="s">
        <v>532</v>
      </c>
      <c r="I69" s="13">
        <v>42920.476076388892</v>
      </c>
      <c r="J69" s="7">
        <v>0</v>
      </c>
      <c r="K69" s="89" t="str">
        <f t="shared" si="0"/>
        <v>4045/4046</v>
      </c>
      <c r="L69" s="21" t="str">
        <f>VLOOKUP(A69,'Trips&amp;Operators'!$C$1:$G$99999,5,FALSE)</f>
        <v>DAVIS MICHAEL</v>
      </c>
      <c r="M69" s="6">
        <f t="shared" si="1"/>
        <v>2.658564814919373E-2</v>
      </c>
      <c r="N69" s="7">
        <f t="shared" si="22"/>
        <v>38.283333334838971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-04T09:43:40-0600',mode:absolute,to:'2017-07-04T12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97" t="str">
        <f>IF(AA69&lt;VLOOKUP(AG69,Variables!$AC$3:$AD$8,2,FALSE),"Y","N")</f>
        <v>N</v>
      </c>
      <c r="X69" s="197">
        <f t="shared" si="30"/>
        <v>1</v>
      </c>
      <c r="Y69" s="197">
        <f>RIGHT(D69,LEN(D69)-4)/10000</f>
        <v>4.6399999999999997E-2</v>
      </c>
      <c r="Z69" s="197">
        <f>RIGHT(H69,LEN(H69)-4)/10000</f>
        <v>23.331399999999999</v>
      </c>
      <c r="AA69" s="197">
        <f t="shared" si="9"/>
        <v>23.285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69" s="74" t="str">
        <f t="shared" si="12"/>
        <v>"C:\Program Files (x86)\AstroGrep\AstroGrep.exe" /e /r /s /spath="%USERPROFILE%\AppData\Local\Temp\OnboardLogs" /stypes="app*4046*20170704*"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157-04 --locoid 4046 --swversion DE.1.0.9.0 --startMP 204:464 --initTime 2017-07-04T10:43:40 --startdatetime 2017-07-04T10:47:16 --delay 2 --endMP 204:233314 --enddatetime 2017-07-04T11:25:33 --enforcementcount 0 &gt;&gt;C:\Users\stu\Documents\GitHub\eaglep3-reporting\EC\2017-07-04-refined-times.txt</v>
      </c>
      <c r="AI69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ID","value":"157-04"},{"id":16,"name":"Locomotive ID","value":"4046"},{"id":130,"name":"Impact","value":""},{"id":150,"name":"Time of Event (Mountain Time)","value":"11:25:33"},{"id":151,"name":"Denver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4046 --day 2017-07-04</v>
      </c>
      <c r="AN69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744</v>
      </c>
      <c r="B70" s="7">
        <v>4045</v>
      </c>
      <c r="C70" s="21" t="s">
        <v>202</v>
      </c>
      <c r="D70" s="21" t="s">
        <v>455</v>
      </c>
      <c r="E70" s="13">
        <v>42920.44699074074</v>
      </c>
      <c r="F70" s="13">
        <v>42920.48809027778</v>
      </c>
      <c r="G70" s="7">
        <v>2</v>
      </c>
      <c r="H70" s="21" t="s">
        <v>532</v>
      </c>
      <c r="I70" s="13">
        <v>42920.518136574072</v>
      </c>
      <c r="J70" s="7">
        <v>0</v>
      </c>
      <c r="K70" s="89" t="str">
        <f t="shared" si="0"/>
        <v>4045/4046</v>
      </c>
      <c r="L70" s="21" t="str">
        <f>VLOOKUP(A70,'Trips&amp;Operators'!$C$1:$G$99999,5,FALSE)</f>
        <v>DAVIS MICHAEL</v>
      </c>
      <c r="M70" s="6">
        <f t="shared" si="1"/>
        <v>3.0046296291402541E-2</v>
      </c>
      <c r="N70" s="7">
        <f t="shared" si="22"/>
        <v>43.266666659619659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-04T09:43:40-0600',mode:absolute,to:'2017-07-04T13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97" t="str">
        <f>IF(AA70&lt;VLOOKUP(AG70,Variables!$AC$3:$AD$8,2,FALSE),"Y","N")</f>
        <v>N</v>
      </c>
      <c r="X70" s="197">
        <f t="shared" si="30"/>
        <v>1</v>
      </c>
      <c r="Y70" s="197">
        <v>23.2986</v>
      </c>
      <c r="Z70" s="197">
        <v>1.41E-2</v>
      </c>
      <c r="AA70" s="197">
        <f t="shared" si="9"/>
        <v>23.284500000000001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70" s="74" t="str">
        <f t="shared" si="12"/>
        <v>"C:\Program Files (x86)\AstroGrep\AstroGrep.exe" /e /r /s /spath="%USERPROFILE%\AppData\Local\Temp\OnboardLogs" /stypes="app*4045*20170704*"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ref="AH70" si="31"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"&amp;J70&amp;IF(outputrefinedruntimes," &gt;&gt;"&amp;RefinedRTDCRunTimesOutputFile,"")</f>
        <v>"%USERPROFILE%\Documents\GitHub\eaglep3\Utilities\RefineRTDCRunTimes.py" --tripid 158-04 --locoid 4045 --swversion DE.1.0.9.0 --startMP 204:464 --initTime 2017-07-04T10:43:40 --startdatetime 2017-07-04T11:42:51 --delay 2 --endMP 204:233314 --enddatetime 2017-07-04T12:26:07 --enforcementcount 0 &gt;&gt;C:\Users\stu\Documents\GitHub\eaglep3-reporting\EC\2017-07-04-refined-times.txt</v>
      </c>
      <c r="AI70" s="96" t="str">
        <f t="shared" ref="AI70" si="32"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Z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{"issue":{"subject":"","project_id":79,"tracker_id":40,"status_id":1,"priority_id":2,"assigned_to_id":23,"start_date":"2017-07-04","description":"","custom_fields":[{"id":1,"name":"Subdivision","value":"EC"},{"id":4,"name":"Milepost","value":"0.0141"},{"id":17,"name":"Train ID","value":"158-04"},{"id":16,"name":"Locomotive ID","value":"4045"},{"id":130,"name":"Impact","value":""},{"id":150,"name":"Time of Event (Mountain Time)","value":"12:26:07"},{"id":151,"name":"Denver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ref="AM70" si="33">"start /low /b "&amp;dls3logs&amp;" --loco "&amp;B70&amp;" --day "&amp;TEXT(F70,"YYYY-MM-DD")</f>
        <v>start /low /b %USERPROFILE%\Documents\GitHub\eaglep3\Utilities\DownloadLogsFromS3.py --loco 4045 --day 2017-07-04</v>
      </c>
      <c r="AN70" s="151" t="str">
        <f t="shared" ref="AN70" si="34">"echo {""issue"":{""subject"":"""&amp;R70&amp;""",""project_id"":30,""tracker_id"":4,""status_id"":"&amp;redmine_status_wcr&amp;",""priority_id"":"&amp;redmine_priority_wcr&amp;",""assigned_to_id"":"&amp;redmine_assignee_wcr&amp;",""start_date"":"""&amp;TEXT(I70-utc_offset/24,"YYYY-mm-dd")&amp;""",""description"":"""&amp;AJ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</row>
    <row r="71" spans="1:91" s="1" customFormat="1" x14ac:dyDescent="0.25">
      <c r="A71" s="32" t="s">
        <v>735</v>
      </c>
      <c r="B71" s="7">
        <v>4012</v>
      </c>
      <c r="C71" s="21" t="s">
        <v>202</v>
      </c>
      <c r="D71" s="21" t="s">
        <v>455</v>
      </c>
      <c r="E71" s="13">
        <v>42920.455555555556</v>
      </c>
      <c r="F71" s="13">
        <v>42920.458865740744</v>
      </c>
      <c r="G71" s="7">
        <v>1</v>
      </c>
      <c r="H71" s="21" t="s">
        <v>597</v>
      </c>
      <c r="I71" s="13">
        <v>42920.485937500001</v>
      </c>
      <c r="J71" s="7">
        <v>0</v>
      </c>
      <c r="K71" s="89" t="str">
        <f t="shared" si="0"/>
        <v>4011/4012</v>
      </c>
      <c r="L71" s="21" t="str">
        <f>VLOOKUP(A71,'Trips&amp;Operators'!$C$1:$G$99999,5,FALSE)</f>
        <v>DAVIDSON DAVID</v>
      </c>
      <c r="M71" s="6">
        <f t="shared" si="1"/>
        <v>2.7071759257523809E-2</v>
      </c>
      <c r="N71" s="7">
        <f t="shared" si="22"/>
        <v>38.983333330834284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-04T09:56:00-0600',mode:absolute,to:'2017-07-04T12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7" t="str">
        <f>IF(AA71&lt;VLOOKUP(AG71,Variables!$AC$3:$AD$8,2,FALSE),"Y","N")</f>
        <v>N</v>
      </c>
      <c r="X71" s="197">
        <f t="shared" si="30"/>
        <v>1</v>
      </c>
      <c r="Y71" s="197">
        <f>RIGHT(D71,LEN(D71)-4)/10000</f>
        <v>4.6399999999999997E-2</v>
      </c>
      <c r="Z71" s="197">
        <f>RIGHT(H71,LEN(H71)-4)/10000</f>
        <v>23.332999999999998</v>
      </c>
      <c r="AA71" s="197">
        <f t="shared" si="9"/>
        <v>23.2866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71" s="74" t="str">
        <f t="shared" si="12"/>
        <v>"C:\Program Files (x86)\AstroGrep\AstroGrep.exe" /e /r /s /spath="%USERPROFILE%\AppData\Local\Temp\OnboardLogs" /stypes="app*4012*20170704*"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159-04 --locoid 4012 --swversion DE.1.0.9.0 --startMP 204:464 --initTime 2017-07-04T10:56:00 --startdatetime 2017-07-04T11:00:46 --delay 1 --endMP 204:233330 --enddatetime 2017-07-04T11:39:45 --enforcementcount 0 &gt;&gt;C:\Users\stu\Documents\GitHub\eaglep3-reporting\EC\2017-07-04-refined-times.txt</v>
      </c>
      <c r="AI71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{"issue":{"subject":"","project_id":79,"tracker_id":40,"status_id":1,"priority_id":2,"assigned_to_id":23,"start_date":"2017-07-04","description":"","custom_fields":[{"id":1,"name":"Subdivision","value":"EC"},{"id":4,"name":"Milepost","value":"23.333"},{"id":17,"name":"Train ID","value":"159-04"},{"id":16,"name":"Locomotive ID","value":"4012"},{"id":130,"name":"Impact","value":""},{"id":150,"name":"Time of Event (Mountain Time)","value":"11:39:45"},{"id":151,"name":"Denver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4012 --day 2017-07-04</v>
      </c>
      <c r="AN71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745</v>
      </c>
      <c r="B72" s="7">
        <v>4011</v>
      </c>
      <c r="C72" s="21" t="s">
        <v>202</v>
      </c>
      <c r="D72" s="21" t="s">
        <v>455</v>
      </c>
      <c r="E72" s="13">
        <v>42920.455555555556</v>
      </c>
      <c r="F72" s="13">
        <v>42920.498124999998</v>
      </c>
      <c r="G72" s="7">
        <v>1</v>
      </c>
      <c r="H72" s="21" t="s">
        <v>597</v>
      </c>
      <c r="I72" s="13">
        <v>42920.52621527778</v>
      </c>
      <c r="J72" s="7">
        <v>0</v>
      </c>
      <c r="K72" s="89" t="str">
        <f t="shared" si="0"/>
        <v>4011/4012</v>
      </c>
      <c r="L72" s="21" t="str">
        <f>VLOOKUP(A72,'Trips&amp;Operators'!$C$1:$G$99999,5,FALSE)</f>
        <v>DAVIDSON DAVID</v>
      </c>
      <c r="M72" s="6">
        <f t="shared" si="1"/>
        <v>2.8090277781302575E-2</v>
      </c>
      <c r="N72" s="7">
        <f t="shared" si="22"/>
        <v>40.450000005075708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-04T09:56:00-0600',mode:absolute,to:'2017-07-04T13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7" t="str">
        <f>IF(AA72&lt;VLOOKUP(AG72,Variables!$AC$3:$AD$8,2,FALSE),"Y","N")</f>
        <v>N</v>
      </c>
      <c r="X72" s="197">
        <f t="shared" si="30"/>
        <v>1</v>
      </c>
      <c r="Y72" s="197">
        <v>23.2986</v>
      </c>
      <c r="Z72" s="197">
        <v>1.41E-2</v>
      </c>
      <c r="AA72" s="197">
        <f t="shared" si="9"/>
        <v>23.284500000000001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72" s="74" t="str">
        <f t="shared" si="12"/>
        <v>"C:\Program Files (x86)\AstroGrep\AstroGrep.exe" /e /r /s /spath="%USERPROFILE%\AppData\Local\Temp\OnboardLogs" /stypes="app*4011*20170704*"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ref="AH72" si="35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160-04 --locoid 4011 --swversion DE.1.0.9.0 --startMP 204:464 --initTime 2017-07-04T10:56:00 --startdatetime 2017-07-04T11:57:18 --delay 1 --endMP 204:233330 --enddatetime 2017-07-04T12:37:45 --enforcementcount 0 &gt;&gt;C:\Users\stu\Documents\GitHub\eaglep3-reporting\EC\2017-07-04-refined-times.txt</v>
      </c>
      <c r="AI72" s="96" t="str">
        <f t="shared" ref="AI72" si="36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{"issue":{"subject":"","project_id":79,"tracker_id":40,"status_id":1,"priority_id":2,"assigned_to_id":23,"start_date":"2017-07-04","description":"","custom_fields":[{"id":1,"name":"Subdivision","value":"EC"},{"id":4,"name":"Milepost","value":"0.0141"},{"id":17,"name":"Train ID","value":"160-04"},{"id":16,"name":"Locomotive ID","value":"4011"},{"id":130,"name":"Impact","value":""},{"id":150,"name":"Time of Event (Mountain Time)","value":"12:37:45"},{"id":151,"name":"Denver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ref="AM72" si="37">"start /low /b "&amp;dls3logs&amp;" --loco "&amp;B72&amp;" --day "&amp;TEXT(F72,"YYYY-MM-DD")</f>
        <v>start /low /b %USERPROFILE%\Documents\GitHub\eaglep3\Utilities\DownloadLogsFromS3.py --loco 4011 --day 2017-07-04</v>
      </c>
      <c r="AN72" s="151" t="str">
        <f t="shared" ref="AN72" si="38"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</row>
    <row r="73" spans="1:91" s="1" customFormat="1" x14ac:dyDescent="0.25">
      <c r="A73" s="32" t="s">
        <v>738</v>
      </c>
      <c r="B73" s="7">
        <v>4026</v>
      </c>
      <c r="C73" s="21" t="s">
        <v>202</v>
      </c>
      <c r="D73" s="21" t="s">
        <v>450</v>
      </c>
      <c r="E73" s="13">
        <v>42920.465810185182</v>
      </c>
      <c r="F73" s="13">
        <v>42920.468981481485</v>
      </c>
      <c r="G73" s="7">
        <v>1</v>
      </c>
      <c r="H73" s="21" t="s">
        <v>884</v>
      </c>
      <c r="I73" s="13">
        <v>42920.495763888888</v>
      </c>
      <c r="J73" s="7">
        <v>0</v>
      </c>
      <c r="K73" s="89" t="str">
        <f t="shared" si="0"/>
        <v>4025/4026</v>
      </c>
      <c r="L73" s="21" t="str">
        <f>VLOOKUP(A73,'Trips&amp;Operators'!$C$1:$G$99999,5,FALSE)</f>
        <v>STEWART MICHAEL</v>
      </c>
      <c r="M73" s="6">
        <f t="shared" si="1"/>
        <v>2.6782407403516117E-2</v>
      </c>
      <c r="N73" s="7">
        <f t="shared" si="22"/>
        <v>38.566666661063209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-04T10:10:46-0600',mode:absolute,to:'2017-07-04T12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197" t="str">
        <f>IF(AA73&lt;VLOOKUP(AG73,Variables!$AC$3:$AD$8,2,FALSE),"Y","N")</f>
        <v>N</v>
      </c>
      <c r="X73" s="197">
        <f t="shared" si="30"/>
        <v>1</v>
      </c>
      <c r="Y73" s="197">
        <v>4.6399999999999997E-2</v>
      </c>
      <c r="Z73" s="197">
        <v>23.332999999999998</v>
      </c>
      <c r="AA73" s="197">
        <f t="shared" si="9"/>
        <v>23.2866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73" s="74" t="str">
        <f t="shared" si="12"/>
        <v>"C:\Program Files (x86)\AstroGrep\AstroGrep.exe" /e /r /s /spath="%USERPROFILE%\AppData\Local\Temp\OnboardLogs" /stypes="app*4026*20170704*"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161-04 --locoid 4026 --swversion DE.1.0.9.0 --startMP 204:438 --initTime 2017-07-04T11:10:46 --startdatetime 2017-07-04T11:15:20 --delay 1 --endMP 300:23312 --enddatetime 2017-07-04T11:53:54 --enforcementcount 0 &gt;&gt;C:\Users\stu\Documents\GitHub\eaglep3-reporting\EC\2017-07-04-refined-times.txt</v>
      </c>
      <c r="AI73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{"issue":{"subject":"","project_id":79,"tracker_id":40,"status_id":1,"priority_id":2,"assigned_to_id":23,"start_date":"2017-07-04","description":"","custom_fields":[{"id":1,"name":"Subdivision","value":"EC"},{"id":4,"name":"Milepost","value":"23.333"},{"id":17,"name":"Train ID","value":"161-04"},{"id":16,"name":"Locomotive ID","value":"4026"},{"id":130,"name":"Impact","value":""},{"id":150,"name":"Time of Event (Mountain Time)","value":"11:53:54"},{"id":151,"name":"Denver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4026 --day 2017-07-04</v>
      </c>
      <c r="AN73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755</v>
      </c>
      <c r="B74" s="7">
        <v>4025</v>
      </c>
      <c r="C74" s="21" t="s">
        <v>202</v>
      </c>
      <c r="D74" s="21" t="s">
        <v>885</v>
      </c>
      <c r="E74" s="13">
        <v>42920.521319444444</v>
      </c>
      <c r="F74" s="13">
        <v>42920.525243055556</v>
      </c>
      <c r="G74" s="7">
        <v>3</v>
      </c>
      <c r="H74" s="21" t="s">
        <v>886</v>
      </c>
      <c r="I74" s="13">
        <v>42920.548275462963</v>
      </c>
      <c r="J74" s="7">
        <v>0</v>
      </c>
      <c r="K74" s="89" t="str">
        <f t="shared" si="0"/>
        <v>4025/4026</v>
      </c>
      <c r="L74" s="21" t="str">
        <f>VLOOKUP(A74,'Trips&amp;Operators'!$C$1:$G$99999,5,FALSE)</f>
        <v>STEWART MICHAEL</v>
      </c>
      <c r="M74" s="6">
        <f t="shared" si="1"/>
        <v>2.3032407407299615E-2</v>
      </c>
      <c r="N74" s="7"/>
      <c r="O74" s="7"/>
      <c r="P74" s="7">
        <f>24*60*SUM($M74:$M74)</f>
        <v>33.166666666511446</v>
      </c>
      <c r="Q74" s="22"/>
      <c r="R74" s="170" t="s">
        <v>500</v>
      </c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-04T11:30:42-0600',mode:absolute,to:'2017-07-04T14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197" t="str">
        <f>IF(AA74&lt;VLOOKUP(AG74,Variables!$AC$3:$AD$8,2,FALSE),"Y","N")</f>
        <v>Y</v>
      </c>
      <c r="X74" s="197">
        <f t="shared" si="30"/>
        <v>1</v>
      </c>
      <c r="Y74" s="197">
        <f>RIGHT(D74,LEN(D74)-4)/10000</f>
        <v>12.785399999999999</v>
      </c>
      <c r="Z74" s="197">
        <f>RIGHT(H74,LEN(H74)-4)/10000</f>
        <v>0.1181</v>
      </c>
      <c r="AA74" s="197">
        <f t="shared" si="9"/>
        <v>12.667299999999999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74" s="74" t="str">
        <f t="shared" si="12"/>
        <v>"C:\Program Files (x86)\AstroGrep\AstroGrep.exe" /e /r /s /spath="%USERPROFILE%\AppData\Local\Temp\OnboardLogs" /stypes="app*4025*20170704*" /stext=" 19:.+((SYSTEM_STATE.+slice.+state.+changed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162-04 --locoid 4025 --swversion DE.1.0.9.0 --startMP 204:127854 --initTime 2017-07-04T12:30:42 --startdatetime 2017-07-04T12:36:21 --delay 3 --endMP 204:1181 --enddatetime 2017-07-04T13:09:31 --enforcementcount 0 &gt;&gt;C:\Users\stu\Documents\GitHub\eaglep3-reporting\EC\2017-07-04-refined-times.txt</v>
      </c>
      <c r="AI74" s="96" t="str">
        <f t="shared" si="19"/>
        <v>echo {"issue":{"subject":"Onboard in-route failure","project_id":79,"tracker_id":40,"status_id":1,"priority_id":2,"assigned_to_id":23,"start_date":"2017-07-04","description":"","custom_fields":[{"id":1,"name":"Subdivision","value":"EC"},{"id":4,"name":"Milepost","value":"0.1181"},{"id":17,"name":"Train ID","value":"162-04"},{"id":16,"name":"Locomotive ID","value":"4025"},{"id":130,"name":"Impact","value":""},{"id":150,"name":"Time of Event (Mountain Time)","value":"13:09:31"},{"id":151,"name":"Denver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4025 --day 2017-07-04</v>
      </c>
      <c r="AN74" s="151" t="str">
        <f t="shared" si="21"/>
        <v>echo {"issue":{"subject":"Onboard in-route failure","project_id":30,"tracker_id":4,"status_id":1,"priority_id":1,"assigned_to_id":10,"start_date":"2017-07-04","description":"","custom_fields":[{"id":30,"name":"Category","value":"Issue"},{"id":3,"name":"Functional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755</v>
      </c>
      <c r="B75" s="7">
        <v>4025</v>
      </c>
      <c r="C75" s="21" t="s">
        <v>202</v>
      </c>
      <c r="D75" s="21" t="s">
        <v>887</v>
      </c>
      <c r="E75" s="13">
        <v>42920.506180555552</v>
      </c>
      <c r="F75" s="13">
        <v>42920.525243055556</v>
      </c>
      <c r="G75" s="7">
        <v>1</v>
      </c>
      <c r="H75" s="21" t="s">
        <v>571</v>
      </c>
      <c r="I75" s="13">
        <v>42920.548275462963</v>
      </c>
      <c r="J75" s="7">
        <v>0</v>
      </c>
      <c r="K75" s="89" t="str">
        <f t="shared" si="0"/>
        <v>4025/4026</v>
      </c>
      <c r="L75" s="21" t="str">
        <f>VLOOKUP(A75,'Trips&amp;Operators'!$C$1:$G$99999,5,FALSE)</f>
        <v>STEWART MICHAEL</v>
      </c>
      <c r="M75" s="6">
        <f t="shared" si="1"/>
        <v>2.3032407407299615E-2</v>
      </c>
      <c r="N75" s="7"/>
      <c r="O75" s="7"/>
      <c r="P75" s="7"/>
      <c r="Q75" s="22"/>
      <c r="R75" s="170"/>
      <c r="S75" s="213"/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-04T11:08:54-0600',mode:absolute,to:'2017-07-04T14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5" s="197" t="str">
        <f>IF(AA75&lt;VLOOKUP(AG75,Variables!$AC$3:$AD$8,2,FALSE),"Y","N")</f>
        <v>Y</v>
      </c>
      <c r="X75" s="197">
        <f t="shared" si="30"/>
        <v>0</v>
      </c>
      <c r="Y75" s="197">
        <f>RIGHT(D75,LEN(D75)-4)/10000</f>
        <v>23.2972</v>
      </c>
      <c r="Z75" s="197">
        <f>RIGHT(H75,LEN(H75)-4)/10000</f>
        <v>23.2974</v>
      </c>
      <c r="AA75" s="197">
        <f t="shared" si="9"/>
        <v>1.9999999999953388E-4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75" s="74" t="str">
        <f t="shared" si="12"/>
        <v>"C:\Program Files (x86)\AstroGrep\AstroGrep.exe" /e /r /s /spath="%USERPROFILE%\AppData\Local\Temp\OnboardLogs" /stypes="app*4025*20170704*" /stext=" 19:.+((SYSTEM_STATE.+slice.+state.+changed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162-04 --locoid 4025 --swversion DE.1.0.9.0 --startMP 204:232972 --initTime 2017-07-04T12:08:54 --startdatetime 2017-07-04T12:36:21 --delay 1 --endMP 204:232974 --enddatetime 2017-07-04T13:09:31 --enforcementcount 0 &gt;&gt;C:\Users\stu\Documents\GitHub\eaglep3-reporting\EC\2017-07-04-refined-times.txt</v>
      </c>
      <c r="AI75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{"issue":{"subject":"","project_id":79,"tracker_id":40,"status_id":1,"priority_id":2,"assigned_to_id":23,"start_date":"2017-07-04","description":"","custom_fields":[{"id":1,"name":"Subdivision","value":"EC"},{"id":4,"name":"Milepost","value":"23.2974"},{"id":17,"name":"Train ID","value":"162-04"},{"id":16,"name":"Locomotive ID","value":"4025"},{"id":130,"name":"Impact","value":""},{"id":150,"name":"Time of Event (Mountain Time)","value":"13:09:31"},{"id":151,"name":"Denver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4025 --day 2017-07-04</v>
      </c>
      <c r="AN75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755</v>
      </c>
      <c r="B76" s="7">
        <v>4025</v>
      </c>
      <c r="C76" s="21" t="s">
        <v>202</v>
      </c>
      <c r="D76" s="21" t="s">
        <v>571</v>
      </c>
      <c r="E76" s="13">
        <v>42920.506180555552</v>
      </c>
      <c r="F76" s="13">
        <v>42920.525243055556</v>
      </c>
      <c r="G76" s="7">
        <v>4</v>
      </c>
      <c r="H76" s="21" t="s">
        <v>571</v>
      </c>
      <c r="I76" s="13">
        <v>42920.548275462963</v>
      </c>
      <c r="J76" s="7">
        <v>0</v>
      </c>
      <c r="K76" s="89" t="str">
        <f t="shared" si="0"/>
        <v>4025/4026</v>
      </c>
      <c r="L76" s="21" t="str">
        <f>VLOOKUP(A76,'Trips&amp;Operators'!$C$1:$G$99999,5,FALSE)</f>
        <v>STEWART MICHAEL</v>
      </c>
      <c r="M76" s="6">
        <f t="shared" si="1"/>
        <v>2.3032407407299615E-2</v>
      </c>
      <c r="N76" s="7"/>
      <c r="O76" s="7"/>
      <c r="P76" s="7"/>
      <c r="Q76" s="22"/>
      <c r="R76" s="170"/>
      <c r="S76" s="213"/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-04T11:08:54-0600',mode:absolute,to:'2017-07-04T14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97" t="str">
        <f>IF(AA76&lt;VLOOKUP(AG76,Variables!$AC$3:$AD$8,2,FALSE),"Y","N")</f>
        <v>Y</v>
      </c>
      <c r="X76" s="197">
        <f t="shared" si="30"/>
        <v>0</v>
      </c>
      <c r="Y76" s="197">
        <f>RIGHT(D76,LEN(D76)-4)/10000</f>
        <v>23.2974</v>
      </c>
      <c r="Z76" s="197">
        <f>RIGHT(H76,LEN(H76)-4)/10000</f>
        <v>23.2974</v>
      </c>
      <c r="AA76" s="197">
        <f t="shared" si="9"/>
        <v>0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162</v>
      </c>
      <c r="AE76" s="77" t="str">
        <f t="shared" si="11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76" s="74" t="str">
        <f t="shared" si="12"/>
        <v>"C:\Program Files (x86)\AstroGrep\AstroGrep.exe" /e /r /s /spath="%USERPROFILE%\AppData\Local\Temp\OnboardLogs" /stypes="app*4025*20170704*"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162-04 --locoid 4025 --swversion DE.1.0.9.0 --startMP 204:232974 --initTime 2017-07-04T12:08:54 --startdatetime 2017-07-04T12:36:21 --delay 4 --endMP 204:232974 --enddatetime 2017-07-04T13:09:31 --enforcementcount 0 &gt;&gt;C:\Users\stu\Documents\GitHub\eaglep3-reporting\EC\2017-07-04-refined-times.txt</v>
      </c>
      <c r="AI76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{"issue":{"subject":"","project_id":79,"tracker_id":40,"status_id":1,"priority_id":2,"assigned_to_id":23,"start_date":"2017-07-04","description":"","custom_fields":[{"id":1,"name":"Subdivision","value":"EC"},{"id":4,"name":"Milepost","value":"23.2974"},{"id":17,"name":"Train ID","value":"162-04"},{"id":16,"name":"Locomotive ID","value":"4025"},{"id":130,"name":"Impact","value":""},{"id":150,"name":"Time of Event (Mountain Time)","value":"13:09:31"},{"id":151,"name":"Denver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4025 --day 2017-07-04</v>
      </c>
      <c r="AN76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621</v>
      </c>
      <c r="B77" s="7">
        <v>4050</v>
      </c>
      <c r="C77" s="21" t="s">
        <v>202</v>
      </c>
      <c r="D77" s="21" t="s">
        <v>343</v>
      </c>
      <c r="E77" s="13">
        <v>42920.474710648145</v>
      </c>
      <c r="F77" s="13">
        <v>42920.479687500003</v>
      </c>
      <c r="G77" s="7">
        <v>1</v>
      </c>
      <c r="H77" s="21" t="s">
        <v>527</v>
      </c>
      <c r="I77" s="13">
        <v>42920.505208333336</v>
      </c>
      <c r="J77" s="7">
        <v>0</v>
      </c>
      <c r="K77" s="89" t="str">
        <f t="shared" ref="K77:K140" si="39">IF(ISEVEN(B77),(B77-1)&amp;"/"&amp;B77,B77&amp;"/"&amp;(B77+1))</f>
        <v>4049/4050</v>
      </c>
      <c r="L77" s="21" t="str">
        <f>VLOOKUP(A77,'Trips&amp;Operators'!$C$1:$G$99999,5,FALSE)</f>
        <v>NEWELL JAMES</v>
      </c>
      <c r="M77" s="6">
        <f t="shared" ref="M77:M140" si="40">I77-F77</f>
        <v>2.5520833332848269E-2</v>
      </c>
      <c r="N77" s="7">
        <f t="shared" ref="N77:N94" si="41">24*60*SUM($M77:$M77)</f>
        <v>36.749999999301508</v>
      </c>
      <c r="O77" s="7"/>
      <c r="P77" s="7"/>
      <c r="Q77" s="22"/>
      <c r="R77" s="170"/>
      <c r="S77" s="213">
        <f t="shared" ref="S77:S95" si="42">SUM(U77:U77)/IF(AG77="EC",12,1)</f>
        <v>1</v>
      </c>
      <c r="T77" s="195" t="str">
        <f t="shared" ref="T77:T140" si="43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-04T10:23:35-0600',mode:absolute,to:'2017-07-04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7" s="197" t="str">
        <f>IF(AA77&lt;VLOOKUP(AG77,Variables!$AC$3:$AD$8,2,FALSE),"Y","N")</f>
        <v>N</v>
      </c>
      <c r="X77" s="197">
        <f t="shared" si="30"/>
        <v>1</v>
      </c>
      <c r="Y77" s="197">
        <f>RIGHT(D77,LEN(D77)-4)/10000</f>
        <v>4.4900000000000002E-2</v>
      </c>
      <c r="Z77" s="197">
        <f>RIGHT(H77,LEN(H77)-4)/10000</f>
        <v>23.329699999999999</v>
      </c>
      <c r="AA77" s="197">
        <f t="shared" ref="AA77:AA140" si="45">ABS(Z77-Y77)</f>
        <v>23.284800000000001</v>
      </c>
      <c r="AB77" s="54" t="str">
        <f>VLOOKUP(A77,Enforcements!$C$7:$K$13,8,0)</f>
        <v>Bulletin (2)</v>
      </c>
      <c r="AC77" s="51" t="str">
        <f>VLOOKUP(A77,Enforcements!$C$7:$E$13,3,0)</f>
        <v>GRADE CROSSING</v>
      </c>
      <c r="AD77" s="206">
        <f t="shared" ref="AD77:AD140" si="46">VALUE(LEFT(A77,LEN(A77)-3))</f>
        <v>163</v>
      </c>
      <c r="AE77" s="77" t="str">
        <f t="shared" ref="AE77:AE140" si="4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77" s="74" t="str">
        <f t="shared" ref="AF77:AF140" si="4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/stypes="app*4050*20170704*"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9">DetSubdiv(A77)</f>
        <v>EC</v>
      </c>
      <c r="AH77" s="78" t="str">
        <f t="shared" si="18"/>
        <v>"%USERPROFILE%\Documents\GitHub\eaglep3\Utilities\RefineRTDCRunTimes.py" --tripid 163-04 --locoid 4050 --swversion DE.1.0.9.0 --startMP 204:449 --initTime 2017-07-04T11:23:35 --startdatetime 2017-07-04T11:30:45 --delay 1 --endMP 204:233297 --enddatetime 2017-07-04T12:07:30 --enforcementcount 0 &gt;&gt;C:\Users\stu\Documents\GitHub\eaglep3-reporting\EC\2017-07-04-refined-times.txt</v>
      </c>
      <c r="AI77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{"issue":{"subject":"","project_id":79,"tracker_id":40,"status_id":1,"priority_id":2,"assigned_to_id":23,"start_date":"2017-07-04","description":"","custom_fields":[{"id":1,"name":"Subdivision","value":"EC"},{"id":4,"name":"Milepost","value":"23.3297"},{"id":17,"name":"Train ID","value":"163-04"},{"id":16,"name":"Locomotive ID","value":"4050"},{"id":130,"name":"Impact","value":""},{"id":150,"name":"Time of Event (Mountain Time)","value":"12:07:30"},{"id":151,"name":"Denver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4050 --day 2017-07-04</v>
      </c>
      <c r="AN77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624</v>
      </c>
      <c r="B78" s="7">
        <v>4049</v>
      </c>
      <c r="C78" s="21" t="s">
        <v>202</v>
      </c>
      <c r="D78" s="21" t="s">
        <v>888</v>
      </c>
      <c r="E78" s="13">
        <v>42920.506886574076</v>
      </c>
      <c r="F78" s="13">
        <v>42920.518946759257</v>
      </c>
      <c r="G78" s="7">
        <v>1</v>
      </c>
      <c r="H78" s="21" t="s">
        <v>194</v>
      </c>
      <c r="I78" s="13">
        <v>42920.550486111111</v>
      </c>
      <c r="J78" s="7">
        <v>0</v>
      </c>
      <c r="K78" s="89" t="str">
        <f t="shared" si="39"/>
        <v>4049/4050</v>
      </c>
      <c r="L78" s="21" t="str">
        <f>VLOOKUP(A78,'Trips&amp;Operators'!$C$1:$G$99999,5,FALSE)</f>
        <v>NEWELL JAMES</v>
      </c>
      <c r="M78" s="6">
        <f t="shared" si="40"/>
        <v>3.1539351854007691E-2</v>
      </c>
      <c r="N78" s="7">
        <f t="shared" si="41"/>
        <v>45.416666669771075</v>
      </c>
      <c r="O78" s="7"/>
      <c r="P78" s="7"/>
      <c r="Q78" s="22"/>
      <c r="R78" s="170"/>
      <c r="S78" s="213">
        <f t="shared" si="42"/>
        <v>1</v>
      </c>
      <c r="T78" s="195" t="str">
        <f t="shared" si="43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4"/>
        <v>https://d0f6bd738d7f1b3e5a7ca70fe4ff75f0.us-east-1.aws.found.io/app/kibana#/discover/Steve-Slow-Train-Analysis-(2080s-and-2083s)?_g=(refreshInterval:(display:Off,pause:!f,section:0,value:0),time:(from:'2017-07-04T11:09:55-0600',mode:absolute,to:'2017-07-04T14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8" s="197" t="str">
        <f>IF(AA78&lt;VLOOKUP(AG78,Variables!$AC$3:$AD$8,2,FALSE),"Y","N")</f>
        <v>N</v>
      </c>
      <c r="X78" s="197">
        <f t="shared" si="30"/>
        <v>1</v>
      </c>
      <c r="Y78" s="197">
        <f>RIGHT(D78,LEN(D78)-4)/10000</f>
        <v>23.2971</v>
      </c>
      <c r="Z78" s="197">
        <f>RIGHT(H78,LEN(H78)-4)/10000</f>
        <v>1.5800000000000002E-2</v>
      </c>
      <c r="AA78" s="197">
        <f t="shared" si="45"/>
        <v>23.281300000000002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6"/>
        <v>164</v>
      </c>
      <c r="AE78" s="77" t="str">
        <f t="shared" si="47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78" s="74" t="str">
        <f t="shared" si="48"/>
        <v>"C:\Program Files (x86)\AstroGrep\AstroGrep.exe" /e /r /s /spath="%USERPROFILE%\AppData\Local\Temp\OnboardLogs" /stypes="app*4049*20170704*" /stext=" 19:.+((SYSTEM_STATE.+slice.+state.+changed )|(ment ac)|(multiple cpu faults)|(system.+state.+changed )|(\[timeout)|(PRM\|1\|D)|(kpr)|(kdp)|(train st.+moving)|(\|lc)|(penalty))"</v>
      </c>
      <c r="AG78" s="209" t="str">
        <f t="shared" si="49"/>
        <v>EC</v>
      </c>
      <c r="AH78" s="78" t="str">
        <f t="shared" si="18"/>
        <v>"%USERPROFILE%\Documents\GitHub\eaglep3\Utilities\RefineRTDCRunTimes.py" --tripid 164-04 --locoid 4049 --swversion DE.1.0.9.0 --startMP 204:232971 --initTime 2017-07-04T12:09:55 --startdatetime 2017-07-04T12:27:17 --delay 1 --endMP 204:158 --enddatetime 2017-07-04T13:12:42 --enforcementcount 0 &gt;&gt;C:\Users\stu\Documents\GitHub\eaglep3-reporting\EC\2017-07-04-refined-times.txt</v>
      </c>
      <c r="AI78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{"issue":{"subject":"","project_id":79,"tracker_id":40,"status_id":1,"priority_id":2,"assigned_to_id":23,"start_date":"2017-07-04","description":"","custom_fields":[{"id":1,"name":"Subdivision","value":"EC"},{"id":4,"name":"Milepost","value":"0.0158"},{"id":17,"name":"Train ID","value":"164-04"},{"id":16,"name":"Locomotive ID","value":"4049"},{"id":130,"name":"Impact","value":""},{"id":150,"name":"Time of Event (Mountain Time)","value":"13:12:42"},{"id":151,"name":"Denver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4049 --day 2017-07-04</v>
      </c>
      <c r="AN78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1025</v>
      </c>
      <c r="B79" s="7">
        <v>4064</v>
      </c>
      <c r="C79" s="21" t="s">
        <v>202</v>
      </c>
      <c r="D79" s="21" t="s">
        <v>888</v>
      </c>
      <c r="E79" s="13">
        <v>42920.506886574076</v>
      </c>
      <c r="F79" s="13">
        <v>42920.489745370367</v>
      </c>
      <c r="G79" s="7">
        <v>1</v>
      </c>
      <c r="H79" s="21" t="s">
        <v>194</v>
      </c>
      <c r="I79" s="13">
        <v>42920.517488425925</v>
      </c>
      <c r="J79" s="7">
        <v>0</v>
      </c>
      <c r="K79" s="89" t="str">
        <f t="shared" si="39"/>
        <v>4063/4064</v>
      </c>
      <c r="L79" s="21" t="e">
        <f>VLOOKUP(A79,'Trips&amp;Operators'!$C$1:$G$99999,5,FALSE)</f>
        <v>#N/A</v>
      </c>
      <c r="M79" s="6">
        <f t="shared" si="40"/>
        <v>2.7743055557948537E-2</v>
      </c>
      <c r="N79" s="7">
        <f t="shared" si="41"/>
        <v>39.950000003445894</v>
      </c>
      <c r="O79" s="7"/>
      <c r="P79" s="7"/>
      <c r="Q79" s="22"/>
      <c r="R79" s="170"/>
      <c r="S79" s="213">
        <f t="shared" si="42"/>
        <v>1</v>
      </c>
      <c r="T79" s="195" t="str">
        <f t="shared" si="43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4"/>
        <v>https://d0f6bd738d7f1b3e5a7ca70fe4ff75f0.us-east-1.aws.found.io/app/kibana#/discover/Steve-Slow-Train-Analysis-(2080s-and-2083s)?_g=(refreshInterval:(display:Off,pause:!f,section:0,value:0),time:(from:'2017-07-04T11:09:55-0600',mode:absolute,to:'2017-07-04T13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197" t="str">
        <f>IF(AA79&lt;VLOOKUP(AG79,Variables!$AC$3:$AD$8,2,FALSE),"Y","N")</f>
        <v>N</v>
      </c>
      <c r="X79" s="197">
        <f t="shared" si="30"/>
        <v>1</v>
      </c>
      <c r="Y79" s="197">
        <v>4.5699999999999998E-2</v>
      </c>
      <c r="Z79" s="197">
        <v>23.331399999999999</v>
      </c>
      <c r="AA79" s="197">
        <f t="shared" si="45"/>
        <v>23.285699999999999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6"/>
        <v>165</v>
      </c>
      <c r="AE79" s="77" t="str">
        <f t="shared" si="47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79" s="74" t="str">
        <f t="shared" si="48"/>
        <v>"C:\Program Files (x86)\AstroGrep\AstroGrep.exe" /e /r /s /spath="%USERPROFILE%\AppData\Local\Temp\OnboardLogs" /stypes="app*4064*20170704*" /stext=" 18:.+((SYSTEM_STATE.+slice.+state.+changed )|(ment ac)|(multiple cpu faults)|(system.+state.+changed )|(\[timeout)|(PRM\|1\|D)|(kpr)|(kdp)|(train st.+moving)|(\|lc)|(penalty))"</v>
      </c>
      <c r="AG79" s="209" t="str">
        <f t="shared" si="49"/>
        <v>EC</v>
      </c>
      <c r="AH79" s="78" t="str">
        <f t="shared" ref="AH79" si="5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165-05 --locoid 4064 --swversion DE.1.0.9.0 --startMP 204:232971 --initTime 2017-07-04T12:09:55 --startdatetime 2017-07-04T11:45:14 --delay 1 --endMP 204:158 --enddatetime 2017-07-04T12:25:11 --enforcementcount 0 &gt;&gt;C:\Users\stu\Documents\GitHub\eaglep3-reporting\EC\2017-07-04-refined-times.txt</v>
      </c>
      <c r="AI79" s="96" t="str">
        <f t="shared" ref="AI79" si="5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ID","value":"165-05"},{"id":16,"name":"Locomotive ID","value":"4064"},{"id":130,"name":"Impact","value":""},{"id":150,"name":"Time of Event (Mountain Time)","value":"12:25:11"},{"id":151,"name":"Denver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" si="52">"start /low /b "&amp;dls3logs&amp;" --loco "&amp;B79&amp;" --day "&amp;TEXT(F79,"YYYY-MM-DD")</f>
        <v>start /low /b %USERPROFILE%\Documents\GitHub\eaglep3\Utilities\DownloadLogsFromS3.py --loco 4064 --day 2017-07-04</v>
      </c>
      <c r="AN79" s="151" t="str">
        <f t="shared" ref="AN79" si="53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</row>
    <row r="80" spans="1:91" s="1" customFormat="1" x14ac:dyDescent="0.25">
      <c r="A80" s="32" t="s">
        <v>759</v>
      </c>
      <c r="B80" s="7">
        <v>4063</v>
      </c>
      <c r="C80" s="21" t="s">
        <v>202</v>
      </c>
      <c r="D80" s="21" t="s">
        <v>889</v>
      </c>
      <c r="E80" s="13">
        <v>42920.526388888888</v>
      </c>
      <c r="F80" s="13">
        <v>42920.529374999998</v>
      </c>
      <c r="G80" s="7">
        <v>1</v>
      </c>
      <c r="H80" s="21" t="s">
        <v>582</v>
      </c>
      <c r="I80" s="13">
        <v>42920.55667824074</v>
      </c>
      <c r="J80" s="7">
        <v>0</v>
      </c>
      <c r="K80" s="89" t="str">
        <f t="shared" si="39"/>
        <v>4063/4064</v>
      </c>
      <c r="L80" s="21" t="str">
        <f>VLOOKUP(A80,'Trips&amp;Operators'!$C$1:$G$99999,5,FALSE)</f>
        <v>LEVIN SCOTT</v>
      </c>
      <c r="M80" s="6">
        <f t="shared" si="40"/>
        <v>2.7303240742185153E-2</v>
      </c>
      <c r="N80" s="7">
        <f t="shared" si="41"/>
        <v>39.31666666874662</v>
      </c>
      <c r="O80" s="7"/>
      <c r="P80" s="7"/>
      <c r="Q80" s="22"/>
      <c r="R80" s="170"/>
      <c r="S80" s="213">
        <f t="shared" si="42"/>
        <v>1</v>
      </c>
      <c r="T80" s="195" t="str">
        <f t="shared" si="43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4"/>
        <v>https://d0f6bd738d7f1b3e5a7ca70fe4ff75f0.us-east-1.aws.found.io/app/kibana#/discover/Steve-Slow-Train-Analysis-(2080s-and-2083s)?_g=(refreshInterval:(display:Off,pause:!f,section:0,value:0),time:(from:'2017-07-04T11:38:00-0600',mode:absolute,to:'2017-07-04T14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197" t="str">
        <f>IF(AA80&lt;VLOOKUP(AG80,Variables!$AC$3:$AD$8,2,FALSE),"Y","N")</f>
        <v>N</v>
      </c>
      <c r="X80" s="197">
        <f t="shared" si="30"/>
        <v>1</v>
      </c>
      <c r="Y80" s="197">
        <f>RIGHT(D80,LEN(D80)-4)/10000</f>
        <v>23.3079</v>
      </c>
      <c r="Z80" s="197">
        <f>RIGHT(H80,LEN(H80)-4)/10000</f>
        <v>1.32E-2</v>
      </c>
      <c r="AA80" s="197">
        <f t="shared" si="45"/>
        <v>23.294699999999999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6"/>
        <v>166</v>
      </c>
      <c r="AE80" s="77" t="str">
        <f t="shared" si="47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80" s="74" t="str">
        <f t="shared" si="48"/>
        <v>"C:\Program Files (x86)\AstroGrep\AstroGrep.exe" /e /r /s /spath="%USERPROFILE%\AppData\Local\Temp\OnboardLogs" /stypes="app*4063*20170704*" /stext=" 19:.+((SYSTEM_STATE.+slice.+state.+changed )|(ment ac)|(multiple cpu faults)|(system.+state.+changed )|(\[timeout)|(PRM\|1\|D)|(kpr)|(kdp)|(train st.+moving)|(\|lc)|(penalty))"</v>
      </c>
      <c r="AG80" s="209" t="str">
        <f t="shared" si="49"/>
        <v>EC</v>
      </c>
      <c r="AH80" s="78" t="str">
        <f t="shared" si="18"/>
        <v>"%USERPROFILE%\Documents\GitHub\eaglep3\Utilities\RefineRTDCRunTimes.py" --tripid 166-04 --locoid 4063 --swversion DE.1.0.9.0 --startMP 204:233079 --initTime 2017-07-04T12:38:00 --startdatetime 2017-07-04T12:42:18 --delay 1 --endMP 204:132 --enddatetime 2017-07-04T13:21:37 --enforcementcount 0 &gt;&gt;C:\Users\stu\Documents\GitHub\eaglep3-reporting\EC\2017-07-04-refined-times.txt</v>
      </c>
      <c r="AI80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{"issue":{"subject":"","project_id":79,"tracker_id":40,"status_id":1,"priority_id":2,"assigned_to_id":23,"start_date":"2017-07-04","description":"","custom_fields":[{"id":1,"name":"Subdivision","value":"EC"},{"id":4,"name":"Milepost","value":"0.0132"},{"id":17,"name":"Train ID","value":"166-04"},{"id":16,"name":"Locomotive ID","value":"4063"},{"id":130,"name":"Impact","value":""},{"id":150,"name":"Time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20"/>
        <v>start /low /b %USERPROFILE%\Documents\GitHub\eaglep3\Utilities\DownloadLogsFromS3.py --loco 4063 --day 2017-07-04</v>
      </c>
      <c r="AN80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749</v>
      </c>
      <c r="B81" s="7">
        <v>4044</v>
      </c>
      <c r="C81" s="21" t="s">
        <v>202</v>
      </c>
      <c r="D81" s="21" t="s">
        <v>889</v>
      </c>
      <c r="E81" s="13">
        <v>42920.526388888888</v>
      </c>
      <c r="F81" s="13">
        <v>42920.500543981485</v>
      </c>
      <c r="G81" s="7">
        <v>1</v>
      </c>
      <c r="H81" s="21" t="s">
        <v>582</v>
      </c>
      <c r="I81" s="13">
        <v>42920.527881944443</v>
      </c>
      <c r="J81" s="7">
        <v>0</v>
      </c>
      <c r="K81" s="89" t="str">
        <f t="shared" si="39"/>
        <v>4043/4044</v>
      </c>
      <c r="L81" s="21" t="str">
        <f>VLOOKUP(A81,'Trips&amp;Operators'!$C$1:$G$99999,5,FALSE)</f>
        <v>LEVERE CRAIG</v>
      </c>
      <c r="M81" s="6">
        <f t="shared" si="40"/>
        <v>2.7337962957972195E-2</v>
      </c>
      <c r="N81" s="7">
        <f t="shared" si="41"/>
        <v>39.366666659479961</v>
      </c>
      <c r="O81" s="7"/>
      <c r="P81" s="7"/>
      <c r="Q81" s="22"/>
      <c r="R81" s="170"/>
      <c r="S81" s="213">
        <f t="shared" si="42"/>
        <v>1</v>
      </c>
      <c r="T81" s="195" t="str">
        <f t="shared" si="43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4"/>
        <v>https://d0f6bd738d7f1b3e5a7ca70fe4ff75f0.us-east-1.aws.found.io/app/kibana#/discover/Steve-Slow-Train-Analysis-(2080s-and-2083s)?_g=(refreshInterval:(display:Off,pause:!f,section:0,value:0),time:(from:'2017-07-04T11:38:00-0600',mode:absolute,to:'2017-07-04T13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197" t="str">
        <f>IF(AA81&lt;VLOOKUP(AG81,Variables!$AC$3:$AD$8,2,FALSE),"Y","N")</f>
        <v>N</v>
      </c>
      <c r="X81" s="197">
        <f t="shared" si="30"/>
        <v>1</v>
      </c>
      <c r="Y81" s="197">
        <v>4.5699999999999998E-2</v>
      </c>
      <c r="Z81" s="197">
        <v>23.331399999999999</v>
      </c>
      <c r="AA81" s="197">
        <f t="shared" si="45"/>
        <v>23.285699999999999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6"/>
        <v>167</v>
      </c>
      <c r="AE81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81" s="74" t="str">
        <f t="shared" si="48"/>
        <v>"C:\Program Files (x86)\AstroGrep\AstroGrep.exe" /e /r /s /spath="%USERPROFILE%\AppData\Local\Temp\OnboardLogs" /stypes="app*4044*20170704*" /stext=" 18:.+((SYSTEM_STATE.+slice.+state.+changed )|(ment ac)|(multiple cpu faults)|(system.+state.+changed )|(\[timeout)|(PRM\|1\|D)|(kpr)|(kdp)|(train st.+moving)|(\|lc)|(penalty))"</v>
      </c>
      <c r="AG81" s="209" t="str">
        <f t="shared" si="49"/>
        <v>EC</v>
      </c>
      <c r="AH81" s="78" t="str">
        <f t="shared" ref="AH81" si="54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167-04 --locoid 4044 --swversion DE.1.0.9.0 --startMP 204:233079 --initTime 2017-07-04T12:38:00 --startdatetime 2017-07-04T12:00:47 --delay 1 --endMP 204:132 --enddatetime 2017-07-04T12:40:09 --enforcementcount 0 &gt;&gt;C:\Users\stu\Documents\GitHub\eaglep3-reporting\EC\2017-07-04-refined-times.txt</v>
      </c>
      <c r="AI81" s="96" t="str">
        <f t="shared" ref="AI81" si="55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ID","value":"167-04"},{"id":16,"name":"Locomotive ID","value":"4044"},{"id":130,"name":"Impact","value":""},{"id":150,"name":"Time of Event (Mountain Time)","value":"12:40:09"},{"id":151,"name":"Denver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ref="AM81" si="56">"start /low /b "&amp;dls3logs&amp;" --loco "&amp;B81&amp;" --day "&amp;TEXT(F81,"YYYY-MM-DD")</f>
        <v>start /low /b %USERPROFILE%\Documents\GitHub\eaglep3\Utilities\DownloadLogsFromS3.py --loco 4044 --day 2017-07-04</v>
      </c>
      <c r="AN81" s="151" t="str">
        <f t="shared" ref="AN81" si="57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</row>
    <row r="82" spans="1:91" s="1" customFormat="1" x14ac:dyDescent="0.25">
      <c r="A82" s="32" t="s">
        <v>762</v>
      </c>
      <c r="B82" s="7">
        <v>4043</v>
      </c>
      <c r="C82" s="21" t="s">
        <v>202</v>
      </c>
      <c r="D82" s="21" t="s">
        <v>526</v>
      </c>
      <c r="E82" s="13">
        <v>42920.533206018517</v>
      </c>
      <c r="F82" s="13">
        <v>42920.539756944447</v>
      </c>
      <c r="G82" s="7">
        <v>1</v>
      </c>
      <c r="H82" s="21" t="s">
        <v>350</v>
      </c>
      <c r="I82" s="13">
        <v>42920.569548611114</v>
      </c>
      <c r="J82" s="7">
        <v>0</v>
      </c>
      <c r="K82" s="89" t="str">
        <f t="shared" si="39"/>
        <v>4043/4044</v>
      </c>
      <c r="L82" s="21" t="str">
        <f>VLOOKUP(A82,'Trips&amp;Operators'!$C$1:$G$99999,5,FALSE)</f>
        <v>LEVERE CRAIG</v>
      </c>
      <c r="M82" s="6">
        <f t="shared" si="40"/>
        <v>2.9791666667733807E-2</v>
      </c>
      <c r="N82" s="7">
        <f t="shared" si="41"/>
        <v>42.900000001536682</v>
      </c>
      <c r="O82" s="7"/>
      <c r="P82" s="7"/>
      <c r="Q82" s="22"/>
      <c r="R82" s="170"/>
      <c r="S82" s="213">
        <f t="shared" si="42"/>
        <v>1</v>
      </c>
      <c r="T82" s="195" t="str">
        <f t="shared" si="43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4"/>
        <v>https://d0f6bd738d7f1b3e5a7ca70fe4ff75f0.us-east-1.aws.found.io/app/kibana#/discover/Steve-Slow-Train-Analysis-(2080s-and-2083s)?_g=(refreshInterval:(display:Off,pause:!f,section:0,value:0),time:(from:'2017-07-04T11:47:49-0600',mode:absolute,to:'2017-07-04T14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197" t="str">
        <f>IF(AA82&lt;VLOOKUP(AG82,Variables!$AC$3:$AD$8,2,FALSE),"Y","N")</f>
        <v>N</v>
      </c>
      <c r="X82" s="197">
        <f t="shared" ref="X82:X83" si="58">VALUE(LEFT(AD82,4))-VALUE(LEFT(AD81,4))</f>
        <v>1</v>
      </c>
      <c r="Y82" s="197">
        <f>RIGHT(D82,LEN(D82)-4)/10000</f>
        <v>23.299199999999999</v>
      </c>
      <c r="Z82" s="197">
        <f>RIGHT(H82,LEN(H82)-4)/10000</f>
        <v>1.43E-2</v>
      </c>
      <c r="AA82" s="197">
        <f t="shared" si="45"/>
        <v>23.2849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6"/>
        <v>168</v>
      </c>
      <c r="AE82" s="77" t="str">
        <f t="shared" si="47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82" s="74" t="str">
        <f t="shared" si="48"/>
        <v>"C:\Program Files (x86)\AstroGrep\AstroGrep.exe" /e /r /s /spath="%USERPROFILE%\AppData\Local\Temp\OnboardLogs" /stypes="app*4043*20170704*" /stext=" 19:.+((SYSTEM_STATE.+slice.+state.+changed )|(ment ac)|(multiple cpu faults)|(system.+state.+changed )|(\[timeout)|(PRM\|1\|D)|(kpr)|(kdp)|(train st.+moving)|(\|lc)|(penalty))"</v>
      </c>
      <c r="AG82" s="209" t="str">
        <f t="shared" si="49"/>
        <v>EC</v>
      </c>
      <c r="AH82" s="78" t="str">
        <f t="shared" si="18"/>
        <v>"%USERPROFILE%\Documents\GitHub\eaglep3\Utilities\RefineRTDCRunTimes.py" --tripid 168-04 --locoid 4043 --swversion DE.1.0.9.0 --startMP 204:232992 --initTime 2017-07-04T12:47:49 --startdatetime 2017-07-04T12:57:15 --delay 1 --endMP 204:143 --enddatetime 2017-07-04T13:40:09 --enforcementcount 0 &gt;&gt;C:\Users\stu\Documents\GitHub\eaglep3-reporting\EC\2017-07-04-refined-times.txt</v>
      </c>
      <c r="AI82" s="96" t="str">
        <f t="shared" si="19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ID","value":"168-04"},{"id":16,"name":"Locomotive ID","value":"4043"},{"id":130,"name":"Impact","value":""},{"id":150,"name":"Time of Event (Mountain Time)","value":"13:40:09"},{"id":151,"name":"Denver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0"/>
        <v>start /low /b %USERPROFILE%\Documents\GitHub\eaglep3\Utilities\DownloadLogsFromS3.py --loco 4043 --day 2017-07-04</v>
      </c>
      <c r="AN82" s="151" t="str">
        <f t="shared" si="2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756</v>
      </c>
      <c r="B83" s="7">
        <v>4008</v>
      </c>
      <c r="C83" s="21" t="s">
        <v>202</v>
      </c>
      <c r="D83" s="21" t="s">
        <v>198</v>
      </c>
      <c r="E83" s="13">
        <v>42920.508194444446</v>
      </c>
      <c r="F83" s="13">
        <v>42920.510972222219</v>
      </c>
      <c r="G83" s="7">
        <v>1</v>
      </c>
      <c r="H83" s="21" t="s">
        <v>532</v>
      </c>
      <c r="I83" s="13">
        <v>42920.543090277781</v>
      </c>
      <c r="J83" s="7">
        <v>0</v>
      </c>
      <c r="K83" s="89" t="str">
        <f t="shared" si="39"/>
        <v>4007/4008</v>
      </c>
      <c r="L83" s="21" t="str">
        <f>VLOOKUP(A83,'Trips&amp;Operators'!$C$1:$G$99999,5,FALSE)</f>
        <v>BRANDNER MELINDA</v>
      </c>
      <c r="M83" s="6">
        <f t="shared" si="40"/>
        <v>3.2118055562023073E-2</v>
      </c>
      <c r="N83" s="7">
        <f t="shared" si="41"/>
        <v>46.250000009313226</v>
      </c>
      <c r="O83" s="7"/>
      <c r="P83" s="7"/>
      <c r="Q83" s="22"/>
      <c r="R83" s="170"/>
      <c r="S83" s="213">
        <f t="shared" si="42"/>
        <v>1</v>
      </c>
      <c r="T83" s="195" t="str">
        <f t="shared" si="43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4"/>
        <v>https://d0f6bd738d7f1b3e5a7ca70fe4ff75f0.us-east-1.aws.found.io/app/kibana#/discover/Steve-Slow-Train-Analysis-(2080s-and-2083s)?_g=(refreshInterval:(display:Off,pause:!f,section:0,value:0),time:(from:'2017-07-04T11:11:48-0600',mode:absolute,to:'2017-07-04T14:02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97" t="str">
        <f>IF(AA83&lt;VLOOKUP(AG83,Variables!$AC$3:$AD$8,2,FALSE),"Y","N")</f>
        <v>N</v>
      </c>
      <c r="X83" s="197">
        <f t="shared" si="58"/>
        <v>1</v>
      </c>
      <c r="Y83" s="197">
        <f>RIGHT(D83,LEN(D83)-4)/10000</f>
        <v>4.5699999999999998E-2</v>
      </c>
      <c r="Z83" s="197">
        <f>RIGHT(H83,LEN(H83)-4)/10000</f>
        <v>23.331399999999999</v>
      </c>
      <c r="AA83" s="197">
        <f t="shared" si="45"/>
        <v>23.285699999999999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6"/>
        <v>169</v>
      </c>
      <c r="AE83" s="77" t="str">
        <f t="shared" si="47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83" s="74" t="str">
        <f t="shared" si="48"/>
        <v>"C:\Program Files (x86)\AstroGrep\AstroGrep.exe" /e /r /s /spath="%USERPROFILE%\AppData\Local\Temp\OnboardLogs" /stypes="app*4008*20170704*" /stext=" 19:.+((SYSTEM_STATE.+slice.+state.+changed )|(ment ac)|(multiple cpu faults)|(system.+state.+changed )|(\[timeout)|(PRM\|1\|D)|(kpr)|(kdp)|(train st.+moving)|(\|lc)|(penalty))"</v>
      </c>
      <c r="AG83" s="209" t="str">
        <f t="shared" si="49"/>
        <v>EC</v>
      </c>
      <c r="AH83" s="78" t="str">
        <f t="shared" ref="AH83:AH147" si="59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169-04 --locoid 4008 --swversion DE.1.0.9.0 --startMP 204:457 --initTime 2017-07-04T12:11:48 --startdatetime 2017-07-04T12:15:48 --delay 1 --endMP 204:233314 --enddatetime 2017-07-04T13:02:03 --enforcementcount 0 &gt;&gt;C:\Users\stu\Documents\GitHub\eaglep3-reporting\EC\2017-07-04-refined-times.txt</v>
      </c>
      <c r="AI83" s="96" t="str">
        <f t="shared" ref="AI83:AI147" si="60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ID","value":"169-04"},{"id":16,"name":"Locomotive ID","value":"4008"},{"id":130,"name":"Impact","value":""},{"id":150,"name":"Time of Event (Mountain Time)","value":"13:02:03"},{"id":151,"name":"Denver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ref="AM83:AM147" si="61">"start /low /b "&amp;dls3logs&amp;" --loco "&amp;B83&amp;" --day "&amp;TEXT(F83,"YYYY-MM-DD")</f>
        <v>start /low /b %USERPROFILE%\Documents\GitHub\eaglep3\Utilities\DownloadLogsFromS3.py --loco 4008 --day 2017-07-04</v>
      </c>
      <c r="AN83" s="151" t="str">
        <f t="shared" ref="AN83:AN147" si="62"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625</v>
      </c>
      <c r="B84" s="7">
        <v>4007</v>
      </c>
      <c r="C84" s="21" t="s">
        <v>202</v>
      </c>
      <c r="D84" s="21" t="s">
        <v>890</v>
      </c>
      <c r="E84" s="13">
        <v>42920.547326388885</v>
      </c>
      <c r="F84" s="13">
        <v>42920.550208333334</v>
      </c>
      <c r="G84" s="7">
        <v>2</v>
      </c>
      <c r="H84" s="21" t="s">
        <v>578</v>
      </c>
      <c r="I84" s="13">
        <v>42920.580601851849</v>
      </c>
      <c r="J84" s="7">
        <v>0</v>
      </c>
      <c r="K84" s="89" t="str">
        <f t="shared" si="39"/>
        <v>4007/4008</v>
      </c>
      <c r="L84" s="21" t="str">
        <f>VLOOKUP(A84,'Trips&amp;Operators'!$C$1:$G$99999,5,FALSE)</f>
        <v>BRANDNER MELINDA</v>
      </c>
      <c r="M84" s="6">
        <f t="shared" si="40"/>
        <v>3.0393518514756579E-2</v>
      </c>
      <c r="N84" s="7">
        <f t="shared" si="41"/>
        <v>43.766666661249474</v>
      </c>
      <c r="O84" s="7"/>
      <c r="P84" s="7"/>
      <c r="Q84" s="22"/>
      <c r="R84" s="170"/>
      <c r="S84" s="213">
        <f t="shared" si="42"/>
        <v>1</v>
      </c>
      <c r="T84" s="195" t="str">
        <f t="shared" si="43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4"/>
        <v>https://d0f6bd738d7f1b3e5a7ca70fe4ff75f0.us-east-1.aws.found.io/app/kibana#/discover/Steve-Slow-Train-Analysis-(2080s-and-2083s)?_g=(refreshInterval:(display:Off,pause:!f,section:0,value:0),time:(from:'2017-07-04T12:08:09-0600',mode:absolute,to:'2017-07-04T14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197" t="str">
        <f>IF(AA84&lt;VLOOKUP(AG84,Variables!$AC$3:$AD$8,2,FALSE),"Y","N")</f>
        <v>N</v>
      </c>
      <c r="X84" s="197">
        <f t="shared" ref="X84:X125" si="63">VALUE(LEFT(AD84,4))-VALUE(LEFT(AD83,4))</f>
        <v>1</v>
      </c>
      <c r="Y84" s="197">
        <f>RIGHT(D84,LEN(D84)-4)/10000</f>
        <v>23.297899999999998</v>
      </c>
      <c r="Z84" s="197">
        <f>RIGHT(H84,LEN(H84)-4)/10000</f>
        <v>2.3099999999999999E-2</v>
      </c>
      <c r="AA84" s="197">
        <f t="shared" si="45"/>
        <v>23.274799999999999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6"/>
        <v>170</v>
      </c>
      <c r="AE84" s="77" t="str">
        <f t="shared" si="47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84" s="74" t="str">
        <f t="shared" si="48"/>
        <v>"C:\Program Files (x86)\AstroGrep\AstroGrep.exe" /e /r /s /spath="%USERPROFILE%\AppData\Local\Temp\OnboardLogs" /stypes="app*4007*20170704*" /stext=" 19:.+((SYSTEM_STATE.+slice.+state.+changed )|(ment ac)|(multiple cpu faults)|(system.+state.+changed )|(\[timeout)|(PRM\|1\|D)|(kpr)|(kdp)|(train st.+moving)|(\|lc)|(penalty))"</v>
      </c>
      <c r="AG84" s="209" t="str">
        <f t="shared" si="49"/>
        <v>EC</v>
      </c>
      <c r="AH84" s="78" t="str">
        <f t="shared" si="59"/>
        <v>"%USERPROFILE%\Documents\GitHub\eaglep3\Utilities\RefineRTDCRunTimes.py" --tripid 170-04 --locoid 4007 --swversion DE.1.0.9.0 --startMP 204:232979 --initTime 2017-07-04T13:08:09 --startdatetime 2017-07-04T13:12:18 --delay 2 --endMP 204:231 --enddatetime 2017-07-04T13:56:04 --enforcementcount 0 &gt;&gt;C:\Users\stu\Documents\GitHub\eaglep3-reporting\EC\2017-07-04-refined-times.txt</v>
      </c>
      <c r="AI8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{"issue":{"subject":"","project_id":79,"tracker_id":40,"status_id":1,"priority_id":2,"assigned_to_id":23,"start_date":"2017-07-04","description":"","custom_fields":[{"id":1,"name":"Subdivision","value":"EC"},{"id":4,"name":"Milepost","value":"0.0231"},{"id":17,"name":"Train ID","value":"170-04"},{"id":16,"name":"Locomotive ID","value":"4007"},{"id":130,"name":"Impact","value":""},{"id":150,"name":"Time of Event (Mountain Time)","value":"13:56:04"},{"id":151,"name":"Denver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61"/>
        <v>start /low /b %USERPROFILE%\Documents\GitHub\eaglep3\Utilities\DownloadLogsFromS3.py --loco 4007 --day 2017-07-04</v>
      </c>
      <c r="AN84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757</v>
      </c>
      <c r="B85" s="7">
        <v>4046</v>
      </c>
      <c r="C85" s="21" t="s">
        <v>202</v>
      </c>
      <c r="D85" s="21" t="s">
        <v>355</v>
      </c>
      <c r="E85" s="13">
        <v>42920.519884259258</v>
      </c>
      <c r="F85" s="13">
        <v>42920.521701388891</v>
      </c>
      <c r="G85" s="7">
        <v>1</v>
      </c>
      <c r="H85" s="21" t="s">
        <v>532</v>
      </c>
      <c r="I85" s="13">
        <v>42920.549780092595</v>
      </c>
      <c r="J85" s="7">
        <v>0</v>
      </c>
      <c r="K85" s="89" t="str">
        <f t="shared" si="39"/>
        <v>4045/4046</v>
      </c>
      <c r="L85" s="21" t="str">
        <f>VLOOKUP(A85,'Trips&amp;Operators'!$C$1:$G$99999,5,FALSE)</f>
        <v>DAVIS MICHAEL</v>
      </c>
      <c r="M85" s="6">
        <f t="shared" si="40"/>
        <v>2.8078703704522923E-2</v>
      </c>
      <c r="N85" s="7">
        <f t="shared" si="41"/>
        <v>40.433333334513009</v>
      </c>
      <c r="O85" s="7"/>
      <c r="P85" s="7"/>
      <c r="Q85" s="22"/>
      <c r="R85" s="170"/>
      <c r="S85" s="213">
        <f t="shared" si="42"/>
        <v>1</v>
      </c>
      <c r="T85" s="195" t="str">
        <f t="shared" si="43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4"/>
        <v>https://d0f6bd738d7f1b3e5a7ca70fe4ff75f0.us-east-1.aws.found.io/app/kibana#/discover/Steve-Slow-Train-Analysis-(2080s-and-2083s)?_g=(refreshInterval:(display:Off,pause:!f,section:0,value:0),time:(from:'2017-07-04T11:28:38-0600',mode:absolute,to:'2017-07-04T14:11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97" t="str">
        <f>IF(AA85&lt;VLOOKUP(AG85,Variables!$AC$3:$AD$8,2,FALSE),"Y","N")</f>
        <v>N</v>
      </c>
      <c r="X85" s="197">
        <f t="shared" si="63"/>
        <v>1</v>
      </c>
      <c r="Y85" s="197">
        <f>RIGHT(D85,LEN(D85)-4)/10000</f>
        <v>4.4699999999999997E-2</v>
      </c>
      <c r="Z85" s="197">
        <f>RIGHT(H85,LEN(H85)-4)/10000</f>
        <v>23.331399999999999</v>
      </c>
      <c r="AA85" s="197">
        <f t="shared" si="45"/>
        <v>23.2867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6"/>
        <v>171</v>
      </c>
      <c r="AE85" s="77" t="str">
        <f t="shared" si="47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85" s="74" t="str">
        <f t="shared" si="48"/>
        <v>"C:\Program Files (x86)\AstroGrep\AstroGrep.exe" /e /r /s /spath="%USERPROFILE%\AppData\Local\Temp\OnboardLogs" /stypes="app*4046*20170704*" /stext=" 19:.+((SYSTEM_STATE.+slice.+state.+changed )|(ment ac)|(multiple cpu faults)|(system.+state.+changed )|(\[timeout)|(PRM\|1\|D)|(kpr)|(kdp)|(train st.+moving)|(\|lc)|(penalty))"</v>
      </c>
      <c r="AG85" s="209" t="str">
        <f t="shared" si="49"/>
        <v>EC</v>
      </c>
      <c r="AH85" s="78" t="str">
        <f t="shared" si="59"/>
        <v>"%USERPROFILE%\Documents\GitHub\eaglep3\Utilities\RefineRTDCRunTimes.py" --tripid 171-04 --locoid 4046 --swversion DE.1.0.9.0 --startMP 204:447 --initTime 2017-07-04T12:28:38 --startdatetime 2017-07-04T12:31:15 --delay 1 --endMP 204:233314 --enddatetime 2017-07-04T13:11:41 --enforcementcount 0 &gt;&gt;C:\Users\stu\Documents\GitHub\eaglep3-reporting\EC\2017-07-04-refined-times.txt</v>
      </c>
      <c r="AI8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ID","value":"171-04"},{"id":16,"name":"Locomotive ID","value":"4046"},{"id":130,"name":"Impact","value":""},{"id":150,"name":"Time of Event (Mountain Time)","value":"13:11:41"},{"id":151,"name":"Denver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61"/>
        <v>start /low /b %USERPROFILE%\Documents\GitHub\eaglep3\Utilities\DownloadLogsFromS3.py --loco 4046 --day 2017-07-04</v>
      </c>
      <c r="AN85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19:11:41"},{"id":29,"name":"Sharepoint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765</v>
      </c>
      <c r="B86" s="7">
        <v>4045</v>
      </c>
      <c r="C86" s="21" t="s">
        <v>202</v>
      </c>
      <c r="D86" s="21" t="s">
        <v>878</v>
      </c>
      <c r="E86" s="13">
        <v>42920.559606481482</v>
      </c>
      <c r="F86" s="13">
        <v>42920.561296296299</v>
      </c>
      <c r="G86" s="7">
        <v>1</v>
      </c>
      <c r="H86" s="21" t="s">
        <v>356</v>
      </c>
      <c r="I86" s="13">
        <v>42920.592604166668</v>
      </c>
      <c r="J86" s="7">
        <v>0</v>
      </c>
      <c r="K86" s="89" t="str">
        <f t="shared" si="39"/>
        <v>4045/4046</v>
      </c>
      <c r="L86" s="21" t="str">
        <f>VLOOKUP(A86,'Trips&amp;Operators'!$C$1:$G$99999,5,FALSE)</f>
        <v>DAVIS MICHAEL</v>
      </c>
      <c r="M86" s="6">
        <f t="shared" si="40"/>
        <v>3.1307870369346347E-2</v>
      </c>
      <c r="N86" s="7">
        <f t="shared" si="41"/>
        <v>45.083333331858739</v>
      </c>
      <c r="O86" s="7"/>
      <c r="P86" s="7"/>
      <c r="Q86" s="22"/>
      <c r="R86" s="170" t="s">
        <v>1033</v>
      </c>
      <c r="S86" s="213">
        <f t="shared" si="42"/>
        <v>1</v>
      </c>
      <c r="T86" s="195" t="str">
        <f t="shared" si="4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4"/>
        <v>https://d0f6bd738d7f1b3e5a7ca70fe4ff75f0.us-east-1.aws.found.io/app/kibana#/discover/Steve-Slow-Train-Analysis-(2080s-and-2083s)?_g=(refreshInterval:(display:Off,pause:!f,section:0,value:0),time:(from:'2017-07-04T12:25:50-0600',mode:absolute,to:'2017-07-04T15:13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97" t="str">
        <f>IF(AA86&lt;VLOOKUP(AG86,Variables!$AC$3:$AD$8,2,FALSE),"Y","N")</f>
        <v>N</v>
      </c>
      <c r="X86" s="197">
        <f t="shared" si="63"/>
        <v>1</v>
      </c>
      <c r="Y86" s="197">
        <f>RIGHT(D86,LEN(D86)-4)/10000</f>
        <v>23.298400000000001</v>
      </c>
      <c r="Z86" s="197">
        <f>RIGHT(H86,LEN(H86)-4)/10000</f>
        <v>1.3899999999999999E-2</v>
      </c>
      <c r="AA86" s="197">
        <f t="shared" si="45"/>
        <v>23.284500000000001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6"/>
        <v>172</v>
      </c>
      <c r="AE86" s="77" t="str">
        <f t="shared" si="47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86" s="74" t="str">
        <f t="shared" si="48"/>
        <v>"C:\Program Files (x86)\AstroGrep\AstroGrep.exe" /e /r /s /spath="%USERPROFILE%\AppData\Local\Temp\OnboardLogs" /stypes="app*4045*20170704*" /stext=" 20:.+((SYSTEM_STATE.+slice.+state.+changed )|(ment ac)|(multiple cpu faults)|(system.+state.+changed )|(\[timeout)|(PRM\|1\|D)|(kpr)|(kdp)|(train st.+moving)|(\|lc)|(penalty))"</v>
      </c>
      <c r="AG86" s="209" t="str">
        <f t="shared" si="49"/>
        <v>EC</v>
      </c>
      <c r="AH86" s="78" t="str">
        <f t="shared" si="59"/>
        <v>"%USERPROFILE%\Documents\GitHub\eaglep3\Utilities\RefineRTDCRunTimes.py" --tripid 172-04 --locoid 4045 --swversion DE.1.0.9.0 --startMP 204:232984 --initTime 2017-07-04T13:25:50 --startdatetime 2017-07-04T13:28:16 --delay 1 --endMP 204:139 --enddatetime 2017-07-04T14:13:21 --enforcementcount 0 &gt;&gt;C:\Users\stu\Documents\GitHub\eaglep3-reporting\EC\2017-07-04-refined-times.txt</v>
      </c>
      <c r="AI86" s="96" t="str">
        <f t="shared" si="60"/>
        <v>echo {"issue":{"subject":"Unhealthy @ Chambers due to train stop","project_id":79,"tracker_id":40,"status_id":1,"priority_id":2,"assigned_to_id":23,"start_date":"2017-07-04","description":"","custom_fields":[{"id":1,"name":"Subdivision","value":"EC"},{"id":4,"name":"Milepost","value":"0.0139"},{"id":17,"name":"Train ID","value":"172-04"},{"id":16,"name":"Locomotive ID","value":"4045"},{"id":130,"name":"Impact","value":""},{"id":150,"name":"Time of Event (Mountain Time)","value":"14:13:21"},{"id":151,"name":"Denver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61"/>
        <v>start /low /b %USERPROFILE%\Documents\GitHub\eaglep3\Utilities\DownloadLogsFromS3.py --loco 4045 --day 2017-07-04</v>
      </c>
      <c r="AN86" s="151" t="str">
        <f t="shared" si="62"/>
        <v>echo {"issue":{"subject":"Unhealthy @ Chambers due to train stop","project_id":30,"tracker_id":4,"status_id":1,"priority_id":1,"assigned_to_id":10,"start_date":"2017-07-04","description":"","custom_fields":[{"id":30,"name":"Category","value":"Issue"},{"id":3,"name":"Functional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760</v>
      </c>
      <c r="B87" s="7">
        <v>4012</v>
      </c>
      <c r="C87" s="21" t="s">
        <v>202</v>
      </c>
      <c r="D87" s="21" t="s">
        <v>878</v>
      </c>
      <c r="E87" s="13">
        <v>42920.559606481482</v>
      </c>
      <c r="F87" s="13">
        <v>42920.531840277778</v>
      </c>
      <c r="G87" s="7">
        <v>1</v>
      </c>
      <c r="H87" s="21" t="s">
        <v>356</v>
      </c>
      <c r="I87" s="13">
        <v>42920.557662037034</v>
      </c>
      <c r="J87" s="7">
        <v>0</v>
      </c>
      <c r="K87" s="89" t="str">
        <f t="shared" si="39"/>
        <v>4011/4012</v>
      </c>
      <c r="L87" s="21" t="str">
        <f>VLOOKUP(A87,'Trips&amp;Operators'!$C$1:$G$99999,5,FALSE)</f>
        <v>MOSES BRADLEY</v>
      </c>
      <c r="M87" s="6">
        <f t="shared" si="40"/>
        <v>2.5821759256359655E-2</v>
      </c>
      <c r="N87" s="7">
        <f t="shared" si="41"/>
        <v>37.183333329157904</v>
      </c>
      <c r="O87" s="7"/>
      <c r="P87" s="7"/>
      <c r="Q87" s="22"/>
      <c r="R87" s="170"/>
      <c r="S87" s="213">
        <f t="shared" si="42"/>
        <v>1</v>
      </c>
      <c r="T87" s="195" t="str">
        <f t="shared" si="43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4"/>
        <v>https://d0f6bd738d7f1b3e5a7ca70fe4ff75f0.us-east-1.aws.found.io/app/kibana#/discover/Steve-Slow-Train-Analysis-(2080s-and-2083s)?_g=(refreshInterval:(display:Off,pause:!f,section:0,value:0),time:(from:'2017-07-04T12:25:50-0600',mode:absolute,to:'2017-07-04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7" t="str">
        <f>IF(AA87&lt;VLOOKUP(AG87,Variables!$AC$3:$AD$8,2,FALSE),"Y","N")</f>
        <v>N</v>
      </c>
      <c r="X87" s="197">
        <f t="shared" si="63"/>
        <v>1</v>
      </c>
      <c r="Y87" s="197">
        <v>4.4699999999999997E-2</v>
      </c>
      <c r="Z87" s="197">
        <v>23.331399999999999</v>
      </c>
      <c r="AA87" s="197">
        <f t="shared" si="45"/>
        <v>23.2867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6"/>
        <v>173</v>
      </c>
      <c r="AE87" s="77" t="str">
        <f t="shared" si="47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87" s="74" t="str">
        <f t="shared" si="48"/>
        <v>"C:\Program Files (x86)\AstroGrep\AstroGrep.exe" /e /r /s /spath="%USERPROFILE%\AppData\Local\Temp\OnboardLogs" /stypes="app*4012*20170704*" /stext=" 19:.+((SYSTEM_STATE.+slice.+state.+changed )|(ment ac)|(multiple cpu faults)|(system.+state.+changed )|(\[timeout)|(PRM\|1\|D)|(kpr)|(kdp)|(train st.+moving)|(\|lc)|(penalty))"</v>
      </c>
      <c r="AG87" s="209" t="str">
        <f t="shared" si="49"/>
        <v>EC</v>
      </c>
      <c r="AH87" s="78" t="str">
        <f t="shared" ref="AH87" si="64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173-04 --locoid 4012 --swversion DE.1.0.9.0 --startMP 204:232984 --initTime 2017-07-04T13:25:50 --startdatetime 2017-07-04T12:45:51 --delay 1 --endMP 204:139 --enddatetime 2017-07-04T13:23:02 --enforcementcount 0 &gt;&gt;C:\Users\stu\Documents\GitHub\eaglep3-reporting\EC\2017-07-04-refined-times.txt</v>
      </c>
      <c r="AI87" s="96" t="str">
        <f t="shared" ref="AI87" si="65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{"issue":{"subject":"","project_id":79,"tracker_id":40,"status_id":1,"priority_id":2,"assigned_to_id":23,"start_date":"2017-07-04","description":"","custom_fields":[{"id":1,"name":"Subdivision","value":"EC"},{"id":4,"name":"Milepost","value":"23.3314"},{"id":17,"name":"Train ID","value":"173-04"},{"id":16,"name":"Locomotive ID","value":"4012"},{"id":130,"name":"Impact","value":""},{"id":150,"name":"Time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ref="AM87" si="66">"start /low /b "&amp;dls3logs&amp;" --loco "&amp;B87&amp;" --day "&amp;TEXT(F87,"YYYY-MM-DD")</f>
        <v>start /low /b %USERPROFILE%\Documents\GitHub\eaglep3\Utilities\DownloadLogsFromS3.py --loco 4012 --day 2017-07-04</v>
      </c>
      <c r="AN87" s="151" t="str">
        <f t="shared" ref="AN87" si="67"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</row>
    <row r="88" spans="1:91" s="1" customFormat="1" x14ac:dyDescent="0.25">
      <c r="A88" s="32" t="s">
        <v>766</v>
      </c>
      <c r="B88" s="7">
        <v>4011</v>
      </c>
      <c r="C88" s="21" t="s">
        <v>202</v>
      </c>
      <c r="D88" s="21" t="s">
        <v>603</v>
      </c>
      <c r="E88" s="13">
        <v>42920.567685185182</v>
      </c>
      <c r="F88" s="13">
        <v>42920.571261574078</v>
      </c>
      <c r="G88" s="7">
        <v>1</v>
      </c>
      <c r="H88" s="21" t="s">
        <v>503</v>
      </c>
      <c r="I88" s="13">
        <v>42920.599108796298</v>
      </c>
      <c r="J88" s="7">
        <v>0</v>
      </c>
      <c r="K88" s="89" t="str">
        <f t="shared" si="39"/>
        <v>4011/4012</v>
      </c>
      <c r="L88" s="21" t="str">
        <f>VLOOKUP(A88,'Trips&amp;Operators'!$C$1:$G$99999,5,FALSE)</f>
        <v>MOSES BRADLEY</v>
      </c>
      <c r="M88" s="6">
        <f t="shared" si="40"/>
        <v>2.7847222219861578E-2</v>
      </c>
      <c r="N88" s="7">
        <f t="shared" si="41"/>
        <v>40.099999996600673</v>
      </c>
      <c r="O88" s="7"/>
      <c r="P88" s="7"/>
      <c r="Q88" s="22"/>
      <c r="R88" s="170"/>
      <c r="S88" s="213">
        <f t="shared" si="42"/>
        <v>1</v>
      </c>
      <c r="T88" s="195" t="str">
        <f t="shared" si="43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4"/>
        <v>https://d0f6bd738d7f1b3e5a7ca70fe4ff75f0.us-east-1.aws.found.io/app/kibana#/discover/Steve-Slow-Train-Analysis-(2080s-and-2083s)?_g=(refreshInterval:(display:Off,pause:!f,section:0,value:0),time:(from:'2017-07-04T12:37:28-0600',mode:absolute,to:'2017-07-04T15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7" t="str">
        <f>IF(AA88&lt;VLOOKUP(AG88,Variables!$AC$3:$AD$8,2,FALSE),"Y","N")</f>
        <v>N</v>
      </c>
      <c r="X88" s="197">
        <f t="shared" si="63"/>
        <v>1</v>
      </c>
      <c r="Y88" s="197">
        <f>RIGHT(D88,LEN(D88)-4)/10000</f>
        <v>23.304200000000002</v>
      </c>
      <c r="Z88" s="197">
        <f>RIGHT(H88,LEN(H88)-4)/10000</f>
        <v>1.3599999999999999E-2</v>
      </c>
      <c r="AA88" s="197">
        <f t="shared" si="45"/>
        <v>23.290600000000001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6"/>
        <v>174</v>
      </c>
      <c r="AE88" s="77" t="str">
        <f t="shared" si="47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88" s="74" t="str">
        <f t="shared" si="48"/>
        <v>"C:\Program Files (x86)\AstroGrep\AstroGrep.exe" /e /r /s /spath="%USERPROFILE%\AppData\Local\Temp\OnboardLogs" /stypes="app*4011*20170704*" /stext=" 20:.+((SYSTEM_STATE.+slice.+state.+changed )|(ment ac)|(multiple cpu faults)|(system.+state.+changed )|(\[timeout)|(PRM\|1\|D)|(kpr)|(kdp)|(train st.+moving)|(\|lc)|(penalty))"</v>
      </c>
      <c r="AG88" s="209" t="str">
        <f t="shared" si="49"/>
        <v>EC</v>
      </c>
      <c r="AH88" s="78" t="str">
        <f t="shared" si="59"/>
        <v>"%USERPROFILE%\Documents\GitHub\eaglep3\Utilities\RefineRTDCRunTimes.py" --tripid 174-04 --locoid 4011 --swversion DE.1.0.9.0 --startMP 204:233042 --initTime 2017-07-04T13:37:28 --startdatetime 2017-07-04T13:42:37 --delay 1 --endMP 204:136 --enddatetime 2017-07-04T14:22:43 --enforcementcount 0 &gt;&gt;C:\Users\stu\Documents\GitHub\eaglep3-reporting\EC\2017-07-04-refined-times.txt</v>
      </c>
      <c r="AI8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{"issue":{"subject":"","project_id":79,"tracker_id":40,"status_id":1,"priority_id":2,"assigned_to_id":23,"start_date":"2017-07-04","description":"","custom_fields":[{"id":1,"name":"Subdivision","value":"EC"},{"id":4,"name":"Milepost","value":"0.0136"},{"id":17,"name":"Train ID","value":"174-04"},{"id":16,"name":"Locomotive ID","value":"4011"},{"id":130,"name":"Impact","value":""},{"id":150,"name":"Time of Event (Mountain Time)","value":"14:22:43"},{"id":151,"name":"Denver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61"/>
        <v>start /low /b %USERPROFILE%\Documents\GitHub\eaglep3\Utilities\DownloadLogsFromS3.py --loco 4011 --day 2017-07-04</v>
      </c>
      <c r="AN88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763</v>
      </c>
      <c r="B89" s="7">
        <v>4024</v>
      </c>
      <c r="C89" s="21" t="s">
        <v>202</v>
      </c>
      <c r="D89" s="21" t="s">
        <v>891</v>
      </c>
      <c r="E89" s="13">
        <v>42920.542222222219</v>
      </c>
      <c r="F89" s="13">
        <v>42920.543807870374</v>
      </c>
      <c r="G89" s="7">
        <v>1</v>
      </c>
      <c r="H89" s="21" t="s">
        <v>892</v>
      </c>
      <c r="I89" s="13">
        <v>42920.571145833332</v>
      </c>
      <c r="J89" s="7">
        <v>0</v>
      </c>
      <c r="K89" s="89" t="str">
        <f t="shared" si="39"/>
        <v>4023/4024</v>
      </c>
      <c r="L89" s="21" t="str">
        <f>VLOOKUP(A89,'Trips&amp;Operators'!$C$1:$G$99999,5,FALSE)</f>
        <v>CHANDLER KELVIN</v>
      </c>
      <c r="M89" s="6">
        <f t="shared" si="40"/>
        <v>2.7337962957972195E-2</v>
      </c>
      <c r="N89" s="7">
        <f t="shared" si="41"/>
        <v>39.366666659479961</v>
      </c>
      <c r="O89" s="7"/>
      <c r="P89" s="7"/>
      <c r="Q89" s="22"/>
      <c r="R89" s="170"/>
      <c r="S89" s="213">
        <f t="shared" si="42"/>
        <v>1</v>
      </c>
      <c r="T89" s="195" t="str">
        <f t="shared" si="43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4"/>
        <v>https://d0f6bd738d7f1b3e5a7ca70fe4ff75f0.us-east-1.aws.found.io/app/kibana#/discover/Steve-Slow-Train-Analysis-(2080s-and-2083s)?_g=(refreshInterval:(display:Off,pause:!f,section:0,value:0),time:(from:'2017-07-04T12:00:48-0600',mode:absolute,to:'2017-07-04T14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9" s="197" t="str">
        <f>IF(AA89&lt;VLOOKUP(AG89,Variables!$AC$3:$AD$8,2,FALSE),"Y","N")</f>
        <v>N</v>
      </c>
      <c r="X89" s="197">
        <f t="shared" si="63"/>
        <v>1</v>
      </c>
      <c r="Y89" s="197">
        <f>RIGHT(D89,LEN(D89)-4)/10000</f>
        <v>0.15010000000000001</v>
      </c>
      <c r="Z89" s="197">
        <f>RIGHT(H89,LEN(H89)-4)/10000</f>
        <v>23.330500000000001</v>
      </c>
      <c r="AA89" s="197">
        <f t="shared" si="45"/>
        <v>23.180400000000002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6"/>
        <v>175</v>
      </c>
      <c r="AE89" s="77" t="str">
        <f t="shared" si="47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89" s="74" t="str">
        <f t="shared" si="48"/>
        <v>"C:\Program Files (x86)\AstroGrep\AstroGrep.exe" /e /r /s /spath="%USERPROFILE%\AppData\Local\Temp\OnboardLogs" /stypes="app*4024*20170704*" /stext=" 19:.+((SYSTEM_STATE.+slice.+state.+changed )|(ment ac)|(multiple cpu faults)|(system.+state.+changed )|(\[timeout)|(PRM\|1\|D)|(kpr)|(kdp)|(train st.+moving)|(\|lc)|(penalty))"</v>
      </c>
      <c r="AG89" s="209" t="str">
        <f t="shared" si="49"/>
        <v>EC</v>
      </c>
      <c r="AH89" s="78" t="str">
        <f t="shared" si="59"/>
        <v>"%USERPROFILE%\Documents\GitHub\eaglep3\Utilities\RefineRTDCRunTimes.py" --tripid 175-04 --locoid 4024 --swversion DE.1.0.9.0 --startMP 204:1501 --initTime 2017-07-04T13:00:48 --startdatetime 2017-07-04T13:03:05 --delay 1 --endMP 204:233305 --enddatetime 2017-07-04T13:42:27 --enforcementcount 0 &gt;&gt;C:\Users\stu\Documents\GitHub\eaglep3-reporting\EC\2017-07-04-refined-times.txt</v>
      </c>
      <c r="AI8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{"issue":{"subject":"","project_id":79,"tracker_id":40,"status_id":1,"priority_id":2,"assigned_to_id":23,"start_date":"2017-07-04","description":"","custom_fields":[{"id":1,"name":"Subdivision","value":"EC"},{"id":4,"name":"Milepost","value":"23.3305"},{"id":17,"name":"Train ID","value":"175-04"},{"id":16,"name":"Locomotive ID","value":"4024"},{"id":130,"name":"Impact","value":""},{"id":150,"name":"Time of Event (Mountain Time)","value":"13:42:27"},{"id":151,"name":"Denver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61"/>
        <v>start /low /b %USERPROFILE%\Documents\GitHub\eaglep3\Utilities\DownloadLogsFromS3.py --loco 4024 --day 2017-07-04</v>
      </c>
      <c r="AN89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19:42:27"},{"id":29,"name":"Sharepoint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769</v>
      </c>
      <c r="B90" s="7">
        <v>4023</v>
      </c>
      <c r="C90" s="21" t="s">
        <v>202</v>
      </c>
      <c r="D90" s="21" t="s">
        <v>505</v>
      </c>
      <c r="E90" s="13">
        <v>42920.578761574077</v>
      </c>
      <c r="F90" s="13">
        <v>42920.581574074073</v>
      </c>
      <c r="G90" s="7">
        <v>1</v>
      </c>
      <c r="H90" s="21" t="s">
        <v>394</v>
      </c>
      <c r="I90" s="13">
        <v>42920.615648148145</v>
      </c>
      <c r="J90" s="7">
        <v>0</v>
      </c>
      <c r="K90" s="89" t="str">
        <f t="shared" si="39"/>
        <v>4023/4024</v>
      </c>
      <c r="L90" s="21" t="str">
        <f>VLOOKUP(A90,'Trips&amp;Operators'!$C$1:$G$99999,5,FALSE)</f>
        <v>CHANDLER KELVIN</v>
      </c>
      <c r="M90" s="6">
        <f t="shared" si="40"/>
        <v>3.407407407212304E-2</v>
      </c>
      <c r="N90" s="7">
        <f t="shared" si="41"/>
        <v>49.066666663857177</v>
      </c>
      <c r="O90" s="7"/>
      <c r="P90" s="7"/>
      <c r="Q90" s="22"/>
      <c r="R90" s="170"/>
      <c r="S90" s="213">
        <f t="shared" si="42"/>
        <v>1</v>
      </c>
      <c r="T90" s="195" t="str">
        <f t="shared" si="43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4"/>
        <v>https://d0f6bd738d7f1b3e5a7ca70fe4ff75f0.us-east-1.aws.found.io/app/kibana#/discover/Steve-Slow-Train-Analysis-(2080s-and-2083s)?_g=(refreshInterval:(display:Off,pause:!f,section:0,value:0),time:(from:'2017-07-04T12:53:25-0600',mode:absolute,to:'2017-07-04T15:46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0" s="197" t="str">
        <f>IF(AA90&lt;VLOOKUP(AG90,Variables!$AC$3:$AD$8,2,FALSE),"Y","N")</f>
        <v>N</v>
      </c>
      <c r="X90" s="197">
        <f t="shared" si="63"/>
        <v>1</v>
      </c>
      <c r="Y90" s="197">
        <f>RIGHT(D90,LEN(D90)-4)/10000</f>
        <v>23.297999999999998</v>
      </c>
      <c r="Z90" s="197">
        <f>RIGHT(H90,LEN(H90)-4)/10000</f>
        <v>1.54E-2</v>
      </c>
      <c r="AA90" s="197">
        <f t="shared" si="45"/>
        <v>23.282599999999999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6"/>
        <v>176</v>
      </c>
      <c r="AE90" s="77" t="str">
        <f t="shared" si="47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90" s="74" t="str">
        <f t="shared" si="48"/>
        <v>"C:\Program Files (x86)\AstroGrep\AstroGrep.exe" /e /r /s /spath="%USERPROFILE%\AppData\Local\Temp\OnboardLogs" /stypes="app*4023*20170704*" /stext=" 20:.+((SYSTEM_STATE.+slice.+state.+changed )|(ment ac)|(multiple cpu faults)|(system.+state.+changed )|(\[timeout)|(PRM\|1\|D)|(kpr)|(kdp)|(train st.+moving)|(\|lc)|(penalty))"</v>
      </c>
      <c r="AG90" s="209" t="str">
        <f t="shared" si="49"/>
        <v>EC</v>
      </c>
      <c r="AH90" s="78" t="str">
        <f t="shared" si="59"/>
        <v>"%USERPROFILE%\Documents\GitHub\eaglep3\Utilities\RefineRTDCRunTimes.py" --tripid 176-04 --locoid 4023 --swversion DE.1.0.9.0 --startMP 204:232980 --initTime 2017-07-04T13:53:25 --startdatetime 2017-07-04T13:57:28 --delay 1 --endMP 204:154 --enddatetime 2017-07-04T14:46:32 --enforcementcount 0 &gt;&gt;C:\Users\stu\Documents\GitHub\eaglep3-reporting\EC\2017-07-04-refined-times.txt</v>
      </c>
      <c r="AI9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{"issue":{"subject":"","project_id":79,"tracker_id":40,"status_id":1,"priority_id":2,"assigned_to_id":23,"start_date":"2017-07-04","description":"","custom_fields":[{"id":1,"name":"Subdivision","value":"EC"},{"id":4,"name":"Milepost","value":"0.0154"},{"id":17,"name":"Train ID","value":"176-04"},{"id":16,"name":"Locomotive ID","value":"4023"},{"id":130,"name":"Impact","value":""},{"id":150,"name":"Time of Event (Mountain Time)","value":"14:46:32"},{"id":151,"name":"Denver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61"/>
        <v>start /low /b %USERPROFILE%\Documents\GitHub\eaglep3\Utilities\DownloadLogsFromS3.py --loco 4023 --day 2017-07-04</v>
      </c>
      <c r="AN90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20:46:32"},{"id":29,"name":"Sharepoint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626</v>
      </c>
      <c r="B91" s="7">
        <v>4050</v>
      </c>
      <c r="C91" s="21" t="s">
        <v>202</v>
      </c>
      <c r="D91" s="21" t="s">
        <v>505</v>
      </c>
      <c r="E91" s="13">
        <v>42920.578761574077</v>
      </c>
      <c r="F91" s="13">
        <v>42920.554189814815</v>
      </c>
      <c r="G91" s="7">
        <v>1</v>
      </c>
      <c r="H91" s="21" t="s">
        <v>394</v>
      </c>
      <c r="I91" s="13">
        <v>42920.578611111108</v>
      </c>
      <c r="J91" s="7">
        <v>0</v>
      </c>
      <c r="K91" s="89" t="str">
        <f t="shared" si="39"/>
        <v>4049/4050</v>
      </c>
      <c r="L91" s="21" t="str">
        <f>VLOOKUP(A91,'Trips&amp;Operators'!$C$1:$G$99999,5,FALSE)</f>
        <v>ROMERO CHAD</v>
      </c>
      <c r="M91" s="6">
        <f t="shared" si="40"/>
        <v>2.4421296293439809E-2</v>
      </c>
      <c r="N91" s="7">
        <f t="shared" si="41"/>
        <v>35.166666662553325</v>
      </c>
      <c r="O91" s="7"/>
      <c r="P91" s="7"/>
      <c r="Q91" s="22"/>
      <c r="R91" s="170"/>
      <c r="S91" s="213">
        <f t="shared" si="42"/>
        <v>1</v>
      </c>
      <c r="T91" s="195" t="str">
        <f t="shared" si="43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4"/>
        <v>https://d0f6bd738d7f1b3e5a7ca70fe4ff75f0.us-east-1.aws.found.io/app/kibana#/discover/Steve-Slow-Train-Analysis-(2080s-and-2083s)?_g=(refreshInterval:(display:Off,pause:!f,section:0,value:0),time:(from:'2017-07-04T12:53:25-0600',mode:absolute,to:'2017-07-04T14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1" s="197" t="str">
        <f>IF(AA91&lt;VLOOKUP(AG91,Variables!$AC$3:$AD$8,2,FALSE),"Y","N")</f>
        <v>N</v>
      </c>
      <c r="X91" s="197">
        <f t="shared" si="63"/>
        <v>1</v>
      </c>
      <c r="Y91" s="197">
        <v>0.15010000000000001</v>
      </c>
      <c r="Z91" s="197">
        <v>23.330500000000001</v>
      </c>
      <c r="AA91" s="197">
        <f t="shared" si="45"/>
        <v>23.180400000000002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6"/>
        <v>177</v>
      </c>
      <c r="AE91" s="77" t="str">
        <f t="shared" si="47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91" s="74" t="str">
        <f t="shared" si="48"/>
        <v>"C:\Program Files (x86)\AstroGrep\AstroGrep.exe" /e /r /s /spath="%USERPROFILE%\AppData\Local\Temp\OnboardLogs" /stypes="app*4050*20170704*" /stext=" 19:.+((SYSTEM_STATE.+slice.+state.+changed )|(ment ac)|(multiple cpu faults)|(system.+state.+changed )|(\[timeout)|(PRM\|1\|D)|(kpr)|(kdp)|(train st.+moving)|(\|lc)|(penalty))"</v>
      </c>
      <c r="AG91" s="209" t="str">
        <f t="shared" si="49"/>
        <v>EC</v>
      </c>
      <c r="AH91" s="78" t="str">
        <f t="shared" ref="AH91" si="68"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177-04 --locoid 4050 --swversion DE.1.0.9.0 --startMP 204:232980 --initTime 2017-07-04T13:53:25 --startdatetime 2017-07-04T13:18:02 --delay 1 --endMP 204:154 --enddatetime 2017-07-04T13:53:12 --enforcementcount 0 &gt;&gt;C:\Users\stu\Documents\GitHub\eaglep3-reporting\EC\2017-07-04-refined-times.txt</v>
      </c>
      <c r="AI91" s="96" t="str">
        <f t="shared" ref="AI91" si="69"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{"issue":{"subject":"","project_id":79,"tracker_id":40,"status_id":1,"priority_id":2,"assigned_to_id":23,"start_date":"2017-07-04","description":"","custom_fields":[{"id":1,"name":"Subdivision","value":"EC"},{"id":4,"name":"Milepost","value":"23.3305"},{"id":17,"name":"Train ID","value":"177-04"},{"id":16,"name":"Locomotive ID","value":"4050"},{"id":130,"name":"Impact","value":""},{"id":150,"name":"Time of Event (Mountain Time)","value":"13:53:12"},{"id":151,"name":"Denver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ref="AM91" si="70">"start /low /b "&amp;dls3logs&amp;" --loco "&amp;B91&amp;" --day "&amp;TEXT(F91,"YYYY-MM-DD")</f>
        <v>start /low /b %USERPROFILE%\Documents\GitHub\eaglep3\Utilities\DownloadLogsFromS3.py --loco 4050 --day 2017-07-04</v>
      </c>
      <c r="AN91" s="151" t="str">
        <f t="shared" ref="AN91" si="71"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</row>
    <row r="92" spans="1:91" s="1" customFormat="1" x14ac:dyDescent="0.25">
      <c r="A92" s="32" t="s">
        <v>770</v>
      </c>
      <c r="B92" s="7">
        <v>4049</v>
      </c>
      <c r="C92" s="21" t="s">
        <v>202</v>
      </c>
      <c r="D92" s="21" t="s">
        <v>893</v>
      </c>
      <c r="E92" s="13">
        <v>42920.582650462966</v>
      </c>
      <c r="F92" s="13">
        <v>42920.591828703706</v>
      </c>
      <c r="G92" s="7">
        <v>10</v>
      </c>
      <c r="H92" s="21" t="s">
        <v>447</v>
      </c>
      <c r="I92" s="13">
        <v>42920.617928240739</v>
      </c>
      <c r="J92" s="7">
        <v>0</v>
      </c>
      <c r="K92" s="89" t="str">
        <f t="shared" si="39"/>
        <v>4049/4050</v>
      </c>
      <c r="L92" s="21" t="str">
        <f>VLOOKUP(A92,'Trips&amp;Operators'!$C$1:$G$99999,5,FALSE)</f>
        <v>ROMERO CHAD</v>
      </c>
      <c r="M92" s="6">
        <f t="shared" si="40"/>
        <v>2.6099537033587694E-2</v>
      </c>
      <c r="N92" s="7">
        <f t="shared" si="41"/>
        <v>37.58333332836628</v>
      </c>
      <c r="O92" s="7"/>
      <c r="P92" s="7"/>
      <c r="Q92" s="22"/>
      <c r="R92" s="170"/>
      <c r="S92" s="213">
        <f t="shared" si="42"/>
        <v>1</v>
      </c>
      <c r="T92" s="195" t="str">
        <f t="shared" si="43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4"/>
        <v>https://d0f6bd738d7f1b3e5a7ca70fe4ff75f0.us-east-1.aws.found.io/app/kibana#/discover/Steve-Slow-Train-Analysis-(2080s-and-2083s)?_g=(refreshInterval:(display:Off,pause:!f,section:0,value:0),time:(from:'2017-07-04T12:59:01-0600',mode:absolute,to:'2017-07-04T15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2" s="197" t="str">
        <f>IF(AA92&lt;VLOOKUP(AG92,Variables!$AC$3:$AD$8,2,FALSE),"Y","N")</f>
        <v>N</v>
      </c>
      <c r="X92" s="197">
        <f t="shared" si="63"/>
        <v>1</v>
      </c>
      <c r="Y92" s="197">
        <f t="shared" ref="Y92:Y123" si="72">RIGHT(D92,LEN(D92)-4)/10000</f>
        <v>23.307700000000001</v>
      </c>
      <c r="Z92" s="197">
        <f t="shared" ref="Z92:Z123" si="73">RIGHT(H92,LEN(H92)-4)/10000</f>
        <v>1.38E-2</v>
      </c>
      <c r="AA92" s="197">
        <f t="shared" si="45"/>
        <v>23.293900000000001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6"/>
        <v>178</v>
      </c>
      <c r="AE92" s="77" t="str">
        <f t="shared" si="47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92" s="74" t="str">
        <f t="shared" si="48"/>
        <v>"C:\Program Files (x86)\AstroGrep\AstroGrep.exe" /e /r /s /spath="%USERPROFILE%\AppData\Local\Temp\OnboardLogs" /stypes="app*4049*20170704*" /stext=" 20:.+((SYSTEM_STATE.+slice.+state.+changed )|(ment ac)|(multiple cpu faults)|(system.+state.+changed )|(\[timeout)|(PRM\|1\|D)|(kpr)|(kdp)|(train st.+moving)|(\|lc)|(penalty))"</v>
      </c>
      <c r="AG92" s="209" t="str">
        <f t="shared" si="49"/>
        <v>EC</v>
      </c>
      <c r="AH92" s="78" t="str">
        <f t="shared" si="59"/>
        <v>"%USERPROFILE%\Documents\GitHub\eaglep3\Utilities\RefineRTDCRunTimes.py" --tripid 178-04 --locoid 4049 --swversion DE.1.0.9.0 --startMP 204:233077 --initTime 2017-07-04T13:59:01 --startdatetime 2017-07-04T14:12:14 --delay 10 --endMP 204:138 --enddatetime 2017-07-04T14:49:49 --enforcementcount 0 &gt;&gt;C:\Users\stu\Documents\GitHub\eaglep3-reporting\EC\2017-07-04-refined-times.txt</v>
      </c>
      <c r="AI9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{"issue":{"subject":"","project_id":79,"tracker_id":40,"status_id":1,"priority_id":2,"assigned_to_id":23,"start_date":"2017-07-04","description":"","custom_fields":[{"id":1,"name":"Subdivision","value":"EC"},{"id":4,"name":"Milepost","value":"0.0138"},{"id":17,"name":"Train ID","value":"178-04"},{"id":16,"name":"Locomotive ID","value":"4049"},{"id":130,"name":"Impact","value":""},{"id":150,"name":"Time of Event (Mountain Time)","value":"14:49:49"},{"id":151,"name":"Denver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61"/>
        <v>start /low /b %USERPROFILE%\Documents\GitHub\eaglep3\Utilities\DownloadLogsFromS3.py --loco 4049 --day 2017-07-04</v>
      </c>
      <c r="AN92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627</v>
      </c>
      <c r="B93" s="7">
        <v>4064</v>
      </c>
      <c r="C93" s="21" t="s">
        <v>202</v>
      </c>
      <c r="D93" s="21" t="s">
        <v>528</v>
      </c>
      <c r="E93" s="13">
        <v>42920.560486111113</v>
      </c>
      <c r="F93" s="13">
        <v>42920.562743055554</v>
      </c>
      <c r="G93" s="7">
        <v>1</v>
      </c>
      <c r="H93" s="21" t="s">
        <v>533</v>
      </c>
      <c r="I93" s="13">
        <v>42920.588414351849</v>
      </c>
      <c r="J93" s="7">
        <v>0</v>
      </c>
      <c r="K93" s="89" t="str">
        <f t="shared" si="39"/>
        <v>4063/4064</v>
      </c>
      <c r="L93" s="21" t="str">
        <f>VLOOKUP(A93,'Trips&amp;Operators'!$C$1:$G$99999,5,FALSE)</f>
        <v>LEVIN SCOTT</v>
      </c>
      <c r="M93" s="6">
        <f t="shared" si="40"/>
        <v>2.5671296294603962E-2</v>
      </c>
      <c r="N93" s="7">
        <f t="shared" si="41"/>
        <v>36.966666664229706</v>
      </c>
      <c r="O93" s="7"/>
      <c r="P93" s="7"/>
      <c r="Q93" s="22"/>
      <c r="R93" s="170"/>
      <c r="S93" s="213">
        <f t="shared" si="42"/>
        <v>1</v>
      </c>
      <c r="T93" s="195" t="str">
        <f t="shared" si="4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4"/>
        <v>https://d0f6bd738d7f1b3e5a7ca70fe4ff75f0.us-east-1.aws.found.io/app/kibana#/discover/Steve-Slow-Train-Analysis-(2080s-and-2083s)?_g=(refreshInterval:(display:Off,pause:!f,section:0,value:0),time:(from:'2017-07-04T12:27:06-0600',mode:absolute,to:'2017-07-04T15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197" t="str">
        <f>IF(AA93&lt;VLOOKUP(AG93,Variables!$AC$3:$AD$8,2,FALSE),"Y","N")</f>
        <v>N</v>
      </c>
      <c r="X93" s="197">
        <f t="shared" si="63"/>
        <v>1</v>
      </c>
      <c r="Y93" s="197">
        <f t="shared" si="72"/>
        <v>4.3499999999999997E-2</v>
      </c>
      <c r="Z93" s="197">
        <f t="shared" si="73"/>
        <v>23.334099999999999</v>
      </c>
      <c r="AA93" s="197">
        <f t="shared" si="45"/>
        <v>23.290599999999998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6"/>
        <v>179</v>
      </c>
      <c r="AE93" s="77" t="str">
        <f t="shared" si="47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93" s="74" t="str">
        <f t="shared" si="48"/>
        <v>"C:\Program Files (x86)\AstroGrep\AstroGrep.exe" /e /r /s /spath="%USERPROFILE%\AppData\Local\Temp\OnboardLogs" /stypes="app*4064*20170704*" /stext=" 20:.+((SYSTEM_STATE.+slice.+state.+changed )|(ment ac)|(multiple cpu faults)|(system.+state.+changed )|(\[timeout)|(PRM\|1\|D)|(kpr)|(kdp)|(train st.+moving)|(\|lc)|(penalty))"</v>
      </c>
      <c r="AG93" s="209" t="str">
        <f t="shared" si="49"/>
        <v>EC</v>
      </c>
      <c r="AH93" s="78" t="str">
        <f t="shared" si="59"/>
        <v>"%USERPROFILE%\Documents\GitHub\eaglep3\Utilities\RefineRTDCRunTimes.py" --tripid 179-04 --locoid 4064 --swversion DE.1.0.9.0 --startMP 204:435 --initTime 2017-07-04T13:27:06 --startdatetime 2017-07-04T13:30:21 --delay 1 --endMP 204:233341 --enddatetime 2017-07-04T14:07:19 --enforcementcount 0 &gt;&gt;C:\Users\stu\Documents\GitHub\eaglep3-reporting\EC\2017-07-04-refined-times.txt</v>
      </c>
      <c r="AI93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{"issue":{"subject":"","project_id":79,"tracker_id":40,"status_id":1,"priority_id":2,"assigned_to_id":23,"start_date":"2017-07-04","description":"","custom_fields":[{"id":1,"name":"Subdivision","value":"EC"},{"id":4,"name":"Milepost","value":"23.3341"},{"id":17,"name":"Train ID","value":"179-04"},{"id":16,"name":"Locomotive ID","value":"4064"},{"id":130,"name":"Impact","value":""},{"id":150,"name":"Time of Event (Mountain Time)","value":"14:07:19"},{"id":151,"name":"Denver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61"/>
        <v>start /low /b %USERPROFILE%\Documents\GitHub\eaglep3\Utilities\DownloadLogsFromS3.py --loco 4064 --day 2017-07-04</v>
      </c>
      <c r="AN93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773</v>
      </c>
      <c r="B94" s="7">
        <v>4063</v>
      </c>
      <c r="C94" s="21" t="s">
        <v>202</v>
      </c>
      <c r="D94" s="21" t="s">
        <v>539</v>
      </c>
      <c r="E94" s="13">
        <v>42920.599918981483</v>
      </c>
      <c r="F94" s="13">
        <v>42920.602442129632</v>
      </c>
      <c r="G94" s="7">
        <v>1</v>
      </c>
      <c r="H94" s="21" t="s">
        <v>348</v>
      </c>
      <c r="I94" s="13">
        <v>42920.632372685184</v>
      </c>
      <c r="J94" s="7">
        <v>0</v>
      </c>
      <c r="K94" s="89" t="str">
        <f t="shared" si="39"/>
        <v>4063/4064</v>
      </c>
      <c r="L94" s="21" t="str">
        <f>VLOOKUP(A94,'Trips&amp;Operators'!$C$1:$G$99999,5,FALSE)</f>
        <v>LEVIN SCOTT</v>
      </c>
      <c r="M94" s="6">
        <f t="shared" si="40"/>
        <v>2.9930555552709848E-2</v>
      </c>
      <c r="N94" s="7">
        <f t="shared" si="41"/>
        <v>43.099999995902181</v>
      </c>
      <c r="O94" s="7"/>
      <c r="P94" s="7"/>
      <c r="Q94" s="22"/>
      <c r="R94" s="170"/>
      <c r="S94" s="213">
        <f t="shared" si="42"/>
        <v>1</v>
      </c>
      <c r="T94" s="195" t="str">
        <f t="shared" si="4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4"/>
        <v>https://d0f6bd738d7f1b3e5a7ca70fe4ff75f0.us-east-1.aws.found.io/app/kibana#/discover/Steve-Slow-Train-Analysis-(2080s-and-2083s)?_g=(refreshInterval:(display:Off,pause:!f,section:0,value:0),time:(from:'2017-07-04T13:23:53-0600',mode:absolute,to:'2017-07-04T16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197" t="str">
        <f>IF(AA94&lt;VLOOKUP(AG94,Variables!$AC$3:$AD$8,2,FALSE),"Y","N")</f>
        <v>N</v>
      </c>
      <c r="X94" s="197">
        <f t="shared" si="63"/>
        <v>1</v>
      </c>
      <c r="Y94" s="197">
        <f t="shared" si="72"/>
        <v>23.301100000000002</v>
      </c>
      <c r="Z94" s="197">
        <f t="shared" si="73"/>
        <v>1.4999999999999999E-2</v>
      </c>
      <c r="AA94" s="197">
        <f t="shared" si="45"/>
        <v>23.286100000000001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6"/>
        <v>180</v>
      </c>
      <c r="AE94" s="77" t="str">
        <f t="shared" si="47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94" s="74" t="str">
        <f t="shared" si="48"/>
        <v>"C:\Program Files (x86)\AstroGrep\AstroGrep.exe" /e /r /s /spath="%USERPROFILE%\AppData\Local\Temp\OnboardLogs" /stypes="app*4063*20170704*" /stext=" 21:.+((SYSTEM_STATE.+slice.+state.+changed )|(ment ac)|(multiple cpu faults)|(system.+state.+changed )|(\[timeout)|(PRM\|1\|D)|(kpr)|(kdp)|(train st.+moving)|(\|lc)|(penalty))"</v>
      </c>
      <c r="AG94" s="209" t="str">
        <f t="shared" si="49"/>
        <v>EC</v>
      </c>
      <c r="AH94" s="78" t="str">
        <f t="shared" si="59"/>
        <v>"%USERPROFILE%\Documents\GitHub\eaglep3\Utilities\RefineRTDCRunTimes.py" --tripid 180-04 --locoid 4063 --swversion DE.1.0.9.0 --startMP 204:233011 --initTime 2017-07-04T14:23:53 --startdatetime 2017-07-04T14:27:31 --delay 1 --endMP 204:150 --enddatetime 2017-07-04T15:10:37 --enforcementcount 0 &gt;&gt;C:\Users\stu\Documents\GitHub\eaglep3-reporting\EC\2017-07-04-refined-times.txt</v>
      </c>
      <c r="AI9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ID","value":"180-04"},{"id":16,"name":"Locomotive ID","value":"4063"},{"id":130,"name":"Impact","value":""},{"id":150,"name":"Time of Event (Mountain Time)","value":"15:10:37"},{"id":151,"name":"Denver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61"/>
        <v>start /low /b %USERPROFILE%\Documents\GitHub\eaglep3\Utilities\DownloadLogsFromS3.py --loco 4063 --day 2017-07-04</v>
      </c>
      <c r="AN94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768</v>
      </c>
      <c r="B95" s="7">
        <v>4044</v>
      </c>
      <c r="C95" s="21" t="s">
        <v>202</v>
      </c>
      <c r="D95" s="21" t="s">
        <v>894</v>
      </c>
      <c r="E95" s="13">
        <v>42920.580185185187</v>
      </c>
      <c r="F95" s="13">
        <v>42920.581782407404</v>
      </c>
      <c r="G95" s="7">
        <v>1</v>
      </c>
      <c r="H95" s="21" t="s">
        <v>879</v>
      </c>
      <c r="I95" s="13">
        <v>42920.605902777781</v>
      </c>
      <c r="J95" s="7">
        <v>0</v>
      </c>
      <c r="K95" s="89" t="str">
        <f t="shared" si="39"/>
        <v>4043/4044</v>
      </c>
      <c r="L95" s="21" t="str">
        <f>VLOOKUP(A95,'Trips&amp;Operators'!$C$1:$G$99999,5,FALSE)</f>
        <v>LEVERE CRAIG</v>
      </c>
      <c r="M95" s="6">
        <f t="shared" si="40"/>
        <v>2.4120370377204381E-2</v>
      </c>
      <c r="N95" s="7"/>
      <c r="O95" s="7"/>
      <c r="P95" s="7">
        <f>24*60*SUM($M95:$M95)</f>
        <v>34.733333343174309</v>
      </c>
      <c r="Q95" s="22"/>
      <c r="R95" s="170" t="s">
        <v>500</v>
      </c>
      <c r="S95" s="213">
        <f t="shared" si="42"/>
        <v>1</v>
      </c>
      <c r="T95" s="195" t="str">
        <f t="shared" si="4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4"/>
        <v>https://d0f6bd738d7f1b3e5a7ca70fe4ff75f0.us-east-1.aws.found.io/app/kibana#/discover/Steve-Slow-Train-Analysis-(2080s-and-2083s)?_g=(refreshInterval:(display:Off,pause:!f,section:0,value:0),time:(from:'2017-07-04T12:55:28-0600',mode:absolute,to:'2017-07-04T15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197" t="str">
        <f>IF(AA95&lt;VLOOKUP(AG95,Variables!$AC$3:$AD$8,2,FALSE),"Y","N")</f>
        <v>Y</v>
      </c>
      <c r="X95" s="197">
        <f t="shared" si="63"/>
        <v>1</v>
      </c>
      <c r="Y95" s="197">
        <f t="shared" si="72"/>
        <v>1.9128000000000001</v>
      </c>
      <c r="Z95" s="197">
        <f t="shared" si="73"/>
        <v>23.329799999999999</v>
      </c>
      <c r="AA95" s="197">
        <f t="shared" si="45"/>
        <v>21.416999999999998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6"/>
        <v>181</v>
      </c>
      <c r="AE95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95" s="74" t="str">
        <f t="shared" si="48"/>
        <v>"C:\Program Files (x86)\AstroGrep\AstroGrep.exe" /e /r /s /spath="%USERPROFILE%\AppData\Local\Temp\OnboardLogs" /stypes="app*4044*20170704*" /stext=" 20:.+((SYSTEM_STATE.+slice.+state.+changed )|(ment ac)|(multiple cpu faults)|(system.+state.+changed )|(\[timeout)|(PRM\|1\|D)|(kpr)|(kdp)|(train st.+moving)|(\|lc)|(penalty))"</v>
      </c>
      <c r="AG95" s="209" t="str">
        <f t="shared" si="49"/>
        <v>EC</v>
      </c>
      <c r="AH95" s="78" t="str">
        <f t="shared" si="59"/>
        <v>"%USERPROFILE%\Documents\GitHub\eaglep3\Utilities\RefineRTDCRunTimes.py" --tripid 181-04 --locoid 4044 --swversion DE.1.0.9.0 --startMP 204:19128 --initTime 2017-07-04T13:55:28 --startdatetime 2017-07-04T13:57:46 --delay 1 --endMP 204:233298 --enddatetime 2017-07-04T14:32:30 --enforcementcount 0 &gt;&gt;C:\Users\stu\Documents\GitHub\eaglep3-reporting\EC\2017-07-04-refined-times.txt</v>
      </c>
      <c r="AI95" s="96" t="str">
        <f t="shared" si="60"/>
        <v>echo {"issue":{"subject":"Onboard in-route failure","project_id":79,"tracker_id":40,"status_id":1,"priority_id":2,"assigned_to_id":23,"start_date":"2017-07-04","description":"","custom_fields":[{"id":1,"name":"Subdivision","value":"EC"},{"id":4,"name":"Milepost","value":"23.3298"},{"id":17,"name":"Train ID","value":"181-04"},{"id":16,"name":"Locomotive ID","value":"4044"},{"id":130,"name":"Impact","value":""},{"id":150,"name":"Time of Event (Mountain Time)","value":"14:32:30"},{"id":151,"name":"Denver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61"/>
        <v>start /low /b %USERPROFILE%\Documents\GitHub\eaglep3\Utilities\DownloadLogsFromS3.py --loco 4044 --day 2017-07-04</v>
      </c>
      <c r="AN95" s="151" t="str">
        <f t="shared" si="62"/>
        <v>echo {"issue":{"subject":"Onboard in-route failure","project_id":30,"tracker_id":4,"status_id":1,"priority_id":1,"assigned_to_id":10,"start_date":"2017-07-04","description":"","custom_fields":[{"id":30,"name":"Category","value":"Issue"},{"id":3,"name":"Functional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768</v>
      </c>
      <c r="B96" s="7">
        <v>4044</v>
      </c>
      <c r="C96" s="21" t="s">
        <v>202</v>
      </c>
      <c r="D96" s="21" t="s">
        <v>551</v>
      </c>
      <c r="E96" s="13">
        <v>42920.570775462962</v>
      </c>
      <c r="F96" s="13">
        <v>42920.581782407404</v>
      </c>
      <c r="G96" s="7">
        <v>4</v>
      </c>
      <c r="H96" s="21" t="s">
        <v>879</v>
      </c>
      <c r="I96" s="13">
        <v>42920.605902777781</v>
      </c>
      <c r="J96" s="7">
        <v>0</v>
      </c>
      <c r="K96" s="89" t="str">
        <f t="shared" si="39"/>
        <v>4043/4044</v>
      </c>
      <c r="L96" s="21" t="str">
        <f>VLOOKUP(A96,'Trips&amp;Operators'!$C$1:$G$99999,5,FALSE)</f>
        <v>LEVERE CRAIG</v>
      </c>
      <c r="M96" s="6">
        <f t="shared" si="40"/>
        <v>2.4120370377204381E-2</v>
      </c>
      <c r="N96" s="7"/>
      <c r="O96" s="7"/>
      <c r="P96" s="7"/>
      <c r="Q96" s="22"/>
      <c r="R96" s="170"/>
      <c r="S96" s="213"/>
      <c r="T96" s="195" t="str">
        <f t="shared" si="43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4"/>
        <v>https://d0f6bd738d7f1b3e5a7ca70fe4ff75f0.us-east-1.aws.found.io/app/kibana#/discover/Steve-Slow-Train-Analysis-(2080s-and-2083s)?_g=(refreshInterval:(display:Off,pause:!f,section:0,value:0),time:(from:'2017-07-04T12:41:55-0600',mode:absolute,to:'2017-07-04T15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197" t="str">
        <f>IF(AA96&lt;VLOOKUP(AG96,Variables!$AC$3:$AD$8,2,FALSE),"Y","N")</f>
        <v>N</v>
      </c>
      <c r="X96" s="197">
        <f t="shared" si="63"/>
        <v>0</v>
      </c>
      <c r="Y96" s="197">
        <f t="shared" si="72"/>
        <v>4.7100000000000003E-2</v>
      </c>
      <c r="Z96" s="197">
        <f t="shared" si="73"/>
        <v>23.329799999999999</v>
      </c>
      <c r="AA96" s="197">
        <f t="shared" si="45"/>
        <v>23.282699999999998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6"/>
        <v>181</v>
      </c>
      <c r="AE96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96" s="74" t="str">
        <f t="shared" si="48"/>
        <v>"C:\Program Files (x86)\AstroGrep\AstroGrep.exe" /e /r /s /spath="%USERPROFILE%\AppData\Local\Temp\OnboardLogs" /stypes="app*4044*20170704*" /stext=" 20:.+((SYSTEM_STATE.+slice.+state.+changed )|(ment ac)|(multiple cpu faults)|(system.+state.+changed )|(\[timeout)|(PRM\|1\|D)|(kpr)|(kdp)|(train st.+moving)|(\|lc)|(penalty))"</v>
      </c>
      <c r="AG96" s="209" t="str">
        <f t="shared" si="49"/>
        <v>EC</v>
      </c>
      <c r="AH96" s="78" t="str">
        <f t="shared" si="59"/>
        <v>"%USERPROFILE%\Documents\GitHub\eaglep3\Utilities\RefineRTDCRunTimes.py" --tripid 181-04 --locoid 4044 --swversion DE.1.0.9.0 --startMP 204:471 --initTime 2017-07-04T13:41:55 --startdatetime 2017-07-04T13:57:46 --delay 4 --endMP 204:233298 --enddatetime 2017-07-04T14:32:30 --enforcementcount 0 &gt;&gt;C:\Users\stu\Documents\GitHub\eaglep3-reporting\EC\2017-07-04-refined-times.txt</v>
      </c>
      <c r="AI96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{"issue":{"subject":"","project_id":79,"tracker_id":40,"status_id":1,"priority_id":2,"assigned_to_id":23,"start_date":"2017-07-04","description":"","custom_fields":[{"id":1,"name":"Subdivision","value":"EC"},{"id":4,"name":"Milepost","value":"23.3298"},{"id":17,"name":"Train ID","value":"181-04"},{"id":16,"name":"Locomotive ID","value":"4044"},{"id":130,"name":"Impact","value":""},{"id":150,"name":"Time of Event (Mountain Time)","value":"14:32:30"},{"id":151,"name":"Denver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61"/>
        <v>start /low /b %USERPROFILE%\Documents\GitHub\eaglep3\Utilities\DownloadLogsFromS3.py --loco 4044 --day 2017-07-04</v>
      </c>
      <c r="AN96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768</v>
      </c>
      <c r="B97" s="7">
        <v>4044</v>
      </c>
      <c r="C97" s="21" t="s">
        <v>202</v>
      </c>
      <c r="D97" s="21" t="s">
        <v>545</v>
      </c>
      <c r="E97" s="13">
        <v>42920.570775462962</v>
      </c>
      <c r="F97" s="13">
        <v>42920.581782407404</v>
      </c>
      <c r="G97" s="7">
        <v>1</v>
      </c>
      <c r="H97" s="21" t="s">
        <v>879</v>
      </c>
      <c r="I97" s="13">
        <v>42920.605902777781</v>
      </c>
      <c r="J97" s="7">
        <v>0</v>
      </c>
      <c r="K97" s="89" t="str">
        <f t="shared" si="39"/>
        <v>4043/4044</v>
      </c>
      <c r="L97" s="21" t="str">
        <f>VLOOKUP(A97,'Trips&amp;Operators'!$C$1:$G$99999,5,FALSE)</f>
        <v>LEVERE CRAIG</v>
      </c>
      <c r="M97" s="6">
        <f t="shared" si="40"/>
        <v>2.4120370377204381E-2</v>
      </c>
      <c r="N97" s="7"/>
      <c r="O97" s="7"/>
      <c r="P97" s="7"/>
      <c r="Q97" s="22"/>
      <c r="R97" s="170"/>
      <c r="S97" s="213"/>
      <c r="T97" s="195" t="str">
        <f t="shared" si="4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4"/>
        <v>https://d0f6bd738d7f1b3e5a7ca70fe4ff75f0.us-east-1.aws.found.io/app/kibana#/discover/Steve-Slow-Train-Analysis-(2080s-and-2083s)?_g=(refreshInterval:(display:Off,pause:!f,section:0,value:0),time:(from:'2017-07-04T12:41:55-0600',mode:absolute,to:'2017-07-04T15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97" t="str">
        <f>IF(AA97&lt;VLOOKUP(AG97,Variables!$AC$3:$AD$8,2,FALSE),"Y","N")</f>
        <v>N</v>
      </c>
      <c r="X97" s="197">
        <f t="shared" si="63"/>
        <v>0</v>
      </c>
      <c r="Y97" s="197">
        <f t="shared" si="72"/>
        <v>4.7800000000000002E-2</v>
      </c>
      <c r="Z97" s="197">
        <f t="shared" si="73"/>
        <v>23.329799999999999</v>
      </c>
      <c r="AA97" s="197">
        <f t="shared" si="45"/>
        <v>23.282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6"/>
        <v>181</v>
      </c>
      <c r="AE97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97" s="74" t="str">
        <f t="shared" si="48"/>
        <v>"C:\Program Files (x86)\AstroGrep\AstroGrep.exe" /e /r /s /spath="%USERPROFILE%\AppData\Local\Temp\OnboardLogs" /stypes="app*4044*20170704*" /stext=" 20:.+((SYSTEM_STATE.+slice.+state.+changed )|(ment ac)|(multiple cpu faults)|(system.+state.+changed )|(\[timeout)|(PRM\|1\|D)|(kpr)|(kdp)|(train st.+moving)|(\|lc)|(penalty))"</v>
      </c>
      <c r="AG97" s="209" t="str">
        <f t="shared" si="49"/>
        <v>EC</v>
      </c>
      <c r="AH97" s="78" t="str">
        <f t="shared" si="59"/>
        <v>"%USERPROFILE%\Documents\GitHub\eaglep3\Utilities\RefineRTDCRunTimes.py" --tripid 181-04 --locoid 4044 --swversion DE.1.0.9.0 --startMP 204:478 --initTime 2017-07-04T13:41:55 --startdatetime 2017-07-04T13:57:46 --delay 1 --endMP 204:233298 --enddatetime 2017-07-04T14:32:30 --enforcementcount 0 &gt;&gt;C:\Users\stu\Documents\GitHub\eaglep3-reporting\EC\2017-07-04-refined-times.txt</v>
      </c>
      <c r="AI9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{"issue":{"subject":"","project_id":79,"tracker_id":40,"status_id":1,"priority_id":2,"assigned_to_id":23,"start_date":"2017-07-04","description":"","custom_fields":[{"id":1,"name":"Subdivision","value":"EC"},{"id":4,"name":"Milepost","value":"23.3298"},{"id":17,"name":"Train ID","value":"181-04"},{"id":16,"name":"Locomotive ID","value":"4044"},{"id":130,"name":"Impact","value":""},{"id":150,"name":"Time of Event (Mountain Time)","value":"14:32:30"},{"id":151,"name":"Denver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61"/>
        <v>start /low /b %USERPROFILE%\Documents\GitHub\eaglep3\Utilities\DownloadLogsFromS3.py --loco 4044 --day 2017-07-04</v>
      </c>
      <c r="AN97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776</v>
      </c>
      <c r="B98" s="7">
        <v>4043</v>
      </c>
      <c r="C98" s="21" t="s">
        <v>202</v>
      </c>
      <c r="D98" s="21" t="s">
        <v>895</v>
      </c>
      <c r="E98" s="13">
        <v>42920.609201388892</v>
      </c>
      <c r="F98" s="13">
        <v>42920.612986111111</v>
      </c>
      <c r="G98" s="7">
        <v>1</v>
      </c>
      <c r="H98" s="21" t="s">
        <v>548</v>
      </c>
      <c r="I98" s="13">
        <v>42920.641041666669</v>
      </c>
      <c r="J98" s="7">
        <v>0</v>
      </c>
      <c r="K98" s="89" t="str">
        <f t="shared" si="39"/>
        <v>4043/4044</v>
      </c>
      <c r="L98" s="21" t="str">
        <f>VLOOKUP(A98,'Trips&amp;Operators'!$C$1:$G$99999,5,FALSE)</f>
        <v>LEVERE CRAIG</v>
      </c>
      <c r="M98" s="6">
        <f t="shared" si="40"/>
        <v>2.8055555558239575E-2</v>
      </c>
      <c r="N98" s="7">
        <f t="shared" ref="N98:N133" si="74">24*60*SUM($M98:$M98)</f>
        <v>40.400000003864989</v>
      </c>
      <c r="O98" s="7"/>
      <c r="P98" s="7"/>
      <c r="Q98" s="22"/>
      <c r="R98" s="170"/>
      <c r="S98" s="213">
        <f t="shared" ref="S98:S133" si="75">SUM(U98:U98)/IF(AG98="EC",12,1)</f>
        <v>1</v>
      </c>
      <c r="T98" s="195" t="str">
        <f t="shared" si="4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4"/>
        <v>https://d0f6bd738d7f1b3e5a7ca70fe4ff75f0.us-east-1.aws.found.io/app/kibana#/discover/Steve-Slow-Train-Analysis-(2080s-and-2083s)?_g=(refreshInterval:(display:Off,pause:!f,section:0,value:0),time:(from:'2017-07-04T13:37:15-0600',mode:absolute,to:'2017-07-04T16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97" t="str">
        <f>IF(AA98&lt;VLOOKUP(AG98,Variables!$AC$3:$AD$8,2,FALSE),"Y","N")</f>
        <v>N</v>
      </c>
      <c r="X98" s="197">
        <f t="shared" si="63"/>
        <v>1</v>
      </c>
      <c r="Y98" s="197">
        <f t="shared" si="72"/>
        <v>23.298500000000001</v>
      </c>
      <c r="Z98" s="197">
        <f t="shared" si="73"/>
        <v>1.6E-2</v>
      </c>
      <c r="AA98" s="197">
        <f t="shared" si="45"/>
        <v>23.282500000000002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6"/>
        <v>182</v>
      </c>
      <c r="AE98" s="77" t="str">
        <f t="shared" si="47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98" s="74" t="str">
        <f t="shared" si="48"/>
        <v>"C:\Program Files (x86)\AstroGrep\AstroGrep.exe" /e /r /s /spath="%USERPROFILE%\AppData\Local\Temp\OnboardLogs" /stypes="app*4043*20170704*" /stext=" 21:.+((SYSTEM_STATE.+slice.+state.+changed )|(ment ac)|(multiple cpu faults)|(system.+state.+changed )|(\[timeout)|(PRM\|1\|D)|(kpr)|(kdp)|(train st.+moving)|(\|lc)|(penalty))"</v>
      </c>
      <c r="AG98" s="209" t="str">
        <f t="shared" si="49"/>
        <v>EC</v>
      </c>
      <c r="AH98" s="78" t="str">
        <f t="shared" si="59"/>
        <v>"%USERPROFILE%\Documents\GitHub\eaglep3\Utilities\RefineRTDCRunTimes.py" --tripid 182-04 --locoid 4043 --swversion DE.1.0.9.0 --startMP 204:232985 --initTime 2017-07-04T14:37:15 --startdatetime 2017-07-04T14:42:42 --delay 1 --endMP 204:160 --enddatetime 2017-07-04T15:23:06 --enforcementcount 0 &gt;&gt;C:\Users\stu\Documents\GitHub\eaglep3-reporting\EC\2017-07-04-refined-times.txt</v>
      </c>
      <c r="AI9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{"issue":{"subject":"","project_id":79,"tracker_id":40,"status_id":1,"priority_id":2,"assigned_to_id":23,"start_date":"2017-07-04","description":"","custom_fields":[{"id":1,"name":"Subdivision","value":"EC"},{"id":4,"name":"Milepost","value":"0.016"},{"id":17,"name":"Train ID","value":"182-04"},{"id":16,"name":"Locomotive ID","value":"4043"},{"id":130,"name":"Impact","value":""},{"id":150,"name":"Time of Event (Mountain Time)","value":"15:23:06"},{"id":151,"name":"Denver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61"/>
        <v>start /low /b %USERPROFILE%\Documents\GitHub\eaglep3\Utilities\DownloadLogsFromS3.py --loco 4043 --day 2017-07-04</v>
      </c>
      <c r="AN98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628</v>
      </c>
      <c r="B99" s="7">
        <v>4008</v>
      </c>
      <c r="C99" s="21" t="s">
        <v>202</v>
      </c>
      <c r="D99" s="21" t="s">
        <v>896</v>
      </c>
      <c r="E99" s="13">
        <v>42920.582141203704</v>
      </c>
      <c r="F99" s="13">
        <v>42920.623101851852</v>
      </c>
      <c r="G99" s="7">
        <v>2</v>
      </c>
      <c r="H99" s="21" t="s">
        <v>576</v>
      </c>
      <c r="I99" s="13">
        <v>42920.652256944442</v>
      </c>
      <c r="J99" s="7">
        <v>0</v>
      </c>
      <c r="K99" s="89" t="str">
        <f t="shared" si="39"/>
        <v>4007/4008</v>
      </c>
      <c r="L99" s="21" t="str">
        <f>VLOOKUP(A99,'Trips&amp;Operators'!$C$1:$G$99999,5,FALSE)</f>
        <v>BRANDNER MELINDA</v>
      </c>
      <c r="M99" s="6">
        <f t="shared" si="40"/>
        <v>2.9155092590372078E-2</v>
      </c>
      <c r="N99" s="7">
        <f t="shared" si="74"/>
        <v>41.983333330135792</v>
      </c>
      <c r="O99" s="7"/>
      <c r="P99" s="7"/>
      <c r="Q99" s="22"/>
      <c r="R99" s="170"/>
      <c r="S99" s="213">
        <f t="shared" si="75"/>
        <v>1</v>
      </c>
      <c r="T99" s="195" t="str">
        <f t="shared" si="4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4"/>
        <v>https://d0f6bd738d7f1b3e5a7ca70fe4ff75f0.us-east-1.aws.found.io/app/kibana#/discover/Steve-Slow-Train-Analysis-(2080s-and-2083s)?_g=(refreshInterval:(display:Off,pause:!f,section:0,value:0),time:(from:'2017-07-04T12:58:17-0600',mode:absolute,to:'2017-07-04T16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9" s="197" t="str">
        <f>IF(AA99&lt;VLOOKUP(AG99,Variables!$AC$3:$AD$8,2,FALSE),"Y","N")</f>
        <v>N</v>
      </c>
      <c r="X99" s="197">
        <f t="shared" si="63"/>
        <v>1</v>
      </c>
      <c r="Y99" s="197">
        <f t="shared" si="72"/>
        <v>0.14199999999999999</v>
      </c>
      <c r="Z99" s="197">
        <f t="shared" si="73"/>
        <v>23.3324</v>
      </c>
      <c r="AA99" s="197">
        <f t="shared" si="45"/>
        <v>23.1904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6"/>
        <v>183</v>
      </c>
      <c r="AE99" s="77" t="str">
        <f t="shared" si="47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99" s="74" t="str">
        <f t="shared" si="48"/>
        <v>"C:\Program Files (x86)\AstroGrep\AstroGrep.exe" /e /r /s /spath="%USERPROFILE%\AppData\Local\Temp\OnboardLogs" /stypes="app*4008*20170704*" /stext=" 21:.+((SYSTEM_STATE.+slice.+state.+changed )|(ment ac)|(multiple cpu faults)|(system.+state.+changed )|(\[timeout)|(PRM\|1\|D)|(kpr)|(kdp)|(train st.+moving)|(\|lc)|(penalty))"</v>
      </c>
      <c r="AG99" s="209" t="str">
        <f t="shared" si="49"/>
        <v>EC</v>
      </c>
      <c r="AH99" s="78" t="str">
        <f t="shared" si="59"/>
        <v>"%USERPROFILE%\Documents\GitHub\eaglep3\Utilities\RefineRTDCRunTimes.py" --tripid 183-04 --locoid 4008 --swversion DE.1.0.9.0 --startMP 204:1420 --initTime 2017-07-04T13:58:17 --startdatetime 2017-07-04T14:57:16 --delay 2 --endMP 204:233324 --enddatetime 2017-07-04T15:39:15 --enforcementcount 0 &gt;&gt;C:\Users\stu\Documents\GitHub\eaglep3-reporting\EC\2017-07-04-refined-times.txt</v>
      </c>
      <c r="AI9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{"issue":{"subject":"","project_id":79,"tracker_id":40,"status_id":1,"priority_id":2,"assigned_to_id":23,"start_date":"2017-07-04","description":"","custom_fields":[{"id":1,"name":"Subdivision","value":"EC"},{"id":4,"name":"Milepost","value":"23.3324"},{"id":17,"name":"Train ID","value":"183-04"},{"id":16,"name":"Locomotive ID","value":"4008"},{"id":130,"name":"Impact","value":""},{"id":150,"name":"Time of Event (Mountain Time)","value":"15:39:15"},{"id":151,"name":"Denver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61"/>
        <v>start /low /b %USERPROFILE%\Documents\GitHub\eaglep3\Utilities\DownloadLogsFromS3.py --loco 4008 --day 2017-07-04</v>
      </c>
      <c r="AN99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629</v>
      </c>
      <c r="B100" s="7">
        <v>4007</v>
      </c>
      <c r="C100" s="21" t="s">
        <v>202</v>
      </c>
      <c r="D100" s="21" t="s">
        <v>878</v>
      </c>
      <c r="E100" s="13">
        <v>42920.621342592596</v>
      </c>
      <c r="F100" s="13">
        <v>42920.623101851852</v>
      </c>
      <c r="G100" s="7">
        <v>1</v>
      </c>
      <c r="H100" s="21" t="s">
        <v>503</v>
      </c>
      <c r="I100" s="13">
        <v>42920.652256944442</v>
      </c>
      <c r="J100" s="7">
        <v>0</v>
      </c>
      <c r="K100" s="89" t="str">
        <f t="shared" si="39"/>
        <v>4007/4008</v>
      </c>
      <c r="L100" s="21" t="str">
        <f>VLOOKUP(A100,'Trips&amp;Operators'!$C$1:$G$99999,5,FALSE)</f>
        <v>BRANDNER MELINDA</v>
      </c>
      <c r="M100" s="6">
        <f t="shared" si="40"/>
        <v>2.9155092590372078E-2</v>
      </c>
      <c r="N100" s="7">
        <f t="shared" si="74"/>
        <v>41.983333330135792</v>
      </c>
      <c r="O100" s="7"/>
      <c r="P100" s="7"/>
      <c r="Q100" s="22"/>
      <c r="R100" s="170"/>
      <c r="S100" s="213">
        <f t="shared" si="75"/>
        <v>1</v>
      </c>
      <c r="T100" s="195" t="str">
        <f t="shared" si="4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4"/>
        <v>https://d0f6bd738d7f1b3e5a7ca70fe4ff75f0.us-east-1.aws.found.io/app/kibana#/discover/Steve-Slow-Train-Analysis-(2080s-and-2083s)?_g=(refreshInterval:(display:Off,pause:!f,section:0,value:0),time:(from:'2017-07-04T13:54:44-0600',mode:absolute,to:'2017-07-04T16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197" t="str">
        <f>IF(AA100&lt;VLOOKUP(AG100,Variables!$AC$3:$AD$8,2,FALSE),"Y","N")</f>
        <v>N</v>
      </c>
      <c r="X100" s="197">
        <f t="shared" si="63"/>
        <v>1</v>
      </c>
      <c r="Y100" s="197">
        <f t="shared" si="72"/>
        <v>23.298400000000001</v>
      </c>
      <c r="Z100" s="197">
        <f t="shared" si="73"/>
        <v>1.3599999999999999E-2</v>
      </c>
      <c r="AA100" s="197">
        <f t="shared" si="45"/>
        <v>23.284800000000001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6"/>
        <v>184</v>
      </c>
      <c r="AE100" s="77" t="str">
        <f t="shared" si="47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100" s="74" t="str">
        <f t="shared" si="48"/>
        <v>"C:\Program Files (x86)\AstroGrep\AstroGrep.exe" /e /r /s /spath="%USERPROFILE%\AppData\Local\Temp\OnboardLogs" /stypes="app*4007*20170704*" /stext=" 21:.+((SYSTEM_STATE.+slice.+state.+changed )|(ment ac)|(multiple cpu faults)|(system.+state.+changed )|(\[timeout)|(PRM\|1\|D)|(kpr)|(kdp)|(train st.+moving)|(\|lc)|(penalty))"</v>
      </c>
      <c r="AG100" s="209" t="str">
        <f t="shared" si="49"/>
        <v>EC</v>
      </c>
      <c r="AH100" s="78" t="str">
        <f t="shared" si="59"/>
        <v>"%USERPROFILE%\Documents\GitHub\eaglep3\Utilities\RefineRTDCRunTimes.py" --tripid 184-04 --locoid 4007 --swversion DE.1.0.9.0 --startMP 204:232984 --initTime 2017-07-04T14:54:44 --startdatetime 2017-07-04T14:57:16 --delay 1 --endMP 204:136 --enddatetime 2017-07-04T15:39:15 --enforcementcount 0 &gt;&gt;C:\Users\stu\Documents\GitHub\eaglep3-reporting\EC\2017-07-04-refined-times.txt</v>
      </c>
      <c r="AI10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{"issue":{"subject":"","project_id":79,"tracker_id":40,"status_id":1,"priority_id":2,"assigned_to_id":23,"start_date":"2017-07-04","description":"","custom_fields":[{"id":1,"name":"Subdivision","value":"EC"},{"id":4,"name":"Milepost","value":"0.0136"},{"id":17,"name":"Train ID","value":"184-04"},{"id":16,"name":"Locomotive ID","value":"4007"},{"id":130,"name":"Impact","value":""},{"id":150,"name":"Time of Event (Mountain Time)","value":"15:39:15"},{"id":151,"name":"Denver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61"/>
        <v>start /low /b %USERPROFILE%\Documents\GitHub\eaglep3\Utilities\DownloadLogsFromS3.py --loco 4007 --day 2017-07-04</v>
      </c>
      <c r="AN100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772</v>
      </c>
      <c r="B101" s="7">
        <v>4046</v>
      </c>
      <c r="C101" s="21" t="s">
        <v>202</v>
      </c>
      <c r="D101" s="21" t="s">
        <v>352</v>
      </c>
      <c r="E101" s="13">
        <v>42920.594548611109</v>
      </c>
      <c r="F101" s="13">
        <v>42920.596250000002</v>
      </c>
      <c r="G101" s="7">
        <v>1</v>
      </c>
      <c r="H101" s="21" t="s">
        <v>473</v>
      </c>
      <c r="I101" s="13">
        <v>42920.627002314817</v>
      </c>
      <c r="J101" s="7">
        <v>0</v>
      </c>
      <c r="K101" s="89" t="str">
        <f t="shared" si="39"/>
        <v>4045/4046</v>
      </c>
      <c r="L101" s="21" t="str">
        <f>VLOOKUP(A101,'Trips&amp;Operators'!$C$1:$G$99999,5,FALSE)</f>
        <v>DAVIS MICHAEL</v>
      </c>
      <c r="M101" s="6">
        <f t="shared" si="40"/>
        <v>3.0752314814890269E-2</v>
      </c>
      <c r="N101" s="7">
        <f t="shared" si="74"/>
        <v>44.283333333441988</v>
      </c>
      <c r="O101" s="7"/>
      <c r="P101" s="7"/>
      <c r="Q101" s="22"/>
      <c r="R101" s="170"/>
      <c r="S101" s="213">
        <f t="shared" si="75"/>
        <v>1</v>
      </c>
      <c r="T101" s="195" t="str">
        <f t="shared" si="4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4"/>
        <v>https://d0f6bd738d7f1b3e5a7ca70fe4ff75f0.us-east-1.aws.found.io/app/kibana#/discover/Steve-Slow-Train-Analysis-(2080s-and-2083s)?_g=(refreshInterval:(display:Off,pause:!f,section:0,value:0),time:(from:'2017-07-04T13:16:09-0600',mode:absolute,to:'2017-07-04T16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197" t="str">
        <f>IF(AA101&lt;VLOOKUP(AG101,Variables!$AC$3:$AD$8,2,FALSE),"Y","N")</f>
        <v>N</v>
      </c>
      <c r="X101" s="197">
        <f t="shared" si="63"/>
        <v>1</v>
      </c>
      <c r="Y101" s="197">
        <f t="shared" si="72"/>
        <v>4.5100000000000001E-2</v>
      </c>
      <c r="Z101" s="197">
        <f t="shared" si="73"/>
        <v>23.3308</v>
      </c>
      <c r="AA101" s="197">
        <f t="shared" si="45"/>
        <v>23.285699999999999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6"/>
        <v>185</v>
      </c>
      <c r="AE101" s="77" t="str">
        <f t="shared" si="47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01" s="74" t="str">
        <f t="shared" si="48"/>
        <v>"C:\Program Files (x86)\AstroGrep\AstroGrep.exe" /e /r /s /spath="%USERPROFILE%\AppData\Local\Temp\OnboardLogs" /stypes="app*4046*20170704*" /stext=" 21:.+((SYSTEM_STATE.+slice.+state.+changed )|(ment ac)|(multiple cpu faults)|(system.+state.+changed )|(\[timeout)|(PRM\|1\|D)|(kpr)|(kdp)|(train st.+moving)|(\|lc)|(penalty))"</v>
      </c>
      <c r="AG101" s="209" t="str">
        <f t="shared" si="49"/>
        <v>EC</v>
      </c>
      <c r="AH101" s="78" t="str">
        <f t="shared" si="59"/>
        <v>"%USERPROFILE%\Documents\GitHub\eaglep3\Utilities\RefineRTDCRunTimes.py" --tripid 185-04 --locoid 4046 --swversion DE.1.0.9.0 --startMP 204:451 --initTime 2017-07-04T14:16:09 --startdatetime 2017-07-04T14:18:36 --delay 1 --endMP 204:233308 --enddatetime 2017-07-04T15:02:53 --enforcementcount 0 &gt;&gt;C:\Users\stu\Documents\GitHub\eaglep3-reporting\EC\2017-07-04-refined-times.txt</v>
      </c>
      <c r="AI101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{"issue":{"subject":"","project_id":79,"tracker_id":40,"status_id":1,"priority_id":2,"assigned_to_id":23,"start_date":"2017-07-04","description":"","custom_fields":[{"id":1,"name":"Subdivision","value":"EC"},{"id":4,"name":"Milepost","value":"23.3308"},{"id":17,"name":"Train ID","value":"185-04"},{"id":16,"name":"Locomotive ID","value":"4046"},{"id":130,"name":"Impact","value":""},{"id":150,"name":"Time of Event (Mountain Time)","value":"15:02:53"},{"id":151,"name":"Denver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61"/>
        <v>start /low /b %USERPROFILE%\Documents\GitHub\eaglep3\Utilities\DownloadLogsFromS3.py --loco 4046 --day 2017-07-04</v>
      </c>
      <c r="AN101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633</v>
      </c>
      <c r="B102" s="7">
        <v>4045</v>
      </c>
      <c r="C102" s="21" t="s">
        <v>202</v>
      </c>
      <c r="D102" s="21" t="s">
        <v>531</v>
      </c>
      <c r="E102" s="13">
        <v>42920.632222222222</v>
      </c>
      <c r="F102" s="13">
        <v>42920.633877314816</v>
      </c>
      <c r="G102" s="7">
        <v>1</v>
      </c>
      <c r="H102" s="21" t="s">
        <v>348</v>
      </c>
      <c r="I102" s="13">
        <v>42920.662789351853</v>
      </c>
      <c r="J102" s="7">
        <v>0</v>
      </c>
      <c r="K102" s="89" t="str">
        <f t="shared" si="39"/>
        <v>4045/4046</v>
      </c>
      <c r="L102" s="21" t="str">
        <f>VLOOKUP(A102,'Trips&amp;Operators'!$C$1:$G$99999,5,FALSE)</f>
        <v>DAVIS MICHAEL</v>
      </c>
      <c r="M102" s="6">
        <f t="shared" si="40"/>
        <v>2.8912037036207039E-2</v>
      </c>
      <c r="N102" s="7">
        <f t="shared" si="74"/>
        <v>41.633333332138136</v>
      </c>
      <c r="O102" s="7"/>
      <c r="P102" s="7"/>
      <c r="Q102" s="22"/>
      <c r="R102" s="170"/>
      <c r="S102" s="213">
        <f t="shared" si="75"/>
        <v>1</v>
      </c>
      <c r="T102" s="195" t="str">
        <f t="shared" si="4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4"/>
        <v>https://d0f6bd738d7f1b3e5a7ca70fe4ff75f0.us-east-1.aws.found.io/app/kibana#/discover/Steve-Slow-Train-Analysis-(2080s-and-2083s)?_g=(refreshInterval:(display:Off,pause:!f,section:0,value:0),time:(from:'2017-07-04T14:10:24-0600',mode:absolute,to:'2017-07-04T16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197" t="str">
        <f>IF(AA102&lt;VLOOKUP(AG102,Variables!$AC$3:$AD$8,2,FALSE),"Y","N")</f>
        <v>N</v>
      </c>
      <c r="X102" s="197">
        <f t="shared" si="63"/>
        <v>1</v>
      </c>
      <c r="Y102" s="197">
        <f t="shared" si="72"/>
        <v>23.299800000000001</v>
      </c>
      <c r="Z102" s="197">
        <f t="shared" si="73"/>
        <v>1.4999999999999999E-2</v>
      </c>
      <c r="AA102" s="197">
        <f t="shared" si="45"/>
        <v>23.284800000000001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6"/>
        <v>186</v>
      </c>
      <c r="AE102" s="77" t="str">
        <f t="shared" si="47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02" s="74" t="str">
        <f t="shared" si="48"/>
        <v>"C:\Program Files (x86)\AstroGrep\AstroGrep.exe" /e /r /s /spath="%USERPROFILE%\AppData\Local\Temp\OnboardLogs" /stypes="app*4045*20170704*" /stext=" 21:.+((SYSTEM_STATE.+slice.+state.+changed )|(ment ac)|(multiple cpu faults)|(system.+state.+changed )|(\[timeout)|(PRM\|1\|D)|(kpr)|(kdp)|(train st.+moving)|(\|lc)|(penalty))"</v>
      </c>
      <c r="AG102" s="209" t="str">
        <f t="shared" si="49"/>
        <v>EC</v>
      </c>
      <c r="AH102" s="78" t="str">
        <f t="shared" si="59"/>
        <v>"%USERPROFILE%\Documents\GitHub\eaglep3\Utilities\RefineRTDCRunTimes.py" --tripid 186-04 --locoid 4045 --swversion DE.1.0.9.0 --startMP 204:232998 --initTime 2017-07-04T15:10:24 --startdatetime 2017-07-04T15:12:47 --delay 1 --endMP 204:150 --enddatetime 2017-07-04T15:54:25 --enforcementcount 0 &gt;&gt;C:\Users\stu\Documents\GitHub\eaglep3-reporting\EC\2017-07-04-refined-times.txt</v>
      </c>
      <c r="AI10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ID","value":"186-04"},{"id":16,"name":"Locomotive ID","value":"4045"},{"id":130,"name":"Impact","value":""},{"id":150,"name":"Time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61"/>
        <v>start /low /b %USERPROFILE%\Documents\GitHub\eaglep3\Utilities\DownloadLogsFromS3.py --loco 4045 --day 2017-07-04</v>
      </c>
      <c r="AN102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774</v>
      </c>
      <c r="B103" s="7">
        <v>4012</v>
      </c>
      <c r="C103" s="21" t="s">
        <v>202</v>
      </c>
      <c r="D103" s="21" t="s">
        <v>343</v>
      </c>
      <c r="E103" s="13">
        <v>42920.601087962961</v>
      </c>
      <c r="F103" s="13">
        <v>42920.604791666665</v>
      </c>
      <c r="G103" s="7">
        <v>2</v>
      </c>
      <c r="H103" s="21" t="s">
        <v>882</v>
      </c>
      <c r="I103" s="13">
        <v>42920.630300925928</v>
      </c>
      <c r="J103" s="7">
        <v>0</v>
      </c>
      <c r="K103" s="89" t="str">
        <f t="shared" si="39"/>
        <v>4011/4012</v>
      </c>
      <c r="L103" s="21" t="str">
        <f>VLOOKUP(A103,'Trips&amp;Operators'!$C$1:$G$99999,5,FALSE)</f>
        <v>MOSES BRADLEY</v>
      </c>
      <c r="M103" s="6">
        <f t="shared" si="40"/>
        <v>2.5509259263344575E-2</v>
      </c>
      <c r="N103" s="7">
        <f t="shared" si="74"/>
        <v>36.733333339216188</v>
      </c>
      <c r="O103" s="7"/>
      <c r="P103" s="7"/>
      <c r="Q103" s="22"/>
      <c r="R103" s="170"/>
      <c r="S103" s="213">
        <f t="shared" si="75"/>
        <v>1</v>
      </c>
      <c r="T103" s="195" t="str">
        <f t="shared" si="43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4"/>
        <v>https://d0f6bd738d7f1b3e5a7ca70fe4ff75f0.us-east-1.aws.found.io/app/kibana#/discover/Steve-Slow-Train-Analysis-(2080s-and-2083s)?_g=(refreshInterval:(display:Off,pause:!f,section:0,value:0),time:(from:'2017-07-04T13:25:34-0600',mode:absolute,to:'2017-07-04T16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7" t="str">
        <f>IF(AA103&lt;VLOOKUP(AG103,Variables!$AC$3:$AD$8,2,FALSE),"Y","N")</f>
        <v>N</v>
      </c>
      <c r="X103" s="197">
        <f t="shared" si="63"/>
        <v>1</v>
      </c>
      <c r="Y103" s="197">
        <f t="shared" si="72"/>
        <v>4.4900000000000002E-2</v>
      </c>
      <c r="Z103" s="197">
        <f t="shared" si="73"/>
        <v>23.3307</v>
      </c>
      <c r="AA103" s="197">
        <f t="shared" si="45"/>
        <v>23.285800000000002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6"/>
        <v>187</v>
      </c>
      <c r="AE103" s="77" t="str">
        <f t="shared" si="47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103" s="74" t="str">
        <f t="shared" si="48"/>
        <v>"C:\Program Files (x86)\AstroGrep\AstroGrep.exe" /e /r /s /spath="%USERPROFILE%\AppData\Local\Temp\OnboardLogs" /stypes="app*4012*20170704*" /stext=" 21:.+((SYSTEM_STATE.+slice.+state.+changed )|(ment ac)|(multiple cpu faults)|(system.+state.+changed )|(\[timeout)|(PRM\|1\|D)|(kpr)|(kdp)|(train st.+moving)|(\|lc)|(penalty))"</v>
      </c>
      <c r="AG103" s="209" t="str">
        <f t="shared" si="49"/>
        <v>EC</v>
      </c>
      <c r="AH103" s="78" t="str">
        <f t="shared" si="59"/>
        <v>"%USERPROFILE%\Documents\GitHub\eaglep3\Utilities\RefineRTDCRunTimes.py" --tripid 187-04 --locoid 4012 --swversion DE.1.0.9.0 --startMP 204:449 --initTime 2017-07-04T14:25:34 --startdatetime 2017-07-04T14:30:54 --delay 2 --endMP 204:233307 --enddatetime 2017-07-04T15:07:38 --enforcementcount 0 &gt;&gt;C:\Users\stu\Documents\GitHub\eaglep3-reporting\EC\2017-07-04-refined-times.txt</v>
      </c>
      <c r="AI103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{"issue":{"subject":"","project_id":79,"tracker_id":40,"status_id":1,"priority_id":2,"assigned_to_id":23,"start_date":"2017-07-04","description":"","custom_fields":[{"id":1,"name":"Subdivision","value":"EC"},{"id":4,"name":"Milepost","value":"23.3307"},{"id":17,"name":"Train ID","value":"187-04"},{"id":16,"name":"Locomotive ID","value":"4012"},{"id":130,"name":"Impact","value":""},{"id":150,"name":"Time of Event (Mountain Time)","value":"15:07:38"},{"id":151,"name":"Denver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61"/>
        <v>start /low /b %USERPROFILE%\Documents\GitHub\eaglep3\Utilities\DownloadLogsFromS3.py --loco 4012 --day 2017-07-04</v>
      </c>
      <c r="AN103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778</v>
      </c>
      <c r="B104" s="7">
        <v>4011</v>
      </c>
      <c r="C104" s="21" t="s">
        <v>202</v>
      </c>
      <c r="D104" s="21" t="s">
        <v>599</v>
      </c>
      <c r="E104" s="13">
        <v>42920.640844907408</v>
      </c>
      <c r="F104" s="13">
        <v>42920.644212962965</v>
      </c>
      <c r="G104" s="7">
        <v>1</v>
      </c>
      <c r="H104" s="21" t="s">
        <v>193</v>
      </c>
      <c r="I104" s="13">
        <v>42920.671597222223</v>
      </c>
      <c r="J104" s="7">
        <v>0</v>
      </c>
      <c r="K104" s="89" t="str">
        <f t="shared" si="39"/>
        <v>4011/4012</v>
      </c>
      <c r="L104" s="21" t="str">
        <f>VLOOKUP(A104,'Trips&amp;Operators'!$C$1:$G$99999,5,FALSE)</f>
        <v>MOSES BRADLEY</v>
      </c>
      <c r="M104" s="6">
        <f t="shared" si="40"/>
        <v>2.7384259257814847E-2</v>
      </c>
      <c r="N104" s="7">
        <f t="shared" si="74"/>
        <v>39.43333333125338</v>
      </c>
      <c r="O104" s="7"/>
      <c r="P104" s="7"/>
      <c r="Q104" s="22"/>
      <c r="R104" s="170"/>
      <c r="S104" s="213">
        <f t="shared" si="75"/>
        <v>1</v>
      </c>
      <c r="T104" s="195" t="str">
        <f t="shared" si="4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4"/>
        <v>https://d0f6bd738d7f1b3e5a7ca70fe4ff75f0.us-east-1.aws.found.io/app/kibana#/discover/Steve-Slow-Train-Analysis-(2080s-and-2083s)?_g=(refreshInterval:(display:Off,pause:!f,section:0,value:0),time:(from:'2017-07-04T14:22:49-0600',mode:absolute,to:'2017-07-04T17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97" t="str">
        <f>IF(AA104&lt;VLOOKUP(AG104,Variables!$AC$3:$AD$8,2,FALSE),"Y","N")</f>
        <v>N</v>
      </c>
      <c r="X104" s="197">
        <f t="shared" si="63"/>
        <v>1</v>
      </c>
      <c r="Y104" s="197">
        <f t="shared" si="72"/>
        <v>23.300899999999999</v>
      </c>
      <c r="Z104" s="197">
        <f t="shared" si="73"/>
        <v>1.52E-2</v>
      </c>
      <c r="AA104" s="197">
        <f t="shared" si="45"/>
        <v>23.285699999999999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6"/>
        <v>188</v>
      </c>
      <c r="AE104" s="77" t="str">
        <f t="shared" si="47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104" s="74" t="str">
        <f t="shared" si="48"/>
        <v>"C:\Program Files (x86)\AstroGrep\AstroGrep.exe" /e /r /s /spath="%USERPROFILE%\AppData\Local\Temp\OnboardLogs" /stypes="app*4011*20170704*" /stext=" 22:.+((SYSTEM_STATE.+slice.+state.+changed )|(ment ac)|(multiple cpu faults)|(system.+state.+changed )|(\[timeout)|(PRM\|1\|D)|(kpr)|(kdp)|(train st.+moving)|(\|lc)|(penalty))"</v>
      </c>
      <c r="AG104" s="209" t="str">
        <f t="shared" si="49"/>
        <v>EC</v>
      </c>
      <c r="AH104" s="78" t="str">
        <f t="shared" si="59"/>
        <v>"%USERPROFILE%\Documents\GitHub\eaglep3\Utilities\RefineRTDCRunTimes.py" --tripid 188-04 --locoid 4011 --swversion DE.1.0.9.0 --startMP 204:233009 --initTime 2017-07-04T15:22:49 --startdatetime 2017-07-04T15:27:40 --delay 1 --endMP 204:152 --enddatetime 2017-07-04T16:07:06 --enforcementcount 0 &gt;&gt;C:\Users\stu\Documents\GitHub\eaglep3-reporting\EC\2017-07-04-refined-times.txt</v>
      </c>
      <c r="AI10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{"issue":{"subject":"","project_id":79,"tracker_id":40,"status_id":1,"priority_id":2,"assigned_to_id":23,"start_date":"2017-07-04","description":"","custom_fields":[{"id":1,"name":"Subdivision","value":"EC"},{"id":4,"name":"Milepost","value":"0.0152"},{"id":17,"name":"Train ID","value":"188-04"},{"id":16,"name":"Locomotive ID","value":"4011"},{"id":130,"name":"Impact","value":""},{"id":150,"name":"Time of Event (Mountain Time)","value":"16:07:06"},{"id":151,"name":"Denver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61"/>
        <v>start /low /b %USERPROFILE%\Documents\GitHub\eaglep3\Utilities\DownloadLogsFromS3.py --loco 4011 --day 2017-07-04</v>
      </c>
      <c r="AN104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777</v>
      </c>
      <c r="B105" s="7">
        <v>4024</v>
      </c>
      <c r="C105" s="21" t="s">
        <v>202</v>
      </c>
      <c r="D105" s="21" t="s">
        <v>441</v>
      </c>
      <c r="E105" s="13">
        <v>42920.617615740739</v>
      </c>
      <c r="F105" s="13">
        <v>42920.619791666664</v>
      </c>
      <c r="G105" s="7">
        <v>2</v>
      </c>
      <c r="H105" s="21" t="s">
        <v>897</v>
      </c>
      <c r="I105" s="13">
        <v>42920.648854166669</v>
      </c>
      <c r="J105" s="7">
        <v>0</v>
      </c>
      <c r="K105" s="89" t="str">
        <f t="shared" si="39"/>
        <v>4023/4024</v>
      </c>
      <c r="L105" s="21" t="str">
        <f>VLOOKUP(A105,'Trips&amp;Operators'!$C$1:$G$99999,5,FALSE)</f>
        <v>STEWART MICHAEL</v>
      </c>
      <c r="M105" s="6">
        <f t="shared" si="40"/>
        <v>2.9062500005238689E-2</v>
      </c>
      <c r="N105" s="7">
        <f t="shared" si="74"/>
        <v>41.850000007543713</v>
      </c>
      <c r="O105" s="7"/>
      <c r="P105" s="7"/>
      <c r="Q105" s="22"/>
      <c r="R105" s="170"/>
      <c r="S105" s="213">
        <f t="shared" si="75"/>
        <v>1</v>
      </c>
      <c r="T105" s="195" t="str">
        <f t="shared" si="4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4"/>
        <v>https://d0f6bd738d7f1b3e5a7ca70fe4ff75f0.us-east-1.aws.found.io/app/kibana#/discover/Steve-Slow-Train-Analysis-(2080s-and-2083s)?_g=(refreshInterval:(display:Off,pause:!f,section:0,value:0),time:(from:'2017-07-04T13:49:22-0600',mode:absolute,to:'2017-07-04T16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197" t="str">
        <f>IF(AA105&lt;VLOOKUP(AG105,Variables!$AC$3:$AD$8,2,FALSE),"Y","N")</f>
        <v>N</v>
      </c>
      <c r="X105" s="197">
        <f t="shared" si="63"/>
        <v>1</v>
      </c>
      <c r="Y105" s="197">
        <f t="shared" si="72"/>
        <v>4.6899999999999997E-2</v>
      </c>
      <c r="Z105" s="197">
        <f t="shared" si="73"/>
        <v>23.327000000000002</v>
      </c>
      <c r="AA105" s="197">
        <f t="shared" si="45"/>
        <v>23.280100000000001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6"/>
        <v>189</v>
      </c>
      <c r="AE105" s="77" t="str">
        <f t="shared" si="47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105" s="74" t="str">
        <f t="shared" si="48"/>
        <v>"C:\Program Files (x86)\AstroGrep\AstroGrep.exe" /e /r /s /spath="%USERPROFILE%\AppData\Local\Temp\OnboardLogs" /stypes="app*4024*20170704*" /stext=" 21:.+((SYSTEM_STATE.+slice.+state.+changed )|(ment ac)|(multiple cpu faults)|(system.+state.+changed )|(\[timeout)|(PRM\|1\|D)|(kpr)|(kdp)|(train st.+moving)|(\|lc)|(penalty))"</v>
      </c>
      <c r="AG105" s="209" t="str">
        <f t="shared" si="49"/>
        <v>EC</v>
      </c>
      <c r="AH105" s="78" t="str">
        <f t="shared" si="59"/>
        <v>"%USERPROFILE%\Documents\GitHub\eaglep3\Utilities\RefineRTDCRunTimes.py" --tripid 189-04 --locoid 4024 --swversion DE.1.0.9.0 --startMP 204:469 --initTime 2017-07-04T14:49:22 --startdatetime 2017-07-04T14:52:30 --delay 2 --endMP 204:233270 --enddatetime 2017-07-04T15:34:21 --enforcementcount 0 &gt;&gt;C:\Users\stu\Documents\GitHub\eaglep3-reporting\EC\2017-07-04-refined-times.txt</v>
      </c>
      <c r="AI10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{"issue":{"subject":"","project_id":79,"tracker_id":40,"status_id":1,"priority_id":2,"assigned_to_id":23,"start_date":"2017-07-04","description":"","custom_fields":[{"id":1,"name":"Subdivision","value":"EC"},{"id":4,"name":"Milepost","value":"23.327"},{"id":17,"name":"Train ID","value":"189-04"},{"id":16,"name":"Locomotive ID","value":"4024"},{"id":130,"name":"Impact","value":""},{"id":150,"name":"Time of Event (Mountain Time)","value":"15:34:21"},{"id":151,"name":"Denver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61"/>
        <v>start /low /b %USERPROFILE%\Documents\GitHub\eaglep3\Utilities\DownloadLogsFromS3.py --loco 4024 --day 2017-07-04</v>
      </c>
      <c r="AN105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781</v>
      </c>
      <c r="B106" s="7">
        <v>4023</v>
      </c>
      <c r="C106" s="21" t="s">
        <v>202</v>
      </c>
      <c r="D106" s="21" t="s">
        <v>890</v>
      </c>
      <c r="E106" s="13">
        <v>42920.651689814818</v>
      </c>
      <c r="F106" s="13">
        <v>42920.654398148145</v>
      </c>
      <c r="G106" s="7">
        <v>1</v>
      </c>
      <c r="H106" s="21" t="s">
        <v>582</v>
      </c>
      <c r="I106" s="13">
        <v>42920.682638888888</v>
      </c>
      <c r="J106" s="7">
        <v>0</v>
      </c>
      <c r="K106" s="89" t="str">
        <f t="shared" si="39"/>
        <v>4023/4024</v>
      </c>
      <c r="L106" s="21" t="str">
        <f>VLOOKUP(A106,'Trips&amp;Operators'!$C$1:$G$99999,5,FALSE)</f>
        <v>STEWART MICHAEL</v>
      </c>
      <c r="M106" s="6">
        <f t="shared" si="40"/>
        <v>2.8240740743058268E-2</v>
      </c>
      <c r="N106" s="7">
        <f t="shared" si="74"/>
        <v>40.666666670003906</v>
      </c>
      <c r="O106" s="7"/>
      <c r="P106" s="7"/>
      <c r="Q106" s="22"/>
      <c r="R106" s="170"/>
      <c r="S106" s="213">
        <f t="shared" si="75"/>
        <v>1</v>
      </c>
      <c r="T106" s="195" t="str">
        <f t="shared" si="4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4"/>
        <v>https://d0f6bd738d7f1b3e5a7ca70fe4ff75f0.us-east-1.aws.found.io/app/kibana#/discover/Steve-Slow-Train-Analysis-(2080s-and-2083s)?_g=(refreshInterval:(display:Off,pause:!f,section:0,value:0),time:(from:'2017-07-04T14:38:26-0600',mode:absolute,to:'2017-07-04T17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6" s="197" t="str">
        <f>IF(AA106&lt;VLOOKUP(AG106,Variables!$AC$3:$AD$8,2,FALSE),"Y","N")</f>
        <v>N</v>
      </c>
      <c r="X106" s="197">
        <f t="shared" si="63"/>
        <v>1</v>
      </c>
      <c r="Y106" s="197">
        <f t="shared" si="72"/>
        <v>23.297899999999998</v>
      </c>
      <c r="Z106" s="197">
        <f t="shared" si="73"/>
        <v>1.32E-2</v>
      </c>
      <c r="AA106" s="197">
        <f t="shared" si="45"/>
        <v>23.284699999999997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6"/>
        <v>190</v>
      </c>
      <c r="AE106" s="77" t="str">
        <f t="shared" si="47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06" s="74" t="str">
        <f t="shared" si="48"/>
        <v>"C:\Program Files (x86)\AstroGrep\AstroGrep.exe" /e /r /s /spath="%USERPROFILE%\AppData\Local\Temp\OnboardLogs" /stypes="app*4023*20170704*" /stext=" 22:.+((SYSTEM_STATE.+slice.+state.+changed )|(ment ac)|(multiple cpu faults)|(system.+state.+changed )|(\[timeout)|(PRM\|1\|D)|(kpr)|(kdp)|(train st.+moving)|(\|lc)|(penalty))"</v>
      </c>
      <c r="AG106" s="209" t="str">
        <f t="shared" si="49"/>
        <v>EC</v>
      </c>
      <c r="AH106" s="78" t="str">
        <f t="shared" si="59"/>
        <v>"%USERPROFILE%\Documents\GitHub\eaglep3\Utilities\RefineRTDCRunTimes.py" --tripid 190-04 --locoid 4023 --swversion DE.1.0.9.0 --startMP 204:232979 --initTime 2017-07-04T15:38:26 --startdatetime 2017-07-04T15:42:20 --delay 1 --endMP 204:132 --enddatetime 2017-07-04T16:23:00 --enforcementcount 0 &gt;&gt;C:\Users\stu\Documents\GitHub\eaglep3-reporting\EC\2017-07-04-refined-times.txt</v>
      </c>
      <c r="AI106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{"issue":{"subject":"","project_id":79,"tracker_id":40,"status_id":1,"priority_id":2,"assigned_to_id":23,"start_date":"2017-07-04","description":"","custom_fields":[{"id":1,"name":"Subdivision","value":"EC"},{"id":4,"name":"Milepost","value":"0.0132"},{"id":17,"name":"Train ID","value":"190-04"},{"id":16,"name":"Locomotive ID","value":"4023"},{"id":130,"name":"Impact","value":""},{"id":150,"name":"Time of Event (Mountain Time)","value":"16:23:00"},{"id":151,"name":"Denver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61"/>
        <v>start /low /b %USERPROFILE%\Documents\GitHub\eaglep3\Utilities\DownloadLogsFromS3.py --loco 4023 --day 2017-07-04</v>
      </c>
      <c r="AN106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632</v>
      </c>
      <c r="B107" s="7">
        <v>4050</v>
      </c>
      <c r="C107" s="21" t="s">
        <v>202</v>
      </c>
      <c r="D107" s="21" t="s">
        <v>355</v>
      </c>
      <c r="E107" s="13">
        <v>42920.619351851848</v>
      </c>
      <c r="F107" s="13">
        <v>42920.625509259262</v>
      </c>
      <c r="G107" s="7">
        <v>1</v>
      </c>
      <c r="H107" s="21" t="s">
        <v>898</v>
      </c>
      <c r="I107" s="13">
        <v>42920.651539351849</v>
      </c>
      <c r="J107" s="7">
        <v>0</v>
      </c>
      <c r="K107" s="89" t="str">
        <f t="shared" si="39"/>
        <v>4049/4050</v>
      </c>
      <c r="L107" s="21" t="str">
        <f>VLOOKUP(A107,'Trips&amp;Operators'!$C$1:$G$99999,5,FALSE)</f>
        <v>ROMERO CHAD</v>
      </c>
      <c r="M107" s="6">
        <f t="shared" si="40"/>
        <v>2.6030092587461695E-2</v>
      </c>
      <c r="N107" s="7">
        <f t="shared" si="74"/>
        <v>37.483333325944841</v>
      </c>
      <c r="O107" s="7"/>
      <c r="P107" s="7"/>
      <c r="Q107" s="22"/>
      <c r="R107" s="170"/>
      <c r="S107" s="213">
        <f t="shared" si="75"/>
        <v>1</v>
      </c>
      <c r="T107" s="195" t="str">
        <f t="shared" si="4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4"/>
        <v>https://d0f6bd738d7f1b3e5a7ca70fe4ff75f0.us-east-1.aws.found.io/app/kibana#/discover/Steve-Slow-Train-Analysis-(2080s-and-2083s)?_g=(refreshInterval:(display:Off,pause:!f,section:0,value:0),time:(from:'2017-07-04T13:51:52-0600',mode:absolute,to:'2017-07-04T16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 t="shared" si="63"/>
        <v>1</v>
      </c>
      <c r="Y107" s="197">
        <f t="shared" si="72"/>
        <v>4.4699999999999997E-2</v>
      </c>
      <c r="Z107" s="197">
        <f t="shared" si="73"/>
        <v>23.340699999999998</v>
      </c>
      <c r="AA107" s="197">
        <f t="shared" si="45"/>
        <v>23.295999999999999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6"/>
        <v>191</v>
      </c>
      <c r="AE107" s="77" t="str">
        <f t="shared" si="47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07" s="74" t="str">
        <f t="shared" si="48"/>
        <v>"C:\Program Files (x86)\AstroGrep\AstroGrep.exe" /e /r /s /spath="%USERPROFILE%\AppData\Local\Temp\OnboardLogs" /stypes="app*4050*20170704*" /stext=" 21:.+((SYSTEM_STATE.+slice.+state.+changed )|(ment ac)|(multiple cpu faults)|(system.+state.+changed )|(\[timeout)|(PRM\|1\|D)|(kpr)|(kdp)|(train st.+moving)|(\|lc)|(penalty))"</v>
      </c>
      <c r="AG107" s="209" t="str">
        <f t="shared" si="49"/>
        <v>EC</v>
      </c>
      <c r="AH107" s="78" t="str">
        <f t="shared" si="59"/>
        <v>"%USERPROFILE%\Documents\GitHub\eaglep3\Utilities\RefineRTDCRunTimes.py" --tripid 191-04 --locoid 4050 --swversion DE.1.0.9.0 --startMP 204:447 --initTime 2017-07-04T14:51:52 --startdatetime 2017-07-04T15:00:44 --delay 1 --endMP 204:233407 --enddatetime 2017-07-04T15:38:13 --enforcementcount 0 &gt;&gt;C:\Users\stu\Documents\GitHub\eaglep3-reporting\EC\2017-07-04-refined-times.txt</v>
      </c>
      <c r="AI10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{"issue":{"subject":"","project_id":79,"tracker_id":40,"status_id":1,"priority_id":2,"assigned_to_id":23,"start_date":"2017-07-04","description":"","custom_fields":[{"id":1,"name":"Subdivision","value":"EC"},{"id":4,"name":"Milepost","value":"23.3407"},{"id":17,"name":"Train ID","value":"191-04"},{"id":16,"name":"Locomotive ID","value":"4050"},{"id":130,"name":"Impact","value":""},{"id":150,"name":"Time of Event (Mountain Time)","value":"15:38:13"},{"id":151,"name":"Denver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61"/>
        <v>start /low /b %USERPROFILE%\Documents\GitHub\eaglep3\Utilities\DownloadLogsFromS3.py --loco 4050 --day 2017-07-04</v>
      </c>
      <c r="AN107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636</v>
      </c>
      <c r="B108" s="7">
        <v>4049</v>
      </c>
      <c r="C108" s="21" t="s">
        <v>202</v>
      </c>
      <c r="D108" s="21" t="s">
        <v>899</v>
      </c>
      <c r="E108" s="13">
        <v>42920.652743055558</v>
      </c>
      <c r="F108" s="13">
        <v>42920.664768518516</v>
      </c>
      <c r="G108" s="7">
        <v>1</v>
      </c>
      <c r="H108" s="21" t="s">
        <v>600</v>
      </c>
      <c r="I108" s="13">
        <v>42920.69195601852</v>
      </c>
      <c r="J108" s="7">
        <v>0</v>
      </c>
      <c r="K108" s="89" t="str">
        <f t="shared" si="39"/>
        <v>4049/4050</v>
      </c>
      <c r="L108" s="21" t="str">
        <f>VLOOKUP(A108,'Trips&amp;Operators'!$C$1:$G$99999,5,FALSE)</f>
        <v>ROMERO CHAD</v>
      </c>
      <c r="M108" s="6">
        <f t="shared" si="40"/>
        <v>2.718750000349246E-2</v>
      </c>
      <c r="N108" s="7">
        <f t="shared" si="74"/>
        <v>39.150000005029142</v>
      </c>
      <c r="O108" s="7"/>
      <c r="P108" s="7"/>
      <c r="Q108" s="22"/>
      <c r="R108" s="170"/>
      <c r="S108" s="213">
        <f t="shared" si="75"/>
        <v>1</v>
      </c>
      <c r="T108" s="195" t="str">
        <f t="shared" si="4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4"/>
        <v>https://d0f6bd738d7f1b3e5a7ca70fe4ff75f0.us-east-1.aws.found.io/app/kibana#/discover/Steve-Slow-Train-Analysis-(2080s-and-2083s)?_g=(refreshInterval:(display:Off,pause:!f,section:0,value:0),time:(from:'2017-07-04T14:39:57-0600',mode:absolute,to:'2017-07-04T17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 t="shared" si="63"/>
        <v>1</v>
      </c>
      <c r="Y108" s="197">
        <f t="shared" si="72"/>
        <v>23.306899999999999</v>
      </c>
      <c r="Z108" s="197">
        <f t="shared" si="73"/>
        <v>1.34E-2</v>
      </c>
      <c r="AA108" s="197">
        <f t="shared" si="45"/>
        <v>23.293499999999998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6"/>
        <v>192</v>
      </c>
      <c r="AE108" s="77" t="str">
        <f t="shared" si="47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108" s="74" t="str">
        <f t="shared" si="48"/>
        <v>"C:\Program Files (x86)\AstroGrep\AstroGrep.exe" /e /r /s /spath="%USERPROFILE%\AppData\Local\Temp\OnboardLogs" /stypes="app*4049*20170704*" /stext=" 22:.+((SYSTEM_STATE.+slice.+state.+changed )|(ment ac)|(multiple cpu faults)|(system.+state.+changed )|(\[timeout)|(PRM\|1\|D)|(kpr)|(kdp)|(train st.+moving)|(\|lc)|(penalty))"</v>
      </c>
      <c r="AG108" s="209" t="str">
        <f t="shared" si="49"/>
        <v>EC</v>
      </c>
      <c r="AH108" s="78" t="str">
        <f t="shared" si="59"/>
        <v>"%USERPROFILE%\Documents\GitHub\eaglep3\Utilities\RefineRTDCRunTimes.py" --tripid 192-04 --locoid 4049 --swversion DE.1.0.9.0 --startMP 204:233069 --initTime 2017-07-04T15:39:57 --startdatetime 2017-07-04T15:57:16 --delay 1 --endMP 204:134 --enddatetime 2017-07-04T16:36:25 --enforcementcount 0 &gt;&gt;C:\Users\stu\Documents\GitHub\eaglep3-reporting\EC\2017-07-04-refined-times.txt</v>
      </c>
      <c r="AI10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{"issue":{"subject":"","project_id":79,"tracker_id":40,"status_id":1,"priority_id":2,"assigned_to_id":23,"start_date":"2017-07-04","description":"","custom_fields":[{"id":1,"name":"Subdivision","value":"EC"},{"id":4,"name":"Milepost","value":"0.0134"},{"id":17,"name":"Train ID","value":"192-04"},{"id":16,"name":"Locomotive ID","value":"4049"},{"id":130,"name":"Impact","value":""},{"id":150,"name":"Time of Event (Mountain Time)","value":"16:36:25"},{"id":151,"name":"Denver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61"/>
        <v>start /low /b %USERPROFILE%\Documents\GitHub\eaglep3\Utilities\DownloadLogsFromS3.py --loco 4049 --day 2017-07-04</v>
      </c>
      <c r="AN108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634</v>
      </c>
      <c r="B109" s="7">
        <v>4064</v>
      </c>
      <c r="C109" s="21" t="s">
        <v>202</v>
      </c>
      <c r="D109" s="21" t="s">
        <v>199</v>
      </c>
      <c r="E109" s="13">
        <v>42920.633715277778</v>
      </c>
      <c r="F109" s="13">
        <v>42920.635601851849</v>
      </c>
      <c r="G109" s="7">
        <v>1</v>
      </c>
      <c r="H109" s="21" t="s">
        <v>583</v>
      </c>
      <c r="I109" s="13">
        <v>42920.66070601852</v>
      </c>
      <c r="J109" s="7">
        <v>0</v>
      </c>
      <c r="K109" s="89" t="str">
        <f t="shared" si="39"/>
        <v>4063/4064</v>
      </c>
      <c r="L109" s="21" t="str">
        <f>VLOOKUP(A109,'Trips&amp;Operators'!$C$1:$G$99999,5,FALSE)</f>
        <v>LEVIN SCOTT</v>
      </c>
      <c r="M109" s="6">
        <f t="shared" si="40"/>
        <v>2.510416667064419E-2</v>
      </c>
      <c r="N109" s="7">
        <f t="shared" si="74"/>
        <v>36.150000005727634</v>
      </c>
      <c r="O109" s="7"/>
      <c r="P109" s="7"/>
      <c r="Q109" s="22"/>
      <c r="R109" s="170"/>
      <c r="S109" s="213">
        <f t="shared" si="75"/>
        <v>1</v>
      </c>
      <c r="T109" s="195" t="str">
        <f t="shared" si="4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4"/>
        <v>https://d0f6bd738d7f1b3e5a7ca70fe4ff75f0.us-east-1.aws.found.io/app/kibana#/discover/Steve-Slow-Train-Analysis-(2080s-and-2083s)?_g=(refreshInterval:(display:Off,pause:!f,section:0,value:0),time:(from:'2017-07-04T14:12:33-0600',mode:absolute,to:'2017-07-04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9" s="197" t="str">
        <f>IF(AA109&lt;VLOOKUP(AG109,Variables!$AC$3:$AD$8,2,FALSE),"Y","N")</f>
        <v>N</v>
      </c>
      <c r="X109" s="197">
        <f t="shared" si="63"/>
        <v>1</v>
      </c>
      <c r="Y109" s="197">
        <f t="shared" si="72"/>
        <v>4.5999999999999999E-2</v>
      </c>
      <c r="Z109" s="197">
        <f t="shared" si="73"/>
        <v>23.330200000000001</v>
      </c>
      <c r="AA109" s="197">
        <f t="shared" si="45"/>
        <v>23.284200000000002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6"/>
        <v>193</v>
      </c>
      <c r="AE109" s="77" t="str">
        <f t="shared" si="47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109" s="74" t="str">
        <f t="shared" si="48"/>
        <v>"C:\Program Files (x86)\AstroGrep\AstroGrep.exe" /e /r /s /spath="%USERPROFILE%\AppData\Local\Temp\OnboardLogs" /stypes="app*4064*20170704*" /stext=" 21:.+((SYSTEM_STATE.+slice.+state.+changed )|(ment ac)|(multiple cpu faults)|(system.+state.+changed )|(\[timeout)|(PRM\|1\|D)|(kpr)|(kdp)|(train st.+moving)|(\|lc)|(penalty))"</v>
      </c>
      <c r="AG109" s="209" t="str">
        <f t="shared" si="49"/>
        <v>EC</v>
      </c>
      <c r="AH109" s="78" t="str">
        <f t="shared" si="59"/>
        <v>"%USERPROFILE%\Documents\GitHub\eaglep3\Utilities\RefineRTDCRunTimes.py" --tripid 193-04 --locoid 4064 --swversion DE.1.0.9.0 --startMP 204:460 --initTime 2017-07-04T15:12:33 --startdatetime 2017-07-04T15:15:16 --delay 1 --endMP 204:233302 --enddatetime 2017-07-04T15:51:25 --enforcementcount 0 &gt;&gt;C:\Users\stu\Documents\GitHub\eaglep3-reporting\EC\2017-07-04-refined-times.txt</v>
      </c>
      <c r="AI10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{"issue":{"subject":"","project_id":79,"tracker_id":40,"status_id":1,"priority_id":2,"assigned_to_id":23,"start_date":"2017-07-04","description":"","custom_fields":[{"id":1,"name":"Subdivision","value":"EC"},{"id":4,"name":"Milepost","value":"23.3302"},{"id":17,"name":"Train ID","value":"193-04"},{"id":16,"name":"Locomotive ID","value":"4064"},{"id":130,"name":"Impact","value":""},{"id":150,"name":"Time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61"/>
        <v>start /low /b %USERPROFILE%\Documents\GitHub\eaglep3\Utilities\DownloadLogsFromS3.py --loco 4064 --day 2017-07-04</v>
      </c>
      <c r="AN109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784</v>
      </c>
      <c r="B110" s="7">
        <v>4063</v>
      </c>
      <c r="C110" s="21" t="s">
        <v>202</v>
      </c>
      <c r="D110" s="21" t="s">
        <v>483</v>
      </c>
      <c r="E110" s="13">
        <v>42920.673263888886</v>
      </c>
      <c r="F110" s="13">
        <v>42920.67523148148</v>
      </c>
      <c r="G110" s="7">
        <v>1</v>
      </c>
      <c r="H110" s="21" t="s">
        <v>503</v>
      </c>
      <c r="I110" s="13">
        <v>42920.703217592592</v>
      </c>
      <c r="J110" s="7">
        <v>0</v>
      </c>
      <c r="K110" s="89" t="str">
        <f t="shared" si="39"/>
        <v>4063/4064</v>
      </c>
      <c r="L110" s="21" t="str">
        <f>VLOOKUP(A110,'Trips&amp;Operators'!$C$1:$G$99999,5,FALSE)</f>
        <v>LEVIN SCOTT</v>
      </c>
      <c r="M110" s="6">
        <f t="shared" si="40"/>
        <v>2.7986111112113576E-2</v>
      </c>
      <c r="N110" s="7">
        <f t="shared" si="74"/>
        <v>40.30000000144355</v>
      </c>
      <c r="O110" s="7"/>
      <c r="P110" s="7"/>
      <c r="Q110" s="22"/>
      <c r="R110" s="170"/>
      <c r="S110" s="213">
        <f t="shared" si="75"/>
        <v>1</v>
      </c>
      <c r="T110" s="195" t="str">
        <f t="shared" si="4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4"/>
        <v>https://d0f6bd738d7f1b3e5a7ca70fe4ff75f0.us-east-1.aws.found.io/app/kibana#/discover/Steve-Slow-Train-Analysis-(2080s-and-2083s)?_g=(refreshInterval:(display:Off,pause:!f,section:0,value:0),time:(from:'2017-07-04T15:09:30-0600',mode:absolute,to:'2017-07-04T17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0" s="197" t="str">
        <f>IF(AA110&lt;VLOOKUP(AG110,Variables!$AC$3:$AD$8,2,FALSE),"Y","N")</f>
        <v>N</v>
      </c>
      <c r="X110" s="197">
        <f t="shared" si="63"/>
        <v>1</v>
      </c>
      <c r="Y110" s="197">
        <f t="shared" si="72"/>
        <v>23.301500000000001</v>
      </c>
      <c r="Z110" s="197">
        <f t="shared" si="73"/>
        <v>1.3599999999999999E-2</v>
      </c>
      <c r="AA110" s="197">
        <f t="shared" si="45"/>
        <v>23.2879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6"/>
        <v>194</v>
      </c>
      <c r="AE110" s="77" t="str">
        <f t="shared" si="47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110" s="74" t="str">
        <f t="shared" si="48"/>
        <v>"C:\Program Files (x86)\AstroGrep\AstroGrep.exe" /e /r /s /spath="%USERPROFILE%\AppData\Local\Temp\OnboardLogs" /stypes="app*4063*20170704*" /stext=" 22:.+((SYSTEM_STATE.+slice.+state.+changed )|(ment ac)|(multiple cpu faults)|(system.+state.+changed )|(\[timeout)|(PRM\|1\|D)|(kpr)|(kdp)|(train st.+moving)|(\|lc)|(penalty))"</v>
      </c>
      <c r="AG110" s="209" t="str">
        <f t="shared" si="49"/>
        <v>EC</v>
      </c>
      <c r="AH110" s="78" t="str">
        <f t="shared" si="59"/>
        <v>"%USERPROFILE%\Documents\GitHub\eaglep3\Utilities\RefineRTDCRunTimes.py" --tripid 194-04 --locoid 4063 --swversion DE.1.0.9.0 --startMP 204:233015 --initTime 2017-07-04T16:09:30 --startdatetime 2017-07-04T16:12:20 --delay 1 --endMP 204:136 --enddatetime 2017-07-04T16:52:38 --enforcementcount 0 &gt;&gt;C:\Users\stu\Documents\GitHub\eaglep3-reporting\EC\2017-07-04-refined-times.txt</v>
      </c>
      <c r="AI11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{"issue":{"subject":"","project_id":79,"tracker_id":40,"status_id":1,"priority_id":2,"assigned_to_id":23,"start_date":"2017-07-04","description":"","custom_fields":[{"id":1,"name":"Subdivision","value":"EC"},{"id":4,"name":"Milepost","value":"0.0136"},{"id":17,"name":"Train ID","value":"194-04"},{"id":16,"name":"Locomotive ID","value":"4063"},{"id":130,"name":"Impact","value":""},{"id":150,"name":"Time of Event (Mountain Time)","value":"16:52:38"},{"id":151,"name":"Denver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61"/>
        <v>start /low /b %USERPROFILE%\Documents\GitHub\eaglep3\Utilities\DownloadLogsFromS3.py --loco 4063 --day 2017-07-04</v>
      </c>
      <c r="AN110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779</v>
      </c>
      <c r="B111" s="7">
        <v>4044</v>
      </c>
      <c r="C111" s="21" t="s">
        <v>202</v>
      </c>
      <c r="D111" s="21" t="s">
        <v>351</v>
      </c>
      <c r="E111" s="13">
        <v>42920.642569444448</v>
      </c>
      <c r="F111" s="13">
        <v>42920.646365740744</v>
      </c>
      <c r="G111" s="7">
        <v>1</v>
      </c>
      <c r="H111" s="21" t="s">
        <v>892</v>
      </c>
      <c r="I111" s="13">
        <v>42920.673159722224</v>
      </c>
      <c r="J111" s="7">
        <v>0</v>
      </c>
      <c r="K111" s="89" t="str">
        <f t="shared" si="39"/>
        <v>4043/4044</v>
      </c>
      <c r="L111" s="21" t="str">
        <f>VLOOKUP(A111,'Trips&amp;Operators'!$C$1:$G$99999,5,FALSE)</f>
        <v>LEVERE CRAIG</v>
      </c>
      <c r="M111" s="6">
        <f t="shared" si="40"/>
        <v>2.679398148029577E-2</v>
      </c>
      <c r="N111" s="7">
        <f t="shared" si="74"/>
        <v>38.583333331625909</v>
      </c>
      <c r="O111" s="7"/>
      <c r="P111" s="7"/>
      <c r="Q111" s="22"/>
      <c r="R111" s="170"/>
      <c r="S111" s="213">
        <f t="shared" si="75"/>
        <v>1</v>
      </c>
      <c r="T111" s="195" t="str">
        <f t="shared" si="4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4"/>
        <v>https://d0f6bd738d7f1b3e5a7ca70fe4ff75f0.us-east-1.aws.found.io/app/kibana#/discover/Steve-Slow-Train-Analysis-(2080s-and-2083s)?_g=(refreshInterval:(display:Off,pause:!f,section:0,value:0),time:(from:'2017-07-04T14:25:18-0600',mode:absolute,to:'2017-07-04T17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97" t="str">
        <f>IF(AA111&lt;VLOOKUP(AG111,Variables!$AC$3:$AD$8,2,FALSE),"Y","N")</f>
        <v>N</v>
      </c>
      <c r="X111" s="197">
        <f t="shared" si="63"/>
        <v>1</v>
      </c>
      <c r="Y111" s="197">
        <f t="shared" si="72"/>
        <v>4.6600000000000003E-2</v>
      </c>
      <c r="Z111" s="197">
        <f t="shared" si="73"/>
        <v>23.330500000000001</v>
      </c>
      <c r="AA111" s="197">
        <f t="shared" si="45"/>
        <v>23.283899999999999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6"/>
        <v>195</v>
      </c>
      <c r="AE111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11" s="74" t="str">
        <f t="shared" si="48"/>
        <v>"C:\Program Files (x86)\AstroGrep\AstroGrep.exe" /e /r /s /spath="%USERPROFILE%\AppData\Local\Temp\OnboardLogs" /stypes="app*4044*20170704*" /stext=" 22:.+((SYSTEM_STATE.+slice.+state.+changed )|(ment ac)|(multiple cpu faults)|(system.+state.+changed )|(\[timeout)|(PRM\|1\|D)|(kpr)|(kdp)|(train st.+moving)|(\|lc)|(penalty))"</v>
      </c>
      <c r="AG111" s="209" t="str">
        <f t="shared" si="49"/>
        <v>EC</v>
      </c>
      <c r="AH111" s="78" t="str">
        <f t="shared" si="59"/>
        <v>"%USERPROFILE%\Documents\GitHub\eaglep3\Utilities\RefineRTDCRunTimes.py" --tripid 195-04 --locoid 4044 --swversion DE.1.0.9.0 --startMP 204:466 --initTime 2017-07-04T15:25:18 --startdatetime 2017-07-04T15:30:46 --delay 1 --endMP 204:233305 --enddatetime 2017-07-04T16:09:21 --enforcementcount 0 &gt;&gt;C:\Users\stu\Documents\GitHub\eaglep3-reporting\EC\2017-07-04-refined-times.txt</v>
      </c>
      <c r="AI111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{"issue":{"subject":"","project_id":79,"tracker_id":40,"status_id":1,"priority_id":2,"assigned_to_id":23,"start_date":"2017-07-04","description":"","custom_fields":[{"id":1,"name":"Subdivision","value":"EC"},{"id":4,"name":"Milepost","value":"23.3305"},{"id":17,"name":"Train ID","value":"195-04"},{"id":16,"name":"Locomotive ID","value":"4044"},{"id":130,"name":"Impact","value":""},{"id":150,"name":"Time of Event (Mountain Time)","value":"16:09:21"},{"id":151,"name":"Denver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61"/>
        <v>start /low /b %USERPROFILE%\Documents\GitHub\eaglep3\Utilities\DownloadLogsFromS3.py --loco 4044 --day 2017-07-04</v>
      </c>
      <c r="AN111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787</v>
      </c>
      <c r="B112" s="7">
        <v>4043</v>
      </c>
      <c r="C112" s="21" t="s">
        <v>202</v>
      </c>
      <c r="D112" s="21" t="s">
        <v>546</v>
      </c>
      <c r="E112" s="13">
        <v>42920.680983796294</v>
      </c>
      <c r="F112" s="13">
        <v>42920.685659722221</v>
      </c>
      <c r="G112" s="7">
        <v>1</v>
      </c>
      <c r="H112" s="21" t="s">
        <v>194</v>
      </c>
      <c r="I112" s="13">
        <v>42920.71502314815</v>
      </c>
      <c r="J112" s="7">
        <v>0</v>
      </c>
      <c r="K112" s="89" t="str">
        <f t="shared" si="39"/>
        <v>4043/4044</v>
      </c>
      <c r="L112" s="21" t="str">
        <f>VLOOKUP(A112,'Trips&amp;Operators'!$C$1:$G$99999,5,FALSE)</f>
        <v>LEVERE CRAIG</v>
      </c>
      <c r="M112" s="6">
        <f t="shared" si="40"/>
        <v>2.9363425928750075E-2</v>
      </c>
      <c r="N112" s="7">
        <f t="shared" si="74"/>
        <v>42.283333337400109</v>
      </c>
      <c r="O112" s="7"/>
      <c r="P112" s="7"/>
      <c r="Q112" s="22"/>
      <c r="R112" s="170"/>
      <c r="S112" s="213">
        <f t="shared" si="75"/>
        <v>1</v>
      </c>
      <c r="T112" s="195" t="str">
        <f t="shared" si="4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4"/>
        <v>https://d0f6bd738d7f1b3e5a7ca70fe4ff75f0.us-east-1.aws.found.io/app/kibana#/discover/Steve-Slow-Train-Analysis-(2080s-and-2083s)?_g=(refreshInterval:(display:Off,pause:!f,section:0,value:0),time:(from:'2017-07-04T15:20:37-0600',mode:absolute,to:'2017-07-04T18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97" t="str">
        <f>IF(AA112&lt;VLOOKUP(AG112,Variables!$AC$3:$AD$8,2,FALSE),"Y","N")</f>
        <v>N</v>
      </c>
      <c r="X112" s="197">
        <f t="shared" si="63"/>
        <v>1</v>
      </c>
      <c r="Y112" s="197">
        <f t="shared" si="72"/>
        <v>23.298999999999999</v>
      </c>
      <c r="Z112" s="197">
        <f t="shared" si="73"/>
        <v>1.5800000000000002E-2</v>
      </c>
      <c r="AA112" s="197">
        <f t="shared" si="45"/>
        <v>23.283200000000001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6"/>
        <v>196</v>
      </c>
      <c r="AE112" s="77" t="str">
        <f t="shared" si="47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12" s="74" t="str">
        <f t="shared" si="48"/>
        <v>"C:\Program Files (x86)\AstroGrep\AstroGrep.exe" /e /r /s /spath="%USERPROFILE%\AppData\Local\Temp\OnboardLogs" /stypes="app*4043*20170704*" /stext=" 23:.+((SYSTEM_STATE.+slice.+state.+changed )|(ment ac)|(multiple cpu faults)|(system.+state.+changed )|(\[timeout)|(PRM\|1\|D)|(kpr)|(kdp)|(train st.+moving)|(\|lc)|(penalty))"</v>
      </c>
      <c r="AG112" s="209" t="str">
        <f t="shared" si="49"/>
        <v>EC</v>
      </c>
      <c r="AH112" s="78" t="str">
        <f t="shared" si="59"/>
        <v>"%USERPROFILE%\Documents\GitHub\eaglep3\Utilities\RefineRTDCRunTimes.py" --tripid 196-04 --locoid 4043 --swversion DE.1.0.9.0 --startMP 204:232990 --initTime 2017-07-04T16:20:37 --startdatetime 2017-07-04T16:27:21 --delay 1 --endMP 204:158 --enddatetime 2017-07-04T17:09:38 --enforcementcount 0 &gt;&gt;C:\Users\stu\Documents\GitHub\eaglep3-reporting\EC\2017-07-04-refined-times.txt</v>
      </c>
      <c r="AI11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{"issue":{"subject":"","project_id":79,"tracker_id":40,"status_id":1,"priority_id":2,"assigned_to_id":23,"start_date":"2017-07-04","description":"","custom_fields":[{"id":1,"name":"Subdivision","value":"EC"},{"id":4,"name":"Milepost","value":"0.0158"},{"id":17,"name":"Train ID","value":"196-04"},{"id":16,"name":"Locomotive ID","value":"4043"},{"id":130,"name":"Impact","value":""},{"id":150,"name":"Time of Event (Mountain Time)","value":"17:09:38"},{"id":151,"name":"Denver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61"/>
        <v>start /low /b %USERPROFILE%\Documents\GitHub\eaglep3\Utilities\DownloadLogsFromS3.py --loco 4043 --day 2017-07-04</v>
      </c>
      <c r="AN112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4008</v>
      </c>
      <c r="C113" s="21" t="s">
        <v>202</v>
      </c>
      <c r="D113" s="21" t="s">
        <v>454</v>
      </c>
      <c r="E113" s="13">
        <v>42920.653923611113</v>
      </c>
      <c r="F113" s="13">
        <v>42920.656608796293</v>
      </c>
      <c r="G113" s="7">
        <v>1</v>
      </c>
      <c r="H113" s="21" t="s">
        <v>583</v>
      </c>
      <c r="I113" s="13">
        <v>42920.68378472222</v>
      </c>
      <c r="J113" s="7">
        <v>0</v>
      </c>
      <c r="K113" s="89" t="str">
        <f t="shared" si="39"/>
        <v>4007/4008</v>
      </c>
      <c r="L113" s="21" t="str">
        <f>VLOOKUP(A113,'Trips&amp;Operators'!$C$1:$G$99999,5,FALSE)</f>
        <v>BRANDNER MELINDA</v>
      </c>
      <c r="M113" s="6">
        <f t="shared" si="40"/>
        <v>2.7175925926712807E-2</v>
      </c>
      <c r="N113" s="7">
        <f t="shared" si="74"/>
        <v>39.133333334466442</v>
      </c>
      <c r="O113" s="7"/>
      <c r="P113" s="7"/>
      <c r="Q113" s="22"/>
      <c r="R113" s="170"/>
      <c r="S113" s="213">
        <f t="shared" si="75"/>
        <v>1</v>
      </c>
      <c r="T113" s="195" t="str">
        <f t="shared" si="4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4"/>
        <v>https://d0f6bd738d7f1b3e5a7ca70fe4ff75f0.us-east-1.aws.found.io/app/kibana#/discover/Steve-Slow-Train-Analysis-(2080s-and-2083s)?_g=(refreshInterval:(display:Off,pause:!f,section:0,value:0),time:(from:'2017-07-04T14:41:39-0600',mode:absolute,to:'2017-07-04T17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3" s="197" t="str">
        <f>IF(AA113&lt;VLOOKUP(AG113,Variables!$AC$3:$AD$8,2,FALSE),"Y","N")</f>
        <v>N</v>
      </c>
      <c r="X113" s="197">
        <f t="shared" si="63"/>
        <v>1</v>
      </c>
      <c r="Y113" s="197">
        <f t="shared" si="72"/>
        <v>4.5499999999999999E-2</v>
      </c>
      <c r="Z113" s="197">
        <f t="shared" si="73"/>
        <v>23.330200000000001</v>
      </c>
      <c r="AA113" s="197">
        <f t="shared" si="45"/>
        <v>23.284700000000001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6"/>
        <v>197</v>
      </c>
      <c r="AE113" s="77" t="str">
        <f t="shared" si="47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113" s="74" t="str">
        <f t="shared" si="48"/>
        <v>"C:\Program Files (x86)\AstroGrep\AstroGrep.exe" /e /r /s /spath="%USERPROFILE%\AppData\Local\Temp\OnboardLogs" /stypes="app*4008*20170704*" /stext=" 22:.+((SYSTEM_STATE.+slice.+state.+changed )|(ment ac)|(multiple cpu faults)|(system.+state.+changed )|(\[timeout)|(PRM\|1\|D)|(kpr)|(kdp)|(train st.+moving)|(\|lc)|(penalty))"</v>
      </c>
      <c r="AG113" s="209" t="str">
        <f t="shared" si="49"/>
        <v>EC</v>
      </c>
      <c r="AH113" s="78" t="str">
        <f t="shared" si="59"/>
        <v>"%USERPROFILE%\Documents\GitHub\eaglep3\Utilities\RefineRTDCRunTimes.py" --tripid 197-04 --locoid 4008 --swversion DE.1.0.9.0 --startMP 204:455 --initTime 2017-07-04T15:41:39 --startdatetime 2017-07-04T15:45:31 --delay 1 --endMP 204:233302 --enddatetime 2017-07-04T16:24:39 --enforcementcount 0 &gt;&gt;C:\Users\stu\Documents\GitHub\eaglep3-reporting\EC\2017-07-04-refined-times.txt</v>
      </c>
      <c r="AI113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{"issue":{"subject":"","project_id":79,"tracker_id":40,"status_id":1,"priority_id":2,"assigned_to_id":23,"start_date":"2017-07-04","description":"","custom_fields":[{"id":1,"name":"Subdivision","value":"EC"},{"id":4,"name":"Milepost","value":"23.3302"},{"id":17,"name":"Train ID","value":"197-04"},{"id":16,"name":"Locomotive ID","value":"4008"},{"id":130,"name":"Impact","value":""},{"id":150,"name":"Time of Event (Mountain Time)","value":"16:24:39"},{"id":151,"name":"Denver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61"/>
        <v>start /low /b %USERPROFILE%\Documents\GitHub\eaglep3\Utilities\DownloadLogsFromS3.py --loco 4008 --day 2017-07-04</v>
      </c>
      <c r="AN113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638</v>
      </c>
      <c r="B114" s="7">
        <v>4007</v>
      </c>
      <c r="C114" s="21" t="s">
        <v>202</v>
      </c>
      <c r="D114" s="21" t="s">
        <v>890</v>
      </c>
      <c r="E114" s="13">
        <v>42920.693449074075</v>
      </c>
      <c r="F114" s="13">
        <v>42920.696111111109</v>
      </c>
      <c r="G114" s="7">
        <v>2</v>
      </c>
      <c r="H114" s="21" t="s">
        <v>582</v>
      </c>
      <c r="I114" s="13">
        <v>42920.728090277778</v>
      </c>
      <c r="J114" s="7">
        <v>0</v>
      </c>
      <c r="K114" s="89" t="str">
        <f t="shared" si="39"/>
        <v>4007/4008</v>
      </c>
      <c r="L114" s="21" t="str">
        <f>VLOOKUP(A114,'Trips&amp;Operators'!$C$1:$G$99999,5,FALSE)</f>
        <v>BRANDNER MELINDA</v>
      </c>
      <c r="M114" s="6">
        <f t="shared" si="40"/>
        <v>3.1979166669771075E-2</v>
      </c>
      <c r="N114" s="7">
        <f t="shared" si="74"/>
        <v>46.050000004470348</v>
      </c>
      <c r="O114" s="7"/>
      <c r="P114" s="7"/>
      <c r="Q114" s="22"/>
      <c r="R114" s="170"/>
      <c r="S114" s="213">
        <f t="shared" si="75"/>
        <v>1</v>
      </c>
      <c r="T114" s="195" t="str">
        <f t="shared" si="4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4"/>
        <v>https://d0f6bd738d7f1b3e5a7ca70fe4ff75f0.us-east-1.aws.found.io/app/kibana#/discover/Steve-Slow-Train-Analysis-(2080s-and-2083s)?_g=(refreshInterval:(display:Off,pause:!f,section:0,value:0),time:(from:'2017-07-04T15:38:34-0600',mode:absolute,to:'2017-07-04T18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197" t="str">
        <f>IF(AA114&lt;VLOOKUP(AG114,Variables!$AC$3:$AD$8,2,FALSE),"Y","N")</f>
        <v>N</v>
      </c>
      <c r="X114" s="197">
        <f t="shared" si="63"/>
        <v>1</v>
      </c>
      <c r="Y114" s="197">
        <f t="shared" si="72"/>
        <v>23.297899999999998</v>
      </c>
      <c r="Z114" s="197">
        <f t="shared" si="73"/>
        <v>1.32E-2</v>
      </c>
      <c r="AA114" s="197">
        <f t="shared" si="45"/>
        <v>23.284699999999997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6"/>
        <v>198</v>
      </c>
      <c r="AE114" s="77" t="str">
        <f t="shared" si="47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114" s="74" t="str">
        <f t="shared" si="48"/>
        <v>"C:\Program Files (x86)\AstroGrep\AstroGrep.exe" /e /r /s /spath="%USERPROFILE%\AppData\Local\Temp\OnboardLogs" /stypes="app*4007*20170704*" /stext=" 23:.+((SYSTEM_STATE.+slice.+state.+changed )|(ment ac)|(multiple cpu faults)|(system.+state.+changed )|(\[timeout)|(PRM\|1\|D)|(kpr)|(kdp)|(train st.+moving)|(\|lc)|(penalty))"</v>
      </c>
      <c r="AG114" s="209" t="str">
        <f t="shared" si="49"/>
        <v>EC</v>
      </c>
      <c r="AH114" s="78" t="str">
        <f t="shared" si="59"/>
        <v>"%USERPROFILE%\Documents\GitHub\eaglep3\Utilities\RefineRTDCRunTimes.py" --tripid 198-04 --locoid 4007 --swversion DE.1.0.9.0 --startMP 204:232979 --initTime 2017-07-04T16:38:34 --startdatetime 2017-07-04T16:42:24 --delay 2 --endMP 204:132 --enddatetime 2017-07-04T17:28:27 --enforcementcount 0 &gt;&gt;C:\Users\stu\Documents\GitHub\eaglep3-reporting\EC\2017-07-04-refined-times.txt</v>
      </c>
      <c r="AI11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{"issue":{"subject":"","project_id":79,"tracker_id":40,"status_id":1,"priority_id":2,"assigned_to_id":23,"start_date":"2017-07-04","description":"","custom_fields":[{"id":1,"name":"Subdivision","value":"EC"},{"id":4,"name":"Milepost","value":"0.0132"},{"id":17,"name":"Train ID","value":"198-04"},{"id":16,"name":"Locomotive ID","value":"4007"},{"id":130,"name":"Impact","value":""},{"id":150,"name":"Time of Event (Mountain Time)","value":"17:28:27"},{"id":151,"name":"Denver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61"/>
        <v>start /low /b %USERPROFILE%\Documents\GitHub\eaglep3\Utilities\DownloadLogsFromS3.py --loco 4007 --day 2017-07-04</v>
      </c>
      <c r="AN114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783</v>
      </c>
      <c r="B115" s="7">
        <v>4046</v>
      </c>
      <c r="C115" s="21" t="s">
        <v>202</v>
      </c>
      <c r="D115" s="21" t="s">
        <v>454</v>
      </c>
      <c r="E115" s="13">
        <v>42920.664849537039</v>
      </c>
      <c r="F115" s="13">
        <v>42920.667164351849</v>
      </c>
      <c r="G115" s="7">
        <v>1</v>
      </c>
      <c r="H115" s="21" t="s">
        <v>873</v>
      </c>
      <c r="I115" s="13">
        <v>42920.694803240738</v>
      </c>
      <c r="J115" s="7">
        <v>0</v>
      </c>
      <c r="K115" s="89" t="str">
        <f t="shared" si="39"/>
        <v>4045/4046</v>
      </c>
      <c r="L115" s="21" t="str">
        <f>VLOOKUP(A115,'Trips&amp;Operators'!$C$1:$G$99999,5,FALSE)</f>
        <v>DAVIS MICHAEL</v>
      </c>
      <c r="M115" s="6">
        <f t="shared" si="40"/>
        <v>2.7638888888759539E-2</v>
      </c>
      <c r="N115" s="7">
        <f t="shared" si="74"/>
        <v>39.799999999813735</v>
      </c>
      <c r="O115" s="7"/>
      <c r="P115" s="7"/>
      <c r="Q115" s="22"/>
      <c r="R115" s="170"/>
      <c r="S115" s="213">
        <f t="shared" si="75"/>
        <v>1</v>
      </c>
      <c r="T115" s="195" t="str">
        <f t="shared" si="43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4"/>
        <v>https://d0f6bd738d7f1b3e5a7ca70fe4ff75f0.us-east-1.aws.found.io/app/kibana#/discover/Steve-Slow-Train-Analysis-(2080s-and-2083s)?_g=(refreshInterval:(display:Off,pause:!f,section:0,value:0),time:(from:'2017-07-04T14:57:23-0600',mode:absolute,to:'2017-07-04T17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197" t="str">
        <f>IF(AA115&lt;VLOOKUP(AG115,Variables!$AC$3:$AD$8,2,FALSE),"Y","N")</f>
        <v>N</v>
      </c>
      <c r="X115" s="197">
        <f t="shared" si="63"/>
        <v>1</v>
      </c>
      <c r="Y115" s="197">
        <f t="shared" si="72"/>
        <v>4.5499999999999999E-2</v>
      </c>
      <c r="Z115" s="197">
        <f t="shared" si="73"/>
        <v>23.328399999999998</v>
      </c>
      <c r="AA115" s="197">
        <f t="shared" si="45"/>
        <v>23.282899999999998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6"/>
        <v>199</v>
      </c>
      <c r="AE115" s="77" t="str">
        <f t="shared" si="47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15" s="74" t="str">
        <f t="shared" si="48"/>
        <v>"C:\Program Files (x86)\AstroGrep\AstroGrep.exe" /e /r /s /spath="%USERPROFILE%\AppData\Local\Temp\OnboardLogs" /stypes="app*4046*20170704*" /stext=" 22:.+((SYSTEM_STATE.+slice.+state.+changed )|(ment ac)|(multiple cpu faults)|(system.+state.+changed )|(\[timeout)|(PRM\|1\|D)|(kpr)|(kdp)|(train st.+moving)|(\|lc)|(penalty))"</v>
      </c>
      <c r="AG115" s="209" t="str">
        <f t="shared" si="49"/>
        <v>EC</v>
      </c>
      <c r="AH115" s="78" t="str">
        <f t="shared" si="59"/>
        <v>"%USERPROFILE%\Documents\GitHub\eaglep3\Utilities\RefineRTDCRunTimes.py" --tripid 199-04 --locoid 4046 --swversion DE.1.0.9.0 --startMP 204:455 --initTime 2017-07-04T15:57:23 --startdatetime 2017-07-04T16:00:43 --delay 1 --endMP 204:233284 --enddatetime 2017-07-04T16:40:31 --enforcementcount 0 &gt;&gt;C:\Users\stu\Documents\GitHub\eaglep3-reporting\EC\2017-07-04-refined-times.txt</v>
      </c>
      <c r="AI11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{"issue":{"subject":"","project_id":79,"tracker_id":40,"status_id":1,"priority_id":2,"assigned_to_id":23,"start_date":"2017-07-04","description":"","custom_fields":[{"id":1,"name":"Subdivision","value":"EC"},{"id":4,"name":"Milepost","value":"23.3284"},{"id":17,"name":"Train ID","value":"199-04"},{"id":16,"name":"Locomotive ID","value":"4046"},{"id":130,"name":"Impact","value":""},{"id":150,"name":"Time of Event (Mountain Time)","value":"16:40:31"},{"id":151,"name":"Denver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61"/>
        <v>start /low /b %USERPROFILE%\Documents\GitHub\eaglep3\Utilities\DownloadLogsFromS3.py --loco 4046 --day 2017-07-04</v>
      </c>
      <c r="AN115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792</v>
      </c>
      <c r="B116" s="7">
        <v>4045</v>
      </c>
      <c r="C116" s="21" t="s">
        <v>202</v>
      </c>
      <c r="D116" s="21" t="s">
        <v>888</v>
      </c>
      <c r="E116" s="13">
        <v>42920.704108796293</v>
      </c>
      <c r="F116" s="13">
        <v>42920.707361111112</v>
      </c>
      <c r="G116" s="7">
        <v>1</v>
      </c>
      <c r="H116" s="21" t="s">
        <v>350</v>
      </c>
      <c r="I116" s="13">
        <v>42920.736342592594</v>
      </c>
      <c r="J116" s="7">
        <v>0</v>
      </c>
      <c r="K116" s="89" t="str">
        <f t="shared" si="39"/>
        <v>4045/4046</v>
      </c>
      <c r="L116" s="21" t="str">
        <f>VLOOKUP(A116,'Trips&amp;Operators'!$C$1:$G$99999,5,FALSE)</f>
        <v>DAVIS MICHAEL</v>
      </c>
      <c r="M116" s="6">
        <f t="shared" si="40"/>
        <v>2.8981481482333038E-2</v>
      </c>
      <c r="N116" s="7">
        <f t="shared" si="74"/>
        <v>41.733333334559575</v>
      </c>
      <c r="O116" s="7"/>
      <c r="P116" s="7"/>
      <c r="Q116" s="22"/>
      <c r="R116" s="170"/>
      <c r="S116" s="213">
        <f t="shared" si="75"/>
        <v>1</v>
      </c>
      <c r="T116" s="195" t="str">
        <f t="shared" si="43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4"/>
        <v>https://d0f6bd738d7f1b3e5a7ca70fe4ff75f0.us-east-1.aws.found.io/app/kibana#/discover/Steve-Slow-Train-Analysis-(2080s-and-2083s)?_g=(refreshInterval:(display:Off,pause:!f,section:0,value:0),time:(from:'2017-07-04T15:53:55-0600',mode:absolute,to:'2017-07-04T18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197" t="str">
        <f>IF(AA116&lt;VLOOKUP(AG116,Variables!$AC$3:$AD$8,2,FALSE),"Y","N")</f>
        <v>N</v>
      </c>
      <c r="X116" s="197">
        <f t="shared" si="63"/>
        <v>1</v>
      </c>
      <c r="Y116" s="197">
        <f t="shared" si="72"/>
        <v>23.2971</v>
      </c>
      <c r="Z116" s="197">
        <f t="shared" si="73"/>
        <v>1.43E-2</v>
      </c>
      <c r="AA116" s="197">
        <f t="shared" si="45"/>
        <v>23.282800000000002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6"/>
        <v>200</v>
      </c>
      <c r="AE116" s="77" t="str">
        <f t="shared" si="47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16" s="74" t="str">
        <f t="shared" si="48"/>
        <v>"C:\Program Files (x86)\AstroGrep\AstroGrep.exe" /e /r /s /spath="%USERPROFILE%\AppData\Local\Temp\OnboardLogs" /stypes="app*4045*20170704*" /stext=" 23:.+((SYSTEM_STATE.+slice.+state.+changed )|(ment ac)|(multiple cpu faults)|(system.+state.+changed )|(\[timeout)|(PRM\|1\|D)|(kpr)|(kdp)|(train st.+moving)|(\|lc)|(penalty))"</v>
      </c>
      <c r="AG116" s="209" t="str">
        <f t="shared" si="49"/>
        <v>EC</v>
      </c>
      <c r="AH116" s="78" t="str">
        <f t="shared" si="59"/>
        <v>"%USERPROFILE%\Documents\GitHub\eaglep3\Utilities\RefineRTDCRunTimes.py" --tripid 200-04 --locoid 4045 --swversion DE.1.0.9.0 --startMP 204:232971 --initTime 2017-07-04T16:53:55 --startdatetime 2017-07-04T16:58:36 --delay 1 --endMP 204:143 --enddatetime 2017-07-04T17:40:20 --enforcementcount 0 &gt;&gt;C:\Users\stu\Documents\GitHub\eaglep3-reporting\EC\2017-07-04-refined-times.txt</v>
      </c>
      <c r="AI116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ID","value":"200-04"},{"id":16,"name":"Locomotive ID","value":"4045"},{"id":130,"name":"Impact","value":""},{"id":150,"name":"Time of Event (Mountain Time)","value":"17:40:20"},{"id":151,"name":"Denver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61"/>
        <v>start /low /b %USERPROFILE%\Documents\GitHub\eaglep3\Utilities\DownloadLogsFromS3.py --loco 4045 --day 2017-07-04</v>
      </c>
      <c r="AN116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785</v>
      </c>
      <c r="B117" s="7">
        <v>4012</v>
      </c>
      <c r="C117" s="21" t="s">
        <v>202</v>
      </c>
      <c r="D117" s="21" t="s">
        <v>470</v>
      </c>
      <c r="E117" s="13">
        <v>42920.674733796295</v>
      </c>
      <c r="F117" s="13">
        <v>42920.677708333336</v>
      </c>
      <c r="G117" s="7">
        <v>1</v>
      </c>
      <c r="H117" s="21" t="s">
        <v>574</v>
      </c>
      <c r="I117" s="13">
        <v>42920.703923611109</v>
      </c>
      <c r="J117" s="7">
        <v>0</v>
      </c>
      <c r="K117" s="89" t="str">
        <f t="shared" si="39"/>
        <v>4011/4012</v>
      </c>
      <c r="L117" s="21" t="str">
        <f>VLOOKUP(A117,'Trips&amp;Operators'!$C$1:$G$99999,5,FALSE)</f>
        <v>MOSES BRADLEY</v>
      </c>
      <c r="M117" s="6">
        <f t="shared" si="40"/>
        <v>2.6215277772280388E-2</v>
      </c>
      <c r="N117" s="7">
        <f t="shared" si="74"/>
        <v>37.749999992083758</v>
      </c>
      <c r="O117" s="7"/>
      <c r="P117" s="7"/>
      <c r="Q117" s="22"/>
      <c r="R117" s="170"/>
      <c r="S117" s="213">
        <f t="shared" si="75"/>
        <v>1</v>
      </c>
      <c r="T117" s="195" t="str">
        <f t="shared" si="43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4"/>
        <v>https://d0f6bd738d7f1b3e5a7ca70fe4ff75f0.us-east-1.aws.found.io/app/kibana#/discover/Steve-Slow-Train-Analysis-(2080s-and-2083s)?_g=(refreshInterval:(display:Off,pause:!f,section:0,value:0),time:(from:'2017-07-04T15:11:37-0600',mode:absolute,to:'2017-07-04T17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197" t="str">
        <f>IF(AA117&lt;VLOOKUP(AG117,Variables!$AC$3:$AD$8,2,FALSE),"Y","N")</f>
        <v>N</v>
      </c>
      <c r="X117" s="197">
        <f t="shared" si="63"/>
        <v>1</v>
      </c>
      <c r="Y117" s="197">
        <f t="shared" si="72"/>
        <v>4.58E-2</v>
      </c>
      <c r="Z117" s="197">
        <f t="shared" si="73"/>
        <v>23.334</v>
      </c>
      <c r="AA117" s="197">
        <f t="shared" si="45"/>
        <v>23.2882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6"/>
        <v>201</v>
      </c>
      <c r="AE117" s="77" t="str">
        <f t="shared" si="47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117" s="74" t="str">
        <f t="shared" si="48"/>
        <v>"C:\Program Files (x86)\AstroGrep\AstroGrep.exe" /e /r /s /spath="%USERPROFILE%\AppData\Local\Temp\OnboardLogs" /stypes="app*4012*20170704*" /stext=" 22:.+((SYSTEM_STATE.+slice.+state.+changed )|(ment ac)|(multiple cpu faults)|(system.+state.+changed )|(\[timeout)|(PRM\|1\|D)|(kpr)|(kdp)|(train st.+moving)|(\|lc)|(penalty))"</v>
      </c>
      <c r="AG117" s="209" t="str">
        <f t="shared" si="49"/>
        <v>EC</v>
      </c>
      <c r="AH117" s="78" t="str">
        <f t="shared" si="59"/>
        <v>"%USERPROFILE%\Documents\GitHub\eaglep3\Utilities\RefineRTDCRunTimes.py" --tripid 201-04 --locoid 4012 --swversion DE.1.0.9.0 --startMP 204:458 --initTime 2017-07-04T16:11:37 --startdatetime 2017-07-04T16:15:54 --delay 1 --endMP 204:233340 --enddatetime 2017-07-04T16:53:39 --enforcementcount 0 &gt;&gt;C:\Users\stu\Documents\GitHub\eaglep3-reporting\EC\2017-07-04-refined-times.txt</v>
      </c>
      <c r="AI11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{"issue":{"subject":"","project_id":79,"tracker_id":40,"status_id":1,"priority_id":2,"assigned_to_id":23,"start_date":"2017-07-04","description":"","custom_fields":[{"id":1,"name":"Subdivision","value":"EC"},{"id":4,"name":"Milepost","value":"23.334"},{"id":17,"name":"Train ID","value":"201-04"},{"id":16,"name":"Locomotive ID","value":"4012"},{"id":130,"name":"Impact","value":""},{"id":150,"name":"Time of Event (Mountain Time)","value":"16:53:39"},{"id":151,"name":"Denver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61"/>
        <v>start /low /b %USERPROFILE%\Documents\GitHub\eaglep3\Utilities\DownloadLogsFromS3.py --loco 4012 --day 2017-07-04</v>
      </c>
      <c r="AN117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798</v>
      </c>
      <c r="B118" s="7">
        <v>4011</v>
      </c>
      <c r="C118" s="21" t="s">
        <v>202</v>
      </c>
      <c r="D118" s="21" t="s">
        <v>900</v>
      </c>
      <c r="E118" s="13">
        <v>42920.714525462965</v>
      </c>
      <c r="F118" s="13">
        <v>42920.716967592591</v>
      </c>
      <c r="G118" s="7">
        <v>1</v>
      </c>
      <c r="H118" s="21" t="s">
        <v>503</v>
      </c>
      <c r="I118" s="13">
        <v>42920.744212962964</v>
      </c>
      <c r="J118" s="7">
        <v>0</v>
      </c>
      <c r="K118" s="89" t="str">
        <f t="shared" si="39"/>
        <v>4011/4012</v>
      </c>
      <c r="L118" s="21" t="str">
        <f>VLOOKUP(A118,'Trips&amp;Operators'!$C$1:$G$99999,5,FALSE)</f>
        <v>MOSES BRADLEY</v>
      </c>
      <c r="M118" s="6">
        <f t="shared" si="40"/>
        <v>2.7245370372838806E-2</v>
      </c>
      <c r="N118" s="7">
        <f t="shared" si="74"/>
        <v>39.233333336887881</v>
      </c>
      <c r="O118" s="7"/>
      <c r="P118" s="7"/>
      <c r="Q118" s="22"/>
      <c r="R118" s="170"/>
      <c r="S118" s="213">
        <f t="shared" si="75"/>
        <v>1</v>
      </c>
      <c r="T118" s="195" t="str">
        <f t="shared" si="43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4"/>
        <v>https://d0f6bd738d7f1b3e5a7ca70fe4ff75f0.us-east-1.aws.found.io/app/kibana#/discover/Steve-Slow-Train-Analysis-(2080s-and-2083s)?_g=(refreshInterval:(display:Off,pause:!f,section:0,value:0),time:(from:'2017-07-04T16:08:55-0600',mode:absolute,to:'2017-07-04T18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97" t="str">
        <f>IF(AA118&lt;VLOOKUP(AG118,Variables!$AC$3:$AD$8,2,FALSE),"Y","N")</f>
        <v>N</v>
      </c>
      <c r="X118" s="197">
        <f t="shared" si="63"/>
        <v>1</v>
      </c>
      <c r="Y118" s="197">
        <f t="shared" si="72"/>
        <v>23.302499999999998</v>
      </c>
      <c r="Z118" s="197">
        <f t="shared" si="73"/>
        <v>1.3599999999999999E-2</v>
      </c>
      <c r="AA118" s="197">
        <f t="shared" si="45"/>
        <v>23.288899999999998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6"/>
        <v>202</v>
      </c>
      <c r="AE118" s="77" t="str">
        <f t="shared" si="47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118" s="74" t="str">
        <f t="shared" si="48"/>
        <v>"C:\Program Files (x86)\AstroGrep\AstroGrep.exe" /e /r /s /spath="%USERPROFILE%\AppData\Local\Temp\OnboardLogs" /stypes="app*4011*20170704*" /stext=" 23:.+((SYSTEM_STATE.+slice.+state.+changed )|(ment ac)|(multiple cpu faults)|(system.+state.+changed )|(\[timeout)|(PRM\|1\|D)|(kpr)|(kdp)|(train st.+moving)|(\|lc)|(penalty))"</v>
      </c>
      <c r="AG118" s="209" t="str">
        <f t="shared" si="49"/>
        <v>EC</v>
      </c>
      <c r="AH118" s="78" t="str">
        <f t="shared" si="59"/>
        <v>"%USERPROFILE%\Documents\GitHub\eaglep3\Utilities\RefineRTDCRunTimes.py" --tripid 202-04 --locoid 4011 --swversion DE.1.0.9.0 --startMP 204:233025 --initTime 2017-07-04T17:08:55 --startdatetime 2017-07-04T17:12:26 --delay 1 --endMP 204:136 --enddatetime 2017-07-04T17:51:40 --enforcementcount 0 &gt;&gt;C:\Users\stu\Documents\GitHub\eaglep3-reporting\EC\2017-07-04-refined-times.txt</v>
      </c>
      <c r="AI11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{"issue":{"subject":"","project_id":79,"tracker_id":40,"status_id":1,"priority_id":2,"assigned_to_id":23,"start_date":"2017-07-04","description":"","custom_fields":[{"id":1,"name":"Subdivision","value":"EC"},{"id":4,"name":"Milepost","value":"0.0136"},{"id":17,"name":"Train ID","value":"202-04"},{"id":16,"name":"Locomotive ID","value":"4011"},{"id":130,"name":"Impact","value":""},{"id":150,"name":"Time of Event (Mountain Time)","value":"17:51:40"},{"id":151,"name":"Denver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61"/>
        <v>start /low /b %USERPROFILE%\Documents\GitHub\eaglep3\Utilities\DownloadLogsFromS3.py --loco 4011 --day 2017-07-04</v>
      </c>
      <c r="AN118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788</v>
      </c>
      <c r="B119" s="7">
        <v>4024</v>
      </c>
      <c r="C119" s="21" t="s">
        <v>202</v>
      </c>
      <c r="D119" s="21" t="s">
        <v>352</v>
      </c>
      <c r="E119" s="13">
        <v>42920.685277777775</v>
      </c>
      <c r="F119" s="13">
        <v>42920.688020833331</v>
      </c>
      <c r="G119" s="7">
        <v>1</v>
      </c>
      <c r="H119" s="21" t="s">
        <v>872</v>
      </c>
      <c r="I119" s="13">
        <v>42920.714224537034</v>
      </c>
      <c r="J119" s="7">
        <v>0</v>
      </c>
      <c r="K119" s="89" t="str">
        <f t="shared" si="39"/>
        <v>4023/4024</v>
      </c>
      <c r="L119" s="21" t="str">
        <f>VLOOKUP(A119,'Trips&amp;Operators'!$C$1:$G$99999,5,FALSE)</f>
        <v>STEWART MICHAEL</v>
      </c>
      <c r="M119" s="6">
        <f t="shared" si="40"/>
        <v>2.6203703702776693E-2</v>
      </c>
      <c r="N119" s="7">
        <f t="shared" si="74"/>
        <v>37.733333331998438</v>
      </c>
      <c r="O119" s="7"/>
      <c r="P119" s="7"/>
      <c r="Q119" s="22"/>
      <c r="R119" s="170"/>
      <c r="S119" s="213">
        <f t="shared" si="75"/>
        <v>1</v>
      </c>
      <c r="T119" s="195" t="str">
        <f t="shared" si="43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4"/>
        <v>https://d0f6bd738d7f1b3e5a7ca70fe4ff75f0.us-east-1.aws.found.io/app/kibana#/discover/Steve-Slow-Train-Analysis-(2080s-and-2083s)?_g=(refreshInterval:(display:Off,pause:!f,section:0,value:0),time:(from:'2017-07-04T15:26:48-0600',mode:absolute,to:'2017-07-04T18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9" s="197" t="str">
        <f>IF(AA119&lt;VLOOKUP(AG119,Variables!$AC$3:$AD$8,2,FALSE),"Y","N")</f>
        <v>N</v>
      </c>
      <c r="X119" s="197">
        <f t="shared" si="63"/>
        <v>1</v>
      </c>
      <c r="Y119" s="197">
        <f t="shared" si="72"/>
        <v>4.5100000000000001E-2</v>
      </c>
      <c r="Z119" s="197">
        <f t="shared" si="73"/>
        <v>23.330100000000002</v>
      </c>
      <c r="AA119" s="197">
        <f t="shared" si="45"/>
        <v>23.285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6"/>
        <v>203</v>
      </c>
      <c r="AE119" s="77" t="str">
        <f t="shared" si="47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119" s="74" t="str">
        <f t="shared" si="48"/>
        <v>"C:\Program Files (x86)\AstroGrep\AstroGrep.exe" /e /r /s /spath="%USERPROFILE%\AppData\Local\Temp\OnboardLogs" /stypes="app*4024*20170704*" /stext=" 23:.+((SYSTEM_STATE.+slice.+state.+changed )|(ment ac)|(multiple cpu faults)|(system.+state.+changed )|(\[timeout)|(PRM\|1\|D)|(kpr)|(kdp)|(train st.+moving)|(\|lc)|(penalty))"</v>
      </c>
      <c r="AG119" s="209" t="str">
        <f t="shared" si="49"/>
        <v>EC</v>
      </c>
      <c r="AH119" s="78" t="str">
        <f t="shared" si="59"/>
        <v>"%USERPROFILE%\Documents\GitHub\eaglep3\Utilities\RefineRTDCRunTimes.py" --tripid 203-04 --locoid 4024 --swversion DE.1.0.9.0 --startMP 204:451 --initTime 2017-07-04T16:26:48 --startdatetime 2017-07-04T16:30:45 --delay 1 --endMP 204:233301 --enddatetime 2017-07-04T17:08:29 --enforcementcount 0 &gt;&gt;C:\Users\stu\Documents\GitHub\eaglep3-reporting\EC\2017-07-04-refined-times.txt</v>
      </c>
      <c r="AI11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{"issue":{"subject":"","project_id":79,"tracker_id":40,"status_id":1,"priority_id":2,"assigned_to_id":23,"start_date":"2017-07-04","description":"","custom_fields":[{"id":1,"name":"Subdivision","value":"EC"},{"id":4,"name":"Milepost","value":"23.3301"},{"id":17,"name":"Train ID","value":"203-04"},{"id":16,"name":"Locomotive ID","value":"4024"},{"id":130,"name":"Impact","value":""},{"id":150,"name":"Time of Event (Mountain Time)","value":"17:08:29"},{"id":151,"name":"Denver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61"/>
        <v>start /low /b %USERPROFILE%\Documents\GitHub\eaglep3\Utilities\DownloadLogsFromS3.py --loco 4024 --day 2017-07-04</v>
      </c>
      <c r="AN119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803</v>
      </c>
      <c r="B120" s="7">
        <v>4023</v>
      </c>
      <c r="C120" s="21" t="s">
        <v>202</v>
      </c>
      <c r="D120" s="21" t="s">
        <v>552</v>
      </c>
      <c r="E120" s="13">
        <v>42920.724733796298</v>
      </c>
      <c r="F120" s="13">
        <v>42920.727268518516</v>
      </c>
      <c r="G120" s="7">
        <v>1</v>
      </c>
      <c r="H120" s="21" t="s">
        <v>349</v>
      </c>
      <c r="I120" s="13">
        <v>42920.755486111113</v>
      </c>
      <c r="J120" s="7">
        <v>0</v>
      </c>
      <c r="K120" s="89" t="str">
        <f t="shared" si="39"/>
        <v>4023/4024</v>
      </c>
      <c r="L120" s="21" t="str">
        <f>VLOOKUP(A120,'Trips&amp;Operators'!$C$1:$G$99999,5,FALSE)</f>
        <v>STEWART MICHAEL</v>
      </c>
      <c r="M120" s="6">
        <f t="shared" si="40"/>
        <v>2.8217592596774921E-2</v>
      </c>
      <c r="N120" s="7">
        <f t="shared" si="74"/>
        <v>40.633333339355886</v>
      </c>
      <c r="O120" s="7"/>
      <c r="P120" s="7"/>
      <c r="Q120" s="22"/>
      <c r="R120" s="170"/>
      <c r="S120" s="213">
        <f t="shared" si="75"/>
        <v>1</v>
      </c>
      <c r="T120" s="195" t="str">
        <f t="shared" si="43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4"/>
        <v>https://d0f6bd738d7f1b3e5a7ca70fe4ff75f0.us-east-1.aws.found.io/app/kibana#/discover/Steve-Slow-Train-Analysis-(2080s-and-2083s)?_g=(refreshInterval:(display:Off,pause:!f,section:0,value:0),time:(from:'2017-07-04T16:23:37-0600',mode:absolute,to:'2017-07-04T19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0" s="197" t="str">
        <f>IF(AA120&lt;VLOOKUP(AG120,Variables!$AC$3:$AD$8,2,FALSE),"Y","N")</f>
        <v>N</v>
      </c>
      <c r="X120" s="197">
        <f t="shared" si="63"/>
        <v>1</v>
      </c>
      <c r="Y120" s="197">
        <f t="shared" si="72"/>
        <v>23.296099999999999</v>
      </c>
      <c r="Z120" s="197">
        <f t="shared" si="73"/>
        <v>1.49E-2</v>
      </c>
      <c r="AA120" s="197">
        <f t="shared" si="45"/>
        <v>23.281199999999998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6"/>
        <v>204</v>
      </c>
      <c r="AE120" s="77" t="str">
        <f t="shared" si="47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20" s="74" t="str">
        <f t="shared" si="48"/>
        <v>"C:\Program Files (x86)\AstroGrep\AstroGrep.exe" /e /r /s /spath="%USERPROFILE%\AppData\Local\Temp\OnboardLogs" /stypes="app*4023*20170705*" /stext=" 00:.+((SYSTEM_STATE.+slice.+state.+changed )|(ment ac)|(multiple cpu faults)|(system.+state.+changed )|(\[timeout)|(PRM\|1\|D)|(kpr)|(kdp)|(train st.+moving)|(\|lc)|(penalty))"</v>
      </c>
      <c r="AG120" s="209" t="str">
        <f t="shared" si="49"/>
        <v>EC</v>
      </c>
      <c r="AH120" s="78" t="str">
        <f t="shared" si="59"/>
        <v>"%USERPROFILE%\Documents\GitHub\eaglep3\Utilities\RefineRTDCRunTimes.py" --tripid 204-04 --locoid 4023 --swversion DE.1.0.9.0 --startMP 204:232961 --initTime 2017-07-04T17:23:37 --startdatetime 2017-07-04T17:27:16 --delay 1 --endMP 204:149 --enddatetime 2017-07-04T18:07:54 --enforcementcount 0 &gt;&gt;C:\Users\stu\Documents\GitHub\eaglep3-reporting\EC\2017-07-04-refined-times.txt</v>
      </c>
      <c r="AI12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{"issue":{"subject":"","project_id":79,"tracker_id":40,"status_id":1,"priority_id":2,"assigned_to_id":23,"start_date":"2017-07-04","description":"","custom_fields":[{"id":1,"name":"Subdivision","value":"EC"},{"id":4,"name":"Milepost","value":"0.0149"},{"id":17,"name":"Train ID","value":"204-04"},{"id":16,"name":"Locomotive ID","value":"4023"},{"id":130,"name":"Impact","value":""},{"id":150,"name":"Time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61"/>
        <v>start /low /b %USERPROFILE%\Documents\GitHub\eaglep3\Utilities\DownloadLogsFromS3.py --loco 4023 --day 2017-07-04</v>
      </c>
      <c r="AN120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791</v>
      </c>
      <c r="B121" s="7">
        <v>4050</v>
      </c>
      <c r="C121" s="21" t="s">
        <v>202</v>
      </c>
      <c r="D121" s="21" t="s">
        <v>586</v>
      </c>
      <c r="E121" s="13">
        <v>42920.694479166668</v>
      </c>
      <c r="F121" s="13">
        <v>42920.69840277778</v>
      </c>
      <c r="G121" s="7">
        <v>1</v>
      </c>
      <c r="H121" s="21" t="s">
        <v>901</v>
      </c>
      <c r="I121" s="13">
        <v>42920.723055555558</v>
      </c>
      <c r="J121" s="7">
        <v>0</v>
      </c>
      <c r="K121" s="89" t="str">
        <f t="shared" si="39"/>
        <v>4049/4050</v>
      </c>
      <c r="L121" s="21" t="str">
        <f>VLOOKUP(A121,'Trips&amp;Operators'!$C$1:$G$99999,5,FALSE)</f>
        <v>ROMERO CHAD</v>
      </c>
      <c r="M121" s="6">
        <f t="shared" si="40"/>
        <v>2.4652777778101154E-2</v>
      </c>
      <c r="N121" s="7">
        <f t="shared" si="74"/>
        <v>35.500000000465661</v>
      </c>
      <c r="O121" s="7"/>
      <c r="P121" s="7"/>
      <c r="Q121" s="22"/>
      <c r="R121" s="170"/>
      <c r="S121" s="213">
        <f t="shared" si="75"/>
        <v>1</v>
      </c>
      <c r="T121" s="195" t="str">
        <f t="shared" si="43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4"/>
        <v>https://d0f6bd738d7f1b3e5a7ca70fe4ff75f0.us-east-1.aws.found.io/app/kibana#/discover/Steve-Slow-Train-Analysis-(2080s-and-2083s)?_g=(refreshInterval:(display:Off,pause:!f,section:0,value:0),time:(from:'2017-07-04T15:40:03-0600',mode:absolute,to:'2017-07-04T18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si="63"/>
        <v>1</v>
      </c>
      <c r="Y121" s="197">
        <f t="shared" si="72"/>
        <v>4.3299999999999998E-2</v>
      </c>
      <c r="Z121" s="197">
        <f t="shared" si="73"/>
        <v>23.3353</v>
      </c>
      <c r="AA121" s="197">
        <f t="shared" si="45"/>
        <v>23.292000000000002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6"/>
        <v>205</v>
      </c>
      <c r="AE121" s="77" t="str">
        <f t="shared" si="47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21" s="74" t="str">
        <f t="shared" si="48"/>
        <v>"C:\Program Files (x86)\AstroGrep\AstroGrep.exe" /e /r /s /spath="%USERPROFILE%\AppData\Local\Temp\OnboardLogs" /stypes="app*4050*20170704*" /stext=" 23:.+((SYSTEM_STATE.+slice.+state.+changed )|(ment ac)|(multiple cpu faults)|(system.+state.+changed )|(\[timeout)|(PRM\|1\|D)|(kpr)|(kdp)|(train st.+moving)|(\|lc)|(penalty))"</v>
      </c>
      <c r="AG121" s="209" t="str">
        <f t="shared" si="49"/>
        <v>EC</v>
      </c>
      <c r="AH121" s="78" t="str">
        <f t="shared" si="59"/>
        <v>"%USERPROFILE%\Documents\GitHub\eaglep3\Utilities\RefineRTDCRunTimes.py" --tripid 205-04 --locoid 4050 --swversion DE.1.0.9.0 --startMP 204:433 --initTime 2017-07-04T16:40:03 --startdatetime 2017-07-04T16:45:42 --delay 1 --endMP 204:233353 --enddatetime 2017-07-04T17:21:12 --enforcementcount 0 &gt;&gt;C:\Users\stu\Documents\GitHub\eaglep3-reporting\EC\2017-07-04-refined-times.txt</v>
      </c>
      <c r="AI121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{"issue":{"subject":"","project_id":79,"tracker_id":40,"status_id":1,"priority_id":2,"assigned_to_id":23,"start_date":"2017-07-04","description":"","custom_fields":[{"id":1,"name":"Subdivision","value":"EC"},{"id":4,"name":"Milepost","value":"23.3353"},{"id":17,"name":"Train ID","value":"205-04"},{"id":16,"name":"Locomotive ID","value":"4050"},{"id":130,"name":"Impact","value":""},{"id":150,"name":"Time of Event (Mountain Time)","value":"17:21:12"},{"id":151,"name":"Denver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61"/>
        <v>start /low /b %USERPROFILE%\Documents\GitHub\eaglep3\Utilities\DownloadLogsFromS3.py --loco 4050 --day 2017-07-04</v>
      </c>
      <c r="AN121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802</v>
      </c>
      <c r="B122" s="7">
        <v>4049</v>
      </c>
      <c r="C122" s="21" t="s">
        <v>202</v>
      </c>
      <c r="D122" s="21" t="s">
        <v>902</v>
      </c>
      <c r="E122" s="13">
        <v>42920.724212962959</v>
      </c>
      <c r="F122" s="13">
        <v>42920.737685185188</v>
      </c>
      <c r="G122" s="7">
        <v>1</v>
      </c>
      <c r="H122" s="21" t="s">
        <v>503</v>
      </c>
      <c r="I122" s="13">
        <v>42920.76489583333</v>
      </c>
      <c r="J122" s="7">
        <v>0</v>
      </c>
      <c r="K122" s="89" t="str">
        <f t="shared" si="39"/>
        <v>4049/4050</v>
      </c>
      <c r="L122" s="21" t="str">
        <f>VLOOKUP(A122,'Trips&amp;Operators'!$C$1:$G$99999,5,FALSE)</f>
        <v>ROMERO CHAD</v>
      </c>
      <c r="M122" s="6">
        <f t="shared" si="40"/>
        <v>2.7210648142499849E-2</v>
      </c>
      <c r="N122" s="7">
        <f t="shared" si="74"/>
        <v>39.183333325199783</v>
      </c>
      <c r="O122" s="7"/>
      <c r="P122" s="7"/>
      <c r="Q122" s="22"/>
      <c r="R122" s="170"/>
      <c r="S122" s="213">
        <f t="shared" si="75"/>
        <v>1</v>
      </c>
      <c r="T122" s="195" t="str">
        <f t="shared" si="43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4"/>
        <v>https://d0f6bd738d7f1b3e5a7ca70fe4ff75f0.us-east-1.aws.found.io/app/kibana#/discover/Steve-Slow-Train-Analysis-(2080s-and-2083s)?_g=(refreshInterval:(display:Off,pause:!f,section:0,value:0),time:(from:'2017-07-04T16:22:52-0600',mode:absolute,to:'2017-07-04T19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63"/>
        <v>1</v>
      </c>
      <c r="Y122" s="197">
        <f t="shared" si="72"/>
        <v>23.305299999999999</v>
      </c>
      <c r="Z122" s="197">
        <f t="shared" si="73"/>
        <v>1.3599999999999999E-2</v>
      </c>
      <c r="AA122" s="197">
        <f t="shared" si="45"/>
        <v>23.291699999999999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6"/>
        <v>206</v>
      </c>
      <c r="AE122" s="77" t="str">
        <f t="shared" si="47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122" s="74" t="str">
        <f t="shared" si="48"/>
        <v>"C:\Program Files (x86)\AstroGrep\AstroGrep.exe" /e /r /s /spath="%USERPROFILE%\AppData\Local\Temp\OnboardLogs" /stypes="app*4049*20170705*" /stext=" 00:.+((SYSTEM_STATE.+slice.+state.+changed )|(ment ac)|(multiple cpu faults)|(system.+state.+changed )|(\[timeout)|(PRM\|1\|D)|(kpr)|(kdp)|(train st.+moving)|(\|lc)|(penalty))"</v>
      </c>
      <c r="AG122" s="209" t="str">
        <f t="shared" si="49"/>
        <v>EC</v>
      </c>
      <c r="AH122" s="78" t="str">
        <f t="shared" si="59"/>
        <v>"%USERPROFILE%\Documents\GitHub\eaglep3\Utilities\RefineRTDCRunTimes.py" --tripid 206-04 --locoid 4049 --swversion DE.1.0.9.0 --startMP 204:233053 --initTime 2017-07-04T17:22:52 --startdatetime 2017-07-04T17:42:16 --delay 1 --endMP 204:136 --enddatetime 2017-07-04T18:21:27 --enforcementcount 0 &gt;&gt;C:\Users\stu\Documents\GitHub\eaglep3-reporting\EC\2017-07-04-refined-times.txt</v>
      </c>
      <c r="AI12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{"issue":{"subject":"","project_id":79,"tracker_id":40,"status_id":1,"priority_id":2,"assigned_to_id":23,"start_date":"2017-07-04","description":"","custom_fields":[{"id":1,"name":"Subdivision","value":"EC"},{"id":4,"name":"Milepost","value":"0.0136"},{"id":17,"name":"Train ID","value":"206-04"},{"id":16,"name":"Locomotive ID","value":"4049"},{"id":130,"name":"Impact","value":""},{"id":150,"name":"Time of Event (Mountain Time)","value":"18:21:27"},{"id":151,"name":"Denver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61"/>
        <v>start /low /b %USERPROFILE%\Documents\GitHub\eaglep3\Utilities\DownloadLogsFromS3.py --loco 4049 --day 2017-07-04</v>
      </c>
      <c r="AN122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793</v>
      </c>
      <c r="B123" s="7">
        <v>4064</v>
      </c>
      <c r="C123" s="21" t="s">
        <v>202</v>
      </c>
      <c r="D123" s="21" t="s">
        <v>450</v>
      </c>
      <c r="E123" s="13">
        <v>42920.704965277779</v>
      </c>
      <c r="F123" s="13">
        <v>42920.708541666667</v>
      </c>
      <c r="G123" s="7">
        <v>1</v>
      </c>
      <c r="H123" s="21" t="s">
        <v>569</v>
      </c>
      <c r="I123" s="13">
        <v>42920.734305555554</v>
      </c>
      <c r="J123" s="7">
        <v>0</v>
      </c>
      <c r="K123" s="89" t="str">
        <f t="shared" si="39"/>
        <v>4063/4064</v>
      </c>
      <c r="L123" s="21" t="str">
        <f>VLOOKUP(A123,'Trips&amp;Operators'!$C$1:$G$99999,5,FALSE)</f>
        <v>LEVIN SCOTT</v>
      </c>
      <c r="M123" s="6">
        <f t="shared" si="40"/>
        <v>2.5763888887013309E-2</v>
      </c>
      <c r="N123" s="7">
        <f t="shared" si="74"/>
        <v>37.099999997299165</v>
      </c>
      <c r="O123" s="7"/>
      <c r="P123" s="7"/>
      <c r="Q123" s="22"/>
      <c r="R123" s="170"/>
      <c r="S123" s="213">
        <f t="shared" si="75"/>
        <v>1</v>
      </c>
      <c r="T123" s="195" t="str">
        <f t="shared" si="43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4"/>
        <v>https://d0f6bd738d7f1b3e5a7ca70fe4ff75f0.us-east-1.aws.found.io/app/kibana#/discover/Steve-Slow-Train-Analysis-(2080s-and-2083s)?_g=(refreshInterval:(display:Off,pause:!f,section:0,value:0),time:(from:'2017-07-04T15:55:09-0600',mode:absolute,to:'2017-07-04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197" t="str">
        <f>IF(AA123&lt;VLOOKUP(AG123,Variables!$AC$3:$AD$8,2,FALSE),"Y","N")</f>
        <v>N</v>
      </c>
      <c r="X123" s="197">
        <f t="shared" si="63"/>
        <v>1</v>
      </c>
      <c r="Y123" s="197">
        <f t="shared" si="72"/>
        <v>4.3799999999999999E-2</v>
      </c>
      <c r="Z123" s="197">
        <f t="shared" si="73"/>
        <v>23.337599999999998</v>
      </c>
      <c r="AA123" s="197">
        <f t="shared" si="45"/>
        <v>23.293799999999997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6"/>
        <v>207</v>
      </c>
      <c r="AE123" s="77" t="str">
        <f t="shared" si="47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123" s="74" t="str">
        <f t="shared" si="48"/>
        <v>"C:\Program Files (x86)\AstroGrep\AstroGrep.exe" /e /r /s /spath="%USERPROFILE%\AppData\Local\Temp\OnboardLogs" /stypes="app*4064*20170704*" /stext=" 23:.+((SYSTEM_STATE.+slice.+state.+changed )|(ment ac)|(multiple cpu faults)|(system.+state.+changed )|(\[timeout)|(PRM\|1\|D)|(kpr)|(kdp)|(train st.+moving)|(\|lc)|(penalty))"</v>
      </c>
      <c r="AG123" s="209" t="str">
        <f t="shared" si="49"/>
        <v>EC</v>
      </c>
      <c r="AH123" s="78" t="str">
        <f t="shared" si="59"/>
        <v>"%USERPROFILE%\Documents\GitHub\eaglep3\Utilities\RefineRTDCRunTimes.py" --tripid 207-04 --locoid 4064 --swversion DE.1.0.9.0 --startMP 204:438 --initTime 2017-07-04T16:55:09 --startdatetime 2017-07-04T17:00:18 --delay 1 --endMP 204:233376 --enddatetime 2017-07-04T17:37:24 --enforcementcount 0 &gt;&gt;C:\Users\stu\Documents\GitHub\eaglep3-reporting\EC\2017-07-04-refined-times.txt</v>
      </c>
      <c r="AI123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{"issue":{"subject":"","project_id":79,"tracker_id":40,"status_id":1,"priority_id":2,"assigned_to_id":23,"start_date":"2017-07-04","description":"","custom_fields":[{"id":1,"name":"Subdivision","value":"EC"},{"id":4,"name":"Milepost","value":"23.3376"},{"id":17,"name":"Train ID","value":"207-04"},{"id":16,"name":"Locomotive ID","value":"4064"},{"id":130,"name":"Impact","value":""},{"id":150,"name":"Time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61"/>
        <v>start /low /b %USERPROFILE%\Documents\GitHub\eaglep3\Utilities\DownloadLogsFromS3.py --loco 4064 --day 2017-07-04</v>
      </c>
      <c r="AN123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811</v>
      </c>
      <c r="B124" s="7">
        <v>4063</v>
      </c>
      <c r="C124" s="21" t="s">
        <v>202</v>
      </c>
      <c r="D124" s="21" t="s">
        <v>903</v>
      </c>
      <c r="E124" s="13">
        <v>42920.745046296295</v>
      </c>
      <c r="F124" s="13">
        <v>42920.748124999998</v>
      </c>
      <c r="G124" s="7">
        <v>1</v>
      </c>
      <c r="H124" s="21" t="s">
        <v>350</v>
      </c>
      <c r="I124" s="13">
        <v>42920.776724537034</v>
      </c>
      <c r="J124" s="7">
        <v>0</v>
      </c>
      <c r="K124" s="89" t="str">
        <f t="shared" si="39"/>
        <v>4063/4064</v>
      </c>
      <c r="L124" s="21" t="str">
        <f>VLOOKUP(A124,'Trips&amp;Operators'!$C$1:$G$99999,5,FALSE)</f>
        <v>LEVIN SCOTT</v>
      </c>
      <c r="M124" s="6">
        <f t="shared" si="40"/>
        <v>2.8599537035916001E-2</v>
      </c>
      <c r="N124" s="7">
        <f t="shared" si="74"/>
        <v>41.183333331719041</v>
      </c>
      <c r="O124" s="7"/>
      <c r="P124" s="7"/>
      <c r="Q124" s="22"/>
      <c r="R124" s="170"/>
      <c r="S124" s="213">
        <f t="shared" si="75"/>
        <v>1</v>
      </c>
      <c r="T124" s="195" t="str">
        <f t="shared" si="43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4"/>
        <v>https://d0f6bd738d7f1b3e5a7ca70fe4ff75f0.us-east-1.aws.found.io/app/kibana#/discover/Steve-Slow-Train-Analysis-(2080s-and-2083s)?_g=(refreshInterval:(display:Off,pause:!f,section:0,value:0),time:(from:'2017-07-04T16:52:52-0600',mode:absolute,to:'2017-07-04T19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197" t="str">
        <f>IF(AA124&lt;VLOOKUP(AG124,Variables!$AC$3:$AD$8,2,FALSE),"Y","N")</f>
        <v>N</v>
      </c>
      <c r="X124" s="197">
        <f t="shared" si="63"/>
        <v>1</v>
      </c>
      <c r="Y124" s="197">
        <f t="shared" ref="Y124:Y155" si="76">RIGHT(D124,LEN(D124)-4)/10000</f>
        <v>23.3065</v>
      </c>
      <c r="Z124" s="197">
        <f t="shared" ref="Z124:Z155" si="77">RIGHT(H124,LEN(H124)-4)/10000</f>
        <v>1.43E-2</v>
      </c>
      <c r="AA124" s="197">
        <f t="shared" si="45"/>
        <v>23.292200000000001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6"/>
        <v>208</v>
      </c>
      <c r="AE124" s="77" t="str">
        <f t="shared" si="47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124" s="74" t="str">
        <f t="shared" si="48"/>
        <v>"C:\Program Files (x86)\AstroGrep\AstroGrep.exe" /e /r /s /spath="%USERPROFILE%\AppData\Local\Temp\OnboardLogs" /stypes="app*4063*20170705*" /stext=" 00:.+((SYSTEM_STATE.+slice.+state.+changed )|(ment ac)|(multiple cpu faults)|(system.+state.+changed )|(\[timeout)|(PRM\|1\|D)|(kpr)|(kdp)|(train st.+moving)|(\|lc)|(penalty))"</v>
      </c>
      <c r="AG124" s="209" t="str">
        <f t="shared" si="49"/>
        <v>EC</v>
      </c>
      <c r="AH124" s="78" t="str">
        <f t="shared" si="59"/>
        <v>"%USERPROFILE%\Documents\GitHub\eaglep3\Utilities\RefineRTDCRunTimes.py" --tripid 208-04 --locoid 4063 --swversion DE.1.0.9.0 --startMP 204:233065 --initTime 2017-07-04T17:52:52 --startdatetime 2017-07-04T17:57:18 --delay 1 --endMP 204:143 --enddatetime 2017-07-04T18:38:29 --enforcementcount 0 &gt;&gt;C:\Users\stu\Documents\GitHub\eaglep3-reporting\EC\2017-07-04-refined-times.txt</v>
      </c>
      <c r="AI12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{"issue":{"subject":"","project_id":79,"tracker_id":40,"status_id":1,"priority_id":2,"assigned_to_id":23,"start_date":"2017-07-04","description":"","custom_fields":[{"id":1,"name":"Subdivision","value":"EC"},{"id":4,"name":"Milepost","value":"0.0143"},{"id":17,"name":"Train ID","value":"208-04"},{"id":16,"name":"Locomotive ID","value":"4063"},{"id":130,"name":"Impact","value":""},{"id":150,"name":"Time of Event (Mountain Time)","value":"18:38:29"},{"id":151,"name":"Denver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61"/>
        <v>start /low /b %USERPROFILE%\Documents\GitHub\eaglep3\Utilities\DownloadLogsFromS3.py --loco 4063 --day 2017-07-04</v>
      </c>
      <c r="AN124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799</v>
      </c>
      <c r="B125" s="7">
        <v>4044</v>
      </c>
      <c r="C125" s="21" t="s">
        <v>202</v>
      </c>
      <c r="D125" s="21" t="s">
        <v>450</v>
      </c>
      <c r="E125" s="13">
        <v>42920.716782407406</v>
      </c>
      <c r="F125" s="13">
        <v>42920.719293981485</v>
      </c>
      <c r="G125" s="7">
        <v>1</v>
      </c>
      <c r="H125" s="21" t="s">
        <v>904</v>
      </c>
      <c r="I125" s="13">
        <v>42920.745393518519</v>
      </c>
      <c r="J125" s="7">
        <v>0</v>
      </c>
      <c r="K125" s="89" t="str">
        <f t="shared" si="39"/>
        <v>4043/4044</v>
      </c>
      <c r="L125" s="21" t="str">
        <f>VLOOKUP(A125,'Trips&amp;Operators'!$C$1:$G$99999,5,FALSE)</f>
        <v>LEVERE CRAIG</v>
      </c>
      <c r="M125" s="6">
        <f t="shared" si="40"/>
        <v>2.6099537033587694E-2</v>
      </c>
      <c r="N125" s="7">
        <f t="shared" si="74"/>
        <v>37.58333332836628</v>
      </c>
      <c r="O125" s="7"/>
      <c r="P125" s="7"/>
      <c r="Q125" s="22"/>
      <c r="R125" s="170"/>
      <c r="S125" s="213">
        <f t="shared" si="75"/>
        <v>1</v>
      </c>
      <c r="T125" s="195" t="str">
        <f t="shared" si="43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4"/>
        <v>https://d0f6bd738d7f1b3e5a7ca70fe4ff75f0.us-east-1.aws.found.io/app/kibana#/discover/Steve-Slow-Train-Analysis-(2080s-and-2083s)?_g=(refreshInterval:(display:Off,pause:!f,section:0,value:0),time:(from:'2017-07-04T16:12:10-0600',mode:absolute,to:'2017-07-04T18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97" t="str">
        <f>IF(AA125&lt;VLOOKUP(AG125,Variables!$AC$3:$AD$8,2,FALSE),"Y","N")</f>
        <v>N</v>
      </c>
      <c r="X125" s="197">
        <f t="shared" si="63"/>
        <v>1</v>
      </c>
      <c r="Y125" s="197">
        <f t="shared" si="76"/>
        <v>4.3799999999999999E-2</v>
      </c>
      <c r="Z125" s="197">
        <f t="shared" si="77"/>
        <v>23.3306</v>
      </c>
      <c r="AA125" s="197">
        <f t="shared" si="45"/>
        <v>23.286799999999999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6"/>
        <v>209</v>
      </c>
      <c r="AE125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25" s="74" t="str">
        <f t="shared" si="48"/>
        <v>"C:\Program Files (x86)\AstroGrep\AstroGrep.exe" /e /r /s /spath="%USERPROFILE%\AppData\Local\Temp\OnboardLogs" /stypes="app*4044*20170704*" /stext=" 23:.+((SYSTEM_STATE.+slice.+state.+changed )|(ment ac)|(multiple cpu faults)|(system.+state.+changed )|(\[timeout)|(PRM\|1\|D)|(kpr)|(kdp)|(train st.+moving)|(\|lc)|(penalty))"</v>
      </c>
      <c r="AG125" s="209" t="str">
        <f t="shared" si="49"/>
        <v>EC</v>
      </c>
      <c r="AH125" s="78" t="str">
        <f t="shared" si="59"/>
        <v>"%USERPROFILE%\Documents\GitHub\eaglep3\Utilities\RefineRTDCRunTimes.py" --tripid 209-04 --locoid 4044 --swversion DE.1.0.9.0 --startMP 204:438 --initTime 2017-07-04T17:12:10 --startdatetime 2017-07-04T17:15:47 --delay 1 --endMP 204:233306 --enddatetime 2017-07-04T17:53:22 --enforcementcount 0 &gt;&gt;C:\Users\stu\Documents\GitHub\eaglep3-reporting\EC\2017-07-04-refined-times.txt</v>
      </c>
      <c r="AI12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{"issue":{"subject":"","project_id":79,"tracker_id":40,"status_id":1,"priority_id":2,"assigned_to_id":23,"start_date":"2017-07-04","description":"","custom_fields":[{"id":1,"name":"Subdivision","value":"EC"},{"id":4,"name":"Milepost","value":"23.3306"},{"id":17,"name":"Train ID","value":"209-04"},{"id":16,"name":"Locomotive ID","value":"4044"},{"id":130,"name":"Impact","value":""},{"id":150,"name":"Time of Event (Mountain Time)","value":"17:53:22"},{"id":151,"name":"Denver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61"/>
        <v>start /low /b %USERPROFILE%\Documents\GitHub\eaglep3\Utilities\DownloadLogsFromS3.py --loco 4044 --day 2017-07-04</v>
      </c>
      <c r="AN125" s="151" t="str">
        <f t="shared" si="62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812</v>
      </c>
      <c r="B126" s="7">
        <v>4043</v>
      </c>
      <c r="C126" s="21" t="s">
        <v>202</v>
      </c>
      <c r="D126" s="21" t="s">
        <v>531</v>
      </c>
      <c r="E126" s="13">
        <v>42920.750381944446</v>
      </c>
      <c r="F126" s="13">
        <v>42920.752233796295</v>
      </c>
      <c r="G126" s="7">
        <v>10</v>
      </c>
      <c r="H126" s="21" t="s">
        <v>415</v>
      </c>
      <c r="I126" s="13">
        <v>42920.788518518515</v>
      </c>
      <c r="J126" s="7">
        <v>0</v>
      </c>
      <c r="K126" s="89" t="str">
        <f t="shared" si="39"/>
        <v>4043/4044</v>
      </c>
      <c r="L126" s="21" t="str">
        <f>VLOOKUP(A126,'Trips&amp;Operators'!$C$1:$G$99999,5,FALSE)</f>
        <v>LEVERE CRAIG</v>
      </c>
      <c r="M126" s="6">
        <f t="shared" si="40"/>
        <v>3.6284722220443655E-2</v>
      </c>
      <c r="N126" s="7">
        <f t="shared" si="74"/>
        <v>52.249999997438863</v>
      </c>
      <c r="O126" s="7"/>
      <c r="P126" s="7"/>
      <c r="Q126" s="22"/>
      <c r="R126" s="170" t="s">
        <v>1026</v>
      </c>
      <c r="S126" s="213">
        <f t="shared" si="75"/>
        <v>1</v>
      </c>
      <c r="T126" s="195" t="str">
        <f t="shared" si="43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4"/>
        <v>https://d0f6bd738d7f1b3e5a7ca70fe4ff75f0.us-east-1.aws.found.io/app/kibana#/discover/Steve-Slow-Train-Analysis-(2080s-and-2083s)?_g=(refreshInterval:(display:Off,pause:!f,section:0,value:0),time:(from:'2017-07-04T17:00:33-0600',mode:absolute,to:'2017-07-04T19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97" t="str">
        <f>IF(AA126&lt;VLOOKUP(AG126,Variables!$AC$3:$AD$8,2,FALSE),"Y","N")</f>
        <v>N</v>
      </c>
      <c r="X126" s="197">
        <f t="shared" ref="X126:X131" si="78">VALUE(LEFT(AD126,4))-VALUE(LEFT(AD125,4))</f>
        <v>1</v>
      </c>
      <c r="Y126" s="197">
        <f t="shared" si="76"/>
        <v>23.299800000000001</v>
      </c>
      <c r="Z126" s="197">
        <f t="shared" si="77"/>
        <v>1.4500000000000001E-2</v>
      </c>
      <c r="AA126" s="197">
        <f t="shared" si="45"/>
        <v>23.285299999999999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6"/>
        <v>210</v>
      </c>
      <c r="AE126" s="77" t="str">
        <f t="shared" si="47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26" s="74" t="str">
        <f t="shared" si="48"/>
        <v>"C:\Program Files (x86)\AstroGrep\AstroGrep.exe" /e /r /s /spath="%USERPROFILE%\AppData\Local\Temp\OnboardLogs" /stypes="app*4043*20170705*" /stext=" 00:.+((SYSTEM_STATE.+slice.+state.+changed )|(ment ac)|(multiple cpu faults)|(system.+state.+changed )|(\[timeout)|(PRM\|1\|D)|(kpr)|(kdp)|(train st.+moving)|(\|lc)|(penalty))"</v>
      </c>
      <c r="AG126" s="209" t="str">
        <f t="shared" si="49"/>
        <v>EC</v>
      </c>
      <c r="AH126" s="78" t="str">
        <f t="shared" si="59"/>
        <v>"%USERPROFILE%\Documents\GitHub\eaglep3\Utilities\RefineRTDCRunTimes.py" --tripid 210-04 --locoid 4043 --swversion DE.1.0.9.0 --startMP 204:232998 --initTime 2017-07-04T18:00:33 --startdatetime 2017-07-04T18:03:13 --delay 10 --endMP 204:145 --enddatetime 2017-07-04T18:55:28 --enforcementcount 0 &gt;&gt;C:\Users\stu\Documents\GitHub\eaglep3-reporting\EC\2017-07-04-refined-times.txt</v>
      </c>
      <c r="AI126" s="96" t="str">
        <f t="shared" si="60"/>
        <v>echo {"issue":{"subject":"Delayed by onboard in-route failure","project_id":79,"tracker_id":40,"status_id":1,"priority_id":2,"assigned_to_id":23,"start_date":"2017-07-04","description":"","custom_fields":[{"id":1,"name":"Subdivision","value":"EC"},{"id":4,"name":"Milepost","value":"0.0145"},{"id":17,"name":"Train ID","value":"210-04"},{"id":16,"name":"Locomotive ID","value":"4043"},{"id":130,"name":"Impact","value":""},{"id":150,"name":"Time of Event (Mountain Time)","value":"18:55:28"},{"id":151,"name":"Denver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61"/>
        <v>start /low /b %USERPROFILE%\Documents\GitHub\eaglep3\Utilities\DownloadLogsFromS3.py --loco 4043 --day 2017-07-04</v>
      </c>
      <c r="AN126" s="151" t="str">
        <f t="shared" si="62"/>
        <v>echo {"issue":{"subject":"Delayed by onboard in-route failure","project_id":30,"tracker_id":4,"status_id":1,"priority_id":1,"assigned_to_id":10,"start_date":"2017-07-05","description":"","custom_fields":[{"id":30,"name":"Category","value":"Issue"},{"id":3,"name":"Functional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804</v>
      </c>
      <c r="B127" s="7">
        <v>4008</v>
      </c>
      <c r="C127" s="21" t="s">
        <v>202</v>
      </c>
      <c r="D127" s="21" t="s">
        <v>441</v>
      </c>
      <c r="E127" s="13">
        <v>42920.729699074072</v>
      </c>
      <c r="F127" s="13">
        <v>42920.731215277781</v>
      </c>
      <c r="G127" s="7">
        <v>1</v>
      </c>
      <c r="H127" s="21" t="s">
        <v>870</v>
      </c>
      <c r="I127" s="13">
        <v>42920.757939814815</v>
      </c>
      <c r="J127" s="7">
        <v>0</v>
      </c>
      <c r="K127" s="89" t="str">
        <f t="shared" si="39"/>
        <v>4007/4008</v>
      </c>
      <c r="L127" s="21" t="str">
        <f>VLOOKUP(A127,'Trips&amp;Operators'!$C$1:$G$99999,5,FALSE)</f>
        <v>BRANDNER MELINDA</v>
      </c>
      <c r="M127" s="6">
        <f t="shared" si="40"/>
        <v>2.6724537034169771E-2</v>
      </c>
      <c r="N127" s="7">
        <f t="shared" si="74"/>
        <v>38.48333332920447</v>
      </c>
      <c r="O127" s="7"/>
      <c r="P127" s="7"/>
      <c r="Q127" s="22"/>
      <c r="R127" s="170"/>
      <c r="S127" s="213">
        <f t="shared" si="75"/>
        <v>1</v>
      </c>
      <c r="T127" s="195" t="str">
        <f t="shared" si="43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4"/>
        <v>https://d0f6bd738d7f1b3e5a7ca70fe4ff75f0.us-east-1.aws.found.io/app/kibana#/discover/Steve-Slow-Train-Analysis-(2080s-and-2083s)?_g=(refreshInterval:(display:Off,pause:!f,section:0,value:0),time:(from:'2017-07-04T16:30:46-0600',mode:absolute,to:'2017-07-04T19:11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7" s="197" t="str">
        <f>IF(AA127&lt;VLOOKUP(AG127,Variables!$AC$3:$AD$8,2,FALSE),"Y","N")</f>
        <v>N</v>
      </c>
      <c r="X127" s="197">
        <f t="shared" si="78"/>
        <v>1</v>
      </c>
      <c r="Y127" s="197">
        <f t="shared" si="76"/>
        <v>4.6899999999999997E-2</v>
      </c>
      <c r="Z127" s="197">
        <f t="shared" si="77"/>
        <v>23.330300000000001</v>
      </c>
      <c r="AA127" s="197">
        <f t="shared" si="45"/>
        <v>23.2834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6"/>
        <v>211</v>
      </c>
      <c r="AE127" s="77" t="str">
        <f t="shared" si="47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127" s="74" t="str">
        <f t="shared" si="48"/>
        <v>"C:\Program Files (x86)\AstroGrep\AstroGrep.exe" /e /r /s /spath="%USERPROFILE%\AppData\Local\Temp\OnboardLogs" /stypes="app*4008*20170705*" /stext=" 00:.+((SYSTEM_STATE.+slice.+state.+changed )|(ment ac)|(multiple cpu faults)|(system.+state.+changed )|(\[timeout)|(PRM\|1\|D)|(kpr)|(kdp)|(train st.+moving)|(\|lc)|(penalty))"</v>
      </c>
      <c r="AG127" s="209" t="str">
        <f t="shared" si="49"/>
        <v>EC</v>
      </c>
      <c r="AH127" s="78" t="str">
        <f t="shared" si="59"/>
        <v>"%USERPROFILE%\Documents\GitHub\eaglep3\Utilities\RefineRTDCRunTimes.py" --tripid 211-04 --locoid 4008 --swversion DE.1.0.9.0 --startMP 204:469 --initTime 2017-07-04T17:30:46 --startdatetime 2017-07-04T17:32:57 --delay 1 --endMP 204:233303 --enddatetime 2017-07-04T18:11:26 --enforcementcount 0 &gt;&gt;C:\Users\stu\Documents\GitHub\eaglep3-reporting\EC\2017-07-04-refined-times.txt</v>
      </c>
      <c r="AI12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{"issue":{"subject":"","project_id":79,"tracker_id":40,"status_id":1,"priority_id":2,"assigned_to_id":23,"start_date":"2017-07-04","description":"","custom_fields":[{"id":1,"name":"Subdivision","value":"EC"},{"id":4,"name":"Milepost","value":"23.3303"},{"id":17,"name":"Train ID","value":"211-04"},{"id":16,"name":"Locomotive ID","value":"4008"},{"id":130,"name":"Impact","value":""},{"id":150,"name":"Time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61"/>
        <v>start /low /b %USERPROFILE%\Documents\GitHub\eaglep3\Utilities\DownloadLogsFromS3.py --loco 4008 --day 2017-07-04</v>
      </c>
      <c r="AN127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00:11:26"},{"id":29,"name":"Sharepoint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815</v>
      </c>
      <c r="B128" s="7">
        <v>4007</v>
      </c>
      <c r="C128" s="21" t="s">
        <v>202</v>
      </c>
      <c r="D128" s="21" t="s">
        <v>878</v>
      </c>
      <c r="E128" s="13">
        <v>42920.765856481485</v>
      </c>
      <c r="F128" s="13">
        <v>42920.769085648149</v>
      </c>
      <c r="G128" s="7">
        <v>1</v>
      </c>
      <c r="H128" s="21" t="s">
        <v>349</v>
      </c>
      <c r="I128" s="13">
        <v>42920.797858796293</v>
      </c>
      <c r="J128" s="7">
        <v>0</v>
      </c>
      <c r="K128" s="89" t="str">
        <f t="shared" si="39"/>
        <v>4007/4008</v>
      </c>
      <c r="L128" s="21" t="str">
        <f>VLOOKUP(A128,'Trips&amp;Operators'!$C$1:$G$99999,5,FALSE)</f>
        <v>BRANDNER MELINDA</v>
      </c>
      <c r="M128" s="6">
        <f t="shared" si="40"/>
        <v>2.8773148143955041E-2</v>
      </c>
      <c r="N128" s="7">
        <f t="shared" si="74"/>
        <v>41.433333327295259</v>
      </c>
      <c r="O128" s="7"/>
      <c r="P128" s="7"/>
      <c r="Q128" s="22"/>
      <c r="R128" s="170"/>
      <c r="S128" s="213">
        <f t="shared" si="75"/>
        <v>1</v>
      </c>
      <c r="T128" s="195" t="str">
        <f t="shared" si="43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4"/>
        <v>https://d0f6bd738d7f1b3e5a7ca70fe4ff75f0.us-east-1.aws.found.io/app/kibana#/discover/Steve-Slow-Train-Analysis-(2080s-and-2083s)?_g=(refreshInterval:(display:Off,pause:!f,section:0,value:0),time:(from:'2017-07-04T17:22:50-0600',mode:absolute,to:'2017-07-04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97" t="str">
        <f>IF(AA128&lt;VLOOKUP(AG128,Variables!$AC$3:$AD$8,2,FALSE),"Y","N")</f>
        <v>N</v>
      </c>
      <c r="X128" s="197">
        <f t="shared" si="78"/>
        <v>1</v>
      </c>
      <c r="Y128" s="197">
        <f t="shared" si="76"/>
        <v>23.298400000000001</v>
      </c>
      <c r="Z128" s="197">
        <f t="shared" si="77"/>
        <v>1.49E-2</v>
      </c>
      <c r="AA128" s="197">
        <f t="shared" si="45"/>
        <v>23.2835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6"/>
        <v>212</v>
      </c>
      <c r="AE128" s="77" t="str">
        <f t="shared" si="47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128" s="74" t="str">
        <f t="shared" si="48"/>
        <v>"C:\Program Files (x86)\AstroGrep\AstroGrep.exe" /e /r /s /spath="%USERPROFILE%\AppData\Local\Temp\OnboardLogs" /stypes="app*4007*20170705*" /stext=" 01:.+((SYSTEM_STATE.+slice.+state.+changed )|(ment ac)|(multiple cpu faults)|(system.+state.+changed )|(\[timeout)|(PRM\|1\|D)|(kpr)|(kdp)|(train st.+moving)|(\|lc)|(penalty))"</v>
      </c>
      <c r="AG128" s="209" t="str">
        <f t="shared" si="49"/>
        <v>EC</v>
      </c>
      <c r="AH128" s="78" t="str">
        <f t="shared" si="59"/>
        <v>"%USERPROFILE%\Documents\GitHub\eaglep3\Utilities\RefineRTDCRunTimes.py" --tripid 212-04 --locoid 4007 --swversion DE.1.0.9.0 --startMP 204:232984 --initTime 2017-07-04T18:22:50 --startdatetime 2017-07-04T18:27:29 --delay 1 --endMP 204:149 --enddatetime 2017-07-04T19:08:55 --enforcementcount 0 &gt;&gt;C:\Users\stu\Documents\GitHub\eaglep3-reporting\EC\2017-07-04-refined-times.txt</v>
      </c>
      <c r="AI12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{"issue":{"subject":"","project_id":79,"tracker_id":40,"status_id":1,"priority_id":2,"assigned_to_id":23,"start_date":"2017-07-04","description":"","custom_fields":[{"id":1,"name":"Subdivision","value":"EC"},{"id":4,"name":"Milepost","value":"0.0149"},{"id":17,"name":"Train ID","value":"212-04"},{"id":16,"name":"Locomotive ID","value":"4007"},{"id":130,"name":"Impact","value":""},{"id":150,"name":"Time of Event (Mountain Time)","value":"19:08:55"},{"id":151,"name":"Denver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61"/>
        <v>start /low /b %USERPROFILE%\Documents\GitHub\eaglep3\Utilities\DownloadLogsFromS3.py --loco 4007 --day 2017-07-04</v>
      </c>
      <c r="AN128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4046</v>
      </c>
      <c r="C129" s="21" t="s">
        <v>202</v>
      </c>
      <c r="D129" s="21" t="s">
        <v>486</v>
      </c>
      <c r="E129" s="13">
        <v>42920.738368055558</v>
      </c>
      <c r="F129" s="13">
        <v>42920.74013888889</v>
      </c>
      <c r="G129" s="7">
        <v>1</v>
      </c>
      <c r="H129" s="21" t="s">
        <v>540</v>
      </c>
      <c r="I129" s="13">
        <v>42920.766956018517</v>
      </c>
      <c r="J129" s="7">
        <v>0</v>
      </c>
      <c r="K129" s="89" t="str">
        <f t="shared" si="39"/>
        <v>4045/4046</v>
      </c>
      <c r="L129" s="21" t="str">
        <f>VLOOKUP(A129,'Trips&amp;Operators'!$C$1:$G$99999,5,FALSE)</f>
        <v>SMITH MICHAEL</v>
      </c>
      <c r="M129" s="6">
        <f t="shared" si="40"/>
        <v>2.6817129626579117E-2</v>
      </c>
      <c r="N129" s="7">
        <f t="shared" si="74"/>
        <v>38.616666662273929</v>
      </c>
      <c r="O129" s="7"/>
      <c r="P129" s="7"/>
      <c r="Q129" s="22"/>
      <c r="R129" s="170"/>
      <c r="S129" s="213">
        <f t="shared" si="75"/>
        <v>1</v>
      </c>
      <c r="T129" s="195" t="str">
        <f t="shared" si="43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4"/>
        <v>https://d0f6bd738d7f1b3e5a7ca70fe4ff75f0.us-east-1.aws.found.io/app/kibana#/discover/Steve-Slow-Train-Analysis-(2080s-and-2083s)?_g=(refreshInterval:(display:Off,pause:!f,section:0,value:0),time:(from:'2017-07-04T16:43:15-0600',mode:absolute,to:'2017-07-04T19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97" t="str">
        <f>IF(AA129&lt;VLOOKUP(AG129,Variables!$AC$3:$AD$8,2,FALSE),"Y","N")</f>
        <v>N</v>
      </c>
      <c r="X129" s="197">
        <f t="shared" si="78"/>
        <v>1</v>
      </c>
      <c r="Y129" s="197">
        <f t="shared" si="76"/>
        <v>4.3700000000000003E-2</v>
      </c>
      <c r="Z129" s="197">
        <f t="shared" si="77"/>
        <v>23.332100000000001</v>
      </c>
      <c r="AA129" s="197">
        <f t="shared" si="45"/>
        <v>23.288399999999999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6"/>
        <v>213</v>
      </c>
      <c r="AE129" s="77" t="str">
        <f t="shared" si="47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29" s="74" t="str">
        <f t="shared" si="48"/>
        <v>"C:\Program Files (x86)\AstroGrep\AstroGrep.exe" /e /r /s /spath="%USERPROFILE%\AppData\Local\Temp\OnboardLogs" /stypes="app*4046*20170705*" /stext=" 00:.+((SYSTEM_STATE.+slice.+state.+changed )|(ment ac)|(multiple cpu faults)|(system.+state.+changed )|(\[timeout)|(PRM\|1\|D)|(kpr)|(kdp)|(train st.+moving)|(\|lc)|(penalty))"</v>
      </c>
      <c r="AG129" s="209" t="str">
        <f t="shared" si="49"/>
        <v>EC</v>
      </c>
      <c r="AH129" s="78" t="str">
        <f t="shared" si="59"/>
        <v>"%USERPROFILE%\Documents\GitHub\eaglep3\Utilities\RefineRTDCRunTimes.py" --tripid 213-04 --locoid 4046 --swversion DE.1.0.9.0 --startMP 204:437 --initTime 2017-07-04T17:43:15 --startdatetime 2017-07-04T17:45:48 --delay 1 --endMP 204:233321 --enddatetime 2017-07-04T18:24:25 --enforcementcount 0 &gt;&gt;C:\Users\stu\Documents\GitHub\eaglep3-reporting\EC\2017-07-04-refined-times.txt</v>
      </c>
      <c r="AI12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{"issue":{"subject":"","project_id":79,"tracker_id":40,"status_id":1,"priority_id":2,"assigned_to_id":23,"start_date":"2017-07-04","description":"","custom_fields":[{"id":1,"name":"Subdivision","value":"EC"},{"id":4,"name":"Milepost","value":"23.3321"},{"id":17,"name":"Train ID","value":"213-04"},{"id":16,"name":"Locomotive ID","value":"4046"},{"id":130,"name":"Impact","value":""},{"id":150,"name":"Time of Event (Mountain Time)","value":"18:24:25"},{"id":151,"name":"Denver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61"/>
        <v>start /low /b %USERPROFILE%\Documents\GitHub\eaglep3\Utilities\DownloadLogsFromS3.py --loco 4046 --day 2017-07-04</v>
      </c>
      <c r="AN129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817</v>
      </c>
      <c r="B130" s="7">
        <v>4045</v>
      </c>
      <c r="C130" s="21" t="s">
        <v>202</v>
      </c>
      <c r="D130" s="21" t="s">
        <v>495</v>
      </c>
      <c r="E130" s="13">
        <v>42920.77207175926</v>
      </c>
      <c r="F130" s="13">
        <v>42920.779456018521</v>
      </c>
      <c r="G130" s="7">
        <v>2</v>
      </c>
      <c r="H130" s="21" t="s">
        <v>484</v>
      </c>
      <c r="I130" s="13">
        <v>42920.808506944442</v>
      </c>
      <c r="J130" s="7">
        <v>0</v>
      </c>
      <c r="K130" s="89" t="str">
        <f t="shared" si="39"/>
        <v>4045/4046</v>
      </c>
      <c r="L130" s="21" t="str">
        <f>VLOOKUP(A130,'Trips&amp;Operators'!$C$1:$G$99999,5,FALSE)</f>
        <v>SMITH MICHAEL</v>
      </c>
      <c r="M130" s="6">
        <f t="shared" si="40"/>
        <v>2.9050925921183079E-2</v>
      </c>
      <c r="N130" s="7">
        <f t="shared" si="74"/>
        <v>41.833333326503634</v>
      </c>
      <c r="O130" s="7"/>
      <c r="P130" s="7"/>
      <c r="Q130" s="22"/>
      <c r="R130" s="170"/>
      <c r="S130" s="213">
        <f t="shared" si="75"/>
        <v>1</v>
      </c>
      <c r="T130" s="195" t="str">
        <f t="shared" si="43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4"/>
        <v>https://d0f6bd738d7f1b3e5a7ca70fe4ff75f0.us-east-1.aws.found.io/app/kibana#/discover/Steve-Slow-Train-Analysis-(2080s-and-2083s)?_g=(refreshInterval:(display:Off,pause:!f,section:0,value:0),time:(from:'2017-07-04T17:31:47-0600',mode:absolute,to:'2017-07-04T20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197" t="str">
        <f>IF(AA130&lt;VLOOKUP(AG130,Variables!$AC$3:$AD$8,2,FALSE),"Y","N")</f>
        <v>N</v>
      </c>
      <c r="X130" s="197">
        <f t="shared" si="78"/>
        <v>1</v>
      </c>
      <c r="Y130" s="197">
        <f t="shared" si="76"/>
        <v>23.2989</v>
      </c>
      <c r="Z130" s="197">
        <f t="shared" si="77"/>
        <v>1.6299999999999999E-2</v>
      </c>
      <c r="AA130" s="197">
        <f t="shared" si="45"/>
        <v>23.282599999999999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6"/>
        <v>214</v>
      </c>
      <c r="AE130" s="77" t="str">
        <f t="shared" si="47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30" s="74" t="str">
        <f t="shared" si="48"/>
        <v>"C:\Program Files (x86)\AstroGrep\AstroGrep.exe" /e /r /s /spath="%USERPROFILE%\AppData\Local\Temp\OnboardLogs" /stypes="app*4045*20170705*" /stext=" 01:.+((SYSTEM_STATE.+slice.+state.+changed )|(ment ac)|(multiple cpu faults)|(system.+state.+changed )|(\[timeout)|(PRM\|1\|D)|(kpr)|(kdp)|(train st.+moving)|(\|lc)|(penalty))"</v>
      </c>
      <c r="AG130" s="209" t="str">
        <f t="shared" si="49"/>
        <v>EC</v>
      </c>
      <c r="AH130" s="78" t="str">
        <f t="shared" si="59"/>
        <v>"%USERPROFILE%\Documents\GitHub\eaglep3\Utilities\RefineRTDCRunTimes.py" --tripid 214-04 --locoid 4045 --swversion DE.1.0.9.0 --startMP 204:232989 --initTime 2017-07-04T18:31:47 --startdatetime 2017-07-04T18:42:25 --delay 2 --endMP 204:163 --enddatetime 2017-07-04T19:24:15 --enforcementcount 0 &gt;&gt;C:\Users\stu\Documents\GitHub\eaglep3-reporting\EC\2017-07-04-refined-times.txt</v>
      </c>
      <c r="AI13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{"issue":{"subject":"","project_id":79,"tracker_id":40,"status_id":1,"priority_id":2,"assigned_to_id":23,"start_date":"2017-07-04","description":"","custom_fields":[{"id":1,"name":"Subdivision","value":"EC"},{"id":4,"name":"Milepost","value":"0.0163"},{"id":17,"name":"Train ID","value":"214-04"},{"id":16,"name":"Locomotive ID","value":"4045"},{"id":130,"name":"Impact","value":""},{"id":150,"name":"Time of Event (Mountain Time)","value":"19:24:15"},{"id":151,"name":"Denver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61"/>
        <v>start /low /b %USERPROFILE%\Documents\GitHub\eaglep3\Utilities\DownloadLogsFromS3.py --loco 4045 --day 2017-07-04</v>
      </c>
      <c r="AN130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640</v>
      </c>
      <c r="B131" s="7">
        <v>4012</v>
      </c>
      <c r="C131" s="21" t="s">
        <v>202</v>
      </c>
      <c r="D131" s="21" t="s">
        <v>528</v>
      </c>
      <c r="E131" s="13">
        <v>42920.748831018522</v>
      </c>
      <c r="F131" s="13">
        <v>42920.750578703701</v>
      </c>
      <c r="G131" s="7">
        <v>1</v>
      </c>
      <c r="H131" s="21" t="s">
        <v>598</v>
      </c>
      <c r="I131" s="13">
        <v>42920.776365740741</v>
      </c>
      <c r="J131" s="7">
        <v>0</v>
      </c>
      <c r="K131" s="89" t="str">
        <f t="shared" si="39"/>
        <v>4011/4012</v>
      </c>
      <c r="L131" s="21" t="str">
        <f>VLOOKUP(A131,'Trips&amp;Operators'!$C$1:$G$99999,5,FALSE)</f>
        <v>MOSES BRADLEY</v>
      </c>
      <c r="M131" s="6">
        <f t="shared" si="40"/>
        <v>2.5787037040572613E-2</v>
      </c>
      <c r="N131" s="7">
        <f t="shared" si="74"/>
        <v>37.133333338424563</v>
      </c>
      <c r="O131" s="7"/>
      <c r="P131" s="7"/>
      <c r="Q131" s="22"/>
      <c r="R131" s="170"/>
      <c r="S131" s="213">
        <f t="shared" si="75"/>
        <v>1</v>
      </c>
      <c r="T131" s="195" t="str">
        <f t="shared" si="43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4"/>
        <v>https://d0f6bd738d7f1b3e5a7ca70fe4ff75f0.us-east-1.aws.found.io/app/kibana#/discover/Steve-Slow-Train-Analysis-(2080s-and-2083s)?_g=(refreshInterval:(display:Off,pause:!f,section:0,value:0),time:(from:'2017-07-04T16:58:19-0600',mode:absolute,to:'2017-07-04T19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197" t="str">
        <f>IF(AA131&lt;VLOOKUP(AG131,Variables!$AC$3:$AD$8,2,FALSE),"Y","N")</f>
        <v>N</v>
      </c>
      <c r="X131" s="197">
        <f t="shared" si="78"/>
        <v>1</v>
      </c>
      <c r="Y131" s="197">
        <f t="shared" si="76"/>
        <v>4.3499999999999997E-2</v>
      </c>
      <c r="Z131" s="197">
        <f t="shared" si="77"/>
        <v>23.334700000000002</v>
      </c>
      <c r="AA131" s="197">
        <f t="shared" si="45"/>
        <v>23.2912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6"/>
        <v>215</v>
      </c>
      <c r="AE131" s="77" t="str">
        <f t="shared" si="47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131" s="74" t="str">
        <f t="shared" si="48"/>
        <v>"C:\Program Files (x86)\AstroGrep\AstroGrep.exe" /e /r /s /spath="%USERPROFILE%\AppData\Local\Temp\OnboardLogs" /stypes="app*4012*20170705*" /stext=" 00:.+((SYSTEM_STATE.+slice.+state.+changed )|(ment ac)|(multiple cpu faults)|(system.+state.+changed )|(\[timeout)|(PRM\|1\|D)|(kpr)|(kdp)|(train st.+moving)|(\|lc)|(penalty))"</v>
      </c>
      <c r="AG131" s="209" t="str">
        <f t="shared" si="49"/>
        <v>EC</v>
      </c>
      <c r="AH131" s="78" t="str">
        <f t="shared" si="59"/>
        <v>"%USERPROFILE%\Documents\GitHub\eaglep3\Utilities\RefineRTDCRunTimes.py" --tripid 215-04 --locoid 4012 --swversion DE.1.0.9.0 --startMP 204:435 --initTime 2017-07-04T17:58:19 --startdatetime 2017-07-04T18:00:50 --delay 1 --endMP 204:233347 --enddatetime 2017-07-04T18:37:58 --enforcementcount 0 &gt;&gt;C:\Users\stu\Documents\GitHub\eaglep3-reporting\EC\2017-07-04-refined-times.txt</v>
      </c>
      <c r="AI131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{"issue":{"subject":"","project_id":79,"tracker_id":40,"status_id":1,"priority_id":2,"assigned_to_id":23,"start_date":"2017-07-04","description":"","custom_fields":[{"id":1,"name":"Subdivision","value":"EC"},{"id":4,"name":"Milepost","value":"23.3347"},{"id":17,"name":"Train ID","value":"215-04"},{"id":16,"name":"Locomotive ID","value":"4012"},{"id":130,"name":"Impact","value":""},{"id":150,"name":"Time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61"/>
        <v>start /low /b %USERPROFILE%\Documents\GitHub\eaglep3\Utilities\DownloadLogsFromS3.py --loco 4012 --day 2017-07-04</v>
      </c>
      <c r="AN131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644</v>
      </c>
      <c r="B132" s="7">
        <v>4011</v>
      </c>
      <c r="C132" s="21" t="s">
        <v>202</v>
      </c>
      <c r="D132" s="21" t="s">
        <v>572</v>
      </c>
      <c r="E132" s="13">
        <v>42920.785439814812</v>
      </c>
      <c r="F132" s="13">
        <v>42920.789884259262</v>
      </c>
      <c r="G132" s="7">
        <v>2</v>
      </c>
      <c r="H132" s="21" t="s">
        <v>905</v>
      </c>
      <c r="I132" s="13">
        <v>42920.817546296297</v>
      </c>
      <c r="J132" s="7">
        <v>0</v>
      </c>
      <c r="K132" s="89" t="str">
        <f t="shared" si="39"/>
        <v>4011/4012</v>
      </c>
      <c r="L132" s="21" t="str">
        <f>VLOOKUP(A132,'Trips&amp;Operators'!$C$1:$G$99999,5,FALSE)</f>
        <v>MOSES BRADLEY</v>
      </c>
      <c r="M132" s="6">
        <f t="shared" si="40"/>
        <v>2.7662037035042886E-2</v>
      </c>
      <c r="N132" s="7">
        <f t="shared" si="74"/>
        <v>39.833333330461755</v>
      </c>
      <c r="O132" s="7"/>
      <c r="P132" s="7"/>
      <c r="Q132" s="22"/>
      <c r="R132" s="170"/>
      <c r="S132" s="213">
        <f t="shared" si="75"/>
        <v>1</v>
      </c>
      <c r="T132" s="195" t="str">
        <f t="shared" si="43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4"/>
        <v>https://d0f6bd738d7f1b3e5a7ca70fe4ff75f0.us-east-1.aws.found.io/app/kibana#/discover/Steve-Slow-Train-Analysis-(2080s-and-2083s)?_g=(refreshInterval:(display:Off,pause:!f,section:0,value:0),time:(from:'2017-07-04T17:51:02-0600',mode:absolute,to:'2017-07-04T20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197" t="str">
        <f>IF(AA132&lt;VLOOKUP(AG132,Variables!$AC$3:$AD$8,2,FALSE),"Y","N")</f>
        <v>N</v>
      </c>
      <c r="X132" s="197">
        <f t="shared" ref="X132:X156" si="79">VALUE(LEFT(AD132,4))-VALUE(LEFT(AD131,4))</f>
        <v>1</v>
      </c>
      <c r="Y132" s="197">
        <f t="shared" si="76"/>
        <v>23.302299999999999</v>
      </c>
      <c r="Z132" s="197">
        <f t="shared" si="77"/>
        <v>2.8500000000000001E-2</v>
      </c>
      <c r="AA132" s="197">
        <f t="shared" si="45"/>
        <v>23.273799999999998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6"/>
        <v>216</v>
      </c>
      <c r="AE132" s="77" t="str">
        <f t="shared" si="47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132" s="74" t="str">
        <f t="shared" si="48"/>
        <v>"C:\Program Files (x86)\AstroGrep\AstroGrep.exe" /e /r /s /spath="%USERPROFILE%\AppData\Local\Temp\OnboardLogs" /stypes="app*4011*20170705*" /stext=" 01:.+((SYSTEM_STATE.+slice.+state.+changed )|(ment ac)|(multiple cpu faults)|(system.+state.+changed )|(\[timeout)|(PRM\|1\|D)|(kpr)|(kdp)|(train st.+moving)|(\|lc)|(penalty))"</v>
      </c>
      <c r="AG132" s="209" t="str">
        <f t="shared" si="49"/>
        <v>EC</v>
      </c>
      <c r="AH132" s="78" t="str">
        <f t="shared" si="59"/>
        <v>"%USERPROFILE%\Documents\GitHub\eaglep3\Utilities\RefineRTDCRunTimes.py" --tripid 216-04 --locoid 4011 --swversion DE.1.0.9.0 --startMP 204:233023 --initTime 2017-07-04T18:51:02 --startdatetime 2017-07-04T18:57:26 --delay 2 --endMP 204:285 --enddatetime 2017-07-04T19:37:16 --enforcementcount 0 &gt;&gt;C:\Users\stu\Documents\GitHub\eaglep3-reporting\EC\2017-07-04-refined-times.txt</v>
      </c>
      <c r="AI13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{"issue":{"subject":"","project_id":79,"tracker_id":40,"status_id":1,"priority_id":2,"assigned_to_id":23,"start_date":"2017-07-04","description":"","custom_fields":[{"id":1,"name":"Subdivision","value":"EC"},{"id":4,"name":"Milepost","value":"0.0285"},{"id":17,"name":"Train ID","value":"216-04"},{"id":16,"name":"Locomotive ID","value":"4011"},{"id":130,"name":"Impact","value":""},{"id":150,"name":"Time of Event (Mountain Time)","value":"19:37:16"},{"id":151,"name":"Denver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61"/>
        <v>start /low /b %USERPROFILE%\Documents\GitHub\eaglep3\Utilities\DownloadLogsFromS3.py --loco 4011 --day 2017-07-04</v>
      </c>
      <c r="AN132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813</v>
      </c>
      <c r="B133" s="7">
        <v>4024</v>
      </c>
      <c r="C133" s="21" t="s">
        <v>202</v>
      </c>
      <c r="D133" s="21" t="s">
        <v>199</v>
      </c>
      <c r="E133" s="13">
        <v>42920.757592592592</v>
      </c>
      <c r="F133" s="13">
        <v>42920.760972222219</v>
      </c>
      <c r="G133" s="7">
        <v>1</v>
      </c>
      <c r="H133" s="21" t="s">
        <v>874</v>
      </c>
      <c r="I133" s="13">
        <v>42920.787847222222</v>
      </c>
      <c r="J133" s="7">
        <v>0</v>
      </c>
      <c r="K133" s="89" t="str">
        <f t="shared" si="39"/>
        <v>4023/4024</v>
      </c>
      <c r="L133" s="21" t="str">
        <f>VLOOKUP(A133,'Trips&amp;Operators'!$C$1:$G$99999,5,FALSE)</f>
        <v>FORTUNATO FRANK</v>
      </c>
      <c r="M133" s="6">
        <f t="shared" si="40"/>
        <v>2.6875000003201421E-2</v>
      </c>
      <c r="N133" s="7">
        <f t="shared" si="74"/>
        <v>38.700000004610047</v>
      </c>
      <c r="O133" s="7"/>
      <c r="P133" s="7"/>
      <c r="Q133" s="22"/>
      <c r="R133" s="170"/>
      <c r="S133" s="213">
        <f t="shared" si="75"/>
        <v>1</v>
      </c>
      <c r="T133" s="195" t="str">
        <f t="shared" si="43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4"/>
        <v>https://d0f6bd738d7f1b3e5a7ca70fe4ff75f0.us-east-1.aws.found.io/app/kibana#/discover/Steve-Slow-Train-Analysis-(2080s-and-2083s)?_g=(refreshInterval:(display:Off,pause:!f,section:0,value:0),time:(from:'2017-07-04T17:10:56-0600',mode:absolute,to:'2017-07-04T19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197" t="str">
        <f>IF(AA133&lt;VLOOKUP(AG133,Variables!$AC$3:$AD$8,2,FALSE),"Y","N")</f>
        <v>N</v>
      </c>
      <c r="X133" s="197">
        <f t="shared" si="79"/>
        <v>1</v>
      </c>
      <c r="Y133" s="197">
        <f t="shared" si="76"/>
        <v>4.5999999999999999E-2</v>
      </c>
      <c r="Z133" s="197">
        <f t="shared" si="77"/>
        <v>23.330400000000001</v>
      </c>
      <c r="AA133" s="197">
        <f t="shared" si="45"/>
        <v>23.284400000000002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6"/>
        <v>217</v>
      </c>
      <c r="AE133" s="77" t="str">
        <f t="shared" si="47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133" s="74" t="str">
        <f t="shared" si="48"/>
        <v>"C:\Program Files (x86)\AstroGrep\AstroGrep.exe" /e /r /s /spath="%USERPROFILE%\AppData\Local\Temp\OnboardLogs" /stypes="app*4024*20170705*" /stext=" 00:.+((SYSTEM_STATE.+slice.+state.+changed )|(ment ac)|(multiple cpu faults)|(system.+state.+changed )|(\[timeout)|(PRM\|1\|D)|(kpr)|(kdp)|(train st.+moving)|(\|lc)|(penalty))"</v>
      </c>
      <c r="AG133" s="209" t="str">
        <f t="shared" si="49"/>
        <v>EC</v>
      </c>
      <c r="AH133" s="78" t="str">
        <f t="shared" si="59"/>
        <v>"%USERPROFILE%\Documents\GitHub\eaglep3\Utilities\RefineRTDCRunTimes.py" --tripid 217-04 --locoid 4024 --swversion DE.1.0.9.0 --startMP 204:460 --initTime 2017-07-04T18:10:56 --startdatetime 2017-07-04T18:15:48 --delay 1 --endMP 204:233304 --enddatetime 2017-07-04T18:54:30 --enforcementcount 0 &gt;&gt;C:\Users\stu\Documents\GitHub\eaglep3-reporting\EC\2017-07-04-refined-times.txt</v>
      </c>
      <c r="AI133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{"issue":{"subject":"","project_id":79,"tracker_id":40,"status_id":1,"priority_id":2,"assigned_to_id":23,"start_date":"2017-07-04","description":"","custom_fields":[{"id":1,"name":"Subdivision","value":"EC"},{"id":4,"name":"Milepost","value":"23.3304"},{"id":17,"name":"Train ID","value":"217-04"},{"id":16,"name":"Locomotive ID","value":"4024"},{"id":130,"name":"Impact","value":""},{"id":150,"name":"Time of Event (Mountain Time)","value":"18:54:30"},{"id":151,"name":"Denver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61"/>
        <v>start /low /b %USERPROFILE%\Documents\GitHub\eaglep3\Utilities\DownloadLogsFromS3.py --loco 4024 --day 2017-07-04</v>
      </c>
      <c r="AN133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643</v>
      </c>
      <c r="B134" s="7">
        <v>4023</v>
      </c>
      <c r="C134" s="21" t="s">
        <v>202</v>
      </c>
      <c r="D134" s="21" t="s">
        <v>573</v>
      </c>
      <c r="E134" s="13">
        <v>42920.797060185185</v>
      </c>
      <c r="F134" s="13">
        <v>42920.819374999999</v>
      </c>
      <c r="G134" s="7">
        <v>1</v>
      </c>
      <c r="H134" s="21" t="s">
        <v>906</v>
      </c>
      <c r="I134" s="13">
        <v>42920.831620370373</v>
      </c>
      <c r="J134" s="7">
        <v>0</v>
      </c>
      <c r="K134" s="89" t="str">
        <f t="shared" si="39"/>
        <v>4023/4024</v>
      </c>
      <c r="L134" s="21" t="str">
        <f>VLOOKUP(A134,'Trips&amp;Operators'!$C$1:$G$99999,5,FALSE)</f>
        <v>FORTUNATO FRANK</v>
      </c>
      <c r="M134" s="6">
        <f t="shared" si="40"/>
        <v>1.2245370373420883E-2</v>
      </c>
      <c r="N134" s="7"/>
      <c r="O134" s="7"/>
      <c r="P134" s="7">
        <f>24*60*SUM($M134:$M134)</f>
        <v>17.633333337726071</v>
      </c>
      <c r="Q134" s="22"/>
      <c r="R134" s="170" t="s">
        <v>1027</v>
      </c>
      <c r="S134" s="213">
        <f>SUM(U134:U135)/IF(AG134="EC",12,1)</f>
        <v>0.91666666666666663</v>
      </c>
      <c r="T134" s="195" t="str">
        <f t="shared" si="43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2</v>
      </c>
      <c r="V134" s="196" t="str">
        <f t="shared" si="44"/>
        <v>https://d0f6bd738d7f1b3e5a7ca70fe4ff75f0.us-east-1.aws.found.io/app/kibana#/discover/Steve-Slow-Train-Analysis-(2080s-and-2083s)?_g=(refreshInterval:(display:Off,pause:!f,section:0,value:0),time:(from:'2017-07-04T18:07:46-0600',mode:absolute,to:'2017-07-04T20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197" t="str">
        <f>IF(AA134&lt;VLOOKUP(AG134,Variables!$AC$3:$AD$8,2,FALSE),"Y","N")</f>
        <v>Y</v>
      </c>
      <c r="X134" s="197">
        <f t="shared" si="79"/>
        <v>1</v>
      </c>
      <c r="Y134" s="197">
        <f t="shared" si="76"/>
        <v>23.301300000000001</v>
      </c>
      <c r="Z134" s="197">
        <f t="shared" si="77"/>
        <v>8.2005999999999997</v>
      </c>
      <c r="AA134" s="197">
        <f t="shared" si="45"/>
        <v>15.100700000000002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6"/>
        <v>218</v>
      </c>
      <c r="AE134" s="77" t="str">
        <f t="shared" si="47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34" s="74" t="str">
        <f t="shared" si="48"/>
        <v>"C:\Program Files (x86)\AstroGrep\AstroGrep.exe" /e /r /s /spath="%USERPROFILE%\AppData\Local\Temp\OnboardLogs" /stypes="app*4023*20170705*" /stext=" 01:.+((SYSTEM_STATE.+slice.+state.+changed )|(ment ac)|(multiple cpu faults)|(system.+state.+changed )|(\[timeout)|(PRM\|1\|D)|(kpr)|(kdp)|(train st.+moving)|(\|lc)|(penalty))"</v>
      </c>
      <c r="AG134" s="209" t="str">
        <f t="shared" si="49"/>
        <v>EC</v>
      </c>
      <c r="AH134" s="78" t="str">
        <f t="shared" si="59"/>
        <v>"%USERPROFILE%\Documents\GitHub\eaglep3\Utilities\RefineRTDCRunTimes.py" --tripid 218-04 --locoid 4023 --swversion DE.1.0.9.0 --startMP 204:233013 --initTime 2017-07-04T19:07:46 --startdatetime 2017-07-04T19:39:54 --delay 1 --endMP 204:82006 --enddatetime 2017-07-04T19:57:32 --enforcementcount 0 &gt;&gt;C:\Users\stu\Documents\GitHub\eaglep3-reporting\EC\2017-07-04-refined-times.txt</v>
      </c>
      <c r="AI134" s="96" t="str">
        <f t="shared" si="60"/>
        <v>echo {"issue":{"subject":"Minor onboard in-route failure caused comm outage","project_id":79,"tracker_id":40,"status_id":1,"priority_id":2,"assigned_to_id":23,"start_date":"2017-07-04","description":"","custom_fields":[{"id":1,"name":"Subdivision","value":"EC"},{"id":4,"name":"Milepost","value":"8.2006"},{"id":17,"name":"Train ID","value":"218-04"},{"id":16,"name":"Locomotive ID","value":"4023"},{"id":130,"name":"Impact","value":""},{"id":150,"name":"Time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61"/>
        <v>start /low /b %USERPROFILE%\Documents\GitHub\eaglep3\Utilities\DownloadLogsFromS3.py --loco 4023 --day 2017-07-04</v>
      </c>
      <c r="AN134" s="151" t="str">
        <f t="shared" si="62"/>
        <v>echo {"issue":{"subject":"Minor onboard in-route failure caused comm outage","project_id":30,"tracker_id":4,"status_id":1,"priority_id":1,"assigned_to_id":10,"start_date":"2017-07-05","description":"","custom_fields":[{"id":30,"name":"Category","value":"Issue"},{"id":3,"name":"Functional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643</v>
      </c>
      <c r="B135" s="7">
        <v>4023</v>
      </c>
      <c r="C135" s="21" t="s">
        <v>202</v>
      </c>
      <c r="D135" s="21" t="s">
        <v>907</v>
      </c>
      <c r="E135" s="13">
        <v>42920.818460648145</v>
      </c>
      <c r="F135" s="13">
        <v>42920.819374999999</v>
      </c>
      <c r="G135" s="7">
        <v>0</v>
      </c>
      <c r="H135" s="21" t="s">
        <v>356</v>
      </c>
      <c r="I135" s="13">
        <v>42920.831620370373</v>
      </c>
      <c r="J135" s="7">
        <v>0</v>
      </c>
      <c r="K135" s="89" t="str">
        <f t="shared" si="39"/>
        <v>4023/4024</v>
      </c>
      <c r="L135" s="21" t="str">
        <f>VLOOKUP(A135,'Trips&amp;Operators'!$C$1:$G$99999,5,FALSE)</f>
        <v>FORTUNATO FRANK</v>
      </c>
      <c r="M135" s="6">
        <f t="shared" si="40"/>
        <v>1.2245370373420883E-2</v>
      </c>
      <c r="N135" s="7"/>
      <c r="O135" s="7"/>
      <c r="P135" s="7"/>
      <c r="Q135" s="22"/>
      <c r="R135" s="170"/>
      <c r="S135" s="213"/>
      <c r="T135" s="195" t="str">
        <f t="shared" si="43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9</v>
      </c>
      <c r="V135" s="196" t="str">
        <f t="shared" si="44"/>
        <v>https://d0f6bd738d7f1b3e5a7ca70fe4ff75f0.us-east-1.aws.found.io/app/kibana#/discover/Steve-Slow-Train-Analysis-(2080s-and-2083s)?_g=(refreshInterval:(display:Off,pause:!f,section:0,value:0),time:(from:'2017-07-04T18:38:35-0600',mode:absolute,to:'2017-07-04T20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197" t="str">
        <f>IF(AA135&lt;VLOOKUP(AG135,Variables!$AC$3:$AD$8,2,FALSE),"Y","N")</f>
        <v>Y</v>
      </c>
      <c r="X135" s="197">
        <f t="shared" si="79"/>
        <v>0</v>
      </c>
      <c r="Y135" s="197">
        <f t="shared" si="76"/>
        <v>6.4158999999999997</v>
      </c>
      <c r="Z135" s="197">
        <f t="shared" si="77"/>
        <v>1.3899999999999999E-2</v>
      </c>
      <c r="AA135" s="197">
        <f t="shared" si="45"/>
        <v>6.4020000000000001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6"/>
        <v>218</v>
      </c>
      <c r="AE135" s="77" t="str">
        <f t="shared" si="47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35" s="74" t="str">
        <f t="shared" si="48"/>
        <v>"C:\Program Files (x86)\AstroGrep\AstroGrep.exe" /e /r /s /spath="%USERPROFILE%\AppData\Local\Temp\OnboardLogs" /stypes="app*4023*20170705*" /stext=" 01:.+((SYSTEM_STATE.+slice.+state.+changed )|(ment ac)|(multiple cpu faults)|(system.+state.+changed )|(\[timeout)|(PRM\|1\|D)|(kpr)|(kdp)|(train st.+moving)|(\|lc)|(penalty))"</v>
      </c>
      <c r="AG135" s="209" t="str">
        <f t="shared" si="49"/>
        <v>EC</v>
      </c>
      <c r="AH135" s="78" t="str">
        <f t="shared" si="59"/>
        <v>"%USERPROFILE%\Documents\GitHub\eaglep3\Utilities\RefineRTDCRunTimes.py" --tripid 218-04 --locoid 4023 --swversion DE.1.0.9.0 --startMP 204:64159 --initTime 2017-07-04T19:38:35 --startdatetime 2017-07-04T19:39:54 --delay 0 --endMP 204:139 --enddatetime 2017-07-04T19:57:32 --enforcementcount 0 &gt;&gt;C:\Users\stu\Documents\GitHub\eaglep3-reporting\EC\2017-07-04-refined-times.txt</v>
      </c>
      <c r="AI13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{"issue":{"subject":"","project_id":79,"tracker_id":40,"status_id":1,"priority_id":2,"assigned_to_id":23,"start_date":"2017-07-04","description":"","custom_fields":[{"id":1,"name":"Subdivision","value":"EC"},{"id":4,"name":"Milepost","value":"0.0139"},{"id":17,"name":"Train ID","value":"218-04"},{"id":16,"name":"Locomotive ID","value":"4023"},{"id":130,"name":"Impact","value":""},{"id":150,"name":"Time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61"/>
        <v>start /low /b %USERPROFILE%\Documents\GitHub\eaglep3\Utilities\DownloadLogsFromS3.py --loco 4023 --day 2017-07-04</v>
      </c>
      <c r="AN135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816</v>
      </c>
      <c r="B136" s="7">
        <v>4050</v>
      </c>
      <c r="C136" s="21" t="s">
        <v>202</v>
      </c>
      <c r="D136" s="21" t="s">
        <v>486</v>
      </c>
      <c r="E136" s="13">
        <v>42920.76803240741</v>
      </c>
      <c r="F136" s="13">
        <v>42920.771643518521</v>
      </c>
      <c r="G136" s="7">
        <v>1</v>
      </c>
      <c r="H136" s="21" t="s">
        <v>576</v>
      </c>
      <c r="I136" s="13">
        <v>42920.798611111109</v>
      </c>
      <c r="J136" s="7">
        <v>0</v>
      </c>
      <c r="K136" s="89" t="str">
        <f t="shared" si="39"/>
        <v>4049/4050</v>
      </c>
      <c r="L136" s="21" t="str">
        <f>VLOOKUP(A136,'Trips&amp;Operators'!$C$1:$G$99999,5,FALSE)</f>
        <v>NELSON ARIANE</v>
      </c>
      <c r="M136" s="6">
        <f t="shared" si="40"/>
        <v>2.696759258833481E-2</v>
      </c>
      <c r="N136" s="7">
        <f t="shared" ref="N136:N142" si="80">24*60*SUM($M136:$M136)</f>
        <v>38.833333327202126</v>
      </c>
      <c r="O136" s="7"/>
      <c r="P136" s="7"/>
      <c r="Q136" s="22"/>
      <c r="R136" s="170"/>
      <c r="S136" s="213">
        <f t="shared" ref="S136:S158" si="81">SUM(U136:U136)/IF(AG136="EC",12,1)</f>
        <v>1</v>
      </c>
      <c r="T136" s="195" t="str">
        <f t="shared" si="43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4"/>
        <v>https://d0f6bd738d7f1b3e5a7ca70fe4ff75f0.us-east-1.aws.found.io/app/kibana#/discover/Steve-Slow-Train-Analysis-(2080s-and-2083s)?_g=(refreshInterval:(display:Off,pause:!f,section:0,value:0),time:(from:'2017-07-04T17:25:58-0600',mode:absolute,to:'2017-07-04T20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197" t="str">
        <f>IF(AA136&lt;VLOOKUP(AG136,Variables!$AC$3:$AD$8,2,FALSE),"Y","N")</f>
        <v>N</v>
      </c>
      <c r="X136" s="197">
        <f t="shared" si="79"/>
        <v>1</v>
      </c>
      <c r="Y136" s="197">
        <f t="shared" si="76"/>
        <v>4.3700000000000003E-2</v>
      </c>
      <c r="Z136" s="197">
        <f t="shared" si="77"/>
        <v>23.3324</v>
      </c>
      <c r="AA136" s="197">
        <f t="shared" si="45"/>
        <v>23.288699999999999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6"/>
        <v>219</v>
      </c>
      <c r="AE136" s="77" t="str">
        <f t="shared" si="47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36" s="74" t="str">
        <f t="shared" si="48"/>
        <v>"C:\Program Files (x86)\AstroGrep\AstroGrep.exe" /e /r /s /spath="%USERPROFILE%\AppData\Local\Temp\OnboardLogs" /stypes="app*4050*20170705*" /stext=" 01:.+((SYSTEM_STATE.+slice.+state.+changed )|(ment ac)|(multiple cpu faults)|(system.+state.+changed )|(\[timeout)|(PRM\|1\|D)|(kpr)|(kdp)|(train st.+moving)|(\|lc)|(penalty))"</v>
      </c>
      <c r="AG136" s="209" t="str">
        <f t="shared" si="49"/>
        <v>EC</v>
      </c>
      <c r="AH136" s="78" t="str">
        <f t="shared" si="59"/>
        <v>"%USERPROFILE%\Documents\GitHub\eaglep3\Utilities\RefineRTDCRunTimes.py" --tripid 219-04 --locoid 4050 --swversion DE.1.0.9.0 --startMP 204:437 --initTime 2017-07-04T18:25:58 --startdatetime 2017-07-04T18:31:10 --delay 1 --endMP 204:233324 --enddatetime 2017-07-04T19:10:00 --enforcementcount 0 &gt;&gt;C:\Users\stu\Documents\GitHub\eaglep3-reporting\EC\2017-07-04-refined-times.txt</v>
      </c>
      <c r="AI136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{"issue":{"subject":"","project_id":79,"tracker_id":40,"status_id":1,"priority_id":2,"assigned_to_id":23,"start_date":"2017-07-04","description":"","custom_fields":[{"id":1,"name":"Subdivision","value":"EC"},{"id":4,"name":"Milepost","value":"23.3324"},{"id":17,"name":"Train ID","value":"219-04"},{"id":16,"name":"Locomotive ID","value":"4050"},{"id":130,"name":"Impact","value":""},{"id":150,"name":"Time of Event (Mountain Time)","value":"19:10:00"},{"id":151,"name":"Denver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61"/>
        <v>start /low /b %USERPROFILE%\Documents\GitHub\eaglep3\Utilities\DownloadLogsFromS3.py --loco 4050 --day 2017-07-04</v>
      </c>
      <c r="AN136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4049</v>
      </c>
      <c r="C137" s="21" t="s">
        <v>202</v>
      </c>
      <c r="D137" s="21" t="s">
        <v>908</v>
      </c>
      <c r="E137" s="13">
        <v>42920.809027777781</v>
      </c>
      <c r="F137" s="13">
        <v>42920.811064814814</v>
      </c>
      <c r="G137" s="7">
        <v>2</v>
      </c>
      <c r="H137" s="21" t="s">
        <v>415</v>
      </c>
      <c r="I137" s="13">
        <v>42920.840740740743</v>
      </c>
      <c r="J137" s="7">
        <v>0</v>
      </c>
      <c r="K137" s="89" t="str">
        <f t="shared" si="39"/>
        <v>4049/4050</v>
      </c>
      <c r="L137" s="21" t="str">
        <f>VLOOKUP(A137,'Trips&amp;Operators'!$C$1:$G$99999,5,FALSE)</f>
        <v>NELSON ARIANE</v>
      </c>
      <c r="M137" s="6">
        <f t="shared" si="40"/>
        <v>2.9675925929041114E-2</v>
      </c>
      <c r="N137" s="7">
        <f t="shared" si="80"/>
        <v>42.733333337819204</v>
      </c>
      <c r="O137" s="7"/>
      <c r="P137" s="7"/>
      <c r="Q137" s="22"/>
      <c r="R137" s="170"/>
      <c r="S137" s="213">
        <f t="shared" si="81"/>
        <v>1</v>
      </c>
      <c r="T137" s="195" t="str">
        <f t="shared" si="43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4"/>
        <v>https://d0f6bd738d7f1b3e5a7ca70fe4ff75f0.us-east-1.aws.found.io/app/kibana#/discover/Steve-Slow-Train-Analysis-(2080s-and-2083s)?_g=(refreshInterval:(display:Off,pause:!f,section:0,value:0),time:(from:'2017-07-04T18:25:00-0600',mode:absolute,to:'2017-07-04T21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197" t="str">
        <f>IF(AA137&lt;VLOOKUP(AG137,Variables!$AC$3:$AD$8,2,FALSE),"Y","N")</f>
        <v>N</v>
      </c>
      <c r="X137" s="197">
        <f t="shared" si="79"/>
        <v>1</v>
      </c>
      <c r="Y137" s="197">
        <f t="shared" si="76"/>
        <v>23.298200000000001</v>
      </c>
      <c r="Z137" s="197">
        <f t="shared" si="77"/>
        <v>1.4500000000000001E-2</v>
      </c>
      <c r="AA137" s="197">
        <f t="shared" si="45"/>
        <v>23.2837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6"/>
        <v>220</v>
      </c>
      <c r="AE137" s="77" t="str">
        <f t="shared" si="47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137" s="74" t="str">
        <f t="shared" si="48"/>
        <v>"C:\Program Files (x86)\AstroGrep\AstroGrep.exe" /e /r /s /spath="%USERPROFILE%\AppData\Local\Temp\OnboardLogs" /stypes="app*4049*20170705*" /stext=" 02:.+((SYSTEM_STATE.+slice.+state.+changed )|(ment ac)|(multiple cpu faults)|(system.+state.+changed )|(\[timeout)|(PRM\|1\|D)|(kpr)|(kdp)|(train st.+moving)|(\|lc)|(penalty))"</v>
      </c>
      <c r="AG137" s="209" t="str">
        <f t="shared" si="49"/>
        <v>EC</v>
      </c>
      <c r="AH137" s="78" t="str">
        <f t="shared" si="59"/>
        <v>"%USERPROFILE%\Documents\GitHub\eaglep3\Utilities\RefineRTDCRunTimes.py" --tripid 220-04 --locoid 4049 --swversion DE.1.0.9.0 --startMP 204:232982 --initTime 2017-07-04T19:25:00 --startdatetime 2017-07-04T19:27:56 --delay 2 --endMP 204:145 --enddatetime 2017-07-04T20:10:40 --enforcementcount 0 &gt;&gt;C:\Users\stu\Documents\GitHub\eaglep3-reporting\EC\2017-07-04-refined-times.txt</v>
      </c>
      <c r="AI13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{"issue":{"subject":"","project_id":79,"tracker_id":40,"status_id":1,"priority_id":2,"assigned_to_id":23,"start_date":"2017-07-04","description":"","custom_fields":[{"id":1,"name":"Subdivision","value":"EC"},{"id":4,"name":"Milepost","value":"0.0145"},{"id":17,"name":"Train ID","value":"220-04"},{"id":16,"name":"Locomotive ID","value":"4049"},{"id":130,"name":"Impact","value":""},{"id":150,"name":"Time of Event (Mountain Time)","value":"20:10:40"},{"id":151,"name":"Denver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61"/>
        <v>start /low /b %USERPROFILE%\Documents\GitHub\eaglep3\Utilities\DownloadLogsFromS3.py --loco 4049 --day 2017-07-04</v>
      </c>
      <c r="AN137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820</v>
      </c>
      <c r="B138" s="7">
        <v>4044</v>
      </c>
      <c r="C138" s="21" t="s">
        <v>202</v>
      </c>
      <c r="D138" s="21" t="s">
        <v>198</v>
      </c>
      <c r="E138" s="13">
        <v>42920.790034722224</v>
      </c>
      <c r="F138" s="13">
        <v>42920.792199074072</v>
      </c>
      <c r="G138" s="7">
        <v>1</v>
      </c>
      <c r="H138" s="21" t="s">
        <v>877</v>
      </c>
      <c r="I138" s="13">
        <v>42920.819039351853</v>
      </c>
      <c r="J138" s="7">
        <v>0</v>
      </c>
      <c r="K138" s="89" t="str">
        <f t="shared" si="39"/>
        <v>4043/4044</v>
      </c>
      <c r="L138" s="21" t="str">
        <f>VLOOKUP(A138,'Trips&amp;Operators'!$C$1:$G$99999,5,FALSE)</f>
        <v>HAITHCOX MICHAEL</v>
      </c>
      <c r="M138" s="6">
        <f t="shared" si="40"/>
        <v>2.6840277780138422E-2</v>
      </c>
      <c r="N138" s="7">
        <f t="shared" si="80"/>
        <v>38.650000003399327</v>
      </c>
      <c r="O138" s="7"/>
      <c r="P138" s="7"/>
      <c r="Q138" s="22"/>
      <c r="R138" s="170"/>
      <c r="S138" s="213">
        <f t="shared" si="81"/>
        <v>1</v>
      </c>
      <c r="T138" s="195" t="str">
        <f t="shared" si="43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4"/>
        <v>https://d0f6bd738d7f1b3e5a7ca70fe4ff75f0.us-east-1.aws.found.io/app/kibana#/discover/Steve-Slow-Train-Analysis-(2080s-and-2083s)?_g=(refreshInterval:(display:Off,pause:!f,section:0,value:0),time:(from:'2017-07-04T17:57:39-0600',mode:absolute,to:'2017-07-04T20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197" t="str">
        <f>IF(AA138&lt;VLOOKUP(AG138,Variables!$AC$3:$AD$8,2,FALSE),"Y","N")</f>
        <v>N</v>
      </c>
      <c r="X138" s="197">
        <f t="shared" si="79"/>
        <v>1</v>
      </c>
      <c r="Y138" s="197">
        <f t="shared" si="76"/>
        <v>4.5699999999999998E-2</v>
      </c>
      <c r="Z138" s="197">
        <f t="shared" si="77"/>
        <v>23.3291</v>
      </c>
      <c r="AA138" s="197">
        <f t="shared" si="45"/>
        <v>23.2834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6"/>
        <v>221</v>
      </c>
      <c r="AE138" s="77" t="str">
        <f t="shared" si="47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38" s="74" t="str">
        <f t="shared" si="48"/>
        <v>"C:\Program Files (x86)\AstroGrep\AstroGrep.exe" /e /r /s /spath="%USERPROFILE%\AppData\Local\Temp\OnboardLogs" /stypes="app*4044*20170705*" /stext=" 01:.+((SYSTEM_STATE.+slice.+state.+changed )|(ment ac)|(multiple cpu faults)|(system.+state.+changed )|(\[timeout)|(PRM\|1\|D)|(kpr)|(kdp)|(train st.+moving)|(\|lc)|(penalty))"</v>
      </c>
      <c r="AG138" s="209" t="str">
        <f t="shared" si="49"/>
        <v>EC</v>
      </c>
      <c r="AH138" s="78" t="str">
        <f t="shared" si="59"/>
        <v>"%USERPROFILE%\Documents\GitHub\eaglep3\Utilities\RefineRTDCRunTimes.py" --tripid 221-04 --locoid 4044 --swversion DE.1.0.9.0 --startMP 204:457 --initTime 2017-07-04T18:57:39 --startdatetime 2017-07-04T19:00:46 --delay 1 --endMP 204:233291 --enddatetime 2017-07-04T19:39:25 --enforcementcount 0 &gt;&gt;C:\Users\stu\Documents\GitHub\eaglep3-reporting\EC\2017-07-04-refined-times.txt</v>
      </c>
      <c r="AI138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{"issue":{"subject":"","project_id":79,"tracker_id":40,"status_id":1,"priority_id":2,"assigned_to_id":23,"start_date":"2017-07-04","description":"","custom_fields":[{"id":1,"name":"Subdivision","value":"EC"},{"id":4,"name":"Milepost","value":"23.3291"},{"id":17,"name":"Train ID","value":"221-04"},{"id":16,"name":"Locomotive ID","value":"4044"},{"id":130,"name":"Impact","value":""},{"id":150,"name":"Time of Event (Mountain Time)","value":"19:39:25"},{"id":151,"name":"Denver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61"/>
        <v>start /low /b %USERPROFILE%\Documents\GitHub\eaglep3\Utilities\DownloadLogsFromS3.py --loco 4044 --day 2017-07-04</v>
      </c>
      <c r="AN138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828</v>
      </c>
      <c r="B139" s="7">
        <v>4043</v>
      </c>
      <c r="C139" s="21" t="s">
        <v>202</v>
      </c>
      <c r="D139" s="21" t="s">
        <v>570</v>
      </c>
      <c r="E139" s="13">
        <v>42920.821712962963</v>
      </c>
      <c r="F139" s="13">
        <v>42920.831423611111</v>
      </c>
      <c r="G139" s="7">
        <v>1</v>
      </c>
      <c r="H139" s="21" t="s">
        <v>349</v>
      </c>
      <c r="I139" s="13">
        <v>42920.860810185186</v>
      </c>
      <c r="J139" s="7">
        <v>0</v>
      </c>
      <c r="K139" s="89" t="str">
        <f t="shared" si="39"/>
        <v>4043/4044</v>
      </c>
      <c r="L139" s="21" t="str">
        <f>VLOOKUP(A139,'Trips&amp;Operators'!$C$1:$G$99999,5,FALSE)</f>
        <v>HAITHCOX MICHAEL</v>
      </c>
      <c r="M139" s="6">
        <f t="shared" si="40"/>
        <v>2.9386574075033423E-2</v>
      </c>
      <c r="N139" s="7">
        <f t="shared" si="80"/>
        <v>42.316666668048128</v>
      </c>
      <c r="O139" s="7"/>
      <c r="P139" s="7"/>
      <c r="Q139" s="22"/>
      <c r="R139" s="170"/>
      <c r="S139" s="213">
        <f t="shared" si="81"/>
        <v>1</v>
      </c>
      <c r="T139" s="195" t="str">
        <f t="shared" si="43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4"/>
        <v>https://d0f6bd738d7f1b3e5a7ca70fe4ff75f0.us-east-1.aws.found.io/app/kibana#/discover/Steve-Slow-Train-Analysis-(2080s-and-2083s)?_g=(refreshInterval:(display:Off,pause:!f,section:0,value:0),time:(from:'2017-07-04T18:43:16-0600',mode:absolute,to:'2017-07-04T21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197" t="str">
        <f>IF(AA139&lt;VLOOKUP(AG139,Variables!$AC$3:$AD$8,2,FALSE),"Y","N")</f>
        <v>N</v>
      </c>
      <c r="X139" s="197">
        <f t="shared" si="79"/>
        <v>1</v>
      </c>
      <c r="Y139" s="197">
        <f t="shared" si="76"/>
        <v>23.296900000000001</v>
      </c>
      <c r="Z139" s="197">
        <f t="shared" si="77"/>
        <v>1.49E-2</v>
      </c>
      <c r="AA139" s="197">
        <f t="shared" si="45"/>
        <v>23.282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6"/>
        <v>222</v>
      </c>
      <c r="AE139" s="77" t="str">
        <f t="shared" si="47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39" s="74" t="str">
        <f t="shared" si="48"/>
        <v>"C:\Program Files (x86)\AstroGrep\AstroGrep.exe" /e /r /s /spath="%USERPROFILE%\AppData\Local\Temp\OnboardLogs" /stypes="app*4043*20170705*" /stext=" 02:.+((SYSTEM_STATE.+slice.+state.+changed )|(ment ac)|(multiple cpu faults)|(system.+state.+changed )|(\[timeout)|(PRM\|1\|D)|(kpr)|(kdp)|(train st.+moving)|(\|lc)|(penalty))"</v>
      </c>
      <c r="AG139" s="209" t="str">
        <f t="shared" si="49"/>
        <v>EC</v>
      </c>
      <c r="AH139" s="78" t="str">
        <f t="shared" si="59"/>
        <v>"%USERPROFILE%\Documents\GitHub\eaglep3\Utilities\RefineRTDCRunTimes.py" --tripid 222-04 --locoid 4043 --swversion DE.1.0.9.0 --startMP 204:232969 --initTime 2017-07-04T19:43:16 --startdatetime 2017-07-04T19:57:15 --delay 1 --endMP 204:149 --enddatetime 2017-07-04T20:39:34 --enforcementcount 0 &gt;&gt;C:\Users\stu\Documents\GitHub\eaglep3-reporting\EC\2017-07-04-refined-times.txt</v>
      </c>
      <c r="AI139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{"issue":{"subject":"","project_id":79,"tracker_id":40,"status_id":1,"priority_id":2,"assigned_to_id":23,"start_date":"2017-07-04","description":"","custom_fields":[{"id":1,"name":"Subdivision","value":"EC"},{"id":4,"name":"Milepost","value":"0.0149"},{"id":17,"name":"Train ID","value":"222-04"},{"id":16,"name":"Locomotive ID","value":"4043"},{"id":130,"name":"Impact","value":""},{"id":150,"name":"Time of Event (Mountain Time)","value":"20:39:34"},{"id":151,"name":"Denver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61"/>
        <v>start /low /b %USERPROFILE%\Documents\GitHub\eaglep3\Utilities\DownloadLogsFromS3.py --loco 4043 --day 2017-07-04</v>
      </c>
      <c r="AN139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825</v>
      </c>
      <c r="B140" s="7">
        <v>4046</v>
      </c>
      <c r="C140" s="21" t="s">
        <v>202</v>
      </c>
      <c r="D140" s="21" t="s">
        <v>199</v>
      </c>
      <c r="E140" s="13">
        <v>42920.810069444444</v>
      </c>
      <c r="F140" s="13">
        <v>42920.813032407408</v>
      </c>
      <c r="G140" s="7">
        <v>1</v>
      </c>
      <c r="H140" s="21" t="s">
        <v>542</v>
      </c>
      <c r="I140" s="13">
        <v>42920.839120370372</v>
      </c>
      <c r="J140" s="7">
        <v>0</v>
      </c>
      <c r="K140" s="89" t="str">
        <f t="shared" si="39"/>
        <v>4045/4046</v>
      </c>
      <c r="L140" s="21" t="str">
        <f>VLOOKUP(A140,'Trips&amp;Operators'!$C$1:$G$99999,5,FALSE)</f>
        <v>SMITH MICHAEL</v>
      </c>
      <c r="M140" s="6">
        <f t="shared" si="40"/>
        <v>2.6087962964083999E-2</v>
      </c>
      <c r="N140" s="7">
        <f t="shared" si="80"/>
        <v>37.566666668280959</v>
      </c>
      <c r="O140" s="7"/>
      <c r="P140" s="7"/>
      <c r="Q140" s="22"/>
      <c r="R140" s="170"/>
      <c r="S140" s="213">
        <f t="shared" si="81"/>
        <v>1</v>
      </c>
      <c r="T140" s="195" t="str">
        <f t="shared" si="43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4"/>
        <v>https://d0f6bd738d7f1b3e5a7ca70fe4ff75f0.us-east-1.aws.found.io/app/kibana#/discover/Steve-Slow-Train-Analysis-(2080s-and-2083s)?_g=(refreshInterval:(display:Off,pause:!f,section:0,value:0),time:(from:'2017-07-04T18:26:30-0600',mode:absolute,to:'2017-07-04T21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97" t="str">
        <f>IF(AA140&lt;VLOOKUP(AG140,Variables!$AC$3:$AD$8,2,FALSE),"Y","N")</f>
        <v>N</v>
      </c>
      <c r="X140" s="197">
        <f t="shared" si="79"/>
        <v>1</v>
      </c>
      <c r="Y140" s="197">
        <f t="shared" si="76"/>
        <v>4.5999999999999999E-2</v>
      </c>
      <c r="Z140" s="197">
        <f t="shared" si="77"/>
        <v>23.329499999999999</v>
      </c>
      <c r="AA140" s="197">
        <f t="shared" si="45"/>
        <v>23.2835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6"/>
        <v>223</v>
      </c>
      <c r="AE140" s="77" t="str">
        <f t="shared" si="47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40" s="74" t="str">
        <f t="shared" si="48"/>
        <v>"C:\Program Files (x86)\AstroGrep\AstroGrep.exe" /e /r /s /spath="%USERPROFILE%\AppData\Local\Temp\OnboardLogs" /stypes="app*4046*20170705*" /stext=" 02:.+((SYSTEM_STATE.+slice.+state.+changed )|(ment ac)|(multiple cpu faults)|(system.+state.+changed )|(\[timeout)|(PRM\|1\|D)|(kpr)|(kdp)|(train st.+moving)|(\|lc)|(penalty))"</v>
      </c>
      <c r="AG140" s="209" t="str">
        <f t="shared" si="49"/>
        <v>EC</v>
      </c>
      <c r="AH140" s="78" t="str">
        <f t="shared" si="59"/>
        <v>"%USERPROFILE%\Documents\GitHub\eaglep3\Utilities\RefineRTDCRunTimes.py" --tripid 223-04 --locoid 4046 --swversion DE.1.0.9.0 --startMP 204:460 --initTime 2017-07-04T19:26:30 --startdatetime 2017-07-04T19:30:46 --delay 1 --endMP 204:233295 --enddatetime 2017-07-04T20:08:20 --enforcementcount 0 &gt;&gt;C:\Users\stu\Documents\GitHub\eaglep3-reporting\EC\2017-07-04-refined-times.txt</v>
      </c>
      <c r="AI140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{"issue":{"subject":"","project_id":79,"tracker_id":40,"status_id":1,"priority_id":2,"assigned_to_id":23,"start_date":"2017-07-04","description":"","custom_fields":[{"id":1,"name":"Subdivision","value":"EC"},{"id":4,"name":"Milepost","value":"23.3295"},{"id":17,"name":"Train ID","value":"223-04"},{"id":16,"name":"Locomotive ID","value":"4046"},{"id":130,"name":"Impact","value":""},{"id":150,"name":"Time of Event (Mountain Time)","value":"20:08:20"},{"id":151,"name":"Denver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61"/>
        <v>start /low /b %USERPROFILE%\Documents\GitHub\eaglep3\Utilities\DownloadLogsFromS3.py --loco 4046 --day 2017-07-04</v>
      </c>
      <c r="AN140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831</v>
      </c>
      <c r="B141" s="7">
        <v>4045</v>
      </c>
      <c r="C141" s="21" t="s">
        <v>202</v>
      </c>
      <c r="D141" s="21" t="s">
        <v>909</v>
      </c>
      <c r="E141" s="13">
        <v>42920.84684027778</v>
      </c>
      <c r="F141" s="13">
        <v>42920.852372685185</v>
      </c>
      <c r="G141" s="7">
        <v>0</v>
      </c>
      <c r="H141" s="21" t="s">
        <v>348</v>
      </c>
      <c r="I141" s="13">
        <v>42920.881145833337</v>
      </c>
      <c r="J141" s="7">
        <v>0</v>
      </c>
      <c r="K141" s="89" t="str">
        <f t="shared" ref="K141:K204" si="82">IF(ISEVEN(B141),(B141-1)&amp;"/"&amp;B141,B141&amp;"/"&amp;(B141+1))</f>
        <v>4045/4046</v>
      </c>
      <c r="L141" s="21" t="str">
        <f>VLOOKUP(A141,'Trips&amp;Operators'!$C$1:$G$99999,5,FALSE)</f>
        <v>SMITH MICHAEL</v>
      </c>
      <c r="M141" s="6">
        <f t="shared" ref="M141:M204" si="83">I141-F141</f>
        <v>2.8773148151230998E-2</v>
      </c>
      <c r="N141" s="7">
        <f t="shared" si="80"/>
        <v>41.433333337772638</v>
      </c>
      <c r="O141" s="7"/>
      <c r="P141" s="7"/>
      <c r="Q141" s="22"/>
      <c r="R141" s="170"/>
      <c r="S141" s="213">
        <f t="shared" si="81"/>
        <v>1</v>
      </c>
      <c r="T141" s="195" t="str">
        <f t="shared" ref="T141:T204" si="84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8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-04T19:19:27-0600',mode:absolute,to:'2017-07-04T22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97" t="str">
        <f>IF(AA141&lt;VLOOKUP(AG141,Variables!$AC$3:$AD$8,2,FALSE),"Y","N")</f>
        <v>N</v>
      </c>
      <c r="X141" s="197">
        <f t="shared" si="79"/>
        <v>1</v>
      </c>
      <c r="Y141" s="197">
        <f t="shared" si="76"/>
        <v>23.2959</v>
      </c>
      <c r="Z141" s="197">
        <f t="shared" si="77"/>
        <v>1.4999999999999999E-2</v>
      </c>
      <c r="AA141" s="197">
        <f t="shared" ref="AA141:AA204" si="86">ABS(Z141-Y141)</f>
        <v>23.280899999999999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87">VALUE(LEFT(A141,LEN(A141)-3))</f>
        <v>224</v>
      </c>
      <c r="AE141" s="77" t="str">
        <f t="shared" ref="AE141:AE204" si="8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41" s="74" t="str">
        <f t="shared" ref="AF141:AF204" si="8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/stypes="app*4045*20170705*"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90">DetSubdiv(A141)</f>
        <v>EC</v>
      </c>
      <c r="AH141" s="78" t="str">
        <f t="shared" si="59"/>
        <v>"%USERPROFILE%\Documents\GitHub\eaglep3\Utilities\RefineRTDCRunTimes.py" --tripid 224-04 --locoid 4045 --swversion DE.1.0.9.0 --startMP 204:232959 --initTime 2017-07-04T20:19:27 --startdatetime 2017-07-04T20:27:25 --delay 0 --endMP 204:150 --enddatetime 2017-07-04T21:08:51 --enforcementcount 0 &gt;&gt;C:\Users\stu\Documents\GitHub\eaglep3-reporting\EC\2017-07-04-refined-times.txt</v>
      </c>
      <c r="AI141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ID","value":"224-04"},{"id":16,"name":"Locomotive ID","value":"4045"},{"id":130,"name":"Impact","value":""},{"id":150,"name":"Time of Event (Mountain Time)","value":"21:08:51"},{"id":151,"name":"Denver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61"/>
        <v>start /low /b %USERPROFILE%\Documents\GitHub\eaglep3\Utilities\DownloadLogsFromS3.py --loco 4045 --day 2017-07-04</v>
      </c>
      <c r="AN141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829</v>
      </c>
      <c r="B142" s="7">
        <v>4024</v>
      </c>
      <c r="C142" s="21" t="s">
        <v>202</v>
      </c>
      <c r="D142" s="21" t="s">
        <v>352</v>
      </c>
      <c r="E142" s="13">
        <v>42920.832800925928</v>
      </c>
      <c r="F142" s="13">
        <v>42920.834097222221</v>
      </c>
      <c r="G142" s="7">
        <v>1</v>
      </c>
      <c r="H142" s="21" t="s">
        <v>881</v>
      </c>
      <c r="I142" s="13">
        <v>42920.860914351855</v>
      </c>
      <c r="J142" s="7">
        <v>0</v>
      </c>
      <c r="K142" s="89" t="str">
        <f t="shared" si="82"/>
        <v>4023/4024</v>
      </c>
      <c r="L142" s="21" t="str">
        <f>VLOOKUP(A142,'Trips&amp;Operators'!$C$1:$G$99999,5,FALSE)</f>
        <v>FORTUNATO FRANK</v>
      </c>
      <c r="M142" s="6">
        <f t="shared" si="83"/>
        <v>2.6817129633855075E-2</v>
      </c>
      <c r="N142" s="7">
        <f t="shared" si="80"/>
        <v>38.616666672751307</v>
      </c>
      <c r="O142" s="7"/>
      <c r="P142" s="7"/>
      <c r="Q142" s="22"/>
      <c r="R142" s="170"/>
      <c r="S142" s="213">
        <f t="shared" si="81"/>
        <v>1</v>
      </c>
      <c r="T142" s="195" t="str">
        <f t="shared" si="8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85"/>
        <v>https://d0f6bd738d7f1b3e5a7ca70fe4ff75f0.us-east-1.aws.found.io/app/kibana#/discover/Steve-Slow-Train-Analysis-(2080s-and-2083s)?_g=(refreshInterval:(display:Off,pause:!f,section:0,value:0),time:(from:'2017-07-04T18:59:14-0600',mode:absolute,to:'2017-07-04T21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2" s="197" t="str">
        <f>IF(AA142&lt;VLOOKUP(AG142,Variables!$AC$3:$AD$8,2,FALSE),"Y","N")</f>
        <v>N</v>
      </c>
      <c r="X142" s="197">
        <f t="shared" si="79"/>
        <v>1</v>
      </c>
      <c r="Y142" s="197">
        <f t="shared" si="76"/>
        <v>4.5100000000000001E-2</v>
      </c>
      <c r="Z142" s="197">
        <f t="shared" si="77"/>
        <v>23.332000000000001</v>
      </c>
      <c r="AA142" s="197">
        <f t="shared" si="86"/>
        <v>23.286899999999999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87"/>
        <v>225</v>
      </c>
      <c r="AE142" s="77" t="str">
        <f t="shared" si="88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142" s="74" t="str">
        <f t="shared" si="89"/>
        <v>"C:\Program Files (x86)\AstroGrep\AstroGrep.exe" /e /r /s /spath="%USERPROFILE%\AppData\Local\Temp\OnboardLogs" /stypes="app*4024*20170705*" /stext=" 02:.+((SYSTEM_STATE.+slice.+state.+changed )|(ment ac)|(multiple cpu faults)|(system.+state.+changed )|(\[timeout)|(PRM\|1\|D)|(kpr)|(kdp)|(train st.+moving)|(\|lc)|(penalty))"</v>
      </c>
      <c r="AG142" s="209" t="str">
        <f t="shared" si="90"/>
        <v>EC</v>
      </c>
      <c r="AH142" s="78" t="str">
        <f t="shared" si="59"/>
        <v>"%USERPROFILE%\Documents\GitHub\eaglep3\Utilities\RefineRTDCRunTimes.py" --tripid 225-04 --locoid 4024 --swversion DE.1.0.9.0 --startMP 204:451 --initTime 2017-07-04T19:59:14 --startdatetime 2017-07-04T20:01:06 --delay 1 --endMP 204:233320 --enddatetime 2017-07-04T20:39:43 --enforcementcount 0 &gt;&gt;C:\Users\stu\Documents\GitHub\eaglep3-reporting\EC\2017-07-04-refined-times.txt</v>
      </c>
      <c r="AI142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{"issue":{"subject":"","project_id":79,"tracker_id":40,"status_id":1,"priority_id":2,"assigned_to_id":23,"start_date":"2017-07-04","description":"","custom_fields":[{"id":1,"name":"Subdivision","value":"EC"},{"id":4,"name":"Milepost","value":"23.332"},{"id":17,"name":"Train ID","value":"225-04"},{"id":16,"name":"Locomotive ID","value":"4024"},{"id":130,"name":"Impact","value":""},{"id":150,"name":"Time of Event (Mountain Time)","value":"20:39:43"},{"id":151,"name":"Denver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1"/>
        <v>start /low /b %USERPROFILE%\Documents\GitHub\eaglep3\Utilities\DownloadLogsFromS3.py --loco 4024 --day 2017-07-04</v>
      </c>
      <c r="AN142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645</v>
      </c>
      <c r="B143" s="7">
        <v>4023</v>
      </c>
      <c r="C143" s="21" t="s">
        <v>202</v>
      </c>
      <c r="D143" s="21" t="s">
        <v>910</v>
      </c>
      <c r="E143" s="13">
        <v>42920.885694444441</v>
      </c>
      <c r="F143" s="13">
        <v>42920.887129629627</v>
      </c>
      <c r="G143" s="7">
        <v>1</v>
      </c>
      <c r="H143" s="21" t="s">
        <v>359</v>
      </c>
      <c r="I143" s="13">
        <v>42920.906944444447</v>
      </c>
      <c r="J143" s="7">
        <v>0</v>
      </c>
      <c r="K143" s="89" t="str">
        <f t="shared" si="82"/>
        <v>4023/4024</v>
      </c>
      <c r="L143" s="21" t="str">
        <f>VLOOKUP(A143,'Trips&amp;Operators'!$C$1:$G$99999,5,FALSE)</f>
        <v>FORTUNATO FRANK</v>
      </c>
      <c r="M143" s="6">
        <f t="shared" si="83"/>
        <v>1.9814814819255844E-2</v>
      </c>
      <c r="N143" s="7"/>
      <c r="O143" s="7"/>
      <c r="P143" s="7">
        <f>24*60*SUM($M143:$M143)</f>
        <v>28.533333339728415</v>
      </c>
      <c r="Q143" s="22"/>
      <c r="R143" s="170" t="s">
        <v>1034</v>
      </c>
      <c r="S143" s="213">
        <f t="shared" si="81"/>
        <v>1</v>
      </c>
      <c r="T143" s="195" t="str">
        <f t="shared" si="8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85"/>
        <v>https://d0f6bd738d7f1b3e5a7ca70fe4ff75f0.us-east-1.aws.found.io/app/kibana#/discover/Steve-Slow-Train-Analysis-(2080s-and-2083s)?_g=(refreshInterval:(display:Off,pause:!f,section:0,value:0),time:(from:'2017-07-04T20:15:24-0600',mode:absolute,to:'2017-07-04T22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3" s="197" t="str">
        <f>IF(AA143&lt;VLOOKUP(AG143,Variables!$AC$3:$AD$8,2,FALSE),"Y","N")</f>
        <v>Y</v>
      </c>
      <c r="X143" s="197">
        <f t="shared" si="79"/>
        <v>1</v>
      </c>
      <c r="Y143" s="197">
        <f t="shared" si="76"/>
        <v>12.66</v>
      </c>
      <c r="Z143" s="197">
        <f t="shared" si="77"/>
        <v>1.47E-2</v>
      </c>
      <c r="AA143" s="197">
        <f t="shared" si="86"/>
        <v>12.645300000000001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87"/>
        <v>226</v>
      </c>
      <c r="AE143" s="77" t="str">
        <f t="shared" si="88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43" s="74" t="str">
        <f t="shared" si="89"/>
        <v>"C:\Program Files (x86)\AstroGrep\AstroGrep.exe" /e /r /s /spath="%USERPROFILE%\AppData\Local\Temp\OnboardLogs" /stypes="app*4023*20170705*" /stext=" 03:.+((SYSTEM_STATE.+slice.+state.+changed )|(ment ac)|(multiple cpu faults)|(system.+state.+changed )|(\[timeout)|(PRM\|1\|D)|(kpr)|(kdp)|(train st.+moving)|(\|lc)|(penalty))"</v>
      </c>
      <c r="AG143" s="209" t="str">
        <f t="shared" si="90"/>
        <v>EC</v>
      </c>
      <c r="AH143" s="78" t="str">
        <f t="shared" si="59"/>
        <v>"%USERPROFILE%\Documents\GitHub\eaglep3\Utilities\RefineRTDCRunTimes.py" --tripid 226-04 --locoid 4023 --swversion DE.1.0.9.0 --startMP 204:126600 --initTime 2017-07-04T21:15:24 --startdatetime 2017-07-04T21:17:28 --delay 1 --endMP 204:147 --enddatetime 2017-07-04T21:46:00 --enforcementcount 0 &gt;&gt;C:\Users\stu\Documents\GitHub\eaglep3-reporting\EC\2017-07-04-refined-times.txt</v>
      </c>
      <c r="AI143" s="96" t="str">
        <f t="shared" si="60"/>
        <v>echo {"issue":{"subject":"Onboard in-route failure (re: 49669)","project_id":79,"tracker_id":40,"status_id":1,"priority_id":2,"assigned_to_id":23,"start_date":"2017-07-04","description":"","custom_fields":[{"id":1,"name":"Subdivision","value":"EC"},{"id":4,"name":"Milepost","value":"0.0147"},{"id":17,"name":"Train ID","value":"226-04"},{"id":16,"name":"Locomotive ID","value":"4023"},{"id":130,"name":"Impact","value":""},{"id":150,"name":"Time of Event (Mountain Time)","value":"21:46:00"},{"id":151,"name":"Denver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1"/>
        <v>start /low /b %USERPROFILE%\Documents\GitHub\eaglep3\Utilities\DownloadLogsFromS3.py --loco 4023 --day 2017-07-04</v>
      </c>
      <c r="AN143" s="151" t="str">
        <f t="shared" si="62"/>
        <v>echo {"issue":{"subject":"Onboard in-route failure (re: 49669)","project_id":30,"tracker_id":4,"status_id":1,"priority_id":1,"assigned_to_id":10,"start_date":"2017-07-05","description":"","custom_fields":[{"id":30,"name":"Category","value":"Issue"},{"id":3,"name":"Functional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832</v>
      </c>
      <c r="B144" s="7">
        <v>4050</v>
      </c>
      <c r="C144" s="21" t="s">
        <v>202</v>
      </c>
      <c r="D144" s="21" t="s">
        <v>199</v>
      </c>
      <c r="E144" s="13">
        <v>42920.852789351855</v>
      </c>
      <c r="F144" s="13">
        <v>42920.854895833334</v>
      </c>
      <c r="G144" s="7">
        <v>2</v>
      </c>
      <c r="H144" s="21" t="s">
        <v>865</v>
      </c>
      <c r="I144" s="13">
        <v>42920.882268518515</v>
      </c>
      <c r="J144" s="7">
        <v>0</v>
      </c>
      <c r="K144" s="89" t="str">
        <f t="shared" si="82"/>
        <v>4049/4050</v>
      </c>
      <c r="L144" s="21" t="str">
        <f>VLOOKUP(A144,'Trips&amp;Operators'!$C$1:$G$99999,5,FALSE)</f>
        <v>NELSON ARIANE</v>
      </c>
      <c r="M144" s="6">
        <f t="shared" si="83"/>
        <v>2.7372685181035195E-2</v>
      </c>
      <c r="N144" s="7">
        <f t="shared" ref="N144:N157" si="91">24*60*SUM($M144:$M144)</f>
        <v>39.41666666069068</v>
      </c>
      <c r="O144" s="7"/>
      <c r="P144" s="7"/>
      <c r="Q144" s="22"/>
      <c r="R144" s="170"/>
      <c r="S144" s="213">
        <f t="shared" si="81"/>
        <v>1</v>
      </c>
      <c r="T144" s="195" t="str">
        <f t="shared" si="8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85"/>
        <v>https://d0f6bd738d7f1b3e5a7ca70fe4ff75f0.us-east-1.aws.found.io/app/kibana#/discover/Steve-Slow-Train-Analysis-(2080s-and-2083s)?_g=(refreshInterval:(display:Off,pause:!f,section:0,value:0),time:(from:'2017-07-04T19:28:01-0600',mode:absolute,to:'2017-07-04T22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197" t="str">
        <f>IF(AA144&lt;VLOOKUP(AG144,Variables!$AC$3:$AD$8,2,FALSE),"Y","N")</f>
        <v>N</v>
      </c>
      <c r="X144" s="197">
        <f t="shared" si="79"/>
        <v>1</v>
      </c>
      <c r="Y144" s="197">
        <f t="shared" si="76"/>
        <v>4.5999999999999999E-2</v>
      </c>
      <c r="Z144" s="197">
        <f t="shared" si="77"/>
        <v>23.327400000000001</v>
      </c>
      <c r="AA144" s="197">
        <f t="shared" si="86"/>
        <v>23.281400000000001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87"/>
        <v>227</v>
      </c>
      <c r="AE144" s="77" t="str">
        <f t="shared" si="88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44" s="74" t="str">
        <f t="shared" si="89"/>
        <v>"C:\Program Files (x86)\AstroGrep\AstroGrep.exe" /e /r /s /spath="%USERPROFILE%\AppData\Local\Temp\OnboardLogs" /stypes="app*4050*20170705*" /stext=" 03:.+((SYSTEM_STATE.+slice.+state.+changed )|(ment ac)|(multiple cpu faults)|(system.+state.+changed )|(\[timeout)|(PRM\|1\|D)|(kpr)|(kdp)|(train st.+moving)|(\|lc)|(penalty))"</v>
      </c>
      <c r="AG144" s="209" t="str">
        <f t="shared" si="90"/>
        <v>EC</v>
      </c>
      <c r="AH144" s="78" t="str">
        <f t="shared" si="59"/>
        <v>"%USERPROFILE%\Documents\GitHub\eaglep3\Utilities\RefineRTDCRunTimes.py" --tripid 227-04 --locoid 4050 --swversion DE.1.0.9.0 --startMP 204:460 --initTime 2017-07-04T20:28:01 --startdatetime 2017-07-04T20:31:03 --delay 2 --endMP 204:233274 --enddatetime 2017-07-04T21:10:28 --enforcementcount 0 &gt;&gt;C:\Users\stu\Documents\GitHub\eaglep3-reporting\EC\2017-07-04-refined-times.txt</v>
      </c>
      <c r="AI144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{"issue":{"subject":"","project_id":79,"tracker_id":40,"status_id":1,"priority_id":2,"assigned_to_id":23,"start_date":"2017-07-04","description":"","custom_fields":[{"id":1,"name":"Subdivision","value":"EC"},{"id":4,"name":"Milepost","value":"23.3274"},{"id":17,"name":"Train ID","value":"227-04"},{"id":16,"name":"Locomotive ID","value":"4050"},{"id":130,"name":"Impact","value":""},{"id":150,"name":"Time of Event (Mountain Time)","value":"21:10:28"},{"id":151,"name":"Denver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1"/>
        <v>start /low /b %USERPROFILE%\Documents\GitHub\eaglep3\Utilities\DownloadLogsFromS3.py --loco 4050 --day 2017-07-04</v>
      </c>
      <c r="AN144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837</v>
      </c>
      <c r="B145" s="7">
        <v>4049</v>
      </c>
      <c r="C145" s="21" t="s">
        <v>202</v>
      </c>
      <c r="D145" s="21" t="s">
        <v>570</v>
      </c>
      <c r="E145" s="13">
        <v>42920.891168981485</v>
      </c>
      <c r="F145" s="13">
        <v>42920.893935185188</v>
      </c>
      <c r="G145" s="7">
        <v>2</v>
      </c>
      <c r="H145" s="21" t="s">
        <v>435</v>
      </c>
      <c r="I145" s="13">
        <v>42920.925810185188</v>
      </c>
      <c r="J145" s="7">
        <v>0</v>
      </c>
      <c r="K145" s="89" t="str">
        <f t="shared" si="82"/>
        <v>4049/4050</v>
      </c>
      <c r="L145" s="21" t="str">
        <f>VLOOKUP(A145,'Trips&amp;Operators'!$C$1:$G$99999,5,FALSE)</f>
        <v>NELSON ARIANE</v>
      </c>
      <c r="M145" s="6">
        <f t="shared" si="83"/>
        <v>3.1875000000582077E-2</v>
      </c>
      <c r="N145" s="7">
        <f t="shared" si="91"/>
        <v>45.90000000083819</v>
      </c>
      <c r="O145" s="7"/>
      <c r="P145" s="7"/>
      <c r="Q145" s="22"/>
      <c r="R145" s="170"/>
      <c r="S145" s="213">
        <f t="shared" si="81"/>
        <v>1</v>
      </c>
      <c r="T145" s="195" t="str">
        <f t="shared" si="8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85"/>
        <v>https://d0f6bd738d7f1b3e5a7ca70fe4ff75f0.us-east-1.aws.found.io/app/kibana#/discover/Steve-Slow-Train-Analysis-(2080s-and-2083s)?_g=(refreshInterval:(display:Off,pause:!f,section:0,value:0),time:(from:'2017-07-04T20:23:17-0600',mode:absolute,to:'2017-07-04T23:13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197" t="str">
        <f>IF(AA145&lt;VLOOKUP(AG145,Variables!$AC$3:$AD$8,2,FALSE),"Y","N")</f>
        <v>N</v>
      </c>
      <c r="X145" s="197">
        <f t="shared" si="79"/>
        <v>1</v>
      </c>
      <c r="Y145" s="197">
        <f t="shared" si="76"/>
        <v>23.296900000000001</v>
      </c>
      <c r="Z145" s="197">
        <f t="shared" si="77"/>
        <v>1.5599999999999999E-2</v>
      </c>
      <c r="AA145" s="197">
        <f t="shared" si="86"/>
        <v>23.281300000000002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87"/>
        <v>228</v>
      </c>
      <c r="AE145" s="77" t="str">
        <f t="shared" si="88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145" s="74" t="str">
        <f t="shared" si="89"/>
        <v>"C:\Program Files (x86)\AstroGrep\AstroGrep.exe" /e /r /s /spath="%USERPROFILE%\AppData\Local\Temp\OnboardLogs" /stypes="app*4049*20170705*" /stext=" 04:.+((SYSTEM_STATE.+slice.+state.+changed )|(ment ac)|(multiple cpu faults)|(system.+state.+changed )|(\[timeout)|(PRM\|1\|D)|(kpr)|(kdp)|(train st.+moving)|(\|lc)|(penalty))"</v>
      </c>
      <c r="AG145" s="209" t="str">
        <f t="shared" si="90"/>
        <v>EC</v>
      </c>
      <c r="AH145" s="78" t="str">
        <f t="shared" si="59"/>
        <v>"%USERPROFILE%\Documents\GitHub\eaglep3\Utilities\RefineRTDCRunTimes.py" --tripid 228-04 --locoid 4049 --swversion DE.1.0.9.0 --startMP 204:232969 --initTime 2017-07-04T21:23:17 --startdatetime 2017-07-04T21:27:16 --delay 2 --endMP 204:156 --enddatetime 2017-07-04T22:13:10 --enforcementcount 0 &gt;&gt;C:\Users\stu\Documents\GitHub\eaglep3-reporting\EC\2017-07-04-refined-times.txt</v>
      </c>
      <c r="AI145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{"issue":{"subject":"","project_id":79,"tracker_id":40,"status_id":1,"priority_id":2,"assigned_to_id":23,"start_date":"2017-07-04","description":"","custom_fields":[{"id":1,"name":"Subdivision","value":"EC"},{"id":4,"name":"Milepost","value":"0.0156"},{"id":17,"name":"Train ID","value":"228-04"},{"id":16,"name":"Locomotive ID","value":"4049"},{"id":130,"name":"Impact","value":""},{"id":150,"name":"Time of Event (Mountain Time)","value":"22:13:10"},{"id":151,"name":"Denver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1"/>
        <v>start /low /b %USERPROFILE%\Documents\GitHub\eaglep3\Utilities\DownloadLogsFromS3.py --loco 4049 --day 2017-07-04</v>
      </c>
      <c r="AN145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04:13:10"},{"id":29,"name":"Sharepoint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834</v>
      </c>
      <c r="B146" s="7">
        <v>4044</v>
      </c>
      <c r="C146" s="21" t="s">
        <v>202</v>
      </c>
      <c r="D146" s="21" t="s">
        <v>354</v>
      </c>
      <c r="E146" s="13">
        <v>42920.862523148149</v>
      </c>
      <c r="F146" s="13">
        <v>42920.875671296293</v>
      </c>
      <c r="G146" s="7">
        <v>1</v>
      </c>
      <c r="H146" s="21" t="s">
        <v>868</v>
      </c>
      <c r="I146" s="13">
        <v>42920.90353009259</v>
      </c>
      <c r="J146" s="7">
        <v>0</v>
      </c>
      <c r="K146" s="89" t="str">
        <f t="shared" si="82"/>
        <v>4043/4044</v>
      </c>
      <c r="L146" s="21" t="str">
        <f>VLOOKUP(A146,'Trips&amp;Operators'!$C$1:$G$99999,5,FALSE)</f>
        <v>HAITHCOX MICHAEL</v>
      </c>
      <c r="M146" s="6">
        <f t="shared" si="83"/>
        <v>2.7858796296641231E-2</v>
      </c>
      <c r="N146" s="7">
        <f t="shared" si="91"/>
        <v>40.116666667163372</v>
      </c>
      <c r="O146" s="7"/>
      <c r="P146" s="7"/>
      <c r="Q146" s="22"/>
      <c r="R146" s="170"/>
      <c r="S146" s="213">
        <f t="shared" si="81"/>
        <v>1</v>
      </c>
      <c r="T146" s="195" t="str">
        <f t="shared" si="8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85"/>
        <v>https://d0f6bd738d7f1b3e5a7ca70fe4ff75f0.us-east-1.aws.found.io/app/kibana#/discover/Steve-Slow-Train-Analysis-(2080s-and-2083s)?_g=(refreshInterval:(display:Off,pause:!f,section:0,value:0),time:(from:'2017-07-04T19:42:02-0600',mode:absolute,to:'2017-07-04T22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97" t="str">
        <f>IF(AA146&lt;VLOOKUP(AG146,Variables!$AC$3:$AD$8,2,FALSE),"Y","N")</f>
        <v>N</v>
      </c>
      <c r="X146" s="197">
        <f t="shared" si="79"/>
        <v>1</v>
      </c>
      <c r="Y146" s="197">
        <f t="shared" si="76"/>
        <v>4.53E-2</v>
      </c>
      <c r="Z146" s="197">
        <f t="shared" si="77"/>
        <v>23.327200000000001</v>
      </c>
      <c r="AA146" s="197">
        <f t="shared" si="86"/>
        <v>23.2819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87"/>
        <v>229</v>
      </c>
      <c r="AE146" s="77" t="str">
        <f t="shared" si="88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46" s="74" t="str">
        <f t="shared" si="89"/>
        <v>"C:\Program Files (x86)\AstroGrep\AstroGrep.exe" /e /r /s /spath="%USERPROFILE%\AppData\Local\Temp\OnboardLogs" /stypes="app*4044*20170705*" /stext=" 03:.+((SYSTEM_STATE.+slice.+state.+changed )|(ment ac)|(multiple cpu faults)|(system.+state.+changed )|(\[timeout)|(PRM\|1\|D)|(kpr)|(kdp)|(train st.+moving)|(\|lc)|(penalty))"</v>
      </c>
      <c r="AG146" s="209" t="str">
        <f t="shared" si="90"/>
        <v>EC</v>
      </c>
      <c r="AH146" s="78" t="str">
        <f t="shared" si="59"/>
        <v>"%USERPROFILE%\Documents\GitHub\eaglep3\Utilities\RefineRTDCRunTimes.py" --tripid 229-04 --locoid 4044 --swversion DE.1.0.9.0 --startMP 204:453 --initTime 2017-07-04T20:42:02 --startdatetime 2017-07-04T21:00:58 --delay 1 --endMP 204:233272 --enddatetime 2017-07-04T21:41:05 --enforcementcount 0 &gt;&gt;C:\Users\stu\Documents\GitHub\eaglep3-reporting\EC\2017-07-04-refined-times.txt</v>
      </c>
      <c r="AI146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{"issue":{"subject":"","project_id":79,"tracker_id":40,"status_id":1,"priority_id":2,"assigned_to_id":23,"start_date":"2017-07-04","description":"","custom_fields":[{"id":1,"name":"Subdivision","value":"EC"},{"id":4,"name":"Milepost","value":"23.3272"},{"id":17,"name":"Train ID","value":"229-04"},{"id":16,"name":"Locomotive ID","value":"4044"},{"id":130,"name":"Impact","value":""},{"id":150,"name":"Time of Event (Mountain Time)","value":"21:41:05"},{"id":151,"name":"Denver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1"/>
        <v>start /low /b %USERPROFILE%\Documents\GitHub\eaglep3\Utilities\DownloadLogsFromS3.py --loco 4044 --day 2017-07-04</v>
      </c>
      <c r="AN146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838</v>
      </c>
      <c r="B147" s="7">
        <v>4043</v>
      </c>
      <c r="C147" s="21" t="s">
        <v>202</v>
      </c>
      <c r="D147" s="21" t="s">
        <v>911</v>
      </c>
      <c r="E147" s="13">
        <v>42920.904780092591</v>
      </c>
      <c r="F147" s="13">
        <v>42920.914768518516</v>
      </c>
      <c r="G147" s="7">
        <v>1</v>
      </c>
      <c r="H147" s="21" t="s">
        <v>348</v>
      </c>
      <c r="I147" s="13">
        <v>42920.946469907409</v>
      </c>
      <c r="J147" s="7">
        <v>0</v>
      </c>
      <c r="K147" s="89" t="str">
        <f t="shared" si="82"/>
        <v>4043/4044</v>
      </c>
      <c r="L147" s="21" t="str">
        <f>VLOOKUP(A147,'Trips&amp;Operators'!$C$1:$G$99999,5,FALSE)</f>
        <v>HAITHCOX MICHAEL</v>
      </c>
      <c r="M147" s="6">
        <f t="shared" si="83"/>
        <v>3.1701388892543036E-2</v>
      </c>
      <c r="N147" s="7">
        <f t="shared" si="91"/>
        <v>45.650000005261973</v>
      </c>
      <c r="O147" s="7"/>
      <c r="P147" s="7"/>
      <c r="Q147" s="22"/>
      <c r="R147" s="170"/>
      <c r="S147" s="213">
        <f t="shared" si="81"/>
        <v>1</v>
      </c>
      <c r="T147" s="195" t="str">
        <f t="shared" si="8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85"/>
        <v>https://d0f6bd738d7f1b3e5a7ca70fe4ff75f0.us-east-1.aws.found.io/app/kibana#/discover/Steve-Slow-Train-Analysis-(2080s-and-2083s)?_g=(refreshInterval:(display:Off,pause:!f,section:0,value:0),time:(from:'2017-07-04T20:42:53-0600',mode:absolute,to:'2017-07-04T23:42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97" t="str">
        <f>IF(AA147&lt;VLOOKUP(AG147,Variables!$AC$3:$AD$8,2,FALSE),"Y","N")</f>
        <v>N</v>
      </c>
      <c r="X147" s="197">
        <f t="shared" si="79"/>
        <v>1</v>
      </c>
      <c r="Y147" s="197">
        <f t="shared" si="76"/>
        <v>23.295200000000001</v>
      </c>
      <c r="Z147" s="197">
        <f t="shared" si="77"/>
        <v>1.4999999999999999E-2</v>
      </c>
      <c r="AA147" s="197">
        <f t="shared" si="86"/>
        <v>23.280200000000001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87"/>
        <v>230</v>
      </c>
      <c r="AE147" s="77" t="str">
        <f t="shared" si="88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47" s="74" t="str">
        <f t="shared" si="89"/>
        <v>"C:\Program Files (x86)\AstroGrep\AstroGrep.exe" /e /r /s /spath="%USERPROFILE%\AppData\Local\Temp\OnboardLogs" /stypes="app*4043*20170705*" /stext=" 04:.+((SYSTEM_STATE.+slice.+state.+changed )|(ment ac)|(multiple cpu faults)|(system.+state.+changed )|(\[timeout)|(PRM\|1\|D)|(kpr)|(kdp)|(train st.+moving)|(\|lc)|(penalty))"</v>
      </c>
      <c r="AG147" s="209" t="str">
        <f t="shared" si="90"/>
        <v>EC</v>
      </c>
      <c r="AH147" s="78" t="str">
        <f t="shared" si="59"/>
        <v>"%USERPROFILE%\Documents\GitHub\eaglep3\Utilities\RefineRTDCRunTimes.py" --tripid 230-04 --locoid 4043 --swversion DE.1.0.9.0 --startMP 204:232952 --initTime 2017-07-04T21:42:53 --startdatetime 2017-07-04T21:57:16 --delay 1 --endMP 204:150 --enddatetime 2017-07-04T22:42:55 --enforcementcount 0 &gt;&gt;C:\Users\stu\Documents\GitHub\eaglep3-reporting\EC\2017-07-04-refined-times.txt</v>
      </c>
      <c r="AI147" s="96" t="str">
        <f t="shared" si="60"/>
        <v>echo {"issue":{"subject":"","project_id":79,"tracker_id":40,"status_id":1,"priority_id":2,"assigned_to_id":23,"start_date":"2017-07-04","description":"","custom_fields":[{"id":1,"name":"Subdivision","value":"EC"},{"id":4,"name":"Milepost","value":"0.015"},{"id":17,"name":"Train ID","value":"230-04"},{"id":16,"name":"Locomotive ID","value":"4043"},{"id":130,"name":"Impact","value":""},{"id":150,"name":"Time of Event (Mountain Time)","value":"22:42:55"},{"id":151,"name":"Denver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1"/>
        <v>start /low /b %USERPROFILE%\Documents\GitHub\eaglep3\Utilities\DownloadLogsFromS3.py --loco 4043 --day 2017-07-04</v>
      </c>
      <c r="AN147" s="151" t="str">
        <f t="shared" si="6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04:42:55"},{"id":29,"name":"Sharepoint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836</v>
      </c>
      <c r="B148" s="7">
        <v>4046</v>
      </c>
      <c r="C148" s="21" t="s">
        <v>202</v>
      </c>
      <c r="D148" s="21" t="s">
        <v>487</v>
      </c>
      <c r="E148" s="13">
        <v>42920.887141203704</v>
      </c>
      <c r="F148" s="13">
        <v>42920.896365740744</v>
      </c>
      <c r="G148" s="7">
        <v>1</v>
      </c>
      <c r="H148" s="21" t="s">
        <v>496</v>
      </c>
      <c r="I148" s="13">
        <v>42920.923171296294</v>
      </c>
      <c r="J148" s="7">
        <v>0</v>
      </c>
      <c r="K148" s="89" t="str">
        <f t="shared" si="82"/>
        <v>4045/4046</v>
      </c>
      <c r="L148" s="21" t="str">
        <f>VLOOKUP(A148,'Trips&amp;Operators'!$C$1:$G$99999,5,FALSE)</f>
        <v>SMITH MICHAEL</v>
      </c>
      <c r="M148" s="6">
        <f t="shared" si="83"/>
        <v>2.6805555549799465E-2</v>
      </c>
      <c r="N148" s="7">
        <f t="shared" si="91"/>
        <v>38.599999991711229</v>
      </c>
      <c r="O148" s="7"/>
      <c r="P148" s="7"/>
      <c r="Q148" s="22"/>
      <c r="R148" s="170"/>
      <c r="S148" s="213">
        <f t="shared" si="81"/>
        <v>1</v>
      </c>
      <c r="T148" s="195" t="str">
        <f t="shared" si="8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85"/>
        <v>https://d0f6bd738d7f1b3e5a7ca70fe4ff75f0.us-east-1.aws.found.io/app/kibana#/discover/Steve-Slow-Train-Analysis-(2080s-and-2083s)?_g=(refreshInterval:(display:Off,pause:!f,section:0,value:0),time:(from:'2017-07-04T20:17:29-0600',mode:absolute,to:'2017-07-04T23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97" t="str">
        <f>IF(AA148&lt;VLOOKUP(AG148,Variables!$AC$3:$AD$8,2,FALSE),"Y","N")</f>
        <v>N</v>
      </c>
      <c r="X148" s="197">
        <f t="shared" si="79"/>
        <v>1</v>
      </c>
      <c r="Y148" s="197">
        <f t="shared" si="76"/>
        <v>4.7500000000000001E-2</v>
      </c>
      <c r="Z148" s="197">
        <f t="shared" si="77"/>
        <v>23.3293</v>
      </c>
      <c r="AA148" s="197">
        <f t="shared" si="86"/>
        <v>23.2818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87"/>
        <v>231</v>
      </c>
      <c r="AE148" s="77" t="str">
        <f t="shared" si="88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48" s="74" t="str">
        <f t="shared" si="89"/>
        <v>"C:\Program Files (x86)\AstroGrep\AstroGrep.exe" /e /r /s /spath="%USERPROFILE%\AppData\Local\Temp\OnboardLogs" /stypes="app*4046*20170705*" /stext=" 04:.+((SYSTEM_STATE.+slice.+state.+changed )|(ment ac)|(multiple cpu faults)|(system.+state.+changed )|(\[timeout)|(PRM\|1\|D)|(kpr)|(kdp)|(train st.+moving)|(\|lc)|(penalty))"</v>
      </c>
      <c r="AG148" s="209" t="str">
        <f t="shared" si="90"/>
        <v>EC</v>
      </c>
      <c r="AH148" s="78" t="str">
        <f t="shared" ref="AH148:AH212" si="92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231-04 --locoid 4046 --swversion DE.1.0.9.0 --startMP 204:475 --initTime 2017-07-04T21:17:29 --startdatetime 2017-07-04T21:30:46 --delay 1 --endMP 204:233293 --enddatetime 2017-07-04T22:09:22 --enforcementcount 0 &gt;&gt;C:\Users\stu\Documents\GitHub\eaglep3-reporting\EC\2017-07-04-refined-times.txt</v>
      </c>
      <c r="AI148" s="96" t="str">
        <f t="shared" ref="AI148:AI212" si="93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{"issue":{"subject":"","project_id":79,"tracker_id":40,"status_id":1,"priority_id":2,"assigned_to_id":23,"start_date":"2017-07-04","description":"","custom_fields":[{"id":1,"name":"Subdivision","value":"EC"},{"id":4,"name":"Milepost","value":"23.3293"},{"id":17,"name":"Train ID","value":"231-04"},{"id":16,"name":"Locomotive ID","value":"4046"},{"id":130,"name":"Impact","value":""},{"id":150,"name":"Time of Event (Mountain Time)","value":"22:09:22"},{"id":151,"name":"Denver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ref="AM148:AM212" si="94">"start /low /b "&amp;dls3logs&amp;" --loco "&amp;B148&amp;" --day "&amp;TEXT(F148,"YYYY-MM-DD")</f>
        <v>start /low /b %USERPROFILE%\Documents\GitHub\eaglep3\Utilities\DownloadLogsFromS3.py --loco 4046 --day 2017-07-04</v>
      </c>
      <c r="AN148" s="151" t="str">
        <f t="shared" ref="AN148:AN212" si="95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841</v>
      </c>
      <c r="B149" s="7">
        <v>4045</v>
      </c>
      <c r="C149" s="21" t="s">
        <v>202</v>
      </c>
      <c r="D149" s="21" t="s">
        <v>895</v>
      </c>
      <c r="E149" s="13">
        <v>42920.928935185184</v>
      </c>
      <c r="F149" s="13">
        <v>42920.936018518521</v>
      </c>
      <c r="G149" s="7">
        <v>1</v>
      </c>
      <c r="H149" s="21" t="s">
        <v>484</v>
      </c>
      <c r="I149" s="13">
        <v>42920.964456018519</v>
      </c>
      <c r="J149" s="7">
        <v>0</v>
      </c>
      <c r="K149" s="89" t="str">
        <f t="shared" si="82"/>
        <v>4045/4046</v>
      </c>
      <c r="L149" s="21" t="str">
        <f>VLOOKUP(A149,'Trips&amp;Operators'!$C$1:$G$99999,5,FALSE)</f>
        <v>SMITH MICHAEL</v>
      </c>
      <c r="M149" s="6">
        <f t="shared" si="83"/>
        <v>2.8437499997380655E-2</v>
      </c>
      <c r="N149" s="7">
        <f t="shared" si="91"/>
        <v>40.949999996228144</v>
      </c>
      <c r="O149" s="7"/>
      <c r="P149" s="7"/>
      <c r="Q149" s="22"/>
      <c r="R149" s="170"/>
      <c r="S149" s="213">
        <f t="shared" si="81"/>
        <v>1</v>
      </c>
      <c r="T149" s="195" t="str">
        <f t="shared" si="8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85"/>
        <v>https://d0f6bd738d7f1b3e5a7ca70fe4ff75f0.us-east-1.aws.found.io/app/kibana#/discover/Steve-Slow-Train-Analysis-(2080s-and-2083s)?_g=(refreshInterval:(display:Off,pause:!f,section:0,value:0),time:(from:'2017-07-04T21:17:40-0600',mode:absolute,to:'2017-07-05T00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97" t="str">
        <f>IF(AA149&lt;VLOOKUP(AG149,Variables!$AC$3:$AD$8,2,FALSE),"Y","N")</f>
        <v>N</v>
      </c>
      <c r="X149" s="197">
        <f t="shared" si="79"/>
        <v>1</v>
      </c>
      <c r="Y149" s="197">
        <f t="shared" si="76"/>
        <v>23.298500000000001</v>
      </c>
      <c r="Z149" s="197">
        <f t="shared" si="77"/>
        <v>1.6299999999999999E-2</v>
      </c>
      <c r="AA149" s="197">
        <f t="shared" si="86"/>
        <v>23.2822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87"/>
        <v>232</v>
      </c>
      <c r="AE149" s="77" t="str">
        <f t="shared" si="88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149" s="74" t="str">
        <f t="shared" si="89"/>
        <v>"C:\Program Files (x86)\AstroGrep\AstroGrep.exe" /e /r /s /spath="%USERPROFILE%\AppData\Local\Temp\OnboardLogs" /stypes="app*4045*20170705*" /stext=" 05:.+((SYSTEM_STATE.+slice.+state.+changed )|(ment ac)|(multiple cpu faults)|(system.+state.+changed )|(\[timeout)|(PRM\|1\|D)|(kpr)|(kdp)|(train st.+moving)|(\|lc)|(penalty))"</v>
      </c>
      <c r="AG149" s="209" t="str">
        <f t="shared" si="90"/>
        <v>EC</v>
      </c>
      <c r="AH149" s="78" t="str">
        <f t="shared" si="92"/>
        <v>"%USERPROFILE%\Documents\GitHub\eaglep3\Utilities\RefineRTDCRunTimes.py" --tripid 232-04 --locoid 4045 --swversion DE.1.0.9.0 --startMP 204:232985 --initTime 2017-07-04T22:17:40 --startdatetime 2017-07-04T22:27:52 --delay 1 --endMP 204:163 --enddatetime 2017-07-04T23:08:49 --enforcementcount 0 &gt;&gt;C:\Users\stu\Documents\GitHub\eaglep3-reporting\EC\2017-07-04-refined-times.txt</v>
      </c>
      <c r="AI149" s="96" t="str">
        <f t="shared" si="93"/>
        <v>echo {"issue":{"subject":"","project_id":79,"tracker_id":40,"status_id":1,"priority_id":2,"assigned_to_id":23,"start_date":"2017-07-04","description":"","custom_fields":[{"id":1,"name":"Subdivision","value":"EC"},{"id":4,"name":"Milepost","value":"0.0163"},{"id":17,"name":"Train ID","value":"232-04"},{"id":16,"name":"Locomotive ID","value":"4045"},{"id":130,"name":"Impact","value":""},{"id":150,"name":"Time of Event (Mountain Time)","value":"23:08:49"},{"id":151,"name":"Denver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94"/>
        <v>start /low /b %USERPROFILE%\Documents\GitHub\eaglep3\Utilities\DownloadLogsFromS3.py --loco 4045 --day 2017-07-04</v>
      </c>
      <c r="AN149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4024</v>
      </c>
      <c r="C150" s="21" t="s">
        <v>202</v>
      </c>
      <c r="D150" s="21" t="s">
        <v>450</v>
      </c>
      <c r="E150" s="13">
        <v>42920.910300925927</v>
      </c>
      <c r="F150" s="13">
        <v>42920.917233796295</v>
      </c>
      <c r="G150" s="7">
        <v>2</v>
      </c>
      <c r="H150" s="21" t="s">
        <v>912</v>
      </c>
      <c r="I150" s="13">
        <v>42920.944421296299</v>
      </c>
      <c r="J150" s="7">
        <v>0</v>
      </c>
      <c r="K150" s="89" t="str">
        <f t="shared" si="82"/>
        <v>4023/4024</v>
      </c>
      <c r="L150" s="21" t="str">
        <f>VLOOKUP(A150,'Trips&amp;Operators'!$C$1:$G$99999,5,FALSE)</f>
        <v>FORTUNATO FRANK</v>
      </c>
      <c r="M150" s="6">
        <f t="shared" si="83"/>
        <v>2.718750000349246E-2</v>
      </c>
      <c r="N150" s="7">
        <f t="shared" si="91"/>
        <v>39.150000005029142</v>
      </c>
      <c r="O150" s="7"/>
      <c r="P150" s="7"/>
      <c r="Q150" s="22"/>
      <c r="R150" s="170"/>
      <c r="S150" s="213">
        <f t="shared" si="81"/>
        <v>1</v>
      </c>
      <c r="T150" s="195" t="str">
        <f t="shared" si="8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85"/>
        <v>https://d0f6bd738d7f1b3e5a7ca70fe4ff75f0.us-east-1.aws.found.io/app/kibana#/discover/Steve-Slow-Train-Analysis-(2080s-and-2083s)?_g=(refreshInterval:(display:Off,pause:!f,section:0,value:0),time:(from:'2017-07-04T20:50:50-0600',mode:absolute,to:'2017-07-04T23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0" s="197" t="str">
        <f>IF(AA150&lt;VLOOKUP(AG150,Variables!$AC$3:$AD$8,2,FALSE),"Y","N")</f>
        <v>N</v>
      </c>
      <c r="X150" s="197">
        <f t="shared" si="79"/>
        <v>1</v>
      </c>
      <c r="Y150" s="197">
        <f t="shared" si="76"/>
        <v>4.3799999999999999E-2</v>
      </c>
      <c r="Z150" s="197">
        <f t="shared" si="77"/>
        <v>23.3325</v>
      </c>
      <c r="AA150" s="197">
        <f t="shared" si="86"/>
        <v>23.288699999999999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87"/>
        <v>233</v>
      </c>
      <c r="AE150" s="77" t="str">
        <f t="shared" si="88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150" s="74" t="str">
        <f t="shared" si="89"/>
        <v>"C:\Program Files (x86)\AstroGrep\AstroGrep.exe" /e /r /s /spath="%USERPROFILE%\AppData\Local\Temp\OnboardLogs" /stypes="app*4024*20170705*" /stext=" 04:.+((SYSTEM_STATE.+slice.+state.+changed )|(ment ac)|(multiple cpu faults)|(system.+state.+changed )|(\[timeout)|(PRM\|1\|D)|(kpr)|(kdp)|(train st.+moving)|(\|lc)|(penalty))"</v>
      </c>
      <c r="AG150" s="209" t="str">
        <f t="shared" si="90"/>
        <v>EC</v>
      </c>
      <c r="AH150" s="78" t="str">
        <f t="shared" si="92"/>
        <v>"%USERPROFILE%\Documents\GitHub\eaglep3\Utilities\RefineRTDCRunTimes.py" --tripid 233-04 --locoid 4024 --swversion DE.1.0.9.0 --startMP 204:438 --initTime 2017-07-04T21:50:50 --startdatetime 2017-07-04T22:00:49 --delay 2 --endMP 204:233325 --enddatetime 2017-07-04T22:39:58 --enforcementcount 0 &gt;&gt;C:\Users\stu\Documents\GitHub\eaglep3-reporting\EC\2017-07-04-refined-times.txt</v>
      </c>
      <c r="AI150" s="96" t="str">
        <f t="shared" si="93"/>
        <v>echo {"issue":{"subject":"","project_id":79,"tracker_id":40,"status_id":1,"priority_id":2,"assigned_to_id":23,"start_date":"2017-07-04","description":"","custom_fields":[{"id":1,"name":"Subdivision","value":"EC"},{"id":4,"name":"Milepost","value":"23.3325"},{"id":17,"name":"Train ID","value":"233-04"},{"id":16,"name":"Locomotive ID","value":"4024"},{"id":130,"name":"Impact","value":""},{"id":150,"name":"Time of Event (Mountain Time)","value":"22:39:58"},{"id":151,"name":"Denver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94"/>
        <v>start /low /b %USERPROFILE%\Documents\GitHub\eaglep3\Utilities\DownloadLogsFromS3.py --loco 4024 --day 2017-07-04</v>
      </c>
      <c r="AN150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847</v>
      </c>
      <c r="B151" s="7">
        <v>4023</v>
      </c>
      <c r="C151" s="21" t="s">
        <v>202</v>
      </c>
      <c r="D151" s="21" t="s">
        <v>468</v>
      </c>
      <c r="E151" s="13">
        <v>42920.945949074077</v>
      </c>
      <c r="F151" s="13">
        <v>42920.956608796296</v>
      </c>
      <c r="G151" s="7">
        <v>1</v>
      </c>
      <c r="H151" s="21" t="s">
        <v>349</v>
      </c>
      <c r="I151" s="13">
        <v>42920.987523148149</v>
      </c>
      <c r="J151" s="7">
        <v>0</v>
      </c>
      <c r="K151" s="89" t="str">
        <f t="shared" si="82"/>
        <v>4023/4024</v>
      </c>
      <c r="L151" s="21" t="str">
        <f>VLOOKUP(A151,'Trips&amp;Operators'!$C$1:$G$99999,5,FALSE)</f>
        <v>FORTUNATO FRANK</v>
      </c>
      <c r="M151" s="6">
        <f t="shared" si="83"/>
        <v>3.0914351853425615E-2</v>
      </c>
      <c r="N151" s="7">
        <f t="shared" si="91"/>
        <v>44.516666668932885</v>
      </c>
      <c r="O151" s="7"/>
      <c r="P151" s="7"/>
      <c r="Q151" s="22"/>
      <c r="R151" s="170"/>
      <c r="S151" s="213">
        <f t="shared" si="81"/>
        <v>1</v>
      </c>
      <c r="T151" s="195" t="str">
        <f t="shared" si="8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85"/>
        <v>https://d0f6bd738d7f1b3e5a7ca70fe4ff75f0.us-east-1.aws.found.io/app/kibana#/discover/Steve-Slow-Train-Analysis-(2080s-and-2083s)?_g=(refreshInterval:(display:Off,pause:!f,section:0,value:0),time:(from:'2017-07-04T21:42:10-0600',mode:absolute,to:'2017-07-05T00:42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197" t="str">
        <f>IF(AA151&lt;VLOOKUP(AG151,Variables!$AC$3:$AD$8,2,FALSE),"Y","N")</f>
        <v>N</v>
      </c>
      <c r="X151" s="197">
        <f t="shared" si="79"/>
        <v>1</v>
      </c>
      <c r="Y151" s="197">
        <f t="shared" si="76"/>
        <v>23.3004</v>
      </c>
      <c r="Z151" s="197">
        <f t="shared" si="77"/>
        <v>1.49E-2</v>
      </c>
      <c r="AA151" s="197">
        <f t="shared" si="86"/>
        <v>23.285499999999999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87"/>
        <v>234</v>
      </c>
      <c r="AE151" s="77" t="str">
        <f t="shared" si="88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151" s="74" t="str">
        <f t="shared" si="89"/>
        <v>"C:\Program Files (x86)\AstroGrep\AstroGrep.exe" /e /r /s /spath="%USERPROFILE%\AppData\Local\Temp\OnboardLogs" /stypes="app*4023*20170705*" /stext=" 05:.+((SYSTEM_STATE.+slice.+state.+changed )|(ment ac)|(multiple cpu faults)|(system.+state.+changed )|(\[timeout)|(PRM\|1\|D)|(kpr)|(kdp)|(train st.+moving)|(\|lc)|(penalty))"</v>
      </c>
      <c r="AG151" s="209" t="str">
        <f t="shared" si="90"/>
        <v>EC</v>
      </c>
      <c r="AH151" s="78" t="str">
        <f t="shared" si="92"/>
        <v>"%USERPROFILE%\Documents\GitHub\eaglep3\Utilities\RefineRTDCRunTimes.py" --tripid 234-04 --locoid 4023 --swversion DE.1.0.9.0 --startMP 204:233004 --initTime 2017-07-04T22:42:10 --startdatetime 2017-07-04T22:57:31 --delay 1 --endMP 204:149 --enddatetime 2017-07-04T23:42:02 --enforcementcount 0 &gt;&gt;C:\Users\stu\Documents\GitHub\eaglep3-reporting\EC\2017-07-04-refined-times.txt</v>
      </c>
      <c r="AI151" s="96" t="str">
        <f t="shared" si="93"/>
        <v>echo {"issue":{"subject":"","project_id":79,"tracker_id":40,"status_id":1,"priority_id":2,"assigned_to_id":23,"start_date":"2017-07-04","description":"","custom_fields":[{"id":1,"name":"Subdivision","value":"EC"},{"id":4,"name":"Milepost","value":"0.0149"},{"id":17,"name":"Train ID","value":"234-04"},{"id":16,"name":"Locomotive ID","value":"4023"},{"id":130,"name":"Impact","value":""},{"id":150,"name":"Time of Event (Mountain Time)","value":"23:42:02"},{"id":151,"name":"Denver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94"/>
        <v>start /low /b %USERPROFILE%\Documents\GitHub\eaglep3\Utilities\DownloadLogsFromS3.py --loco 4023 --day 2017-07-04</v>
      </c>
      <c r="AN151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842</v>
      </c>
      <c r="B152" s="7">
        <v>4050</v>
      </c>
      <c r="C152" s="21" t="s">
        <v>202</v>
      </c>
      <c r="D152" s="21" t="s">
        <v>355</v>
      </c>
      <c r="E152" s="13">
        <v>42920.93476851852</v>
      </c>
      <c r="F152" s="13">
        <v>42920.938043981485</v>
      </c>
      <c r="G152" s="7">
        <v>1</v>
      </c>
      <c r="H152" s="21" t="s">
        <v>544</v>
      </c>
      <c r="I152" s="13">
        <v>42920.967361111114</v>
      </c>
      <c r="J152" s="7">
        <v>0</v>
      </c>
      <c r="K152" s="89" t="str">
        <f t="shared" si="82"/>
        <v>4049/4050</v>
      </c>
      <c r="L152" s="21" t="str">
        <f>VLOOKUP(A152,'Trips&amp;Operators'!$C$1:$G$99999,5,FALSE)</f>
        <v>NELSON ARIANE</v>
      </c>
      <c r="M152" s="6">
        <f t="shared" si="83"/>
        <v>2.9317129628907423E-2</v>
      </c>
      <c r="N152" s="7">
        <f t="shared" si="91"/>
        <v>42.21666666562669</v>
      </c>
      <c r="O152" s="7"/>
      <c r="P152" s="7"/>
      <c r="Q152" s="22"/>
      <c r="R152" s="170"/>
      <c r="S152" s="213">
        <f t="shared" si="81"/>
        <v>1</v>
      </c>
      <c r="T152" s="195" t="str">
        <f t="shared" si="8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85"/>
        <v>https://d0f6bd738d7f1b3e5a7ca70fe4ff75f0.us-east-1.aws.found.io/app/kibana#/discover/Steve-Slow-Train-Analysis-(2080s-and-2083s)?_g=(refreshInterval:(display:Off,pause:!f,section:0,value:0),time:(from:'2017-07-04T21:26:04-0600',mode:absolute,to:'2017-07-05T00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2" s="197" t="str">
        <f>IF(AA152&lt;VLOOKUP(AG152,Variables!$AC$3:$AD$8,2,FALSE),"Y","N")</f>
        <v>N</v>
      </c>
      <c r="X152" s="197">
        <f t="shared" si="79"/>
        <v>1</v>
      </c>
      <c r="Y152" s="197">
        <f t="shared" si="76"/>
        <v>4.4699999999999997E-2</v>
      </c>
      <c r="Z152" s="197">
        <f t="shared" si="77"/>
        <v>23.328499999999998</v>
      </c>
      <c r="AA152" s="197">
        <f t="shared" si="86"/>
        <v>23.283799999999999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87"/>
        <v>235</v>
      </c>
      <c r="AE152" s="77" t="str">
        <f t="shared" si="88"/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AF152" s="74" t="str">
        <f t="shared" si="89"/>
        <v>"C:\Program Files (x86)\AstroGrep\AstroGrep.exe" /e /r /s /spath="%USERPROFILE%\AppData\Local\Temp\OnboardLogs" /stypes="app*4050*20170705*" /stext=" 05:.+((SYSTEM_STATE.+slice.+state.+changed )|(ment ac)|(multiple cpu faults)|(system.+state.+changed )|(\[timeout)|(PRM\|1\|D)|(kpr)|(kdp)|(train st.+moving)|(\|lc)|(penalty))"</v>
      </c>
      <c r="AG152" s="209" t="str">
        <f t="shared" si="90"/>
        <v>EC</v>
      </c>
      <c r="AH152" s="78" t="str">
        <f t="shared" si="92"/>
        <v>"%USERPROFILE%\Documents\GitHub\eaglep3\Utilities\RefineRTDCRunTimes.py" --tripid 235-04 --locoid 4050 --swversion DE.1.0.9.0 --startMP 204:447 --initTime 2017-07-04T22:26:04 --startdatetime 2017-07-04T22:30:47 --delay 1 --endMP 204:233285 --enddatetime 2017-07-04T23:13:00 --enforcementcount 0 &gt;&gt;C:\Users\stu\Documents\GitHub\eaglep3-reporting\EC\2017-07-04-refined-times.txt</v>
      </c>
      <c r="AI152" s="96" t="str">
        <f t="shared" si="93"/>
        <v>echo {"issue":{"subject":"","project_id":79,"tracker_id":40,"status_id":1,"priority_id":2,"assigned_to_id":23,"start_date":"2017-07-04","description":"","custom_fields":[{"id":1,"name":"Subdivision","value":"EC"},{"id":4,"name":"Milepost","value":"23.3285"},{"id":17,"name":"Train ID","value":"235-04"},{"id":16,"name":"Locomotive ID","value":"4050"},{"id":130,"name":"Impact","value":""},{"id":150,"name":"Time of Event (Mountain Time)","value":"23:13:00"},{"id":151,"name":"Denver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94"/>
        <v>start /low /b %USERPROFILE%\Documents\GitHub\eaglep3\Utilities\DownloadLogsFromS3.py --loco 4050 --day 2017-07-04</v>
      </c>
      <c r="AN152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852</v>
      </c>
      <c r="B153" s="7">
        <v>4049</v>
      </c>
      <c r="C153" s="21" t="s">
        <v>202</v>
      </c>
      <c r="D153" s="21" t="s">
        <v>571</v>
      </c>
      <c r="E153" s="13">
        <v>42920.975995370369</v>
      </c>
      <c r="F153" s="13">
        <v>42920.977523148147</v>
      </c>
      <c r="G153" s="7">
        <v>2</v>
      </c>
      <c r="H153" s="21" t="s">
        <v>581</v>
      </c>
      <c r="I153" s="13">
        <v>42921.008587962962</v>
      </c>
      <c r="J153" s="7">
        <v>0</v>
      </c>
      <c r="K153" s="89" t="str">
        <f t="shared" si="82"/>
        <v>4049/4050</v>
      </c>
      <c r="L153" s="21" t="str">
        <f>VLOOKUP(A153,'Trips&amp;Operators'!$C$1:$G$99999,5,FALSE)</f>
        <v>NELSON ARIANE</v>
      </c>
      <c r="M153" s="6">
        <f t="shared" si="83"/>
        <v>3.1064814815181307E-2</v>
      </c>
      <c r="N153" s="7">
        <f t="shared" si="91"/>
        <v>44.733333333861083</v>
      </c>
      <c r="O153" s="7"/>
      <c r="P153" s="7"/>
      <c r="Q153" s="22"/>
      <c r="R153" s="170"/>
      <c r="S153" s="213">
        <f t="shared" si="81"/>
        <v>1</v>
      </c>
      <c r="T153" s="195" t="str">
        <f t="shared" si="8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85"/>
        <v>https://d0f6bd738d7f1b3e5a7ca70fe4ff75f0.us-east-1.aws.found.io/app/kibana#/discover/Steve-Slow-Train-Analysis-(2080s-and-2083s)?_g=(refreshInterval:(display:Off,pause:!f,section:0,value:0),time:(from:'2017-07-04T22:25:26-0600',mode:absolute,to:'2017-07-05T01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3" s="197" t="str">
        <f>IF(AA153&lt;VLOOKUP(AG153,Variables!$AC$3:$AD$8,2,FALSE),"Y","N")</f>
        <v>N</v>
      </c>
      <c r="X153" s="197">
        <f t="shared" si="79"/>
        <v>1</v>
      </c>
      <c r="Y153" s="197">
        <f t="shared" si="76"/>
        <v>23.2974</v>
      </c>
      <c r="Z153" s="197">
        <f t="shared" si="77"/>
        <v>1.7000000000000001E-2</v>
      </c>
      <c r="AA153" s="197">
        <f t="shared" si="86"/>
        <v>23.2804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87"/>
        <v>236</v>
      </c>
      <c r="AE153" s="77" t="str">
        <f t="shared" si="88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153" s="74" t="str">
        <f t="shared" si="89"/>
        <v>"C:\Program Files (x86)\AstroGrep\AstroGrep.exe" /e /r /s /spath="%USERPROFILE%\AppData\Local\Temp\OnboardLogs" /stypes="app*4049*20170705*" /stext=" 06:.+((SYSTEM_STATE.+slice.+state.+changed )|(ment ac)|(multiple cpu faults)|(system.+state.+changed )|(\[timeout)|(PRM\|1\|D)|(kpr)|(kdp)|(train st.+moving)|(\|lc)|(penalty))"</v>
      </c>
      <c r="AG153" s="209" t="str">
        <f t="shared" si="90"/>
        <v>EC</v>
      </c>
      <c r="AH153" s="78" t="str">
        <f t="shared" si="92"/>
        <v>"%USERPROFILE%\Documents\GitHub\eaglep3\Utilities\RefineRTDCRunTimes.py" --tripid 236-04 --locoid 4049 --swversion DE.1.0.9.0 --startMP 204:232974 --initTime 2017-07-04T23:25:26 --startdatetime 2017-07-04T23:27:38 --delay 2 --endMP 204:170 --enddatetime 2017-07-05T00:12:22 --enforcementcount 0 &gt;&gt;C:\Users\stu\Documents\GitHub\eaglep3-reporting\EC\2017-07-04-refined-times.txt</v>
      </c>
      <c r="AI153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{"issue":{"subject":"","project_id":79,"tracker_id":40,"status_id":1,"priority_id":2,"assigned_to_id":23,"start_date":"2017-07-05","description":"","custom_fields":[{"id":1,"name":"Subdivision","value":"EC"},{"id":4,"name":"Milepost","value":"0.017"},{"id":17,"name":"Train ID","value":"236-04"},{"id":16,"name":"Locomotive ID","value":"4049"},{"id":130,"name":"Impact","value":""},{"id":150,"name":"Time of Event (Mountain Time)","value":"00:12:22"},{"id":151,"name":"Denver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94"/>
        <v>start /low /b %USERPROFILE%\Documents\GitHub\eaglep3\Utilities\DownloadLogsFromS3.py --loco 4049 --day 2017-07-04</v>
      </c>
      <c r="AN153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849</v>
      </c>
      <c r="B154" s="7">
        <v>4044</v>
      </c>
      <c r="C154" s="21" t="s">
        <v>202</v>
      </c>
      <c r="D154" s="21" t="s">
        <v>391</v>
      </c>
      <c r="E154" s="13">
        <v>42920.950266203705</v>
      </c>
      <c r="F154" s="13">
        <v>42920.959409722222</v>
      </c>
      <c r="G154" s="7">
        <v>1</v>
      </c>
      <c r="H154" s="21" t="s">
        <v>575</v>
      </c>
      <c r="I154" s="13">
        <v>42920.987534722219</v>
      </c>
      <c r="J154" s="7">
        <v>0</v>
      </c>
      <c r="K154" s="89" t="str">
        <f t="shared" si="82"/>
        <v>4043/4044</v>
      </c>
      <c r="L154" s="21" t="str">
        <f>VLOOKUP(A154,'Trips&amp;Operators'!$C$1:$G$99999,5,FALSE)</f>
        <v>HAITHCOX MICHAEL</v>
      </c>
      <c r="M154" s="6">
        <f t="shared" si="83"/>
        <v>2.8124999997089617E-2</v>
      </c>
      <c r="N154" s="7">
        <f t="shared" si="91"/>
        <v>40.499999995809048</v>
      </c>
      <c r="O154" s="7"/>
      <c r="P154" s="7"/>
      <c r="Q154" s="22"/>
      <c r="R154" s="170"/>
      <c r="S154" s="213">
        <f t="shared" si="81"/>
        <v>1</v>
      </c>
      <c r="T154" s="195" t="str">
        <f t="shared" si="8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85"/>
        <v>https://d0f6bd738d7f1b3e5a7ca70fe4ff75f0.us-east-1.aws.found.io/app/kibana#/discover/Steve-Slow-Train-Analysis-(2080s-and-2083s)?_g=(refreshInterval:(display:Off,pause:!f,section:0,value:0),time:(from:'2017-07-04T21:48:23-0600',mode:absolute,to:'2017-07-05T00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97" t="str">
        <f>IF(AA154&lt;VLOOKUP(AG154,Variables!$AC$3:$AD$8,2,FALSE),"Y","N")</f>
        <v>N</v>
      </c>
      <c r="X154" s="197">
        <f t="shared" si="79"/>
        <v>1</v>
      </c>
      <c r="Y154" s="197">
        <f t="shared" si="76"/>
        <v>4.6199999999999998E-2</v>
      </c>
      <c r="Z154" s="197">
        <f t="shared" si="77"/>
        <v>23.327999999999999</v>
      </c>
      <c r="AA154" s="197">
        <f t="shared" si="86"/>
        <v>23.2818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87"/>
        <v>237</v>
      </c>
      <c r="AE154" s="77" t="str">
        <f t="shared" si="88"/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AF154" s="74" t="str">
        <f t="shared" si="89"/>
        <v>"C:\Program Files (x86)\AstroGrep\AstroGrep.exe" /e /r /s /spath="%USERPROFILE%\AppData\Local\Temp\OnboardLogs" /stypes="app*4044*20170705*" /stext=" 05:.+((SYSTEM_STATE.+slice.+state.+changed )|(ment ac)|(multiple cpu faults)|(system.+state.+changed )|(\[timeout)|(PRM\|1\|D)|(kpr)|(kdp)|(train st.+moving)|(\|lc)|(penalty))"</v>
      </c>
      <c r="AG154" s="209" t="str">
        <f t="shared" si="90"/>
        <v>EC</v>
      </c>
      <c r="AH154" s="78" t="str">
        <f t="shared" si="92"/>
        <v>"%USERPROFILE%\Documents\GitHub\eaglep3\Utilities\RefineRTDCRunTimes.py" --tripid 237-04 --locoid 4044 --swversion DE.1.0.9.0 --startMP 204:462 --initTime 2017-07-04T22:48:23 --startdatetime 2017-07-04T23:01:33 --delay 1 --endMP 204:233280 --enddatetime 2017-07-04T23:42:03 --enforcementcount 0 &gt;&gt;C:\Users\stu\Documents\GitHub\eaglep3-reporting\EC\2017-07-04-refined-times.txt</v>
      </c>
      <c r="AI154" s="96" t="str">
        <f t="shared" si="93"/>
        <v>echo {"issue":{"subject":"","project_id":79,"tracker_id":40,"status_id":1,"priority_id":2,"assigned_to_id":23,"start_date":"2017-07-04","description":"","custom_fields":[{"id":1,"name":"Subdivision","value":"EC"},{"id":4,"name":"Milepost","value":"23.328"},{"id":17,"name":"Train ID","value":"237-04"},{"id":16,"name":"Locomotive ID","value":"4044"},{"id":130,"name":"Impact","value":""},{"id":150,"name":"Time of Event (Mountain Time)","value":"23:42:03"},{"id":151,"name":"Denver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4"/>
        <v>start /low /b %USERPROFILE%\Documents\GitHub\eaglep3\Utilities\DownloadLogsFromS3.py --loco 4044 --day 2017-07-04</v>
      </c>
      <c r="AN154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05:42:03"},{"id":29,"name":"Sharepoint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854</v>
      </c>
      <c r="B155" s="7">
        <v>4043</v>
      </c>
      <c r="C155" s="21" t="s">
        <v>202</v>
      </c>
      <c r="D155" s="21" t="s">
        <v>571</v>
      </c>
      <c r="E155" s="13">
        <v>42920.98841435185</v>
      </c>
      <c r="F155" s="13">
        <v>42920.998101851852</v>
      </c>
      <c r="G155" s="7">
        <v>1</v>
      </c>
      <c r="H155" s="21" t="s">
        <v>604</v>
      </c>
      <c r="I155" s="13">
        <v>42921.027361111112</v>
      </c>
      <c r="J155" s="7">
        <v>0</v>
      </c>
      <c r="K155" s="89" t="str">
        <f t="shared" si="82"/>
        <v>4043/4044</v>
      </c>
      <c r="L155" s="21" t="str">
        <f>VLOOKUP(A155,'Trips&amp;Operators'!$C$1:$G$99999,5,FALSE)</f>
        <v>HAITHCOX MICHAEL</v>
      </c>
      <c r="M155" s="6">
        <f t="shared" si="83"/>
        <v>2.9259259259561077E-2</v>
      </c>
      <c r="N155" s="7">
        <f t="shared" si="91"/>
        <v>42.133333333767951</v>
      </c>
      <c r="O155" s="7"/>
      <c r="P155" s="7"/>
      <c r="Q155" s="22"/>
      <c r="R155" s="170"/>
      <c r="S155" s="213">
        <f t="shared" si="81"/>
        <v>1</v>
      </c>
      <c r="T155" s="195" t="str">
        <f t="shared" si="8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85"/>
        <v>https://d0f6bd738d7f1b3e5a7ca70fe4ff75f0.us-east-1.aws.found.io/app/kibana#/discover/Steve-Slow-Train-Analysis-(2080s-and-2083s)?_g=(refreshInterval:(display:Off,pause:!f,section:0,value:0),time:(from:'2017-07-04T22:43:19-0600',mode:absolute,to:'2017-07-05T01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97" t="str">
        <f>IF(AA155&lt;VLOOKUP(AG155,Variables!$AC$3:$AD$8,2,FALSE),"Y","N")</f>
        <v>N</v>
      </c>
      <c r="X155" s="197">
        <f t="shared" si="79"/>
        <v>1</v>
      </c>
      <c r="Y155" s="197">
        <f t="shared" si="76"/>
        <v>23.2974</v>
      </c>
      <c r="Z155" s="197">
        <f t="shared" si="77"/>
        <v>1.7600000000000001E-2</v>
      </c>
      <c r="AA155" s="197">
        <f t="shared" si="86"/>
        <v>23.279799999999998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87"/>
        <v>238</v>
      </c>
      <c r="AE155" s="77" t="str">
        <f t="shared" si="88"/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AF155" s="74" t="str">
        <f t="shared" si="89"/>
        <v>"C:\Program Files (x86)\AstroGrep\AstroGrep.exe" /e /r /s /spath="%USERPROFILE%\AppData\Local\Temp\OnboardLogs" /stypes="app*4043*20170705*" /stext=" 06:.+((SYSTEM_STATE.+slice.+state.+changed )|(ment ac)|(multiple cpu faults)|(system.+state.+changed )|(\[timeout)|(PRM\|1\|D)|(kpr)|(kdp)|(train st.+moving)|(\|lc)|(penalty))"</v>
      </c>
      <c r="AG155" s="209" t="str">
        <f t="shared" si="90"/>
        <v>EC</v>
      </c>
      <c r="AH155" s="78" t="str">
        <f t="shared" si="92"/>
        <v>"%USERPROFILE%\Documents\GitHub\eaglep3\Utilities\RefineRTDCRunTimes.py" --tripid 238-04 --locoid 4043 --swversion DE.1.0.9.0 --startMP 204:232974 --initTime 2017-07-04T23:43:19 --startdatetime 2017-07-04T23:57:16 --delay 1 --endMP 204:176 --enddatetime 2017-07-05T00:39:24 --enforcementcount 0 &gt;&gt;C:\Users\stu\Documents\GitHub\eaglep3-reporting\EC\2017-07-04-refined-times.txt</v>
      </c>
      <c r="AI155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{"issue":{"subject":"","project_id":79,"tracker_id":40,"status_id":1,"priority_id":2,"assigned_to_id":23,"start_date":"2017-07-05","description":"","custom_fields":[{"id":1,"name":"Subdivision","value":"EC"},{"id":4,"name":"Milepost","value":"0.0176"},{"id":17,"name":"Train ID","value":"238-04"},{"id":16,"name":"Locomotive ID","value":"4043"},{"id":130,"name":"Impact","value":""},{"id":150,"name":"Time of Event (Mountain Time)","value":"00:39:24"},{"id":151,"name":"Denver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94"/>
        <v>start /low /b %USERPROFILE%\Documents\GitHub\eaglep3\Utilities\DownloadLogsFromS3.py --loco 4043 --day 2017-07-04</v>
      </c>
      <c r="AN155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850</v>
      </c>
      <c r="B156" s="7">
        <v>4046</v>
      </c>
      <c r="C156" s="21" t="s">
        <v>202</v>
      </c>
      <c r="D156" s="21" t="s">
        <v>551</v>
      </c>
      <c r="E156" s="13">
        <v>42920.968206018515</v>
      </c>
      <c r="F156" s="13">
        <v>42920.979722222219</v>
      </c>
      <c r="G156" s="7">
        <v>1</v>
      </c>
      <c r="H156" s="21" t="s">
        <v>473</v>
      </c>
      <c r="I156" s="13">
        <v>42921.007418981484</v>
      </c>
      <c r="J156" s="7">
        <v>0</v>
      </c>
      <c r="K156" s="89" t="str">
        <f t="shared" si="82"/>
        <v>4045/4046</v>
      </c>
      <c r="L156" s="21" t="str">
        <f>VLOOKUP(A156,'Trips&amp;Operators'!$C$1:$G$99999,5,FALSE)</f>
        <v>SMITH MICHAEL</v>
      </c>
      <c r="M156" s="6">
        <f t="shared" si="83"/>
        <v>2.7696759265381843E-2</v>
      </c>
      <c r="N156" s="7">
        <f t="shared" si="91"/>
        <v>39.883333342149854</v>
      </c>
      <c r="O156" s="7"/>
      <c r="P156" s="7"/>
      <c r="Q156" s="22"/>
      <c r="R156" s="170"/>
      <c r="S156" s="213">
        <f t="shared" si="81"/>
        <v>1</v>
      </c>
      <c r="T156" s="195" t="str">
        <f t="shared" si="8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85"/>
        <v>https://d0f6bd738d7f1b3e5a7ca70fe4ff75f0.us-east-1.aws.found.io/app/kibana#/discover/Steve-Slow-Train-Analysis-(2080s-and-2083s)?_g=(refreshInterval:(display:Off,pause:!f,section:0,value:0),time:(from:'2017-07-04T22:14:13-0600',mode:absolute,to:'2017-07-05T01:10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97" t="str">
        <f>IF(AA156&lt;VLOOKUP(AG156,Variables!$AC$3:$AD$8,2,FALSE),"Y","N")</f>
        <v>N</v>
      </c>
      <c r="X156" s="197">
        <f t="shared" si="79"/>
        <v>1</v>
      </c>
      <c r="Y156" s="197">
        <f t="shared" ref="Y156:Y180" si="96">RIGHT(D156,LEN(D156)-4)/10000</f>
        <v>4.7100000000000003E-2</v>
      </c>
      <c r="Z156" s="197">
        <f t="shared" ref="Z156:Z180" si="97">RIGHT(H156,LEN(H156)-4)/10000</f>
        <v>23.3308</v>
      </c>
      <c r="AA156" s="197">
        <f t="shared" si="86"/>
        <v>23.2837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87"/>
        <v>239</v>
      </c>
      <c r="AE156" s="77" t="str">
        <f t="shared" si="88"/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AF156" s="74" t="str">
        <f t="shared" si="89"/>
        <v>"C:\Program Files (x86)\AstroGrep\AstroGrep.exe" /e /r /s /spath="%USERPROFILE%\AppData\Local\Temp\OnboardLogs" /stypes="app*4046*20170705*" /stext=" 06:.+((SYSTEM_STATE.+slice.+state.+changed )|(ment ac)|(multiple cpu faults)|(system.+state.+changed )|(\[timeout)|(PRM\|1\|D)|(kpr)|(kdp)|(train st.+moving)|(\|lc)|(penalty))"</v>
      </c>
      <c r="AG156" s="209" t="str">
        <f t="shared" si="90"/>
        <v>EC</v>
      </c>
      <c r="AH156" s="78" t="str">
        <f t="shared" si="92"/>
        <v>"%USERPROFILE%\Documents\GitHub\eaglep3\Utilities\RefineRTDCRunTimes.py" --tripid 239-04 --locoid 4046 --swversion DE.1.0.9.0 --startMP 204:471 --initTime 2017-07-04T23:14:13 --startdatetime 2017-07-04T23:30:48 --delay 1 --endMP 204:233308 --enddatetime 2017-07-05T00:10:41 --enforcementcount 0 &gt;&gt;C:\Users\stu\Documents\GitHub\eaglep3-reporting\EC\2017-07-04-refined-times.txt</v>
      </c>
      <c r="AI156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{"issue":{"subject":"","project_id":79,"tracker_id":40,"status_id":1,"priority_id":2,"assigned_to_id":23,"start_date":"2017-07-05","description":"","custom_fields":[{"id":1,"name":"Subdivision","value":"EC"},{"id":4,"name":"Milepost","value":"23.3308"},{"id":17,"name":"Train ID","value":"239-04"},{"id":16,"name":"Locomotive ID","value":"4046"},{"id":130,"name":"Impact","value":""},{"id":150,"name":"Time of Event (Mountain Time)","value":"00:10:41"},{"id":151,"name":"Denver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94"/>
        <v>start /low /b %USERPROFILE%\Documents\GitHub\eaglep3\Utilities\DownloadLogsFromS3.py --loco 4046 --day 2017-07-04</v>
      </c>
      <c r="AN156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06:10:41"},{"id":29,"name":"Sharepoint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856</v>
      </c>
      <c r="B157" s="7">
        <v>4045</v>
      </c>
      <c r="C157" s="21" t="s">
        <v>202</v>
      </c>
      <c r="D157" s="21" t="s">
        <v>543</v>
      </c>
      <c r="E157" s="13">
        <v>42921.012615740743</v>
      </c>
      <c r="F157" s="13">
        <v>42921.018958333334</v>
      </c>
      <c r="G157" s="7">
        <v>1</v>
      </c>
      <c r="H157" s="21" t="s">
        <v>194</v>
      </c>
      <c r="I157" s="13">
        <v>42921.048900462964</v>
      </c>
      <c r="J157" s="7">
        <v>0</v>
      </c>
      <c r="K157" s="89" t="str">
        <f t="shared" si="82"/>
        <v>4045/4046</v>
      </c>
      <c r="L157" s="21" t="str">
        <f>VLOOKUP(A157,'Trips&amp;Operators'!$C$1:$G$99999,5,FALSE)</f>
        <v>SMITH MICHAEL</v>
      </c>
      <c r="M157" s="6">
        <f t="shared" si="83"/>
        <v>2.99421296294895E-2</v>
      </c>
      <c r="N157" s="7">
        <f t="shared" si="91"/>
        <v>43.11666666646488</v>
      </c>
      <c r="O157" s="7"/>
      <c r="P157" s="7"/>
      <c r="Q157" s="22"/>
      <c r="R157" s="170"/>
      <c r="S157" s="213">
        <f t="shared" si="81"/>
        <v>1</v>
      </c>
      <c r="T157" s="195" t="str">
        <f t="shared" si="8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85"/>
        <v>https://d0f6bd738d7f1b3e5a7ca70fe4ff75f0.us-east-1.aws.found.io/app/kibana#/discover/Steve-Slow-Train-Analysis-(2080s-and-2083s)?_g=(refreshInterval:(display:Off,pause:!f,section:0,value:0),time:(from:'2017-07-04T23:18:10-0600',mode:absolute,to:'2017-07-05T02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 t="shared" ref="X157:X167" si="98">VALUE(LEFT(AD157,4))-VALUE(LEFT(AD156,4))</f>
        <v>1</v>
      </c>
      <c r="Y157" s="197">
        <f t="shared" si="96"/>
        <v>23.299399999999999</v>
      </c>
      <c r="Z157" s="197">
        <f t="shared" si="97"/>
        <v>1.5800000000000002E-2</v>
      </c>
      <c r="AA157" s="197">
        <f t="shared" si="86"/>
        <v>23.2836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87"/>
        <v>240</v>
      </c>
      <c r="AE157" s="77" t="str">
        <f t="shared" si="88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157" s="74" t="str">
        <f t="shared" si="89"/>
        <v>"C:\Program Files (x86)\AstroGrep\AstroGrep.exe" /e /r /s /spath="%USERPROFILE%\AppData\Local\Temp\OnboardLogs" /stypes="app*4045*20170705*" /stext=" 07:.+((SYSTEM_STATE.+slice.+state.+changed )|(ment ac)|(multiple cpu faults)|(system.+state.+changed )|(\[timeout)|(PRM\|1\|D)|(kpr)|(kdp)|(train st.+moving)|(\|lc)|(penalty))"</v>
      </c>
      <c r="AG157" s="209" t="str">
        <f t="shared" si="90"/>
        <v>EC</v>
      </c>
      <c r="AH157" s="78" t="str">
        <f t="shared" si="92"/>
        <v>"%USERPROFILE%\Documents\GitHub\eaglep3\Utilities\RefineRTDCRunTimes.py" --tripid 240-04 --locoid 4045 --swversion DE.1.0.9.0 --startMP 204:232994 --initTime 2017-07-05T00:18:10 --startdatetime 2017-07-05T00:27:18 --delay 1 --endMP 204:158 --enddatetime 2017-07-05T01:10:25 --enforcementcount 0 &gt;&gt;C:\Users\stu\Documents\GitHub\eaglep3-reporting\EC\2017-07-04-refined-times.txt</v>
      </c>
      <c r="AI157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{"issue":{"subject":"","project_id":79,"tracker_id":40,"status_id":1,"priority_id":2,"assigned_to_id":23,"start_date":"2017-07-05","description":"","custom_fields":[{"id":1,"name":"Subdivision","value":"EC"},{"id":4,"name":"Milepost","value":"0.0158"},{"id":17,"name":"Train ID","value":"240-04"},{"id":16,"name":"Locomotive ID","value":"4045"},{"id":130,"name":"Impact","value":""},{"id":150,"name":"Time of Event (Mountain Time)","value":"01:10:25"},{"id":151,"name":"Denver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4"/>
        <v>start /low /b %USERPROFILE%\Documents\GitHub\eaglep3\Utilities\DownloadLogsFromS3.py --loco 4045 --day 2017-07-05</v>
      </c>
      <c r="AN157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07:10:25"},{"id":29,"name":"Sharepoint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855</v>
      </c>
      <c r="B158" s="7">
        <v>4024</v>
      </c>
      <c r="C158" s="21" t="s">
        <v>202</v>
      </c>
      <c r="D158" s="21" t="s">
        <v>913</v>
      </c>
      <c r="E158" s="13">
        <v>42921.004108796296</v>
      </c>
      <c r="F158" s="13">
        <v>42921.005115740743</v>
      </c>
      <c r="G158" s="7">
        <v>1</v>
      </c>
      <c r="H158" s="21" t="s">
        <v>504</v>
      </c>
      <c r="I158" s="13">
        <v>42921.029895833337</v>
      </c>
      <c r="J158" s="7">
        <v>0</v>
      </c>
      <c r="K158" s="89" t="str">
        <f t="shared" si="82"/>
        <v>4023/4024</v>
      </c>
      <c r="L158" s="21" t="str">
        <f>VLOOKUP(A158,'Trips&amp;Operators'!$C$1:$G$99999,5,FALSE)</f>
        <v>FORTUNATO FRANK</v>
      </c>
      <c r="M158" s="6">
        <f t="shared" si="83"/>
        <v>2.4780092593573499E-2</v>
      </c>
      <c r="N158" s="7"/>
      <c r="O158" s="7"/>
      <c r="P158" s="7">
        <f>24*60*SUM($M158:$M158)</f>
        <v>35.683333334745839</v>
      </c>
      <c r="Q158" s="22"/>
      <c r="R158" s="170" t="s">
        <v>1028</v>
      </c>
      <c r="S158" s="213">
        <f t="shared" si="81"/>
        <v>1</v>
      </c>
      <c r="T158" s="195" t="str">
        <f t="shared" si="8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85"/>
        <v>https://d0f6bd738d7f1b3e5a7ca70fe4ff75f0.us-east-1.aws.found.io/app/kibana#/discover/Steve-Slow-Train-Analysis-(2080s-and-2083s)?_g=(refreshInterval:(display:Off,pause:!f,section:0,value:0),time:(from:'2017-07-04T23:05:55-0600',mode:absolute,to:'2017-07-05T01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8" s="197" t="str">
        <f>IF(AA158&lt;VLOOKUP(AG158,Variables!$AC$3:$AD$8,2,FALSE),"Y","N")</f>
        <v>Y</v>
      </c>
      <c r="X158" s="197">
        <f t="shared" si="98"/>
        <v>1</v>
      </c>
      <c r="Y158" s="197">
        <f t="shared" si="96"/>
        <v>1.9213</v>
      </c>
      <c r="Z158" s="197">
        <f t="shared" si="97"/>
        <v>23.331</v>
      </c>
      <c r="AA158" s="197">
        <f t="shared" si="86"/>
        <v>21.409700000000001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87"/>
        <v>241</v>
      </c>
      <c r="AE158" s="77" t="str">
        <f t="shared" si="88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158" s="74" t="str">
        <f t="shared" si="89"/>
        <v>"C:\Program Files (x86)\AstroGrep\AstroGrep.exe" /e /r /s /spath="%USERPROFILE%\AppData\Local\Temp\OnboardLogs" /stypes="app*4024*20170705*" /stext=" 06:.+((SYSTEM_STATE.+slice.+state.+changed )|(ment ac)|(multiple cpu faults)|(system.+state.+changed )|(\[timeout)|(PRM\|1\|D)|(kpr)|(kdp)|(train st.+moving)|(\|lc)|(penalty))"</v>
      </c>
      <c r="AG158" s="209" t="str">
        <f t="shared" si="90"/>
        <v>EC</v>
      </c>
      <c r="AH158" s="78" t="str">
        <f t="shared" si="92"/>
        <v>"%USERPROFILE%\Documents\GitHub\eaglep3\Utilities\RefineRTDCRunTimes.py" --tripid 241-04 --locoid 4024 --swversion DE.1.0.9.0 --startMP 204:19213 --initTime 2017-07-05T00:05:55 --startdatetime 2017-07-05T00:07:22 --delay 1 --endMP 204:233310 --enddatetime 2017-07-05T00:43:03 --enforcementcount 0 &gt;&gt;C:\Users\stu\Documents\GitHub\eaglep3-reporting\EC\2017-07-04-refined-times.txt</v>
      </c>
      <c r="AI158" s="96" t="str">
        <f t="shared" si="93"/>
        <v>echo {"issue":{"subject":"Selected wrong track","project_id":79,"tracker_id":40,"status_id":1,"priority_id":2,"assigned_to_id":23,"start_date":"2017-07-05","description":"","custom_fields":[{"id":1,"name":"Subdivision","value":"EC"},{"id":4,"name":"Milepost","value":"23.331"},{"id":17,"name":"Train ID","value":"241-04"},{"id":16,"name":"Locomotive ID","value":"4024"},{"id":130,"name":"Impact","value":""},{"id":150,"name":"Time of Event (Mountain Time)","value":"00:43:03"},{"id":151,"name":"Denver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4"/>
        <v>start /low /b %USERPROFILE%\Documents\GitHub\eaglep3\Utilities\DownloadLogsFromS3.py --loco 4024 --day 2017-07-05</v>
      </c>
      <c r="AN158" s="151" t="str">
        <f t="shared" si="95"/>
        <v>echo {"issue":{"subject":"Selected wrong track","project_id":30,"tracker_id":4,"status_id":1,"priority_id":1,"assigned_to_id":10,"start_date":"2017-07-05","description":"","custom_fields":[{"id":30,"name":"Category","value":"Issue"},{"id":3,"name":"Functional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855</v>
      </c>
      <c r="B159" s="7">
        <v>4024</v>
      </c>
      <c r="C159" s="21" t="s">
        <v>202</v>
      </c>
      <c r="D159" s="21" t="s">
        <v>455</v>
      </c>
      <c r="E159" s="13">
        <v>42920.990277777775</v>
      </c>
      <c r="F159" s="13">
        <v>42921.005115740743</v>
      </c>
      <c r="G159" s="7">
        <v>1</v>
      </c>
      <c r="H159" s="21" t="s">
        <v>914</v>
      </c>
      <c r="I159" s="13">
        <v>42921.029895833337</v>
      </c>
      <c r="J159" s="7">
        <v>0</v>
      </c>
      <c r="K159" s="89" t="str">
        <f t="shared" si="82"/>
        <v>4023/4024</v>
      </c>
      <c r="L159" s="21" t="str">
        <f>VLOOKUP(A159,'Trips&amp;Operators'!$C$1:$G$99999,5,FALSE)</f>
        <v>FORTUNATO FRANK</v>
      </c>
      <c r="M159" s="6">
        <f t="shared" si="83"/>
        <v>2.4780092593573499E-2</v>
      </c>
      <c r="N159" s="7"/>
      <c r="O159" s="7"/>
      <c r="P159" s="7"/>
      <c r="Q159" s="22"/>
      <c r="R159" s="170"/>
      <c r="S159" s="213"/>
      <c r="T159" s="195" t="str">
        <f t="shared" si="8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6" t="str">
        <f t="shared" si="85"/>
        <v>https://d0f6bd738d7f1b3e5a7ca70fe4ff75f0.us-east-1.aws.found.io/app/kibana#/discover/Steve-Slow-Train-Analysis-(2080s-and-2083s)?_g=(refreshInterval:(display:Off,pause:!f,section:0,value:0),time:(from:'2017-07-04T22:46:00-0600',mode:absolute,to:'2017-07-05T01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197" t="str">
        <f>IF(AA159&lt;VLOOKUP(AG159,Variables!$AC$3:$AD$8,2,FALSE),"Y","N")</f>
        <v>Y</v>
      </c>
      <c r="X159" s="197">
        <f t="shared" si="98"/>
        <v>0</v>
      </c>
      <c r="Y159" s="197">
        <f t="shared" si="96"/>
        <v>4.6399999999999997E-2</v>
      </c>
      <c r="Z159" s="197">
        <f t="shared" si="97"/>
        <v>0.1047</v>
      </c>
      <c r="AA159" s="197">
        <f t="shared" si="86"/>
        <v>5.8300000000000005E-2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87"/>
        <v>241</v>
      </c>
      <c r="AE159" s="77" t="str">
        <f t="shared" si="88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159" s="74" t="str">
        <f t="shared" si="89"/>
        <v>"C:\Program Files (x86)\AstroGrep\AstroGrep.exe" /e /r /s /spath="%USERPROFILE%\AppData\Local\Temp\OnboardLogs" /stypes="app*4024*20170705*" /stext=" 06:.+((SYSTEM_STATE.+slice.+state.+changed )|(ment ac)|(multiple cpu faults)|(system.+state.+changed )|(\[timeout)|(PRM\|1\|D)|(kpr)|(kdp)|(train st.+moving)|(\|lc)|(penalty))"</v>
      </c>
      <c r="AG159" s="209" t="str">
        <f t="shared" si="90"/>
        <v>EC</v>
      </c>
      <c r="AH159" s="78" t="str">
        <f t="shared" si="92"/>
        <v>"%USERPROFILE%\Documents\GitHub\eaglep3\Utilities\RefineRTDCRunTimes.py" --tripid 241-04 --locoid 4024 --swversion DE.1.0.9.0 --startMP 204:464 --initTime 2017-07-04T23:46:00 --startdatetime 2017-07-05T00:07:22 --delay 1 --endMP 204:1047 --enddatetime 2017-07-05T00:43:03 --enforcementcount 0 &gt;&gt;C:\Users\stu\Documents\GitHub\eaglep3-reporting\EC\2017-07-04-refined-times.txt</v>
      </c>
      <c r="AI159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{"issue":{"subject":"","project_id":79,"tracker_id":40,"status_id":1,"priority_id":2,"assigned_to_id":23,"start_date":"2017-07-05","description":"","custom_fields":[{"id":1,"name":"Subdivision","value":"EC"},{"id":4,"name":"Milepost","value":"0.1047"},{"id":17,"name":"Train ID","value":"241-04"},{"id":16,"name":"Locomotive ID","value":"4024"},{"id":130,"name":"Impact","value":""},{"id":150,"name":"Time of Event (Mountain Time)","value":"00:43:03"},{"id":151,"name":"Denver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94"/>
        <v>start /low /b %USERPROFILE%\Documents\GitHub\eaglep3\Utilities\DownloadLogsFromS3.py --loco 4024 --day 2017-07-05</v>
      </c>
      <c r="AN159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859</v>
      </c>
      <c r="B160" s="7">
        <v>4023</v>
      </c>
      <c r="C160" s="21" t="s">
        <v>202</v>
      </c>
      <c r="D160" s="21" t="s">
        <v>531</v>
      </c>
      <c r="E160" s="13">
        <v>42921.031354166669</v>
      </c>
      <c r="F160" s="13">
        <v>42921.03974537037</v>
      </c>
      <c r="G160" s="7">
        <v>1</v>
      </c>
      <c r="H160" s="21" t="s">
        <v>349</v>
      </c>
      <c r="I160" s="13">
        <v>42921.068877314814</v>
      </c>
      <c r="J160" s="7">
        <v>0</v>
      </c>
      <c r="K160" s="89" t="str">
        <f t="shared" si="82"/>
        <v>4023/4024</v>
      </c>
      <c r="L160" s="21" t="str">
        <f>VLOOKUP(A160,'Trips&amp;Operators'!$C$1:$G$99999,5,FALSE)</f>
        <v>FORTUNATO FRANK</v>
      </c>
      <c r="M160" s="6">
        <f t="shared" si="83"/>
        <v>2.9131944444088731E-2</v>
      </c>
      <c r="N160" s="7">
        <f t="shared" ref="N160:N191" si="99">24*60*SUM($M160:$M160)</f>
        <v>41.949999999487773</v>
      </c>
      <c r="O160" s="7"/>
      <c r="P160" s="7"/>
      <c r="Q160" s="22"/>
      <c r="R160" s="170"/>
      <c r="S160" s="213">
        <f t="shared" ref="S160:S191" si="100">SUM(U160:U160)/IF(AG160="EC",12,1)</f>
        <v>1</v>
      </c>
      <c r="T160" s="195" t="str">
        <f t="shared" si="8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85"/>
        <v>https://d0f6bd738d7f1b3e5a7ca70fe4ff75f0.us-east-1.aws.found.io/app/kibana#/discover/Steve-Slow-Train-Analysis-(2080s-and-2083s)?_g=(refreshInterval:(display:Off,pause:!f,section:0,value:0),time:(from:'2017-07-04T23:45:09-0600',mode:absolute,to:'2017-07-05T02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197" t="str">
        <f>IF(AA160&lt;VLOOKUP(AG160,Variables!$AC$3:$AD$8,2,FALSE),"Y","N")</f>
        <v>N</v>
      </c>
      <c r="X160" s="197">
        <f t="shared" si="98"/>
        <v>1</v>
      </c>
      <c r="Y160" s="197">
        <f t="shared" si="96"/>
        <v>23.299800000000001</v>
      </c>
      <c r="Z160" s="197">
        <f t="shared" si="97"/>
        <v>1.49E-2</v>
      </c>
      <c r="AA160" s="197">
        <f t="shared" si="86"/>
        <v>23.2849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87"/>
        <v>242</v>
      </c>
      <c r="AE160" s="77" t="str">
        <f t="shared" si="88"/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AF160" s="74" t="str">
        <f t="shared" si="89"/>
        <v>"C:\Program Files (x86)\AstroGrep\AstroGrep.exe" /e /r /s /spath="%USERPROFILE%\AppData\Local\Temp\OnboardLogs" /stypes="app*4023*20170705*" /stext=" 07:.+((SYSTEM_STATE.+slice.+state.+changed )|(ment ac)|(multiple cpu faults)|(system.+state.+changed )|(\[timeout)|(PRM\|1\|D)|(kpr)|(kdp)|(train st.+moving)|(\|lc)|(penalty))"</v>
      </c>
      <c r="AG160" s="209" t="str">
        <f t="shared" si="90"/>
        <v>EC</v>
      </c>
      <c r="AH160" s="78" t="str">
        <f t="shared" si="92"/>
        <v>"%USERPROFILE%\Documents\GitHub\eaglep3\Utilities\RefineRTDCRunTimes.py" --tripid 242-04 --locoid 4023 --swversion DE.1.0.9.0 --startMP 204:232998 --initTime 2017-07-05T00:45:09 --startdatetime 2017-07-05T00:57:14 --delay 1 --endMP 204:149 --enddatetime 2017-07-05T01:39:11 --enforcementcount 0 &gt;&gt;C:\Users\stu\Documents\GitHub\eaglep3-reporting\EC\2017-07-04-refined-times.txt</v>
      </c>
      <c r="AI160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{"issue":{"subject":"","project_id":79,"tracker_id":40,"status_id":1,"priority_id":2,"assigned_to_id":23,"start_date":"2017-07-05","description":"","custom_fields":[{"id":1,"name":"Subdivision","value":"EC"},{"id":4,"name":"Milepost","value":"0.0149"},{"id":17,"name":"Train ID","value":"242-04"},{"id":16,"name":"Locomotive ID","value":"4023"},{"id":130,"name":"Impact","value":""},{"id":150,"name":"Time of Event (Mountain Time)","value":"01:39:11"},{"id":151,"name":"Denver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94"/>
        <v>start /low /b %USERPROFILE%\Documents\GitHub\eaglep3\Utilities\DownloadLogsFromS3.py --loco 4023 --day 2017-07-05</v>
      </c>
      <c r="AN160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07:39:11"},{"id":29,"name":"Sharepoint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857</v>
      </c>
      <c r="B161" s="7">
        <v>4050</v>
      </c>
      <c r="C161" s="21" t="s">
        <v>202</v>
      </c>
      <c r="D161" s="21" t="s">
        <v>601</v>
      </c>
      <c r="E161" s="13">
        <v>42921.018784722219</v>
      </c>
      <c r="F161" s="13">
        <v>42921.021469907406</v>
      </c>
      <c r="G161" s="7">
        <v>3</v>
      </c>
      <c r="H161" s="21" t="s">
        <v>915</v>
      </c>
      <c r="I161" s="13">
        <v>42921.047951388886</v>
      </c>
      <c r="J161" s="7">
        <v>0</v>
      </c>
      <c r="K161" s="89" t="str">
        <f t="shared" si="82"/>
        <v>4049/4050</v>
      </c>
      <c r="L161" s="21" t="str">
        <f>VLOOKUP(A161,'Trips&amp;Operators'!$C$1:$G$99999,5,FALSE)</f>
        <v>NELSON ARIANE</v>
      </c>
      <c r="M161" s="6">
        <f t="shared" si="83"/>
        <v>2.6481481480004732E-2</v>
      </c>
      <c r="N161" s="7">
        <f t="shared" si="99"/>
        <v>38.133333331206813</v>
      </c>
      <c r="O161" s="7"/>
      <c r="P161" s="7"/>
      <c r="Q161" s="22"/>
      <c r="R161" s="170"/>
      <c r="S161" s="213">
        <f t="shared" si="100"/>
        <v>1</v>
      </c>
      <c r="T161" s="195" t="str">
        <f t="shared" si="8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85"/>
        <v>https://d0f6bd738d7f1b3e5a7ca70fe4ff75f0.us-east-1.aws.found.io/app/kibana#/discover/Steve-Slow-Train-Analysis-(2080s-and-2083s)?_g=(refreshInterval:(display:Off,pause:!f,section:0,value:0),time:(from:'2017-07-04T23:27:03-0600',mode:absolute,to:'2017-07-05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197" t="str">
        <f>IF(AA161&lt;VLOOKUP(AG161,Variables!$AC$3:$AD$8,2,FALSE),"Y","N")</f>
        <v>N</v>
      </c>
      <c r="X161" s="197">
        <f t="shared" si="98"/>
        <v>1</v>
      </c>
      <c r="Y161" s="197">
        <f t="shared" si="96"/>
        <v>4.8800000000000003E-2</v>
      </c>
      <c r="Z161" s="197">
        <f t="shared" si="97"/>
        <v>23.3264</v>
      </c>
      <c r="AA161" s="197">
        <f t="shared" si="86"/>
        <v>23.2776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87"/>
        <v>243</v>
      </c>
      <c r="AE161" s="77" t="str">
        <f t="shared" si="88"/>
        <v>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 &amp; 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</v>
      </c>
      <c r="AF161" s="74" t="str">
        <f t="shared" si="89"/>
        <v>"C:\Program Files (x86)\AstroGrep\AstroGrep.exe" /e /r /s /spath="%USERPROFILE%\AppData\Local\Temp\OnboardLogs" /stypes="app*4050*20170705*" /stext=" 07:.+((SYSTEM_STATE.+slice.+state.+changed )|(ment ac)|(multiple cpu faults)|(system.+state.+changed )|(\[timeout)|(PRM\|1\|D)|(kpr)|(kdp)|(train st.+moving)|(\|lc)|(penalty))"</v>
      </c>
      <c r="AG161" s="209" t="str">
        <f t="shared" si="90"/>
        <v>EC</v>
      </c>
      <c r="AH161" s="78" t="str">
        <f t="shared" si="92"/>
        <v>"%USERPROFILE%\Documents\GitHub\eaglep3\Utilities\RefineRTDCRunTimes.py" --tripid 243-04 --locoid 4050 --swversion DE.1.0.9.0 --startMP 204:488 --initTime 2017-07-05T00:27:03 --startdatetime 2017-07-05T00:30:55 --delay 3 --endMP 204:233264 --enddatetime 2017-07-05T01:09:03 --enforcementcount 0 &gt;&gt;C:\Users\stu\Documents\GitHub\eaglep3-reporting\EC\2017-07-04-refined-times.txt</v>
      </c>
      <c r="AI161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{"issue":{"subject":"","project_id":79,"tracker_id":40,"status_id":1,"priority_id":2,"assigned_to_id":23,"start_date":"2017-07-05","description":"","custom_fields":[{"id":1,"name":"Subdivision","value":"EC"},{"id":4,"name":"Milepost","value":"23.3264"},{"id":17,"name":"Train ID","value":"243-04"},{"id":16,"name":"Locomotive ID","value":"4050"},{"id":130,"name":"Impact","value":""},{"id":150,"name":"Time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94"/>
        <v>start /low /b %USERPROFILE%\Documents\GitHub\eaglep3\Utilities\DownloadLogsFromS3.py --loco 4050 --day 2017-07-05</v>
      </c>
      <c r="AN161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07:09:03"},{"id":29,"name":"Sharepoint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861</v>
      </c>
      <c r="B162" s="7">
        <v>4049</v>
      </c>
      <c r="C162" s="21" t="s">
        <v>202</v>
      </c>
      <c r="D162" s="21" t="s">
        <v>916</v>
      </c>
      <c r="E162" s="13">
        <v>42921.064398148148</v>
      </c>
      <c r="F162" s="13">
        <v>42921.065949074073</v>
      </c>
      <c r="G162" s="7">
        <v>2</v>
      </c>
      <c r="H162" s="21" t="s">
        <v>549</v>
      </c>
      <c r="I162" s="13">
        <v>42921.094594907408</v>
      </c>
      <c r="J162" s="7">
        <v>0</v>
      </c>
      <c r="K162" s="89" t="str">
        <f t="shared" si="82"/>
        <v>4049/4050</v>
      </c>
      <c r="L162" s="21" t="str">
        <f>VLOOKUP(A162,'Trips&amp;Operators'!$C$1:$G$99999,5,FALSE)</f>
        <v>NELSON ARIANE</v>
      </c>
      <c r="M162" s="6">
        <f t="shared" si="83"/>
        <v>2.8645833335758653E-2</v>
      </c>
      <c r="N162" s="7">
        <f t="shared" si="99"/>
        <v>41.25000000349246</v>
      </c>
      <c r="O162" s="7"/>
      <c r="P162" s="7"/>
      <c r="Q162" s="22"/>
      <c r="R162" s="170"/>
      <c r="S162" s="213">
        <f t="shared" si="100"/>
        <v>1</v>
      </c>
      <c r="T162" s="195" t="str">
        <f t="shared" si="8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85"/>
        <v>https://d0f6bd738d7f1b3e5a7ca70fe4ff75f0.us-east-1.aws.found.io/app/kibana#/discover/Steve-Slow-Train-Analysis-(2080s-and-2083s)?_g=(refreshInterval:(display:Off,pause:!f,section:0,value:0),time:(from:'2017-07-05T00:32:44-0600',mode:absolute,to:'2017-07-05T03:16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197" t="str">
        <f>IF(AA162&lt;VLOOKUP(AG162,Variables!$AC$3:$AD$8,2,FALSE),"Y","N")</f>
        <v>N</v>
      </c>
      <c r="X162" s="197">
        <f t="shared" si="98"/>
        <v>1</v>
      </c>
      <c r="Y162" s="197">
        <f t="shared" si="96"/>
        <v>23.294599999999999</v>
      </c>
      <c r="Z162" s="197">
        <f t="shared" si="97"/>
        <v>1.6500000000000001E-2</v>
      </c>
      <c r="AA162" s="197">
        <f t="shared" si="86"/>
        <v>23.278099999999998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87"/>
        <v>244</v>
      </c>
      <c r="AE162" s="77" t="str">
        <f t="shared" si="88"/>
        <v>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 &amp; 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</v>
      </c>
      <c r="AF162" s="74" t="str">
        <f t="shared" si="89"/>
        <v>"C:\Program Files (x86)\AstroGrep\AstroGrep.exe" /e /r /s /spath="%USERPROFILE%\AppData\Local\Temp\OnboardLogs" /stypes="app*4049*20170705*" /stext=" 08:.+((SYSTEM_STATE.+slice.+state.+changed )|(ment ac)|(multiple cpu faults)|(system.+state.+changed )|(\[timeout)|(PRM\|1\|D)|(kpr)|(kdp)|(train st.+moving)|(\|lc)|(penalty))"</v>
      </c>
      <c r="AG162" s="209" t="str">
        <f t="shared" si="90"/>
        <v>EC</v>
      </c>
      <c r="AH162" s="78" t="str">
        <f t="shared" si="92"/>
        <v>"%USERPROFILE%\Documents\GitHub\eaglep3\Utilities\RefineRTDCRunTimes.py" --tripid 244-04 --locoid 4049 --swversion DE.1.0.9.0 --startMP 204:232946 --initTime 2017-07-05T01:32:44 --startdatetime 2017-07-05T01:34:58 --delay 2 --endMP 204:165 --enddatetime 2017-07-05T02:16:13 --enforcementcount 0 &gt;&gt;C:\Users\stu\Documents\GitHub\eaglep3-reporting\EC\2017-07-04-refined-times.txt</v>
      </c>
      <c r="AI162" s="96" t="str">
        <f t="shared" si="93"/>
        <v>echo {"issue":{"subject":"","project_id":79,"tracker_id":40,"status_id":1,"priority_id":2,"assigned_to_id":23,"start_date":"2017-07-05","description":"","custom_fields":[{"id":1,"name":"Subdivision","value":"EC"},{"id":4,"name":"Milepost","value":"0.0165"},{"id":17,"name":"Train ID","value":"244-04"},{"id":16,"name":"Locomotive ID","value":"4049"},{"id":130,"name":"Impact","value":""},{"id":150,"name":"Time of Event (Mountain Time)","value":"02:16:13"},{"id":151,"name":"Denver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94"/>
        <v>start /low /b %USERPROFILE%\Documents\GitHub\eaglep3\Utilities\DownloadLogsFromS3.py --loco 4049 --day 2017-07-05</v>
      </c>
      <c r="AN162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08:16:13"},{"id":29,"name":"Sharepoint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677</v>
      </c>
      <c r="B163" s="7">
        <v>4021</v>
      </c>
      <c r="C163" s="21" t="s">
        <v>202</v>
      </c>
      <c r="D163" s="21" t="s">
        <v>506</v>
      </c>
      <c r="E163" s="13">
        <v>42920.211435185185</v>
      </c>
      <c r="F163" s="13">
        <v>42920.215219907404</v>
      </c>
      <c r="G163" s="7">
        <v>1</v>
      </c>
      <c r="H163" s="21" t="s">
        <v>945</v>
      </c>
      <c r="I163" s="13">
        <v>42920.225636574076</v>
      </c>
      <c r="J163" s="7">
        <v>0</v>
      </c>
      <c r="K163" s="89" t="str">
        <f t="shared" si="82"/>
        <v>4021/4022</v>
      </c>
      <c r="L163" s="21" t="str">
        <f>VLOOKUP(A163,'Trips&amp;Operators'!$C$1:$G$99999,5,FALSE)</f>
        <v>MILLER KEVIN</v>
      </c>
      <c r="M163" s="6">
        <f t="shared" si="83"/>
        <v>1.0416666671517305E-2</v>
      </c>
      <c r="N163" s="7">
        <f t="shared" si="99"/>
        <v>15.000000006984919</v>
      </c>
      <c r="O163" s="7"/>
      <c r="P163" s="7"/>
      <c r="Q163" s="22"/>
      <c r="R163" s="170"/>
      <c r="S163" s="213">
        <f t="shared" si="100"/>
        <v>1</v>
      </c>
      <c r="T163" s="195" t="str">
        <f t="shared" si="8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85"/>
        <v>https://d0f6bd738d7f1b3e5a7ca70fe4ff75f0.us-east-1.aws.found.io/app/kibana#/discover/Steve-Slow-Train-Analysis-(2080s-and-2083s)?_g=(refreshInterval:(display:Off,pause:!f,section:0,value:0),time:(from:'2017-07-04T04:04:28-0600',mode:absolute,to:'2017-07-04T06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97" t="str">
        <f>IF(AA163&lt;VLOOKUP(AG163,Variables!$AC$3:$AD$8,2,FALSE),"Y","N")</f>
        <v>N</v>
      </c>
      <c r="X163" s="197">
        <f t="shared" si="98"/>
        <v>556</v>
      </c>
      <c r="Y163" s="197">
        <f t="shared" si="96"/>
        <v>5.8620999999999999</v>
      </c>
      <c r="Z163" s="197">
        <f t="shared" si="97"/>
        <v>7.4999999999999997E-2</v>
      </c>
      <c r="AA163" s="197">
        <f t="shared" si="86"/>
        <v>5.7870999999999997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87"/>
        <v>800</v>
      </c>
      <c r="AE163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63" s="74" t="str">
        <f t="shared" si="89"/>
        <v>"C:\Program Files (x86)\AstroGrep\AstroGrep.exe" /e /r /s /spath="%USERPROFILE%\AppData\Local\Temp\OnboardLogs" /stypes="app*4021*20170704*" /stext=" 11:.+((SYSTEM_STATE.+slice.+state.+changed )|(ment ac)|(multiple cpu faults)|(system.+state.+changed )|(\[timeout)|(PRM\|1\|D)|(kpr)|(kdp)|(train st.+moving)|(\|lc)|(penalty))"</v>
      </c>
      <c r="AG163" s="209" t="str">
        <f t="shared" si="90"/>
        <v>NW</v>
      </c>
      <c r="AH163" s="78" t="str">
        <f t="shared" si="92"/>
        <v>"%USERPROFILE%\Documents\GitHub\eaglep3\Utilities\RefineRTDCRunTimes.py" --tripid 800-04 --locoid 4021 --swversion DE.1.0.9.0 --startMP 300:58621 --initTime 2017-07-04T05:04:28 --startdatetime 2017-07-04T05:09:55 --delay 1 --endMP 204:750 --enddatetime 2017-07-04T05:24:55 --enforcementcount 0 &gt;&gt;C:\Users\stu\Documents\GitHub\eaglep3-reporting\EC\2017-07-04-refined-times.txt</v>
      </c>
      <c r="AI163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{"issue":{"subject":"","project_id":79,"tracker_id":40,"status_id":1,"priority_id":2,"assigned_to_id":23,"start_date":"2017-07-04","description":"","custom_fields":[{"id":1,"name":"Subdivision","value":"NW"},{"id":4,"name":"Milepost","value":"0.075"},{"id":17,"name":"Train ID","value":"800-04"},{"id":16,"name":"Locomotive ID","value":"4021"},{"id":130,"name":"Impact","value":""},{"id":150,"name":"Time of Event (Mountain Time)","value":"05:24:55"},{"id":151,"name":"Denver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94"/>
        <v>start /low /b %USERPROFILE%\Documents\GitHub\eaglep3\Utilities\DownloadLogsFromS3.py --loco 4021 --day 2017-07-04</v>
      </c>
      <c r="AN163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682</v>
      </c>
      <c r="B164" s="7">
        <v>4022</v>
      </c>
      <c r="C164" s="21" t="s">
        <v>202</v>
      </c>
      <c r="D164" s="21" t="s">
        <v>946</v>
      </c>
      <c r="E164" s="13">
        <v>42920.227685185186</v>
      </c>
      <c r="F164" s="13">
        <v>42920.243946759256</v>
      </c>
      <c r="G164" s="7">
        <v>2</v>
      </c>
      <c r="H164" s="21" t="s">
        <v>947</v>
      </c>
      <c r="I164" s="13">
        <v>42920.254236111112</v>
      </c>
      <c r="J164" s="7">
        <v>0</v>
      </c>
      <c r="K164" s="89" t="str">
        <f t="shared" si="82"/>
        <v>4021/4022</v>
      </c>
      <c r="L164" s="21" t="str">
        <f>VLOOKUP(A164,'Trips&amp;Operators'!$C$1:$G$99999,5,FALSE)</f>
        <v>MILLER KEVIN</v>
      </c>
      <c r="M164" s="6">
        <f t="shared" si="83"/>
        <v>1.0289351856044959E-2</v>
      </c>
      <c r="N164" s="7">
        <f t="shared" si="99"/>
        <v>14.816666672704741</v>
      </c>
      <c r="O164" s="7"/>
      <c r="P164" s="7"/>
      <c r="Q164" s="22"/>
      <c r="R164" s="170"/>
      <c r="S164" s="213">
        <f t="shared" si="100"/>
        <v>1</v>
      </c>
      <c r="T164" s="195" t="str">
        <f t="shared" si="8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85"/>
        <v>https://d0f6bd738d7f1b3e5a7ca70fe4ff75f0.us-east-1.aws.found.io/app/kibana#/discover/Steve-Slow-Train-Analysis-(2080s-and-2083s)?_g=(refreshInterval:(display:Off,pause:!f,section:0,value:0),time:(from:'2017-07-04T04:27:52-0600',mode:absolute,to:'2017-07-04T07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97" t="str">
        <f>IF(AA164&lt;VLOOKUP(AG164,Variables!$AC$3:$AD$8,2,FALSE),"Y","N")</f>
        <v>N</v>
      </c>
      <c r="X164" s="197">
        <f t="shared" si="98"/>
        <v>1</v>
      </c>
      <c r="Y164" s="197">
        <f t="shared" si="96"/>
        <v>0.1021</v>
      </c>
      <c r="Z164" s="197">
        <f t="shared" si="97"/>
        <v>5.8940999999999999</v>
      </c>
      <c r="AA164" s="197">
        <f t="shared" si="86"/>
        <v>5.7919999999999998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87"/>
        <v>801</v>
      </c>
      <c r="AE164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64" s="74" t="str">
        <f t="shared" si="89"/>
        <v>"C:\Program Files (x86)\AstroGrep\AstroGrep.exe" /e /r /s /spath="%USERPROFILE%\AppData\Local\Temp\OnboardLogs" /stypes="app*4022*20170704*" /stext=" 12:.+((SYSTEM_STATE.+slice.+state.+changed )|(ment ac)|(multiple cpu faults)|(system.+state.+changed )|(\[timeout)|(PRM\|1\|D)|(kpr)|(kdp)|(train st.+moving)|(\|lc)|(penalty))"</v>
      </c>
      <c r="AG164" s="209" t="str">
        <f t="shared" si="90"/>
        <v>NW</v>
      </c>
      <c r="AH164" s="78" t="str">
        <f t="shared" si="92"/>
        <v>"%USERPROFILE%\Documents\GitHub\eaglep3\Utilities\RefineRTDCRunTimes.py" --tripid 801-04 --locoid 4022 --swversion DE.1.0.9.0 --startMP 204:1021 --initTime 2017-07-04T05:27:52 --startdatetime 2017-07-04T05:51:17 --delay 2 --endMP 300:58941 --enddatetime 2017-07-04T06:06:06 --enforcementcount 0 &gt;&gt;C:\Users\stu\Documents\GitHub\eaglep3-reporting\EC\2017-07-04-refined-times.txt</v>
      </c>
      <c r="AI164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{"issue":{"subject":"","project_id":79,"tracker_id":40,"status_id":1,"priority_id":2,"assigned_to_id":23,"start_date":"2017-07-04","description":"","custom_fields":[{"id":1,"name":"Subdivision","value":"NW"},{"id":4,"name":"Milepost","value":"5.8941"},{"id":17,"name":"Train ID","value":"801-04"},{"id":16,"name":"Locomotive ID","value":"4022"},{"id":130,"name":"Impact","value":""},{"id":150,"name":"Time of Event (Mountain Time)","value":"06:06:06"},{"id":151,"name":"Denver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94"/>
        <v>start /low /b %USERPROFILE%\Documents\GitHub\eaglep3\Utilities\DownloadLogsFromS3.py --loco 4022 --day 2017-07-04</v>
      </c>
      <c r="AN164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689</v>
      </c>
      <c r="B165" s="7">
        <v>4021</v>
      </c>
      <c r="C165" s="21" t="s">
        <v>202</v>
      </c>
      <c r="D165" s="21" t="s">
        <v>592</v>
      </c>
      <c r="E165" s="13">
        <v>42920.25545138889</v>
      </c>
      <c r="F165" s="13">
        <v>42920.257141203707</v>
      </c>
      <c r="G165" s="7">
        <v>1</v>
      </c>
      <c r="H165" s="21" t="s">
        <v>589</v>
      </c>
      <c r="I165" s="13">
        <v>42920.267962962964</v>
      </c>
      <c r="J165" s="7">
        <v>0</v>
      </c>
      <c r="K165" s="89" t="str">
        <f t="shared" si="82"/>
        <v>4021/4022</v>
      </c>
      <c r="L165" s="21" t="str">
        <f>VLOOKUP(A165,'Trips&amp;Operators'!$C$1:$G$99999,5,FALSE)</f>
        <v>MILLER KEVIN</v>
      </c>
      <c r="M165" s="6">
        <f t="shared" si="83"/>
        <v>1.0821759256941732E-2</v>
      </c>
      <c r="N165" s="7">
        <f t="shared" si="99"/>
        <v>15.583333329996094</v>
      </c>
      <c r="O165" s="7"/>
      <c r="P165" s="7"/>
      <c r="Q165" s="22"/>
      <c r="R165" s="170"/>
      <c r="S165" s="213">
        <f t="shared" si="100"/>
        <v>1</v>
      </c>
      <c r="T165" s="195" t="str">
        <f t="shared" si="8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85"/>
        <v>https://d0f6bd738d7f1b3e5a7ca70fe4ff75f0.us-east-1.aws.found.io/app/kibana#/discover/Steve-Slow-Train-Analysis-(2080s-and-2083s)?_g=(refreshInterval:(display:Off,pause:!f,section:0,value:0),time:(from:'2017-07-04T05:07:51-0600',mode:absolute,to:'2017-07-04T07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97" t="str">
        <f>IF(AA165&lt;VLOOKUP(AG165,Variables!$AC$3:$AD$8,2,FALSE),"Y","N")</f>
        <v>N</v>
      </c>
      <c r="X165" s="197">
        <f t="shared" si="98"/>
        <v>1</v>
      </c>
      <c r="Y165" s="197">
        <f t="shared" si="96"/>
        <v>5.8615000000000004</v>
      </c>
      <c r="Z165" s="197">
        <f t="shared" si="97"/>
        <v>7.2599999999999998E-2</v>
      </c>
      <c r="AA165" s="197">
        <f t="shared" si="86"/>
        <v>5.7888999999999999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87"/>
        <v>802</v>
      </c>
      <c r="AE165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65" s="74" t="str">
        <f t="shared" si="89"/>
        <v>"C:\Program Files (x86)\AstroGrep\AstroGrep.exe" /e /r /s /spath="%USERPROFILE%\AppData\Local\Temp\OnboardLogs" /stypes="app*4021*20170704*" /stext=" 12:.+((SYSTEM_STATE.+slice.+state.+changed )|(ment ac)|(multiple cpu faults)|(system.+state.+changed )|(\[timeout)|(PRM\|1\|D)|(kpr)|(kdp)|(train st.+moving)|(\|lc)|(penalty))"</v>
      </c>
      <c r="AG165" s="209" t="str">
        <f t="shared" si="90"/>
        <v>NW</v>
      </c>
      <c r="AH165" s="78" t="str">
        <f t="shared" si="92"/>
        <v>"%USERPROFILE%\Documents\GitHub\eaglep3\Utilities\RefineRTDCRunTimes.py" --tripid 802-04 --locoid 4021 --swversion DE.1.0.9.0 --startMP 300:58615 --initTime 2017-07-04T06:07:51 --startdatetime 2017-07-04T06:10:17 --delay 1 --endMP 204:726 --enddatetime 2017-07-04T06:25:52 --enforcementcount 0 &gt;&gt;C:\Users\stu\Documents\GitHub\eaglep3-reporting\EC\2017-07-04-refined-times.txt</v>
      </c>
      <c r="AI165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{"issue":{"subject":"","project_id":79,"tracker_id":40,"status_id":1,"priority_id":2,"assigned_to_id":23,"start_date":"2017-07-04","description":"","custom_fields":[{"id":1,"name":"Subdivision","value":"NW"},{"id":4,"name":"Milepost","value":"0.0726"},{"id":17,"name":"Train ID","value":"802-04"},{"id":16,"name":"Locomotive ID","value":"4021"},{"id":130,"name":"Impact","value":""},{"id":150,"name":"Time of Event (Mountain Time)","value":"06:25:52"},{"id":151,"name":"Denver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94"/>
        <v>start /low /b %USERPROFILE%\Documents\GitHub\eaglep3\Utilities\DownloadLogsFromS3.py --loco 4021 --day 2017-07-04</v>
      </c>
      <c r="AN165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691</v>
      </c>
      <c r="B166" s="7">
        <v>4060</v>
      </c>
      <c r="C166" s="21" t="s">
        <v>202</v>
      </c>
      <c r="D166" s="21" t="s">
        <v>948</v>
      </c>
      <c r="E166" s="13">
        <v>42920.26121527778</v>
      </c>
      <c r="F166" s="13">
        <v>42920.265138888892</v>
      </c>
      <c r="G166" s="7">
        <v>1</v>
      </c>
      <c r="H166" s="21" t="s">
        <v>497</v>
      </c>
      <c r="I166" s="13">
        <v>42920.274629629632</v>
      </c>
      <c r="J166" s="7">
        <v>0</v>
      </c>
      <c r="K166" s="89" t="str">
        <f t="shared" si="82"/>
        <v>4059/4060</v>
      </c>
      <c r="L166" s="21" t="str">
        <f>VLOOKUP(A166,'Trips&amp;Operators'!$C$1:$G$99999,5,FALSE)</f>
        <v>YANG JAN</v>
      </c>
      <c r="M166" s="6">
        <f t="shared" si="83"/>
        <v>9.4907407401478849E-3</v>
      </c>
      <c r="N166" s="7">
        <f t="shared" si="99"/>
        <v>13.666666665812954</v>
      </c>
      <c r="O166" s="7"/>
      <c r="P166" s="7"/>
      <c r="Q166" s="22"/>
      <c r="R166" s="170"/>
      <c r="S166" s="213">
        <f t="shared" si="100"/>
        <v>1</v>
      </c>
      <c r="T166" s="195" t="str">
        <f t="shared" si="8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85"/>
        <v>https://d0f6bd738d7f1b3e5a7ca70fe4ff75f0.us-east-1.aws.found.io/app/kibana#/discover/Steve-Slow-Train-Analysis-(2080s-and-2083s)?_g=(refreshInterval:(display:Off,pause:!f,section:0,value:0),time:(from:'2017-07-04T05:16:09-0600',mode:absolute,to:'2017-07-04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197" t="str">
        <f>IF(AA166&lt;VLOOKUP(AG166,Variables!$AC$3:$AD$8,2,FALSE),"Y","N")</f>
        <v>N</v>
      </c>
      <c r="X166" s="197">
        <f t="shared" si="98"/>
        <v>1</v>
      </c>
      <c r="Y166" s="197">
        <f t="shared" si="96"/>
        <v>9.8599999999999993E-2</v>
      </c>
      <c r="Z166" s="197">
        <f t="shared" si="97"/>
        <v>5.8944000000000001</v>
      </c>
      <c r="AA166" s="197">
        <f t="shared" si="86"/>
        <v>5.7957999999999998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87"/>
        <v>803</v>
      </c>
      <c r="AE166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66" s="74" t="str">
        <f t="shared" si="89"/>
        <v>"C:\Program Files (x86)\AstroGrep\AstroGrep.exe" /e /r /s /spath="%USERPROFILE%\AppData\Local\Temp\OnboardLogs" /stypes="app*4060*20170704*" /stext=" 12:.+((SYSTEM_STATE.+slice.+state.+changed )|(ment ac)|(multiple cpu faults)|(system.+state.+changed )|(\[timeout)|(PRM\|1\|D)|(kpr)|(kdp)|(train st.+moving)|(\|lc)|(penalty))"</v>
      </c>
      <c r="AG166" s="209" t="str">
        <f t="shared" si="90"/>
        <v>NW</v>
      </c>
      <c r="AH166" s="78" t="str">
        <f t="shared" si="92"/>
        <v>"%USERPROFILE%\Documents\GitHub\eaglep3\Utilities\RefineRTDCRunTimes.py" --tripid 803-04 --locoid 4060 --swversion DE.1.0.9.0 --startMP 204:986 --initTime 2017-07-04T06:16:09 --startdatetime 2017-07-04T06:21:48 --delay 1 --endMP 300:58944 --enddatetime 2017-07-04T06:35:28 --enforcementcount 0 &gt;&gt;C:\Users\stu\Documents\GitHub\eaglep3-reporting\EC\2017-07-04-refined-times.txt</v>
      </c>
      <c r="AI166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{"issue":{"subject":"","project_id":79,"tracker_id":40,"status_id":1,"priority_id":2,"assigned_to_id":23,"start_date":"2017-07-04","description":"","custom_fields":[{"id":1,"name":"Subdivision","value":"NW"},{"id":4,"name":"Milepost","value":"5.8944"},{"id":17,"name":"Train ID","value":"803-04"},{"id":16,"name":"Locomotive ID","value":"4060"},{"id":130,"name":"Impact","value":""},{"id":150,"name":"Time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94"/>
        <v>start /low /b %USERPROFILE%\Documents\GitHub\eaglep3\Utilities\DownloadLogsFromS3.py --loco 4060 --day 2017-07-04</v>
      </c>
      <c r="AN166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694</v>
      </c>
      <c r="B167" s="7">
        <v>4059</v>
      </c>
      <c r="C167" s="21" t="s">
        <v>202</v>
      </c>
      <c r="D167" s="21" t="s">
        <v>559</v>
      </c>
      <c r="E167" s="13">
        <v>42920.27679398148</v>
      </c>
      <c r="F167" s="13">
        <v>42920.278796296298</v>
      </c>
      <c r="G167" s="7">
        <v>1</v>
      </c>
      <c r="H167" s="21" t="s">
        <v>558</v>
      </c>
      <c r="I167" s="13">
        <v>42920.288425925923</v>
      </c>
      <c r="J167" s="7">
        <v>0</v>
      </c>
      <c r="K167" s="89" t="str">
        <f t="shared" si="82"/>
        <v>4059/4060</v>
      </c>
      <c r="L167" s="21" t="str">
        <f>VLOOKUP(A167,'Trips&amp;Operators'!$C$1:$G$99999,5,FALSE)</f>
        <v>YANG JAN</v>
      </c>
      <c r="M167" s="6">
        <f t="shared" si="83"/>
        <v>9.6296296251239255E-3</v>
      </c>
      <c r="N167" s="7">
        <f t="shared" si="99"/>
        <v>13.866666660178453</v>
      </c>
      <c r="O167" s="7"/>
      <c r="P167" s="7"/>
      <c r="Q167" s="22"/>
      <c r="R167" s="170"/>
      <c r="S167" s="213">
        <f t="shared" si="100"/>
        <v>1</v>
      </c>
      <c r="T167" s="195" t="str">
        <f t="shared" si="8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85"/>
        <v>https://d0f6bd738d7f1b3e5a7ca70fe4ff75f0.us-east-1.aws.found.io/app/kibana#/discover/Steve-Slow-Train-Analysis-(2080s-and-2083s)?_g=(refreshInterval:(display:Off,pause:!f,section:0,value:0),time:(from:'2017-07-04T05:38:35-0600',mode:absolute,to:'2017-07-04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197" t="str">
        <f>IF(AA167&lt;VLOOKUP(AG167,Variables!$AC$3:$AD$8,2,FALSE),"Y","N")</f>
        <v>N</v>
      </c>
      <c r="X167" s="197">
        <f t="shared" si="98"/>
        <v>1</v>
      </c>
      <c r="Y167" s="197">
        <f t="shared" si="96"/>
        <v>5.8628</v>
      </c>
      <c r="Z167" s="197">
        <f t="shared" si="97"/>
        <v>6.8000000000000005E-2</v>
      </c>
      <c r="AA167" s="197">
        <f t="shared" si="86"/>
        <v>5.7948000000000004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87"/>
        <v>804</v>
      </c>
      <c r="AE167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67" s="74" t="str">
        <f t="shared" si="89"/>
        <v>"C:\Program Files (x86)\AstroGrep\AstroGrep.exe" /e /r /s /spath="%USERPROFILE%\AppData\Local\Temp\OnboardLogs" /stypes="app*4059*20170704*" /stext=" 12:.+((SYSTEM_STATE.+slice.+state.+changed )|(ment ac)|(multiple cpu faults)|(system.+state.+changed )|(\[timeout)|(PRM\|1\|D)|(kpr)|(kdp)|(train st.+moving)|(\|lc)|(penalty))"</v>
      </c>
      <c r="AG167" s="209" t="str">
        <f t="shared" si="90"/>
        <v>NW</v>
      </c>
      <c r="AH167" s="78" t="str">
        <f t="shared" si="92"/>
        <v>"%USERPROFILE%\Documents\GitHub\eaglep3\Utilities\RefineRTDCRunTimes.py" --tripid 804-04 --locoid 4059 --swversion DE.1.0.9.0 --startMP 300:58628 --initTime 2017-07-04T06:38:35 --startdatetime 2017-07-04T06:41:28 --delay 1 --endMP 204:680 --enddatetime 2017-07-04T06:55:20 --enforcementcount 0 &gt;&gt;C:\Users\stu\Documents\GitHub\eaglep3-reporting\EC\2017-07-04-refined-times.txt</v>
      </c>
      <c r="AI167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{"issue":{"subject":"","project_id":79,"tracker_id":40,"status_id":1,"priority_id":2,"assigned_to_id":23,"start_date":"2017-07-04","description":"","custom_fields":[{"id":1,"name":"Subdivision","value":"NW"},{"id":4,"name":"Milepost","value":"0.068"},{"id":17,"name":"Train ID","value":"804-04"},{"id":16,"name":"Locomotive ID","value":"4059"},{"id":130,"name":"Impact","value":""},{"id":150,"name":"Time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94"/>
        <v>start /low /b %USERPROFILE%\Documents\GitHub\eaglep3\Utilities\DownloadLogsFromS3.py --loco 4059 --day 2017-07-04</v>
      </c>
      <c r="AN167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696</v>
      </c>
      <c r="B168" s="7">
        <v>4022</v>
      </c>
      <c r="C168" s="21" t="s">
        <v>202</v>
      </c>
      <c r="D168" s="21" t="s">
        <v>949</v>
      </c>
      <c r="E168" s="13">
        <v>42920.283310185187</v>
      </c>
      <c r="F168" s="13">
        <v>42920.285636574074</v>
      </c>
      <c r="G168" s="7">
        <v>1</v>
      </c>
      <c r="H168" s="21" t="s">
        <v>950</v>
      </c>
      <c r="I168" s="13">
        <v>42920.295011574075</v>
      </c>
      <c r="J168" s="7">
        <v>0</v>
      </c>
      <c r="K168" s="89" t="str">
        <f t="shared" si="82"/>
        <v>4021/4022</v>
      </c>
      <c r="L168" s="21" t="str">
        <f>VLOOKUP(A168,'Trips&amp;Operators'!$C$1:$G$99999,5,FALSE)</f>
        <v>MILLER KEVIN</v>
      </c>
      <c r="M168" s="6">
        <f t="shared" si="83"/>
        <v>9.3750000014551915E-3</v>
      </c>
      <c r="N168" s="7">
        <f t="shared" si="99"/>
        <v>13.500000002095476</v>
      </c>
      <c r="O168" s="7"/>
      <c r="P168" s="7"/>
      <c r="Q168" s="22"/>
      <c r="R168" s="170"/>
      <c r="S168" s="213">
        <f t="shared" si="100"/>
        <v>1</v>
      </c>
      <c r="T168" s="195" t="str">
        <f t="shared" si="8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85"/>
        <v>https://d0f6bd738d7f1b3e5a7ca70fe4ff75f0.us-east-1.aws.found.io/app/kibana#/discover/Steve-Slow-Train-Analysis-(2080s-and-2083s)?_g=(refreshInterval:(display:Off,pause:!f,section:0,value:0),time:(from:'2017-07-04T05:47:58-0600',mode:absolute,to:'2017-07-04T08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97" t="str">
        <f>IF(AA168&lt;VLOOKUP(AG168,Variables!$AC$3:$AD$8,2,FALSE),"Y","N")</f>
        <v>N</v>
      </c>
      <c r="X168" s="197">
        <f t="shared" ref="X168:X180" si="101">VALUE(LEFT(AD168,4))-VALUE(LEFT(AD167,4))</f>
        <v>1</v>
      </c>
      <c r="Y168" s="197">
        <f t="shared" si="96"/>
        <v>0.1016</v>
      </c>
      <c r="Z168" s="197">
        <f t="shared" si="97"/>
        <v>5.8926999999999996</v>
      </c>
      <c r="AA168" s="197">
        <f t="shared" si="86"/>
        <v>5.7910999999999992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87"/>
        <v>805</v>
      </c>
      <c r="AE168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68" s="74" t="str">
        <f t="shared" si="89"/>
        <v>"C:\Program Files (x86)\AstroGrep\AstroGrep.exe" /e /r /s /spath="%USERPROFILE%\AppData\Local\Temp\OnboardLogs" /stypes="app*4022*20170704*" /stext=" 13:.+((SYSTEM_STATE.+slice.+state.+changed )|(ment ac)|(multiple cpu faults)|(system.+state.+changed )|(\[timeout)|(PRM\|1\|D)|(kpr)|(kdp)|(train st.+moving)|(\|lc)|(penalty))"</v>
      </c>
      <c r="AG168" s="209" t="str">
        <f t="shared" si="90"/>
        <v>NW</v>
      </c>
      <c r="AH168" s="78" t="str">
        <f t="shared" si="92"/>
        <v>"%USERPROFILE%\Documents\GitHub\eaglep3\Utilities\RefineRTDCRunTimes.py" --tripid 805-04 --locoid 4022 --swversion DE.1.0.9.0 --startMP 204:1016 --initTime 2017-07-04T06:47:58 --startdatetime 2017-07-04T06:51:19 --delay 1 --endMP 300:58927 --enddatetime 2017-07-04T07:04:49 --enforcementcount 0 &gt;&gt;C:\Users\stu\Documents\GitHub\eaglep3-reporting\EC\2017-07-04-refined-times.txt</v>
      </c>
      <c r="AI168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{"issue":{"subject":"","project_id":79,"tracker_id":40,"status_id":1,"priority_id":2,"assigned_to_id":23,"start_date":"2017-07-04","description":"","custom_fields":[{"id":1,"name":"Subdivision","value":"NW"},{"id":4,"name":"Milepost","value":"5.8927"},{"id":17,"name":"Train ID","value":"805-04"},{"id":16,"name":"Locomotive ID","value":"4022"},{"id":130,"name":"Impact","value":""},{"id":150,"name":"Time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94"/>
        <v>start /low /b %USERPROFILE%\Documents\GitHub\eaglep3\Utilities\DownloadLogsFromS3.py --loco 4022 --day 2017-07-04</v>
      </c>
      <c r="AN168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700</v>
      </c>
      <c r="B169" s="7">
        <v>4021</v>
      </c>
      <c r="C169" s="21" t="s">
        <v>202</v>
      </c>
      <c r="D169" s="21" t="s">
        <v>951</v>
      </c>
      <c r="E169" s="13">
        <v>42920.296516203707</v>
      </c>
      <c r="F169" s="13">
        <v>42920.299201388887</v>
      </c>
      <c r="G169" s="7">
        <v>1</v>
      </c>
      <c r="H169" s="21" t="s">
        <v>952</v>
      </c>
      <c r="I169" s="13">
        <v>42920.311145833337</v>
      </c>
      <c r="J169" s="7">
        <v>0</v>
      </c>
      <c r="K169" s="89" t="str">
        <f t="shared" si="82"/>
        <v>4021/4022</v>
      </c>
      <c r="L169" s="21" t="str">
        <f>VLOOKUP(A169,'Trips&amp;Operators'!$C$1:$G$99999,5,FALSE)</f>
        <v>MILLER KEVIN</v>
      </c>
      <c r="M169" s="6">
        <f t="shared" si="83"/>
        <v>1.1944444449909497E-2</v>
      </c>
      <c r="N169" s="7">
        <f t="shared" si="99"/>
        <v>17.200000007869676</v>
      </c>
      <c r="O169" s="7"/>
      <c r="P169" s="7"/>
      <c r="Q169" s="22"/>
      <c r="R169" s="170"/>
      <c r="S169" s="213">
        <f t="shared" si="100"/>
        <v>1</v>
      </c>
      <c r="T169" s="195" t="str">
        <f t="shared" si="8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85"/>
        <v>https://d0f6bd738d7f1b3e5a7ca70fe4ff75f0.us-east-1.aws.found.io/app/kibana#/discover/Steve-Slow-Train-Analysis-(2080s-and-2083s)?_g=(refreshInterval:(display:Off,pause:!f,section:0,value:0),time:(from:'2017-07-04T06:06:59-0600',mode:absolute,to:'2017-07-04T08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97" t="str">
        <f>IF(AA169&lt;VLOOKUP(AG169,Variables!$AC$3:$AD$8,2,FALSE),"Y","N")</f>
        <v>N</v>
      </c>
      <c r="X169" s="197">
        <f t="shared" si="101"/>
        <v>1</v>
      </c>
      <c r="Y169" s="197">
        <f t="shared" si="96"/>
        <v>5.8616999999999999</v>
      </c>
      <c r="Z169" s="197">
        <f t="shared" si="97"/>
        <v>7.7100000000000002E-2</v>
      </c>
      <c r="AA169" s="197">
        <f t="shared" si="86"/>
        <v>5.7846000000000002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87"/>
        <v>806</v>
      </c>
      <c r="AE169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69" s="74" t="str">
        <f t="shared" si="89"/>
        <v>"C:\Program Files (x86)\AstroGrep\AstroGrep.exe" /e /r /s /spath="%USERPROFILE%\AppData\Local\Temp\OnboardLogs" /stypes="app*4021*20170704*" /stext=" 13:.+((SYSTEM_STATE.+slice.+state.+changed )|(ment ac)|(multiple cpu faults)|(system.+state.+changed )|(\[timeout)|(PRM\|1\|D)|(kpr)|(kdp)|(train st.+moving)|(\|lc)|(penalty))"</v>
      </c>
      <c r="AG169" s="209" t="str">
        <f t="shared" si="90"/>
        <v>NW</v>
      </c>
      <c r="AH169" s="78" t="str">
        <f t="shared" si="92"/>
        <v>"%USERPROFILE%\Documents\GitHub\eaglep3\Utilities\RefineRTDCRunTimes.py" --tripid 806-04 --locoid 4021 --swversion DE.1.0.9.0 --startMP 300:58617 --initTime 2017-07-04T07:06:59 --startdatetime 2017-07-04T07:10:51 --delay 1 --endMP 204:771 --enddatetime 2017-07-04T07:28:03 --enforcementcount 0 &gt;&gt;C:\Users\stu\Documents\GitHub\eaglep3-reporting\EC\2017-07-04-refined-times.txt</v>
      </c>
      <c r="AI169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{"issue":{"subject":"","project_id":79,"tracker_id":40,"status_id":1,"priority_id":2,"assigned_to_id":23,"start_date":"2017-07-04","description":"","custom_fields":[{"id":1,"name":"Subdivision","value":"NW"},{"id":4,"name":"Milepost","value":"0.0771"},{"id":17,"name":"Train ID","value":"806-04"},{"id":16,"name":"Locomotive ID","value":"4021"},{"id":130,"name":"Impact","value":""},{"id":150,"name":"Time of Event (Mountain Time)","value":"07:28:03"},{"id":151,"name":"Denver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94"/>
        <v>start /low /b %USERPROFILE%\Documents\GitHub\eaglep3\Utilities\DownloadLogsFromS3.py --loco 4021 --day 2017-07-04</v>
      </c>
      <c r="AN169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701</v>
      </c>
      <c r="B170" s="7">
        <v>4060</v>
      </c>
      <c r="C170" s="21" t="s">
        <v>202</v>
      </c>
      <c r="D170" s="21" t="s">
        <v>588</v>
      </c>
      <c r="E170" s="13">
        <v>42920.297476851854</v>
      </c>
      <c r="F170" s="13">
        <v>42920.306770833333</v>
      </c>
      <c r="G170" s="7">
        <v>1</v>
      </c>
      <c r="H170" s="21" t="s">
        <v>953</v>
      </c>
      <c r="I170" s="13">
        <v>42920.316423611112</v>
      </c>
      <c r="J170" s="7">
        <v>0</v>
      </c>
      <c r="K170" s="89" t="str">
        <f t="shared" si="82"/>
        <v>4059/4060</v>
      </c>
      <c r="L170" s="21" t="str">
        <f>VLOOKUP(A170,'Trips&amp;Operators'!$C$1:$G$99999,5,FALSE)</f>
        <v>YANG JAN</v>
      </c>
      <c r="M170" s="6">
        <f t="shared" si="83"/>
        <v>9.6527777786832303E-3</v>
      </c>
      <c r="N170" s="7">
        <f t="shared" si="99"/>
        <v>13.900000001303852</v>
      </c>
      <c r="O170" s="7"/>
      <c r="P170" s="7"/>
      <c r="Q170" s="22"/>
      <c r="R170" s="170"/>
      <c r="S170" s="213">
        <f t="shared" si="100"/>
        <v>1</v>
      </c>
      <c r="T170" s="195" t="str">
        <f t="shared" si="8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85"/>
        <v>https://d0f6bd738d7f1b3e5a7ca70fe4ff75f0.us-east-1.aws.found.io/app/kibana#/discover/Steve-Slow-Train-Analysis-(2080s-and-2083s)?_g=(refreshInterval:(display:Off,pause:!f,section:0,value:0),time:(from:'2017-07-04T06:08:22-0600',mode:absolute,to:'2017-07-04T08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0" s="197" t="str">
        <f>IF(AA170&lt;VLOOKUP(AG170,Variables!$AC$3:$AD$8,2,FALSE),"Y","N")</f>
        <v>N</v>
      </c>
      <c r="X170" s="197">
        <f t="shared" si="101"/>
        <v>1</v>
      </c>
      <c r="Y170" s="197">
        <f t="shared" si="96"/>
        <v>9.9699999999999997E-2</v>
      </c>
      <c r="Z170" s="197">
        <f t="shared" si="97"/>
        <v>5.8933</v>
      </c>
      <c r="AA170" s="197">
        <f t="shared" si="86"/>
        <v>5.7935999999999996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87"/>
        <v>807</v>
      </c>
      <c r="AE170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70" s="74" t="str">
        <f t="shared" si="89"/>
        <v>"C:\Program Files (x86)\AstroGrep\AstroGrep.exe" /e /r /s /spath="%USERPROFILE%\AppData\Local\Temp\OnboardLogs" /stypes="app*4060*20170704*" /stext=" 13:.+((SYSTEM_STATE.+slice.+state.+changed )|(ment ac)|(multiple cpu faults)|(system.+state.+changed )|(\[timeout)|(PRM\|1\|D)|(kpr)|(kdp)|(train st.+moving)|(\|lc)|(penalty))"</v>
      </c>
      <c r="AG170" s="209" t="str">
        <f t="shared" si="90"/>
        <v>NW</v>
      </c>
      <c r="AH170" s="78" t="str">
        <f t="shared" si="92"/>
        <v>"%USERPROFILE%\Documents\GitHub\eaglep3\Utilities\RefineRTDCRunTimes.py" --tripid 807-04 --locoid 4060 --swversion DE.1.0.9.0 --startMP 204:997 --initTime 2017-07-04T07:08:22 --startdatetime 2017-07-04T07:21:45 --delay 1 --endMP 300:58933 --enddatetime 2017-07-04T07:35:39 --enforcementcount 0 &gt;&gt;C:\Users\stu\Documents\GitHub\eaglep3-reporting\EC\2017-07-04-refined-times.txt</v>
      </c>
      <c r="AI170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{"issue":{"subject":"","project_id":79,"tracker_id":40,"status_id":1,"priority_id":2,"assigned_to_id":23,"start_date":"2017-07-04","description":"","custom_fields":[{"id":1,"name":"Subdivision","value":"NW"},{"id":4,"name":"Milepost","value":"5.8933"},{"id":17,"name":"Train ID","value":"807-04"},{"id":16,"name":"Locomotive ID","value":"4060"},{"id":130,"name":"Impact","value":""},{"id":150,"name":"Time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94"/>
        <v>start /low /b %USERPROFILE%\Documents\GitHub\eaglep3\Utilities\DownloadLogsFromS3.py --loco 4060 --day 2017-07-04</v>
      </c>
      <c r="AN170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612</v>
      </c>
      <c r="B171" s="7">
        <v>4059</v>
      </c>
      <c r="C171" s="21" t="s">
        <v>202</v>
      </c>
      <c r="D171" s="21" t="s">
        <v>954</v>
      </c>
      <c r="E171" s="13">
        <v>42920.318043981482</v>
      </c>
      <c r="F171" s="13">
        <v>42920.320104166669</v>
      </c>
      <c r="G171" s="7">
        <v>1</v>
      </c>
      <c r="H171" s="21" t="s">
        <v>955</v>
      </c>
      <c r="I171" s="13">
        <v>42920.330081018517</v>
      </c>
      <c r="J171" s="7">
        <v>0</v>
      </c>
      <c r="K171" s="89" t="str">
        <f t="shared" si="82"/>
        <v>4059/4060</v>
      </c>
      <c r="L171" s="21" t="str">
        <f>VLOOKUP(A171,'Trips&amp;Operators'!$C$1:$G$99999,5,FALSE)</f>
        <v>YANG JAN</v>
      </c>
      <c r="M171" s="6">
        <f t="shared" si="83"/>
        <v>9.9768518484779634E-3</v>
      </c>
      <c r="N171" s="7">
        <f t="shared" si="99"/>
        <v>14.366666661808267</v>
      </c>
      <c r="O171" s="7"/>
      <c r="P171" s="7"/>
      <c r="Q171" s="22"/>
      <c r="R171" s="170"/>
      <c r="S171" s="213">
        <f t="shared" si="100"/>
        <v>1</v>
      </c>
      <c r="T171" s="195" t="str">
        <f t="shared" si="8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85"/>
        <v>https://d0f6bd738d7f1b3e5a7ca70fe4ff75f0.us-east-1.aws.found.io/app/kibana#/discover/Steve-Slow-Train-Analysis-(2080s-and-2083s)?_g=(refreshInterval:(display:Off,pause:!f,section:0,value:0),time:(from:'2017-07-04T06:37:59-0600',mode:absolute,to:'2017-07-04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1" s="197" t="str">
        <f>IF(AA171&lt;VLOOKUP(AG171,Variables!$AC$3:$AD$8,2,FALSE),"Y","N")</f>
        <v>N</v>
      </c>
      <c r="X171" s="197">
        <f t="shared" si="101"/>
        <v>1</v>
      </c>
      <c r="Y171" s="197">
        <f t="shared" si="96"/>
        <v>5.8604000000000003</v>
      </c>
      <c r="Z171" s="197">
        <f t="shared" si="97"/>
        <v>6.9400000000000003E-2</v>
      </c>
      <c r="AA171" s="197">
        <f t="shared" si="86"/>
        <v>5.7910000000000004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87"/>
        <v>808</v>
      </c>
      <c r="AE171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71" s="74" t="str">
        <f t="shared" si="89"/>
        <v>"C:\Program Files (x86)\AstroGrep\AstroGrep.exe" /e /r /s /spath="%USERPROFILE%\AppData\Local\Temp\OnboardLogs" /stypes="app*4059*20170704*" /stext=" 13:.+((SYSTEM_STATE.+slice.+state.+changed )|(ment ac)|(multiple cpu faults)|(system.+state.+changed )|(\[timeout)|(PRM\|1\|D)|(kpr)|(kdp)|(train st.+moving)|(\|lc)|(penalty))"</v>
      </c>
      <c r="AG171" s="209" t="str">
        <f t="shared" si="90"/>
        <v>NW</v>
      </c>
      <c r="AH171" s="78" t="str">
        <f t="shared" si="92"/>
        <v>"%USERPROFILE%\Documents\GitHub\eaglep3\Utilities\RefineRTDCRunTimes.py" --tripid 808-04 --locoid 4059 --swversion DE.1.0.9.0 --startMP 300:58604 --initTime 2017-07-04T07:37:59 --startdatetime 2017-07-04T07:40:57 --delay 1 --endMP 204:694 --enddatetime 2017-07-04T07:55:19 --enforcementcount 0 &gt;&gt;C:\Users\stu\Documents\GitHub\eaglep3-reporting\EC\2017-07-04-refined-times.txt</v>
      </c>
      <c r="AI171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{"issue":{"subject":"","project_id":79,"tracker_id":40,"status_id":1,"priority_id":2,"assigned_to_id":23,"start_date":"2017-07-04","description":"","custom_fields":[{"id":1,"name":"Subdivision","value":"NW"},{"id":4,"name":"Milepost","value":"0.0694"},{"id":17,"name":"Train ID","value":"808-04"},{"id":16,"name":"Locomotive ID","value":"4059"},{"id":130,"name":"Impact","value":""},{"id":150,"name":"Time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94"/>
        <v>start /low /b %USERPROFILE%\Documents\GitHub\eaglep3\Utilities\DownloadLogsFromS3.py --loco 4059 --day 2017-07-04</v>
      </c>
      <c r="AN171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708</v>
      </c>
      <c r="B172" s="7">
        <v>4022</v>
      </c>
      <c r="C172" s="21" t="s">
        <v>202</v>
      </c>
      <c r="D172" s="21" t="s">
        <v>596</v>
      </c>
      <c r="E172" s="13">
        <v>42920.322592592594</v>
      </c>
      <c r="F172" s="13">
        <v>42920.327256944445</v>
      </c>
      <c r="G172" s="7">
        <v>1</v>
      </c>
      <c r="H172" s="21" t="s">
        <v>956</v>
      </c>
      <c r="I172" s="13">
        <v>42920.33662037037</v>
      </c>
      <c r="J172" s="7">
        <v>0</v>
      </c>
      <c r="K172" s="89" t="str">
        <f t="shared" si="82"/>
        <v>4021/4022</v>
      </c>
      <c r="L172" s="21" t="str">
        <f>VLOOKUP(A172,'Trips&amp;Operators'!$C$1:$G$99999,5,FALSE)</f>
        <v>MILLER KEVIN</v>
      </c>
      <c r="M172" s="6">
        <f t="shared" si="83"/>
        <v>9.3634259246755391E-3</v>
      </c>
      <c r="N172" s="7">
        <f t="shared" si="99"/>
        <v>13.483333331532776</v>
      </c>
      <c r="O172" s="7"/>
      <c r="P172" s="7"/>
      <c r="Q172" s="22"/>
      <c r="R172" s="170"/>
      <c r="S172" s="213">
        <f t="shared" si="100"/>
        <v>1</v>
      </c>
      <c r="T172" s="195" t="str">
        <f t="shared" si="8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85"/>
        <v>https://d0f6bd738d7f1b3e5a7ca70fe4ff75f0.us-east-1.aws.found.io/app/kibana#/discover/Steve-Slow-Train-Analysis-(2080s-and-2083s)?_g=(refreshInterval:(display:Off,pause:!f,section:0,value:0),time:(from:'2017-07-04T06:44:32-0600',mode:absolute,to:'2017-07-04T09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97" t="str">
        <f>IF(AA172&lt;VLOOKUP(AG172,Variables!$AC$3:$AD$8,2,FALSE),"Y","N")</f>
        <v>N</v>
      </c>
      <c r="X172" s="197">
        <f t="shared" si="101"/>
        <v>1</v>
      </c>
      <c r="Y172" s="197">
        <f t="shared" si="96"/>
        <v>0.1055</v>
      </c>
      <c r="Z172" s="197">
        <f t="shared" si="97"/>
        <v>5.8935000000000004</v>
      </c>
      <c r="AA172" s="197">
        <f t="shared" si="86"/>
        <v>5.7880000000000003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87"/>
        <v>809</v>
      </c>
      <c r="AE172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72" s="74" t="str">
        <f t="shared" si="89"/>
        <v>"C:\Program Files (x86)\AstroGrep\AstroGrep.exe" /e /r /s /spath="%USERPROFILE%\AppData\Local\Temp\OnboardLogs" /stypes="app*4022*20170704*" /stext=" 14:.+((SYSTEM_STATE.+slice.+state.+changed )|(ment ac)|(multiple cpu faults)|(system.+state.+changed )|(\[timeout)|(PRM\|1\|D)|(kpr)|(kdp)|(train st.+moving)|(\|lc)|(penalty))"</v>
      </c>
      <c r="AG172" s="209" t="str">
        <f t="shared" si="90"/>
        <v>NW</v>
      </c>
      <c r="AH172" s="78" t="str">
        <f t="shared" si="92"/>
        <v>"%USERPROFILE%\Documents\GitHub\eaglep3\Utilities\RefineRTDCRunTimes.py" --tripid 809-04 --locoid 4022 --swversion DE.1.0.9.0 --startMP 204:1055 --initTime 2017-07-04T07:44:32 --startdatetime 2017-07-04T07:51:15 --delay 1 --endMP 300:58935 --enddatetime 2017-07-04T08:04:44 --enforcementcount 0 &gt;&gt;C:\Users\stu\Documents\GitHub\eaglep3-reporting\EC\2017-07-04-refined-times.txt</v>
      </c>
      <c r="AI172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{"issue":{"subject":"","project_id":79,"tracker_id":40,"status_id":1,"priority_id":2,"assigned_to_id":23,"start_date":"2017-07-04","description":"","custom_fields":[{"id":1,"name":"Subdivision","value":"NW"},{"id":4,"name":"Milepost","value":"5.8935"},{"id":17,"name":"Train ID","value":"809-04"},{"id":16,"name":"Locomotive ID","value":"4022"},{"id":130,"name":"Impact","value":""},{"id":150,"name":"Time of Event (Mountain Time)","value":"08:04:44"},{"id":151,"name":"Denver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94"/>
        <v>start /low /b %USERPROFILE%\Documents\GitHub\eaglep3\Utilities\DownloadLogsFromS3.py --loco 4022 --day 2017-07-04</v>
      </c>
      <c r="AN172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615</v>
      </c>
      <c r="B173" s="7">
        <v>4021</v>
      </c>
      <c r="C173" s="21" t="s">
        <v>202</v>
      </c>
      <c r="D173" s="21" t="s">
        <v>959</v>
      </c>
      <c r="E173" s="13">
        <v>42920.337754629632</v>
      </c>
      <c r="F173" s="13">
        <v>42920.340057870373</v>
      </c>
      <c r="G173" s="7">
        <v>1</v>
      </c>
      <c r="H173" s="21" t="s">
        <v>960</v>
      </c>
      <c r="I173" s="13">
        <v>42920.350613425922</v>
      </c>
      <c r="J173" s="7">
        <v>0</v>
      </c>
      <c r="K173" s="89" t="str">
        <f t="shared" si="82"/>
        <v>4021/4022</v>
      </c>
      <c r="L173" s="21" t="str">
        <f>VLOOKUP(A173,'Trips&amp;Operators'!$C$1:$G$99999,5,FALSE)</f>
        <v>MILLER KEVIN</v>
      </c>
      <c r="M173" s="6">
        <f t="shared" si="83"/>
        <v>1.0555555549217388E-2</v>
      </c>
      <c r="N173" s="7">
        <f t="shared" si="99"/>
        <v>15.199999990873039</v>
      </c>
      <c r="O173" s="7"/>
      <c r="P173" s="7"/>
      <c r="Q173" s="22"/>
      <c r="R173" s="170"/>
      <c r="S173" s="213">
        <f t="shared" si="100"/>
        <v>1</v>
      </c>
      <c r="T173" s="195" t="str">
        <f t="shared" si="8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85"/>
        <v>https://d0f6bd738d7f1b3e5a7ca70fe4ff75f0.us-east-1.aws.found.io/app/kibana#/discover/Steve-Slow-Train-Analysis-(2080s-and-2083s)?_g=(refreshInterval:(display:Off,pause:!f,section:0,value:0),time:(from:'2017-07-04T07:06:22-0600',mode:absolute,to:'2017-07-04T09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97" t="str">
        <f>IF(AA173&lt;VLOOKUP(AG173,Variables!$AC$3:$AD$8,2,FALSE),"Y","N")</f>
        <v>N</v>
      </c>
      <c r="X173" s="197">
        <f t="shared" si="101"/>
        <v>1</v>
      </c>
      <c r="Y173" s="197">
        <f t="shared" si="96"/>
        <v>5.8619000000000003</v>
      </c>
      <c r="Z173" s="197">
        <f t="shared" si="97"/>
        <v>1.89E-2</v>
      </c>
      <c r="AA173" s="197">
        <f t="shared" si="86"/>
        <v>5.843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87"/>
        <v>810</v>
      </c>
      <c r="AE173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73" s="74" t="str">
        <f t="shared" si="89"/>
        <v>"C:\Program Files (x86)\AstroGrep\AstroGrep.exe" /e /r /s /spath="%USERPROFILE%\AppData\Local\Temp\OnboardLogs" /stypes="app*4021*20170704*" /stext=" 14:.+((SYSTEM_STATE.+slice.+state.+changed )|(ment ac)|(multiple cpu faults)|(system.+state.+changed )|(\[timeout)|(PRM\|1\|D)|(kpr)|(kdp)|(train st.+moving)|(\|lc)|(penalty))"</v>
      </c>
      <c r="AG173" s="209" t="str">
        <f t="shared" si="90"/>
        <v>NW</v>
      </c>
      <c r="AH173" s="78" t="str">
        <f t="shared" si="92"/>
        <v>"%USERPROFILE%\Documents\GitHub\eaglep3\Utilities\RefineRTDCRunTimes.py" --tripid 810-04 --locoid 4021 --swversion DE.1.0.9.0 --startMP 300:58619 --initTime 2017-07-04T08:06:22 --startdatetime 2017-07-04T08:09:41 --delay 1 --endMP 204:189 --enddatetime 2017-07-04T08:24:53 --enforcementcount 0 &gt;&gt;C:\Users\stu\Documents\GitHub\eaglep3-reporting\EC\2017-07-04-refined-times.txt</v>
      </c>
      <c r="AI173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{"issue":{"subject":"","project_id":79,"tracker_id":40,"status_id":1,"priority_id":2,"assigned_to_id":23,"start_date":"2017-07-04","description":"","custom_fields":[{"id":1,"name":"Subdivision","value":"NW"},{"id":4,"name":"Milepost","value":"0.0189"},{"id":17,"name":"Train ID","value":"810-04"},{"id":16,"name":"Locomotive ID","value":"4021"},{"id":130,"name":"Impact","value":""},{"id":150,"name":"Time of Event (Mountain Time)","value":"08:24:53"},{"id":151,"name":"Denver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94"/>
        <v>start /low /b %USERPROFILE%\Documents\GitHub\eaglep3\Utilities\DownloadLogsFromS3.py --loco 4021 --day 2017-07-04</v>
      </c>
      <c r="AN173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711</v>
      </c>
      <c r="B174" s="7">
        <v>4060</v>
      </c>
      <c r="C174" s="21" t="s">
        <v>202</v>
      </c>
      <c r="D174" s="21" t="s">
        <v>961</v>
      </c>
      <c r="E174" s="13">
        <v>42920.333749999998</v>
      </c>
      <c r="F174" s="13">
        <v>42920.348437499997</v>
      </c>
      <c r="G174" s="7">
        <v>1</v>
      </c>
      <c r="H174" s="21" t="s">
        <v>591</v>
      </c>
      <c r="I174" s="13">
        <v>42920.357766203706</v>
      </c>
      <c r="J174" s="7">
        <v>0</v>
      </c>
      <c r="K174" s="89" t="str">
        <f t="shared" si="82"/>
        <v>4059/4060</v>
      </c>
      <c r="L174" s="21" t="str">
        <f>VLOOKUP(A174,'Trips&amp;Operators'!$C$1:$G$99999,5,FALSE)</f>
        <v>YANG JAN</v>
      </c>
      <c r="M174" s="6">
        <f t="shared" si="83"/>
        <v>9.3287037088884972E-3</v>
      </c>
      <c r="N174" s="7">
        <f t="shared" si="99"/>
        <v>13.433333340799436</v>
      </c>
      <c r="O174" s="7"/>
      <c r="P174" s="7"/>
      <c r="Q174" s="22"/>
      <c r="R174" s="170"/>
      <c r="S174" s="213">
        <f t="shared" si="100"/>
        <v>1</v>
      </c>
      <c r="T174" s="195" t="str">
        <f t="shared" si="8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85"/>
        <v>https://d0f6bd738d7f1b3e5a7ca70fe4ff75f0.us-east-1.aws.found.io/app/kibana#/discover/Steve-Slow-Train-Analysis-(2080s-and-2083s)?_g=(refreshInterval:(display:Off,pause:!f,section:0,value:0),time:(from:'2017-07-04T07:00:36-0600',mode:absolute,to:'2017-07-04T09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4" s="197" t="str">
        <f>IF(AA174&lt;VLOOKUP(AG174,Variables!$AC$3:$AD$8,2,FALSE),"Y","N")</f>
        <v>N</v>
      </c>
      <c r="X174" s="197">
        <f t="shared" si="101"/>
        <v>1</v>
      </c>
      <c r="Y174" s="197">
        <f t="shared" si="96"/>
        <v>9.7600000000000006E-2</v>
      </c>
      <c r="Z174" s="197">
        <f t="shared" si="97"/>
        <v>5.8936999999999999</v>
      </c>
      <c r="AA174" s="197">
        <f t="shared" si="86"/>
        <v>5.7961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87"/>
        <v>811</v>
      </c>
      <c r="AE174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74" s="74" t="str">
        <f t="shared" si="89"/>
        <v>"C:\Program Files (x86)\AstroGrep\AstroGrep.exe" /e /r /s /spath="%USERPROFILE%\AppData\Local\Temp\OnboardLogs" /stypes="app*4060*20170704*" /stext=" 14:.+((SYSTEM_STATE.+slice.+state.+changed )|(ment ac)|(multiple cpu faults)|(system.+state.+changed )|(\[timeout)|(PRM\|1\|D)|(kpr)|(kdp)|(train st.+moving)|(\|lc)|(penalty))"</v>
      </c>
      <c r="AG174" s="209" t="str">
        <f t="shared" si="90"/>
        <v>NW</v>
      </c>
      <c r="AH174" s="78" t="str">
        <f t="shared" si="92"/>
        <v>"%USERPROFILE%\Documents\GitHub\eaglep3\Utilities\RefineRTDCRunTimes.py" --tripid 811-04 --locoid 4060 --swversion DE.1.0.9.0 --startMP 204:976 --initTime 2017-07-04T08:00:36 --startdatetime 2017-07-04T08:21:45 --delay 1 --endMP 300:58937 --enddatetime 2017-07-04T08:35:11 --enforcementcount 0 &gt;&gt;C:\Users\stu\Documents\GitHub\eaglep3-reporting\EC\2017-07-04-refined-times.txt</v>
      </c>
      <c r="AI174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{"issue":{"subject":"","project_id":79,"tracker_id":40,"status_id":1,"priority_id":2,"assigned_to_id":23,"start_date":"2017-07-04","description":"","custom_fields":[{"id":1,"name":"Subdivision","value":"NW"},{"id":4,"name":"Milepost","value":"5.8937"},{"id":17,"name":"Train ID","value":"811-04"},{"id":16,"name":"Locomotive ID","value":"4060"},{"id":130,"name":"Impact","value":""},{"id":150,"name":"Time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94"/>
        <v>start /low /b %USERPROFILE%\Documents\GitHub\eaglep3\Utilities\DownloadLogsFromS3.py --loco 4060 --day 2017-07-04</v>
      </c>
      <c r="AN174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715</v>
      </c>
      <c r="B175" s="7">
        <v>4059</v>
      </c>
      <c r="C175" s="21" t="s">
        <v>202</v>
      </c>
      <c r="D175" s="21" t="s">
        <v>557</v>
      </c>
      <c r="E175" s="13">
        <v>42920.359293981484</v>
      </c>
      <c r="F175" s="13">
        <v>42920.361608796295</v>
      </c>
      <c r="G175" s="7">
        <v>1</v>
      </c>
      <c r="H175" s="21" t="s">
        <v>955</v>
      </c>
      <c r="I175" s="13">
        <v>42920.371296296296</v>
      </c>
      <c r="J175" s="7">
        <v>0</v>
      </c>
      <c r="K175" s="89" t="str">
        <f t="shared" si="82"/>
        <v>4059/4060</v>
      </c>
      <c r="L175" s="21" t="str">
        <f>VLOOKUP(A175,'Trips&amp;Operators'!$C$1:$G$99999,5,FALSE)</f>
        <v>YANG JAN</v>
      </c>
      <c r="M175" s="6">
        <f t="shared" si="83"/>
        <v>9.6875000017462298E-3</v>
      </c>
      <c r="N175" s="7">
        <f t="shared" si="99"/>
        <v>13.950000002514571</v>
      </c>
      <c r="O175" s="7"/>
      <c r="P175" s="7"/>
      <c r="Q175" s="22"/>
      <c r="R175" s="170"/>
      <c r="S175" s="213">
        <f t="shared" si="100"/>
        <v>1</v>
      </c>
      <c r="T175" s="195" t="str">
        <f t="shared" si="8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85"/>
        <v>https://d0f6bd738d7f1b3e5a7ca70fe4ff75f0.us-east-1.aws.found.io/app/kibana#/discover/Steve-Slow-Train-Analysis-(2080s-and-2083s)?_g=(refreshInterval:(display:Off,pause:!f,section:0,value:0),time:(from:'2017-07-04T07:37:23-0600',mode:absolute,to:'2017-07-04T09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5" s="197" t="str">
        <f>IF(AA175&lt;VLOOKUP(AG175,Variables!$AC$3:$AD$8,2,FALSE),"Y","N")</f>
        <v>N</v>
      </c>
      <c r="X175" s="197">
        <f t="shared" si="101"/>
        <v>1</v>
      </c>
      <c r="Y175" s="197">
        <f t="shared" si="96"/>
        <v>5.8613</v>
      </c>
      <c r="Z175" s="197">
        <f t="shared" si="97"/>
        <v>6.9400000000000003E-2</v>
      </c>
      <c r="AA175" s="197">
        <f t="shared" si="86"/>
        <v>5.7919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87"/>
        <v>812</v>
      </c>
      <c r="AE175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75" s="74" t="str">
        <f t="shared" si="89"/>
        <v>"C:\Program Files (x86)\AstroGrep\AstroGrep.exe" /e /r /s /spath="%USERPROFILE%\AppData\Local\Temp\OnboardLogs" /stypes="app*4059*20170704*" /stext=" 14:.+((SYSTEM_STATE.+slice.+state.+changed )|(ment ac)|(multiple cpu faults)|(system.+state.+changed )|(\[timeout)|(PRM\|1\|D)|(kpr)|(kdp)|(train st.+moving)|(\|lc)|(penalty))"</v>
      </c>
      <c r="AG175" s="209" t="str">
        <f t="shared" si="90"/>
        <v>NW</v>
      </c>
      <c r="AH175" s="78" t="str">
        <f t="shared" si="92"/>
        <v>"%USERPROFILE%\Documents\GitHub\eaglep3\Utilities\RefineRTDCRunTimes.py" --tripid 812-04 --locoid 4059 --swversion DE.1.0.9.0 --startMP 300:58613 --initTime 2017-07-04T08:37:23 --startdatetime 2017-07-04T08:40:43 --delay 1 --endMP 204:694 --enddatetime 2017-07-04T08:54:40 --enforcementcount 0 &gt;&gt;C:\Users\stu\Documents\GitHub\eaglep3-reporting\EC\2017-07-04-refined-times.txt</v>
      </c>
      <c r="AI175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{"issue":{"subject":"","project_id":79,"tracker_id":40,"status_id":1,"priority_id":2,"assigned_to_id":23,"start_date":"2017-07-04","description":"","custom_fields":[{"id":1,"name":"Subdivision","value":"NW"},{"id":4,"name":"Milepost","value":"0.0694"},{"id":17,"name":"Train ID","value":"812-04"},{"id":16,"name":"Locomotive ID","value":"4059"},{"id":130,"name":"Impact","value":""},{"id":150,"name":"Time of Event (Mountain Time)","value":"08:54:40"},{"id":151,"name":"Denver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94"/>
        <v>start /low /b %USERPROFILE%\Documents\GitHub\eaglep3\Utilities\DownloadLogsFromS3.py --loco 4059 --day 2017-07-04</v>
      </c>
      <c r="AN175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722</v>
      </c>
      <c r="B176" s="7">
        <v>4060</v>
      </c>
      <c r="C176" s="21" t="s">
        <v>202</v>
      </c>
      <c r="D176" s="21" t="s">
        <v>962</v>
      </c>
      <c r="E176" s="13">
        <v>42920.38449074074</v>
      </c>
      <c r="F176" s="13">
        <v>42920.390150462961</v>
      </c>
      <c r="G176" s="7">
        <v>1</v>
      </c>
      <c r="H176" s="21" t="s">
        <v>480</v>
      </c>
      <c r="I176" s="13">
        <v>42920.39949074074</v>
      </c>
      <c r="J176" s="7">
        <v>0</v>
      </c>
      <c r="K176" s="89" t="str">
        <f t="shared" si="82"/>
        <v>4059/4060</v>
      </c>
      <c r="L176" s="21" t="str">
        <f>VLOOKUP(A176,'Trips&amp;Operators'!$C$1:$G$99999,5,FALSE)</f>
        <v>YANG JAN</v>
      </c>
      <c r="M176" s="6">
        <f t="shared" si="83"/>
        <v>9.340277778392192E-3</v>
      </c>
      <c r="N176" s="7">
        <f t="shared" si="99"/>
        <v>13.450000000884756</v>
      </c>
      <c r="O176" s="7"/>
      <c r="P176" s="7"/>
      <c r="Q176" s="22"/>
      <c r="R176" s="170"/>
      <c r="S176" s="213">
        <f t="shared" si="100"/>
        <v>1</v>
      </c>
      <c r="T176" s="195" t="str">
        <f t="shared" si="8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85"/>
        <v>https://d0f6bd738d7f1b3e5a7ca70fe4ff75f0.us-east-1.aws.found.io/app/kibana#/discover/Steve-Slow-Train-Analysis-(2080s-and-2083s)?_g=(refreshInterval:(display:Off,pause:!f,section:0,value:0),time:(from:'2017-07-04T08:13:40-0600',mode:absolute,to:'2017-07-04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6" s="197" t="str">
        <f>IF(AA176&lt;VLOOKUP(AG176,Variables!$AC$3:$AD$8,2,FALSE),"Y","N")</f>
        <v>N</v>
      </c>
      <c r="X176" s="197">
        <f t="shared" si="101"/>
        <v>1</v>
      </c>
      <c r="Y176" s="197">
        <f t="shared" si="96"/>
        <v>9.5500000000000002E-2</v>
      </c>
      <c r="Z176" s="197">
        <f t="shared" si="97"/>
        <v>5.8948</v>
      </c>
      <c r="AA176" s="197">
        <f t="shared" si="86"/>
        <v>5.7992999999999997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87"/>
        <v>813</v>
      </c>
      <c r="AE176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76" s="74" t="str">
        <f t="shared" si="89"/>
        <v>"C:\Program Files (x86)\AstroGrep\AstroGrep.exe" /e /r /s /spath="%USERPROFILE%\AppData\Local\Temp\OnboardLogs" /stypes="app*4060*20170704*" /stext=" 15:.+((SYSTEM_STATE.+slice.+state.+changed )|(ment ac)|(multiple cpu faults)|(system.+state.+changed )|(\[timeout)|(PRM\|1\|D)|(kpr)|(kdp)|(train st.+moving)|(\|lc)|(penalty))"</v>
      </c>
      <c r="AG176" s="209" t="str">
        <f t="shared" si="90"/>
        <v>NW</v>
      </c>
      <c r="AH176" s="78" t="str">
        <f t="shared" si="92"/>
        <v>"%USERPROFILE%\Documents\GitHub\eaglep3\Utilities\RefineRTDCRunTimes.py" --tripid 813-04 --locoid 4060 --swversion DE.1.0.9.0 --startMP 204:955 --initTime 2017-07-04T09:13:40 --startdatetime 2017-07-04T09:21:49 --delay 1 --endMP 300:58948 --enddatetime 2017-07-04T09:35:16 --enforcementcount 0 &gt;&gt;C:\Users\stu\Documents\GitHub\eaglep3-reporting\EC\2017-07-04-refined-times.txt</v>
      </c>
      <c r="AI176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{"issue":{"subject":"","project_id":79,"tracker_id":40,"status_id":1,"priority_id":2,"assigned_to_id":23,"start_date":"2017-07-04","description":"","custom_fields":[{"id":1,"name":"Subdivision","value":"NW"},{"id":4,"name":"Milepost","value":"5.8948"},{"id":17,"name":"Train ID","value":"813-04"},{"id":16,"name":"Locomotive ID","value":"4060"},{"id":130,"name":"Impact","value":""},{"id":150,"name":"Time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94"/>
        <v>start /low /b %USERPROFILE%\Documents\GitHub\eaglep3\Utilities\DownloadLogsFromS3.py --loco 4060 --day 2017-07-04</v>
      </c>
      <c r="AN176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723</v>
      </c>
      <c r="B177" s="7">
        <v>4059</v>
      </c>
      <c r="C177" s="21" t="s">
        <v>202</v>
      </c>
      <c r="D177" s="21" t="s">
        <v>963</v>
      </c>
      <c r="E177" s="13">
        <v>42920.400937500002</v>
      </c>
      <c r="F177" s="13">
        <v>42920.403344907405</v>
      </c>
      <c r="G177" s="7">
        <v>1</v>
      </c>
      <c r="H177" s="21" t="s">
        <v>955</v>
      </c>
      <c r="I177" s="13">
        <v>42920.412777777776</v>
      </c>
      <c r="J177" s="7">
        <v>0</v>
      </c>
      <c r="K177" s="89" t="str">
        <f t="shared" si="82"/>
        <v>4059/4060</v>
      </c>
      <c r="L177" s="21" t="str">
        <f>VLOOKUP(A177,'Trips&amp;Operators'!$C$1:$G$99999,5,FALSE)</f>
        <v>YANG JAN</v>
      </c>
      <c r="M177" s="6">
        <f t="shared" si="83"/>
        <v>9.4328703708015382E-3</v>
      </c>
      <c r="N177" s="7">
        <f t="shared" si="99"/>
        <v>13.583333333954215</v>
      </c>
      <c r="O177" s="7"/>
      <c r="P177" s="7"/>
      <c r="Q177" s="22"/>
      <c r="R177" s="170"/>
      <c r="S177" s="213">
        <f t="shared" si="100"/>
        <v>1</v>
      </c>
      <c r="T177" s="195" t="str">
        <f t="shared" si="8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85"/>
        <v>https://d0f6bd738d7f1b3e5a7ca70fe4ff75f0.us-east-1.aws.found.io/app/kibana#/discover/Steve-Slow-Train-Analysis-(2080s-and-2083s)?_g=(refreshInterval:(display:Off,pause:!f,section:0,value:0),time:(from:'2017-07-04T08:37:21-0600',mode:absolute,to:'2017-07-04T10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7" s="197" t="str">
        <f>IF(AA177&lt;VLOOKUP(AG177,Variables!$AC$3:$AD$8,2,FALSE),"Y","N")</f>
        <v>N</v>
      </c>
      <c r="X177" s="197">
        <f t="shared" si="101"/>
        <v>1</v>
      </c>
      <c r="Y177" s="197">
        <f t="shared" si="96"/>
        <v>5.8635999999999999</v>
      </c>
      <c r="Z177" s="197">
        <f t="shared" si="97"/>
        <v>6.9400000000000003E-2</v>
      </c>
      <c r="AA177" s="197">
        <f t="shared" si="86"/>
        <v>5.7942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87"/>
        <v>814</v>
      </c>
      <c r="AE177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77" s="74" t="str">
        <f t="shared" si="89"/>
        <v>"C:\Program Files (x86)\AstroGrep\AstroGrep.exe" /e /r /s /spath="%USERPROFILE%\AppData\Local\Temp\OnboardLogs" /stypes="app*4059*20170704*" /stext=" 15:.+((SYSTEM_STATE.+slice.+state.+changed )|(ment ac)|(multiple cpu faults)|(system.+state.+changed )|(\[timeout)|(PRM\|1\|D)|(kpr)|(kdp)|(train st.+moving)|(\|lc)|(penalty))"</v>
      </c>
      <c r="AG177" s="209" t="str">
        <f t="shared" si="90"/>
        <v>NW</v>
      </c>
      <c r="AH177" s="78" t="str">
        <f t="shared" si="92"/>
        <v>"%USERPROFILE%\Documents\GitHub\eaglep3\Utilities\RefineRTDCRunTimes.py" --tripid 814-04 --locoid 4059 --swversion DE.1.0.9.0 --startMP 300:58636 --initTime 2017-07-04T09:37:21 --startdatetime 2017-07-04T09:40:49 --delay 1 --endMP 204:694 --enddatetime 2017-07-04T09:54:24 --enforcementcount 0 &gt;&gt;C:\Users\stu\Documents\GitHub\eaglep3-reporting\EC\2017-07-04-refined-times.txt</v>
      </c>
      <c r="AI177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{"issue":{"subject":"","project_id":79,"tracker_id":40,"status_id":1,"priority_id":2,"assigned_to_id":23,"start_date":"2017-07-04","description":"","custom_fields":[{"id":1,"name":"Subdivision","value":"NW"},{"id":4,"name":"Milepost","value":"0.0694"},{"id":17,"name":"Train ID","value":"814-04"},{"id":16,"name":"Locomotive ID","value":"4059"},{"id":130,"name":"Impact","value":""},{"id":150,"name":"Time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94"/>
        <v>start /low /b %USERPROFILE%\Documents\GitHub\eaglep3\Utilities\DownloadLogsFromS3.py --loco 4059 --day 2017-07-04</v>
      </c>
      <c r="AN177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15:54:24"},{"id":29,"name":"Sharepoint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728</v>
      </c>
      <c r="B178" s="7">
        <v>4060</v>
      </c>
      <c r="C178" s="21" t="s">
        <v>202</v>
      </c>
      <c r="D178" s="21" t="s">
        <v>499</v>
      </c>
      <c r="E178" s="13">
        <v>42920.426805555559</v>
      </c>
      <c r="F178" s="13">
        <v>42920.43178240741</v>
      </c>
      <c r="G178" s="7">
        <v>1</v>
      </c>
      <c r="H178" s="21" t="s">
        <v>964</v>
      </c>
      <c r="I178" s="13">
        <v>42920.441018518519</v>
      </c>
      <c r="J178" s="7">
        <v>0</v>
      </c>
      <c r="K178" s="89" t="str">
        <f t="shared" si="82"/>
        <v>4059/4060</v>
      </c>
      <c r="L178" s="21" t="str">
        <f>VLOOKUP(A178,'Trips&amp;Operators'!$C$1:$G$99999,5,FALSE)</f>
        <v>YANG JAN</v>
      </c>
      <c r="M178" s="6">
        <f t="shared" si="83"/>
        <v>9.2361111092031933E-3</v>
      </c>
      <c r="N178" s="7">
        <f t="shared" si="99"/>
        <v>13.299999997252598</v>
      </c>
      <c r="O178" s="7"/>
      <c r="P178" s="7"/>
      <c r="Q178" s="22"/>
      <c r="R178" s="170"/>
      <c r="S178" s="213">
        <f t="shared" si="100"/>
        <v>1</v>
      </c>
      <c r="T178" s="195" t="str">
        <f t="shared" si="8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85"/>
        <v>https://d0f6bd738d7f1b3e5a7ca70fe4ff75f0.us-east-1.aws.found.io/app/kibana#/discover/Steve-Slow-Train-Analysis-(2080s-and-2083s)?_g=(refreshInterval:(display:Off,pause:!f,section:0,value:0),time:(from:'2017-07-04T09:14:36-0600',mode:absolute,to:'2017-07-04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8" s="197" t="str">
        <f>IF(AA178&lt;VLOOKUP(AG178,Variables!$AC$3:$AD$8,2,FALSE),"Y","N")</f>
        <v>N</v>
      </c>
      <c r="X178" s="197">
        <f t="shared" si="101"/>
        <v>1</v>
      </c>
      <c r="Y178" s="197">
        <f t="shared" si="96"/>
        <v>9.7799999999999998E-2</v>
      </c>
      <c r="Z178" s="197">
        <f t="shared" si="97"/>
        <v>5.8928000000000003</v>
      </c>
      <c r="AA178" s="197">
        <f t="shared" si="86"/>
        <v>5.7949999999999999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87"/>
        <v>815</v>
      </c>
      <c r="AE178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78" s="74" t="str">
        <f t="shared" si="89"/>
        <v>"C:\Program Files (x86)\AstroGrep\AstroGrep.exe" /e /r /s /spath="%USERPROFILE%\AppData\Local\Temp\OnboardLogs" /stypes="app*4060*20170704*" /stext=" 16:.+((SYSTEM_STATE.+slice.+state.+changed )|(ment ac)|(multiple cpu faults)|(system.+state.+changed )|(\[timeout)|(PRM\|1\|D)|(kpr)|(kdp)|(train st.+moving)|(\|lc)|(penalty))"</v>
      </c>
      <c r="AG178" s="209" t="str">
        <f t="shared" si="90"/>
        <v>NW</v>
      </c>
      <c r="AH178" s="78" t="str">
        <f t="shared" si="92"/>
        <v>"%USERPROFILE%\Documents\GitHub\eaglep3\Utilities\RefineRTDCRunTimes.py" --tripid 815-04 --locoid 4060 --swversion DE.1.0.9.0 --startMP 204:978 --initTime 2017-07-04T10:14:36 --startdatetime 2017-07-04T10:21:46 --delay 1 --endMP 300:58928 --enddatetime 2017-07-04T10:35:04 --enforcementcount 0 &gt;&gt;C:\Users\stu\Documents\GitHub\eaglep3-reporting\EC\2017-07-04-refined-times.txt</v>
      </c>
      <c r="AI178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{"issue":{"subject":"","project_id":79,"tracker_id":40,"status_id":1,"priority_id":2,"assigned_to_id":23,"start_date":"2017-07-04","description":"","custom_fields":[{"id":1,"name":"Subdivision","value":"NW"},{"id":4,"name":"Milepost","value":"5.8928"},{"id":17,"name":"Train ID","value":"815-04"},{"id":16,"name":"Locomotive ID","value":"4060"},{"id":130,"name":"Impact","value":""},{"id":150,"name":"Time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94"/>
        <v>start /low /b %USERPROFILE%\Documents\GitHub\eaglep3\Utilities\DownloadLogsFromS3.py --loco 4060 --day 2017-07-04</v>
      </c>
      <c r="AN178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732</v>
      </c>
      <c r="B179" s="7">
        <v>4059</v>
      </c>
      <c r="C179" s="21" t="s">
        <v>202</v>
      </c>
      <c r="D179" s="21" t="s">
        <v>592</v>
      </c>
      <c r="E179" s="13">
        <v>42920.442361111112</v>
      </c>
      <c r="F179" s="13">
        <v>42920.445081018515</v>
      </c>
      <c r="G179" s="7">
        <v>1</v>
      </c>
      <c r="H179" s="21" t="s">
        <v>965</v>
      </c>
      <c r="I179" s="13">
        <v>42920.454930555556</v>
      </c>
      <c r="J179" s="7">
        <v>0</v>
      </c>
      <c r="K179" s="89" t="str">
        <f t="shared" si="82"/>
        <v>4059/4060</v>
      </c>
      <c r="L179" s="21" t="str">
        <f>VLOOKUP(A179,'Trips&amp;Operators'!$C$1:$G$99999,5,FALSE)</f>
        <v>YANG JAN</v>
      </c>
      <c r="M179" s="6">
        <f t="shared" si="83"/>
        <v>9.8495370402815752E-3</v>
      </c>
      <c r="N179" s="7">
        <f t="shared" si="99"/>
        <v>14.183333338005468</v>
      </c>
      <c r="O179" s="7"/>
      <c r="P179" s="7"/>
      <c r="Q179" s="22"/>
      <c r="R179" s="170"/>
      <c r="S179" s="213">
        <f t="shared" si="100"/>
        <v>1</v>
      </c>
      <c r="T179" s="195" t="str">
        <f t="shared" si="8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85"/>
        <v>https://d0f6bd738d7f1b3e5a7ca70fe4ff75f0.us-east-1.aws.found.io/app/kibana#/discover/Steve-Slow-Train-Analysis-(2080s-and-2083s)?_g=(refreshInterval:(display:Off,pause:!f,section:0,value:0),time:(from:'2017-07-04T09:37:00-0600',mode:absolute,to:'2017-07-04T11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9" s="197" t="str">
        <f>IF(AA179&lt;VLOOKUP(AG179,Variables!$AC$3:$AD$8,2,FALSE),"Y","N")</f>
        <v>N</v>
      </c>
      <c r="X179" s="197">
        <f t="shared" si="101"/>
        <v>1</v>
      </c>
      <c r="Y179" s="197">
        <f t="shared" si="96"/>
        <v>5.8615000000000004</v>
      </c>
      <c r="Z179" s="197">
        <f t="shared" si="97"/>
        <v>6.8699999999999997E-2</v>
      </c>
      <c r="AA179" s="197">
        <f t="shared" si="86"/>
        <v>5.7928000000000006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87"/>
        <v>816</v>
      </c>
      <c r="AE179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79" s="74" t="str">
        <f t="shared" si="89"/>
        <v>"C:\Program Files (x86)\AstroGrep\AstroGrep.exe" /e /r /s /spath="%USERPROFILE%\AppData\Local\Temp\OnboardLogs" /stypes="app*4059*20170704*" /stext=" 16:.+((SYSTEM_STATE.+slice.+state.+changed )|(ment ac)|(multiple cpu faults)|(system.+state.+changed )|(\[timeout)|(PRM\|1\|D)|(kpr)|(kdp)|(train st.+moving)|(\|lc)|(penalty))"</v>
      </c>
      <c r="AG179" s="209" t="str">
        <f t="shared" si="90"/>
        <v>NW</v>
      </c>
      <c r="AH179" s="78" t="str">
        <f t="shared" si="92"/>
        <v>"%USERPROFILE%\Documents\GitHub\eaglep3\Utilities\RefineRTDCRunTimes.py" --tripid 816-04 --locoid 4059 --swversion DE.1.0.9.0 --startMP 300:58615 --initTime 2017-07-04T10:37:00 --startdatetime 2017-07-04T10:40:55 --delay 1 --endMP 204:687 --enddatetime 2017-07-04T10:55:06 --enforcementcount 0 &gt;&gt;C:\Users\stu\Documents\GitHub\eaglep3-reporting\EC\2017-07-04-refined-times.txt</v>
      </c>
      <c r="AI179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{"issue":{"subject":"","project_id":79,"tracker_id":40,"status_id":1,"priority_id":2,"assigned_to_id":23,"start_date":"2017-07-04","description":"","custom_fields":[{"id":1,"name":"Subdivision","value":"NW"},{"id":4,"name":"Milepost","value":"0.0687"},{"id":17,"name":"Train ID","value":"816-04"},{"id":16,"name":"Locomotive ID","value":"4059"},{"id":130,"name":"Impact","value":""},{"id":150,"name":"Time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94"/>
        <v>start /low /b %USERPROFILE%\Documents\GitHub\eaglep3\Utilities\DownloadLogsFromS3.py --loco 4059 --day 2017-07-04</v>
      </c>
      <c r="AN179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736</v>
      </c>
      <c r="B180" s="7">
        <v>4060</v>
      </c>
      <c r="C180" s="21" t="s">
        <v>202</v>
      </c>
      <c r="D180" s="21" t="s">
        <v>556</v>
      </c>
      <c r="E180" s="13">
        <v>42920.460381944446</v>
      </c>
      <c r="F180" s="13">
        <v>42920.473136574074</v>
      </c>
      <c r="G180" s="7">
        <v>1</v>
      </c>
      <c r="H180" s="21" t="s">
        <v>956</v>
      </c>
      <c r="I180" s="13">
        <v>42920.482199074075</v>
      </c>
      <c r="J180" s="7">
        <v>0</v>
      </c>
      <c r="K180" s="89" t="str">
        <f t="shared" si="82"/>
        <v>4059/4060</v>
      </c>
      <c r="L180" s="21" t="str">
        <f>VLOOKUP(A180,'Trips&amp;Operators'!$C$1:$G$99999,5,FALSE)</f>
        <v>YANG JAN</v>
      </c>
      <c r="M180" s="6">
        <f t="shared" si="83"/>
        <v>9.0625000011641532E-3</v>
      </c>
      <c r="N180" s="7">
        <f t="shared" si="99"/>
        <v>13.050000001676381</v>
      </c>
      <c r="O180" s="7"/>
      <c r="P180" s="7"/>
      <c r="Q180" s="22"/>
      <c r="R180" s="170"/>
      <c r="S180" s="213">
        <f t="shared" si="100"/>
        <v>1</v>
      </c>
      <c r="T180" s="195" t="str">
        <f t="shared" si="8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85"/>
        <v>https://d0f6bd738d7f1b3e5a7ca70fe4ff75f0.us-east-1.aws.found.io/app/kibana#/discover/Steve-Slow-Train-Analysis-(2080s-and-2083s)?_g=(refreshInterval:(display:Off,pause:!f,section:0,value:0),time:(from:'2017-07-04T10:02:57-0600',mode:absolute,to:'2017-07-04T12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0" s="197" t="str">
        <f>IF(AA180&lt;VLOOKUP(AG180,Variables!$AC$3:$AD$8,2,FALSE),"Y","N")</f>
        <v>N</v>
      </c>
      <c r="X180" s="197">
        <f t="shared" si="101"/>
        <v>1</v>
      </c>
      <c r="Y180" s="197">
        <f t="shared" si="96"/>
        <v>9.8299999999999998E-2</v>
      </c>
      <c r="Z180" s="197">
        <f t="shared" si="97"/>
        <v>5.8935000000000004</v>
      </c>
      <c r="AA180" s="197">
        <f t="shared" si="86"/>
        <v>5.7952000000000004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87"/>
        <v>817</v>
      </c>
      <c r="AE180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80" s="74" t="str">
        <f t="shared" si="89"/>
        <v>"C:\Program Files (x86)\AstroGrep\AstroGrep.exe" /e /r /s /spath="%USERPROFILE%\AppData\Local\Temp\OnboardLogs" /stypes="app*4060*20170704*" /stext=" 17:.+((SYSTEM_STATE.+slice.+state.+changed )|(ment ac)|(multiple cpu faults)|(system.+state.+changed )|(\[timeout)|(PRM\|1\|D)|(kpr)|(kdp)|(train st.+moving)|(\|lc)|(penalty))"</v>
      </c>
      <c r="AG180" s="209" t="str">
        <f t="shared" si="90"/>
        <v>NW</v>
      </c>
      <c r="AH180" s="78" t="str">
        <f t="shared" si="92"/>
        <v>"%USERPROFILE%\Documents\GitHub\eaglep3\Utilities\RefineRTDCRunTimes.py" --tripid 817-04 --locoid 4060 --swversion DE.1.0.9.0 --startMP 204:983 --initTime 2017-07-04T11:02:57 --startdatetime 2017-07-04T11:21:19 --delay 1 --endMP 300:58935 --enddatetime 2017-07-04T11:34:22 --enforcementcount 0 &gt;&gt;C:\Users\stu\Documents\GitHub\eaglep3-reporting\EC\2017-07-04-refined-times.txt</v>
      </c>
      <c r="AI180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{"issue":{"subject":"","project_id":79,"tracker_id":40,"status_id":1,"priority_id":2,"assigned_to_id":23,"start_date":"2017-07-04","description":"","custom_fields":[{"id":1,"name":"Subdivision","value":"NW"},{"id":4,"name":"Milepost","value":"5.8935"},{"id":17,"name":"Train ID","value":"817-04"},{"id":16,"name":"Locomotive ID","value":"4060"},{"id":130,"name":"Impact","value":""},{"id":150,"name":"Time of Event (Mountain Time)","value":"11:34:22"},{"id":151,"name":"Denver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94"/>
        <v>start /low /b %USERPROFILE%\Documents\GitHub\eaglep3\Utilities\DownloadLogsFromS3.py --loco 4060 --day 2017-07-04</v>
      </c>
      <c r="AN180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743</v>
      </c>
      <c r="B181" s="7">
        <v>4059</v>
      </c>
      <c r="C181" s="21" t="s">
        <v>202</v>
      </c>
      <c r="D181" s="21" t="s">
        <v>556</v>
      </c>
      <c r="E181" s="13">
        <v>42920.460381944446</v>
      </c>
      <c r="F181" s="13">
        <v>42920.486678240741</v>
      </c>
      <c r="G181" s="7">
        <v>1</v>
      </c>
      <c r="H181" s="21" t="s">
        <v>956</v>
      </c>
      <c r="I181" s="13">
        <v>42920.496469907404</v>
      </c>
      <c r="J181" s="7">
        <v>0</v>
      </c>
      <c r="K181" s="89" t="str">
        <f t="shared" si="82"/>
        <v>4059/4060</v>
      </c>
      <c r="L181" s="21" t="str">
        <f>VLOOKUP(A181,'Trips&amp;Operators'!$C$1:$G$99999,5,FALSE)</f>
        <v>YANG JAN</v>
      </c>
      <c r="M181" s="6">
        <f t="shared" si="83"/>
        <v>9.7916666636592709E-3</v>
      </c>
      <c r="N181" s="7">
        <f t="shared" si="99"/>
        <v>14.09999999566935</v>
      </c>
      <c r="O181" s="7"/>
      <c r="P181" s="7"/>
      <c r="Q181" s="22"/>
      <c r="R181" s="170"/>
      <c r="S181" s="213">
        <f t="shared" si="100"/>
        <v>1</v>
      </c>
      <c r="T181" s="195" t="str">
        <f t="shared" si="8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85"/>
        <v>https://d0f6bd738d7f1b3e5a7ca70fe4ff75f0.us-east-1.aws.found.io/app/kibana#/discover/Steve-Slow-Train-Analysis-(2080s-and-2083s)?_g=(refreshInterval:(display:Off,pause:!f,section:0,value:0),time:(from:'2017-07-04T10:02:57-0600',mode:absolute,to:'2017-07-04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1" s="197" t="str">
        <f>IF(AA181&lt;VLOOKUP(AG181,Variables!$AC$3:$AD$8,2,FALSE),"Y","N")</f>
        <v>N</v>
      </c>
      <c r="X181" s="197">
        <f t="shared" ref="X181:X186" si="102">VALUE(LEFT(AD181,4))-VALUE(LEFT(AD180,4))</f>
        <v>1</v>
      </c>
      <c r="Y181" s="197">
        <v>5.8615000000000004</v>
      </c>
      <c r="Z181" s="197">
        <v>6.8699999999999997E-2</v>
      </c>
      <c r="AA181" s="197">
        <f t="shared" si="86"/>
        <v>5.7928000000000006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87"/>
        <v>818</v>
      </c>
      <c r="AE181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81" s="74" t="str">
        <f t="shared" si="89"/>
        <v>"C:\Program Files (x86)\AstroGrep\AstroGrep.exe" /e /r /s /spath="%USERPROFILE%\AppData\Local\Temp\OnboardLogs" /stypes="app*4059*20170704*" /stext=" 17:.+((SYSTEM_STATE.+slice.+state.+changed )|(ment ac)|(multiple cpu faults)|(system.+state.+changed )|(\[timeout)|(PRM\|1\|D)|(kpr)|(kdp)|(train st.+moving)|(\|lc)|(penalty))"</v>
      </c>
      <c r="AG181" s="209" t="str">
        <f t="shared" si="90"/>
        <v>NW</v>
      </c>
      <c r="AH181" s="78" t="str">
        <f t="shared" ref="AH181" si="103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818-04 --locoid 4059 --swversion DE.1.0.9.0 --startMP 204:983 --initTime 2017-07-04T11:02:57 --startdatetime 2017-07-04T11:40:49 --delay 1 --endMP 300:58935 --enddatetime 2017-07-04T11:54:55 --enforcementcount 0 &gt;&gt;C:\Users\stu\Documents\GitHub\eaglep3-reporting\EC\2017-07-04-refined-times.txt</v>
      </c>
      <c r="AI181" s="96" t="str">
        <f t="shared" ref="AI181" si="104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{"issue":{"subject":"","project_id":79,"tracker_id":40,"status_id":1,"priority_id":2,"assigned_to_id":23,"start_date":"2017-07-04","description":"","custom_fields":[{"id":1,"name":"Subdivision","value":"NW"},{"id":4,"name":"Milepost","value":"0.0687"},{"id":17,"name":"Train ID","value":"818-04"},{"id":16,"name":"Locomotive ID","value":"4059"},{"id":130,"name":"Impact","value":""},{"id":150,"name":"Time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ref="AM181" si="105">"start /low /b "&amp;dls3logs&amp;" --loco "&amp;B181&amp;" --day "&amp;TEXT(F181,"YYYY-MM-DD")</f>
        <v>start /low /b %USERPROFILE%\Documents\GitHub\eaglep3\Utilities\DownloadLogsFromS3.py --loco 4059 --day 2017-07-04</v>
      </c>
      <c r="AN181" s="151" t="str">
        <f t="shared" ref="AN181" si="106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752</v>
      </c>
      <c r="B182" s="7">
        <v>4060</v>
      </c>
      <c r="C182" s="21" t="s">
        <v>202</v>
      </c>
      <c r="D182" s="21" t="s">
        <v>966</v>
      </c>
      <c r="E182" s="13">
        <v>42920.501481481479</v>
      </c>
      <c r="F182" s="13">
        <v>42920.515567129631</v>
      </c>
      <c r="G182" s="7">
        <v>1</v>
      </c>
      <c r="H182" s="21" t="s">
        <v>967</v>
      </c>
      <c r="I182" s="13">
        <v>42920.524895833332</v>
      </c>
      <c r="J182" s="7">
        <v>0</v>
      </c>
      <c r="K182" s="89" t="str">
        <f t="shared" si="82"/>
        <v>4059/4060</v>
      </c>
      <c r="L182" s="21" t="str">
        <f>VLOOKUP(A182,'Trips&amp;Operators'!$C$1:$G$99999,5,FALSE)</f>
        <v>YANG JAN</v>
      </c>
      <c r="M182" s="6">
        <f t="shared" si="83"/>
        <v>9.3287037016125396E-3</v>
      </c>
      <c r="N182" s="7">
        <f t="shared" si="99"/>
        <v>13.433333330322057</v>
      </c>
      <c r="O182" s="7"/>
      <c r="P182" s="7"/>
      <c r="Q182" s="22"/>
      <c r="R182" s="170"/>
      <c r="S182" s="213">
        <f t="shared" si="100"/>
        <v>1</v>
      </c>
      <c r="T182" s="195" t="str">
        <f t="shared" si="8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85"/>
        <v>https://d0f6bd738d7f1b3e5a7ca70fe4ff75f0.us-east-1.aws.found.io/app/kibana#/discover/Steve-Slow-Train-Analysis-(2080s-and-2083s)?_g=(refreshInterval:(display:Off,pause:!f,section:0,value:0),time:(from:'2017-07-04T11:02:08-0600',mode:absolute,to:'2017-07-04T13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2" s="197" t="str">
        <f>IF(AA182&lt;VLOOKUP(AG182,Variables!$AC$3:$AD$8,2,FALSE),"Y","N")</f>
        <v>N</v>
      </c>
      <c r="X182" s="197">
        <f t="shared" si="102"/>
        <v>1</v>
      </c>
      <c r="Y182" s="197">
        <f>RIGHT(D182,LEN(D182)-4)/10000</f>
        <v>9.64E-2</v>
      </c>
      <c r="Z182" s="197">
        <f>RIGHT(H182,LEN(H182)-4)/10000</f>
        <v>5.8924000000000003</v>
      </c>
      <c r="AA182" s="197">
        <f t="shared" si="86"/>
        <v>5.7960000000000003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87"/>
        <v>819</v>
      </c>
      <c r="AE182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82" s="74" t="str">
        <f t="shared" si="89"/>
        <v>"C:\Program Files (x86)\AstroGrep\AstroGrep.exe" /e /r /s /spath="%USERPROFILE%\AppData\Local\Temp\OnboardLogs" /stypes="app*4060*20170704*" /stext=" 18:.+((SYSTEM_STATE.+slice.+state.+changed )|(ment ac)|(multiple cpu faults)|(system.+state.+changed )|(\[timeout)|(PRM\|1\|D)|(kpr)|(kdp)|(train st.+moving)|(\|lc)|(penalty))"</v>
      </c>
      <c r="AG182" s="209" t="str">
        <f t="shared" si="90"/>
        <v>NW</v>
      </c>
      <c r="AH182" s="78" t="str">
        <f t="shared" si="92"/>
        <v>"%USERPROFILE%\Documents\GitHub\eaglep3\Utilities\RefineRTDCRunTimes.py" --tripid 819-04 --locoid 4060 --swversion DE.1.0.9.0 --startMP 204:964 --initTime 2017-07-04T12:02:08 --startdatetime 2017-07-04T12:22:25 --delay 1 --endMP 300:58924 --enddatetime 2017-07-04T12:35:51 --enforcementcount 0 &gt;&gt;C:\Users\stu\Documents\GitHub\eaglep3-reporting\EC\2017-07-04-refined-times.txt</v>
      </c>
      <c r="AI182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{"issue":{"subject":"","project_id":79,"tracker_id":40,"status_id":1,"priority_id":2,"assigned_to_id":23,"start_date":"2017-07-04","description":"","custom_fields":[{"id":1,"name":"Subdivision","value":"NW"},{"id":4,"name":"Milepost","value":"5.8924"},{"id":17,"name":"Train ID","value":"819-04"},{"id":16,"name":"Locomotive ID","value":"4060"},{"id":130,"name":"Impact","value":""},{"id":150,"name":"Time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94"/>
        <v>start /low /b %USERPROFILE%\Documents\GitHub\eaglep3\Utilities\DownloadLogsFromS3.py --loco 4060 --day 2017-07-04</v>
      </c>
      <c r="AN182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758</v>
      </c>
      <c r="B183" s="7">
        <v>4059</v>
      </c>
      <c r="C183" s="21" t="s">
        <v>202</v>
      </c>
      <c r="D183" s="21" t="s">
        <v>966</v>
      </c>
      <c r="E183" s="13">
        <v>42920.501481481479</v>
      </c>
      <c r="F183" s="13">
        <v>42920.528425925928</v>
      </c>
      <c r="G183" s="7">
        <v>1</v>
      </c>
      <c r="H183" s="21" t="s">
        <v>967</v>
      </c>
      <c r="I183" s="13">
        <v>42920.537870370368</v>
      </c>
      <c r="J183" s="7">
        <v>0</v>
      </c>
      <c r="K183" s="89" t="str">
        <f t="shared" si="82"/>
        <v>4059/4060</v>
      </c>
      <c r="L183" s="21" t="str">
        <f>VLOOKUP(A183,'Trips&amp;Operators'!$C$1:$G$99999,5,FALSE)</f>
        <v>YANG JAN</v>
      </c>
      <c r="M183" s="6">
        <f t="shared" si="83"/>
        <v>9.444444440305233E-3</v>
      </c>
      <c r="N183" s="7">
        <f t="shared" si="99"/>
        <v>13.599999994039536</v>
      </c>
      <c r="O183" s="7"/>
      <c r="P183" s="7"/>
      <c r="Q183" s="22"/>
      <c r="R183" s="170"/>
      <c r="S183" s="213">
        <f t="shared" si="100"/>
        <v>1</v>
      </c>
      <c r="T183" s="195" t="str">
        <f t="shared" si="8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85"/>
        <v>https://d0f6bd738d7f1b3e5a7ca70fe4ff75f0.us-east-1.aws.found.io/app/kibana#/discover/Steve-Slow-Train-Analysis-(2080s-and-2083s)?_g=(refreshInterval:(display:Off,pause:!f,section:0,value:0),time:(from:'2017-07-04T11:02:08-0600',mode:absolute,to:'2017-07-04T13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3" s="197" t="str">
        <f>IF(AA183&lt;VLOOKUP(AG183,Variables!$AC$3:$AD$8,2,FALSE),"Y","N")</f>
        <v>N</v>
      </c>
      <c r="X183" s="197">
        <f t="shared" si="102"/>
        <v>1</v>
      </c>
      <c r="Y183" s="197">
        <v>5.8634000000000004</v>
      </c>
      <c r="Z183" s="197">
        <v>7.22E-2</v>
      </c>
      <c r="AA183" s="197">
        <f t="shared" si="86"/>
        <v>5.7912000000000008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87"/>
        <v>820</v>
      </c>
      <c r="AE183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83" s="74" t="str">
        <f t="shared" si="89"/>
        <v>"C:\Program Files (x86)\AstroGrep\AstroGrep.exe" /e /r /s /spath="%USERPROFILE%\AppData\Local\Temp\OnboardLogs" /stypes="app*4059*20170704*" /stext=" 18:.+((SYSTEM_STATE.+slice.+state.+changed )|(ment ac)|(multiple cpu faults)|(system.+state.+changed )|(\[timeout)|(PRM\|1\|D)|(kpr)|(kdp)|(train st.+moving)|(\|lc)|(penalty))"</v>
      </c>
      <c r="AG183" s="209" t="str">
        <f t="shared" si="90"/>
        <v>NW</v>
      </c>
      <c r="AH183" s="78" t="str">
        <f t="shared" ref="AH183" si="107"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820-04 --locoid 4059 --swversion DE.1.0.9.0 --startMP 204:964 --initTime 2017-07-04T12:02:08 --startdatetime 2017-07-04T12:40:56 --delay 1 --endMP 300:58924 --enddatetime 2017-07-04T12:54:32 --enforcementcount 0 &gt;&gt;C:\Users\stu\Documents\GitHub\eaglep3-reporting\EC\2017-07-04-refined-times.txt</v>
      </c>
      <c r="AI183" s="96" t="str">
        <f t="shared" ref="AI183" si="108"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{"issue":{"subject":"","project_id":79,"tracker_id":40,"status_id":1,"priority_id":2,"assigned_to_id":23,"start_date":"2017-07-04","description":"","custom_fields":[{"id":1,"name":"Subdivision","value":"NW"},{"id":4,"name":"Milepost","value":"0.0722"},{"id":17,"name":"Train ID","value":"820-04"},{"id":16,"name":"Locomotive ID","value":"4059"},{"id":130,"name":"Impact","value":""},{"id":150,"name":"Time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ref="AM183" si="109">"start /low /b "&amp;dls3logs&amp;" --loco "&amp;B183&amp;" --day "&amp;TEXT(F183,"YYYY-MM-DD")</f>
        <v>start /low /b %USERPROFILE%\Documents\GitHub\eaglep3\Utilities\DownloadLogsFromS3.py --loco 4059 --day 2017-07-04</v>
      </c>
      <c r="AN183" s="151" t="str">
        <f t="shared" ref="AN183" si="110"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764</v>
      </c>
      <c r="B184" s="7">
        <v>4060</v>
      </c>
      <c r="C184" s="21" t="s">
        <v>202</v>
      </c>
      <c r="D184" s="21" t="s">
        <v>968</v>
      </c>
      <c r="E184" s="13">
        <v>42920.547974537039</v>
      </c>
      <c r="F184" s="13">
        <v>42920.556516203702</v>
      </c>
      <c r="G184" s="7">
        <v>2</v>
      </c>
      <c r="H184" s="21" t="s">
        <v>480</v>
      </c>
      <c r="I184" s="13">
        <v>42920.566608796296</v>
      </c>
      <c r="J184" s="7">
        <v>0</v>
      </c>
      <c r="K184" s="89" t="str">
        <f t="shared" si="82"/>
        <v>4059/4060</v>
      </c>
      <c r="L184" s="21" t="str">
        <f>VLOOKUP(A184,'Trips&amp;Operators'!$C$1:$G$99999,5,FALSE)</f>
        <v>BRUDER RICHARD</v>
      </c>
      <c r="M184" s="6">
        <f t="shared" si="83"/>
        <v>1.0092592594446614E-2</v>
      </c>
      <c r="N184" s="7">
        <f t="shared" si="99"/>
        <v>14.533333336003125</v>
      </c>
      <c r="O184" s="7"/>
      <c r="P184" s="7"/>
      <c r="Q184" s="22"/>
      <c r="R184" s="170"/>
      <c r="S184" s="213">
        <f t="shared" si="100"/>
        <v>1</v>
      </c>
      <c r="T184" s="195" t="str">
        <f t="shared" si="8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85"/>
        <v>https://d0f6bd738d7f1b3e5a7ca70fe4ff75f0.us-east-1.aws.found.io/app/kibana#/discover/Steve-Slow-Train-Analysis-(2080s-and-2083s)?_g=(refreshInterval:(display:Off,pause:!f,section:0,value:0),time:(from:'2017-07-04T12:09:05-0600',mode:absolute,to:'2017-07-04T14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197" t="str">
        <f>IF(AA184&lt;VLOOKUP(AG184,Variables!$AC$3:$AD$8,2,FALSE),"Y","N")</f>
        <v>N</v>
      </c>
      <c r="X184" s="197">
        <f t="shared" si="102"/>
        <v>1</v>
      </c>
      <c r="Y184" s="197">
        <f t="shared" ref="Y184:Y215" si="111">RIGHT(D184,LEN(D184)-4)/10000</f>
        <v>9.9900000000000003E-2</v>
      </c>
      <c r="Z184" s="197">
        <f t="shared" ref="Z184:Z215" si="112">RIGHT(H184,LEN(H184)-4)/10000</f>
        <v>5.8948</v>
      </c>
      <c r="AA184" s="197">
        <f t="shared" si="86"/>
        <v>5.7949000000000002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87"/>
        <v>821</v>
      </c>
      <c r="AE184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84" s="74" t="str">
        <f t="shared" si="89"/>
        <v>"C:\Program Files (x86)\AstroGrep\AstroGrep.exe" /e /r /s /spath="%USERPROFILE%\AppData\Local\Temp\OnboardLogs" /stypes="app*4060*20170704*" /stext=" 19:.+((SYSTEM_STATE.+slice.+state.+changed )|(ment ac)|(multiple cpu faults)|(system.+state.+changed )|(\[timeout)|(PRM\|1\|D)|(kpr)|(kdp)|(train st.+moving)|(\|lc)|(penalty))"</v>
      </c>
      <c r="AG184" s="209" t="str">
        <f t="shared" si="90"/>
        <v>NW</v>
      </c>
      <c r="AH184" s="78" t="str">
        <f t="shared" si="92"/>
        <v>"%USERPROFILE%\Documents\GitHub\eaglep3\Utilities\RefineRTDCRunTimes.py" --tripid 821-04 --locoid 4060 --swversion DE.1.0.9.0 --startMP 204:999 --initTime 2017-07-04T13:09:05 --startdatetime 2017-07-04T13:21:23 --delay 2 --endMP 300:58948 --enddatetime 2017-07-04T13:35:55 --enforcementcount 0 &gt;&gt;C:\Users\stu\Documents\GitHub\eaglep3-reporting\EC\2017-07-04-refined-times.txt</v>
      </c>
      <c r="AI184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{"issue":{"subject":"","project_id":79,"tracker_id":40,"status_id":1,"priority_id":2,"assigned_to_id":23,"start_date":"2017-07-04","description":"","custom_fields":[{"id":1,"name":"Subdivision","value":"NW"},{"id":4,"name":"Milepost","value":"5.8948"},{"id":17,"name":"Train ID","value":"821-04"},{"id":16,"name":"Locomotive ID","value":"4060"},{"id":130,"name":"Impact","value":""},{"id":150,"name":"Time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94"/>
        <v>start /low /b %USERPROFILE%\Documents\GitHub\eaglep3\Utilities\DownloadLogsFromS3.py --loco 4060 --day 2017-07-04</v>
      </c>
      <c r="AN184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767</v>
      </c>
      <c r="B185" s="7">
        <v>4059</v>
      </c>
      <c r="C185" s="21" t="s">
        <v>202</v>
      </c>
      <c r="D185" s="21" t="s">
        <v>479</v>
      </c>
      <c r="E185" s="13">
        <v>42920.567673611113</v>
      </c>
      <c r="F185" s="13">
        <v>42920.57</v>
      </c>
      <c r="G185" s="7">
        <v>1</v>
      </c>
      <c r="H185" s="21" t="s">
        <v>969</v>
      </c>
      <c r="I185" s="13">
        <v>42920.579629629632</v>
      </c>
      <c r="J185" s="7">
        <v>0</v>
      </c>
      <c r="K185" s="89" t="str">
        <f t="shared" si="82"/>
        <v>4059/4060</v>
      </c>
      <c r="L185" s="21" t="str">
        <f>VLOOKUP(A185,'Trips&amp;Operators'!$C$1:$G$99999,5,FALSE)</f>
        <v>BRUDER RICHARD</v>
      </c>
      <c r="M185" s="6">
        <f t="shared" si="83"/>
        <v>9.6296296323998831E-3</v>
      </c>
      <c r="N185" s="7">
        <f t="shared" si="99"/>
        <v>13.866666670655832</v>
      </c>
      <c r="O185" s="7"/>
      <c r="P185" s="7"/>
      <c r="Q185" s="22"/>
      <c r="R185" s="170"/>
      <c r="S185" s="213">
        <f t="shared" si="100"/>
        <v>1</v>
      </c>
      <c r="T185" s="195" t="str">
        <f t="shared" si="8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85"/>
        <v>https://d0f6bd738d7f1b3e5a7ca70fe4ff75f0.us-east-1.aws.found.io/app/kibana#/discover/Steve-Slow-Train-Analysis-(2080s-and-2083s)?_g=(refreshInterval:(display:Off,pause:!f,section:0,value:0),time:(from:'2017-07-04T12:37:27-0600',mode:absolute,to:'2017-07-04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197" t="str">
        <f>IF(AA185&lt;VLOOKUP(AG185,Variables!$AC$3:$AD$8,2,FALSE),"Y","N")</f>
        <v>N</v>
      </c>
      <c r="X185" s="197">
        <f t="shared" si="102"/>
        <v>1</v>
      </c>
      <c r="Y185" s="197">
        <f t="shared" si="111"/>
        <v>5.8634000000000004</v>
      </c>
      <c r="Z185" s="197">
        <f t="shared" si="112"/>
        <v>7.22E-2</v>
      </c>
      <c r="AA185" s="197">
        <f t="shared" si="86"/>
        <v>5.7912000000000008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87"/>
        <v>822</v>
      </c>
      <c r="AE185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85" s="74" t="str">
        <f t="shared" si="89"/>
        <v>"C:\Program Files (x86)\AstroGrep\AstroGrep.exe" /e /r /s /spath="%USERPROFILE%\AppData\Local\Temp\OnboardLogs" /stypes="app*4059*20170704*" /stext=" 19:.+((SYSTEM_STATE.+slice.+state.+changed )|(ment ac)|(multiple cpu faults)|(system.+state.+changed )|(\[timeout)|(PRM\|1\|D)|(kpr)|(kdp)|(train st.+moving)|(\|lc)|(penalty))"</v>
      </c>
      <c r="AG185" s="209" t="str">
        <f t="shared" si="90"/>
        <v>NW</v>
      </c>
      <c r="AH185" s="78" t="str">
        <f t="shared" si="92"/>
        <v>"%USERPROFILE%\Documents\GitHub\eaglep3\Utilities\RefineRTDCRunTimes.py" --tripid 822-04 --locoid 4059 --swversion DE.1.0.9.0 --startMP 300:58634 --initTime 2017-07-04T13:37:27 --startdatetime 2017-07-04T13:40:48 --delay 1 --endMP 204:722 --enddatetime 2017-07-04T13:54:40 --enforcementcount 0 &gt;&gt;C:\Users\stu\Documents\GitHub\eaglep3-reporting\EC\2017-07-04-refined-times.txt</v>
      </c>
      <c r="AI185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{"issue":{"subject":"","project_id":79,"tracker_id":40,"status_id":1,"priority_id":2,"assigned_to_id":23,"start_date":"2017-07-04","description":"","custom_fields":[{"id":1,"name":"Subdivision","value":"NW"},{"id":4,"name":"Milepost","value":"0.0722"},{"id":17,"name":"Train ID","value":"822-04"},{"id":16,"name":"Locomotive ID","value":"4059"},{"id":130,"name":"Impact","value":""},{"id":150,"name":"Time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94"/>
        <v>start /low /b %USERPROFILE%\Documents\GitHub\eaglep3\Utilities\DownloadLogsFromS3.py --loco 4059 --day 2017-07-04</v>
      </c>
      <c r="AN185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771</v>
      </c>
      <c r="B186" s="7">
        <v>4060</v>
      </c>
      <c r="C186" s="21" t="s">
        <v>202</v>
      </c>
      <c r="D186" s="21" t="s">
        <v>949</v>
      </c>
      <c r="E186" s="13">
        <v>42920.594143518516</v>
      </c>
      <c r="F186" s="13">
        <v>42920.598124999997</v>
      </c>
      <c r="G186" s="7">
        <v>1</v>
      </c>
      <c r="H186" s="21" t="s">
        <v>509</v>
      </c>
      <c r="I186" s="13">
        <v>42920.607673611114</v>
      </c>
      <c r="J186" s="7">
        <v>0</v>
      </c>
      <c r="K186" s="89" t="str">
        <f t="shared" si="82"/>
        <v>4059/4060</v>
      </c>
      <c r="L186" s="21" t="str">
        <f>VLOOKUP(A186,'Trips&amp;Operators'!$C$1:$G$99999,5,FALSE)</f>
        <v>BRUDER RICHARD</v>
      </c>
      <c r="M186" s="6">
        <f t="shared" si="83"/>
        <v>9.5486111167701893E-3</v>
      </c>
      <c r="N186" s="7">
        <f t="shared" si="99"/>
        <v>13.750000008149073</v>
      </c>
      <c r="O186" s="7"/>
      <c r="P186" s="7"/>
      <c r="Q186" s="22"/>
      <c r="R186" s="170"/>
      <c r="S186" s="213">
        <f t="shared" si="100"/>
        <v>1</v>
      </c>
      <c r="T186" s="195" t="str">
        <f t="shared" si="8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85"/>
        <v>https://d0f6bd738d7f1b3e5a7ca70fe4ff75f0.us-east-1.aws.found.io/app/kibana#/discover/Steve-Slow-Train-Analysis-(2080s-and-2083s)?_g=(refreshInterval:(display:Off,pause:!f,section:0,value:0),time:(from:'2017-07-04T13:15:34-0600',mode:absolute,to:'2017-07-04T15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197" t="str">
        <f>IF(AA186&lt;VLOOKUP(AG186,Variables!$AC$3:$AD$8,2,FALSE),"Y","N")</f>
        <v>N</v>
      </c>
      <c r="X186" s="197">
        <f t="shared" si="102"/>
        <v>1</v>
      </c>
      <c r="Y186" s="197">
        <f t="shared" si="111"/>
        <v>0.1016</v>
      </c>
      <c r="Z186" s="197">
        <f t="shared" si="112"/>
        <v>5.8949999999999996</v>
      </c>
      <c r="AA186" s="197">
        <f t="shared" si="86"/>
        <v>5.7933999999999992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87"/>
        <v>823</v>
      </c>
      <c r="AE186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86" s="74" t="str">
        <f t="shared" si="89"/>
        <v>"C:\Program Files (x86)\AstroGrep\AstroGrep.exe" /e /r /s /spath="%USERPROFILE%\AppData\Local\Temp\OnboardLogs" /stypes="app*4060*20170704*" /stext=" 20:.+((SYSTEM_STATE.+slice.+state.+changed )|(ment ac)|(multiple cpu faults)|(system.+state.+changed )|(\[timeout)|(PRM\|1\|D)|(kpr)|(kdp)|(train st.+moving)|(\|lc)|(penalty))"</v>
      </c>
      <c r="AG186" s="209" t="str">
        <f t="shared" si="90"/>
        <v>NW</v>
      </c>
      <c r="AH186" s="78" t="str">
        <f t="shared" si="92"/>
        <v>"%USERPROFILE%\Documents\GitHub\eaglep3\Utilities\RefineRTDCRunTimes.py" --tripid 823-04 --locoid 4060 --swversion DE.1.0.9.0 --startMP 204:1016 --initTime 2017-07-04T14:15:34 --startdatetime 2017-07-04T14:21:18 --delay 1 --endMP 300:58950 --enddatetime 2017-07-04T14:35:03 --enforcementcount 0 &gt;&gt;C:\Users\stu\Documents\GitHub\eaglep3-reporting\EC\2017-07-04-refined-times.txt</v>
      </c>
      <c r="AI186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{"issue":{"subject":"","project_id":79,"tracker_id":40,"status_id":1,"priority_id":2,"assigned_to_id":23,"start_date":"2017-07-04","description":"","custom_fields":[{"id":1,"name":"Subdivision","value":"NW"},{"id":4,"name":"Milepost","value":"5.895"},{"id":17,"name":"Train ID","value":"823-04"},{"id":16,"name":"Locomotive ID","value":"4060"},{"id":130,"name":"Impact","value":""},{"id":150,"name":"Time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4"/>
        <v>start /low /b %USERPROFILE%\Documents\GitHub\eaglep3\Utilities\DownloadLogsFromS3.py --loco 4060 --day 2017-07-04</v>
      </c>
      <c r="AN186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775</v>
      </c>
      <c r="B187" s="7">
        <v>4059</v>
      </c>
      <c r="C187" s="21" t="s">
        <v>202</v>
      </c>
      <c r="D187" s="21" t="s">
        <v>508</v>
      </c>
      <c r="E187" s="13">
        <v>42920.608958333331</v>
      </c>
      <c r="F187" s="13">
        <v>42920.610520833332</v>
      </c>
      <c r="G187" s="7">
        <v>1</v>
      </c>
      <c r="H187" s="21" t="s">
        <v>970</v>
      </c>
      <c r="I187" s="13">
        <v>42920.621307870373</v>
      </c>
      <c r="J187" s="7">
        <v>0</v>
      </c>
      <c r="K187" s="89" t="str">
        <f t="shared" si="82"/>
        <v>4059/4060</v>
      </c>
      <c r="L187" s="21" t="str">
        <f>VLOOKUP(A187,'Trips&amp;Operators'!$C$1:$G$99999,5,FALSE)</f>
        <v>BRUDER RICHARD</v>
      </c>
      <c r="M187" s="6">
        <f t="shared" si="83"/>
        <v>1.078703704115469E-2</v>
      </c>
      <c r="N187" s="7">
        <f t="shared" si="99"/>
        <v>15.533333339262754</v>
      </c>
      <c r="O187" s="7"/>
      <c r="P187" s="7"/>
      <c r="Q187" s="22"/>
      <c r="R187" s="170"/>
      <c r="S187" s="213">
        <f t="shared" si="100"/>
        <v>1</v>
      </c>
      <c r="T187" s="195" t="str">
        <f t="shared" si="8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85"/>
        <v>https://d0f6bd738d7f1b3e5a7ca70fe4ff75f0.us-east-1.aws.found.io/app/kibana#/discover/Steve-Slow-Train-Analysis-(2080s-and-2083s)?_g=(refreshInterval:(display:Off,pause:!f,section:0,value:0),time:(from:'2017-07-04T13:36:54-0600',mode:absolute,to:'2017-07-04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197" t="str">
        <f>IF(AA187&lt;VLOOKUP(AG187,Variables!$AC$3:$AD$8,2,FALSE),"Y","N")</f>
        <v>N</v>
      </c>
      <c r="X187" s="197">
        <f t="shared" ref="X187:X218" si="113">VALUE(LEFT(AD187,4))-VALUE(LEFT(AD186,4))</f>
        <v>1</v>
      </c>
      <c r="Y187" s="197">
        <f t="shared" si="111"/>
        <v>5.8643000000000001</v>
      </c>
      <c r="Z187" s="197">
        <f t="shared" si="112"/>
        <v>7.2400000000000006E-2</v>
      </c>
      <c r="AA187" s="197">
        <f t="shared" si="86"/>
        <v>5.7919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87"/>
        <v>824</v>
      </c>
      <c r="AE187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87" s="74" t="str">
        <f t="shared" si="89"/>
        <v>"C:\Program Files (x86)\AstroGrep\AstroGrep.exe" /e /r /s /spath="%USERPROFILE%\AppData\Local\Temp\OnboardLogs" /stypes="app*4059*20170704*" /stext=" 20:.+((SYSTEM_STATE.+slice.+state.+changed )|(ment ac)|(multiple cpu faults)|(system.+state.+changed )|(\[timeout)|(PRM\|1\|D)|(kpr)|(kdp)|(train st.+moving)|(\|lc)|(penalty))"</v>
      </c>
      <c r="AG187" s="209" t="str">
        <f t="shared" si="90"/>
        <v>NW</v>
      </c>
      <c r="AH187" s="78" t="str">
        <f t="shared" si="92"/>
        <v>"%USERPROFILE%\Documents\GitHub\eaglep3\Utilities\RefineRTDCRunTimes.py" --tripid 824-04 --locoid 4059 --swversion DE.1.0.9.0 --startMP 300:58643 --initTime 2017-07-04T14:36:54 --startdatetime 2017-07-04T14:39:09 --delay 1 --endMP 204:724 --enddatetime 2017-07-04T14:54:41 --enforcementcount 0 &gt;&gt;C:\Users\stu\Documents\GitHub\eaglep3-reporting\EC\2017-07-04-refined-times.txt</v>
      </c>
      <c r="AI187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{"issue":{"subject":"","project_id":79,"tracker_id":40,"status_id":1,"priority_id":2,"assigned_to_id":23,"start_date":"2017-07-04","description":"","custom_fields":[{"id":1,"name":"Subdivision","value":"NW"},{"id":4,"name":"Milepost","value":"0.0724"},{"id":17,"name":"Train ID","value":"824-04"},{"id":16,"name":"Locomotive ID","value":"4059"},{"id":130,"name":"Impact","value":""},{"id":150,"name":"Time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94"/>
        <v>start /low /b %USERPROFILE%\Documents\GitHub\eaglep3\Utilities\DownloadLogsFromS3.py --loco 4059 --day 2017-07-04</v>
      </c>
      <c r="AN187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631</v>
      </c>
      <c r="B188" s="7">
        <v>4060</v>
      </c>
      <c r="C188" s="21" t="s">
        <v>202</v>
      </c>
      <c r="D188" s="21" t="s">
        <v>971</v>
      </c>
      <c r="E188" s="13">
        <v>42920.636400462965</v>
      </c>
      <c r="F188" s="13">
        <v>42920.639756944445</v>
      </c>
      <c r="G188" s="7">
        <v>1</v>
      </c>
      <c r="H188" s="21" t="s">
        <v>972</v>
      </c>
      <c r="I188" s="13">
        <v>42920.649594907409</v>
      </c>
      <c r="J188" s="7">
        <v>0</v>
      </c>
      <c r="K188" s="89" t="str">
        <f t="shared" si="82"/>
        <v>4059/4060</v>
      </c>
      <c r="L188" s="21" t="str">
        <f>VLOOKUP(A188,'Trips&amp;Operators'!$C$1:$G$99999,5,FALSE)</f>
        <v>BRUDER RICHARD</v>
      </c>
      <c r="M188" s="6">
        <f t="shared" si="83"/>
        <v>9.8379629635019228E-3</v>
      </c>
      <c r="N188" s="7">
        <f t="shared" si="99"/>
        <v>14.166666667442769</v>
      </c>
      <c r="O188" s="7"/>
      <c r="P188" s="7"/>
      <c r="Q188" s="22"/>
      <c r="R188" s="170"/>
      <c r="S188" s="213">
        <f t="shared" si="100"/>
        <v>1</v>
      </c>
      <c r="T188" s="195" t="str">
        <f t="shared" si="8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85"/>
        <v>https://d0f6bd738d7f1b3e5a7ca70fe4ff75f0.us-east-1.aws.found.io/app/kibana#/discover/Steve-Slow-Train-Analysis-(2080s-and-2083s)?_g=(refreshInterval:(display:Off,pause:!f,section:0,value:0),time:(from:'2017-07-04T14:16:25-0600',mode:absolute,to:'2017-07-04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197" t="str">
        <f>IF(AA188&lt;VLOOKUP(AG188,Variables!$AC$3:$AD$8,2,FALSE),"Y","N")</f>
        <v>N</v>
      </c>
      <c r="X188" s="197">
        <f t="shared" si="113"/>
        <v>1</v>
      </c>
      <c r="Y188" s="197">
        <f t="shared" si="111"/>
        <v>0.1027</v>
      </c>
      <c r="Z188" s="197">
        <f t="shared" si="112"/>
        <v>5.8952</v>
      </c>
      <c r="AA188" s="197">
        <f t="shared" si="86"/>
        <v>5.7925000000000004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87"/>
        <v>825</v>
      </c>
      <c r="AE188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88" s="74" t="str">
        <f t="shared" si="89"/>
        <v>"C:\Program Files (x86)\AstroGrep\AstroGrep.exe" /e /r /s /spath="%USERPROFILE%\AppData\Local\Temp\OnboardLogs" /stypes="app*4060*20170704*" /stext=" 21:.+((SYSTEM_STATE.+slice.+state.+changed )|(ment ac)|(multiple cpu faults)|(system.+state.+changed )|(\[timeout)|(PRM\|1\|D)|(kpr)|(kdp)|(train st.+moving)|(\|lc)|(penalty))"</v>
      </c>
      <c r="AG188" s="209" t="str">
        <f t="shared" si="90"/>
        <v>NW</v>
      </c>
      <c r="AH188" s="78" t="str">
        <f t="shared" si="92"/>
        <v>"%USERPROFILE%\Documents\GitHub\eaglep3\Utilities\RefineRTDCRunTimes.py" --tripid 825-04 --locoid 4060 --swversion DE.1.0.9.0 --startMP 204:1027 --initTime 2017-07-04T15:16:25 --startdatetime 2017-07-04T15:21:15 --delay 1 --endMP 300:58952 --enddatetime 2017-07-04T15:35:25 --enforcementcount 0 &gt;&gt;C:\Users\stu\Documents\GitHub\eaglep3-reporting\EC\2017-07-04-refined-times.txt</v>
      </c>
      <c r="AI188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{"issue":{"subject":"","project_id":79,"tracker_id":40,"status_id":1,"priority_id":2,"assigned_to_id":23,"start_date":"2017-07-04","description":"","custom_fields":[{"id":1,"name":"Subdivision","value":"NW"},{"id":4,"name":"Milepost","value":"5.8952"},{"id":17,"name":"Train ID","value":"825-04"},{"id":16,"name":"Locomotive ID","value":"4060"},{"id":130,"name":"Impact","value":""},{"id":150,"name":"Time of Event (Mountain Time)","value":"15:35:25"},{"id":151,"name":"Denver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94"/>
        <v>start /low /b %USERPROFILE%\Documents\GitHub\eaglep3\Utilities\DownloadLogsFromS3.py --loco 4060 --day 2017-07-04</v>
      </c>
      <c r="AN188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780</v>
      </c>
      <c r="B189" s="7">
        <v>4059</v>
      </c>
      <c r="C189" s="21" t="s">
        <v>202</v>
      </c>
      <c r="D189" s="21" t="s">
        <v>479</v>
      </c>
      <c r="E189" s="13">
        <v>42920.651319444441</v>
      </c>
      <c r="F189" s="13">
        <v>42920.652951388889</v>
      </c>
      <c r="G189" s="7">
        <v>1</v>
      </c>
      <c r="H189" s="21" t="s">
        <v>593</v>
      </c>
      <c r="I189" s="13">
        <v>42920.664097222223</v>
      </c>
      <c r="J189" s="7">
        <v>0</v>
      </c>
      <c r="K189" s="89" t="str">
        <f t="shared" si="82"/>
        <v>4059/4060</v>
      </c>
      <c r="L189" s="21" t="str">
        <f>VLOOKUP(A189,'Trips&amp;Operators'!$C$1:$G$99999,5,FALSE)</f>
        <v>BRUDER RICHARD</v>
      </c>
      <c r="M189" s="6">
        <f t="shared" si="83"/>
        <v>1.1145833334012423E-2</v>
      </c>
      <c r="N189" s="7">
        <f t="shared" si="99"/>
        <v>16.050000000977889</v>
      </c>
      <c r="O189" s="7"/>
      <c r="P189" s="7"/>
      <c r="Q189" s="22"/>
      <c r="R189" s="170"/>
      <c r="S189" s="213">
        <f t="shared" si="100"/>
        <v>1</v>
      </c>
      <c r="T189" s="195" t="str">
        <f t="shared" si="8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85"/>
        <v>https://d0f6bd738d7f1b3e5a7ca70fe4ff75f0.us-east-1.aws.found.io/app/kibana#/discover/Steve-Slow-Train-Analysis-(2080s-and-2083s)?_g=(refreshInterval:(display:Off,pause:!f,section:0,value:0),time:(from:'2017-07-04T14:37:54-0600',mode:absolute,to:'2017-07-04T16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197" t="str">
        <f>IF(AA189&lt;VLOOKUP(AG189,Variables!$AC$3:$AD$8,2,FALSE),"Y","N")</f>
        <v>N</v>
      </c>
      <c r="X189" s="197">
        <f t="shared" si="113"/>
        <v>1</v>
      </c>
      <c r="Y189" s="197">
        <f t="shared" si="111"/>
        <v>5.8634000000000004</v>
      </c>
      <c r="Z189" s="197">
        <f t="shared" si="112"/>
        <v>7.5200000000000003E-2</v>
      </c>
      <c r="AA189" s="197">
        <f t="shared" si="86"/>
        <v>5.7882000000000007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87"/>
        <v>826</v>
      </c>
      <c r="AE189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89" s="74" t="str">
        <f t="shared" si="89"/>
        <v>"C:\Program Files (x86)\AstroGrep\AstroGrep.exe" /e /r /s /spath="%USERPROFILE%\AppData\Local\Temp\OnboardLogs" /stypes="app*4059*20170704*" /stext=" 21:.+((SYSTEM_STATE.+slice.+state.+changed )|(ment ac)|(multiple cpu faults)|(system.+state.+changed )|(\[timeout)|(PRM\|1\|D)|(kpr)|(kdp)|(train st.+moving)|(\|lc)|(penalty))"</v>
      </c>
      <c r="AG189" s="209" t="str">
        <f t="shared" si="90"/>
        <v>NW</v>
      </c>
      <c r="AH189" s="78" t="str">
        <f t="shared" si="92"/>
        <v>"%USERPROFILE%\Documents\GitHub\eaglep3\Utilities\RefineRTDCRunTimes.py" --tripid 826-04 --locoid 4059 --swversion DE.1.0.9.0 --startMP 300:58634 --initTime 2017-07-04T15:37:54 --startdatetime 2017-07-04T15:40:15 --delay 1 --endMP 204:752 --enddatetime 2017-07-04T15:56:18 --enforcementcount 0 &gt;&gt;C:\Users\stu\Documents\GitHub\eaglep3-reporting\EC\2017-07-04-refined-times.txt</v>
      </c>
      <c r="AI189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{"issue":{"subject":"","project_id":79,"tracker_id":40,"status_id":1,"priority_id":2,"assigned_to_id":23,"start_date":"2017-07-04","description":"","custom_fields":[{"id":1,"name":"Subdivision","value":"NW"},{"id":4,"name":"Milepost","value":"0.0752"},{"id":17,"name":"Train ID","value":"826-04"},{"id":16,"name":"Locomotive ID","value":"4059"},{"id":130,"name":"Impact","value":""},{"id":150,"name":"Time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94"/>
        <v>start /low /b %USERPROFILE%\Documents\GitHub\eaglep3\Utilities\DownloadLogsFromS3.py --loco 4059 --day 2017-07-04</v>
      </c>
      <c r="AN189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635</v>
      </c>
      <c r="B190" s="7">
        <v>4022</v>
      </c>
      <c r="C190" s="21" t="s">
        <v>202</v>
      </c>
      <c r="D190" s="21" t="s">
        <v>973</v>
      </c>
      <c r="E190" s="13">
        <v>42920.65452546296</v>
      </c>
      <c r="F190" s="13">
        <v>42920.660740740743</v>
      </c>
      <c r="G190" s="7">
        <v>1</v>
      </c>
      <c r="H190" s="21" t="s">
        <v>498</v>
      </c>
      <c r="I190" s="13">
        <v>42920.670405092591</v>
      </c>
      <c r="J190" s="7">
        <v>0</v>
      </c>
      <c r="K190" s="89" t="str">
        <f t="shared" si="82"/>
        <v>4021/4022</v>
      </c>
      <c r="L190" s="21" t="str">
        <f>VLOOKUP(A190,'Trips&amp;Operators'!$C$1:$G$99999,5,FALSE)</f>
        <v>STAMBAUGH JAMES</v>
      </c>
      <c r="M190" s="6">
        <f t="shared" si="83"/>
        <v>9.6643518481869251E-3</v>
      </c>
      <c r="N190" s="7">
        <f t="shared" si="99"/>
        <v>13.916666661389172</v>
      </c>
      <c r="O190" s="7"/>
      <c r="P190" s="7"/>
      <c r="Q190" s="22"/>
      <c r="R190" s="170"/>
      <c r="S190" s="213">
        <f t="shared" si="100"/>
        <v>1</v>
      </c>
      <c r="T190" s="195" t="str">
        <f t="shared" si="8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85"/>
        <v>https://d0f6bd738d7f1b3e5a7ca70fe4ff75f0.us-east-1.aws.found.io/app/kibana#/discover/Steve-Slow-Train-Analysis-(2080s-and-2083s)?_g=(refreshInterval:(display:Off,pause:!f,section:0,value:0),time:(from:'2017-07-04T14:42:31-0600',mode:absolute,to:'2017-07-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0" s="197" t="str">
        <f>IF(AA190&lt;VLOOKUP(AG190,Variables!$AC$3:$AD$8,2,FALSE),"Y","N")</f>
        <v>N</v>
      </c>
      <c r="X190" s="197">
        <f t="shared" si="113"/>
        <v>1</v>
      </c>
      <c r="Y190" s="197">
        <f t="shared" si="111"/>
        <v>9.2999999999999999E-2</v>
      </c>
      <c r="Z190" s="197">
        <f t="shared" si="112"/>
        <v>5.8943000000000003</v>
      </c>
      <c r="AA190" s="197">
        <f t="shared" si="86"/>
        <v>5.8013000000000003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87"/>
        <v>827</v>
      </c>
      <c r="AE190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90" s="74" t="str">
        <f t="shared" si="89"/>
        <v>"C:\Program Files (x86)\AstroGrep\AstroGrep.exe" /e /r /s /spath="%USERPROFILE%\AppData\Local\Temp\OnboardLogs" /stypes="app*4022*20170704*" /stext=" 22:.+((SYSTEM_STATE.+slice.+state.+changed )|(ment ac)|(multiple cpu faults)|(system.+state.+changed )|(\[timeout)|(PRM\|1\|D)|(kpr)|(kdp)|(train st.+moving)|(\|lc)|(penalty))"</v>
      </c>
      <c r="AG190" s="209" t="str">
        <f t="shared" si="90"/>
        <v>NW</v>
      </c>
      <c r="AH190" s="78" t="str">
        <f t="shared" si="92"/>
        <v>"%USERPROFILE%\Documents\GitHub\eaglep3\Utilities\RefineRTDCRunTimes.py" --tripid 827-04 --locoid 4022 --swversion DE.1.0.9.0 --startMP 204:930 --initTime 2017-07-04T15:42:31 --startdatetime 2017-07-04T15:51:28 --delay 1 --endMP 300:58943 --enddatetime 2017-07-04T16:05:23 --enforcementcount 0 &gt;&gt;C:\Users\stu\Documents\GitHub\eaglep3-reporting\EC\2017-07-04-refined-times.txt</v>
      </c>
      <c r="AI190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{"issue":{"subject":"","project_id":79,"tracker_id":40,"status_id":1,"priority_id":2,"assigned_to_id":23,"start_date":"2017-07-04","description":"","custom_fields":[{"id":1,"name":"Subdivision","value":"NW"},{"id":4,"name":"Milepost","value":"5.8943"},{"id":17,"name":"Train ID","value":"827-04"},{"id":16,"name":"Locomotive ID","value":"4022"},{"id":130,"name":"Impact","value":""},{"id":150,"name":"Time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94"/>
        <v>start /low /b %USERPROFILE%\Documents\GitHub\eaglep3\Utilities\DownloadLogsFromS3.py --loco 4022 --day 2017-07-04</v>
      </c>
      <c r="AN190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637</v>
      </c>
      <c r="B191" s="7">
        <v>4021</v>
      </c>
      <c r="C191" s="21" t="s">
        <v>202</v>
      </c>
      <c r="D191" s="21" t="s">
        <v>554</v>
      </c>
      <c r="E191" s="13">
        <v>42920.671574074076</v>
      </c>
      <c r="F191" s="13">
        <v>42920.674803240741</v>
      </c>
      <c r="G191" s="7">
        <v>0</v>
      </c>
      <c r="H191" s="21" t="s">
        <v>974</v>
      </c>
      <c r="I191" s="13">
        <v>42920.684178240743</v>
      </c>
      <c r="J191" s="7">
        <v>0</v>
      </c>
      <c r="K191" s="89" t="str">
        <f t="shared" si="82"/>
        <v>4021/4022</v>
      </c>
      <c r="L191" s="21" t="str">
        <f>VLOOKUP(A191,'Trips&amp;Operators'!$C$1:$G$99999,5,FALSE)</f>
        <v>STAMBAUGH JAMES</v>
      </c>
      <c r="M191" s="6">
        <f t="shared" si="83"/>
        <v>9.3750000014551915E-3</v>
      </c>
      <c r="N191" s="7">
        <f t="shared" si="99"/>
        <v>13.500000002095476</v>
      </c>
      <c r="O191" s="7"/>
      <c r="P191" s="7"/>
      <c r="Q191" s="22"/>
      <c r="R191" s="170"/>
      <c r="S191" s="213">
        <f t="shared" si="100"/>
        <v>1</v>
      </c>
      <c r="T191" s="195" t="str">
        <f t="shared" si="8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85"/>
        <v>https://d0f6bd738d7f1b3e5a7ca70fe4ff75f0.us-east-1.aws.found.io/app/kibana#/discover/Steve-Slow-Train-Analysis-(2080s-and-2083s)?_g=(refreshInterval:(display:Off,pause:!f,section:0,value:0),time:(from:'2017-07-04T15:07:04-0600',mode:absolute,to:'2017-07-04T17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1" s="197" t="str">
        <f>IF(AA191&lt;VLOOKUP(AG191,Variables!$AC$3:$AD$8,2,FALSE),"Y","N")</f>
        <v>N</v>
      </c>
      <c r="X191" s="197">
        <f t="shared" si="113"/>
        <v>1</v>
      </c>
      <c r="Y191" s="197">
        <f t="shared" si="111"/>
        <v>5.8630000000000004</v>
      </c>
      <c r="Z191" s="197">
        <f t="shared" si="112"/>
        <v>8.2000000000000003E-2</v>
      </c>
      <c r="AA191" s="197">
        <f t="shared" si="86"/>
        <v>5.7810000000000006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87"/>
        <v>828</v>
      </c>
      <c r="AE191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91" s="74" t="str">
        <f t="shared" si="89"/>
        <v>"C:\Program Files (x86)\AstroGrep\AstroGrep.exe" /e /r /s /spath="%USERPROFILE%\AppData\Local\Temp\OnboardLogs" /stypes="app*4021*20170704*" /stext=" 22:.+((SYSTEM_STATE.+slice.+state.+changed )|(ment ac)|(multiple cpu faults)|(system.+state.+changed )|(\[timeout)|(PRM\|1\|D)|(kpr)|(kdp)|(train st.+moving)|(\|lc)|(penalty))"</v>
      </c>
      <c r="AG191" s="209" t="str">
        <f t="shared" si="90"/>
        <v>NW</v>
      </c>
      <c r="AH191" s="78" t="str">
        <f t="shared" si="92"/>
        <v>"%USERPROFILE%\Documents\GitHub\eaglep3\Utilities\RefineRTDCRunTimes.py" --tripid 828-04 --locoid 4021 --swversion DE.1.0.9.0 --startMP 300:58630 --initTime 2017-07-04T16:07:04 --startdatetime 2017-07-04T16:11:43 --delay 0 --endMP 204:820 --enddatetime 2017-07-04T16:25:13 --enforcementcount 0 &gt;&gt;C:\Users\stu\Documents\GitHub\eaglep3-reporting\EC\2017-07-04-refined-times.txt</v>
      </c>
      <c r="AI191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{"issue":{"subject":"","project_id":79,"tracker_id":40,"status_id":1,"priority_id":2,"assigned_to_id":23,"start_date":"2017-07-04","description":"","custom_fields":[{"id":1,"name":"Subdivision","value":"NW"},{"id":4,"name":"Milepost","value":"0.082"},{"id":17,"name":"Train ID","value":"828-04"},{"id":16,"name":"Locomotive ID","value":"4021"},{"id":130,"name":"Impact","value":""},{"id":150,"name":"Time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94"/>
        <v>start /low /b %USERPROFILE%\Documents\GitHub\eaglep3\Utilities\DownloadLogsFromS3.py --loco 4021 --day 2017-07-04</v>
      </c>
      <c r="AN191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786</v>
      </c>
      <c r="B192" s="7">
        <v>4060</v>
      </c>
      <c r="C192" s="21" t="s">
        <v>202</v>
      </c>
      <c r="D192" s="21" t="s">
        <v>975</v>
      </c>
      <c r="E192" s="13">
        <v>42920.678055555552</v>
      </c>
      <c r="F192" s="13">
        <v>42920.681423611109</v>
      </c>
      <c r="G192" s="7">
        <v>1</v>
      </c>
      <c r="H192" s="21" t="s">
        <v>976</v>
      </c>
      <c r="I192" s="13">
        <v>42920.691018518519</v>
      </c>
      <c r="J192" s="7">
        <v>0</v>
      </c>
      <c r="K192" s="89" t="str">
        <f t="shared" si="82"/>
        <v>4059/4060</v>
      </c>
      <c r="L192" s="21" t="str">
        <f>VLOOKUP(A192,'Trips&amp;Operators'!$C$1:$G$99999,5,FALSE)</f>
        <v>BRUDER RICHARD</v>
      </c>
      <c r="M192" s="6">
        <f t="shared" si="83"/>
        <v>9.5949074093368836E-3</v>
      </c>
      <c r="N192" s="7">
        <f t="shared" ref="N192:N223" si="114">24*60*SUM($M192:$M192)</f>
        <v>13.816666669445112</v>
      </c>
      <c r="O192" s="7"/>
      <c r="P192" s="7"/>
      <c r="Q192" s="22"/>
      <c r="R192" s="170"/>
      <c r="S192" s="213">
        <f t="shared" ref="S192:S223" si="115">SUM(U192:U192)/IF(AG192="EC",12,1)</f>
        <v>1</v>
      </c>
      <c r="T192" s="195" t="str">
        <f t="shared" si="8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85"/>
        <v>https://d0f6bd738d7f1b3e5a7ca70fe4ff75f0.us-east-1.aws.found.io/app/kibana#/discover/Steve-Slow-Train-Analysis-(2080s-and-2083s)?_g=(refreshInterval:(display:Off,pause:!f,section:0,value:0),time:(from:'2017-07-04T15:16:24-0600',mode:absolute,to:'2017-07-04T17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2" s="197" t="str">
        <f>IF(AA192&lt;VLOOKUP(AG192,Variables!$AC$3:$AD$8,2,FALSE),"Y","N")</f>
        <v>N</v>
      </c>
      <c r="X192" s="197">
        <f t="shared" si="113"/>
        <v>1</v>
      </c>
      <c r="Y192" s="197">
        <f t="shared" si="111"/>
        <v>0.1014</v>
      </c>
      <c r="Z192" s="197">
        <f t="shared" si="112"/>
        <v>5.8956</v>
      </c>
      <c r="AA192" s="197">
        <f t="shared" si="86"/>
        <v>5.7942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87"/>
        <v>829</v>
      </c>
      <c r="AE192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92" s="74" t="str">
        <f t="shared" si="89"/>
        <v>"C:\Program Files (x86)\AstroGrep\AstroGrep.exe" /e /r /s /spath="%USERPROFILE%\AppData\Local\Temp\OnboardLogs" /stypes="app*4060*20170704*" /stext=" 22:.+((SYSTEM_STATE.+slice.+state.+changed )|(ment ac)|(multiple cpu faults)|(system.+state.+changed )|(\[timeout)|(PRM\|1\|D)|(kpr)|(kdp)|(train st.+moving)|(\|lc)|(penalty))"</v>
      </c>
      <c r="AG192" s="209" t="str">
        <f t="shared" si="90"/>
        <v>NW</v>
      </c>
      <c r="AH192" s="78" t="str">
        <f t="shared" si="92"/>
        <v>"%USERPROFILE%\Documents\GitHub\eaglep3\Utilities\RefineRTDCRunTimes.py" --tripid 829-04 --locoid 4060 --swversion DE.1.0.9.0 --startMP 204:1014 --initTime 2017-07-04T16:16:24 --startdatetime 2017-07-04T16:21:15 --delay 1 --endMP 300:58956 --enddatetime 2017-07-04T16:35:04 --enforcementcount 0 &gt;&gt;C:\Users\stu\Documents\GitHub\eaglep3-reporting\EC\2017-07-04-refined-times.txt</v>
      </c>
      <c r="AI192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{"issue":{"subject":"","project_id":79,"tracker_id":40,"status_id":1,"priority_id":2,"assigned_to_id":23,"start_date":"2017-07-04","description":"","custom_fields":[{"id":1,"name":"Subdivision","value":"NW"},{"id":4,"name":"Milepost","value":"5.8956"},{"id":17,"name":"Train ID","value":"829-04"},{"id":16,"name":"Locomotive ID","value":"4060"},{"id":130,"name":"Impact","value":""},{"id":150,"name":"Time of Event (Mountain Time)","value":"16:35:04"},{"id":151,"name":"Denver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94"/>
        <v>start /low /b %USERPROFILE%\Documents\GitHub\eaglep3\Utilities\DownloadLogsFromS3.py --loco 4060 --day 2017-07-04</v>
      </c>
      <c r="AN192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790</v>
      </c>
      <c r="B193" s="7">
        <v>4059</v>
      </c>
      <c r="C193" s="21" t="s">
        <v>202</v>
      </c>
      <c r="D193" s="21" t="s">
        <v>963</v>
      </c>
      <c r="E193" s="13">
        <v>42920.692083333335</v>
      </c>
      <c r="F193" s="13">
        <v>42920.693865740737</v>
      </c>
      <c r="G193" s="7">
        <v>1</v>
      </c>
      <c r="H193" s="21" t="s">
        <v>977</v>
      </c>
      <c r="I193" s="13">
        <v>42920.705034722225</v>
      </c>
      <c r="J193" s="7">
        <v>0</v>
      </c>
      <c r="K193" s="89" t="str">
        <f t="shared" si="82"/>
        <v>4059/4060</v>
      </c>
      <c r="L193" s="21" t="str">
        <f>VLOOKUP(A193,'Trips&amp;Operators'!$C$1:$G$99999,5,FALSE)</f>
        <v>BRUDER RICHARD</v>
      </c>
      <c r="M193" s="6">
        <f t="shared" si="83"/>
        <v>1.1168981487571727E-2</v>
      </c>
      <c r="N193" s="7">
        <f t="shared" si="114"/>
        <v>16.083333342103288</v>
      </c>
      <c r="O193" s="7"/>
      <c r="P193" s="7"/>
      <c r="Q193" s="22"/>
      <c r="R193" s="170"/>
      <c r="S193" s="213">
        <f t="shared" si="115"/>
        <v>1</v>
      </c>
      <c r="T193" s="195" t="str">
        <f t="shared" si="8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85"/>
        <v>https://d0f6bd738d7f1b3e5a7ca70fe4ff75f0.us-east-1.aws.found.io/app/kibana#/discover/Steve-Slow-Train-Analysis-(2080s-and-2083s)?_g=(refreshInterval:(display:Off,pause:!f,section:0,value:0),time:(from:'2017-07-04T15:36:36-0600',mode:absolute,to:'2017-07-04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197" t="str">
        <f>IF(AA193&lt;VLOOKUP(AG193,Variables!$AC$3:$AD$8,2,FALSE),"Y","N")</f>
        <v>N</v>
      </c>
      <c r="X193" s="197">
        <f t="shared" si="113"/>
        <v>1</v>
      </c>
      <c r="Y193" s="197">
        <f t="shared" si="111"/>
        <v>5.8635999999999999</v>
      </c>
      <c r="Z193" s="197">
        <f t="shared" si="112"/>
        <v>7.1900000000000006E-2</v>
      </c>
      <c r="AA193" s="197">
        <f t="shared" si="86"/>
        <v>5.7916999999999996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87"/>
        <v>830</v>
      </c>
      <c r="AE193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93" s="74" t="str">
        <f t="shared" si="89"/>
        <v>"C:\Program Files (x86)\AstroGrep\AstroGrep.exe" /e /r /s /spath="%USERPROFILE%\AppData\Local\Temp\OnboardLogs" /stypes="app*4059*20170704*" /stext=" 22:.+((SYSTEM_STATE.+slice.+state.+changed )|(ment ac)|(multiple cpu faults)|(system.+state.+changed )|(\[timeout)|(PRM\|1\|D)|(kpr)|(kdp)|(train st.+moving)|(\|lc)|(penalty))"</v>
      </c>
      <c r="AG193" s="209" t="str">
        <f t="shared" si="90"/>
        <v>NW</v>
      </c>
      <c r="AH193" s="78" t="str">
        <f t="shared" si="92"/>
        <v>"%USERPROFILE%\Documents\GitHub\eaglep3\Utilities\RefineRTDCRunTimes.py" --tripid 830-04 --locoid 4059 --swversion DE.1.0.9.0 --startMP 300:58636 --initTime 2017-07-04T16:36:36 --startdatetime 2017-07-04T16:39:10 --delay 1 --endMP 204:719 --enddatetime 2017-07-04T16:55:15 --enforcementcount 0 &gt;&gt;C:\Users\stu\Documents\GitHub\eaglep3-reporting\EC\2017-07-04-refined-times.txt</v>
      </c>
      <c r="AI193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{"issue":{"subject":"","project_id":79,"tracker_id":40,"status_id":1,"priority_id":2,"assigned_to_id":23,"start_date":"2017-07-04","description":"","custom_fields":[{"id":1,"name":"Subdivision","value":"NW"},{"id":4,"name":"Milepost","value":"0.0719"},{"id":17,"name":"Train ID","value":"830-04"},{"id":16,"name":"Locomotive ID","value":"4059"},{"id":130,"name":"Impact","value":""},{"id":150,"name":"Time of Event (Mountain Time)","value":"16:55:15"},{"id":151,"name":"Denver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94"/>
        <v>start /low /b %USERPROFILE%\Documents\GitHub\eaglep3\Utilities\DownloadLogsFromS3.py --loco 4059 --day 2017-07-04</v>
      </c>
      <c r="AN193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789</v>
      </c>
      <c r="B194" s="7">
        <v>4022</v>
      </c>
      <c r="C194" s="21" t="s">
        <v>202</v>
      </c>
      <c r="D194" s="21" t="s">
        <v>595</v>
      </c>
      <c r="E194" s="13">
        <v>42920.692060185182</v>
      </c>
      <c r="F194" s="13">
        <v>42920.702476851853</v>
      </c>
      <c r="G194" s="7">
        <v>1</v>
      </c>
      <c r="H194" s="21" t="s">
        <v>978</v>
      </c>
      <c r="I194" s="13">
        <v>42920.712013888886</v>
      </c>
      <c r="J194" s="7">
        <v>0</v>
      </c>
      <c r="K194" s="89" t="str">
        <f t="shared" si="82"/>
        <v>4021/4022</v>
      </c>
      <c r="L194" s="21" t="str">
        <f>VLOOKUP(A194,'Trips&amp;Operators'!$C$1:$G$99999,5,FALSE)</f>
        <v>STAMBAUGH JAMES</v>
      </c>
      <c r="M194" s="6">
        <f t="shared" si="83"/>
        <v>9.5370370327145793E-3</v>
      </c>
      <c r="N194" s="7">
        <f t="shared" si="114"/>
        <v>13.733333327108994</v>
      </c>
      <c r="O194" s="7"/>
      <c r="P194" s="7"/>
      <c r="Q194" s="22"/>
      <c r="R194" s="170"/>
      <c r="S194" s="213">
        <f t="shared" si="115"/>
        <v>1</v>
      </c>
      <c r="T194" s="195" t="str">
        <f t="shared" si="8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85"/>
        <v>https://d0f6bd738d7f1b3e5a7ca70fe4ff75f0.us-east-1.aws.found.io/app/kibana#/discover/Steve-Slow-Train-Analysis-(2080s-and-2083s)?_g=(refreshInterval:(display:Off,pause:!f,section:0,value:0),time:(from:'2017-07-04T15:36:34-0600',mode:absolute,to:'2017-07-04T18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197" t="str">
        <f>IF(AA194&lt;VLOOKUP(AG194,Variables!$AC$3:$AD$8,2,FALSE),"Y","N")</f>
        <v>N</v>
      </c>
      <c r="X194" s="197">
        <f t="shared" si="113"/>
        <v>1</v>
      </c>
      <c r="Y194" s="197">
        <f t="shared" si="111"/>
        <v>0.1109</v>
      </c>
      <c r="Z194" s="197">
        <f t="shared" si="112"/>
        <v>5.8963000000000001</v>
      </c>
      <c r="AA194" s="197">
        <f t="shared" si="86"/>
        <v>5.7854000000000001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87"/>
        <v>831</v>
      </c>
      <c r="AE194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94" s="74" t="str">
        <f t="shared" si="89"/>
        <v>"C:\Program Files (x86)\AstroGrep\AstroGrep.exe" /e /r /s /spath="%USERPROFILE%\AppData\Local\Temp\OnboardLogs" /stypes="app*4022*20170704*" /stext=" 23:.+((SYSTEM_STATE.+slice.+state.+changed )|(ment ac)|(multiple cpu faults)|(system.+state.+changed )|(\[timeout)|(PRM\|1\|D)|(kpr)|(kdp)|(train st.+moving)|(\|lc)|(penalty))"</v>
      </c>
      <c r="AG194" s="209" t="str">
        <f t="shared" si="90"/>
        <v>NW</v>
      </c>
      <c r="AH194" s="78" t="str">
        <f t="shared" si="92"/>
        <v>"%USERPROFILE%\Documents\GitHub\eaglep3\Utilities\RefineRTDCRunTimes.py" --tripid 831-04 --locoid 4022 --swversion DE.1.0.9.0 --startMP 204:1109 --initTime 2017-07-04T16:36:34 --startdatetime 2017-07-04T16:51:34 --delay 1 --endMP 300:58963 --enddatetime 2017-07-04T17:05:18 --enforcementcount 0 &gt;&gt;C:\Users\stu\Documents\GitHub\eaglep3-reporting\EC\2017-07-04-refined-times.txt</v>
      </c>
      <c r="AI194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{"issue":{"subject":"","project_id":79,"tracker_id":40,"status_id":1,"priority_id":2,"assigned_to_id":23,"start_date":"2017-07-04","description":"","custom_fields":[{"id":1,"name":"Subdivision","value":"NW"},{"id":4,"name":"Milepost","value":"5.8963"},{"id":17,"name":"Train ID","value":"831-04"},{"id":16,"name":"Locomotive ID","value":"4022"},{"id":130,"name":"Impact","value":""},{"id":150,"name":"Time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94"/>
        <v>start /low /b %USERPROFILE%\Documents\GitHub\eaglep3\Utilities\DownloadLogsFromS3.py --loco 4022 --day 2017-07-04</v>
      </c>
      <c r="AN194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797</v>
      </c>
      <c r="B195" s="7">
        <v>4021</v>
      </c>
      <c r="C195" s="21" t="s">
        <v>202</v>
      </c>
      <c r="D195" s="21" t="s">
        <v>590</v>
      </c>
      <c r="E195" s="13">
        <v>42920.71292824074</v>
      </c>
      <c r="F195" s="13">
        <v>42920.716192129628</v>
      </c>
      <c r="G195" s="7">
        <v>1</v>
      </c>
      <c r="H195" s="21" t="s">
        <v>979</v>
      </c>
      <c r="I195" s="13">
        <v>42920.726319444446</v>
      </c>
      <c r="J195" s="7">
        <v>0</v>
      </c>
      <c r="K195" s="89" t="str">
        <f t="shared" si="82"/>
        <v>4021/4022</v>
      </c>
      <c r="L195" s="21" t="str">
        <f>VLOOKUP(A195,'Trips&amp;Operators'!$C$1:$G$99999,5,FALSE)</f>
        <v>STAMBAUGH JAMES</v>
      </c>
      <c r="M195" s="6">
        <f t="shared" si="83"/>
        <v>1.0127314817509614E-2</v>
      </c>
      <c r="N195" s="7">
        <f t="shared" si="114"/>
        <v>14.583333337213844</v>
      </c>
      <c r="O195" s="7"/>
      <c r="P195" s="7"/>
      <c r="Q195" s="22"/>
      <c r="R195" s="170"/>
      <c r="S195" s="213">
        <f t="shared" si="115"/>
        <v>1</v>
      </c>
      <c r="T195" s="195" t="str">
        <f t="shared" si="8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85"/>
        <v>https://d0f6bd738d7f1b3e5a7ca70fe4ff75f0.us-east-1.aws.found.io/app/kibana#/discover/Steve-Slow-Train-Analysis-(2080s-and-2083s)?_g=(refreshInterval:(display:Off,pause:!f,section:0,value:0),time:(from:'2017-07-04T16:06:37-0600',mode:absolute,to:'2017-07-04T18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197" t="str">
        <f>IF(AA195&lt;VLOOKUP(AG195,Variables!$AC$3:$AD$8,2,FALSE),"Y","N")</f>
        <v>N</v>
      </c>
      <c r="X195" s="197">
        <f t="shared" si="113"/>
        <v>1</v>
      </c>
      <c r="Y195" s="197">
        <f t="shared" si="111"/>
        <v>5.8647</v>
      </c>
      <c r="Z195" s="197">
        <f t="shared" si="112"/>
        <v>6.7000000000000004E-2</v>
      </c>
      <c r="AA195" s="197">
        <f t="shared" si="86"/>
        <v>5.7976999999999999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87"/>
        <v>832</v>
      </c>
      <c r="AE195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95" s="74" t="str">
        <f t="shared" si="89"/>
        <v>"C:\Program Files (x86)\AstroGrep\AstroGrep.exe" /e /r /s /spath="%USERPROFILE%\AppData\Local\Temp\OnboardLogs" /stypes="app*4021*20170704*" /stext=" 23:.+((SYSTEM_STATE.+slice.+state.+changed )|(ment ac)|(multiple cpu faults)|(system.+state.+changed )|(\[timeout)|(PRM\|1\|D)|(kpr)|(kdp)|(train st.+moving)|(\|lc)|(penalty))"</v>
      </c>
      <c r="AG195" s="209" t="str">
        <f t="shared" si="90"/>
        <v>NW</v>
      </c>
      <c r="AH195" s="78" t="str">
        <f t="shared" si="92"/>
        <v>"%USERPROFILE%\Documents\GitHub\eaglep3\Utilities\RefineRTDCRunTimes.py" --tripid 832-04 --locoid 4021 --swversion DE.1.0.9.0 --startMP 300:58647 --initTime 2017-07-04T17:06:37 --startdatetime 2017-07-04T17:11:19 --delay 1 --endMP 204:670 --enddatetime 2017-07-04T17:25:54 --enforcementcount 0 &gt;&gt;C:\Users\stu\Documents\GitHub\eaglep3-reporting\EC\2017-07-04-refined-times.txt</v>
      </c>
      <c r="AI195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{"issue":{"subject":"","project_id":79,"tracker_id":40,"status_id":1,"priority_id":2,"assigned_to_id":23,"start_date":"2017-07-04","description":"","custom_fields":[{"id":1,"name":"Subdivision","value":"NW"},{"id":4,"name":"Milepost","value":"0.067"},{"id":17,"name":"Train ID","value":"832-04"},{"id":16,"name":"Locomotive ID","value":"4021"},{"id":130,"name":"Impact","value":""},{"id":150,"name":"Time of Event (Mountain Time)","value":"17:25:54"},{"id":151,"name":"Denver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94"/>
        <v>start /low /b %USERPROFILE%\Documents\GitHub\eaglep3\Utilities\DownloadLogsFromS3.py --loco 4021 --day 2017-07-04</v>
      </c>
      <c r="AN195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801</v>
      </c>
      <c r="B196" s="7">
        <v>4060</v>
      </c>
      <c r="C196" s="21" t="s">
        <v>202</v>
      </c>
      <c r="D196" s="21" t="s">
        <v>980</v>
      </c>
      <c r="E196" s="13">
        <v>42920.719872685186</v>
      </c>
      <c r="F196" s="13">
        <v>42920.723124999997</v>
      </c>
      <c r="G196" s="7">
        <v>1</v>
      </c>
      <c r="H196" s="21" t="s">
        <v>480</v>
      </c>
      <c r="I196" s="13">
        <v>42920.732546296298</v>
      </c>
      <c r="J196" s="7">
        <v>0</v>
      </c>
      <c r="K196" s="89" t="str">
        <f t="shared" si="82"/>
        <v>4059/4060</v>
      </c>
      <c r="L196" s="21" t="str">
        <f>VLOOKUP(A196,'Trips&amp;Operators'!$C$1:$G$99999,5,FALSE)</f>
        <v>BRUDER RICHARD</v>
      </c>
      <c r="M196" s="6">
        <f t="shared" si="83"/>
        <v>9.4212963012978435E-3</v>
      </c>
      <c r="N196" s="7">
        <f t="shared" si="114"/>
        <v>13.566666673868895</v>
      </c>
      <c r="O196" s="7"/>
      <c r="P196" s="7"/>
      <c r="Q196" s="22"/>
      <c r="R196" s="170"/>
      <c r="S196" s="213">
        <f t="shared" si="115"/>
        <v>1</v>
      </c>
      <c r="T196" s="195" t="str">
        <f t="shared" si="8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85"/>
        <v>https://d0f6bd738d7f1b3e5a7ca70fe4ff75f0.us-east-1.aws.found.io/app/kibana#/discover/Steve-Slow-Train-Analysis-(2080s-and-2083s)?_g=(refreshInterval:(display:Off,pause:!f,section:0,value:0),time:(from:'2017-07-04T16:16:37-0600',mode:absolute,to:'2017-07-04T18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6" s="197" t="str">
        <f>IF(AA196&lt;VLOOKUP(AG196,Variables!$AC$3:$AD$8,2,FALSE),"Y","N")</f>
        <v>N</v>
      </c>
      <c r="X196" s="197">
        <f t="shared" si="113"/>
        <v>1</v>
      </c>
      <c r="Y196" s="197">
        <f t="shared" si="111"/>
        <v>0.1013</v>
      </c>
      <c r="Z196" s="197">
        <f t="shared" si="112"/>
        <v>5.8948</v>
      </c>
      <c r="AA196" s="197">
        <f t="shared" si="86"/>
        <v>5.7934999999999999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87"/>
        <v>833</v>
      </c>
      <c r="AE196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196" s="74" t="str">
        <f t="shared" si="89"/>
        <v>"C:\Program Files (x86)\AstroGrep\AstroGrep.exe" /e /r /s /spath="%USERPROFILE%\AppData\Local\Temp\OnboardLogs" /stypes="app*4060*20170704*" /stext=" 23:.+((SYSTEM_STATE.+slice.+state.+changed )|(ment ac)|(multiple cpu faults)|(system.+state.+changed )|(\[timeout)|(PRM\|1\|D)|(kpr)|(kdp)|(train st.+moving)|(\|lc)|(penalty))"</v>
      </c>
      <c r="AG196" s="209" t="str">
        <f t="shared" si="90"/>
        <v>NW</v>
      </c>
      <c r="AH196" s="78" t="str">
        <f t="shared" si="92"/>
        <v>"%USERPROFILE%\Documents\GitHub\eaglep3\Utilities\RefineRTDCRunTimes.py" --tripid 833-04 --locoid 4060 --swversion DE.1.0.9.0 --startMP 204:1013 --initTime 2017-07-04T17:16:37 --startdatetime 2017-07-04T17:21:18 --delay 1 --endMP 300:58948 --enddatetime 2017-07-04T17:34:52 --enforcementcount 0 &gt;&gt;C:\Users\stu\Documents\GitHub\eaglep3-reporting\EC\2017-07-04-refined-times.txt</v>
      </c>
      <c r="AI196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{"issue":{"subject":"","project_id":79,"tracker_id":40,"status_id":1,"priority_id":2,"assigned_to_id":23,"start_date":"2017-07-04","description":"","custom_fields":[{"id":1,"name":"Subdivision","value":"NW"},{"id":4,"name":"Milepost","value":"5.8948"},{"id":17,"name":"Train ID","value":"833-04"},{"id":16,"name":"Locomotive ID","value":"4060"},{"id":130,"name":"Impact","value":""},{"id":150,"name":"Time of Event (Mountain Time)","value":"17:34:52"},{"id":151,"name":"Denver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94"/>
        <v>start /low /b %USERPROFILE%\Documents\GitHub\eaglep3\Utilities\DownloadLogsFromS3.py --loco 4060 --day 2017-07-04</v>
      </c>
      <c r="AN196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805</v>
      </c>
      <c r="B197" s="7">
        <v>4059</v>
      </c>
      <c r="C197" s="21" t="s">
        <v>202</v>
      </c>
      <c r="D197" s="21" t="s">
        <v>963</v>
      </c>
      <c r="E197" s="13">
        <v>42920.733935185184</v>
      </c>
      <c r="F197" s="13">
        <v>42920.735763888886</v>
      </c>
      <c r="G197" s="7">
        <v>1</v>
      </c>
      <c r="H197" s="21" t="s">
        <v>593</v>
      </c>
      <c r="I197" s="13">
        <v>42920.748935185184</v>
      </c>
      <c r="J197" s="7">
        <v>0</v>
      </c>
      <c r="K197" s="89" t="str">
        <f t="shared" si="82"/>
        <v>4059/4060</v>
      </c>
      <c r="L197" s="21" t="str">
        <f>VLOOKUP(A197,'Trips&amp;Operators'!$C$1:$G$99999,5,FALSE)</f>
        <v>BRUDER RICHARD</v>
      </c>
      <c r="M197" s="6">
        <f t="shared" si="83"/>
        <v>1.3171296297514345E-2</v>
      </c>
      <c r="N197" s="7">
        <f t="shared" si="114"/>
        <v>18.966666668420658</v>
      </c>
      <c r="O197" s="7"/>
      <c r="P197" s="7"/>
      <c r="Q197" s="22"/>
      <c r="R197" s="170"/>
      <c r="S197" s="213">
        <f t="shared" si="115"/>
        <v>1</v>
      </c>
      <c r="T197" s="195" t="str">
        <f t="shared" si="8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85"/>
        <v>https://d0f6bd738d7f1b3e5a7ca70fe4ff75f0.us-east-1.aws.found.io/app/kibana#/discover/Steve-Slow-Train-Analysis-(2080s-and-2083s)?_g=(refreshInterval:(display:Off,pause:!f,section:0,value:0),time:(from:'2017-07-04T16:36:52-0600',mode:absolute,to:'2017-07-04T18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7" s="197" t="str">
        <f>IF(AA197&lt;VLOOKUP(AG197,Variables!$AC$3:$AD$8,2,FALSE),"Y","N")</f>
        <v>N</v>
      </c>
      <c r="X197" s="197">
        <f t="shared" si="113"/>
        <v>1</v>
      </c>
      <c r="Y197" s="197">
        <f t="shared" si="111"/>
        <v>5.8635999999999999</v>
      </c>
      <c r="Z197" s="197">
        <f t="shared" si="112"/>
        <v>7.5200000000000003E-2</v>
      </c>
      <c r="AA197" s="197">
        <f t="shared" si="86"/>
        <v>5.7884000000000002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87"/>
        <v>834</v>
      </c>
      <c r="AE197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197" s="74" t="str">
        <f t="shared" si="89"/>
        <v>"C:\Program Files (x86)\AstroGrep\AstroGrep.exe" /e /r /s /spath="%USERPROFILE%\AppData\Local\Temp\OnboardLogs" /stypes="app*4059*20170704*" /stext=" 23:.+((SYSTEM_STATE.+slice.+state.+changed )|(ment ac)|(multiple cpu faults)|(system.+state.+changed )|(\[timeout)|(PRM\|1\|D)|(kpr)|(kdp)|(train st.+moving)|(\|lc)|(penalty))"</v>
      </c>
      <c r="AG197" s="209" t="str">
        <f t="shared" si="90"/>
        <v>NW</v>
      </c>
      <c r="AH197" s="78" t="str">
        <f t="shared" si="92"/>
        <v>"%USERPROFILE%\Documents\GitHub\eaglep3\Utilities\RefineRTDCRunTimes.py" --tripid 834-04 --locoid 4059 --swversion DE.1.0.9.0 --startMP 300:58636 --initTime 2017-07-04T17:36:52 --startdatetime 2017-07-04T17:39:30 --delay 1 --endMP 204:752 --enddatetime 2017-07-04T17:58:28 --enforcementcount 0 &gt;&gt;C:\Users\stu\Documents\GitHub\eaglep3-reporting\EC\2017-07-04-refined-times.txt</v>
      </c>
      <c r="AI197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{"issue":{"subject":"","project_id":79,"tracker_id":40,"status_id":1,"priority_id":2,"assigned_to_id":23,"start_date":"2017-07-04","description":"","custom_fields":[{"id":1,"name":"Subdivision","value":"NW"},{"id":4,"name":"Milepost","value":"0.0752"},{"id":17,"name":"Train ID","value":"834-04"},{"id":16,"name":"Locomotive ID","value":"4059"},{"id":130,"name":"Impact","value":""},{"id":150,"name":"Time of Event (Mountain Time)","value":"17:58:28"},{"id":151,"name":"Denver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94"/>
        <v>start /low /b %USERPROFILE%\Documents\GitHub\eaglep3\Utilities\DownloadLogsFromS3.py --loco 4059 --day 2017-07-04</v>
      </c>
      <c r="AN197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810</v>
      </c>
      <c r="B198" s="7">
        <v>4022</v>
      </c>
      <c r="C198" s="21" t="s">
        <v>202</v>
      </c>
      <c r="D198" s="21" t="s">
        <v>961</v>
      </c>
      <c r="E198" s="13">
        <v>42920.741099537037</v>
      </c>
      <c r="F198" s="13">
        <v>42920.744074074071</v>
      </c>
      <c r="G198" s="7">
        <v>2</v>
      </c>
      <c r="H198" s="21" t="s">
        <v>956</v>
      </c>
      <c r="I198" s="13">
        <v>42920.75277777778</v>
      </c>
      <c r="J198" s="7">
        <v>0</v>
      </c>
      <c r="K198" s="89" t="str">
        <f t="shared" si="82"/>
        <v>4021/4022</v>
      </c>
      <c r="L198" s="21" t="str">
        <f>VLOOKUP(A198,'Trips&amp;Operators'!$C$1:$G$99999,5,FALSE)</f>
        <v>STAMBAUGH JAMES</v>
      </c>
      <c r="M198" s="6">
        <f t="shared" si="83"/>
        <v>8.7037037083064206E-3</v>
      </c>
      <c r="N198" s="7">
        <f t="shared" si="114"/>
        <v>12.533333339961246</v>
      </c>
      <c r="O198" s="7"/>
      <c r="P198" s="7"/>
      <c r="Q198" s="22"/>
      <c r="R198" s="170"/>
      <c r="S198" s="213">
        <f t="shared" si="115"/>
        <v>1</v>
      </c>
      <c r="T198" s="195" t="str">
        <f t="shared" si="8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85"/>
        <v>https://d0f6bd738d7f1b3e5a7ca70fe4ff75f0.us-east-1.aws.found.io/app/kibana#/discover/Steve-Slow-Train-Analysis-(2080s-and-2083s)?_g=(refreshInterval:(display:Off,pause:!f,section:0,value:0),time:(from:'2017-07-04T16:47:11-0600',mode:absolute,to:'2017-07-04T19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97" t="str">
        <f>IF(AA198&lt;VLOOKUP(AG198,Variables!$AC$3:$AD$8,2,FALSE),"Y","N")</f>
        <v>N</v>
      </c>
      <c r="X198" s="197">
        <f t="shared" si="113"/>
        <v>1</v>
      </c>
      <c r="Y198" s="197">
        <f t="shared" si="111"/>
        <v>9.7600000000000006E-2</v>
      </c>
      <c r="Z198" s="197">
        <f t="shared" si="112"/>
        <v>5.8935000000000004</v>
      </c>
      <c r="AA198" s="197">
        <f t="shared" si="86"/>
        <v>5.7959000000000005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87"/>
        <v>835</v>
      </c>
      <c r="AE198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198" s="74" t="str">
        <f t="shared" si="89"/>
        <v>"C:\Program Files (x86)\AstroGrep\AstroGrep.exe" /e /r /s /spath="%USERPROFILE%\AppData\Local\Temp\OnboardLogs" /stypes="app*4022*20170705*" /stext=" 00:.+((SYSTEM_STATE.+slice.+state.+changed )|(ment ac)|(multiple cpu faults)|(system.+state.+changed )|(\[timeout)|(PRM\|1\|D)|(kpr)|(kdp)|(train st.+moving)|(\|lc)|(penalty))"</v>
      </c>
      <c r="AG198" s="209" t="str">
        <f t="shared" si="90"/>
        <v>NW</v>
      </c>
      <c r="AH198" s="78" t="str">
        <f t="shared" si="92"/>
        <v>"%USERPROFILE%\Documents\GitHub\eaglep3\Utilities\RefineRTDCRunTimes.py" --tripid 835-04 --locoid 4022 --swversion DE.1.0.9.0 --startMP 204:976 --initTime 2017-07-04T17:47:11 --startdatetime 2017-07-04T17:51:28 --delay 2 --endMP 300:58935 --enddatetime 2017-07-04T18:04:00 --enforcementcount 0 &gt;&gt;C:\Users\stu\Documents\GitHub\eaglep3-reporting\EC\2017-07-04-refined-times.txt</v>
      </c>
      <c r="AI198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{"issue":{"subject":"","project_id":79,"tracker_id":40,"status_id":1,"priority_id":2,"assigned_to_id":23,"start_date":"2017-07-04","description":"","custom_fields":[{"id":1,"name":"Subdivision","value":"NW"},{"id":4,"name":"Milepost","value":"5.8935"},{"id":17,"name":"Train ID","value":"835-04"},{"id":16,"name":"Locomotive ID","value":"4022"},{"id":130,"name":"Impact","value":""},{"id":150,"name":"Time of Event (Mountain Time)","value":"18:04:00"},{"id":151,"name":"Denver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94"/>
        <v>start /low /b %USERPROFILE%\Documents\GitHub\eaglep3\Utilities\DownloadLogsFromS3.py --loco 4022 --day 2017-07-04</v>
      </c>
      <c r="AN198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639</v>
      </c>
      <c r="B199" s="7">
        <v>4021</v>
      </c>
      <c r="C199" s="21" t="s">
        <v>202</v>
      </c>
      <c r="D199" s="21" t="s">
        <v>943</v>
      </c>
      <c r="E199" s="13">
        <v>42920.753692129627</v>
      </c>
      <c r="F199" s="13">
        <v>42920.757233796299</v>
      </c>
      <c r="G199" s="7">
        <v>1</v>
      </c>
      <c r="H199" s="21" t="s">
        <v>965</v>
      </c>
      <c r="I199" s="13">
        <v>42920.769849537035</v>
      </c>
      <c r="J199" s="7">
        <v>0</v>
      </c>
      <c r="K199" s="89" t="str">
        <f t="shared" si="82"/>
        <v>4021/4022</v>
      </c>
      <c r="L199" s="21" t="str">
        <f>VLOOKUP(A199,'Trips&amp;Operators'!$C$1:$G$99999,5,FALSE)</f>
        <v>STAMBAUGH JAMES</v>
      </c>
      <c r="M199" s="6">
        <f t="shared" si="83"/>
        <v>1.261574073578231E-2</v>
      </c>
      <c r="N199" s="7">
        <f t="shared" si="114"/>
        <v>18.166666659526527</v>
      </c>
      <c r="O199" s="7"/>
      <c r="P199" s="7"/>
      <c r="Q199" s="22"/>
      <c r="R199" s="170"/>
      <c r="S199" s="213">
        <f t="shared" si="115"/>
        <v>1</v>
      </c>
      <c r="T199" s="195" t="str">
        <f t="shared" si="8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85"/>
        <v>https://d0f6bd738d7f1b3e5a7ca70fe4ff75f0.us-east-1.aws.found.io/app/kibana#/discover/Steve-Slow-Train-Analysis-(2080s-and-2083s)?_g=(refreshInterval:(display:Off,pause:!f,section:0,value:0),time:(from:'2017-07-04T17:05:19-0600',mode:absolute,to:'2017-07-04T19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197" t="str">
        <f>IF(AA199&lt;VLOOKUP(AG199,Variables!$AC$3:$AD$8,2,FALSE),"Y","N")</f>
        <v>N</v>
      </c>
      <c r="X199" s="197">
        <f t="shared" si="113"/>
        <v>1</v>
      </c>
      <c r="Y199" s="197">
        <f t="shared" si="111"/>
        <v>5.8623000000000003</v>
      </c>
      <c r="Z199" s="197">
        <f t="shared" si="112"/>
        <v>6.8699999999999997E-2</v>
      </c>
      <c r="AA199" s="197">
        <f t="shared" si="86"/>
        <v>5.7936000000000005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87"/>
        <v>836</v>
      </c>
      <c r="AE199" s="77" t="str">
        <f t="shared" si="88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199" s="74" t="str">
        <f t="shared" si="89"/>
        <v>"C:\Program Files (x86)\AstroGrep\AstroGrep.exe" /e /r /s /spath="%USERPROFILE%\AppData\Local\Temp\OnboardLogs" /stypes="app*4021*20170705*" /stext=" 00:.+((SYSTEM_STATE.+slice.+state.+changed )|(ment ac)|(multiple cpu faults)|(system.+state.+changed )|(\[timeout)|(PRM\|1\|D)|(kpr)|(kdp)|(train st.+moving)|(\|lc)|(penalty))"</v>
      </c>
      <c r="AG199" s="209" t="str">
        <f t="shared" si="90"/>
        <v>NW</v>
      </c>
      <c r="AH199" s="78" t="str">
        <f t="shared" si="92"/>
        <v>"%USERPROFILE%\Documents\GitHub\eaglep3\Utilities\RefineRTDCRunTimes.py" --tripid 836-04 --locoid 4021 --swversion DE.1.0.9.0 --startMP 300:58623 --initTime 2017-07-04T18:05:19 --startdatetime 2017-07-04T18:10:25 --delay 1 --endMP 204:687 --enddatetime 2017-07-04T18:28:35 --enforcementcount 0 &gt;&gt;C:\Users\stu\Documents\GitHub\eaglep3-reporting\EC\2017-07-04-refined-times.txt</v>
      </c>
      <c r="AI199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{"issue":{"subject":"","project_id":79,"tracker_id":40,"status_id":1,"priority_id":2,"assigned_to_id":23,"start_date":"2017-07-04","description":"","custom_fields":[{"id":1,"name":"Subdivision","value":"NW"},{"id":4,"name":"Milepost","value":"0.0687"},{"id":17,"name":"Train ID","value":"836-04"},{"id":16,"name":"Locomotive ID","value":"4021"},{"id":130,"name":"Impact","value":""},{"id":150,"name":"Time of Event (Mountain Time)","value":"18:28:35"},{"id":151,"name":"Denver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94"/>
        <v>start /low /b %USERPROFILE%\Documents\GitHub\eaglep3\Utilities\DownloadLogsFromS3.py --loco 4021 --day 2017-07-04</v>
      </c>
      <c r="AN199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814</v>
      </c>
      <c r="B200" s="7">
        <v>4060</v>
      </c>
      <c r="C200" s="21" t="s">
        <v>202</v>
      </c>
      <c r="D200" s="21" t="s">
        <v>957</v>
      </c>
      <c r="E200" s="13">
        <v>42920.761388888888</v>
      </c>
      <c r="F200" s="13">
        <v>42920.764907407407</v>
      </c>
      <c r="G200" s="7">
        <v>1</v>
      </c>
      <c r="H200" s="21" t="s">
        <v>507</v>
      </c>
      <c r="I200" s="13">
        <v>42920.774780092594</v>
      </c>
      <c r="J200" s="7">
        <v>0</v>
      </c>
      <c r="K200" s="89" t="str">
        <f t="shared" si="82"/>
        <v>4059/4060</v>
      </c>
      <c r="L200" s="21" t="str">
        <f>VLOOKUP(A200,'Trips&amp;Operators'!$C$1:$G$99999,5,FALSE)</f>
        <v>BRUDER RICHARD</v>
      </c>
      <c r="M200" s="6">
        <f t="shared" si="83"/>
        <v>9.8726851865649223E-3</v>
      </c>
      <c r="N200" s="7">
        <f t="shared" si="114"/>
        <v>14.216666668653488</v>
      </c>
      <c r="O200" s="7"/>
      <c r="P200" s="7"/>
      <c r="Q200" s="22"/>
      <c r="R200" s="170"/>
      <c r="S200" s="213">
        <f t="shared" si="115"/>
        <v>1</v>
      </c>
      <c r="T200" s="195" t="str">
        <f t="shared" si="8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85"/>
        <v>https://d0f6bd738d7f1b3e5a7ca70fe4ff75f0.us-east-1.aws.found.io/app/kibana#/discover/Steve-Slow-Train-Analysis-(2080s-and-2083s)?_g=(refreshInterval:(display:Off,pause:!f,section:0,value:0),time:(from:'2017-07-04T17:16:24-0600',mode:absolute,to:'2017-07-04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0" s="197" t="str">
        <f>IF(AA200&lt;VLOOKUP(AG200,Variables!$AC$3:$AD$8,2,FALSE),"Y","N")</f>
        <v>N</v>
      </c>
      <c r="X200" s="197">
        <f t="shared" si="113"/>
        <v>1</v>
      </c>
      <c r="Y200" s="197">
        <f t="shared" si="111"/>
        <v>0.1023</v>
      </c>
      <c r="Z200" s="197">
        <f t="shared" si="112"/>
        <v>5.8945999999999996</v>
      </c>
      <c r="AA200" s="197">
        <f t="shared" si="86"/>
        <v>5.7923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87"/>
        <v>837</v>
      </c>
      <c r="AE200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00" s="74" t="str">
        <f t="shared" si="89"/>
        <v>"C:\Program Files (x86)\AstroGrep\AstroGrep.exe" /e /r /s /spath="%USERPROFILE%\AppData\Local\Temp\OnboardLogs" /stypes="app*4060*20170705*" /stext=" 00:.+((SYSTEM_STATE.+slice.+state.+changed )|(ment ac)|(multiple cpu faults)|(system.+state.+changed )|(\[timeout)|(PRM\|1\|D)|(kpr)|(kdp)|(train st.+moving)|(\|lc)|(penalty))"</v>
      </c>
      <c r="AG200" s="209" t="str">
        <f t="shared" si="90"/>
        <v>NW</v>
      </c>
      <c r="AH200" s="78" t="str">
        <f t="shared" si="92"/>
        <v>"%USERPROFILE%\Documents\GitHub\eaglep3\Utilities\RefineRTDCRunTimes.py" --tripid 837-04 --locoid 4060 --swversion DE.1.0.9.0 --startMP 204:1023 --initTime 2017-07-04T18:16:24 --startdatetime 2017-07-04T18:21:28 --delay 1 --endMP 300:58946 --enddatetime 2017-07-04T18:35:41 --enforcementcount 0 &gt;&gt;C:\Users\stu\Documents\GitHub\eaglep3-reporting\EC\2017-07-04-refined-times.txt</v>
      </c>
      <c r="AI200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{"issue":{"subject":"","project_id":79,"tracker_id":40,"status_id":1,"priority_id":2,"assigned_to_id":23,"start_date":"2017-07-04","description":"","custom_fields":[{"id":1,"name":"Subdivision","value":"NW"},{"id":4,"name":"Milepost","value":"5.8946"},{"id":17,"name":"Train ID","value":"837-04"},{"id":16,"name":"Locomotive ID","value":"4060"},{"id":130,"name":"Impact","value":""},{"id":150,"name":"Time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94"/>
        <v>start /low /b %USERPROFILE%\Documents\GitHub\eaglep3\Utilities\DownloadLogsFromS3.py --loco 4060 --day 2017-07-04</v>
      </c>
      <c r="AN200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818</v>
      </c>
      <c r="B201" s="7">
        <v>4059</v>
      </c>
      <c r="C201" s="21" t="s">
        <v>202</v>
      </c>
      <c r="D201" s="21" t="s">
        <v>981</v>
      </c>
      <c r="E201" s="13">
        <v>42920.77621527778</v>
      </c>
      <c r="F201" s="13">
        <v>42920.778113425928</v>
      </c>
      <c r="G201" s="7">
        <v>1</v>
      </c>
      <c r="H201" s="21" t="s">
        <v>982</v>
      </c>
      <c r="I201" s="13">
        <v>42920.789224537039</v>
      </c>
      <c r="J201" s="7">
        <v>0</v>
      </c>
      <c r="K201" s="89" t="str">
        <f t="shared" si="82"/>
        <v>4059/4060</v>
      </c>
      <c r="L201" s="21" t="str">
        <f>VLOOKUP(A201,'Trips&amp;Operators'!$C$1:$G$99999,5,FALSE)</f>
        <v>BRUDER RICHARD</v>
      </c>
      <c r="M201" s="6">
        <f t="shared" si="83"/>
        <v>1.1111111110949423E-2</v>
      </c>
      <c r="N201" s="7">
        <f t="shared" si="114"/>
        <v>15.999999999767169</v>
      </c>
      <c r="O201" s="7"/>
      <c r="P201" s="7"/>
      <c r="Q201" s="22"/>
      <c r="R201" s="170"/>
      <c r="S201" s="213">
        <f t="shared" si="115"/>
        <v>1</v>
      </c>
      <c r="T201" s="195" t="str">
        <f t="shared" si="8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85"/>
        <v>https://d0f6bd738d7f1b3e5a7ca70fe4ff75f0.us-east-1.aws.found.io/app/kibana#/discover/Steve-Slow-Train-Analysis-(2080s-and-2083s)?_g=(refreshInterval:(display:Off,pause:!f,section:0,value:0),time:(from:'2017-07-04T17:37:45-0600',mode:absolute,to:'2017-07-04T19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197" t="str">
        <f>IF(AA201&lt;VLOOKUP(AG201,Variables!$AC$3:$AD$8,2,FALSE),"Y","N")</f>
        <v>N</v>
      </c>
      <c r="X201" s="197">
        <f t="shared" si="113"/>
        <v>1</v>
      </c>
      <c r="Y201" s="197">
        <f t="shared" si="111"/>
        <v>5.8625999999999996</v>
      </c>
      <c r="Z201" s="197">
        <f t="shared" si="112"/>
        <v>7.2700000000000001E-2</v>
      </c>
      <c r="AA201" s="197">
        <f t="shared" si="86"/>
        <v>5.7898999999999994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87"/>
        <v>838</v>
      </c>
      <c r="AE201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01" s="74" t="str">
        <f t="shared" si="89"/>
        <v>"C:\Program Files (x86)\AstroGrep\AstroGrep.exe" /e /r /s /spath="%USERPROFILE%\AppData\Local\Temp\OnboardLogs" /stypes="app*4059*20170705*" /stext=" 00:.+((SYSTEM_STATE.+slice.+state.+changed )|(ment ac)|(multiple cpu faults)|(system.+state.+changed )|(\[timeout)|(PRM\|1\|D)|(kpr)|(kdp)|(train st.+moving)|(\|lc)|(penalty))"</v>
      </c>
      <c r="AG201" s="209" t="str">
        <f t="shared" si="90"/>
        <v>NW</v>
      </c>
      <c r="AH201" s="78" t="str">
        <f t="shared" si="92"/>
        <v>"%USERPROFILE%\Documents\GitHub\eaglep3\Utilities\RefineRTDCRunTimes.py" --tripid 838-04 --locoid 4059 --swversion DE.1.0.9.0 --startMP 300:58626 --initTime 2017-07-04T18:37:45 --startdatetime 2017-07-04T18:40:29 --delay 1 --endMP 204:727 --enddatetime 2017-07-04T18:56:29 --enforcementcount 0 &gt;&gt;C:\Users\stu\Documents\GitHub\eaglep3-reporting\EC\2017-07-04-refined-times.txt</v>
      </c>
      <c r="AI201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{"issue":{"subject":"","project_id":79,"tracker_id":40,"status_id":1,"priority_id":2,"assigned_to_id":23,"start_date":"2017-07-04","description":"","custom_fields":[{"id":1,"name":"Subdivision","value":"NW"},{"id":4,"name":"Milepost","value":"0.0727"},{"id":17,"name":"Train ID","value":"838-04"},{"id":16,"name":"Locomotive ID","value":"4059"},{"id":130,"name":"Impact","value":""},{"id":150,"name":"Time of Event (Mountain Time)","value":"18:56:29"},{"id":151,"name":"Denver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94"/>
        <v>start /low /b %USERPROFILE%\Documents\GitHub\eaglep3\Utilities\DownloadLogsFromS3.py --loco 4059 --day 2017-07-04</v>
      </c>
      <c r="AN201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641</v>
      </c>
      <c r="B202" s="7">
        <v>4022</v>
      </c>
      <c r="C202" s="21" t="s">
        <v>202</v>
      </c>
      <c r="D202" s="21" t="s">
        <v>961</v>
      </c>
      <c r="E202" s="13">
        <v>42920.783715277779</v>
      </c>
      <c r="F202" s="13">
        <v>42920.785671296297</v>
      </c>
      <c r="G202" s="7">
        <v>1</v>
      </c>
      <c r="H202" s="21" t="s">
        <v>480</v>
      </c>
      <c r="I202" s="13">
        <v>42920.795370370368</v>
      </c>
      <c r="J202" s="7">
        <v>0</v>
      </c>
      <c r="K202" s="89" t="str">
        <f t="shared" si="82"/>
        <v>4021/4022</v>
      </c>
      <c r="L202" s="21" t="str">
        <f>VLOOKUP(A202,'Trips&amp;Operators'!$C$1:$G$99999,5,FALSE)</f>
        <v>STAMBAUGH JAMES</v>
      </c>
      <c r="M202" s="6">
        <f t="shared" si="83"/>
        <v>9.6990740712499246E-3</v>
      </c>
      <c r="N202" s="7">
        <f t="shared" si="114"/>
        <v>13.966666662599891</v>
      </c>
      <c r="O202" s="7"/>
      <c r="P202" s="7"/>
      <c r="Q202" s="22"/>
      <c r="R202" s="170"/>
      <c r="S202" s="213">
        <f t="shared" si="115"/>
        <v>1</v>
      </c>
      <c r="T202" s="195" t="str">
        <f t="shared" si="8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85"/>
        <v>https://d0f6bd738d7f1b3e5a7ca70fe4ff75f0.us-east-1.aws.found.io/app/kibana#/discover/Steve-Slow-Train-Analysis-(2080s-and-2083s)?_g=(refreshInterval:(display:Off,pause:!f,section:0,value:0),time:(from:'2017-07-04T17:48:33-0600',mode:absolute,to:'2017-07-04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97" t="str">
        <f>IF(AA202&lt;VLOOKUP(AG202,Variables!$AC$3:$AD$8,2,FALSE),"Y","N")</f>
        <v>N</v>
      </c>
      <c r="X202" s="197">
        <f t="shared" si="113"/>
        <v>1</v>
      </c>
      <c r="Y202" s="197">
        <f t="shared" si="111"/>
        <v>9.7600000000000006E-2</v>
      </c>
      <c r="Z202" s="197">
        <f t="shared" si="112"/>
        <v>5.8948</v>
      </c>
      <c r="AA202" s="197">
        <f t="shared" si="86"/>
        <v>5.7972000000000001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87"/>
        <v>839</v>
      </c>
      <c r="AE202" s="77" t="str">
        <f t="shared" si="88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202" s="74" t="str">
        <f t="shared" si="89"/>
        <v>"C:\Program Files (x86)\AstroGrep\AstroGrep.exe" /e /r /s /spath="%USERPROFILE%\AppData\Local\Temp\OnboardLogs" /stypes="app*4022*20170705*" /stext=" 01:.+((SYSTEM_STATE.+slice.+state.+changed )|(ment ac)|(multiple cpu faults)|(system.+state.+changed )|(\[timeout)|(PRM\|1\|D)|(kpr)|(kdp)|(train st.+moving)|(\|lc)|(penalty))"</v>
      </c>
      <c r="AG202" s="209" t="str">
        <f t="shared" si="90"/>
        <v>NW</v>
      </c>
      <c r="AH202" s="78" t="str">
        <f t="shared" si="92"/>
        <v>"%USERPROFILE%\Documents\GitHub\eaglep3\Utilities\RefineRTDCRunTimes.py" --tripid 839-04 --locoid 4022 --swversion DE.1.0.9.0 --startMP 204:976 --initTime 2017-07-04T18:48:33 --startdatetime 2017-07-04T18:51:22 --delay 1 --endMP 300:58948 --enddatetime 2017-07-04T19:05:20 --enforcementcount 0 &gt;&gt;C:\Users\stu\Documents\GitHub\eaglep3-reporting\EC\2017-07-04-refined-times.txt</v>
      </c>
      <c r="AI202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{"issue":{"subject":"","project_id":79,"tracker_id":40,"status_id":1,"priority_id":2,"assigned_to_id":23,"start_date":"2017-07-04","description":"","custom_fields":[{"id":1,"name":"Subdivision","value":"NW"},{"id":4,"name":"Milepost","value":"5.8948"},{"id":17,"name":"Train ID","value":"839-04"},{"id":16,"name":"Locomotive ID","value":"4022"},{"id":130,"name":"Impact","value":""},{"id":150,"name":"Time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94"/>
        <v>start /low /b %USERPROFILE%\Documents\GitHub\eaglep3\Utilities\DownloadLogsFromS3.py --loco 4022 --day 2017-07-04</v>
      </c>
      <c r="AN202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826</v>
      </c>
      <c r="B203" s="7">
        <v>4059</v>
      </c>
      <c r="C203" s="21" t="s">
        <v>202</v>
      </c>
      <c r="D203" s="21" t="s">
        <v>963</v>
      </c>
      <c r="E203" s="13">
        <v>42920.816921296297</v>
      </c>
      <c r="F203" s="13">
        <v>42920.818692129629</v>
      </c>
      <c r="G203" s="7">
        <v>1</v>
      </c>
      <c r="H203" s="21" t="s">
        <v>983</v>
      </c>
      <c r="I203" s="13">
        <v>42920.831157407411</v>
      </c>
      <c r="J203" s="7">
        <v>0</v>
      </c>
      <c r="K203" s="89" t="str">
        <f t="shared" si="82"/>
        <v>4059/4060</v>
      </c>
      <c r="L203" s="21" t="str">
        <f>VLOOKUP(A203,'Trips&amp;Operators'!$C$1:$G$99999,5,FALSE)</f>
        <v>BRUDER RICHARD</v>
      </c>
      <c r="M203" s="6">
        <f t="shared" si="83"/>
        <v>1.2465277781302575E-2</v>
      </c>
      <c r="N203" s="7">
        <f t="shared" si="114"/>
        <v>17.950000005075708</v>
      </c>
      <c r="O203" s="7"/>
      <c r="P203" s="7"/>
      <c r="Q203" s="22"/>
      <c r="R203" s="170"/>
      <c r="S203" s="213">
        <f t="shared" si="115"/>
        <v>1</v>
      </c>
      <c r="T203" s="195" t="str">
        <f t="shared" si="8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85"/>
        <v>https://d0f6bd738d7f1b3e5a7ca70fe4ff75f0.us-east-1.aws.found.io/app/kibana#/discover/Steve-Slow-Train-Analysis-(2080s-and-2083s)?_g=(refreshInterval:(display:Off,pause:!f,section:0,value:0),time:(from:'2017-07-04T18:36:22-0600',mode:absolute,to:'2017-07-04T20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3" s="197" t="str">
        <f>IF(AA203&lt;VLOOKUP(AG203,Variables!$AC$3:$AD$8,2,FALSE),"Y","N")</f>
        <v>N</v>
      </c>
      <c r="X203" s="197">
        <f t="shared" si="113"/>
        <v>1</v>
      </c>
      <c r="Y203" s="197">
        <f t="shared" si="111"/>
        <v>5.8635999999999999</v>
      </c>
      <c r="Z203" s="197">
        <f t="shared" si="112"/>
        <v>7.1199999999999999E-2</v>
      </c>
      <c r="AA203" s="197">
        <f t="shared" si="86"/>
        <v>5.7923999999999998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87"/>
        <v>840</v>
      </c>
      <c r="AE203" s="77" t="str">
        <f t="shared" si="88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03" s="74" t="str">
        <f t="shared" si="89"/>
        <v>"C:\Program Files (x86)\AstroGrep\AstroGrep.exe" /e /r /s /spath="%USERPROFILE%\AppData\Local\Temp\OnboardLogs" /stypes="app*4059*20170705*" /stext=" 01:.+((SYSTEM_STATE.+slice.+state.+changed )|(ment ac)|(multiple cpu faults)|(system.+state.+changed )|(\[timeout)|(PRM\|1\|D)|(kpr)|(kdp)|(train st.+moving)|(\|lc)|(penalty))"</v>
      </c>
      <c r="AG203" s="209" t="str">
        <f t="shared" si="90"/>
        <v>NW</v>
      </c>
      <c r="AH203" s="78" t="str">
        <f t="shared" si="92"/>
        <v>"%USERPROFILE%\Documents\GitHub\eaglep3\Utilities\RefineRTDCRunTimes.py" --tripid 840-04 --locoid 4059 --swversion DE.1.0.9.0 --startMP 300:58636 --initTime 2017-07-04T19:36:22 --startdatetime 2017-07-04T19:38:55 --delay 1 --endMP 204:712 --enddatetime 2017-07-04T19:56:52 --enforcementcount 0 &gt;&gt;C:\Users\stu\Documents\GitHub\eaglep3-reporting\EC\2017-07-04-refined-times.txt</v>
      </c>
      <c r="AI203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{"issue":{"subject":"","project_id":79,"tracker_id":40,"status_id":1,"priority_id":2,"assigned_to_id":23,"start_date":"2017-07-04","description":"","custom_fields":[{"id":1,"name":"Subdivision","value":"NW"},{"id":4,"name":"Milepost","value":"0.0712"},{"id":17,"name":"Train ID","value":"840-04"},{"id":16,"name":"Locomotive ID","value":"4059"},{"id":130,"name":"Impact","value":""},{"id":150,"name":"Time of Event (Mountain Time)","value":"19:56:52"},{"id":151,"name":"Denver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94"/>
        <v>start /low /b %USERPROFILE%\Documents\GitHub\eaglep3\Utilities\DownloadLogsFromS3.py --loco 4059 --day 2017-07-04</v>
      </c>
      <c r="AN203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823</v>
      </c>
      <c r="B204" s="7">
        <v>4060</v>
      </c>
      <c r="C204" s="21" t="s">
        <v>202</v>
      </c>
      <c r="D204" s="21" t="s">
        <v>984</v>
      </c>
      <c r="E204" s="13">
        <v>42920.803032407406</v>
      </c>
      <c r="F204" s="13">
        <v>42920.806435185186</v>
      </c>
      <c r="G204" s="7">
        <v>1</v>
      </c>
      <c r="H204" s="21" t="s">
        <v>535</v>
      </c>
      <c r="I204" s="13">
        <v>42920.81591435185</v>
      </c>
      <c r="J204" s="7">
        <v>0</v>
      </c>
      <c r="K204" s="89" t="str">
        <f t="shared" si="82"/>
        <v>4059/4060</v>
      </c>
      <c r="L204" s="21" t="str">
        <f>VLOOKUP(A204,'Trips&amp;Operators'!$C$1:$G$99999,5,FALSE)</f>
        <v>BRUDER RICHARD</v>
      </c>
      <c r="M204" s="6">
        <f t="shared" si="83"/>
        <v>9.4791666633682325E-3</v>
      </c>
      <c r="N204" s="7">
        <f t="shared" si="114"/>
        <v>13.649999995250255</v>
      </c>
      <c r="O204" s="7"/>
      <c r="P204" s="7"/>
      <c r="Q204" s="22"/>
      <c r="R204" s="170"/>
      <c r="S204" s="213">
        <f t="shared" si="115"/>
        <v>1</v>
      </c>
      <c r="T204" s="195" t="str">
        <f t="shared" si="8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85"/>
        <v>https://d0f6bd738d7f1b3e5a7ca70fe4ff75f0.us-east-1.aws.found.io/app/kibana#/discover/Steve-Slow-Train-Analysis-(2080s-and-2083s)?_g=(refreshInterval:(display:Off,pause:!f,section:0,value:0),time:(from:'2017-07-04T18:16:22-0600',mode:absolute,to:'2017-07-04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4" s="197" t="str">
        <f>IF(AA204&lt;VLOOKUP(AG204,Variables!$AC$3:$AD$8,2,FALSE),"Y","N")</f>
        <v>N</v>
      </c>
      <c r="X204" s="197">
        <f t="shared" si="113"/>
        <v>1</v>
      </c>
      <c r="Y204" s="197">
        <f t="shared" si="111"/>
        <v>0.1018</v>
      </c>
      <c r="Z204" s="197">
        <f t="shared" si="112"/>
        <v>5.8954000000000004</v>
      </c>
      <c r="AA204" s="197">
        <f t="shared" si="86"/>
        <v>5.7936000000000005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87"/>
        <v>841</v>
      </c>
      <c r="AE204" s="77" t="str">
        <f t="shared" si="88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04" s="74" t="str">
        <f t="shared" si="89"/>
        <v>"C:\Program Files (x86)\AstroGrep\AstroGrep.exe" /e /r /s /spath="%USERPROFILE%\AppData\Local\Temp\OnboardLogs" /stypes="app*4060*20170705*" /stext=" 01:.+((SYSTEM_STATE.+slice.+state.+changed )|(ment ac)|(multiple cpu faults)|(system.+state.+changed )|(\[timeout)|(PRM\|1\|D)|(kpr)|(kdp)|(train st.+moving)|(\|lc)|(penalty))"</v>
      </c>
      <c r="AG204" s="209" t="str">
        <f t="shared" si="90"/>
        <v>NW</v>
      </c>
      <c r="AH204" s="78" t="str">
        <f t="shared" si="92"/>
        <v>"%USERPROFILE%\Documents\GitHub\eaglep3\Utilities\RefineRTDCRunTimes.py" --tripid 841-04 --locoid 4060 --swversion DE.1.0.9.0 --startMP 204:1018 --initTime 2017-07-04T19:16:22 --startdatetime 2017-07-04T19:21:16 --delay 1 --endMP 300:58954 --enddatetime 2017-07-04T19:34:55 --enforcementcount 0 &gt;&gt;C:\Users\stu\Documents\GitHub\eaglep3-reporting\EC\2017-07-04-refined-times.txt</v>
      </c>
      <c r="AI204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{"issue":{"subject":"","project_id":79,"tracker_id":40,"status_id":1,"priority_id":2,"assigned_to_id":23,"start_date":"2017-07-04","description":"","custom_fields":[{"id":1,"name":"Subdivision","value":"NW"},{"id":4,"name":"Milepost","value":"5.8954"},{"id":17,"name":"Train ID","value":"841-04"},{"id":16,"name":"Locomotive ID","value":"4060"},{"id":130,"name":"Impact","value":""},{"id":150,"name":"Time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94"/>
        <v>start /low /b %USERPROFILE%\Documents\GitHub\eaglep3\Utilities\DownloadLogsFromS3.py --loco 4060 --day 2017-07-04</v>
      </c>
      <c r="AN204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833</v>
      </c>
      <c r="B205" s="7">
        <v>4059</v>
      </c>
      <c r="C205" s="21" t="s">
        <v>202</v>
      </c>
      <c r="D205" s="21" t="s">
        <v>981</v>
      </c>
      <c r="E205" s="13">
        <v>42920.858472222222</v>
      </c>
      <c r="F205" s="13">
        <v>42920.860231481478</v>
      </c>
      <c r="G205" s="7">
        <v>2</v>
      </c>
      <c r="H205" s="21" t="s">
        <v>985</v>
      </c>
      <c r="I205" s="13">
        <v>42920.87128472222</v>
      </c>
      <c r="J205" s="7">
        <v>0</v>
      </c>
      <c r="K205" s="89" t="str">
        <f t="shared" ref="K205:K244" si="116">IF(ISEVEN(B205),(B205-1)&amp;"/"&amp;B205,B205&amp;"/"&amp;(B205+1))</f>
        <v>4059/4060</v>
      </c>
      <c r="L205" s="21" t="str">
        <f>VLOOKUP(A205,'Trips&amp;Operators'!$C$1:$G$99999,5,FALSE)</f>
        <v>BRUDER RICHARD</v>
      </c>
      <c r="M205" s="6">
        <f t="shared" ref="M205:M244" si="117">I205-F205</f>
        <v>1.1053240741603076E-2</v>
      </c>
      <c r="N205" s="7">
        <f t="shared" si="114"/>
        <v>15.91666666790843</v>
      </c>
      <c r="O205" s="7"/>
      <c r="P205" s="7"/>
      <c r="Q205" s="22"/>
      <c r="R205" s="170"/>
      <c r="S205" s="213">
        <f t="shared" si="115"/>
        <v>1</v>
      </c>
      <c r="T205" s="195" t="str">
        <f t="shared" ref="T205:T244" si="118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4" si="11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-04T19:36:12-0600',mode:absolute,to:'2017-07-04T21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5" s="197" t="str">
        <f>IF(AA205&lt;VLOOKUP(AG205,Variables!$AC$3:$AD$8,2,FALSE),"Y","N")</f>
        <v>N</v>
      </c>
      <c r="X205" s="197">
        <f t="shared" si="113"/>
        <v>1</v>
      </c>
      <c r="Y205" s="197">
        <f t="shared" si="111"/>
        <v>5.8625999999999996</v>
      </c>
      <c r="Z205" s="197">
        <f t="shared" si="112"/>
        <v>7.4700000000000003E-2</v>
      </c>
      <c r="AA205" s="197">
        <f t="shared" ref="AA205:AA244" si="120">ABS(Z205-Y205)</f>
        <v>5.7878999999999996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4" si="121">VALUE(LEFT(A205,LEN(A205)-3))</f>
        <v>842</v>
      </c>
      <c r="AE205" s="77" t="str">
        <f t="shared" ref="AE205:AE244" si="12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05" s="74" t="str">
        <f t="shared" ref="AF205:AF244" si="12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/stypes="app*4059*20170705*" /stext=" 02:.+((SYSTEM_STATE.+slice.+state.+changed )|(ment ac)|(multiple cpu faults)|(system.+state.+changed )|(\[timeout)|(PRM\|1\|D)|(kpr)|(kdp)|(train st.+moving)|(\|lc)|(penalty))"</v>
      </c>
      <c r="AG205" s="209" t="str">
        <f t="shared" ref="AG205:AG244" si="124">DetSubdiv(A205)</f>
        <v>NW</v>
      </c>
      <c r="AH205" s="78" t="str">
        <f t="shared" si="92"/>
        <v>"%USERPROFILE%\Documents\GitHub\eaglep3\Utilities\RefineRTDCRunTimes.py" --tripid 842-04 --locoid 4059 --swversion DE.1.0.9.0 --startMP 300:58626 --initTime 2017-07-04T20:36:12 --startdatetime 2017-07-04T20:38:44 --delay 2 --endMP 204:747 --enddatetime 2017-07-04T20:54:39 --enforcementcount 0 &gt;&gt;C:\Users\stu\Documents\GitHub\eaglep3-reporting\EC\2017-07-04-refined-times.txt</v>
      </c>
      <c r="AI205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{"issue":{"subject":"","project_id":79,"tracker_id":40,"status_id":1,"priority_id":2,"assigned_to_id":23,"start_date":"2017-07-04","description":"","custom_fields":[{"id":1,"name":"Subdivision","value":"NW"},{"id":4,"name":"Milepost","value":"0.0747"},{"id":17,"name":"Train ID","value":"842-04"},{"id":16,"name":"Locomotive ID","value":"4059"},{"id":130,"name":"Impact","value":""},{"id":150,"name":"Time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94"/>
        <v>start /low /b %USERPROFILE%\Documents\GitHub\eaglep3\Utilities\DownloadLogsFromS3.py --loco 4059 --day 2017-07-04</v>
      </c>
      <c r="AN205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830</v>
      </c>
      <c r="B206" s="7">
        <v>4060</v>
      </c>
      <c r="C206" s="21" t="s">
        <v>202</v>
      </c>
      <c r="D206" s="21" t="s">
        <v>986</v>
      </c>
      <c r="E206" s="13">
        <v>42920.845532407409</v>
      </c>
      <c r="F206" s="13">
        <v>42920.848090277781</v>
      </c>
      <c r="G206" s="7">
        <v>1</v>
      </c>
      <c r="H206" s="21" t="s">
        <v>497</v>
      </c>
      <c r="I206" s="13">
        <v>42920.857407407406</v>
      </c>
      <c r="J206" s="7">
        <v>0</v>
      </c>
      <c r="K206" s="89" t="str">
        <f t="shared" si="116"/>
        <v>4059/4060</v>
      </c>
      <c r="L206" s="21" t="str">
        <f>VLOOKUP(A206,'Trips&amp;Operators'!$C$1:$G$99999,5,FALSE)</f>
        <v>BRUDER RICHARD</v>
      </c>
      <c r="M206" s="6">
        <f t="shared" si="117"/>
        <v>9.3171296248328872E-3</v>
      </c>
      <c r="N206" s="7">
        <f t="shared" si="114"/>
        <v>13.416666659759358</v>
      </c>
      <c r="O206" s="7"/>
      <c r="P206" s="7"/>
      <c r="Q206" s="22"/>
      <c r="R206" s="170"/>
      <c r="S206" s="213">
        <f t="shared" si="115"/>
        <v>1</v>
      </c>
      <c r="T206" s="195" t="str">
        <f t="shared" si="11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19"/>
        <v>https://d0f6bd738d7f1b3e5a7ca70fe4ff75f0.us-east-1.aws.found.io/app/kibana#/discover/Steve-Slow-Train-Analysis-(2080s-and-2083s)?_g=(refreshInterval:(display:Off,pause:!f,section:0,value:0),time:(from:'2017-07-04T19:17:34-0600',mode:absolute,to:'2017-07-04T21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6" s="197" t="str">
        <f>IF(AA206&lt;VLOOKUP(AG206,Variables!$AC$3:$AD$8,2,FALSE),"Y","N")</f>
        <v>N</v>
      </c>
      <c r="X206" s="197">
        <f t="shared" si="113"/>
        <v>1</v>
      </c>
      <c r="Y206" s="197">
        <f t="shared" si="111"/>
        <v>0.1028</v>
      </c>
      <c r="Z206" s="197">
        <f t="shared" si="112"/>
        <v>5.8944000000000001</v>
      </c>
      <c r="AA206" s="197">
        <f t="shared" si="120"/>
        <v>5.7915999999999999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21"/>
        <v>843</v>
      </c>
      <c r="AE206" s="77" t="str">
        <f t="shared" si="122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06" s="74" t="str">
        <f t="shared" si="123"/>
        <v>"C:\Program Files (x86)\AstroGrep\AstroGrep.exe" /e /r /s /spath="%USERPROFILE%\AppData\Local\Temp\OnboardLogs" /stypes="app*4060*20170705*" /stext=" 02:.+((SYSTEM_STATE.+slice.+state.+changed )|(ment ac)|(multiple cpu faults)|(system.+state.+changed )|(\[timeout)|(PRM\|1\|D)|(kpr)|(kdp)|(train st.+moving)|(\|lc)|(penalty))"</v>
      </c>
      <c r="AG206" s="209" t="str">
        <f t="shared" si="124"/>
        <v>NW</v>
      </c>
      <c r="AH206" s="78" t="str">
        <f t="shared" si="92"/>
        <v>"%USERPROFILE%\Documents\GitHub\eaglep3\Utilities\RefineRTDCRunTimes.py" --tripid 843-04 --locoid 4060 --swversion DE.1.0.9.0 --startMP 204:1028 --initTime 2017-07-04T20:17:34 --startdatetime 2017-07-04T20:21:15 --delay 1 --endMP 300:58944 --enddatetime 2017-07-04T20:34:40 --enforcementcount 0 &gt;&gt;C:\Users\stu\Documents\GitHub\eaglep3-reporting\EC\2017-07-04-refined-times.txt</v>
      </c>
      <c r="AI206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{"issue":{"subject":"","project_id":79,"tracker_id":40,"status_id":1,"priority_id":2,"assigned_to_id":23,"start_date":"2017-07-04","description":"","custom_fields":[{"id":1,"name":"Subdivision","value":"NW"},{"id":4,"name":"Milepost","value":"5.8944"},{"id":17,"name":"Train ID","value":"843-04"},{"id":16,"name":"Locomotive ID","value":"4060"},{"id":130,"name":"Impact","value":""},{"id":150,"name":"Time of Event (Mountain Time)","value":"20:34:40"},{"id":151,"name":"Denver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4"/>
        <v>start /low /b %USERPROFILE%\Documents\GitHub\eaglep3\Utilities\DownloadLogsFromS3.py --loco 4060 --day 2017-07-04</v>
      </c>
      <c r="AN206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646</v>
      </c>
      <c r="B207" s="7">
        <v>4059</v>
      </c>
      <c r="C207" s="21" t="s">
        <v>202</v>
      </c>
      <c r="D207" s="21" t="s">
        <v>594</v>
      </c>
      <c r="E207" s="13">
        <v>42920.899930555555</v>
      </c>
      <c r="F207" s="13">
        <v>42920.903275462966</v>
      </c>
      <c r="G207" s="7">
        <v>3</v>
      </c>
      <c r="H207" s="21" t="s">
        <v>555</v>
      </c>
      <c r="I207" s="13">
        <v>42920.912928240738</v>
      </c>
      <c r="J207" s="7">
        <v>0</v>
      </c>
      <c r="K207" s="89" t="str">
        <f t="shared" si="116"/>
        <v>4059/4060</v>
      </c>
      <c r="L207" s="21" t="str">
        <f>VLOOKUP(A207,'Trips&amp;Operators'!$C$1:$G$99999,5,FALSE)</f>
        <v>STAMBAUGH JAMES</v>
      </c>
      <c r="M207" s="6">
        <f t="shared" si="117"/>
        <v>9.6527777714072727E-3</v>
      </c>
      <c r="N207" s="7">
        <f t="shared" si="114"/>
        <v>13.899999990826473</v>
      </c>
      <c r="O207" s="7"/>
      <c r="P207" s="7"/>
      <c r="Q207" s="22"/>
      <c r="R207" s="170"/>
      <c r="S207" s="213">
        <f t="shared" si="115"/>
        <v>1</v>
      </c>
      <c r="T207" s="195" t="str">
        <f t="shared" si="11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19"/>
        <v>https://d0f6bd738d7f1b3e5a7ca70fe4ff75f0.us-east-1.aws.found.io/app/kibana#/discover/Steve-Slow-Train-Analysis-(2080s-and-2083s)?_g=(refreshInterval:(display:Off,pause:!f,section:0,value:0),time:(from:'2017-07-04T20:35:54-0600',mode:absolute,to:'2017-07-04T22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197" t="str">
        <f>IF(AA207&lt;VLOOKUP(AG207,Variables!$AC$3:$AD$8,2,FALSE),"Y","N")</f>
        <v>N</v>
      </c>
      <c r="X207" s="197">
        <f t="shared" si="113"/>
        <v>1</v>
      </c>
      <c r="Y207" s="197">
        <f t="shared" si="111"/>
        <v>5.8640999999999996</v>
      </c>
      <c r="Z207" s="197">
        <f t="shared" si="112"/>
        <v>7.0300000000000001E-2</v>
      </c>
      <c r="AA207" s="197">
        <f t="shared" si="120"/>
        <v>5.7938000000000001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21"/>
        <v>844</v>
      </c>
      <c r="AE207" s="77" t="str">
        <f t="shared" si="122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07" s="74" t="str">
        <f t="shared" si="123"/>
        <v>"C:\Program Files (x86)\AstroGrep\AstroGrep.exe" /e /r /s /spath="%USERPROFILE%\AppData\Local\Temp\OnboardLogs" /stypes="app*4059*20170705*" /stext=" 03:.+((SYSTEM_STATE.+slice.+state.+changed )|(ment ac)|(multiple cpu faults)|(system.+state.+changed )|(\[timeout)|(PRM\|1\|D)|(kpr)|(kdp)|(train st.+moving)|(\|lc)|(penalty))"</v>
      </c>
      <c r="AG207" s="209" t="str">
        <f t="shared" si="124"/>
        <v>NW</v>
      </c>
      <c r="AH207" s="78" t="str">
        <f t="shared" si="92"/>
        <v>"%USERPROFILE%\Documents\GitHub\eaglep3\Utilities\RefineRTDCRunTimes.py" --tripid 844-04 --locoid 4059 --swversion DE.1.0.9.0 --startMP 300:58641 --initTime 2017-07-04T21:35:54 --startdatetime 2017-07-04T21:40:43 --delay 3 --endMP 204:703 --enddatetime 2017-07-04T21:54:37 --enforcementcount 0 &gt;&gt;C:\Users\stu\Documents\GitHub\eaglep3-reporting\EC\2017-07-04-refined-times.txt</v>
      </c>
      <c r="AI207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{"issue":{"subject":"","project_id":79,"tracker_id":40,"status_id":1,"priority_id":2,"assigned_to_id":23,"start_date":"2017-07-04","description":"","custom_fields":[{"id":1,"name":"Subdivision","value":"NW"},{"id":4,"name":"Milepost","value":"0.0703"},{"id":17,"name":"Train ID","value":"844-04"},{"id":16,"name":"Locomotive ID","value":"4059"},{"id":130,"name":"Impact","value":""},{"id":150,"name":"Time of Event (Mountain Time)","value":"21:54:37"},{"id":151,"name":"Denver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4"/>
        <v>start /low /b %USERPROFILE%\Documents\GitHub\eaglep3\Utilities\DownloadLogsFromS3.py --loco 4059 --day 2017-07-04</v>
      </c>
      <c r="AN207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835</v>
      </c>
      <c r="B208" s="7">
        <v>4060</v>
      </c>
      <c r="C208" s="21" t="s">
        <v>202</v>
      </c>
      <c r="D208" s="21" t="s">
        <v>957</v>
      </c>
      <c r="E208" s="13">
        <v>42920.882210648146</v>
      </c>
      <c r="F208" s="13">
        <v>42920.890138888892</v>
      </c>
      <c r="G208" s="7">
        <v>1</v>
      </c>
      <c r="H208" s="21" t="s">
        <v>978</v>
      </c>
      <c r="I208" s="13">
        <v>42920.898784722223</v>
      </c>
      <c r="J208" s="7">
        <v>0</v>
      </c>
      <c r="K208" s="89" t="str">
        <f t="shared" si="116"/>
        <v>4059/4060</v>
      </c>
      <c r="L208" s="21" t="str">
        <f>VLOOKUP(A208,'Trips&amp;Operators'!$C$1:$G$99999,5,FALSE)</f>
        <v>STAMBAUGH JAMES</v>
      </c>
      <c r="M208" s="6">
        <f t="shared" si="117"/>
        <v>8.6458333316841163E-3</v>
      </c>
      <c r="N208" s="7">
        <f t="shared" si="114"/>
        <v>12.449999997625127</v>
      </c>
      <c r="O208" s="7"/>
      <c r="P208" s="7"/>
      <c r="Q208" s="22"/>
      <c r="R208" s="170"/>
      <c r="S208" s="213">
        <f t="shared" si="115"/>
        <v>1</v>
      </c>
      <c r="T208" s="195" t="str">
        <f t="shared" si="11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19"/>
        <v>https://d0f6bd738d7f1b3e5a7ca70fe4ff75f0.us-east-1.aws.found.io/app/kibana#/discover/Steve-Slow-Train-Analysis-(2080s-and-2083s)?_g=(refreshInterval:(display:Off,pause:!f,section:0,value:0),time:(from:'2017-07-04T20:10:23-0600',mode:absolute,to:'2017-07-04T22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197" t="str">
        <f>IF(AA208&lt;VLOOKUP(AG208,Variables!$AC$3:$AD$8,2,FALSE),"Y","N")</f>
        <v>N</v>
      </c>
      <c r="X208" s="197">
        <f t="shared" si="113"/>
        <v>1</v>
      </c>
      <c r="Y208" s="197">
        <f t="shared" si="111"/>
        <v>0.1023</v>
      </c>
      <c r="Z208" s="197">
        <f t="shared" si="112"/>
        <v>5.8963000000000001</v>
      </c>
      <c r="AA208" s="197">
        <f t="shared" si="120"/>
        <v>5.7940000000000005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21"/>
        <v>845</v>
      </c>
      <c r="AE208" s="77" t="str">
        <f t="shared" si="122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08" s="74" t="str">
        <f t="shared" si="123"/>
        <v>"C:\Program Files (x86)\AstroGrep\AstroGrep.exe" /e /r /s /spath="%USERPROFILE%\AppData\Local\Temp\OnboardLogs" /stypes="app*4060*20170705*" /stext=" 03:.+((SYSTEM_STATE.+slice.+state.+changed )|(ment ac)|(multiple cpu faults)|(system.+state.+changed )|(\[timeout)|(PRM\|1\|D)|(kpr)|(kdp)|(train st.+moving)|(\|lc)|(penalty))"</v>
      </c>
      <c r="AG208" s="209" t="str">
        <f t="shared" si="124"/>
        <v>NW</v>
      </c>
      <c r="AH208" s="78" t="str">
        <f t="shared" si="92"/>
        <v>"%USERPROFILE%\Documents\GitHub\eaglep3\Utilities\RefineRTDCRunTimes.py" --tripid 845-04 --locoid 4060 --swversion DE.1.0.9.0 --startMP 204:1023 --initTime 2017-07-04T21:10:23 --startdatetime 2017-07-04T21:21:48 --delay 1 --endMP 300:58963 --enddatetime 2017-07-04T21:34:15 --enforcementcount 0 &gt;&gt;C:\Users\stu\Documents\GitHub\eaglep3-reporting\EC\2017-07-04-refined-times.txt</v>
      </c>
      <c r="AI208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{"issue":{"subject":"","project_id":79,"tracker_id":40,"status_id":1,"priority_id":2,"assigned_to_id":23,"start_date":"2017-07-04","description":"","custom_fields":[{"id":1,"name":"Subdivision","value":"NW"},{"id":4,"name":"Milepost","value":"5.8963"},{"id":17,"name":"Train ID","value":"845-04"},{"id":16,"name":"Locomotive ID","value":"4060"},{"id":130,"name":"Impact","value":""},{"id":150,"name":"Time of Event (Mountain Time)","value":"21:34:15"},{"id":151,"name":"Denver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4"/>
        <v>start /low /b %USERPROFILE%\Documents\GitHub\eaglep3\Utilities\DownloadLogsFromS3.py --loco 4060 --day 2017-07-04</v>
      </c>
      <c r="AN208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840</v>
      </c>
      <c r="B209" s="7">
        <v>4060</v>
      </c>
      <c r="C209" s="21" t="s">
        <v>202</v>
      </c>
      <c r="D209" s="21" t="s">
        <v>987</v>
      </c>
      <c r="E209" s="13">
        <v>42920.913923611108</v>
      </c>
      <c r="F209" s="13">
        <v>42920.932326388887</v>
      </c>
      <c r="G209" s="7">
        <v>1</v>
      </c>
      <c r="H209" s="21" t="s">
        <v>480</v>
      </c>
      <c r="I209" s="13">
        <v>42920.941701388889</v>
      </c>
      <c r="J209" s="7">
        <v>0</v>
      </c>
      <c r="K209" s="89" t="str">
        <f t="shared" si="116"/>
        <v>4059/4060</v>
      </c>
      <c r="L209" s="21" t="str">
        <f>VLOOKUP(A209,'Trips&amp;Operators'!$C$1:$G$99999,5,FALSE)</f>
        <v>STAMBAUGH JAMES</v>
      </c>
      <c r="M209" s="6">
        <f t="shared" si="117"/>
        <v>9.3750000014551915E-3</v>
      </c>
      <c r="N209" s="7">
        <f t="shared" si="114"/>
        <v>13.500000002095476</v>
      </c>
      <c r="O209" s="7"/>
      <c r="P209" s="7"/>
      <c r="Q209" s="22"/>
      <c r="R209" s="170"/>
      <c r="S209" s="213">
        <f t="shared" si="115"/>
        <v>1</v>
      </c>
      <c r="T209" s="195" t="str">
        <f t="shared" si="118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19"/>
        <v>https://d0f6bd738d7f1b3e5a7ca70fe4ff75f0.us-east-1.aws.found.io/app/kibana#/discover/Steve-Slow-Train-Analysis-(2080s-and-2083s)?_g=(refreshInterval:(display:Off,pause:!f,section:0,value:0),time:(from:'2017-07-04T20:56:03-0600',mode:absolute,to:'2017-07-04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197" t="str">
        <f>IF(AA209&lt;VLOOKUP(AG209,Variables!$AC$3:$AD$8,2,FALSE),"Y","N")</f>
        <v>N</v>
      </c>
      <c r="X209" s="197">
        <f t="shared" si="113"/>
        <v>2</v>
      </c>
      <c r="Y209" s="197">
        <f t="shared" si="111"/>
        <v>9.8500000000000004E-2</v>
      </c>
      <c r="Z209" s="197">
        <f t="shared" si="112"/>
        <v>5.8948</v>
      </c>
      <c r="AA209" s="197">
        <f t="shared" si="120"/>
        <v>5.7963000000000005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21"/>
        <v>847</v>
      </c>
      <c r="AE209" s="77" t="str">
        <f t="shared" si="122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09" s="74" t="str">
        <f t="shared" si="123"/>
        <v>"C:\Program Files (x86)\AstroGrep\AstroGrep.exe" /e /r /s /spath="%USERPROFILE%\AppData\Local\Temp\OnboardLogs" /stypes="app*4060*20170705*" /stext=" 04:.+((SYSTEM_STATE.+slice.+state.+changed )|(ment ac)|(multiple cpu faults)|(system.+state.+changed )|(\[timeout)|(PRM\|1\|D)|(kpr)|(kdp)|(train st.+moving)|(\|lc)|(penalty))"</v>
      </c>
      <c r="AG209" s="209" t="str">
        <f t="shared" si="124"/>
        <v>NW</v>
      </c>
      <c r="AH209" s="78" t="str">
        <f t="shared" si="92"/>
        <v>"%USERPROFILE%\Documents\GitHub\eaglep3\Utilities\RefineRTDCRunTimes.py" --tripid 847-04 --locoid 4060 --swversion DE.1.0.9.0 --startMP 204:985 --initTime 2017-07-04T21:56:03 --startdatetime 2017-07-04T22:22:33 --delay 1 --endMP 300:58948 --enddatetime 2017-07-04T22:36:03 --enforcementcount 0 &gt;&gt;C:\Users\stu\Documents\GitHub\eaglep3-reporting\EC\2017-07-04-refined-times.txt</v>
      </c>
      <c r="AI209" s="96" t="str">
        <f t="shared" si="93"/>
        <v>echo {"issue":{"subject":"","project_id":79,"tracker_id":40,"status_id":1,"priority_id":2,"assigned_to_id":23,"start_date":"2017-07-04","description":"","custom_fields":[{"id":1,"name":"Subdivision","value":"NW"},{"id":4,"name":"Milepost","value":"5.8948"},{"id":17,"name":"Train ID","value":"847-04"},{"id":16,"name":"Locomotive ID","value":"4060"},{"id":130,"name":"Impact","value":""},{"id":150,"name":"Time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94"/>
        <v>start /low /b %USERPROFILE%\Documents\GitHub\eaglep3\Utilities\DownloadLogsFromS3.py --loco 4060 --day 2017-07-04</v>
      </c>
      <c r="AN209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653</v>
      </c>
      <c r="B210" s="7">
        <v>4023</v>
      </c>
      <c r="C210" s="21" t="s">
        <v>202</v>
      </c>
      <c r="D210" s="21" t="s">
        <v>917</v>
      </c>
      <c r="E210" s="13">
        <v>42920.117719907408</v>
      </c>
      <c r="F210" s="13">
        <v>42920.12060185185</v>
      </c>
      <c r="G210" s="7">
        <v>4</v>
      </c>
      <c r="H210" s="21" t="s">
        <v>349</v>
      </c>
      <c r="I210" s="13">
        <v>42920.126261574071</v>
      </c>
      <c r="J210" s="7">
        <v>0</v>
      </c>
      <c r="K210" s="89" t="str">
        <f t="shared" si="116"/>
        <v>4023/4024</v>
      </c>
      <c r="L210" s="21" t="str">
        <f>VLOOKUP(A210,'Trips&amp;Operators'!$C$1:$G$99999,5,FALSE)</f>
        <v>STARKS ANGELINA</v>
      </c>
      <c r="M210" s="6">
        <f t="shared" si="117"/>
        <v>5.6597222210257314E-3</v>
      </c>
      <c r="N210" s="7">
        <f t="shared" si="114"/>
        <v>8.1499999982770532</v>
      </c>
      <c r="O210" s="7"/>
      <c r="P210" s="7"/>
      <c r="Q210" s="22"/>
      <c r="R210" s="170"/>
      <c r="S210" s="213">
        <f t="shared" si="115"/>
        <v>1</v>
      </c>
      <c r="T210" s="195" t="str">
        <f t="shared" si="118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19"/>
        <v>https://d0f6bd738d7f1b3e5a7ca70fe4ff75f0.us-east-1.aws.found.io/app/kibana#/discover/Steve-Slow-Train-Analysis-(2080s-and-2083s)?_g=(refreshInterval:(display:Off,pause:!f,section:0,value:0),time:(from:'2017-07-04T01:49:31-0600',mode:absolute,to:'2017-07-04T04:01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197" t="str">
        <f>IF(AA210&lt;VLOOKUP(AG210,Variables!$AC$3:$AD$8,2,FALSE),"Y","N")</f>
        <v>Y</v>
      </c>
      <c r="X210" s="197">
        <f t="shared" si="113"/>
        <v>-547</v>
      </c>
      <c r="Y210" s="197">
        <f t="shared" si="111"/>
        <v>2.1764999999999999</v>
      </c>
      <c r="Z210" s="197">
        <f t="shared" si="112"/>
        <v>1.49E-2</v>
      </c>
      <c r="AA210" s="197">
        <f t="shared" si="120"/>
        <v>2.1616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21"/>
        <v>300</v>
      </c>
      <c r="AE210" s="77" t="str">
        <f t="shared" si="122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210" s="74" t="str">
        <f t="shared" si="123"/>
        <v>"C:\Program Files (x86)\AstroGrep\AstroGrep.exe" /e /r /s /spath="%USERPROFILE%\AppData\Local\Temp\OnboardLogs" /stypes="app*4023*20170704*" /stext=" 09:.+((SYSTEM_STATE.+slice.+state.+changed )|(ment ac)|(multiple cpu faults)|(system.+state.+changed )|(\[timeout)|(PRM\|1\|D)|(kpr)|(kdp)|(train st.+moving)|(\|lc)|(penalty))"</v>
      </c>
      <c r="AG210" s="209" t="str">
        <f t="shared" si="124"/>
        <v>Other</v>
      </c>
      <c r="AH210" s="78" t="str">
        <f t="shared" si="92"/>
        <v>"%USERPROFILE%\Documents\GitHub\eaglep3\Utilities\RefineRTDCRunTimes.py" --tripid 300-04 --locoid 4023 --swversion DE.1.0.9.0 --startMP 300:21765 --initTime 2017-07-04T02:49:31 --startdatetime 2017-07-04T02:53:40 --delay 4 --endMP 204:149 --enddatetime 2017-07-04T03:01:49 --enforcementcount 0 &gt;&gt;C:\Users\stu\Documents\GitHub\eaglep3-reporting\EC\2017-07-04-refined-times.txt</v>
      </c>
      <c r="AI210" s="96" t="str">
        <f t="shared" si="93"/>
        <v>echo {"issue":{"subject":"","project_id":79,"tracker_id":40,"status_id":1,"priority_id":2,"assigned_to_id":23,"start_date":"2017-07-04","description":"","custom_fields":[{"id":1,"name":"Subdivision","value":"Other"},{"id":4,"name":"Milepost","value":"0.0149"},{"id":17,"name":"Train ID","value":"300-04"},{"id":16,"name":"Locomotive ID","value":"4023"},{"id":130,"name":"Impact","value":""},{"id":150,"name":"Time of Event (Mountain Time)","value":"03:01:49"},{"id":151,"name":"Denver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4"/>
        <v>start /low /b %USERPROFILE%\Documents\GitHub\eaglep3\Utilities\DownloadLogsFromS3.py --loco 4023 --day 2017-07-04</v>
      </c>
      <c r="AN210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09:01:49"},{"id":29,"name":"Sharepoint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819</v>
      </c>
      <c r="B211" s="7">
        <v>4064</v>
      </c>
      <c r="C211" s="21" t="s">
        <v>202</v>
      </c>
      <c r="D211" s="21" t="s">
        <v>391</v>
      </c>
      <c r="E211" s="13">
        <v>42920.778229166666</v>
      </c>
      <c r="F211" s="13">
        <v>42920.77957175926</v>
      </c>
      <c r="G211" s="7">
        <v>1</v>
      </c>
      <c r="H211" s="21" t="s">
        <v>353</v>
      </c>
      <c r="I211" s="13">
        <v>42920.785636574074</v>
      </c>
      <c r="J211" s="7">
        <v>0</v>
      </c>
      <c r="K211" s="89" t="str">
        <f t="shared" si="116"/>
        <v>4063/4064</v>
      </c>
      <c r="L211" s="21" t="str">
        <f>VLOOKUP(A211,'Trips&amp;Operators'!$C$1:$G$99999,5,FALSE)</f>
        <v>LEVIN SCOTT</v>
      </c>
      <c r="M211" s="6">
        <f t="shared" si="117"/>
        <v>6.064814813726116E-3</v>
      </c>
      <c r="N211" s="7">
        <f t="shared" si="114"/>
        <v>8.733333331765607</v>
      </c>
      <c r="O211" s="7"/>
      <c r="P211" s="7"/>
      <c r="Q211" s="22"/>
      <c r="R211" s="170"/>
      <c r="S211" s="213">
        <f t="shared" si="115"/>
        <v>1</v>
      </c>
      <c r="T211" s="195" t="str">
        <f t="shared" si="118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19"/>
        <v>https://d0f6bd738d7f1b3e5a7ca70fe4ff75f0.us-east-1.aws.found.io/app/kibana#/discover/Steve-Slow-Train-Analysis-(2080s-and-2083s)?_g=(refreshInterval:(display:Off,pause:!f,section:0,value:0),time:(from:'2017-07-04T17:40:39-0600',mode:absolute,to:'2017-07-04T19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197" t="str">
        <f>IF(AA211&lt;VLOOKUP(AG211,Variables!$AC$3:$AD$8,2,FALSE),"Y","N")</f>
        <v>Y</v>
      </c>
      <c r="X211" s="197">
        <f t="shared" si="113"/>
        <v>1</v>
      </c>
      <c r="Y211" s="197">
        <f t="shared" si="111"/>
        <v>4.6199999999999998E-2</v>
      </c>
      <c r="Z211" s="197">
        <f t="shared" si="112"/>
        <v>2.3346</v>
      </c>
      <c r="AA211" s="197">
        <f t="shared" si="120"/>
        <v>2.2884000000000002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21"/>
        <v>301</v>
      </c>
      <c r="AE211" s="77" t="str">
        <f t="shared" si="122"/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AF211" s="74" t="str">
        <f t="shared" si="123"/>
        <v>"C:\Program Files (x86)\AstroGrep\AstroGrep.exe" /e /r /s /spath="%USERPROFILE%\AppData\Local\Temp\OnboardLogs" /stypes="app*4064*20170705*" /stext=" 00:.+((SYSTEM_STATE.+slice.+state.+changed )|(ment ac)|(multiple cpu faults)|(system.+state.+changed )|(\[timeout)|(PRM\|1\|D)|(kpr)|(kdp)|(train st.+moving)|(\|lc)|(penalty))"</v>
      </c>
      <c r="AG211" s="209" t="str">
        <f t="shared" si="124"/>
        <v>Other</v>
      </c>
      <c r="AH211" s="78" t="str">
        <f t="shared" si="92"/>
        <v>"%USERPROFILE%\Documents\GitHub\eaglep3\Utilities\RefineRTDCRunTimes.py" --tripid 301-04 --locoid 4064 --swversion DE.1.0.9.0 --startMP 204:462 --initTime 2017-07-04T18:40:39 --startdatetime 2017-07-04T18:42:35 --delay 1 --endMP 300:23346 --enddatetime 2017-07-04T18:51:19 --enforcementcount 0 &gt;&gt;C:\Users\stu\Documents\GitHub\eaglep3-reporting\EC\2017-07-04-refined-times.txt</v>
      </c>
      <c r="AI211" s="96" t="str">
        <f t="shared" si="93"/>
        <v>echo {"issue":{"subject":"","project_id":79,"tracker_id":40,"status_id":1,"priority_id":2,"assigned_to_id":23,"start_date":"2017-07-04","description":"","custom_fields":[{"id":1,"name":"Subdivision","value":"Other"},{"id":4,"name":"Milepost","value":"2.3346"},{"id":17,"name":"Train ID","value":"301-04"},{"id":16,"name":"Locomotive ID","value":"4064"},{"id":130,"name":"Impact","value":""},{"id":150,"name":"Time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4"/>
        <v>start /low /b %USERPROFILE%\Documents\GitHub\eaglep3\Utilities\DownloadLogsFromS3.py --loco 4064 --day 2017-07-04</v>
      </c>
      <c r="AN211" s="151" t="str">
        <f t="shared" si="95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00:51:19"},{"id":29,"name":"Sharepoint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606</v>
      </c>
      <c r="B212" s="7">
        <v>4045</v>
      </c>
      <c r="C212" s="21" t="s">
        <v>202</v>
      </c>
      <c r="D212" s="21" t="s">
        <v>918</v>
      </c>
      <c r="E212" s="13">
        <v>42920.138518518521</v>
      </c>
      <c r="F212" s="13">
        <v>42920.14261574074</v>
      </c>
      <c r="G212" s="7">
        <v>5</v>
      </c>
      <c r="H212" s="21" t="s">
        <v>435</v>
      </c>
      <c r="I212" s="13">
        <v>42920.149756944447</v>
      </c>
      <c r="J212" s="7">
        <v>0</v>
      </c>
      <c r="K212" s="89" t="str">
        <f t="shared" si="116"/>
        <v>4045/4046</v>
      </c>
      <c r="L212" s="21" t="str">
        <f>VLOOKUP(A212,'Trips&amp;Operators'!$C$1:$G$99999,5,FALSE)</f>
        <v>BONDS REYNALDO</v>
      </c>
      <c r="M212" s="6">
        <f t="shared" si="117"/>
        <v>7.1412037068512291E-3</v>
      </c>
      <c r="N212" s="7">
        <f t="shared" si="114"/>
        <v>10.28333333786577</v>
      </c>
      <c r="O212" s="7"/>
      <c r="P212" s="7"/>
      <c r="Q212" s="22"/>
      <c r="R212" s="170"/>
      <c r="S212" s="213">
        <f t="shared" si="115"/>
        <v>1</v>
      </c>
      <c r="T212" s="195" t="str">
        <f t="shared" si="118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19"/>
        <v>https://d0f6bd738d7f1b3e5a7ca70fe4ff75f0.us-east-1.aws.found.io/app/kibana#/discover/Steve-Slow-Train-Analysis-(2080s-and-2083s)?_g=(refreshInterval:(display:Off,pause:!f,section:0,value:0),time:(from:'2017-07-04T02:19:28-0600',mode:absolute,to:'2017-07-04T04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97" t="str">
        <f>IF(AA212&lt;VLOOKUP(AG212,Variables!$AC$3:$AD$8,2,FALSE),"Y","N")</f>
        <v>Y</v>
      </c>
      <c r="X212" s="197">
        <f t="shared" si="113"/>
        <v>1</v>
      </c>
      <c r="Y212" s="197">
        <f t="shared" si="111"/>
        <v>2.3656000000000001</v>
      </c>
      <c r="Z212" s="197">
        <f t="shared" si="112"/>
        <v>1.5599999999999999E-2</v>
      </c>
      <c r="AA212" s="197">
        <f t="shared" si="120"/>
        <v>2.35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21"/>
        <v>302</v>
      </c>
      <c r="AE212" s="77" t="str">
        <f t="shared" si="122"/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AF212" s="74" t="str">
        <f t="shared" si="123"/>
        <v>"C:\Program Files (x86)\AstroGrep\AstroGrep.exe" /e /r /s /spath="%USERPROFILE%\AppData\Local\Temp\OnboardLogs" /stypes="app*4045*20170704*" /stext=" 09:.+((SYSTEM_STATE.+slice.+state.+changed )|(ment ac)|(multiple cpu faults)|(system.+state.+changed )|(\[timeout)|(PRM\|1\|D)|(kpr)|(kdp)|(train st.+moving)|(\|lc)|(penalty))"</v>
      </c>
      <c r="AG212" s="209" t="str">
        <f t="shared" si="124"/>
        <v>Other</v>
      </c>
      <c r="AH212" s="78" t="str">
        <f t="shared" si="92"/>
        <v>"%USERPROFILE%\Documents\GitHub\eaglep3\Utilities\RefineRTDCRunTimes.py" --tripid 302-04 --locoid 4045 --swversion DE.1.0.9.0 --startMP 300:23656 --initTime 2017-07-04T03:19:28 --startdatetime 2017-07-04T03:25:22 --delay 5 --endMP 204:156 --enddatetime 2017-07-04T03:35:39 --enforcementcount 0 &gt;&gt;C:\Users\stu\Documents\GitHub\eaglep3-reporting\EC\2017-07-04-refined-times.txt</v>
      </c>
      <c r="AI212" s="96" t="str">
        <f t="shared" si="93"/>
        <v>echo {"issue":{"subject":"","project_id":79,"tracker_id":40,"status_id":1,"priority_id":2,"assigned_to_id":23,"start_date":"2017-07-04","description":"","custom_fields":[{"id":1,"name":"Subdivision","value":"Other"},{"id":4,"name":"Milepost","value":"0.0156"},{"id":17,"name":"Train ID","value":"302-04"},{"id":16,"name":"Locomotive ID","value":"4045"},{"id":130,"name":"Impact","value":""},{"id":150,"name":"Time of Event (Mountain Time)","value":"03:35:39"},{"id":151,"name":"Denver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4"/>
        <v>start /low /b %USERPROFILE%\Documents\GitHub\eaglep3\Utilities\DownloadLogsFromS3.py --loco 4045 --day 2017-07-04</v>
      </c>
      <c r="AN212" s="151" t="str">
        <f t="shared" si="95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09:35:39"},{"id":29,"name":"Sharepoint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822</v>
      </c>
      <c r="B213" s="7">
        <v>4008</v>
      </c>
      <c r="C213" s="21" t="s">
        <v>202</v>
      </c>
      <c r="D213" s="21" t="s">
        <v>434</v>
      </c>
      <c r="E213" s="13">
        <v>42920.801134259258</v>
      </c>
      <c r="F213" s="13">
        <v>42920.803333333337</v>
      </c>
      <c r="G213" s="7">
        <v>1</v>
      </c>
      <c r="H213" s="21" t="s">
        <v>919</v>
      </c>
      <c r="I213" s="13">
        <v>42920.80909722222</v>
      </c>
      <c r="J213" s="7">
        <v>0</v>
      </c>
      <c r="K213" s="89" t="str">
        <f t="shared" si="116"/>
        <v>4007/4008</v>
      </c>
      <c r="L213" s="21" t="str">
        <f>VLOOKUP(A213,'Trips&amp;Operators'!$C$1:$G$99999,5,FALSE)</f>
        <v>BRANDNER MELINDA</v>
      </c>
      <c r="M213" s="6">
        <f t="shared" si="117"/>
        <v>5.7638888829387724E-3</v>
      </c>
      <c r="N213" s="7">
        <f t="shared" si="114"/>
        <v>8.2999999914318323</v>
      </c>
      <c r="O213" s="7"/>
      <c r="P213" s="7"/>
      <c r="Q213" s="22"/>
      <c r="R213" s="170"/>
      <c r="S213" s="213">
        <f t="shared" si="115"/>
        <v>1</v>
      </c>
      <c r="T213" s="195" t="str">
        <f t="shared" si="118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19"/>
        <v>https://d0f6bd738d7f1b3e5a7ca70fe4ff75f0.us-east-1.aws.found.io/app/kibana#/discover/Steve-Slow-Train-Analysis-(2080s-and-2083s)?_g=(refreshInterval:(display:Off,pause:!f,section:0,value:0),time:(from:'2017-07-04T18:13:38-0600',mode:absolute,to:'2017-07-04T20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113"/>
        <v>1</v>
      </c>
      <c r="Y213" s="197">
        <f t="shared" si="111"/>
        <v>4.6699999999999998E-2</v>
      </c>
      <c r="Z213" s="197">
        <f t="shared" si="112"/>
        <v>2.3010999999999999</v>
      </c>
      <c r="AA213" s="197">
        <f t="shared" si="120"/>
        <v>2.2544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21"/>
        <v>303</v>
      </c>
      <c r="AE213" s="77" t="str">
        <f t="shared" si="122"/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AF213" s="74" t="str">
        <f t="shared" si="123"/>
        <v>"C:\Program Files (x86)\AstroGrep\AstroGrep.exe" /e /r /s /spath="%USERPROFILE%\AppData\Local\Temp\OnboardLogs" /stypes="app*4008*20170705*" /stext=" 01:.+((SYSTEM_STATE.+slice.+state.+changed )|(ment ac)|(multiple cpu faults)|(system.+state.+changed )|(\[timeout)|(PRM\|1\|D)|(kpr)|(kdp)|(train st.+moving)|(\|lc)|(penalty))"</v>
      </c>
      <c r="AG213" s="209" t="str">
        <f t="shared" si="124"/>
        <v>Other</v>
      </c>
      <c r="AH213" s="78" t="str">
        <f t="shared" ref="AH213:AH243" si="125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303-04 --locoid 4008 --swversion DE.1.0.9.0 --startMP 204:467 --initTime 2017-07-04T19:13:38 --startdatetime 2017-07-04T19:16:48 --delay 1 --endMP 300:23011 --enddatetime 2017-07-04T19:25:06 --enforcementcount 0 &gt;&gt;C:\Users\stu\Documents\GitHub\eaglep3-reporting\EC\2017-07-04-refined-times.txt</v>
      </c>
      <c r="AI213" s="96" t="str">
        <f t="shared" ref="AI213:AI243" si="126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{"issue":{"subject":"","project_id":79,"tracker_id":40,"status_id":1,"priority_id":2,"assigned_to_id":23,"start_date":"2017-07-04","description":"","custom_fields":[{"id":1,"name":"Subdivision","value":"Other"},{"id":4,"name":"Milepost","value":"2.3011"},{"id":17,"name":"Train ID","value":"303-04"},{"id":16,"name":"Locomotive ID","value":"4008"},{"id":130,"name":"Impact","value":""},{"id":150,"name":"Time of Event (Mountain Time)","value":"19:25:06"},{"id":151,"name":"Denver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ref="AM213:AM243" si="127">"start /low /b "&amp;dls3logs&amp;" --loco "&amp;B213&amp;" --day "&amp;TEXT(F213,"YYYY-MM-DD")</f>
        <v>start /low /b %USERPROFILE%\Documents\GitHub\eaglep3\Utilities\DownloadLogsFromS3.py --loco 4008 --day 2017-07-04</v>
      </c>
      <c r="AN213" s="151" t="str">
        <f t="shared" ref="AN213:AN243" si="128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662</v>
      </c>
      <c r="B214" s="7">
        <v>4025</v>
      </c>
      <c r="C214" s="21" t="s">
        <v>202</v>
      </c>
      <c r="D214" s="21" t="s">
        <v>920</v>
      </c>
      <c r="E214" s="13">
        <v>42920.158738425926</v>
      </c>
      <c r="F214" s="13">
        <v>42920.162962962961</v>
      </c>
      <c r="G214" s="7">
        <v>6</v>
      </c>
      <c r="H214" s="21" t="s">
        <v>358</v>
      </c>
      <c r="I214" s="13">
        <v>42920.168009259258</v>
      </c>
      <c r="J214" s="7">
        <v>0</v>
      </c>
      <c r="K214" s="89" t="str">
        <f t="shared" si="116"/>
        <v>4025/4026</v>
      </c>
      <c r="L214" s="21" t="str">
        <f>VLOOKUP(A214,'Trips&amp;Operators'!$C$1:$G$99999,5,FALSE)</f>
        <v>MAELZER KURT</v>
      </c>
      <c r="M214" s="6">
        <f t="shared" si="117"/>
        <v>5.0462962972233072E-3</v>
      </c>
      <c r="N214" s="7">
        <f t="shared" si="114"/>
        <v>7.2666666680015624</v>
      </c>
      <c r="O214" s="7"/>
      <c r="P214" s="7"/>
      <c r="Q214" s="22"/>
      <c r="R214" s="170"/>
      <c r="S214" s="213">
        <f t="shared" si="115"/>
        <v>1</v>
      </c>
      <c r="T214" s="195" t="str">
        <f t="shared" si="118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19"/>
        <v>https://d0f6bd738d7f1b3e5a7ca70fe4ff75f0.us-east-1.aws.found.io/app/kibana#/discover/Steve-Slow-Train-Analysis-(2080s-and-2083s)?_g=(refreshInterval:(display:Off,pause:!f,section:0,value:0),time:(from:'2017-07-04T02:48:35-0600',mode:absolute,to:'2017-07-04T05:01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197" t="str">
        <f>IF(AA214&lt;VLOOKUP(AG214,Variables!$AC$3:$AD$8,2,FALSE),"Y","N")</f>
        <v>Y</v>
      </c>
      <c r="X214" s="197">
        <f t="shared" si="113"/>
        <v>1</v>
      </c>
      <c r="Y214" s="197">
        <f t="shared" si="111"/>
        <v>1.9498</v>
      </c>
      <c r="Z214" s="197">
        <f t="shared" si="112"/>
        <v>1.41E-2</v>
      </c>
      <c r="AA214" s="197">
        <f t="shared" si="120"/>
        <v>1.9357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21"/>
        <v>304</v>
      </c>
      <c r="AE214" s="77" t="str">
        <f t="shared" si="122"/>
        <v>aws s3 cp s3://rtdc.mdm.uploadarchive.raw/RTDC4025/ "%USERPROFILE%\AppData\Local\Temp\OnboardLogs"\RTDC4025\2017-07-04 --exclude "*" --recursive --include "*20170704*" &amp; "%USERPROFILE%\Documents\GitHub\mrs-test-scripts\Headless Mode &amp; Sideloading\WalkAndUnGZ.bat" "%USERPROFILE%\AppData\Local\Temp\OnboardLogs"\RTDC4025\2017-07-04 &amp; 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</v>
      </c>
      <c r="AF214" s="74" t="str">
        <f t="shared" si="123"/>
        <v>"C:\Program Files (x86)\AstroGrep\AstroGrep.exe" /e /r /s /spath="%USERPROFILE%\AppData\Local\Temp\OnboardLogs" /stypes="app*4025*20170704*" /stext=" 10:.+((SYSTEM_STATE.+slice.+state.+changed )|(ment ac)|(multiple cpu faults)|(system.+state.+changed )|(\[timeout)|(PRM\|1\|D)|(kpr)|(kdp)|(train st.+moving)|(\|lc)|(penalty))"</v>
      </c>
      <c r="AG214" s="209" t="str">
        <f t="shared" si="124"/>
        <v>Other</v>
      </c>
      <c r="AH214" s="78" t="str">
        <f t="shared" si="125"/>
        <v>"%USERPROFILE%\Documents\GitHub\eaglep3\Utilities\RefineRTDCRunTimes.py" --tripid 304-04 --locoid 4025 --swversion DE.1.0.9.0 --startMP 300:19498 --initTime 2017-07-04T03:48:35 --startdatetime 2017-07-04T03:54:40 --delay 6 --endMP 204:141 --enddatetime 2017-07-04T04:01:56 --enforcementcount 0 &gt;&gt;C:\Users\stu\Documents\GitHub\eaglep3-reporting\EC\2017-07-04-refined-times.txt</v>
      </c>
      <c r="AI214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{"issue":{"subject":"","project_id":79,"tracker_id":40,"status_id":1,"priority_id":2,"assigned_to_id":23,"start_date":"2017-07-04","description":"","custom_fields":[{"id":1,"name":"Subdivision","value":"Other"},{"id":4,"name":"Milepost","value":"0.0141"},{"id":17,"name":"Train ID","value":"304-04"},{"id":16,"name":"Locomotive ID","value":"4025"},{"id":130,"name":"Impact","value":""},{"id":150,"name":"Time of Event (Mountain Time)","value":"04:01:56"},{"id":151,"name":"Denver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27"/>
        <v>start /low /b %USERPROFILE%\Documents\GitHub\eaglep3\Utilities\DownloadLogsFromS3.py --loco 4025 --day 2017-07-04</v>
      </c>
      <c r="AN214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10:01:56"},{"id":29,"name":"Sharepoint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827</v>
      </c>
      <c r="B215" s="7">
        <v>4012</v>
      </c>
      <c r="C215" s="21" t="s">
        <v>202</v>
      </c>
      <c r="D215" s="21" t="s">
        <v>587</v>
      </c>
      <c r="E215" s="13">
        <v>42920.81994212963</v>
      </c>
      <c r="F215" s="13">
        <v>42920.82135416667</v>
      </c>
      <c r="G215" s="7">
        <v>1</v>
      </c>
      <c r="H215" s="21" t="s">
        <v>353</v>
      </c>
      <c r="I215" s="13">
        <v>42920.82739583333</v>
      </c>
      <c r="J215" s="7">
        <v>0</v>
      </c>
      <c r="K215" s="89" t="str">
        <f t="shared" si="116"/>
        <v>4011/4012</v>
      </c>
      <c r="L215" s="21" t="str">
        <f>VLOOKUP(A215,'Trips&amp;Operators'!$C$1:$G$99999,5,FALSE)</f>
        <v>MOSES BRADLEY</v>
      </c>
      <c r="M215" s="6">
        <f t="shared" si="117"/>
        <v>6.0416666601668112E-3</v>
      </c>
      <c r="N215" s="7">
        <f t="shared" si="114"/>
        <v>8.6999999906402081</v>
      </c>
      <c r="O215" s="7"/>
      <c r="P215" s="7"/>
      <c r="Q215" s="22"/>
      <c r="R215" s="170"/>
      <c r="S215" s="213">
        <f t="shared" si="115"/>
        <v>1</v>
      </c>
      <c r="T215" s="195" t="str">
        <f t="shared" si="118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19"/>
        <v>https://d0f6bd738d7f1b3e5a7ca70fe4ff75f0.us-east-1.aws.found.io/app/kibana#/discover/Steve-Slow-Train-Analysis-(2080s-and-2083s)?_g=(refreshInterval:(display:Off,pause:!f,section:0,value:0),time:(from:'2017-07-04T18:40:43-0600',mode:absolute,to:'2017-07-04T20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197" t="str">
        <f>IF(AA215&lt;VLOOKUP(AG215,Variables!$AC$3:$AD$8,2,FALSE),"Y","N")</f>
        <v>Y</v>
      </c>
      <c r="X215" s="197">
        <f t="shared" si="113"/>
        <v>1</v>
      </c>
      <c r="Y215" s="197">
        <f t="shared" si="111"/>
        <v>5.8200000000000002E-2</v>
      </c>
      <c r="Z215" s="197">
        <f t="shared" si="112"/>
        <v>2.3346</v>
      </c>
      <c r="AA215" s="197">
        <f t="shared" si="120"/>
        <v>2.2764000000000002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21"/>
        <v>305</v>
      </c>
      <c r="AE215" s="77" t="str">
        <f t="shared" si="122"/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AF215" s="74" t="str">
        <f t="shared" si="123"/>
        <v>"C:\Program Files (x86)\AstroGrep\AstroGrep.exe" /e /r /s /spath="%USERPROFILE%\AppData\Local\Temp\OnboardLogs" /stypes="app*4012*20170705*" /stext=" 01:.+((SYSTEM_STATE.+slice.+state.+changed )|(ment ac)|(multiple cpu faults)|(system.+state.+changed )|(\[timeout)|(PRM\|1\|D)|(kpr)|(kdp)|(train st.+moving)|(\|lc)|(penalty))"</v>
      </c>
      <c r="AG215" s="209" t="str">
        <f t="shared" si="124"/>
        <v>Other</v>
      </c>
      <c r="AH215" s="78" t="str">
        <f t="shared" si="125"/>
        <v>"%USERPROFILE%\Documents\GitHub\eaglep3\Utilities\RefineRTDCRunTimes.py" --tripid 305-04 --locoid 4012 --swversion DE.1.0.9.0 --startMP 204:582 --initTime 2017-07-04T19:40:43 --startdatetime 2017-07-04T19:42:45 --delay 1 --endMP 300:23346 --enddatetime 2017-07-04T19:51:27 --enforcementcount 0 &gt;&gt;C:\Users\stu\Documents\GitHub\eaglep3-reporting\EC\2017-07-04-refined-times.txt</v>
      </c>
      <c r="AI215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{"issue":{"subject":"","project_id":79,"tracker_id":40,"status_id":1,"priority_id":2,"assigned_to_id":23,"start_date":"2017-07-04","description":"","custom_fields":[{"id":1,"name":"Subdivision","value":"Other"},{"id":4,"name":"Milepost","value":"2.3346"},{"id":17,"name":"Train ID","value":"305-04"},{"id":16,"name":"Locomotive ID","value":"4012"},{"id":130,"name":"Impact","value":""},{"id":150,"name":"Time of Event (Mountain Time)","value":"19:51:27"},{"id":151,"name":"Denver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27"/>
        <v>start /low /b %USERPROFILE%\Documents\GitHub\eaglep3\Utilities\DownloadLogsFromS3.py --loco 4012 --day 2017-07-04</v>
      </c>
      <c r="AN215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664</v>
      </c>
      <c r="B216" s="7">
        <v>4049</v>
      </c>
      <c r="C216" s="21" t="s">
        <v>202</v>
      </c>
      <c r="D216" s="21" t="s">
        <v>921</v>
      </c>
      <c r="E216" s="13">
        <v>42920.172812500001</v>
      </c>
      <c r="F216" s="13">
        <v>42920.17628472222</v>
      </c>
      <c r="G216" s="7">
        <v>4</v>
      </c>
      <c r="H216" s="21" t="s">
        <v>394</v>
      </c>
      <c r="I216" s="13">
        <v>42920.182118055556</v>
      </c>
      <c r="J216" s="7">
        <v>0</v>
      </c>
      <c r="K216" s="89" t="str">
        <f t="shared" si="116"/>
        <v>4049/4050</v>
      </c>
      <c r="L216" s="21" t="str">
        <f>VLOOKUP(A216,'Trips&amp;Operators'!$C$1:$G$99999,5,FALSE)</f>
        <v>HUFFSMITH MONTY</v>
      </c>
      <c r="M216" s="6">
        <f t="shared" si="117"/>
        <v>5.8333333363407291E-3</v>
      </c>
      <c r="N216" s="7">
        <f t="shared" si="114"/>
        <v>8.40000000433065</v>
      </c>
      <c r="O216" s="7"/>
      <c r="P216" s="7"/>
      <c r="Q216" s="22"/>
      <c r="R216" s="170"/>
      <c r="S216" s="213">
        <f t="shared" si="115"/>
        <v>1</v>
      </c>
      <c r="T216" s="195" t="str">
        <f t="shared" si="118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19"/>
        <v>https://d0f6bd738d7f1b3e5a7ca70fe4ff75f0.us-east-1.aws.found.io/app/kibana#/discover/Steve-Slow-Train-Analysis-(2080s-and-2083s)?_g=(refreshInterval:(display:Off,pause:!f,section:0,value:0),time:(from:'2017-07-04T03:08:51-0600',mode:absolute,to:'2017-07-04T05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97" t="str">
        <f>IF(AA216&lt;VLOOKUP(AG216,Variables!$AC$3:$AD$8,2,FALSE),"Y","N")</f>
        <v>Y</v>
      </c>
      <c r="X216" s="197">
        <f t="shared" si="113"/>
        <v>1</v>
      </c>
      <c r="Y216" s="197">
        <f t="shared" ref="Y216:Y244" si="129">RIGHT(D216,LEN(D216)-4)/10000</f>
        <v>2.3226</v>
      </c>
      <c r="Z216" s="197">
        <f t="shared" ref="Z216:Z244" si="130">RIGHT(H216,LEN(H216)-4)/10000</f>
        <v>1.54E-2</v>
      </c>
      <c r="AA216" s="197">
        <f t="shared" si="120"/>
        <v>2.3071999999999999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21"/>
        <v>306</v>
      </c>
      <c r="AE216" s="77" t="str">
        <f t="shared" si="122"/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AF216" s="74" t="str">
        <f t="shared" si="123"/>
        <v>"C:\Program Files (x86)\AstroGrep\AstroGrep.exe" /e /r /s /spath="%USERPROFILE%\AppData\Local\Temp\OnboardLogs" /stypes="app*4049*20170704*" /stext=" 10:.+((SYSTEM_STATE.+slice.+state.+changed )|(ment ac)|(multiple cpu faults)|(system.+state.+changed )|(\[timeout)|(PRM\|1\|D)|(kpr)|(kdp)|(train st.+moving)|(\|lc)|(penalty))"</v>
      </c>
      <c r="AG216" s="209" t="str">
        <f t="shared" si="124"/>
        <v>Other</v>
      </c>
      <c r="AH216" s="78" t="str">
        <f t="shared" si="125"/>
        <v>"%USERPROFILE%\Documents\GitHub\eaglep3\Utilities\RefineRTDCRunTimes.py" --tripid 306-04 --locoid 4049 --swversion DE.1.0.9.0 --startMP 300:23226 --initTime 2017-07-04T04:08:51 --startdatetime 2017-07-04T04:13:51 --delay 4 --endMP 204:154 --enddatetime 2017-07-04T04:22:15 --enforcementcount 0 &gt;&gt;C:\Users\stu\Documents\GitHub\eaglep3-reporting\EC\2017-07-04-refined-times.txt</v>
      </c>
      <c r="AI216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{"issue":{"subject":"","project_id":79,"tracker_id":40,"status_id":1,"priority_id":2,"assigned_to_id":23,"start_date":"2017-07-04","description":"","custom_fields":[{"id":1,"name":"Subdivision","value":"Other"},{"id":4,"name":"Milepost","value":"0.0154"},{"id":17,"name":"Train ID","value":"306-04"},{"id":16,"name":"Locomotive ID","value":"4049"},{"id":130,"name":"Impact","value":""},{"id":150,"name":"Time of Event (Mountain Time)","value":"04:22:15"},{"id":151,"name":"Denver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27"/>
        <v>start /low /b %USERPROFILE%\Documents\GitHub\eaglep3\Utilities\DownloadLogsFromS3.py --loco 4049 --day 2017-07-04</v>
      </c>
      <c r="AN216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858</v>
      </c>
      <c r="B217" s="7">
        <v>4044</v>
      </c>
      <c r="C217" s="21" t="s">
        <v>202</v>
      </c>
      <c r="D217" s="21" t="s">
        <v>922</v>
      </c>
      <c r="E217" s="13">
        <v>42921.029247685183</v>
      </c>
      <c r="F217" s="13">
        <v>42921.030543981484</v>
      </c>
      <c r="G217" s="7">
        <v>1</v>
      </c>
      <c r="H217" s="21" t="s">
        <v>534</v>
      </c>
      <c r="I217" s="13">
        <v>42921.038356481484</v>
      </c>
      <c r="J217" s="7">
        <v>0</v>
      </c>
      <c r="K217" s="89" t="str">
        <f t="shared" si="116"/>
        <v>4043/4044</v>
      </c>
      <c r="L217" s="21" t="str">
        <f>VLOOKUP(A217,'Trips&amp;Operators'!$C$1:$G$99999,5,FALSE)</f>
        <v>HAITHCOX MICHAEL</v>
      </c>
      <c r="M217" s="6">
        <f t="shared" si="117"/>
        <v>7.8125E-3</v>
      </c>
      <c r="N217" s="7">
        <f t="shared" si="114"/>
        <v>11.25</v>
      </c>
      <c r="O217" s="7"/>
      <c r="P217" s="7"/>
      <c r="Q217" s="22"/>
      <c r="R217" s="170"/>
      <c r="S217" s="213">
        <f t="shared" si="115"/>
        <v>1</v>
      </c>
      <c r="T217" s="195" t="str">
        <f t="shared" si="11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19"/>
        <v>https://d0f6bd738d7f1b3e5a7ca70fe4ff75f0.us-east-1.aws.found.io/app/kibana#/discover/Steve-Slow-Train-Analysis-(2080s-and-2083s)?_g=(refreshInterval:(display:Off,pause:!f,section:0,value:0),time:(from:'2017-07-04T23:42:07-0600',mode:absolute,to:'2017-07-05T01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7" s="197" t="str">
        <f>IF(AA217&lt;VLOOKUP(AG217,Variables!$AC$3:$AD$8,2,FALSE),"Y","N")</f>
        <v>Y</v>
      </c>
      <c r="X217" s="197">
        <f t="shared" si="113"/>
        <v>1</v>
      </c>
      <c r="Y217" s="197">
        <f t="shared" si="129"/>
        <v>4.9099999999999998E-2</v>
      </c>
      <c r="Z217" s="197">
        <f t="shared" si="130"/>
        <v>2.3304</v>
      </c>
      <c r="AA217" s="197">
        <f t="shared" si="120"/>
        <v>2.2812999999999999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21"/>
        <v>307</v>
      </c>
      <c r="AE217" s="77" t="str">
        <f t="shared" si="122"/>
        <v>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 &amp; 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</v>
      </c>
      <c r="AF217" s="74" t="str">
        <f t="shared" si="123"/>
        <v>"C:\Program Files (x86)\AstroGrep\AstroGrep.exe" /e /r /s /spath="%USERPROFILE%\AppData\Local\Temp\OnboardLogs" /stypes="app*4044*20170705*" /stext=" 06:.+((SYSTEM_STATE.+slice.+state.+changed )|(ment ac)|(multiple cpu faults)|(system.+state.+changed )|(\[timeout)|(PRM\|1\|D)|(kpr)|(kdp)|(train st.+moving)|(\|lc)|(penalty))"</v>
      </c>
      <c r="AG217" s="209" t="str">
        <f t="shared" si="124"/>
        <v>Other</v>
      </c>
      <c r="AH217" s="78" t="str">
        <f t="shared" si="125"/>
        <v>"%USERPROFILE%\Documents\GitHub\eaglep3\Utilities\RefineRTDCRunTimes.py" --tripid 307-04 --locoid 4044 --swversion DE.1.0.9.0 --startMP 204:491 --initTime 2017-07-05T00:42:07 --startdatetime 2017-07-05T00:43:59 --delay 1 --endMP 300:23304 --enddatetime 2017-07-05T00:55:14 --enforcementcount 0 &gt;&gt;C:\Users\stu\Documents\GitHub\eaglep3-reporting\EC\2017-07-04-refined-times.txt</v>
      </c>
      <c r="AI217" s="96" t="str">
        <f t="shared" si="126"/>
        <v>echo {"issue":{"subject":"","project_id":79,"tracker_id":40,"status_id":1,"priority_id":2,"assigned_to_id":23,"start_date":"2017-07-05","description":"","custom_fields":[{"id":1,"name":"Subdivision","value":"Other"},{"id":4,"name":"Milepost","value":"2.3304"},{"id":17,"name":"Train ID","value":"307-04"},{"id":16,"name":"Locomotive ID","value":"4044"},{"id":130,"name":"Impact","value":""},{"id":150,"name":"Time of Event (Mountain Time)","value":"00:55:14"},{"id":151,"name":"Denver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27"/>
        <v>start /low /b %USERPROFILE%\Documents\GitHub\eaglep3\Utilities\DownloadLogsFromS3.py --loco 4044 --day 2017-07-05</v>
      </c>
      <c r="AN217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667</v>
      </c>
      <c r="B218" s="7">
        <v>4063</v>
      </c>
      <c r="C218" s="21" t="s">
        <v>202</v>
      </c>
      <c r="D218" s="21" t="s">
        <v>923</v>
      </c>
      <c r="E218" s="13">
        <v>42920.180613425924</v>
      </c>
      <c r="F218" s="13">
        <v>42920.184074074074</v>
      </c>
      <c r="G218" s="7">
        <v>4</v>
      </c>
      <c r="H218" s="21" t="s">
        <v>435</v>
      </c>
      <c r="I218" s="13">
        <v>42920.191041666665</v>
      </c>
      <c r="J218" s="7">
        <v>0</v>
      </c>
      <c r="K218" s="89" t="str">
        <f t="shared" si="116"/>
        <v>4063/4064</v>
      </c>
      <c r="L218" s="21" t="str">
        <f>VLOOKUP(A218,'Trips&amp;Operators'!$C$1:$G$99999,5,FALSE)</f>
        <v>MACDONALD THOMAS</v>
      </c>
      <c r="M218" s="6">
        <f t="shared" si="117"/>
        <v>6.9675925915362313E-3</v>
      </c>
      <c r="N218" s="7">
        <f t="shared" si="114"/>
        <v>10.033333331812173</v>
      </c>
      <c r="O218" s="7"/>
      <c r="P218" s="7"/>
      <c r="Q218" s="22"/>
      <c r="R218" s="170"/>
      <c r="S218" s="213">
        <f t="shared" si="115"/>
        <v>1</v>
      </c>
      <c r="T218" s="195" t="str">
        <f t="shared" si="118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19"/>
        <v>https://d0f6bd738d7f1b3e5a7ca70fe4ff75f0.us-east-1.aws.found.io/app/kibana#/discover/Steve-Slow-Train-Analysis-(2080s-and-2083s)?_g=(refreshInterval:(display:Off,pause:!f,section:0,value:0),time:(from:'2017-07-04T03:20:05-0600',mode:absolute,to:'2017-07-04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8" s="197" t="str">
        <f>IF(AA218&lt;VLOOKUP(AG218,Variables!$AC$3:$AD$8,2,FALSE),"Y","N")</f>
        <v>Y</v>
      </c>
      <c r="X218" s="197">
        <f t="shared" si="113"/>
        <v>1</v>
      </c>
      <c r="Y218" s="197">
        <f t="shared" si="129"/>
        <v>2.3502000000000001</v>
      </c>
      <c r="Z218" s="197">
        <f t="shared" si="130"/>
        <v>1.5599999999999999E-2</v>
      </c>
      <c r="AA218" s="197">
        <f t="shared" si="120"/>
        <v>2.3346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21"/>
        <v>308</v>
      </c>
      <c r="AE218" s="77" t="str">
        <f t="shared" si="122"/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AF218" s="74" t="str">
        <f t="shared" si="123"/>
        <v>"C:\Program Files (x86)\AstroGrep\AstroGrep.exe" /e /r /s /spath="%USERPROFILE%\AppData\Local\Temp\OnboardLogs" /stypes="app*4063*20170704*" /stext=" 10:.+((SYSTEM_STATE.+slice.+state.+changed )|(ment ac)|(multiple cpu faults)|(system.+state.+changed )|(\[timeout)|(PRM\|1\|D)|(kpr)|(kdp)|(train st.+moving)|(\|lc)|(penalty))"</v>
      </c>
      <c r="AG218" s="209" t="str">
        <f t="shared" si="124"/>
        <v>Other</v>
      </c>
      <c r="AH218" s="78" t="str">
        <f t="shared" si="125"/>
        <v>"%USERPROFILE%\Documents\GitHub\eaglep3\Utilities\RefineRTDCRunTimes.py" --tripid 308-04 --locoid 4063 --swversion DE.1.0.9.0 --startMP 300:23502 --initTime 2017-07-04T04:20:05 --startdatetime 2017-07-04T04:25:04 --delay 4 --endMP 204:156 --enddatetime 2017-07-04T04:35:06 --enforcementcount 0 &gt;&gt;C:\Users\stu\Documents\GitHub\eaglep3-reporting\EC\2017-07-04-refined-times.txt</v>
      </c>
      <c r="AI218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{"issue":{"subject":"","project_id":79,"tracker_id":40,"status_id":1,"priority_id":2,"assigned_to_id":23,"start_date":"2017-07-04","description":"","custom_fields":[{"id":1,"name":"Subdivision","value":"Other"},{"id":4,"name":"Milepost","value":"0.0156"},{"id":17,"name":"Train ID","value":"308-04"},{"id":16,"name":"Locomotive ID","value":"4063"},{"id":130,"name":"Impact","value":""},{"id":150,"name":"Time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27"/>
        <v>start /low /b %USERPROFILE%\Documents\GitHub\eaglep3\Utilities\DownloadLogsFromS3.py --loco 4063 --day 2017-07-04</v>
      </c>
      <c r="AN218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860</v>
      </c>
      <c r="B219" s="7">
        <v>4046</v>
      </c>
      <c r="C219" s="21" t="s">
        <v>202</v>
      </c>
      <c r="D219" s="21" t="s">
        <v>441</v>
      </c>
      <c r="E219" s="13">
        <v>42921.05091435185</v>
      </c>
      <c r="F219" s="13">
        <v>42921.053043981483</v>
      </c>
      <c r="G219" s="7">
        <v>1</v>
      </c>
      <c r="H219" s="21" t="s">
        <v>534</v>
      </c>
      <c r="I219" s="13">
        <v>42921.063530092593</v>
      </c>
      <c r="J219" s="7">
        <v>0</v>
      </c>
      <c r="K219" s="89" t="str">
        <f t="shared" si="116"/>
        <v>4045/4046</v>
      </c>
      <c r="L219" s="21" t="str">
        <f>VLOOKUP(A219,'Trips&amp;Operators'!$C$1:$G$99999,5,FALSE)</f>
        <v>SMITH MICHAEL</v>
      </c>
      <c r="M219" s="6">
        <f t="shared" si="117"/>
        <v>1.0486111110367347E-2</v>
      </c>
      <c r="N219" s="7">
        <f t="shared" si="114"/>
        <v>15.099999998928979</v>
      </c>
      <c r="O219" s="7"/>
      <c r="P219" s="7"/>
      <c r="Q219" s="22"/>
      <c r="R219" s="170"/>
      <c r="S219" s="213">
        <f t="shared" si="115"/>
        <v>1</v>
      </c>
      <c r="T219" s="195" t="str">
        <f t="shared" si="118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19"/>
        <v>https://d0f6bd738d7f1b3e5a7ca70fe4ff75f0.us-east-1.aws.found.io/app/kibana#/discover/Steve-Slow-Train-Analysis-(2080s-and-2083s)?_g=(refreshInterval:(display:Off,pause:!f,section:0,value:0),time:(from:'2017-07-05T00:13:19-0600',mode:absolute,to:'2017-07-05T02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ref="X219:X243" si="131">VALUE(LEFT(AD219,4))-VALUE(LEFT(AD218,4))</f>
        <v>1</v>
      </c>
      <c r="Y219" s="197">
        <f t="shared" si="129"/>
        <v>4.6899999999999997E-2</v>
      </c>
      <c r="Z219" s="197">
        <f t="shared" si="130"/>
        <v>2.3304</v>
      </c>
      <c r="AA219" s="197">
        <f t="shared" si="120"/>
        <v>2.2835000000000001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21"/>
        <v>309</v>
      </c>
      <c r="AE219" s="77" t="str">
        <f t="shared" si="122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19" s="74" t="str">
        <f t="shared" si="123"/>
        <v>"C:\Program Files (x86)\AstroGrep\AstroGrep.exe" /e /r /s /spath="%USERPROFILE%\AppData\Local\Temp\OnboardLogs" /stypes="app*4046*20170705*" /stext=" 07:.+((SYSTEM_STATE.+slice.+state.+changed )|(ment ac)|(multiple cpu faults)|(system.+state.+changed )|(\[timeout)|(PRM\|1\|D)|(kpr)|(kdp)|(train st.+moving)|(\|lc)|(penalty))"</v>
      </c>
      <c r="AG219" s="209" t="str">
        <f t="shared" si="124"/>
        <v>Other</v>
      </c>
      <c r="AH219" s="78" t="str">
        <f t="shared" si="125"/>
        <v>"%USERPROFILE%\Documents\GitHub\eaglep3\Utilities\RefineRTDCRunTimes.py" --tripid 309-04 --locoid 4046 --swversion DE.1.0.9.0 --startMP 204:469 --initTime 2017-07-05T01:13:19 --startdatetime 2017-07-05T01:16:23 --delay 1 --endMP 300:23304 --enddatetime 2017-07-05T01:31:29 --enforcementcount 0 &gt;&gt;C:\Users\stu\Documents\GitHub\eaglep3-reporting\EC\2017-07-04-refined-times.txt</v>
      </c>
      <c r="AI219" s="96" t="str">
        <f t="shared" si="126"/>
        <v>echo {"issue":{"subject":"","project_id":79,"tracker_id":40,"status_id":1,"priority_id":2,"assigned_to_id":23,"start_date":"2017-07-05","description":"","custom_fields":[{"id":1,"name":"Subdivision","value":"Other"},{"id":4,"name":"Milepost","value":"2.3304"},{"id":17,"name":"Train ID","value":"309-04"},{"id":16,"name":"Locomotive ID","value":"4046"},{"id":130,"name":"Impact","value":""},{"id":150,"name":"Time of Event (Mountain Time)","value":"01:31:29"},{"id":151,"name":"Denver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27"/>
        <v>start /low /b %USERPROFILE%\Documents\GitHub\eaglep3\Utilities\DownloadLogsFromS3.py --loco 4046 --day 2017-07-05</v>
      </c>
      <c r="AN219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07:31:29"},{"id":29,"name":"Sharepoint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674</v>
      </c>
      <c r="B220" s="7">
        <v>4007</v>
      </c>
      <c r="C220" s="21" t="s">
        <v>202</v>
      </c>
      <c r="D220" s="21" t="s">
        <v>924</v>
      </c>
      <c r="E220" s="13">
        <v>42920.205682870372</v>
      </c>
      <c r="F220" s="13">
        <v>42920.208495370367</v>
      </c>
      <c r="G220" s="7">
        <v>3</v>
      </c>
      <c r="H220" s="21" t="s">
        <v>503</v>
      </c>
      <c r="I220" s="13">
        <v>42920.213576388887</v>
      </c>
      <c r="J220" s="7">
        <v>0</v>
      </c>
      <c r="K220" s="89" t="str">
        <f t="shared" si="116"/>
        <v>4007/4008</v>
      </c>
      <c r="L220" s="21" t="str">
        <f>VLOOKUP(A220,'Trips&amp;Operators'!$C$1:$G$99999,5,FALSE)</f>
        <v>LOZA FIDEL</v>
      </c>
      <c r="M220" s="6">
        <f t="shared" si="117"/>
        <v>5.0810185202863067E-3</v>
      </c>
      <c r="N220" s="7">
        <f t="shared" si="114"/>
        <v>7.3166666692122817</v>
      </c>
      <c r="O220" s="7"/>
      <c r="P220" s="7"/>
      <c r="Q220" s="22"/>
      <c r="R220" s="170"/>
      <c r="S220" s="213">
        <f t="shared" si="115"/>
        <v>1</v>
      </c>
      <c r="T220" s="195" t="str">
        <f t="shared" si="118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119"/>
        <v>https://d0f6bd738d7f1b3e5a7ca70fe4ff75f0.us-east-1.aws.found.io/app/kibana#/discover/Steve-Slow-Train-Analysis-(2080s-and-2083s)?_g=(refreshInterval:(display:Off,pause:!f,section:0,value:0),time:(from:'2017-07-04T03:56:11-0600',mode:absolute,to:'2017-07-04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197" t="str">
        <f>IF(AA220&lt;VLOOKUP(AG220,Variables!$AC$3:$AD$8,2,FALSE),"Y","N")</f>
        <v>Y</v>
      </c>
      <c r="X220" s="197">
        <f t="shared" si="131"/>
        <v>1</v>
      </c>
      <c r="Y220" s="197">
        <f t="shared" si="129"/>
        <v>2.3239000000000001</v>
      </c>
      <c r="Z220" s="197">
        <f t="shared" si="130"/>
        <v>1.3599999999999999E-2</v>
      </c>
      <c r="AA220" s="197">
        <f t="shared" si="120"/>
        <v>2.3103000000000002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21"/>
        <v>310</v>
      </c>
      <c r="AE220" s="77" t="str">
        <f t="shared" si="122"/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AF220" s="74" t="str">
        <f t="shared" si="123"/>
        <v>"C:\Program Files (x86)\AstroGrep\AstroGrep.exe" /e /r /s /spath="%USERPROFILE%\AppData\Local\Temp\OnboardLogs" /stypes="app*4007*20170704*" /stext=" 11:.+((SYSTEM_STATE.+slice.+state.+changed )|(ment ac)|(multiple cpu faults)|(system.+state.+changed )|(\[timeout)|(PRM\|1\|D)|(kpr)|(kdp)|(train st.+moving)|(\|lc)|(penalty))"</v>
      </c>
      <c r="AG220" s="209" t="str">
        <f t="shared" si="124"/>
        <v>Other</v>
      </c>
      <c r="AH220" s="78" t="str">
        <f t="shared" si="125"/>
        <v>"%USERPROFILE%\Documents\GitHub\eaglep3\Utilities\RefineRTDCRunTimes.py" --tripid 310-04 --locoid 4007 --swversion DE.1.0.9.0 --startMP 300:23239 --initTime 2017-07-04T04:56:11 --startdatetime 2017-07-04T05:00:14 --delay 3 --endMP 204:136 --enddatetime 2017-07-04T05:07:33 --enforcementcount 0 &gt;&gt;C:\Users\stu\Documents\GitHub\eaglep3-reporting\EC\2017-07-04-refined-times.txt</v>
      </c>
      <c r="AI220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{"issue":{"subject":"","project_id":79,"tracker_id":40,"status_id":1,"priority_id":2,"assigned_to_id":23,"start_date":"2017-07-04","description":"","custom_fields":[{"id":1,"name":"Subdivision","value":"Other"},{"id":4,"name":"Milepost","value":"0.0136"},{"id":17,"name":"Train ID","value":"310-04"},{"id":16,"name":"Locomotive ID","value":"4007"},{"id":130,"name":"Impact","value":""},{"id":150,"name":"Time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27"/>
        <v>start /low /b %USERPROFILE%\Documents\GitHub\eaglep3\Utilities\DownloadLogsFromS3.py --loco 4007 --day 2017-07-04</v>
      </c>
      <c r="AN220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862</v>
      </c>
      <c r="B221" s="7">
        <v>4024</v>
      </c>
      <c r="C221" s="21" t="s">
        <v>202</v>
      </c>
      <c r="D221" s="21" t="s">
        <v>352</v>
      </c>
      <c r="E221" s="13">
        <v>42921.070474537039</v>
      </c>
      <c r="F221" s="13">
        <v>42921.071712962963</v>
      </c>
      <c r="G221" s="7">
        <v>1</v>
      </c>
      <c r="H221" s="21" t="s">
        <v>353</v>
      </c>
      <c r="I221" s="13">
        <v>42921.079872685186</v>
      </c>
      <c r="J221" s="7">
        <v>0</v>
      </c>
      <c r="K221" s="89" t="str">
        <f t="shared" si="116"/>
        <v>4023/4024</v>
      </c>
      <c r="L221" s="21" t="str">
        <f>VLOOKUP(A221,'Trips&amp;Operators'!$C$1:$G$99999,5,FALSE)</f>
        <v>FORTUNATO FRANK</v>
      </c>
      <c r="M221" s="6">
        <f t="shared" si="117"/>
        <v>8.1597222233540379E-3</v>
      </c>
      <c r="N221" s="7">
        <f t="shared" si="114"/>
        <v>11.750000001629815</v>
      </c>
      <c r="O221" s="7"/>
      <c r="P221" s="7"/>
      <c r="Q221" s="22"/>
      <c r="R221" s="170"/>
      <c r="S221" s="213">
        <f t="shared" si="115"/>
        <v>1</v>
      </c>
      <c r="T221" s="195" t="str">
        <f t="shared" si="118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119"/>
        <v>https://d0f6bd738d7f1b3e5a7ca70fe4ff75f0.us-east-1.aws.found.io/app/kibana#/discover/Steve-Slow-Train-Analysis-(2080s-and-2083s)?_g=(refreshInterval:(display:Off,pause:!f,section:0,value:0),time:(from:'2017-07-05T00:41:29-0600',mode:absolute,to:'2017-07-05T02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197" t="str">
        <f>IF(AA221&lt;VLOOKUP(AG221,Variables!$AC$3:$AD$8,2,FALSE),"Y","N")</f>
        <v>Y</v>
      </c>
      <c r="X221" s="197">
        <f t="shared" si="131"/>
        <v>1</v>
      </c>
      <c r="Y221" s="197">
        <f t="shared" si="129"/>
        <v>4.5100000000000001E-2</v>
      </c>
      <c r="Z221" s="197">
        <f t="shared" si="130"/>
        <v>2.3346</v>
      </c>
      <c r="AA221" s="197">
        <f t="shared" si="120"/>
        <v>2.2894999999999999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21"/>
        <v>311</v>
      </c>
      <c r="AE221" s="77" t="str">
        <f t="shared" si="122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221" s="74" t="str">
        <f t="shared" si="123"/>
        <v>"C:\Program Files (x86)\AstroGrep\AstroGrep.exe" /e /r /s /spath="%USERPROFILE%\AppData\Local\Temp\OnboardLogs" /stypes="app*4024*20170705*" /stext=" 07:.+((SYSTEM_STATE.+slice.+state.+changed )|(ment ac)|(multiple cpu faults)|(system.+state.+changed )|(\[timeout)|(PRM\|1\|D)|(kpr)|(kdp)|(train st.+moving)|(\|lc)|(penalty))"</v>
      </c>
      <c r="AG221" s="209" t="str">
        <f t="shared" si="124"/>
        <v>Other</v>
      </c>
      <c r="AH221" s="78" t="str">
        <f t="shared" si="125"/>
        <v>"%USERPROFILE%\Documents\GitHub\eaglep3\Utilities\RefineRTDCRunTimes.py" --tripid 311-04 --locoid 4024 --swversion DE.1.0.9.0 --startMP 204:451 --initTime 2017-07-05T01:41:29 --startdatetime 2017-07-05T01:43:16 --delay 1 --endMP 300:23346 --enddatetime 2017-07-05T01:55:01 --enforcementcount 0 &gt;&gt;C:\Users\stu\Documents\GitHub\eaglep3-reporting\EC\2017-07-04-refined-times.txt</v>
      </c>
      <c r="AI221" s="96" t="str">
        <f t="shared" si="126"/>
        <v>echo {"issue":{"subject":"","project_id":79,"tracker_id":40,"status_id":1,"priority_id":2,"assigned_to_id":23,"start_date":"2017-07-05","description":"","custom_fields":[{"id":1,"name":"Subdivision","value":"Other"},{"id":4,"name":"Milepost","value":"2.3346"},{"id":17,"name":"Train ID","value":"311-04"},{"id":16,"name":"Locomotive ID","value":"4024"},{"id":130,"name":"Impact","value":""},{"id":150,"name":"Time of Event (Mountain Time)","value":"01:55:01"},{"id":151,"name":"Denver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27"/>
        <v>start /low /b %USERPROFILE%\Documents\GitHub\eaglep3\Utilities\DownloadLogsFromS3.py --loco 4024 --day 2017-07-05</v>
      </c>
      <c r="AN221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609</v>
      </c>
      <c r="B222" s="7">
        <v>4011</v>
      </c>
      <c r="C222" s="21" t="s">
        <v>202</v>
      </c>
      <c r="D222" s="21" t="s">
        <v>925</v>
      </c>
      <c r="E222" s="13">
        <v>42920.223877314813</v>
      </c>
      <c r="F222" s="13">
        <v>42920.227650462963</v>
      </c>
      <c r="G222" s="7">
        <v>5</v>
      </c>
      <c r="H222" s="21" t="s">
        <v>926</v>
      </c>
      <c r="I222" s="13">
        <v>42920.233437499999</v>
      </c>
      <c r="J222" s="7">
        <v>0</v>
      </c>
      <c r="K222" s="89" t="str">
        <f t="shared" si="116"/>
        <v>4011/4012</v>
      </c>
      <c r="L222" s="21" t="str">
        <f>VLOOKUP(A222,'Trips&amp;Operators'!$C$1:$G$99999,5,FALSE)</f>
        <v>DAVIDSON DAVID</v>
      </c>
      <c r="M222" s="6">
        <f t="shared" si="117"/>
        <v>5.7870370364980772E-3</v>
      </c>
      <c r="N222" s="7">
        <f t="shared" si="114"/>
        <v>8.3333333325572312</v>
      </c>
      <c r="O222" s="7"/>
      <c r="P222" s="7"/>
      <c r="Q222" s="22"/>
      <c r="R222" s="170"/>
      <c r="S222" s="213">
        <f t="shared" si="115"/>
        <v>1</v>
      </c>
      <c r="T222" s="195" t="str">
        <f t="shared" si="118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119"/>
        <v>https://d0f6bd738d7f1b3e5a7ca70fe4ff75f0.us-east-1.aws.found.io/app/kibana#/discover/Steve-Slow-Train-Analysis-(2080s-and-2083s)?_g=(refreshInterval:(display:Off,pause:!f,section:0,value:0),time:(from:'2017-07-04T04:22:23-0600',mode:absolute,to:'2017-07-04T06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7" t="str">
        <f>IF(AA222&lt;VLOOKUP(AG222,Variables!$AC$3:$AD$8,2,FALSE),"Y","N")</f>
        <v>Y</v>
      </c>
      <c r="X222" s="197">
        <f t="shared" si="131"/>
        <v>1</v>
      </c>
      <c r="Y222" s="197">
        <f t="shared" si="129"/>
        <v>2.3197000000000001</v>
      </c>
      <c r="Z222" s="197">
        <f t="shared" si="130"/>
        <v>1.7399999999999999E-2</v>
      </c>
      <c r="AA222" s="197">
        <f t="shared" si="120"/>
        <v>2.3023000000000002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21"/>
        <v>312</v>
      </c>
      <c r="AE222" s="77" t="str">
        <f t="shared" si="122"/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AF222" s="74" t="str">
        <f t="shared" si="123"/>
        <v>"C:\Program Files (x86)\AstroGrep\AstroGrep.exe" /e /r /s /spath="%USERPROFILE%\AppData\Local\Temp\OnboardLogs" /stypes="app*4011*20170704*" /stext=" 11:.+((SYSTEM_STATE.+slice.+state.+changed )|(ment ac)|(multiple cpu faults)|(system.+state.+changed )|(\[timeout)|(PRM\|1\|D)|(kpr)|(kdp)|(train st.+moving)|(\|lc)|(penalty))"</v>
      </c>
      <c r="AG222" s="209" t="str">
        <f t="shared" si="124"/>
        <v>Other</v>
      </c>
      <c r="AH222" s="78" t="str">
        <f t="shared" si="125"/>
        <v>"%USERPROFILE%\Documents\GitHub\eaglep3\Utilities\RefineRTDCRunTimes.py" --tripid 312-04 --locoid 4011 --swversion DE.1.0.9.0 --startMP 300:23197 --initTime 2017-07-04T05:22:23 --startdatetime 2017-07-04T05:27:49 --delay 5 --endMP 204:174 --enddatetime 2017-07-04T05:36:09 --enforcementcount 0 &gt;&gt;C:\Users\stu\Documents\GitHub\eaglep3-reporting\EC\2017-07-04-refined-times.txt</v>
      </c>
      <c r="AI222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{"issue":{"subject":"","project_id":79,"tracker_id":40,"status_id":1,"priority_id":2,"assigned_to_id":23,"start_date":"2017-07-04","description":"","custom_fields":[{"id":1,"name":"Subdivision","value":"Other"},{"id":4,"name":"Milepost","value":"0.0174"},{"id":17,"name":"Train ID","value":"312-04"},{"id":16,"name":"Locomotive ID","value":"4011"},{"id":130,"name":"Impact","value":""},{"id":150,"name":"Time of Event (Mountain Time)","value":"05:36:09"},{"id":151,"name":"Denver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27"/>
        <v>start /low /b %USERPROFILE%\Documents\GitHub\eaglep3\Utilities\DownloadLogsFromS3.py --loco 4011 --day 2017-07-04</v>
      </c>
      <c r="AN222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652</v>
      </c>
      <c r="B223" s="7">
        <v>4018</v>
      </c>
      <c r="C223" s="21" t="s">
        <v>202</v>
      </c>
      <c r="D223" s="21" t="s">
        <v>927</v>
      </c>
      <c r="E223" s="13">
        <v>42920.089930555558</v>
      </c>
      <c r="F223" s="13">
        <v>42920.092974537038</v>
      </c>
      <c r="G223" s="7">
        <v>1</v>
      </c>
      <c r="H223" s="21" t="s">
        <v>928</v>
      </c>
      <c r="I223" s="13">
        <v>42920.101956018516</v>
      </c>
      <c r="J223" s="7">
        <v>0</v>
      </c>
      <c r="K223" s="89" t="str">
        <f t="shared" si="116"/>
        <v>4017/4018</v>
      </c>
      <c r="L223" s="21" t="str">
        <f>VLOOKUP(A223,'Trips&amp;Operators'!$C$1:$G$99999,5,FALSE)</f>
        <v>GUZMAN DANNY</v>
      </c>
      <c r="M223" s="6">
        <f t="shared" si="117"/>
        <v>8.9814814782585017E-3</v>
      </c>
      <c r="N223" s="7">
        <f t="shared" si="114"/>
        <v>12.933333328692243</v>
      </c>
      <c r="O223" s="7"/>
      <c r="P223" s="7"/>
      <c r="Q223" s="22"/>
      <c r="R223" s="170"/>
      <c r="S223" s="213">
        <f t="shared" si="115"/>
        <v>1</v>
      </c>
      <c r="T223" s="195" t="str">
        <f t="shared" si="118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19"/>
        <v>https://d0f6bd738d7f1b3e5a7ca70fe4ff75f0.us-east-1.aws.found.io/app/kibana#/discover/Steve-Slow-Train-Analysis-(2080s-and-2083s)?_g=(refreshInterval:(display:Off,pause:!f,section:0,value:0),time:(from:'2017-07-04T01:09:30-0600',mode:absolute,to:'2017-07-04T03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97" t="str">
        <f>IF(AA223&lt;VLOOKUP(AG223,Variables!$AC$3:$AD$8,2,FALSE),"Y","N")</f>
        <v>Y</v>
      </c>
      <c r="X223" s="197">
        <f t="shared" si="131"/>
        <v>1</v>
      </c>
      <c r="Y223" s="197">
        <f t="shared" si="129"/>
        <v>5.1499999999999997E-2</v>
      </c>
      <c r="Z223" s="197">
        <f t="shared" si="130"/>
        <v>2.3315999999999999</v>
      </c>
      <c r="AA223" s="197">
        <f t="shared" si="120"/>
        <v>2.2801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121"/>
        <v>313</v>
      </c>
      <c r="AE223" s="77" t="str">
        <f t="shared" si="122"/>
        <v>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 &amp; 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</v>
      </c>
      <c r="AF223" s="74" t="str">
        <f t="shared" si="123"/>
        <v>"C:\Program Files (x86)\AstroGrep\AstroGrep.exe" /e /r /s /spath="%USERPROFILE%\AppData\Local\Temp\OnboardLogs" /stypes="app*4018*20170704*" /stext=" 08:.+((SYSTEM_STATE.+slice.+state.+changed )|(ment ac)|(multiple cpu faults)|(system.+state.+changed )|(\[timeout)|(PRM\|1\|D)|(kpr)|(kdp)|(train st.+moving)|(\|lc)|(penalty))"</v>
      </c>
      <c r="AG223" s="209" t="str">
        <f t="shared" si="124"/>
        <v>Other</v>
      </c>
      <c r="AH223" s="78" t="str">
        <f t="shared" si="125"/>
        <v>"%USERPROFILE%\Documents\GitHub\eaglep3\Utilities\RefineRTDCRunTimes.py" --tripid 313-03 --locoid 4018 --swversion DE.1.0.9.0 --startMP 204:515 --initTime 2017-07-04T02:09:30 --startdatetime 2017-07-04T02:13:53 --delay 1 --endMP 300:23316 --enddatetime 2017-07-04T02:26:49 --enforcementcount 0 &gt;&gt;C:\Users\stu\Documents\GitHub\eaglep3-reporting\EC\2017-07-04-refined-times.txt</v>
      </c>
      <c r="AI223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{"issue":{"subject":"","project_id":79,"tracker_id":40,"status_id":1,"priority_id":2,"assigned_to_id":23,"start_date":"2017-07-04","description":"","custom_fields":[{"id":1,"name":"Subdivision","value":"Other"},{"id":4,"name":"Milepost","value":"2.3316"},{"id":17,"name":"Train ID","value":"313-03"},{"id":16,"name":"Locomotive ID","value":"4018"},{"id":130,"name":"Impact","value":""},{"id":150,"name":"Time of Event (Mountain Time)","value":"02:26:49"},{"id":151,"name":"Denver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27"/>
        <v>start /low /b %USERPROFILE%\Documents\GitHub\eaglep3\Utilities\DownloadLogsFromS3.py --loco 4018 --day 2017-07-04</v>
      </c>
      <c r="AN223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08:26:49"},{"id":29,"name":"Sharepoint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s="20" customFormat="1" x14ac:dyDescent="0.25">
      <c r="A224" s="32" t="s">
        <v>863</v>
      </c>
      <c r="B224" s="7">
        <v>4050</v>
      </c>
      <c r="C224" s="21" t="s">
        <v>202</v>
      </c>
      <c r="D224" s="21" t="s">
        <v>929</v>
      </c>
      <c r="E224" s="13">
        <v>42921.096967592595</v>
      </c>
      <c r="F224" s="13">
        <v>25568.708333333332</v>
      </c>
      <c r="G224" s="7">
        <v>2</v>
      </c>
      <c r="H224" s="21" t="s">
        <v>471</v>
      </c>
      <c r="I224" s="13">
        <v>25568.708333333332</v>
      </c>
      <c r="J224" s="7">
        <v>0</v>
      </c>
      <c r="K224" s="89" t="str">
        <f t="shared" si="116"/>
        <v>4049/4050</v>
      </c>
      <c r="L224" s="21" t="str">
        <f>VLOOKUP(A224,'Trips&amp;Operators'!$C$1:$G$99999,5,FALSE)</f>
        <v>NELSON ARIANE</v>
      </c>
      <c r="M224" s="6">
        <f t="shared" si="117"/>
        <v>0</v>
      </c>
      <c r="N224" s="7">
        <f t="shared" ref="N224:N244" si="132">24*60*SUM($M224:$M224)</f>
        <v>0</v>
      </c>
      <c r="O224" s="7"/>
      <c r="P224" s="7"/>
      <c r="Q224" s="22"/>
      <c r="R224" s="170"/>
      <c r="S224" s="213">
        <f t="shared" ref="S224:S244" si="133">SUM(U224:U224)/IF(AG224="EC",12,1)</f>
        <v>0</v>
      </c>
      <c r="T224" s="195" t="str">
        <f t="shared" si="118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119"/>
        <v>https://d0f6bd738d7f1b3e5a7ca70fe4ff75f0.us-east-1.aws.found.io/app/kibana#/discover/Steve-Slow-Train-Analysis-(2080s-and-2083s)?_g=(refreshInterval:(display:Off,pause:!f,section:0,value:0),time:(from:'2017-07-05T01:19:38-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97" t="str">
        <f>IF(AA224&lt;VLOOKUP(AG224,Variables!$AC$3:$AD$8,2,FALSE),"Y","N")</f>
        <v>Y</v>
      </c>
      <c r="X224" s="197">
        <f t="shared" si="131"/>
        <v>0</v>
      </c>
      <c r="Y224" s="197">
        <f t="shared" si="129"/>
        <v>7.2300000000000003E-2</v>
      </c>
      <c r="Z224" s="197">
        <f t="shared" si="130"/>
        <v>4.7300000000000002E-2</v>
      </c>
      <c r="AA224" s="197">
        <f t="shared" si="120"/>
        <v>2.5000000000000001E-2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21"/>
        <v>313</v>
      </c>
      <c r="AE224" s="77" t="str">
        <f t="shared" si="122"/>
        <v>aws s3 cp s3://rtdc.mdm.uploadarchive.raw/RTDC4050/ "%USERPROFILE%\AppData\Local\Temp\OnboardLogs"\RTDC4050\1969-12-31 --exclude "*" --recursive --include "*19691231*" &amp; "%USERPROFILE%\Documents\GitHub\mrs-test-scripts\Headless Mode &amp; Sideloading\WalkAndUnGZ.bat" "%USERPROFILE%\AppData\Local\Temp\OnboardLogs"\RTDC4050\1969-12-31 &amp; aws s3 cp s3://rtdc.mdm.uploadarchive.raw/RTDC4050/ "%USERPROFILE%\AppData\Local\Temp\OnboardLogs"\RTDC4050\1970-01-01 --exclude "*" --recursive --include "*19700101*" &amp; "%USERPROFILE%\Documents\GitHub\mrs-test-scripts\Headless Mode &amp; Sideloading\WalkAndUnGZ.bat" "%USERPROFILE%\AppData\Local\Temp\OnboardLogs"\RTDC4050\1970-01-01</v>
      </c>
      <c r="AF224" s="74" t="str">
        <f t="shared" si="123"/>
        <v>"C:\Program Files (x86)\AstroGrep\AstroGrep.exe" /e /r /s /spath="%USERPROFILE%\AppData\Local\Temp\OnboardLogs" /stypes="app*4050*19691231*" /stext=" 23:.+((SYSTEM_STATE.+slice.+state.+changed )|(ment ac)|(multiple cpu faults)|(system.+state.+changed )|(\[timeout)|(PRM\|1\|D)|(kpr)|(kdp)|(train st.+moving)|(\|lc)|(penalty))"</v>
      </c>
      <c r="AG224" s="209" t="str">
        <f t="shared" si="124"/>
        <v>Other</v>
      </c>
      <c r="AH224" s="78" t="str">
        <f t="shared" si="125"/>
        <v>"%USERPROFILE%\Documents\GitHub\eaglep3\Utilities\RefineRTDCRunTimes.py" --tripid 313-04 --locoid 4050 --swversion DE.1.0.9.0 --startMP 204:723 --initTime 2017-07-05T02:19:38 --startdatetime 1969-12-31T17:00:00 --delay 2 --endMP 204:473 --enddatetime 1969-12-31T17:00:00 --enforcementcount 0 &gt;&gt;C:\Users\stu\Documents\GitHub\eaglep3-reporting\EC\2017-07-04-refined-times.txt</v>
      </c>
      <c r="AI224" s="96" t="str">
        <f t="shared" si="126"/>
        <v>echo {"issue":{"subject":"","project_id":79,"tracker_id":40,"status_id":1,"priority_id":2,"assigned_to_id":23,"start_date":"1969-12-31","description":"","custom_fields":[{"id":1,"name":"Subdivision","value":"Other"},{"id":4,"name":"Milepost","value":"0.0473"},{"id":17,"name":"Train ID","value":"313-04"},{"id":16,"name":"Locomotive ID","value":"4050"},{"id":130,"name":"Impact","value":""},{"id":150,"name":"Time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27"/>
        <v>start /low /b %USERPROFILE%\Documents\GitHub\eaglep3\Utilities\DownloadLogsFromS3.py --loco 4050 --day 1969-12-31</v>
      </c>
      <c r="AN224" s="151" t="str">
        <f t="shared" si="12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671</v>
      </c>
      <c r="B225" s="7">
        <v>4022</v>
      </c>
      <c r="C225" s="21" t="s">
        <v>202</v>
      </c>
      <c r="D225" s="21" t="s">
        <v>992</v>
      </c>
      <c r="E225" s="13">
        <v>42920.19940972222</v>
      </c>
      <c r="F225" s="13">
        <v>42920.204016203701</v>
      </c>
      <c r="G225" s="7">
        <v>6</v>
      </c>
      <c r="H225" s="21" t="s">
        <v>953</v>
      </c>
      <c r="I225" s="13">
        <v>42920.209537037037</v>
      </c>
      <c r="J225" s="7">
        <v>0</v>
      </c>
      <c r="K225" s="89" t="str">
        <f t="shared" si="116"/>
        <v>4021/4022</v>
      </c>
      <c r="L225" s="21" t="str">
        <f>VLOOKUP(A225,'Trips&amp;Operators'!$C$1:$G$99999,5,FALSE)</f>
        <v>MILLER KEVIN</v>
      </c>
      <c r="M225" s="6">
        <f t="shared" si="117"/>
        <v>5.5208333360496908E-3</v>
      </c>
      <c r="N225" s="7">
        <f t="shared" si="132"/>
        <v>7.9500000039115548</v>
      </c>
      <c r="O225" s="7"/>
      <c r="P225" s="7"/>
      <c r="Q225" s="22"/>
      <c r="R225" s="170"/>
      <c r="S225" s="213">
        <f t="shared" si="133"/>
        <v>0</v>
      </c>
      <c r="T225" s="195" t="str">
        <f t="shared" si="118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119"/>
        <v>https://d0f6bd738d7f1b3e5a7ca70fe4ff75f0.us-east-1.aws.found.io/app/kibana#/discover/Steve-Slow-Train-Analysis-(2080s-and-2083s)?_g=(refreshInterval:(display:Off,pause:!f,section:0,value:0),time:(from:'2017-07-04T03:47:09-0600',mode:absolute,to:'2017-07-04T06:01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197" t="str">
        <f>IF(AA225&lt;VLOOKUP(AG225,Variables!$AC$3:$AD$8,2,FALSE),"Y","N")</f>
        <v>Y</v>
      </c>
      <c r="X225" s="197">
        <f t="shared" si="131"/>
        <v>588</v>
      </c>
      <c r="Y225" s="197">
        <f t="shared" si="129"/>
        <v>2.9931999999999999</v>
      </c>
      <c r="Z225" s="197">
        <f t="shared" si="130"/>
        <v>5.8933</v>
      </c>
      <c r="AA225" s="197">
        <f t="shared" si="120"/>
        <v>2.9001000000000001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121"/>
        <v>901</v>
      </c>
      <c r="AE225" s="77" t="str">
        <f t="shared" si="122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225" s="74" t="str">
        <f t="shared" si="123"/>
        <v>"C:\Program Files (x86)\AstroGrep\AstroGrep.exe" /e /r /s /spath="%USERPROFILE%\AppData\Local\Temp\OnboardLogs" /stypes="app*4022*20170704*" /stext=" 11:.+((SYSTEM_STATE.+slice.+state.+changed )|(ment ac)|(multiple cpu faults)|(system.+state.+changed )|(\[timeout)|(PRM\|1\|D)|(kpr)|(kdp)|(train st.+moving)|(\|lc)|(penalty))"</v>
      </c>
      <c r="AG225" s="209" t="str">
        <f t="shared" si="124"/>
        <v>Other</v>
      </c>
      <c r="AH225" s="78" t="str">
        <f t="shared" si="125"/>
        <v>"%USERPROFILE%\Documents\GitHub\eaglep3\Utilities\RefineRTDCRunTimes.py" --tripid 901-04 --locoid 4022 --swversion DE.1.0.9.0 --startMP 300:29932 --initTime 2017-07-04T04:47:09 --startdatetime 2017-07-04T04:53:47 --delay 6 --endMP 300:58933 --enddatetime 2017-07-04T05:01:44 --enforcementcount 0 &gt;&gt;C:\Users\stu\Documents\GitHub\eaglep3-reporting\EC\2017-07-04-refined-times.txt</v>
      </c>
      <c r="AI225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{"issue":{"subject":"","project_id":79,"tracker_id":40,"status_id":1,"priority_id":2,"assigned_to_id":23,"start_date":"2017-07-04","description":"","custom_fields":[{"id":1,"name":"Subdivision","value":"Other"},{"id":4,"name":"Milepost","value":"5.8933"},{"id":17,"name":"Train ID","value":"901-04"},{"id":16,"name":"Locomotive ID","value":"4022"},{"id":130,"name":"Impact","value":""},{"id":150,"name":"Time of Event (Mountain Time)","value":"05:01:44"},{"id":151,"name":"Denver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27"/>
        <v>start /low /b %USERPROFILE%\Documents\GitHub\eaglep3\Utilities\DownloadLogsFromS3.py --loco 4022 --day 2017-07-04</v>
      </c>
      <c r="AN225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11:01:44"},{"id":29,"name":"Sharepoint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713</v>
      </c>
      <c r="B226" s="7">
        <v>4022</v>
      </c>
      <c r="C226" s="21" t="s">
        <v>202</v>
      </c>
      <c r="D226" s="21" t="s">
        <v>993</v>
      </c>
      <c r="E226" s="13">
        <v>42920.351631944446</v>
      </c>
      <c r="F226" s="13">
        <v>42920.352812500001</v>
      </c>
      <c r="G226" s="7">
        <v>0</v>
      </c>
      <c r="H226" s="21" t="s">
        <v>994</v>
      </c>
      <c r="I226" s="13">
        <v>42920.358576388891</v>
      </c>
      <c r="J226" s="7">
        <v>0</v>
      </c>
      <c r="K226" s="89" t="str">
        <f t="shared" si="116"/>
        <v>4021/4022</v>
      </c>
      <c r="L226" s="21" t="str">
        <f>VLOOKUP(A226,'Trips&amp;Operators'!$C$1:$G$99999,5,FALSE)</f>
        <v>MILLER KEVIN</v>
      </c>
      <c r="M226" s="6">
        <f t="shared" si="117"/>
        <v>5.7638888902147301E-3</v>
      </c>
      <c r="N226" s="7">
        <f t="shared" si="132"/>
        <v>8.3000000019092113</v>
      </c>
      <c r="O226" s="7"/>
      <c r="P226" s="7"/>
      <c r="Q226" s="22"/>
      <c r="R226" s="170"/>
      <c r="S226" s="213">
        <f t="shared" si="133"/>
        <v>1</v>
      </c>
      <c r="T226" s="195" t="str">
        <f t="shared" si="118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119"/>
        <v>https://d0f6bd738d7f1b3e5a7ca70fe4ff75f0.us-east-1.aws.found.io/app/kibana#/discover/Steve-Slow-Train-Analysis-(2080s-and-2083s)?_g=(refreshInterval:(display:Off,pause:!f,section:0,value:0),time:(from:'2017-07-04T07:26:21-0600',mode:absolute,to:'2017-07-04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IF(AA226&lt;VLOOKUP(AG226,Variables!$AC$3:$AD$8,2,FALSE),"Y","N")</f>
        <v>Y</v>
      </c>
      <c r="X226" s="197">
        <f t="shared" si="131"/>
        <v>2</v>
      </c>
      <c r="Y226" s="197">
        <f t="shared" si="129"/>
        <v>4.8599999999999997E-2</v>
      </c>
      <c r="Z226" s="197">
        <f t="shared" si="130"/>
        <v>2.4226999999999999</v>
      </c>
      <c r="AA226" s="197">
        <f t="shared" si="120"/>
        <v>2.3740999999999999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121"/>
        <v>903</v>
      </c>
      <c r="AE226" s="77" t="str">
        <f t="shared" si="122"/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AF226" s="74" t="str">
        <f t="shared" si="123"/>
        <v>"C:\Program Files (x86)\AstroGrep\AstroGrep.exe" /e /r /s /spath="%USERPROFILE%\AppData\Local\Temp\OnboardLogs" /stypes="app*4022*20170704*" /stext=" 14:.+((SYSTEM_STATE.+slice.+state.+changed )|(ment ac)|(multiple cpu faults)|(system.+state.+changed )|(\[timeout)|(PRM\|1\|D)|(kpr)|(kdp)|(train st.+moving)|(\|lc)|(penalty))"</v>
      </c>
      <c r="AG226" s="209" t="str">
        <f t="shared" si="124"/>
        <v>Other</v>
      </c>
      <c r="AH226" s="78" t="str">
        <f t="shared" si="125"/>
        <v>"%USERPROFILE%\Documents\GitHub\eaglep3\Utilities\RefineRTDCRunTimes.py" --tripid 903-04 --locoid 4022 --swversion DE.1.0.9.0 --startMP 204:486 --initTime 2017-07-04T08:26:21 --startdatetime 2017-07-04T08:28:03 --delay 0 --endMP 300:24227 --enddatetime 2017-07-04T08:36:21 --enforcementcount 0 &gt;&gt;C:\Users\stu\Documents\GitHub\eaglep3-reporting\EC\2017-07-04-refined-times.txt</v>
      </c>
      <c r="AI226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{"issue":{"subject":"","project_id":79,"tracker_id":40,"status_id":1,"priority_id":2,"assigned_to_id":23,"start_date":"2017-07-04","description":"","custom_fields":[{"id":1,"name":"Subdivision","value":"Other"},{"id":4,"name":"Milepost","value":"2.4227"},{"id":17,"name":"Train ID","value":"903-04"},{"id":16,"name":"Locomotive ID","value":"4022"},{"id":130,"name":"Impact","value":""},{"id":150,"name":"Time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27"/>
        <v>start /low /b %USERPROFILE%\Documents\GitHub\eaglep3\Utilities\DownloadLogsFromS3.py --loco 4022 --day 2017-07-04</v>
      </c>
      <c r="AN226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630</v>
      </c>
      <c r="B227" s="7">
        <v>4021</v>
      </c>
      <c r="C227" s="21" t="s">
        <v>202</v>
      </c>
      <c r="D227" s="21" t="s">
        <v>995</v>
      </c>
      <c r="E227" s="13">
        <v>42920.634259259263</v>
      </c>
      <c r="F227" s="13">
        <v>42920.635891203703</v>
      </c>
      <c r="G227" s="7">
        <v>2</v>
      </c>
      <c r="H227" s="21" t="s">
        <v>996</v>
      </c>
      <c r="I227" s="13">
        <v>42920.642870370371</v>
      </c>
      <c r="J227" s="7">
        <v>0</v>
      </c>
      <c r="K227" s="89" t="str">
        <f t="shared" si="116"/>
        <v>4021/4022</v>
      </c>
      <c r="L227" s="21" t="str">
        <f>VLOOKUP(A227,'Trips&amp;Operators'!$C$1:$G$99999,5,FALSE)</f>
        <v>STAMBAUGH JAMES</v>
      </c>
      <c r="M227" s="6">
        <f t="shared" si="117"/>
        <v>6.9791666683158837E-3</v>
      </c>
      <c r="N227" s="7">
        <f t="shared" si="132"/>
        <v>10.050000002374873</v>
      </c>
      <c r="O227" s="7"/>
      <c r="P227" s="7"/>
      <c r="Q227" s="22"/>
      <c r="R227" s="170"/>
      <c r="S227" s="213">
        <f t="shared" si="133"/>
        <v>1</v>
      </c>
      <c r="T227" s="195" t="str">
        <f t="shared" si="118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119"/>
        <v>https://d0f6bd738d7f1b3e5a7ca70fe4ff75f0.us-east-1.aws.found.io/app/kibana#/discover/Steve-Slow-Train-Analysis-(2080s-and-2083s)?_g=(refreshInterval:(display:Off,pause:!f,section:0,value:0),time:(from:'2017-07-04T14:13:20-0600',mode:absolute,to:'2017-07-04T16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131"/>
        <v>1</v>
      </c>
      <c r="Y227" s="197">
        <f t="shared" si="129"/>
        <v>2.3668999999999998</v>
      </c>
      <c r="Z227" s="197">
        <f t="shared" si="130"/>
        <v>6.2199999999999998E-2</v>
      </c>
      <c r="AA227" s="197">
        <f t="shared" si="120"/>
        <v>2.3047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121"/>
        <v>904</v>
      </c>
      <c r="AE227" s="77" t="str">
        <f t="shared" si="122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227" s="74" t="str">
        <f t="shared" si="123"/>
        <v>"C:\Program Files (x86)\AstroGrep\AstroGrep.exe" /e /r /s /spath="%USERPROFILE%\AppData\Local\Temp\OnboardLogs" /stypes="app*4021*20170704*" /stext=" 21:.+((SYSTEM_STATE.+slice.+state.+changed )|(ment ac)|(multiple cpu faults)|(system.+state.+changed )|(\[timeout)|(PRM\|1\|D)|(kpr)|(kdp)|(train st.+moving)|(\|lc)|(penalty))"</v>
      </c>
      <c r="AG227" s="209" t="str">
        <f t="shared" si="124"/>
        <v>Other</v>
      </c>
      <c r="AH227" s="78" t="str">
        <f t="shared" si="125"/>
        <v>"%USERPROFILE%\Documents\GitHub\eaglep3\Utilities\RefineRTDCRunTimes.py" --tripid 904-04 --locoid 4021 --swversion DE.1.0.9.0 --startMP 300:23669 --initTime 2017-07-04T15:13:20 --startdatetime 2017-07-04T15:15:41 --delay 2 --endMP 204:622 --enddatetime 2017-07-04T15:25:44 --enforcementcount 0 &gt;&gt;C:\Users\stu\Documents\GitHub\eaglep3-reporting\EC\2017-07-04-refined-times.txt</v>
      </c>
      <c r="AI227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{"issue":{"subject":"","project_id":79,"tracker_id":40,"status_id":1,"priority_id":2,"assigned_to_id":23,"start_date":"2017-07-04","description":"","custom_fields":[{"id":1,"name":"Subdivision","value":"Other"},{"id":4,"name":"Milepost","value":"0.0622"},{"id":17,"name":"Train ID","value":"904-04"},{"id":16,"name":"Locomotive ID","value":"4021"},{"id":130,"name":"Impact","value":""},{"id":150,"name":"Time of Event (Mountain Time)","value":"15:25:44"},{"id":151,"name":"Denver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27"/>
        <v>start /low /b %USERPROFILE%\Documents\GitHub\eaglep3\Utilities\DownloadLogsFromS3.py --loco 4021 --day 2017-07-04</v>
      </c>
      <c r="AN227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21:25:44"},{"id":29,"name":"Sharepoint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821</v>
      </c>
      <c r="B228" s="7">
        <v>4021</v>
      </c>
      <c r="C228" s="21" t="s">
        <v>202</v>
      </c>
      <c r="D228" s="21" t="s">
        <v>554</v>
      </c>
      <c r="E228" s="13">
        <v>42920.796111111114</v>
      </c>
      <c r="F228" s="13">
        <v>42920.797361111108</v>
      </c>
      <c r="G228" s="7">
        <v>1</v>
      </c>
      <c r="H228" s="21" t="s">
        <v>997</v>
      </c>
      <c r="I228" s="13">
        <v>42920.80369212963</v>
      </c>
      <c r="J228" s="7">
        <v>0</v>
      </c>
      <c r="K228" s="89" t="str">
        <f t="shared" si="116"/>
        <v>4021/4022</v>
      </c>
      <c r="L228" s="21" t="str">
        <f>VLOOKUP(A228,'Trips&amp;Operators'!$C$1:$G$99999,5,FALSE)</f>
        <v>STAMBAUGH JAMES</v>
      </c>
      <c r="M228" s="6">
        <f t="shared" si="117"/>
        <v>6.33101852145046E-3</v>
      </c>
      <c r="N228" s="7">
        <f t="shared" si="132"/>
        <v>9.1166666708886623</v>
      </c>
      <c r="O228" s="7"/>
      <c r="P228" s="7"/>
      <c r="Q228" s="22"/>
      <c r="R228" s="170"/>
      <c r="S228" s="213">
        <f t="shared" si="133"/>
        <v>0</v>
      </c>
      <c r="T228" s="195" t="str">
        <f t="shared" si="118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19"/>
        <v>https://d0f6bd738d7f1b3e5a7ca70fe4ff75f0.us-east-1.aws.found.io/app/kibana#/discover/Steve-Slow-Train-Analysis-(2080s-and-2083s)?_g=(refreshInterval:(display:Off,pause:!f,section:0,value:0),time:(from:'2017-07-04T18:06:24-0600',mode:absolute,to:'2017-07-04T20:17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97" t="str">
        <f>IF(AA228&lt;VLOOKUP(AG228,Variables!$AC$3:$AD$8,2,FALSE),"Y","N")</f>
        <v>Y</v>
      </c>
      <c r="X228" s="197">
        <f t="shared" si="131"/>
        <v>2</v>
      </c>
      <c r="Y228" s="197">
        <f t="shared" si="129"/>
        <v>5.8630000000000004</v>
      </c>
      <c r="Z228" s="197">
        <f t="shared" si="130"/>
        <v>2.8774000000000002</v>
      </c>
      <c r="AA228" s="197">
        <f t="shared" si="120"/>
        <v>2.9856000000000003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121"/>
        <v>906</v>
      </c>
      <c r="AE228" s="77" t="str">
        <f t="shared" si="122"/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AF228" s="74" t="str">
        <f t="shared" si="123"/>
        <v>"C:\Program Files (x86)\AstroGrep\AstroGrep.exe" /e /r /s /spath="%USERPROFILE%\AppData\Local\Temp\OnboardLogs" /stypes="app*4021*20170705*" /stext=" 01:.+((SYSTEM_STATE.+slice.+state.+changed )|(ment ac)|(multiple cpu faults)|(system.+state.+changed )|(\[timeout)|(PRM\|1\|D)|(kpr)|(kdp)|(train st.+moving)|(\|lc)|(penalty))"</v>
      </c>
      <c r="AG228" s="209" t="str">
        <f t="shared" si="124"/>
        <v>Other</v>
      </c>
      <c r="AH228" s="78" t="str">
        <f t="shared" si="125"/>
        <v>"%USERPROFILE%\Documents\GitHub\eaglep3\Utilities\RefineRTDCRunTimes.py" --tripid 906-04 --locoid 4021 --swversion DE.1.0.9.0 --startMP 300:58630 --initTime 2017-07-04T19:06:24 --startdatetime 2017-07-04T19:08:12 --delay 1 --endMP 300:28774 --enddatetime 2017-07-04T19:17:19 --enforcementcount 0 &gt;&gt;C:\Users\stu\Documents\GitHub\eaglep3-reporting\EC\2017-07-04-refined-times.txt</v>
      </c>
      <c r="AI228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{"issue":{"subject":"","project_id":79,"tracker_id":40,"status_id":1,"priority_id":2,"assigned_to_id":23,"start_date":"2017-07-04","description":"","custom_fields":[{"id":1,"name":"Subdivision","value":"Other"},{"id":4,"name":"Milepost","value":"2.8774"},{"id":17,"name":"Train ID","value":"906-04"},{"id":16,"name":"Locomotive ID","value":"4021"},{"id":130,"name":"Impact","value":""},{"id":150,"name":"Time of Event (Mountain Time)","value":"19:17:19"},{"id":151,"name":"Denver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27"/>
        <v>start /low /b %USERPROFILE%\Documents\GitHub\eaglep3\Utilities\DownloadLogsFromS3.py --loco 4021 --day 2017-07-04</v>
      </c>
      <c r="AN228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01:17:19"},{"id":29,"name":"Sharepoint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853</v>
      </c>
      <c r="B229" s="7">
        <v>4059</v>
      </c>
      <c r="C229" s="21" t="s">
        <v>202</v>
      </c>
      <c r="D229" s="21" t="s">
        <v>998</v>
      </c>
      <c r="E229" s="13">
        <v>42920.983726851853</v>
      </c>
      <c r="F229" s="13">
        <v>42920.99422453704</v>
      </c>
      <c r="G229" s="7">
        <v>1</v>
      </c>
      <c r="H229" s="21" t="s">
        <v>999</v>
      </c>
      <c r="I229" s="13">
        <v>42920.996655092589</v>
      </c>
      <c r="J229" s="7">
        <v>0</v>
      </c>
      <c r="K229" s="89" t="str">
        <f t="shared" si="116"/>
        <v>4059/4060</v>
      </c>
      <c r="L229" s="21" t="str">
        <f>VLOOKUP(A229,'Trips&amp;Operators'!$C$1:$G$99999,5,FALSE)</f>
        <v>SAFIEF AEIMEN</v>
      </c>
      <c r="M229" s="6">
        <f t="shared" si="117"/>
        <v>2.4305555489263497E-3</v>
      </c>
      <c r="N229" s="7">
        <f t="shared" si="132"/>
        <v>3.4999999904539436</v>
      </c>
      <c r="O229" s="7"/>
      <c r="P229" s="7"/>
      <c r="Q229" s="22"/>
      <c r="R229" s="170"/>
      <c r="S229" s="213">
        <f t="shared" si="133"/>
        <v>0</v>
      </c>
      <c r="T229" s="195" t="str">
        <f t="shared" si="118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119"/>
        <v>https://d0f6bd738d7f1b3e5a7ca70fe4ff75f0.us-east-1.aws.found.io/app/kibana#/discover/Steve-Slow-Train-Analysis-(2080s-and-2083s)?_g=(refreshInterval:(display:Off,pause:!f,section:0,value:0),time:(from:'2017-07-04T22:36:34-0600',mode:absolute,to:'2017-07-05T00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9" s="197" t="str">
        <f>IF(AA229&lt;VLOOKUP(AG229,Variables!$AC$3:$AD$8,2,FALSE),"Y","N")</f>
        <v>Y</v>
      </c>
      <c r="X229" s="197">
        <f t="shared" si="131"/>
        <v>2</v>
      </c>
      <c r="Y229" s="197">
        <f t="shared" si="129"/>
        <v>5.8593999999999999</v>
      </c>
      <c r="Z229" s="197">
        <f t="shared" si="130"/>
        <v>2.1610999999999998</v>
      </c>
      <c r="AA229" s="197">
        <f t="shared" si="120"/>
        <v>3.6983000000000001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121"/>
        <v>908</v>
      </c>
      <c r="AE229" s="77" t="str">
        <f t="shared" si="122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29" s="74" t="str">
        <f t="shared" si="123"/>
        <v>"C:\Program Files (x86)\AstroGrep\AstroGrep.exe" /e /r /s /spath="%USERPROFILE%\AppData\Local\Temp\OnboardLogs" /stypes="app*4059*20170705*" /stext=" 05:.+((SYSTEM_STATE.+slice.+state.+changed )|(ment ac)|(multiple cpu faults)|(system.+state.+changed )|(\[timeout)|(PRM\|1\|D)|(kpr)|(kdp)|(train st.+moving)|(\|lc)|(penalty))"</v>
      </c>
      <c r="AG229" s="209" t="str">
        <f t="shared" si="124"/>
        <v>Other</v>
      </c>
      <c r="AH229" s="78" t="str">
        <f t="shared" si="125"/>
        <v>"%USERPROFILE%\Documents\GitHub\eaglep3\Utilities\RefineRTDCRunTimes.py" --tripid 908-04 --locoid 4059 --swversion DE.1.0.9.0 --startMP 300:58594 --initTime 2017-07-04T23:36:34 --startdatetime 2017-07-04T23:51:41 --delay 1 --endMP 300:21611 --enddatetime 2017-07-04T23:55:11 --enforcementcount 0 &gt;&gt;C:\Users\stu\Documents\GitHub\eaglep3-reporting\EC\2017-07-04-refined-times.txt</v>
      </c>
      <c r="AI229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{"issue":{"subject":"","project_id":79,"tracker_id":40,"status_id":1,"priority_id":2,"assigned_to_id":23,"start_date":"2017-07-04","description":"","custom_fields":[{"id":1,"name":"Subdivision","value":"Other"},{"id":4,"name":"Milepost","value":"2.1611"},{"id":17,"name":"Train ID","value":"908-04"},{"id":16,"name":"Locomotive ID","value":"4059"},{"id":130,"name":"Impact","value":""},{"id":150,"name":"Time of Event (Mountain Time)","value":"23:55:11"},{"id":151,"name":"Denver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27"/>
        <v>start /low /b %USERPROFILE%\Documents\GitHub\eaglep3\Utilities\DownloadLogsFromS3.py --loco 4059 --day 2017-07-04</v>
      </c>
      <c r="AN229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853</v>
      </c>
      <c r="B230" s="7">
        <v>4060</v>
      </c>
      <c r="C230" s="21" t="s">
        <v>202</v>
      </c>
      <c r="D230" s="21" t="s">
        <v>1000</v>
      </c>
      <c r="E230" s="13">
        <v>42920.992754629631</v>
      </c>
      <c r="F230" s="13">
        <v>42920.99422453704</v>
      </c>
      <c r="G230" s="7">
        <v>1</v>
      </c>
      <c r="H230" s="21" t="s">
        <v>553</v>
      </c>
      <c r="I230" s="13">
        <v>42920.996655092589</v>
      </c>
      <c r="J230" s="7">
        <v>0</v>
      </c>
      <c r="K230" s="89" t="str">
        <f t="shared" si="116"/>
        <v>4059/4060</v>
      </c>
      <c r="L230" s="21" t="str">
        <f>VLOOKUP(A230,'Trips&amp;Operators'!$C$1:$G$99999,5,FALSE)</f>
        <v>SAFIEF AEIMEN</v>
      </c>
      <c r="M230" s="6">
        <f t="shared" si="117"/>
        <v>2.4305555489263497E-3</v>
      </c>
      <c r="N230" s="7">
        <f t="shared" si="132"/>
        <v>3.4999999904539436</v>
      </c>
      <c r="O230" s="7"/>
      <c r="P230" s="7"/>
      <c r="Q230" s="22"/>
      <c r="R230" s="170"/>
      <c r="S230" s="213">
        <f t="shared" si="133"/>
        <v>0</v>
      </c>
      <c r="T230" s="195" t="str">
        <f t="shared" si="118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119"/>
        <v>https://d0f6bd738d7f1b3e5a7ca70fe4ff75f0.us-east-1.aws.found.io/app/kibana#/discover/Steve-Slow-Train-Analysis-(2080s-and-2083s)?_g=(refreshInterval:(display:Off,pause:!f,section:0,value:0),time:(from:'2017-07-04T22:49:34-0600',mode:absolute,to:'2017-07-05T00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0" s="197" t="str">
        <f>IF(AA230&lt;VLOOKUP(AG230,Variables!$AC$3:$AD$8,2,FALSE),"Y","N")</f>
        <v>Y</v>
      </c>
      <c r="X230" s="197">
        <f t="shared" si="131"/>
        <v>0</v>
      </c>
      <c r="Y230" s="197">
        <f t="shared" si="129"/>
        <v>2.1888000000000001</v>
      </c>
      <c r="Z230" s="197">
        <f t="shared" si="130"/>
        <v>2.3306</v>
      </c>
      <c r="AA230" s="197">
        <f t="shared" si="120"/>
        <v>0.14179999999999993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121"/>
        <v>908</v>
      </c>
      <c r="AE230" s="77" t="str">
        <f t="shared" si="122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30" s="74" t="str">
        <f t="shared" si="123"/>
        <v>"C:\Program Files (x86)\AstroGrep\AstroGrep.exe" /e /r /s /spath="%USERPROFILE%\AppData\Local\Temp\OnboardLogs" /stypes="app*4060*20170705*" /stext=" 05:.+((SYSTEM_STATE.+slice.+state.+changed )|(ment ac)|(multiple cpu faults)|(system.+state.+changed )|(\[timeout)|(PRM\|1\|D)|(kpr)|(kdp)|(train st.+moving)|(\|lc)|(penalty))"</v>
      </c>
      <c r="AG230" s="209" t="str">
        <f t="shared" si="124"/>
        <v>Other</v>
      </c>
      <c r="AH230" s="78" t="str">
        <f t="shared" si="125"/>
        <v>"%USERPROFILE%\Documents\GitHub\eaglep3\Utilities\RefineRTDCRunTimes.py" --tripid 908-04 --locoid 4060 --swversion DE.1.0.9.0 --startMP 300:21888 --initTime 2017-07-04T23:49:34 --startdatetime 2017-07-04T23:51:41 --delay 1 --endMP 300:23306 --enddatetime 2017-07-04T23:55:11 --enforcementcount 0 &gt;&gt;C:\Users\stu\Documents\GitHub\eaglep3-reporting\EC\2017-07-04-refined-times.txt</v>
      </c>
      <c r="AI230" s="96" t="str">
        <f t="shared" si="126"/>
        <v>echo {"issue":{"subject":"","project_id":79,"tracker_id":40,"status_id":1,"priority_id":2,"assigned_to_id":23,"start_date":"2017-07-04","description":"","custom_fields":[{"id":1,"name":"Subdivision","value":"Other"},{"id":4,"name":"Milepost","value":"2.3306"},{"id":17,"name":"Train ID","value":"908-04"},{"id":16,"name":"Locomotive ID","value":"4060"},{"id":130,"name":"Impact","value":""},{"id":150,"name":"Time of Event (Mountain Time)","value":"23:55:11"},{"id":151,"name":"Denver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27"/>
        <v>start /low /b %USERPROFILE%\Documents\GitHub\eaglep3\Utilities\DownloadLogsFromS3.py --loco 4060 --day 2017-07-04</v>
      </c>
      <c r="AN230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687</v>
      </c>
      <c r="B231" s="7">
        <v>4059</v>
      </c>
      <c r="C231" s="21" t="s">
        <v>202</v>
      </c>
      <c r="D231" s="21" t="s">
        <v>930</v>
      </c>
      <c r="E231" s="13">
        <v>42920.248194444444</v>
      </c>
      <c r="F231" s="13">
        <v>42920.251736111109</v>
      </c>
      <c r="G231" s="7">
        <v>4</v>
      </c>
      <c r="H231" s="21" t="s">
        <v>558</v>
      </c>
      <c r="I231" s="13">
        <v>42920.257048611114</v>
      </c>
      <c r="J231" s="7">
        <v>0</v>
      </c>
      <c r="K231" s="89" t="str">
        <f t="shared" si="116"/>
        <v>4059/4060</v>
      </c>
      <c r="L231" s="21" t="str">
        <f>VLOOKUP(A231,'Trips&amp;Operators'!$C$1:$G$99999,5,FALSE)</f>
        <v>YANG JAN</v>
      </c>
      <c r="M231" s="6">
        <f t="shared" si="117"/>
        <v>5.3125000049476512E-3</v>
      </c>
      <c r="N231" s="7">
        <f t="shared" si="132"/>
        <v>7.6500000071246177</v>
      </c>
      <c r="O231" s="7"/>
      <c r="P231" s="7"/>
      <c r="Q231" s="22"/>
      <c r="R231" s="170"/>
      <c r="S231" s="213">
        <f t="shared" si="133"/>
        <v>1</v>
      </c>
      <c r="T231" s="195" t="str">
        <f t="shared" si="118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119"/>
        <v>https://d0f6bd738d7f1b3e5a7ca70fe4ff75f0.us-east-1.aws.found.io/app/kibana#/discover/Steve-Slow-Train-Analysis-(2080s-and-2083s)?_g=(refreshInterval:(display:Off,pause:!f,section:0,value:0),time:(from:'2017-07-04T04:57:24-0600',mode:absolute,to:'2017-07-04T07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1" s="197" t="str">
        <f>IF(AA231&lt;VLOOKUP(AG231,Variables!$AC$3:$AD$8,2,FALSE),"Y","N")</f>
        <v>Y</v>
      </c>
      <c r="X231" s="197">
        <f t="shared" si="131"/>
        <v>-858</v>
      </c>
      <c r="Y231" s="197">
        <f t="shared" si="129"/>
        <v>2.3382999999999998</v>
      </c>
      <c r="Z231" s="197">
        <f t="shared" si="130"/>
        <v>6.8000000000000005E-2</v>
      </c>
      <c r="AA231" s="197">
        <f t="shared" si="120"/>
        <v>2.2702999999999998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121"/>
        <v>50</v>
      </c>
      <c r="AE231" s="77" t="str">
        <f t="shared" si="122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31" s="74" t="str">
        <f t="shared" si="123"/>
        <v>"C:\Program Files (x86)\AstroGrep\AstroGrep.exe" /e /r /s /spath="%USERPROFILE%\AppData\Local\Temp\OnboardLogs" /stypes="app*4059*20170704*" /stext=" 12:.+((SYSTEM_STATE.+slice.+state.+changed )|(ment ac)|(multiple cpu faults)|(system.+state.+changed )|(\[timeout)|(PRM\|1\|D)|(kpr)|(kdp)|(train st.+moving)|(\|lc)|(penalty))"</v>
      </c>
      <c r="AG231" s="209" t="str">
        <f t="shared" si="124"/>
        <v>Shuttle/Test</v>
      </c>
      <c r="AH231" s="78" t="str">
        <f t="shared" si="125"/>
        <v>"%USERPROFILE%\Documents\GitHub\eaglep3\Utilities\RefineRTDCRunTimes.py" --tripid 50-04 --locoid 4059 --swversion DE.1.0.9.0 --startMP 300:23383 --initTime 2017-07-04T05:57:24 --startdatetime 2017-07-04T06:02:30 --delay 4 --endMP 204:680 --enddatetime 2017-07-04T06:10:09 --enforcementcount 0 &gt;&gt;C:\Users\stu\Documents\GitHub\eaglep3-reporting\EC\2017-07-04-refined-times.txt</v>
      </c>
      <c r="AI231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0.068"},{"id":17,"name":"Train ID","value":"50-04"},{"id":16,"name":"Locomotive ID","value":"4059"},{"id":130,"name":"Impact","value":""},{"id":150,"name":"Time of Event (Mountain Time)","value":"06:10:09"},{"id":151,"name":"Denver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27"/>
        <v>start /low /b %USERPROFILE%\Documents\GitHub\eaglep3\Utilities\DownloadLogsFromS3.py --loco 4059 --day 2017-07-04</v>
      </c>
      <c r="AN231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12:10:09"},{"id":29,"name":"Sharepoint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733</v>
      </c>
      <c r="B232" s="7">
        <v>4029</v>
      </c>
      <c r="C232" s="21" t="s">
        <v>202</v>
      </c>
      <c r="D232" s="21" t="s">
        <v>931</v>
      </c>
      <c r="E232" s="13">
        <v>42920.445185185185</v>
      </c>
      <c r="F232" s="13">
        <v>42920.447534722225</v>
      </c>
      <c r="G232" s="7">
        <v>3</v>
      </c>
      <c r="H232" s="21" t="s">
        <v>447</v>
      </c>
      <c r="I232" s="13">
        <v>42920.452650462961</v>
      </c>
      <c r="J232" s="7">
        <v>0</v>
      </c>
      <c r="K232" s="89" t="str">
        <f t="shared" si="116"/>
        <v>4029/4030</v>
      </c>
      <c r="L232" s="21" t="str">
        <f>VLOOKUP(A232,'Trips&amp;Operators'!$C$1:$G$99999,5,FALSE)</f>
        <v>NEWELL JAMES</v>
      </c>
      <c r="M232" s="6">
        <f t="shared" si="117"/>
        <v>5.1157407360733487E-3</v>
      </c>
      <c r="N232" s="7">
        <f t="shared" si="132"/>
        <v>7.3666666599456221</v>
      </c>
      <c r="O232" s="7"/>
      <c r="P232" s="7"/>
      <c r="Q232" s="22"/>
      <c r="R232" s="170"/>
      <c r="S232" s="213">
        <f t="shared" si="133"/>
        <v>1</v>
      </c>
      <c r="T232" s="195" t="str">
        <f t="shared" si="118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119"/>
        <v>https://d0f6bd738d7f1b3e5a7ca70fe4ff75f0.us-east-1.aws.found.io/app/kibana#/discover/Steve-Slow-Train-Analysis-(2080s-and-2083s)?_g=(refreshInterval:(display:Off,pause:!f,section:0,value:0),time:(from:'2017-07-04T09:41:04-0600',mode:absolute,to:'2017-07-04T11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2" s="197" t="str">
        <f>IF(AA232&lt;VLOOKUP(AG232,Variables!$AC$3:$AD$8,2,FALSE),"Y","N")</f>
        <v>Y</v>
      </c>
      <c r="X232" s="197">
        <f t="shared" si="131"/>
        <v>2</v>
      </c>
      <c r="Y232" s="197">
        <f t="shared" si="129"/>
        <v>2.3296000000000001</v>
      </c>
      <c r="Z232" s="197">
        <f t="shared" si="130"/>
        <v>1.38E-2</v>
      </c>
      <c r="AA232" s="197">
        <f t="shared" si="120"/>
        <v>2.3158000000000003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121"/>
        <v>52</v>
      </c>
      <c r="AE232" s="77" t="str">
        <f t="shared" si="122"/>
        <v>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 &amp; aws s3 cp s3://rtdc.mdm.uploadarchive.raw/RTDC4029/ "%USERPROFILE%\AppData\Local\Temp\OnboardLogs"\RTDC4029\2017-07-05 --exclude "*" --recursive --include "*20170705*" &amp; "%USERPROFILE%\Documents\GitHub\mrs-test-scripts\Headless Mode &amp; Sideloading\WalkAndUnGZ.bat" "%USERPROFILE%\AppData\Local\Temp\OnboardLogs"\RTDC4029\2017-07-05</v>
      </c>
      <c r="AF232" s="74" t="str">
        <f t="shared" si="123"/>
        <v>"C:\Program Files (x86)\AstroGrep\AstroGrep.exe" /e /r /s /spath="%USERPROFILE%\AppData\Local\Temp\OnboardLogs" /stypes="app*4029*20170704*" /stext=" 16:.+((SYSTEM_STATE.+slice.+state.+changed )|(ment ac)|(multiple cpu faults)|(system.+state.+changed )|(\[timeout)|(PRM\|1\|D)|(kpr)|(kdp)|(train st.+moving)|(\|lc)|(penalty))"</v>
      </c>
      <c r="AG232" s="209" t="str">
        <f t="shared" si="124"/>
        <v>Shuttle/Test</v>
      </c>
      <c r="AH232" s="78" t="str">
        <f t="shared" si="125"/>
        <v>"%USERPROFILE%\Documents\GitHub\eaglep3\Utilities\RefineRTDCRunTimes.py" --tripid 52-04 --locoid 4029 --swversion DE.1.0.9.0 --startMP 300:23296 --initTime 2017-07-04T10:41:04 --startdatetime 2017-07-04T10:44:27 --delay 3 --endMP 204:138 --enddatetime 2017-07-04T10:51:49 --enforcementcount 0 &gt;&gt;C:\Users\stu\Documents\GitHub\eaglep3-reporting\EC\2017-07-04-refined-times.txt</v>
      </c>
      <c r="AI232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0.0138"},{"id":17,"name":"Train ID","value":"52-04"},{"id":16,"name":"Locomotive ID","value":"4029"},{"id":130,"name":"Impact","value":""},{"id":150,"name":"Time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27"/>
        <v>start /low /b %USERPROFILE%\Documents\GitHub\eaglep3\Utilities\DownloadLogsFromS3.py --loco 4029 --day 2017-07-04</v>
      </c>
      <c r="AN232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16:51:49"},{"id":29,"name":"Sharepoint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623</v>
      </c>
      <c r="B233" s="7">
        <v>4029</v>
      </c>
      <c r="C233" s="21" t="s">
        <v>202</v>
      </c>
      <c r="D233" s="21" t="s">
        <v>932</v>
      </c>
      <c r="E233" s="13">
        <v>42920.502523148149</v>
      </c>
      <c r="F233" s="13">
        <v>42920.506284722222</v>
      </c>
      <c r="G233" s="7">
        <v>5</v>
      </c>
      <c r="H233" s="21" t="s">
        <v>933</v>
      </c>
      <c r="I233" s="13">
        <v>42920.511423611111</v>
      </c>
      <c r="J233" s="7">
        <v>0</v>
      </c>
      <c r="K233" s="89" t="str">
        <f t="shared" si="116"/>
        <v>4029/4030</v>
      </c>
      <c r="L233" s="21" t="str">
        <f>VLOOKUP(A233,'Trips&amp;Operators'!$C$1:$G$99999,5,FALSE)</f>
        <v>MOSES BRADLEY</v>
      </c>
      <c r="M233" s="6">
        <f t="shared" si="117"/>
        <v>5.1388888896326534E-3</v>
      </c>
      <c r="N233" s="7">
        <f t="shared" si="132"/>
        <v>7.400000001071021</v>
      </c>
      <c r="O233" s="7"/>
      <c r="P233" s="7"/>
      <c r="Q233" s="22"/>
      <c r="R233" s="170"/>
      <c r="S233" s="213">
        <f t="shared" si="133"/>
        <v>1</v>
      </c>
      <c r="T233" s="195" t="str">
        <f t="shared" si="118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119"/>
        <v>https://d0f6bd738d7f1b3e5a7ca70fe4ff75f0.us-east-1.aws.found.io/app/kibana#/discover/Steve-Slow-Train-Analysis-(2080s-and-2083s)?_g=(refreshInterval:(display:Off,pause:!f,section:0,value:0),time:(from:'2017-07-04T11:03:38-0600',mode:absolute,to:'2017-07-04T13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197" t="str">
        <f>IF(AA233&lt;VLOOKUP(AG233,Variables!$AC$3:$AD$8,2,FALSE),"Y","N")</f>
        <v>Y</v>
      </c>
      <c r="X233" s="197">
        <f t="shared" si="131"/>
        <v>2</v>
      </c>
      <c r="Y233" s="197">
        <f t="shared" si="129"/>
        <v>2.2082999999999999</v>
      </c>
      <c r="Z233" s="197">
        <f t="shared" si="130"/>
        <v>8.9099999999999999E-2</v>
      </c>
      <c r="AA233" s="197">
        <f t="shared" si="120"/>
        <v>2.1191999999999998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121"/>
        <v>54</v>
      </c>
      <c r="AE233" s="77" t="str">
        <f t="shared" si="122"/>
        <v>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 &amp; aws s3 cp s3://rtdc.mdm.uploadarchive.raw/RTDC4029/ "%USERPROFILE%\AppData\Local\Temp\OnboardLogs"\RTDC4029\2017-07-05 --exclude "*" --recursive --include "*20170705*" &amp; "%USERPROFILE%\Documents\GitHub\mrs-test-scripts\Headless Mode &amp; Sideloading\WalkAndUnGZ.bat" "%USERPROFILE%\AppData\Local\Temp\OnboardLogs"\RTDC4029\2017-07-05</v>
      </c>
      <c r="AF233" s="74" t="str">
        <f t="shared" si="123"/>
        <v>"C:\Program Files (x86)\AstroGrep\AstroGrep.exe" /e /r /s /spath="%USERPROFILE%\AppData\Local\Temp\OnboardLogs" /stypes="app*4029*20170704*" /stext=" 18:.+((SYSTEM_STATE.+slice.+state.+changed )|(ment ac)|(multiple cpu faults)|(system.+state.+changed )|(\[timeout)|(PRM\|1\|D)|(kpr)|(kdp)|(train st.+moving)|(\|lc)|(penalty))"</v>
      </c>
      <c r="AG233" s="209" t="str">
        <f t="shared" si="124"/>
        <v>Shuttle/Test</v>
      </c>
      <c r="AH233" s="78" t="str">
        <f t="shared" si="125"/>
        <v>"%USERPROFILE%\Documents\GitHub\eaglep3\Utilities\RefineRTDCRunTimes.py" --tripid 54-04 --locoid 4029 --swversion DE.1.0.9.0 --startMP 300:22083 --initTime 2017-07-04T12:03:38 --startdatetime 2017-07-04T12:09:03 --delay 5 --endMP 204:891 --enddatetime 2017-07-04T12:16:27 --enforcementcount 0 &gt;&gt;C:\Users\stu\Documents\GitHub\eaglep3-reporting\EC\2017-07-04-refined-times.txt</v>
      </c>
      <c r="AI233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0.0891"},{"id":17,"name":"Train ID","value":"54-04"},{"id":16,"name":"Locomotive ID","value":"4029"},{"id":130,"name":"Impact","value":""},{"id":150,"name":"Time of Event (Mountain Time)","value":"12:16:27"},{"id":151,"name":"Denver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27"/>
        <v>start /low /b %USERPROFILE%\Documents\GitHub\eaglep3\Utilities\DownloadLogsFromS3.py --loco 4029 --day 2017-07-04</v>
      </c>
      <c r="AN233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18:16:27"},{"id":29,"name":"Sharepoint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741</v>
      </c>
      <c r="B234" s="7">
        <v>4030</v>
      </c>
      <c r="C234" s="21" t="s">
        <v>202</v>
      </c>
      <c r="D234" s="21" t="s">
        <v>934</v>
      </c>
      <c r="E234" s="13">
        <v>42920.472592592596</v>
      </c>
      <c r="F234" s="13">
        <v>42920.47625</v>
      </c>
      <c r="G234" s="7">
        <v>1</v>
      </c>
      <c r="H234" s="21" t="s">
        <v>935</v>
      </c>
      <c r="I234" s="13">
        <v>42920.484050925923</v>
      </c>
      <c r="J234" s="7">
        <v>0</v>
      </c>
      <c r="K234" s="89" t="str">
        <f t="shared" si="116"/>
        <v>4029/4030</v>
      </c>
      <c r="L234" s="21" t="str">
        <f>VLOOKUP(A234,'Trips&amp;Operators'!$C$1:$G$99999,5,FALSE)</f>
        <v>MAELZER KURT</v>
      </c>
      <c r="M234" s="6">
        <f t="shared" si="117"/>
        <v>7.8009259232203476E-3</v>
      </c>
      <c r="N234" s="7">
        <f t="shared" si="132"/>
        <v>11.233333329437301</v>
      </c>
      <c r="O234" s="7"/>
      <c r="P234" s="7"/>
      <c r="Q234" s="22"/>
      <c r="R234" s="170"/>
      <c r="S234" s="213">
        <f t="shared" si="133"/>
        <v>1</v>
      </c>
      <c r="T234" s="195" t="str">
        <f t="shared" si="118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119"/>
        <v>https://d0f6bd738d7f1b3e5a7ca70fe4ff75f0.us-east-1.aws.found.io/app/kibana#/discover/Steve-Slow-Train-Analysis-(2080s-and-2083s)?_g=(refreshInterval:(display:Off,pause:!f,section:0,value:0),time:(from:'2017-07-04T10:20:32-0600',mode:absolute,to:'2017-07-04T12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4" s="197" t="str">
        <f>IF(AA234&lt;VLOOKUP(AG234,Variables!$AC$3:$AD$8,2,FALSE),"Y","N")</f>
        <v>Y</v>
      </c>
      <c r="X234" s="197">
        <f t="shared" si="131"/>
        <v>1</v>
      </c>
      <c r="Y234" s="197">
        <f t="shared" si="129"/>
        <v>4.5900000000000003E-2</v>
      </c>
      <c r="Z234" s="197">
        <f t="shared" si="130"/>
        <v>2.4235000000000002</v>
      </c>
      <c r="AA234" s="197">
        <f t="shared" si="120"/>
        <v>2.3776000000000002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121"/>
        <v>55</v>
      </c>
      <c r="AE234" s="77" t="str">
        <f t="shared" si="122"/>
        <v>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 &amp; aws s3 cp s3://rtdc.mdm.uploadarchive.raw/RTDC4030/ "%USERPROFILE%\AppData\Local\Temp\OnboardLogs"\RTDC4030\2017-07-05 --exclude "*" --recursive --include "*20170705*" &amp; "%USERPROFILE%\Documents\GitHub\mrs-test-scripts\Headless Mode &amp; Sideloading\WalkAndUnGZ.bat" "%USERPROFILE%\AppData\Local\Temp\OnboardLogs"\RTDC4030\2017-07-05</v>
      </c>
      <c r="AF234" s="74" t="str">
        <f t="shared" si="123"/>
        <v>"C:\Program Files (x86)\AstroGrep\AstroGrep.exe" /e /r /s /spath="%USERPROFILE%\AppData\Local\Temp\OnboardLogs" /stypes="app*4030*20170704*" /stext=" 17:.+((SYSTEM_STATE.+slice.+state.+changed )|(ment ac)|(multiple cpu faults)|(system.+state.+changed )|(\[timeout)|(PRM\|1\|D)|(kpr)|(kdp)|(train st.+moving)|(\|lc)|(penalty))"</v>
      </c>
      <c r="AG234" s="209" t="str">
        <f t="shared" si="124"/>
        <v>Shuttle/Test</v>
      </c>
      <c r="AH234" s="78" t="str">
        <f t="shared" si="125"/>
        <v>"%USERPROFILE%\Documents\GitHub\eaglep3\Utilities\RefineRTDCRunTimes.py" --tripid 55-04 --locoid 4030 --swversion DE.1.0.9.0 --startMP 204:459 --initTime 2017-07-04T11:20:32 --startdatetime 2017-07-04T11:25:48 --delay 1 --endMP 300:24235 --enddatetime 2017-07-04T11:37:02 --enforcementcount 0 &gt;&gt;C:\Users\stu\Documents\GitHub\eaglep3-reporting\EC\2017-07-04-refined-times.txt</v>
      </c>
      <c r="AI234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2.4235"},{"id":17,"name":"Train ID","value":"55-04"},{"id":16,"name":"Locomotive ID","value":"4030"},{"id":130,"name":"Impact","value":""},{"id":150,"name":"Time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27"/>
        <v>start /low /b %USERPROFILE%\Documents\GitHub\eaglep3\Utilities\DownloadLogsFromS3.py --loco 4030 --day 2017-07-04</v>
      </c>
      <c r="AN234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17:37:02"},{"id":29,"name":"Sharepoint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761</v>
      </c>
      <c r="B235" s="7">
        <v>4030</v>
      </c>
      <c r="C235" s="21" t="s">
        <v>202</v>
      </c>
      <c r="D235" s="21" t="s">
        <v>936</v>
      </c>
      <c r="E235" s="13">
        <v>42920.532500000001</v>
      </c>
      <c r="F235" s="13">
        <v>42920.538611111115</v>
      </c>
      <c r="G235" s="7">
        <v>1</v>
      </c>
      <c r="H235" s="21" t="s">
        <v>935</v>
      </c>
      <c r="I235" s="13">
        <v>42920.543819444443</v>
      </c>
      <c r="J235" s="7">
        <v>0</v>
      </c>
      <c r="K235" s="89" t="str">
        <f t="shared" si="116"/>
        <v>4029/4030</v>
      </c>
      <c r="L235" s="21" t="str">
        <f>VLOOKUP(A235,'Trips&amp;Operators'!$C$1:$G$99999,5,FALSE)</f>
        <v>DAVIDSON DAVID</v>
      </c>
      <c r="M235" s="6">
        <f t="shared" si="117"/>
        <v>5.2083333284826949E-3</v>
      </c>
      <c r="N235" s="7">
        <f t="shared" si="132"/>
        <v>7.4999999930150807</v>
      </c>
      <c r="O235" s="7"/>
      <c r="P235" s="7"/>
      <c r="Q235" s="22"/>
      <c r="R235" s="170"/>
      <c r="S235" s="213">
        <f t="shared" si="133"/>
        <v>1</v>
      </c>
      <c r="T235" s="195" t="str">
        <f t="shared" si="118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119"/>
        <v>https://d0f6bd738d7f1b3e5a7ca70fe4ff75f0.us-east-1.aws.found.io/app/kibana#/discover/Steve-Slow-Train-Analysis-(2080s-and-2083s)?_g=(refreshInterval:(display:Off,pause:!f,section:0,value:0),time:(from:'2017-07-04T11:46:48-0600',mode:absolute,to:'2017-07-04T14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5" s="197" t="str">
        <f>IF(AA235&lt;VLOOKUP(AG235,Variables!$AC$3:$AD$8,2,FALSE),"Y","N")</f>
        <v>Y</v>
      </c>
      <c r="X235" s="197">
        <f t="shared" si="131"/>
        <v>2</v>
      </c>
      <c r="Y235" s="197">
        <f t="shared" si="129"/>
        <v>0.1207</v>
      </c>
      <c r="Z235" s="197">
        <f t="shared" si="130"/>
        <v>2.4235000000000002</v>
      </c>
      <c r="AA235" s="197">
        <f t="shared" si="120"/>
        <v>2.3028000000000004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121"/>
        <v>57</v>
      </c>
      <c r="AE235" s="77" t="str">
        <f t="shared" si="122"/>
        <v>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 &amp; aws s3 cp s3://rtdc.mdm.uploadarchive.raw/RTDC4030/ "%USERPROFILE%\AppData\Local\Temp\OnboardLogs"\RTDC4030\2017-07-05 --exclude "*" --recursive --include "*20170705*" &amp; "%USERPROFILE%\Documents\GitHub\mrs-test-scripts\Headless Mode &amp; Sideloading\WalkAndUnGZ.bat" "%USERPROFILE%\AppData\Local\Temp\OnboardLogs"\RTDC4030\2017-07-05</v>
      </c>
      <c r="AF235" s="74" t="str">
        <f t="shared" si="123"/>
        <v>"C:\Program Files (x86)\AstroGrep\AstroGrep.exe" /e /r /s /spath="%USERPROFILE%\AppData\Local\Temp\OnboardLogs" /stypes="app*4030*20170704*" /stext=" 19:.+((SYSTEM_STATE.+slice.+state.+changed )|(ment ac)|(multiple cpu faults)|(system.+state.+changed )|(\[timeout)|(PRM\|1\|D)|(kpr)|(kdp)|(train st.+moving)|(\|lc)|(penalty))"</v>
      </c>
      <c r="AG235" s="209" t="str">
        <f t="shared" si="124"/>
        <v>Shuttle/Test</v>
      </c>
      <c r="AH235" s="78" t="str">
        <f t="shared" si="125"/>
        <v>"%USERPROFILE%\Documents\GitHub\eaglep3\Utilities\RefineRTDCRunTimes.py" --tripid 57-04 --locoid 4030 --swversion DE.1.0.9.0 --startMP 204:1207 --initTime 2017-07-04T12:46:48 --startdatetime 2017-07-04T12:55:36 --delay 1 --endMP 300:24235 --enddatetime 2017-07-04T13:03:06 --enforcementcount 0 &gt;&gt;C:\Users\stu\Documents\GitHub\eaglep3-reporting\EC\2017-07-04-refined-times.txt</v>
      </c>
      <c r="AI235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2.4235"},{"id":17,"name":"Train ID","value":"57-04"},{"id":16,"name":"Locomotive ID","value":"4030"},{"id":130,"name":"Impact","value":""},{"id":150,"name":"Time of Event (Mountain Time)","value":"13:03:06"},{"id":151,"name":"Denver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27"/>
        <v>start /low /b %USERPROFILE%\Documents\GitHub\eaglep3\Utilities\DownloadLogsFromS3.py --loco 4030 --day 2017-07-04</v>
      </c>
      <c r="AN235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19:03:06"},{"id":29,"name":"Sharepoint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657</v>
      </c>
      <c r="B236" s="7">
        <v>4024</v>
      </c>
      <c r="C236" s="21" t="s">
        <v>202</v>
      </c>
      <c r="D236" s="21" t="s">
        <v>486</v>
      </c>
      <c r="E236" s="13">
        <v>42920.127766203703</v>
      </c>
      <c r="F236" s="13">
        <v>42920.138599537036</v>
      </c>
      <c r="G236" s="7">
        <v>1</v>
      </c>
      <c r="H236" s="21" t="s">
        <v>939</v>
      </c>
      <c r="I236" s="13">
        <v>42920.139502314814</v>
      </c>
      <c r="J236" s="7">
        <v>0</v>
      </c>
      <c r="K236" s="89" t="str">
        <f t="shared" si="116"/>
        <v>4023/4024</v>
      </c>
      <c r="L236" s="21" t="str">
        <f>VLOOKUP(A236,'Trips&amp;Operators'!$C$1:$G$99999,5,FALSE)</f>
        <v>SPECTOR MICHAEL</v>
      </c>
      <c r="M236" s="6">
        <f t="shared" si="117"/>
        <v>9.0277777781011537E-4</v>
      </c>
      <c r="N236" s="7">
        <f t="shared" si="132"/>
        <v>1.3000000000465661</v>
      </c>
      <c r="O236" s="7"/>
      <c r="P236" s="7"/>
      <c r="Q236" s="22"/>
      <c r="R236" s="170"/>
      <c r="S236" s="213">
        <f t="shared" si="133"/>
        <v>0</v>
      </c>
      <c r="T236" s="195" t="str">
        <f t="shared" si="118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119"/>
        <v>https://d0f6bd738d7f1b3e5a7ca70fe4ff75f0.us-east-1.aws.found.io/app/kibana#/discover/Steve-Slow-Train-Analysis-(2080s-and-2083s)?_g=(refreshInterval:(display:Off,pause:!f,section:0,value:0),time:(from:'2017-07-04T02:03:59-0600',mode:absolute,to:'2017-07-04T04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197" t="str">
        <f>IF(AA236&lt;VLOOKUP(AG236,Variables!$AC$3:$AD$8,2,FALSE),"Y","N")</f>
        <v>Y</v>
      </c>
      <c r="X236" s="197">
        <f t="shared" si="131"/>
        <v>10</v>
      </c>
      <c r="Y236" s="197">
        <f t="shared" si="129"/>
        <v>4.3700000000000003E-2</v>
      </c>
      <c r="Z236" s="197">
        <f t="shared" si="130"/>
        <v>0.35699999999999998</v>
      </c>
      <c r="AA236" s="197">
        <f t="shared" si="120"/>
        <v>0.31329999999999997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121"/>
        <v>67</v>
      </c>
      <c r="AE236" s="77" t="str">
        <f t="shared" si="122"/>
        <v>aws s3 cp s3://rtdc.mdm.uploadarchive.raw/RTDC4024/ "%USERPROFILE%\AppData\Local\Temp\OnboardLogs"\RTDC4024\2017-07-04 --exclude "*" --recursive --include "*20170704*" &amp; "%USERPROFILE%\Documents\GitHub\mrs-test-scripts\Headless Mode &amp; Sideloading\WalkAndUnGZ.bat" "%USERPROFILE%\AppData\Local\Temp\OnboardLogs"\RTDC4024\2017-07-04 &amp; 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</v>
      </c>
      <c r="AF236" s="74" t="str">
        <f t="shared" si="123"/>
        <v>"C:\Program Files (x86)\AstroGrep\AstroGrep.exe" /e /r /s /spath="%USERPROFILE%\AppData\Local\Temp\OnboardLogs" /stypes="app*4024*20170704*" /stext=" 09:.+((SYSTEM_STATE.+slice.+state.+changed )|(ment ac)|(multiple cpu faults)|(system.+state.+changed )|(\[timeout)|(PRM\|1\|D)|(kpr)|(kdp)|(train st.+moving)|(\|lc)|(penalty))"</v>
      </c>
      <c r="AG236" s="209" t="str">
        <f t="shared" si="124"/>
        <v>Shuttle/Test</v>
      </c>
      <c r="AH236" s="78" t="str">
        <f t="shared" si="125"/>
        <v>"%USERPROFILE%\Documents\GitHub\eaglep3\Utilities\RefineRTDCRunTimes.py" --tripid 67-04 --locoid 4024 --swversion DE.1.0.9.0 --startMP 204:437 --initTime 2017-07-04T03:03:59 --startdatetime 2017-07-04T03:19:35 --delay 1 --endMP 204:3570 --enddatetime 2017-07-04T03:20:53 --enforcementcount 0 &gt;&gt;C:\Users\stu\Documents\GitHub\eaglep3-reporting\EC\2017-07-04-refined-times.txt</v>
      </c>
      <c r="AI236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0.357"},{"id":17,"name":"Train ID","value":"67-04"},{"id":16,"name":"Locomotive ID","value":"4024"},{"id":130,"name":"Impact","value":""},{"id":150,"name":"Time of Event (Mountain Time)","value":"03:20:53"},{"id":151,"name":"Denver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27"/>
        <v>start /low /b %USERPROFILE%\Documents\GitHub\eaglep3\Utilities\DownloadLogsFromS3.py --loco 4024 --day 2017-07-04</v>
      </c>
      <c r="AN236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09:20:53"},{"id":29,"name":"Sharepoint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660</v>
      </c>
      <c r="B237" s="7">
        <v>4023</v>
      </c>
      <c r="C237" s="21" t="s">
        <v>202</v>
      </c>
      <c r="D237" s="21" t="s">
        <v>940</v>
      </c>
      <c r="E237" s="13">
        <v>42920.140844907408</v>
      </c>
      <c r="F237" s="13">
        <v>42920.142638888887</v>
      </c>
      <c r="G237" s="7">
        <v>1</v>
      </c>
      <c r="H237" s="21" t="s">
        <v>941</v>
      </c>
      <c r="I237" s="13">
        <v>42920.143761574072</v>
      </c>
      <c r="J237" s="7">
        <v>0</v>
      </c>
      <c r="K237" s="89" t="str">
        <f t="shared" si="116"/>
        <v>4023/4024</v>
      </c>
      <c r="L237" s="21" t="str">
        <f>VLOOKUP(A237,'Trips&amp;Operators'!$C$1:$G$99999,5,FALSE)</f>
        <v>SPECTOR MICHAEL</v>
      </c>
      <c r="M237" s="6">
        <f t="shared" si="117"/>
        <v>1.1226851856918074E-3</v>
      </c>
      <c r="N237" s="7">
        <f t="shared" si="132"/>
        <v>1.6166666673962027</v>
      </c>
      <c r="O237" s="7"/>
      <c r="P237" s="7"/>
      <c r="Q237" s="22"/>
      <c r="R237" s="170"/>
      <c r="S237" s="213">
        <f t="shared" si="133"/>
        <v>0</v>
      </c>
      <c r="T237" s="195" t="str">
        <f t="shared" si="118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119"/>
        <v>https://d0f6bd738d7f1b3e5a7ca70fe4ff75f0.us-east-1.aws.found.io/app/kibana#/discover/Steve-Slow-Train-Analysis-(2080s-and-2083s)?_g=(refreshInterval:(display:Off,pause:!f,section:0,value:0),time:(from:'2017-07-04T02:22:49-0600',mode:absolute,to:'2017-07-04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7" s="197" t="str">
        <f>IF(AA237&lt;VLOOKUP(AG237,Variables!$AC$3:$AD$8,2,FALSE),"Y","N")</f>
        <v>Y</v>
      </c>
      <c r="X237" s="197">
        <f t="shared" si="131"/>
        <v>1</v>
      </c>
      <c r="Y237" s="197">
        <f t="shared" si="129"/>
        <v>0.32290000000000002</v>
      </c>
      <c r="Z237" s="197">
        <f t="shared" si="130"/>
        <v>0.1188</v>
      </c>
      <c r="AA237" s="197">
        <f t="shared" si="120"/>
        <v>0.2041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121"/>
        <v>68</v>
      </c>
      <c r="AE237" s="77" t="str">
        <f t="shared" si="122"/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AF237" s="74" t="str">
        <f t="shared" si="123"/>
        <v>"C:\Program Files (x86)\AstroGrep\AstroGrep.exe" /e /r /s /spath="%USERPROFILE%\AppData\Local\Temp\OnboardLogs" /stypes="app*4023*20170704*" /stext=" 09:.+((SYSTEM_STATE.+slice.+state.+changed )|(ment ac)|(multiple cpu faults)|(system.+state.+changed )|(\[timeout)|(PRM\|1\|D)|(kpr)|(kdp)|(train st.+moving)|(\|lc)|(penalty))"</v>
      </c>
      <c r="AG237" s="209" t="str">
        <f t="shared" si="124"/>
        <v>Shuttle/Test</v>
      </c>
      <c r="AH237" s="78" t="str">
        <f t="shared" si="125"/>
        <v>"%USERPROFILE%\Documents\GitHub\eaglep3\Utilities\RefineRTDCRunTimes.py" --tripid 68-04 --locoid 4023 --swversion DE.1.0.9.0 --startMP 204:3229 --initTime 2017-07-04T03:22:49 --startdatetime 2017-07-04T03:25:24 --delay 1 --endMP 204:1188 --enddatetime 2017-07-04T03:27:01 --enforcementcount 0 &gt;&gt;C:\Users\stu\Documents\GitHub\eaglep3-reporting\EC\2017-07-04-refined-times.txt</v>
      </c>
      <c r="AI237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0.1188"},{"id":17,"name":"Train ID","value":"68-04"},{"id":16,"name":"Locomotive ID","value":"4023"},{"id":130,"name":"Impact","value":""},{"id":150,"name":"Time of Event (Mountain Time)","value":"03:27:01"},{"id":151,"name":"Denver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27"/>
        <v>start /low /b %USERPROFILE%\Documents\GitHub\eaglep3\Utilities\DownloadLogsFromS3.py --loco 4023 --day 2017-07-04</v>
      </c>
      <c r="AN237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09:27:01"},{"id":29,"name":"Sharepoint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s="20" customFormat="1" x14ac:dyDescent="0.25">
      <c r="A238" s="32" t="s">
        <v>848</v>
      </c>
      <c r="B238" s="7">
        <v>4028</v>
      </c>
      <c r="C238" s="21" t="s">
        <v>202</v>
      </c>
      <c r="D238" s="21" t="s">
        <v>199</v>
      </c>
      <c r="E238" s="13">
        <v>42920.948935185188</v>
      </c>
      <c r="F238" s="13">
        <v>42920.95171296296</v>
      </c>
      <c r="G238" s="7">
        <v>1</v>
      </c>
      <c r="H238" s="21" t="s">
        <v>942</v>
      </c>
      <c r="I238" s="13">
        <v>42920.984594907408</v>
      </c>
      <c r="J238" s="7">
        <v>0</v>
      </c>
      <c r="K238" s="89" t="str">
        <f t="shared" si="116"/>
        <v>4027/4028</v>
      </c>
      <c r="L238" s="21" t="str">
        <f>VLOOKUP(A238,'Trips&amp;Operators'!$C$1:$G$99999,5,FALSE)</f>
        <v>BADERTSCHER DIANE</v>
      </c>
      <c r="M238" s="6">
        <f t="shared" si="117"/>
        <v>3.2881944447581191E-2</v>
      </c>
      <c r="N238" s="7">
        <f t="shared" si="132"/>
        <v>47.350000004516914</v>
      </c>
      <c r="O238" s="7"/>
      <c r="P238" s="7"/>
      <c r="Q238" s="22"/>
      <c r="R238" s="170"/>
      <c r="S238" s="213">
        <f t="shared" si="133"/>
        <v>1</v>
      </c>
      <c r="T238" s="195" t="str">
        <f t="shared" si="118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119"/>
        <v>https://d0f6bd738d7f1b3e5a7ca70fe4ff75f0.us-east-1.aws.found.io/app/kibana#/discover/Steve-Slow-Train-Analysis-(2080s-and-2083s)?_g=(refreshInterval:(display:Off,pause:!f,section:0,value:0),time:(from:'2017-07-04T21:46:28-0600',mode:absolute,to:'2017-07-05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8" s="197" t="str">
        <f>IF(AA238&lt;VLOOKUP(AG238,Variables!$AC$3:$AD$8,2,FALSE),"Y","N")</f>
        <v>Y</v>
      </c>
      <c r="X238" s="197">
        <f t="shared" si="131"/>
        <v>11</v>
      </c>
      <c r="Y238" s="197">
        <f t="shared" si="129"/>
        <v>4.5999999999999999E-2</v>
      </c>
      <c r="Z238" s="197">
        <f t="shared" si="130"/>
        <v>23.325500000000002</v>
      </c>
      <c r="AA238" s="197">
        <f t="shared" si="120"/>
        <v>23.279500000000002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121"/>
        <v>79</v>
      </c>
      <c r="AE238" s="77" t="str">
        <f t="shared" si="122"/>
        <v>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 &amp; aws s3 cp s3://rtdc.mdm.uploadarchive.raw/RTDC4028/ "%USERPROFILE%\AppData\Local\Temp\OnboardLogs"\RTDC4028\2017-07-05 --exclude "*" --recursive --include "*20170705*" &amp; "%USERPROFILE%\Documents\GitHub\mrs-test-scripts\Headless Mode &amp; Sideloading\WalkAndUnGZ.bat" "%USERPROFILE%\AppData\Local\Temp\OnboardLogs"\RTDC4028\2017-07-05</v>
      </c>
      <c r="AF238" s="74" t="str">
        <f t="shared" si="123"/>
        <v>"C:\Program Files (x86)\AstroGrep\AstroGrep.exe" /e /r /s /spath="%USERPROFILE%\AppData\Local\Temp\OnboardLogs" /stypes="app*4028*20170705*" /stext=" 05:.+((SYSTEM_STATE.+slice.+state.+changed )|(ment ac)|(multiple cpu faults)|(system.+state.+changed )|(\[timeout)|(PRM\|1\|D)|(kpr)|(kdp)|(train st.+moving)|(\|lc)|(penalty))"</v>
      </c>
      <c r="AG238" s="209" t="str">
        <f t="shared" si="124"/>
        <v>Shuttle/Test</v>
      </c>
      <c r="AH238" s="78" t="str">
        <f t="shared" si="125"/>
        <v>"%USERPROFILE%\Documents\GitHub\eaglep3\Utilities\RefineRTDCRunTimes.py" --tripid 79-04 --locoid 4028 --swversion DE.1.0.9.0 --startMP 204:460 --initTime 2017-07-04T22:46:28 --startdatetime 2017-07-04T22:50:28 --delay 1 --endMP 204:233255 --enddatetime 2017-07-04T23:37:49 --enforcementcount 0 &gt;&gt;C:\Users\stu\Documents\GitHub\eaglep3-reporting\EC\2017-07-04-refined-times.txt</v>
      </c>
      <c r="AI238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23.3255"},{"id":17,"name":"Train ID","value":"79-04"},{"id":16,"name":"Locomotive ID","value":"4028"},{"id":130,"name":"Impact","value":""},{"id":150,"name":"Time of Event (Mountain Time)","value":"23:37:49"},{"id":151,"name":"Denver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127"/>
        <v>start /low /b %USERPROFILE%\Documents\GitHub\eaglep3\Utilities\DownloadLogsFromS3.py --loco 4028 --day 2017-07-04</v>
      </c>
      <c r="AN238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 s="32" t="s">
        <v>844</v>
      </c>
      <c r="B239" s="7">
        <v>4059</v>
      </c>
      <c r="C239" s="21" t="s">
        <v>202</v>
      </c>
      <c r="D239" s="21" t="s">
        <v>943</v>
      </c>
      <c r="E239" s="13">
        <v>42920.945393518516</v>
      </c>
      <c r="F239" s="13">
        <v>42920.946817129632</v>
      </c>
      <c r="G239" s="7">
        <v>1</v>
      </c>
      <c r="H239" s="21" t="s">
        <v>944</v>
      </c>
      <c r="I239" s="13">
        <v>42920.956134259257</v>
      </c>
      <c r="J239" s="7">
        <v>0</v>
      </c>
      <c r="K239" s="89" t="str">
        <f t="shared" si="116"/>
        <v>4059/4060</v>
      </c>
      <c r="L239" s="21" t="str">
        <f>VLOOKUP(A239,'Trips&amp;Operators'!$C$1:$G$99999,5,FALSE)</f>
        <v>SAFIEF AEIMEN</v>
      </c>
      <c r="M239" s="6">
        <f t="shared" si="117"/>
        <v>9.3171296248328872E-3</v>
      </c>
      <c r="N239" s="7">
        <f t="shared" si="132"/>
        <v>13.416666659759358</v>
      </c>
      <c r="O239" s="7"/>
      <c r="P239" s="7"/>
      <c r="Q239" s="22"/>
      <c r="R239" s="170"/>
      <c r="S239" s="213">
        <f t="shared" si="133"/>
        <v>1</v>
      </c>
      <c r="T239" s="195" t="str">
        <f t="shared" si="118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119"/>
        <v>https://d0f6bd738d7f1b3e5a7ca70fe4ff75f0.us-east-1.aws.found.io/app/kibana#/discover/Steve-Slow-Train-Analysis-(2080s-and-2083s)?_g=(refreshInterval:(display:Off,pause:!f,section:0,value:0),time:(from:'2017-07-04T21:41:22-0600',mode:absolute,to:'2017-07-04T23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9" s="197" t="str">
        <f>IF(AA239&lt;VLOOKUP(AG239,Variables!$AC$3:$AD$8,2,FALSE),"Y","N")</f>
        <v>Y</v>
      </c>
      <c r="X239" s="197">
        <f t="shared" si="131"/>
        <v>1</v>
      </c>
      <c r="Y239" s="197">
        <f t="shared" si="129"/>
        <v>5.8623000000000003</v>
      </c>
      <c r="Z239" s="197">
        <f t="shared" si="130"/>
        <v>7.4099999999999999E-2</v>
      </c>
      <c r="AA239" s="197">
        <f t="shared" si="120"/>
        <v>5.7882000000000007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121"/>
        <v>80</v>
      </c>
      <c r="AE239" s="77" t="str">
        <f t="shared" si="122"/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AF239" s="74" t="str">
        <f t="shared" si="123"/>
        <v>"C:\Program Files (x86)\AstroGrep\AstroGrep.exe" /e /r /s /spath="%USERPROFILE%\AppData\Local\Temp\OnboardLogs" /stypes="app*4059*20170705*" /stext=" 04:.+((SYSTEM_STATE.+slice.+state.+changed )|(ment ac)|(multiple cpu faults)|(system.+state.+changed )|(\[timeout)|(PRM\|1\|D)|(kpr)|(kdp)|(train st.+moving)|(\|lc)|(penalty))"</v>
      </c>
      <c r="AG239" s="209" t="str">
        <f t="shared" si="124"/>
        <v>Shuttle/Test</v>
      </c>
      <c r="AH239" s="78" t="str">
        <f t="shared" si="125"/>
        <v>"%USERPROFILE%\Documents\GitHub\eaglep3\Utilities\RefineRTDCRunTimes.py" --tripid 80-04 --locoid 4059 --swversion DE.1.0.9.0 --startMP 300:58623 --initTime 2017-07-04T22:41:22 --startdatetime 2017-07-04T22:43:25 --delay 1 --endMP 204:741 --enddatetime 2017-07-04T22:56:50 --enforcementcount 0 &gt;&gt;C:\Users\stu\Documents\GitHub\eaglep3-reporting\EC\2017-07-04-refined-times.txt</v>
      </c>
      <c r="AI239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0.0741"},{"id":17,"name":"Train ID","value":"80-04"},{"id":16,"name":"Locomotive ID","value":"4059"},{"id":130,"name":"Impact","value":""},{"id":150,"name":"Time of Event (Mountain Time)","value":"22:56:50"},{"id":151,"name":"Denver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27"/>
        <v>start /low /b %USERPROFILE%\Documents\GitHub\eaglep3\Utilities\DownloadLogsFromS3.py --loco 4059 --day 2017-07-04</v>
      </c>
      <c r="AN239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851</v>
      </c>
      <c r="B240" s="7">
        <v>4060</v>
      </c>
      <c r="C240" s="21" t="s">
        <v>202</v>
      </c>
      <c r="D240" s="21" t="s">
        <v>957</v>
      </c>
      <c r="E240" s="13">
        <v>42920.969988425924</v>
      </c>
      <c r="F240" s="13">
        <v>42920.97314814815</v>
      </c>
      <c r="G240" s="7">
        <v>2</v>
      </c>
      <c r="H240" s="21" t="s">
        <v>958</v>
      </c>
      <c r="I240" s="13">
        <v>42920.982800925929</v>
      </c>
      <c r="J240" s="7">
        <v>0</v>
      </c>
      <c r="K240" s="89" t="str">
        <f t="shared" si="116"/>
        <v>4059/4060</v>
      </c>
      <c r="L240" s="21" t="str">
        <f>VLOOKUP(A240,'Trips&amp;Operators'!$C$1:$G$99999,5,FALSE)</f>
        <v>SAFIEF AEIMEN</v>
      </c>
      <c r="M240" s="6">
        <f t="shared" si="117"/>
        <v>9.6527777786832303E-3</v>
      </c>
      <c r="N240" s="7">
        <f t="shared" si="132"/>
        <v>13.900000001303852</v>
      </c>
      <c r="O240" s="7"/>
      <c r="P240" s="7"/>
      <c r="Q240" s="22"/>
      <c r="R240" s="170"/>
      <c r="S240" s="213">
        <f t="shared" si="133"/>
        <v>1</v>
      </c>
      <c r="T240" s="195" t="str">
        <f t="shared" si="118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119"/>
        <v>https://d0f6bd738d7f1b3e5a7ca70fe4ff75f0.us-east-1.aws.found.io/app/kibana#/discover/Steve-Slow-Train-Analysis-(2080s-and-2083s)?_g=(refreshInterval:(display:Off,pause:!f,section:0,value:0),time:(from:'2017-07-04T22:16:47-0600',mode:absolute,to:'2017-07-05T00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0" s="197" t="str">
        <f>IF(AA240&lt;VLOOKUP(AG240,Variables!$AC$3:$AD$8,2,FALSE),"Y","N")</f>
        <v>Y</v>
      </c>
      <c r="X240" s="197">
        <f t="shared" si="131"/>
        <v>1</v>
      </c>
      <c r="Y240" s="197">
        <f t="shared" si="129"/>
        <v>0.1023</v>
      </c>
      <c r="Z240" s="197">
        <f t="shared" si="130"/>
        <v>5.891</v>
      </c>
      <c r="AA240" s="197">
        <f t="shared" si="120"/>
        <v>5.7887000000000004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121"/>
        <v>81</v>
      </c>
      <c r="AE240" s="77" t="str">
        <f t="shared" si="122"/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AF240" s="74" t="str">
        <f t="shared" si="123"/>
        <v>"C:\Program Files (x86)\AstroGrep\AstroGrep.exe" /e /r /s /spath="%USERPROFILE%\AppData\Local\Temp\OnboardLogs" /stypes="app*4060*20170705*" /stext=" 05:.+((SYSTEM_STATE.+slice.+state.+changed )|(ment ac)|(multiple cpu faults)|(system.+state.+changed )|(\[timeout)|(PRM\|1\|D)|(kpr)|(kdp)|(train st.+moving)|(\|lc)|(penalty))"</v>
      </c>
      <c r="AG240" s="209" t="str">
        <f t="shared" si="124"/>
        <v>Shuttle/Test</v>
      </c>
      <c r="AH240" s="78" t="str">
        <f t="shared" si="125"/>
        <v>"%USERPROFILE%\Documents\GitHub\eaglep3\Utilities\RefineRTDCRunTimes.py" --tripid 81-04 --locoid 4060 --swversion DE.1.0.9.0 --startMP 204:1023 --initTime 2017-07-04T23:16:47 --startdatetime 2017-07-04T23:21:20 --delay 2 --endMP 300:58910 --enddatetime 2017-07-04T23:35:14 --enforcementcount 0 &gt;&gt;C:\Users\stu\Documents\GitHub\eaglep3-reporting\EC\2017-07-04-refined-times.txt</v>
      </c>
      <c r="AI240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5.891"},{"id":17,"name":"Train ID","value":"81-04"},{"id":16,"name":"Locomotive ID","value":"4060"},{"id":130,"name":"Impact","value":""},{"id":150,"name":"Time of Event (Mountain Time)","value":"23:35:14"},{"id":151,"name":"Denver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27"/>
        <v>start /low /b %USERPROFILE%\Documents\GitHub\eaglep3\Utilities\DownloadLogsFromS3.py --loco 4060 --day 2017-07-04</v>
      </c>
      <c r="AN240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05:35:14"},{"id":29,"name":"Sharepoint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843</v>
      </c>
      <c r="B241" s="7">
        <v>4028</v>
      </c>
      <c r="C241" s="21" t="s">
        <v>202</v>
      </c>
      <c r="D241" s="21" t="s">
        <v>605</v>
      </c>
      <c r="E241" s="13">
        <v>42920.938738425924</v>
      </c>
      <c r="F241" s="13">
        <v>42920.941770833335</v>
      </c>
      <c r="G241" s="7">
        <v>3</v>
      </c>
      <c r="H241" s="21" t="s">
        <v>988</v>
      </c>
      <c r="I241" s="13">
        <v>42920.942824074074</v>
      </c>
      <c r="J241" s="7">
        <v>0</v>
      </c>
      <c r="K241" s="89" t="str">
        <f t="shared" si="116"/>
        <v>4027/4028</v>
      </c>
      <c r="L241" s="21" t="str">
        <f>VLOOKUP(A241,'Trips&amp;Operators'!$C$1:$G$99999,5,FALSE)</f>
        <v>BADERTSCHER DIANE</v>
      </c>
      <c r="M241" s="6">
        <f t="shared" si="117"/>
        <v>1.0532407395658083E-3</v>
      </c>
      <c r="N241" s="7">
        <f t="shared" si="132"/>
        <v>1.516666664974764</v>
      </c>
      <c r="O241" s="7"/>
      <c r="P241" s="7"/>
      <c r="Q241" s="22"/>
      <c r="R241" s="170"/>
      <c r="S241" s="213">
        <f t="shared" si="133"/>
        <v>0</v>
      </c>
      <c r="T241" s="195" t="str">
        <f t="shared" si="118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119"/>
        <v>https://d0f6bd738d7f1b3e5a7ca70fe4ff75f0.us-east-1.aws.found.io/app/kibana#/discover/Steve-Slow-Train-Analysis-(2080s-and-2083s)?_g=(refreshInterval:(display:Off,pause:!f,section:0,value:0),time:(from:'2017-07-04T21:31:47-0600',mode:absolute,to:'2017-07-04T23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1" s="197" t="str">
        <f>IF(AA241&lt;VLOOKUP(AG241,Variables!$AC$3:$AD$8,2,FALSE),"Y","N")</f>
        <v>Y</v>
      </c>
      <c r="X241" s="197">
        <f t="shared" si="131"/>
        <v>6</v>
      </c>
      <c r="Y241" s="197">
        <f t="shared" si="129"/>
        <v>0.1148</v>
      </c>
      <c r="Z241" s="197">
        <f t="shared" si="130"/>
        <v>0.37569999999999998</v>
      </c>
      <c r="AA241" s="197">
        <f t="shared" si="120"/>
        <v>0.26089999999999997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121"/>
        <v>87</v>
      </c>
      <c r="AE241" s="77" t="str">
        <f t="shared" si="122"/>
        <v>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 &amp; aws s3 cp s3://rtdc.mdm.uploadarchive.raw/RTDC4028/ "%USERPROFILE%\AppData\Local\Temp\OnboardLogs"\RTDC4028\2017-07-05 --exclude "*" --recursive --include "*20170705*" &amp; "%USERPROFILE%\Documents\GitHub\mrs-test-scripts\Headless Mode &amp; Sideloading\WalkAndUnGZ.bat" "%USERPROFILE%\AppData\Local\Temp\OnboardLogs"\RTDC4028\2017-07-05</v>
      </c>
      <c r="AF241" s="74" t="str">
        <f t="shared" si="123"/>
        <v>"C:\Program Files (x86)\AstroGrep\AstroGrep.exe" /e /r /s /spath="%USERPROFILE%\AppData\Local\Temp\OnboardLogs" /stypes="app*4028*20170705*" /stext=" 04:.+((SYSTEM_STATE.+slice.+state.+changed )|(ment ac)|(multiple cpu faults)|(system.+state.+changed )|(\[timeout)|(PRM\|1\|D)|(kpr)|(kdp)|(train st.+moving)|(\|lc)|(penalty))"</v>
      </c>
      <c r="AG241" s="209" t="str">
        <f t="shared" si="124"/>
        <v>Shuttle/Test</v>
      </c>
      <c r="AH241" s="78" t="str">
        <f t="shared" si="125"/>
        <v>"%USERPROFILE%\Documents\GitHub\eaglep3\Utilities\RefineRTDCRunTimes.py" --tripid 87-04 --locoid 4028 --swversion DE.1.0.9.0 --startMP 204:1148 --initTime 2017-07-04T22:31:47 --startdatetime 2017-07-04T22:36:09 --delay 3 --endMP 204:3757 --enddatetime 2017-07-04T22:37:40 --enforcementcount 0 &gt;&gt;C:\Users\stu\Documents\GitHub\eaglep3-reporting\EC\2017-07-04-refined-times.txt</v>
      </c>
      <c r="AI241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0.3757"},{"id":17,"name":"Train ID","value":"87-04"},{"id":16,"name":"Locomotive ID","value":"4028"},{"id":130,"name":"Impact","value":""},{"id":150,"name":"Time of Event (Mountain Time)","value":"22:37:40"},{"id":151,"name":"Denver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27"/>
        <v>start /low /b %USERPROFILE%\Documents\GitHub\eaglep3\Utilities\DownloadLogsFromS3.py --loco 4028 --day 2017-07-04</v>
      </c>
      <c r="AN241" s="151" t="str">
        <f t="shared" si="128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800</v>
      </c>
      <c r="B242" s="7">
        <v>4016</v>
      </c>
      <c r="C242" s="21" t="s">
        <v>202</v>
      </c>
      <c r="D242" s="21" t="s">
        <v>989</v>
      </c>
      <c r="E242" s="13">
        <v>42920.717129629629</v>
      </c>
      <c r="F242" s="13">
        <v>42920.742280092592</v>
      </c>
      <c r="G242" s="7">
        <v>1</v>
      </c>
      <c r="H242" s="21" t="s">
        <v>990</v>
      </c>
      <c r="I242" s="13">
        <v>42920.748252314814</v>
      </c>
      <c r="J242" s="7">
        <v>0</v>
      </c>
      <c r="K242" s="89" t="str">
        <f t="shared" si="116"/>
        <v>4015/4016</v>
      </c>
      <c r="L242" s="21" t="str">
        <f>VLOOKUP(A242,'Trips&amp;Operators'!$C$1:$G$99999,5,FALSE)</f>
        <v>NEWELL JAMES</v>
      </c>
      <c r="M242" s="6">
        <f t="shared" si="117"/>
        <v>5.9722222213167697E-3</v>
      </c>
      <c r="N242" s="7">
        <f t="shared" si="132"/>
        <v>8.5999999986961484</v>
      </c>
      <c r="O242" s="7"/>
      <c r="P242" s="7"/>
      <c r="Q242" s="22"/>
      <c r="R242" s="170"/>
      <c r="S242" s="213">
        <f t="shared" si="133"/>
        <v>0</v>
      </c>
      <c r="T242" s="195" t="str">
        <f t="shared" si="118"/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119"/>
        <v>https://d0f6bd738d7f1b3e5a7ca70fe4ff75f0.us-east-1.aws.found.io/app/kibana#/discover/Steve-Slow-Train-Analysis-(2080s-and-2083s)?_g=(refreshInterval:(display:Off,pause:!f,section:0,value:0),time:(from:'2017-07-04T16:12:40-0600',mode:absolute,to:'2017-07-04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197" t="str">
        <f>IF(AA242&lt;VLOOKUP(AG242,Variables!$AC$3:$AD$8,2,FALSE),"Y","N")</f>
        <v>Y</v>
      </c>
      <c r="X242" s="197">
        <f t="shared" si="131"/>
        <v>1</v>
      </c>
      <c r="Y242" s="197">
        <f t="shared" si="129"/>
        <v>0.1177</v>
      </c>
      <c r="Z242" s="197">
        <f t="shared" si="130"/>
        <v>2.3258999999999999</v>
      </c>
      <c r="AA242" s="197">
        <f t="shared" si="120"/>
        <v>2.2081999999999997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121"/>
        <v>88</v>
      </c>
      <c r="AE242" s="77" t="str">
        <f t="shared" si="122"/>
        <v>aws s3 cp s3://rtdc.mdm.uploadarchive.raw/RTDC4016/ "%USERPROFILE%\AppData\Local\Temp\OnboardLogs"\RTDC4016\2017-07-04 --exclude "*" --recursive --include "*20170704*" &amp; "%USERPROFILE%\Documents\GitHub\mrs-test-scripts\Headless Mode &amp; Sideloading\WalkAndUnGZ.bat" "%USERPROFILE%\AppData\Local\Temp\OnboardLogs"\RTDC4016\2017-07-04 &amp; aws s3 cp s3://rtdc.mdm.uploadarchive.raw/RTDC4016/ "%USERPROFILE%\AppData\Local\Temp\OnboardLogs"\RTDC4016\2017-07-05 --exclude "*" --recursive --include "*20170705*" &amp; "%USERPROFILE%\Documents\GitHub\mrs-test-scripts\Headless Mode &amp; Sideloading\WalkAndUnGZ.bat" "%USERPROFILE%\AppData\Local\Temp\OnboardLogs"\RTDC4016\2017-07-05</v>
      </c>
      <c r="AF242" s="74" t="str">
        <f t="shared" si="123"/>
        <v>"C:\Program Files (x86)\AstroGrep\AstroGrep.exe" /e /r /s /spath="%USERPROFILE%\AppData\Local\Temp\OnboardLogs" /stypes="app*4016*20170704*" /stext=" 23:.+((SYSTEM_STATE.+slice.+state.+changed )|(ment ac)|(multiple cpu faults)|(system.+state.+changed )|(\[timeout)|(PRM\|1\|D)|(kpr)|(kdp)|(train st.+moving)|(\|lc)|(penalty))"</v>
      </c>
      <c r="AG242" s="209" t="str">
        <f t="shared" si="124"/>
        <v>Shuttle/Test</v>
      </c>
      <c r="AH242" s="78" t="str">
        <f t="shared" si="125"/>
        <v>"%USERPROFILE%\Documents\GitHub\eaglep3\Utilities\RefineRTDCRunTimes.py" --tripid 88-04 --locoid 4016 --swversion DE.1.0.9.0 --startMP 204:1177 --initTime 2017-07-04T17:12:40 --startdatetime 2017-07-04T17:48:53 --delay 1 --endMP 300:23259 --enddatetime 2017-07-04T17:57:29 --enforcementcount 0 &gt;&gt;C:\Users\stu\Documents\GitHub\eaglep3-reporting\EC\2017-07-04-refined-times.txt</v>
      </c>
      <c r="AI242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2.3259"},{"id":17,"name":"Train ID","value":"88-04"},{"id":16,"name":"Locomotive ID","value":"4016"},{"id":130,"name":"Impact","value":""},{"id":150,"name":"Time of Event (Mountain Time)","value":"17:57:29"},{"id":151,"name":"Denver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27"/>
        <v>start /low /b %USERPROFILE%\Documents\GitHub\eaglep3\Utilities\DownloadLogsFromS3.py --loco 4016 --day 2017-07-04</v>
      </c>
      <c r="AN242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794</v>
      </c>
      <c r="B243" s="7">
        <v>4026</v>
      </c>
      <c r="C243" s="21" t="s">
        <v>202</v>
      </c>
      <c r="D243" s="21" t="s">
        <v>991</v>
      </c>
      <c r="E243" s="13">
        <v>42920.70521990741</v>
      </c>
      <c r="F243" s="13">
        <v>42920.715219907404</v>
      </c>
      <c r="G243" s="7">
        <v>3</v>
      </c>
      <c r="H243" s="21" t="s">
        <v>884</v>
      </c>
      <c r="I243" s="13">
        <v>42920.722662037035</v>
      </c>
      <c r="J243" s="7">
        <v>0</v>
      </c>
      <c r="K243" s="89" t="str">
        <f t="shared" si="116"/>
        <v>4025/4026</v>
      </c>
      <c r="L243" s="21" t="str">
        <f>VLOOKUP(A243,'Trips&amp;Operators'!$C$1:$G$99999,5,FALSE)</f>
        <v>DE LA ROSA ALEX</v>
      </c>
      <c r="M243" s="6">
        <f t="shared" si="117"/>
        <v>7.442129630362615E-3</v>
      </c>
      <c r="N243" s="7">
        <f t="shared" si="132"/>
        <v>10.716666667722166</v>
      </c>
      <c r="O243" s="7"/>
      <c r="P243" s="7"/>
      <c r="Q243" s="22"/>
      <c r="R243" s="170"/>
      <c r="S243" s="213">
        <f t="shared" si="133"/>
        <v>1</v>
      </c>
      <c r="T243" s="195" t="str">
        <f t="shared" si="118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119"/>
        <v>https://d0f6bd738d7f1b3e5a7ca70fe4ff75f0.us-east-1.aws.found.io/app/kibana#/discover/Steve-Slow-Train-Analysis-(2080s-and-2083s)?_g=(refreshInterval:(display:Off,pause:!f,section:0,value:0),time:(from:'2017-07-04T15:55:31-0600',mode:absolute,to:'2017-07-04T18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3" s="197" t="str">
        <f>IF(AA243&lt;VLOOKUP(AG243,Variables!$AC$3:$AD$8,2,FALSE),"Y","N")</f>
        <v>Y</v>
      </c>
      <c r="X243" s="197">
        <f t="shared" si="131"/>
        <v>1</v>
      </c>
      <c r="Y243" s="197">
        <f t="shared" si="129"/>
        <v>0.15</v>
      </c>
      <c r="Z243" s="197">
        <f t="shared" si="130"/>
        <v>2.3311999999999999</v>
      </c>
      <c r="AA243" s="197">
        <f t="shared" si="120"/>
        <v>2.1812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121"/>
        <v>89</v>
      </c>
      <c r="AE243" s="77" t="str">
        <f t="shared" si="122"/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AF243" s="74" t="str">
        <f t="shared" si="123"/>
        <v>"C:\Program Files (x86)\AstroGrep\AstroGrep.exe" /e /r /s /spath="%USERPROFILE%\AppData\Local\Temp\OnboardLogs" /stypes="app*4026*20170704*" /stext=" 23:.+((SYSTEM_STATE.+slice.+state.+changed )|(ment ac)|(multiple cpu faults)|(system.+state.+changed )|(\[timeout)|(PRM\|1\|D)|(kpr)|(kdp)|(train st.+moving)|(\|lc)|(penalty))"</v>
      </c>
      <c r="AG243" s="209" t="str">
        <f t="shared" si="124"/>
        <v>Shuttle/Test</v>
      </c>
      <c r="AH243" s="78" t="str">
        <f t="shared" si="125"/>
        <v>"%USERPROFILE%\Documents\GitHub\eaglep3\Utilities\RefineRTDCRunTimes.py" --tripid 89-04 --locoid 4026 --swversion DE.1.0.9.0 --startMP 204:1500 --initTime 2017-07-04T16:55:31 --startdatetime 2017-07-04T17:09:55 --delay 3 --endMP 300:23312 --enddatetime 2017-07-04T17:20:38 --enforcementcount 0 &gt;&gt;C:\Users\stu\Documents\GitHub\eaglep3-reporting\EC\2017-07-04-refined-times.txt</v>
      </c>
      <c r="AI243" s="96" t="str">
        <f t="shared" si="126"/>
        <v>echo {"issue":{"subject":"","project_id":79,"tracker_id":40,"status_id":1,"priority_id":2,"assigned_to_id":23,"start_date":"2017-07-04","description":"","custom_fields":[{"id":1,"name":"Subdivision","value":"Shuttle/Test"},{"id":4,"name":"Milepost","value":"2.3312"},{"id":17,"name":"Train ID","value":"89-04"},{"id":16,"name":"Locomotive ID","value":"4026"},{"id":130,"name":"Impact","value":""},{"id":150,"name":"Time of Event (Mountain Time)","value":"17:20:38"},{"id":151,"name":"Denver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27"/>
        <v>start /low /b %USERPROFILE%\Documents\GitHub\eaglep3\Utilities\DownloadLogsFromS3.py --loco 4026 --day 2017-07-04</v>
      </c>
      <c r="AN243" s="151" t="str">
        <f t="shared" si="128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23:20:38"},{"id":29,"name":"Sharepoint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s="20" customFormat="1" x14ac:dyDescent="0.25">
      <c r="A244" s="32" t="s">
        <v>647</v>
      </c>
      <c r="B244" s="7">
        <v>4027</v>
      </c>
      <c r="C244" s="21" t="s">
        <v>202</v>
      </c>
      <c r="D244" s="21" t="s">
        <v>937</v>
      </c>
      <c r="E244" s="13">
        <v>42920.987719907411</v>
      </c>
      <c r="F244" s="13">
        <v>42920.989895833336</v>
      </c>
      <c r="G244" s="7">
        <v>1</v>
      </c>
      <c r="H244" s="21" t="s">
        <v>938</v>
      </c>
      <c r="I244" s="13">
        <v>42921.017870370371</v>
      </c>
      <c r="J244" s="7">
        <v>0</v>
      </c>
      <c r="K244" s="89" t="str">
        <f t="shared" si="116"/>
        <v>4027/4028</v>
      </c>
      <c r="L244" s="21" t="str">
        <f>VLOOKUP(A244,'Trips&amp;Operators'!$C$1:$G$99999,5,FALSE)</f>
        <v>BADERTSCHER DIANE</v>
      </c>
      <c r="M244" s="6">
        <f t="shared" si="117"/>
        <v>2.7974537035333924E-2</v>
      </c>
      <c r="N244" s="7">
        <f t="shared" si="132"/>
        <v>40.283333330880851</v>
      </c>
      <c r="O244" s="7"/>
      <c r="P244" s="7"/>
      <c r="Q244" s="22"/>
      <c r="R244" s="170"/>
      <c r="S244" s="213">
        <f t="shared" si="133"/>
        <v>1</v>
      </c>
      <c r="T244" s="195" t="str">
        <f t="shared" si="118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119"/>
        <v>https://d0f6bd738d7f1b3e5a7ca70fe4ff75f0.us-east-1.aws.found.io/app/kibana#/discover/Steve-Slow-Train-Analysis-(2080s-and-2083s)?_g=(refreshInterval:(display:Off,pause:!f,section:0,value:0),time:(from:'2017-07-04T22:42:19-0600',mode:absolute,to:'2017-07-05T01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4" s="197" t="str">
        <f>IF(AA244&lt;VLOOKUP(AG244,Variables!$AC$3:$AD$8,2,FALSE),"Y","N")</f>
        <v>N</v>
      </c>
      <c r="X244" s="197">
        <f>VALUE(LEFT(AD244,4))-VALUE(LEFT(AD162,4))</f>
        <v>356</v>
      </c>
      <c r="Y244" s="197">
        <f t="shared" si="129"/>
        <v>23.295000000000002</v>
      </c>
      <c r="Z244" s="197">
        <f t="shared" si="130"/>
        <v>8.9399999999999993E-2</v>
      </c>
      <c r="AA244" s="197">
        <f t="shared" si="120"/>
        <v>23.2056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121"/>
        <v>600</v>
      </c>
      <c r="AE244" s="77" t="str">
        <f t="shared" si="122"/>
        <v>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 &amp; aws s3 cp s3://rtdc.mdm.uploadarchive.raw/RTDC4027/ "%USERPROFILE%\AppData\Local\Temp\OnboardLogs"\RTDC4027\2017-07-05 --exclude "*" --recursive --include "*20170705*" &amp; "%USERPROFILE%\Documents\GitHub\mrs-test-scripts\Headless Mode &amp; Sideloading\WalkAndUnGZ.bat" "%USERPROFILE%\AppData\Local\Temp\OnboardLogs"\RTDC4027\2017-07-05</v>
      </c>
      <c r="AF244" s="74" t="str">
        <f t="shared" si="123"/>
        <v>"C:\Program Files (x86)\AstroGrep\AstroGrep.exe" /e /r /s /spath="%USERPROFILE%\AppData\Local\Temp\OnboardLogs" /stypes="app*4027*20170705*" /stext=" 06:.+((SYSTEM_STATE.+slice.+state.+changed )|(ment ac)|(multiple cpu faults)|(system.+state.+changed )|(\[timeout)|(PRM\|1\|D)|(kpr)|(kdp)|(train st.+moving)|(\|lc)|(penalty))"</v>
      </c>
      <c r="AG244" s="209" t="str">
        <f t="shared" si="124"/>
        <v>GL</v>
      </c>
      <c r="AH244" s="78" t="str">
        <f>refinertdcruntimes&amp;" --tripid "&amp;A244&amp;" --locoid "&amp;B244&amp;" --swversion "&amp;C244&amp;" --startMP "&amp;D244&amp;" --initTime "&amp;TEXT(E244,"yyyy-mm-ddTHH:MM:SS")&amp;" --startdatetime "&amp;TEXT(F244,"yyyy-mm-ddTHH:MM:SS")&amp;" --delay "&amp;G244&amp;" --endMP "&amp;H244&amp;" --enddatetime "&amp;TEXT(I244,"yyyy-mm-ddTHH:MM:SS")&amp;" --enforcementcount "&amp;J244&amp;IF(outputrefinedruntimes," &gt;&gt;"&amp;RefinedRTDCRunTimesOutputFile,"")</f>
        <v>"%USERPROFILE%\Documents\GitHub\eaglep3\Utilities\RefineRTDCRunTimes.py" --tripid 600-04 --locoid 4027 --swversion DE.1.0.9.0 --startMP 204:232950 --initTime 2017-07-04T23:42:19 --startdatetime 2017-07-04T23:45:27 --delay 1 --endMP 204:894 --enddatetime 2017-07-05T00:25:44 --enforcementcount 0 &gt;&gt;C:\Users\stu\Documents\GitHub\eaglep3-reporting\EC\2017-07-04-refined-times.txt</v>
      </c>
      <c r="AI244" s="96" t="str">
        <f>"echo {""issue"":{""subject"":"""&amp;R244&amp;""",""project_id"":79,""tracker_id"":40,""status_id"":"&amp;redmine_status&amp;",""priority_id"":"&amp;redmine_priority&amp;",""assigned_to_id"":"&amp;redmine_assignee&amp;",""start_date"":"""&amp;TEXT(I244,"YYYY-mm-dd")&amp;""",""description"":"""&amp;AJ244&amp;""",""custom_fields"":[{""id"":1,""name"":""Subdivision"",""value"":"""&amp;AG244&amp;"""},{""id"":4,""name"":""Milepost"",""value"":"""&amp;Z244&amp;"""},{""id"":17,""name"":""Train ID"",""value"":"""&amp;A244&amp;"""},{""id"":16,""name"":""Locomotive ID"",""value"":"""&amp;B244&amp;"""},{""id"":130,""name"":""Impact"",""value"":"""&amp;AK244&amp;"""},{""id"":150,""name"":""Time of Event (Mountain Time)"",""value"":"""&amp;TEXT(I244,"hh:mm:ss")&amp;"""},{""id"":151,""name"":""Denver Issue ID"",""value"":"""&amp;"""},{""id"":178,""name"":""Operational Impact"",""value"":"""&amp;redmine_op_impact&amp;"""},{""id"":179,""name"":""Denver Segment Assigned"",""value"":"""&amp;AL244&amp;"""}]}}"&amp;"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{"issue":{"subject":"","project_id":79,"tracker_id":40,"status_id":1,"priority_id":2,"assigned_to_id":23,"start_date":"2017-07-05","description":"","custom_fields":[{"id":1,"name":"Subdivision","value":"GL"},{"id":4,"name":"Milepost","value":"0.0894"},{"id":17,"name":"Train ID","value":"600-04"},{"id":16,"name":"Locomotive ID","value":"4027"},{"id":130,"name":"Impact","value":""},{"id":150,"name":"Time of Event (Mountain Time)","value":"00:25:44"},{"id":151,"name":"Denver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>"start /low /b "&amp;dls3logs&amp;" --loco "&amp;B244&amp;" --day "&amp;TEXT(F244,"YYYY-MM-DD")</f>
        <v>start /low /b %USERPROFILE%\Documents\GitHub\eaglep3\Utilities\DownloadLogsFromS3.py --loco 4027 --day 2017-07-04</v>
      </c>
      <c r="AN244" s="151" t="str">
        <f>"echo {""issue"":{""subject"":"""&amp;R244&amp;""",""project_id"":30,""tracker_id"":4,""status_id"":"&amp;redmine_status_wcr&amp;",""priority_id"":"&amp;redmine_priority_wcr&amp;",""assigned_to_id"":"&amp;redmine_assignee_wcr&amp;",""start_date"":"""&amp;TEXT(I244-utc_offset/24,"YYYY-mm-dd")&amp;""",""description"":"""&amp;AJ244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06:25:44"},{"id":29,"name":"Sharepoint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</sheetData>
  <autoFilter ref="A12:AG279"/>
  <sortState ref="A13:AN233">
    <sortCondition ref="AG13:AG233"/>
    <sortCondition ref="AD13:AD233"/>
  </sortState>
  <mergeCells count="1">
    <mergeCell ref="A11:P11"/>
  </mergeCells>
  <conditionalFormatting sqref="W11:W12 W284:X1048576 W13:X244">
    <cfRule type="cellIs" dxfId="10" priority="415" operator="equal">
      <formula>"Y"</formula>
    </cfRule>
  </conditionalFormatting>
  <conditionalFormatting sqref="X284:X1048576 X13:X244">
    <cfRule type="cellIs" dxfId="9" priority="398" operator="greaterThan">
      <formula>1</formula>
    </cfRule>
  </conditionalFormatting>
  <conditionalFormatting sqref="X284:X1048576 X12:X244">
    <cfRule type="cellIs" dxfId="8" priority="395" operator="equal">
      <formula>0</formula>
    </cfRule>
  </conditionalFormatting>
  <conditionalFormatting sqref="A13:S24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abSelected="1" topLeftCell="A11" workbookViewId="0">
      <selection activeCell="P29" sqref="P2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47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463</v>
      </c>
      <c r="X6" s="208" t="s">
        <v>456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42920.479386574072</v>
      </c>
      <c r="B7" s="30" t="s">
        <v>537</v>
      </c>
      <c r="C7" s="30" t="s">
        <v>620</v>
      </c>
      <c r="D7" s="30" t="s">
        <v>49</v>
      </c>
      <c r="E7" s="30" t="s">
        <v>187</v>
      </c>
      <c r="F7" s="42">
        <v>0</v>
      </c>
      <c r="G7" s="42">
        <v>212</v>
      </c>
      <c r="H7" s="42">
        <v>31091</v>
      </c>
      <c r="I7" s="42">
        <v>30842</v>
      </c>
      <c r="J7" s="30" t="s">
        <v>188</v>
      </c>
      <c r="K7" s="42">
        <v>30970</v>
      </c>
      <c r="L7" s="131" t="s">
        <v>51</v>
      </c>
      <c r="M7" s="132">
        <f t="shared" ref="M7:M53" si="0">CONVERT((I7-K7)/10000,"mi","ft")*IF(L7="Increasing Mileposts (1)",-1,1)</f>
        <v>-67.584000000000003</v>
      </c>
      <c r="N7" s="133" t="str">
        <f>VLOOKUP(C7,'Trips&amp;Operators'!$C$1:$G$99999,5,FALSE)</f>
        <v>MACDONALD THOMAS</v>
      </c>
      <c r="O7" s="203" t="s">
        <v>180</v>
      </c>
      <c r="P7" s="134" t="s">
        <v>481</v>
      </c>
      <c r="Q7" s="30"/>
      <c r="R7" s="81" t="str">
        <f>VLOOKUP(C7,'Train Runs'!$A$13:$AE$9938,31,0)</f>
        <v>aws s3 cp s3://rtdc.mdm.uploadarchive.raw/RTDC4063/ "%USERPROFILE%\AppData\Local\Temp\OnboardLogs"\RTDC4063\2017-07-04 --exclude "*" --recursive --include "*20170704*" &amp; "%USERPROFILE%\Documents\GitHub\mrs-test-scripts\Headless Mode &amp; Sideloading\WalkAndUnGZ.bat" "%USERPROFILE%\AppData\Local\Temp\OnboardLogs"\RTDC4063\2017-07-04 &amp; 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</v>
      </c>
      <c r="S7" s="84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-07-04T09:54:50-0600',mode:absolute,to:'2017-07-04T12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/stypes="*4063*201707041*" /stext=" 17:.+((SYSTEM_STATE.+slice.+state.+changed )|(ment ac)|(multiple cpu faults)|(system.+state.+changed )|(\[timeout)|(PRM\|1\|D)|(kpr)|(kdp)|(train st.+moving)|(\|lc)|(penalty))"</v>
      </c>
      <c r="U7" s="9" t="str">
        <f t="shared" ref="U7:U53" si="2">MID(B7,13,4)</f>
        <v>4063</v>
      </c>
      <c r="V7" s="31">
        <f t="shared" ref="V7:V53" si="3">A7-utc_offset/24</f>
        <v>42920.729386574072</v>
      </c>
      <c r="W7" s="45" t="str">
        <f t="shared" ref="W7:W53" si="4">DetSubdiv(C7)</f>
        <v>EC</v>
      </c>
      <c r="X7" s="22">
        <f t="shared" ref="X7:X53" si="5">VALUE(LEFT(C7,LEN(C7)-3))</f>
        <v>152</v>
      </c>
      <c r="Y7" s="96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arrival","project_id":79,"tracker_id":40,"status_id":1,"priority_id":2,"assigned_to_id":23,"start_date":"2017-07-04","description":"","custom_fields":[{"id":1,"name":"Subdivision","value":"EC"},{"id":4,"name":"Milepost","value":"3.097"},{"id":17,"name":"Train ID","value":"152-04"},{"id":16,"name":"Locomotive ID","value":"4063"},{"id":130,"name":"Impact","value":""},{"id":150,"name":"Time of Event (Mountain Time)","value":"11:30:19"},{"id":151,"name":"Denver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/c/Users/stu/AppData/Local/Temp/OnboardLogs/RTDC4063 --include="*4063*201707041*"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"%USERPROFILE%\AppData\Local\Temp\OnboardLogs"\RTDC4063\*4063*201707041* &gt;&gt; 2017-07-04-SliceDisagreementCheck.txt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4063 --day 2017-07-04</v>
      </c>
    </row>
    <row r="8" spans="1:32" s="1" customFormat="1" x14ac:dyDescent="0.25">
      <c r="A8" s="31">
        <v>42920.35015046296</v>
      </c>
      <c r="B8" s="30" t="s">
        <v>538</v>
      </c>
      <c r="C8" s="30" t="s">
        <v>614</v>
      </c>
      <c r="D8" s="30" t="s">
        <v>49</v>
      </c>
      <c r="E8" s="30" t="s">
        <v>187</v>
      </c>
      <c r="F8" s="42">
        <v>170</v>
      </c>
      <c r="G8" s="42">
        <v>230</v>
      </c>
      <c r="H8" s="42">
        <v>33093</v>
      </c>
      <c r="I8" s="42">
        <v>33353</v>
      </c>
      <c r="J8" s="30" t="s">
        <v>188</v>
      </c>
      <c r="K8" s="42">
        <v>33137</v>
      </c>
      <c r="L8" s="131" t="s">
        <v>50</v>
      </c>
      <c r="M8" s="132">
        <f t="shared" si="0"/>
        <v>-114.048</v>
      </c>
      <c r="N8" s="133" t="str">
        <f>VLOOKUP(C8,'Trips&amp;Operators'!$C$1:$G$99999,5,FALSE)</f>
        <v>MACDONALD THOMAS</v>
      </c>
      <c r="O8" s="203" t="s">
        <v>180</v>
      </c>
      <c r="P8" s="134" t="s">
        <v>481</v>
      </c>
      <c r="Q8" s="30"/>
      <c r="R8" s="81" t="str">
        <f>VLOOKUP(C8,'Train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8" s="84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-07-04T07:12:43-0600',mode:absolute,to:'2017-07-04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8" s="86" t="str">
        <f t="shared" si="1"/>
        <v>"C:\Program Files (x86)\AstroGrep\AstroGrep.exe" /e /r /s /spath="%USERPROFILE%\AppData\Local\Temp\OnboardLogs" /stypes="*4064*201707041*"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4064</v>
      </c>
      <c r="V8" s="31">
        <f t="shared" si="3"/>
        <v>42920.60015046296</v>
      </c>
      <c r="W8" s="45" t="str">
        <f t="shared" si="4"/>
        <v>EC</v>
      </c>
      <c r="X8" s="22">
        <f t="shared" si="5"/>
        <v>137</v>
      </c>
      <c r="Y8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arrival","project_id":79,"tracker_id":40,"status_id":1,"priority_id":2,"assigned_to_id":23,"start_date":"2017-07-04","description":"","custom_fields":[{"id":1,"name":"Subdivision","value":"EC"},{"id":4,"name":"Milepost","value":"3.3137"},{"id":17,"name":"Train ID","value":"137-04"},{"id":16,"name":"Locomotive ID","value":"4064"},{"id":130,"name":"Impact","value":""},{"id":150,"name":"Time of Event (Mountain Time)","value":"08:24:13"},{"id":151,"name":"Denver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/c/Users/stu/AppData/Local/Temp/OnboardLogs/RTDC4064 --include="*4064*201707041*"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"%USERPROFILE%\AppData\Local\Temp\OnboardLogs"\RTDC4064\*4064*201707041* &gt;&gt; 2017-07-04-SliceDisagreementCheck.txt</v>
      </c>
      <c r="AE8" s="145" t="str">
        <f t="shared" ref="AE8:AE53" si="9">"start /low /b "&amp;dls3logs&amp;" --loco "&amp;U8&amp;" --day "&amp;TEXT(V8,"YYYY-MM-DD")</f>
        <v>start /low /b %USERPROFILE%\Documents\GitHub\eaglep3\Utilities\DownloadLogsFromS3.py --loco 4064 --day 2017-07-04</v>
      </c>
    </row>
    <row r="9" spans="1:32" s="1" customFormat="1" x14ac:dyDescent="0.25">
      <c r="A9" s="31">
        <v>42920.349583333336</v>
      </c>
      <c r="B9" s="30" t="s">
        <v>538</v>
      </c>
      <c r="C9" s="30" t="s">
        <v>614</v>
      </c>
      <c r="D9" s="30" t="s">
        <v>49</v>
      </c>
      <c r="E9" s="30" t="s">
        <v>187</v>
      </c>
      <c r="F9" s="42">
        <v>270</v>
      </c>
      <c r="G9" s="42">
        <v>344</v>
      </c>
      <c r="H9" s="42">
        <v>31821</v>
      </c>
      <c r="I9" s="42">
        <v>32561</v>
      </c>
      <c r="J9" s="30" t="s">
        <v>188</v>
      </c>
      <c r="K9" s="42">
        <v>33137</v>
      </c>
      <c r="L9" s="131" t="s">
        <v>50</v>
      </c>
      <c r="M9" s="132">
        <f t="shared" si="0"/>
        <v>304.12799999999999</v>
      </c>
      <c r="N9" s="133" t="str">
        <f>VLOOKUP(C9,'Trips&amp;Operators'!$C$1:$G$99999,5,FALSE)</f>
        <v>MACDONALD THOMAS</v>
      </c>
      <c r="O9" s="203" t="s">
        <v>180</v>
      </c>
      <c r="P9" s="134" t="s">
        <v>481</v>
      </c>
      <c r="Q9" s="30"/>
      <c r="R9" s="81" t="str">
        <f>VLOOKUP(C9,'Train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9" s="84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-07-04T07:12:43-0600',mode:absolute,to:'2017-07-04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9" s="86" t="str">
        <f t="shared" si="1"/>
        <v>"C:\Program Files (x86)\AstroGrep\AstroGrep.exe" /e /r /s /spath="%USERPROFILE%\AppData\Local\Temp\OnboardLogs" /stypes="*4064*201707041*"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4064</v>
      </c>
      <c r="V9" s="31">
        <f t="shared" si="3"/>
        <v>42920.599583333336</v>
      </c>
      <c r="W9" s="45" t="str">
        <f t="shared" si="4"/>
        <v>EC</v>
      </c>
      <c r="X9" s="22">
        <f t="shared" si="5"/>
        <v>137</v>
      </c>
      <c r="Y9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arrival","project_id":79,"tracker_id":40,"status_id":1,"priority_id":2,"assigned_to_id":23,"start_date":"2017-07-04","description":"","custom_fields":[{"id":1,"name":"Subdivision","value":"EC"},{"id":4,"name":"Milepost","value":"3.3137"},{"id":17,"name":"Train ID","value":"137-04"},{"id":16,"name":"Locomotive ID","value":"4064"},{"id":130,"name":"Impact","value":""},{"id":150,"name":"Time of Event (Mountain Time)","value":"08:23:24"},{"id":151,"name":"Denver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/c/Users/stu/AppData/Local/Temp/OnboardLogs/RTDC4064 --include="*4064*201707041*"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"%USERPROFILE%\AppData\Local\Temp\OnboardLogs"\RTDC4064\*4064*201707041* &gt;&gt; 2017-07-04-SliceDisagreementCheck.txt</v>
      </c>
      <c r="AE9" s="145" t="str">
        <f t="shared" si="9"/>
        <v>start /low /b %USERPROFILE%\Documents\GitHub\eaglep3\Utilities\DownloadLogsFromS3.py --loco 4064 --day 2017-07-04</v>
      </c>
    </row>
    <row r="10" spans="1:32" s="1" customFormat="1" x14ac:dyDescent="0.25">
      <c r="A10" s="31">
        <v>42920.310486111113</v>
      </c>
      <c r="B10" s="30" t="s">
        <v>438</v>
      </c>
      <c r="C10" s="30" t="s">
        <v>611</v>
      </c>
      <c r="D10" s="30" t="s">
        <v>49</v>
      </c>
      <c r="E10" s="30" t="s">
        <v>187</v>
      </c>
      <c r="F10" s="42">
        <v>250</v>
      </c>
      <c r="G10" s="42">
        <v>314</v>
      </c>
      <c r="H10" s="42">
        <v>42044</v>
      </c>
      <c r="I10" s="42">
        <v>42810</v>
      </c>
      <c r="J10" s="30" t="s">
        <v>188</v>
      </c>
      <c r="K10" s="42">
        <v>42779</v>
      </c>
      <c r="L10" s="131" t="s">
        <v>50</v>
      </c>
      <c r="M10" s="132">
        <f t="shared" si="0"/>
        <v>-16.367999999999999</v>
      </c>
      <c r="N10" s="133" t="str">
        <f>VLOOKUP(C10,'Trips&amp;Operators'!$C$1:$G$99999,5,FALSE)</f>
        <v>CUSHING HARRY</v>
      </c>
      <c r="O10" s="203" t="s">
        <v>180</v>
      </c>
      <c r="P10" s="134" t="s">
        <v>481</v>
      </c>
      <c r="Q10" s="30"/>
      <c r="R10" s="81" t="str">
        <f>VLOOKUP(C10,'Train Runs'!$A$13:$AE$9938,31,0)</f>
        <v>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 &amp; 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</v>
      </c>
      <c r="S10" s="84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-07-04T06:11:45-0600',mode:absolute,to:'2017-07-04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0" s="86" t="str">
        <f t="shared" si="1"/>
        <v>"C:\Program Files (x86)\AstroGrep\AstroGrep.exe" /e /r /s /spath="%USERPROFILE%\AppData\Local\Temp\OnboardLogs" /stypes="*4046*201707041*"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4046</v>
      </c>
      <c r="V10" s="31">
        <f t="shared" si="3"/>
        <v>42920.560486111113</v>
      </c>
      <c r="W10" s="45" t="str">
        <f t="shared" si="4"/>
        <v>EC</v>
      </c>
      <c r="X10" s="22">
        <f t="shared" si="5"/>
        <v>129</v>
      </c>
      <c r="Y10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arrival","project_id":79,"tracker_id":40,"status_id":1,"priority_id":2,"assigned_to_id":23,"start_date":"2017-07-04","description":"","custom_fields":[{"id":1,"name":"Subdivision","value":"EC"},{"id":4,"name":"Milepost","value":"4.2779"},{"id":17,"name":"Train ID","value":"129-04"},{"id":16,"name":"Locomotive ID","value":"4046"},{"id":130,"name":"Impact","value":""},{"id":150,"name":"Time of Event (Mountain Time)","value":"07:27:06"},{"id":151,"name":"Denver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/c/Users/stu/AppData/Local/Temp/OnboardLogs/RTDC4046 --include="*4046*201707041*"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"%USERPROFILE%\AppData\Local\Temp\OnboardLogs"\RTDC4046\*4046*201707041* &gt;&gt; 2017-07-04-SliceDisagreementCheck.txt</v>
      </c>
      <c r="AE10" s="145" t="str">
        <f t="shared" si="9"/>
        <v>start /low /b %USERPROFILE%\Documents\GitHub\eaglep3\Utilities\DownloadLogsFromS3.py --loco 4046 --day 2017-07-04</v>
      </c>
    </row>
    <row r="11" spans="1:32" s="1" customFormat="1" x14ac:dyDescent="0.25">
      <c r="A11" s="31">
        <v>42920.488668981481</v>
      </c>
      <c r="B11" s="30" t="s">
        <v>396</v>
      </c>
      <c r="C11" s="30" t="s">
        <v>621</v>
      </c>
      <c r="D11" s="30" t="s">
        <v>49</v>
      </c>
      <c r="E11" s="30" t="s">
        <v>187</v>
      </c>
      <c r="F11" s="42">
        <v>0</v>
      </c>
      <c r="G11" s="42">
        <v>43</v>
      </c>
      <c r="H11" s="42">
        <v>57941</v>
      </c>
      <c r="I11" s="42">
        <v>58162</v>
      </c>
      <c r="J11" s="30" t="s">
        <v>188</v>
      </c>
      <c r="K11" s="42">
        <v>58118</v>
      </c>
      <c r="L11" s="131" t="s">
        <v>50</v>
      </c>
      <c r="M11" s="132">
        <f t="shared" si="0"/>
        <v>-23.231999999999999</v>
      </c>
      <c r="N11" s="133" t="str">
        <f>VLOOKUP(C11,'Trips&amp;Operators'!$C$1:$G$99999,5,FALSE)</f>
        <v>NEWELL JAMES</v>
      </c>
      <c r="O11" s="203" t="s">
        <v>180</v>
      </c>
      <c r="P11" s="134" t="s">
        <v>536</v>
      </c>
      <c r="Q11" s="30"/>
      <c r="R11" s="81" t="str">
        <f>VLOOKUP(C11,'Train Runs'!$A$13:$AE$9938,31,0)</f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S11" s="84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-07-04T10:23:35-0600',mode:absolute,to:'2017-07-04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 t="shared" si="1"/>
        <v>"C:\Program Files (x86)\AstroGrep\AstroGrep.exe" /e /r /s /spath="%USERPROFILE%\AppData\Local\Temp\OnboardLogs" /stypes="*4050*201707041*"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4050</v>
      </c>
      <c r="V11" s="31">
        <f t="shared" si="3"/>
        <v>42920.738668981481</v>
      </c>
      <c r="W11" s="45" t="str">
        <f t="shared" si="4"/>
        <v>EC</v>
      </c>
      <c r="X11" s="22">
        <f t="shared" si="5"/>
        <v>163</v>
      </c>
      <c r="Y11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C","project_id":79,"tracker_id":40,"status_id":1,"priority_id":2,"assigned_to_id":23,"start_date":"2017-07-04","description":"","custom_fields":[{"id":1,"name":"Subdivision","value":"EC"},{"id":4,"name":"Milepost","value":"5.8118"},{"id":17,"name":"Train ID","value":"163-04"},{"id":16,"name":"Locomotive ID","value":"4050"},{"id":130,"name":"Impact","value":""},{"id":150,"name":"Time of Event (Mountain Time)","value":"11:43:41"},{"id":151,"name":"Denver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/c/Users/stu/AppData/Local/Temp/OnboardLogs/RTDC4050 --include="*4050*201707041*"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"%USERPROFILE%\AppData\Local\Temp\OnboardLogs"\RTDC4050\*4050*201707041* &gt;&gt; 2017-07-04-SliceDisagreementCheck.txt</v>
      </c>
      <c r="AE11" s="145" t="str">
        <f t="shared" si="9"/>
        <v>start /low /b %USERPROFILE%\Documents\GitHub\eaglep3\Utilities\DownloadLogsFromS3.py --loco 4050 --day 2017-07-04</v>
      </c>
    </row>
    <row r="12" spans="1:32" s="1" customFormat="1" x14ac:dyDescent="0.25">
      <c r="A12" s="31">
        <v>42920.488275462965</v>
      </c>
      <c r="B12" s="30" t="s">
        <v>396</v>
      </c>
      <c r="C12" s="30" t="s">
        <v>621</v>
      </c>
      <c r="D12" s="30" t="s">
        <v>49</v>
      </c>
      <c r="E12" s="30" t="s">
        <v>187</v>
      </c>
      <c r="F12" s="42">
        <v>20</v>
      </c>
      <c r="G12" s="42">
        <v>162</v>
      </c>
      <c r="H12" s="42">
        <v>57677</v>
      </c>
      <c r="I12" s="42">
        <v>57897</v>
      </c>
      <c r="J12" s="30" t="s">
        <v>188</v>
      </c>
      <c r="K12" s="42">
        <v>58118</v>
      </c>
      <c r="L12" s="131" t="s">
        <v>50</v>
      </c>
      <c r="M12" s="132">
        <f t="shared" si="0"/>
        <v>116.688</v>
      </c>
      <c r="N12" s="133" t="str">
        <f>VLOOKUP(C12,'Trips&amp;Operators'!$C$1:$G$99999,5,FALSE)</f>
        <v>NEWELL JAMES</v>
      </c>
      <c r="O12" s="203" t="s">
        <v>180</v>
      </c>
      <c r="P12" s="134" t="s">
        <v>481</v>
      </c>
      <c r="Q12" s="30"/>
      <c r="R12" s="81" t="str">
        <f>VLOOKUP(C12,'Train Runs'!$A$13:$AE$9938,31,0)</f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S12" s="84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-07-04T10:23:35-0600',mode:absolute,to:'2017-07-04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2" s="86" t="str">
        <f t="shared" si="1"/>
        <v>"C:\Program Files (x86)\AstroGrep\AstroGrep.exe" /e /r /s /spath="%USERPROFILE%\AppData\Local\Temp\OnboardLogs" /stypes="*4050*201707041*"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4050</v>
      </c>
      <c r="V12" s="31">
        <f t="shared" si="3"/>
        <v>42920.738275462965</v>
      </c>
      <c r="W12" s="45" t="str">
        <f t="shared" si="4"/>
        <v>EC</v>
      </c>
      <c r="X12" s="22">
        <f t="shared" si="5"/>
        <v>163</v>
      </c>
      <c r="Y12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arrival","project_id":79,"tracker_id":40,"status_id":1,"priority_id":2,"assigned_to_id":23,"start_date":"2017-07-04","description":"","custom_fields":[{"id":1,"name":"Subdivision","value":"EC"},{"id":4,"name":"Milepost","value":"5.8118"},{"id":17,"name":"Train ID","value":"163-04"},{"id":16,"name":"Locomotive ID","value":"4050"},{"id":130,"name":"Impact","value":""},{"id":150,"name":"Time of Event (Mountain Time)","value":"11:43:07"},{"id":151,"name":"Denver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/c/Users/stu/AppData/Local/Temp/OnboardLogs/RTDC4050 --include="*4050*201707041*"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"%USERPROFILE%\AppData\Local\Temp\OnboardLogs"\RTDC4050\*4050*201707041* &gt;&gt; 2017-07-04-SliceDisagreementCheck.txt</v>
      </c>
      <c r="AE12" s="145" t="str">
        <f t="shared" si="9"/>
        <v>start /low /b %USERPROFILE%\Documents\GitHub\eaglep3\Utilities\DownloadLogsFromS3.py --loco 4050 --day 2017-07-04</v>
      </c>
    </row>
    <row r="13" spans="1:32" s="1" customFormat="1" x14ac:dyDescent="0.25">
      <c r="A13" s="31">
        <v>42920.186655092592</v>
      </c>
      <c r="B13" s="30" t="s">
        <v>561</v>
      </c>
      <c r="C13" s="30" t="s">
        <v>607</v>
      </c>
      <c r="D13" s="30" t="s">
        <v>49</v>
      </c>
      <c r="E13" s="30" t="s">
        <v>187</v>
      </c>
      <c r="F13" s="42">
        <v>0</v>
      </c>
      <c r="G13" s="42">
        <v>186</v>
      </c>
      <c r="H13" s="42">
        <v>58147</v>
      </c>
      <c r="I13" s="42">
        <v>58357</v>
      </c>
      <c r="J13" s="30" t="s">
        <v>188</v>
      </c>
      <c r="K13" s="42">
        <v>58783</v>
      </c>
      <c r="L13" s="131" t="s">
        <v>50</v>
      </c>
      <c r="M13" s="132">
        <f t="shared" si="0"/>
        <v>224.928</v>
      </c>
      <c r="N13" s="133" t="str">
        <f>VLOOKUP(C13,'Trips&amp;Operators'!$C$1:$G$99999,5,FALSE)</f>
        <v>MAELZER KURT</v>
      </c>
      <c r="O13" s="203" t="s">
        <v>180</v>
      </c>
      <c r="P13" s="134" t="s">
        <v>536</v>
      </c>
      <c r="Q13" s="30"/>
      <c r="R13" s="81" t="str">
        <f>VLOOKUP(C13,'Train Runs'!$A$13:$AE$9938,31,0)</f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S13" s="84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-07-04T03:05:56-0600',mode:absolute,to:'2017-07-04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6" t="str">
        <f t="shared" si="1"/>
        <v>"C:\Program Files (x86)\AstroGrep\AstroGrep.exe" /e /r /s /spath="%USERPROFILE%\AppData\Local\Temp\OnboardLogs" /stypes="*4026*201707041*" /stext=" 10:.+((SYSTEM_STATE.+slice.+state.+changed )|(ment ac)|(multiple cpu faults)|(system.+state.+changed )|(\[timeout)|(PRM\|1\|D)|(kpr)|(kdp)|(train st.+moving)|(\|lc)|(penalty))"</v>
      </c>
      <c r="U13" s="9" t="str">
        <f t="shared" si="2"/>
        <v>4026</v>
      </c>
      <c r="V13" s="31">
        <f t="shared" si="3"/>
        <v>42920.436655092592</v>
      </c>
      <c r="W13" s="45" t="str">
        <f t="shared" si="4"/>
        <v>EC</v>
      </c>
      <c r="X13" s="22">
        <f t="shared" si="5"/>
        <v>105</v>
      </c>
      <c r="Y13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C","project_id":79,"tracker_id":40,"status_id":1,"priority_id":2,"assigned_to_id":23,"start_date":"2017-07-04","description":"","custom_fields":[{"id":1,"name":"Subdivision","value":"EC"},{"id":4,"name":"Milepost","value":"5.8783"},{"id":17,"name":"Train ID","value":"105-04"},{"id":16,"name":"Locomotive ID","value":"4026"},{"id":130,"name":"Impact","value":""},{"id":150,"name":"Time of Event (Mountain Time)","value":"04:28:47"},{"id":151,"name":"Denver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/c/Users/stu/AppData/Local/Temp/OnboardLogs/RTDC4026 --include="*4026*201707041*"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"%USERPROFILE%\AppData\Local\Temp\OnboardLogs"\RTDC4026\*4026*201707041* &gt;&gt; 2017-07-04-SliceDisagreementCheck.txt</v>
      </c>
      <c r="AE13" s="145" t="str">
        <f t="shared" si="9"/>
        <v>start /low /b %USERPROFILE%\Documents\GitHub\eaglep3\Utilities\DownloadLogsFromS3.py --loco 4026 --day 2017-07-04</v>
      </c>
    </row>
    <row r="14" spans="1:32" x14ac:dyDescent="0.25">
      <c r="A14" s="31">
        <v>42920.405057870368</v>
      </c>
      <c r="B14" s="30" t="s">
        <v>561</v>
      </c>
      <c r="C14" s="30" t="s">
        <v>617</v>
      </c>
      <c r="D14" s="30" t="s">
        <v>49</v>
      </c>
      <c r="E14" s="30" t="s">
        <v>187</v>
      </c>
      <c r="F14" s="42">
        <v>0</v>
      </c>
      <c r="G14" s="42">
        <v>201</v>
      </c>
      <c r="H14" s="42">
        <v>57945</v>
      </c>
      <c r="I14" s="42">
        <v>58235</v>
      </c>
      <c r="J14" s="30" t="s">
        <v>188</v>
      </c>
      <c r="K14" s="42">
        <v>58783</v>
      </c>
      <c r="L14" s="131" t="s">
        <v>50</v>
      </c>
      <c r="M14" s="132">
        <f t="shared" si="0"/>
        <v>289.34399999999999</v>
      </c>
      <c r="N14" s="133" t="str">
        <f>VLOOKUP(C14,'Trips&amp;Operators'!$C$1:$G$99999,5,FALSE)</f>
        <v>MAELZER KURT</v>
      </c>
      <c r="O14" s="203" t="s">
        <v>180</v>
      </c>
      <c r="P14" s="134" t="s">
        <v>536</v>
      </c>
      <c r="Q14" s="30"/>
      <c r="R14" s="81" t="str">
        <f>VLOOKUP(C14,'Train Runs'!$A$13:$AE$9938,31,0)</f>
        <v>aws s3 cp s3://rtdc.mdm.uploadarchive.raw/RTDC4026/ "%USERPROFILE%\AppData\Local\Temp\OnboardLogs"\RTDC4026\2017-07-04 --exclude "*" --recursive --include "*20170704*" &amp; "%USERPROFILE%\Documents\GitHub\mrs-test-scripts\Headless Mode &amp; Sideloading\WalkAndUnGZ.bat" "%USERPROFILE%\AppData\Local\Temp\OnboardLogs"\RTDC4026\2017-07-04 &amp; 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</v>
      </c>
      <c r="S14" s="84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-07-04T08:25:52-0600',mode:absolute,to:'2017-07-04T11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6" t="str">
        <f t="shared" si="1"/>
        <v>"C:\Program Files (x86)\AstroGrep\AstroGrep.exe" /e /r /s /spath="%USERPROFILE%\AppData\Local\Temp\OnboardLogs" /stypes="*4026*201707041*"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4026</v>
      </c>
      <c r="V14" s="31">
        <f t="shared" si="3"/>
        <v>42920.655057870368</v>
      </c>
      <c r="W14" s="45" t="str">
        <f t="shared" si="4"/>
        <v>EC</v>
      </c>
      <c r="X14" s="22">
        <f t="shared" si="5"/>
        <v>147</v>
      </c>
      <c r="Y14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C","project_id":79,"tracker_id":40,"status_id":1,"priority_id":2,"assigned_to_id":23,"start_date":"2017-07-04","description":"","custom_fields":[{"id":1,"name":"Subdivision","value":"EC"},{"id":4,"name":"Milepost","value":"5.8783"},{"id":17,"name":"Train ID","value":"147-04"},{"id":16,"name":"Locomotive ID","value":"4026"},{"id":130,"name":"Impact","value":""},{"id":150,"name":"Time of Event (Mountain Time)","value":"09:43:17"},{"id":151,"name":"Denver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/c/Users/stu/AppData/Local/Temp/OnboardLogs/RTDC4026 --include="*4026*201707041*"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"%USERPROFILE%\AppData\Local\Temp\OnboardLogs"\RTDC4026\*4026*201707041* &gt;&gt; 2017-07-04-SliceDisagreementCheck.txt</v>
      </c>
      <c r="AE14" s="145" t="str">
        <f t="shared" si="9"/>
        <v>start /low /b %USERPROFILE%\Documents\GitHub\eaglep3\Utilities\DownloadLogsFromS3.py --loco 4026 --day 2017-07-04</v>
      </c>
      <c r="AF14" s="1"/>
    </row>
    <row r="15" spans="1:32" x14ac:dyDescent="0.25">
      <c r="A15" s="31">
        <v>42920.36</v>
      </c>
      <c r="B15" s="30" t="s">
        <v>439</v>
      </c>
      <c r="C15" s="30" t="s">
        <v>616</v>
      </c>
      <c r="D15" s="30" t="s">
        <v>49</v>
      </c>
      <c r="E15" s="30" t="s">
        <v>187</v>
      </c>
      <c r="F15" s="42">
        <v>0</v>
      </c>
      <c r="G15" s="42">
        <v>96</v>
      </c>
      <c r="H15" s="42">
        <v>59279</v>
      </c>
      <c r="I15" s="42">
        <v>59194</v>
      </c>
      <c r="J15" s="30" t="s">
        <v>188</v>
      </c>
      <c r="K15" s="42">
        <v>58904</v>
      </c>
      <c r="L15" s="131" t="s">
        <v>51</v>
      </c>
      <c r="M15" s="132">
        <f t="shared" si="0"/>
        <v>153.12</v>
      </c>
      <c r="N15" s="133" t="str">
        <f>VLOOKUP(C15,'Trips&amp;Operators'!$C$1:$G$99999,5,FALSE)</f>
        <v>CUSHING HARRY</v>
      </c>
      <c r="O15" s="203" t="s">
        <v>180</v>
      </c>
      <c r="P15" s="134" t="s">
        <v>536</v>
      </c>
      <c r="Q15" s="30"/>
      <c r="R15" s="81" t="str">
        <f>VLOOKUP(C15,'Train Runs'!$A$13:$AE$9938,31,0)</f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S15" s="84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-07-04T07:06:39-0600',mode:absolute,to:'2017-07-04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86" t="str">
        <f t="shared" si="1"/>
        <v>"C:\Program Files (x86)\AstroGrep\AstroGrep.exe" /e /r /s /spath="%USERPROFILE%\AppData\Local\Temp\OnboardLogs" /stypes="*4045*201707041*"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4045</v>
      </c>
      <c r="V15" s="31">
        <f t="shared" si="3"/>
        <v>42920.61</v>
      </c>
      <c r="W15" s="45" t="str">
        <f t="shared" si="4"/>
        <v>EC</v>
      </c>
      <c r="X15" s="22">
        <f t="shared" si="5"/>
        <v>130</v>
      </c>
      <c r="Y15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C","project_id":79,"tracker_id":40,"status_id":1,"priority_id":2,"assigned_to_id":23,"start_date":"2017-07-04","description":"","custom_fields":[{"id":1,"name":"Subdivision","value":"EC"},{"id":4,"name":"Milepost","value":"5.8904"},{"id":17,"name":"Train ID","value":"130-04"},{"id":16,"name":"Locomotive ID","value":"4045"},{"id":130,"name":"Impact","value":""},{"id":150,"name":"Time of Event (Mountain Time)","value":"08:38:24"},{"id":151,"name":"Denver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/c/Users/stu/AppData/Local/Temp/OnboardLogs/RTDC4045 --include="*4045*201707041*"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"%USERPROFILE%\AppData\Local\Temp\OnboardLogs"\RTDC4045\*4045*201707041* &gt;&gt; 2017-07-04-SliceDisagreementCheck.txt</v>
      </c>
      <c r="AE15" s="145" t="str">
        <f t="shared" si="9"/>
        <v>start /low /b %USERPROFILE%\Documents\GitHub\eaglep3\Utilities\DownloadLogsFromS3.py --loco 4045 --day 2017-07-04</v>
      </c>
      <c r="AF15" s="1"/>
    </row>
    <row r="16" spans="1:32" x14ac:dyDescent="0.25">
      <c r="A16" s="31">
        <v>42920.652291666665</v>
      </c>
      <c r="B16" s="30" t="s">
        <v>439</v>
      </c>
      <c r="C16" s="30" t="s">
        <v>633</v>
      </c>
      <c r="D16" s="30" t="s">
        <v>49</v>
      </c>
      <c r="E16" s="30" t="s">
        <v>187</v>
      </c>
      <c r="F16" s="42">
        <v>0</v>
      </c>
      <c r="G16" s="42">
        <v>82</v>
      </c>
      <c r="H16" s="42">
        <v>59262</v>
      </c>
      <c r="I16" s="42">
        <v>59148</v>
      </c>
      <c r="J16" s="30" t="s">
        <v>188</v>
      </c>
      <c r="K16" s="42">
        <v>58904</v>
      </c>
      <c r="L16" s="131" t="s">
        <v>51</v>
      </c>
      <c r="M16" s="132">
        <f t="shared" si="0"/>
        <v>128.83199999999999</v>
      </c>
      <c r="N16" s="133" t="str">
        <f>VLOOKUP(C16,'Trips&amp;Operators'!$C$1:$G$99999,5,FALSE)</f>
        <v>DAVIS MICHAEL</v>
      </c>
      <c r="O16" s="203" t="s">
        <v>180</v>
      </c>
      <c r="P16" s="134" t="s">
        <v>536</v>
      </c>
      <c r="Q16" s="30"/>
      <c r="R16" s="81" t="str">
        <f>VLOOKUP(C16,'Train Runs'!$A$13:$AE$9938,31,0)</f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S16" s="84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-07-04T14:10:24-0600',mode:absolute,to:'2017-07-04T16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 t="shared" si="1"/>
        <v>"C:\Program Files (x86)\AstroGrep\AstroGrep.exe" /e /r /s /spath="%USERPROFILE%\AppData\Local\Temp\OnboardLogs" /stypes="*4045*201707042*"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42920.902291666665</v>
      </c>
      <c r="W16" s="45" t="str">
        <f t="shared" si="4"/>
        <v>EC</v>
      </c>
      <c r="X16" s="22">
        <f t="shared" si="5"/>
        <v>186</v>
      </c>
      <c r="Y16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C","project_id":79,"tracker_id":40,"status_id":1,"priority_id":2,"assigned_to_id":23,"start_date":"2017-07-04","description":"","custom_fields":[{"id":1,"name":"Subdivision","value":"EC"},{"id":4,"name":"Milepost","value":"5.8904"},{"id":17,"name":"Train ID","value":"186-04"},{"id":16,"name":"Locomotive ID","value":"4045"},{"id":130,"name":"Impact","value":""},{"id":150,"name":"Time of Event (Mountain Time)","value":"15:39:18"},{"id":151,"name":"Denver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/c/Users/stu/AppData/Local/Temp/OnboardLogs/RTDC4045 --include="*4045*201707042*"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"%USERPROFILE%\AppData\Local\Temp\OnboardLogs"\RTDC4045\*4045*201707042* &gt;&gt; 2017-07-04-SliceDisagreementCheck.txt</v>
      </c>
      <c r="AE16" s="145" t="str">
        <f t="shared" si="9"/>
        <v>start /low /b %USERPROFILE%\Documents\GitHub\eaglep3\Utilities\DownloadLogsFromS3.py --loco 4045 --day 2017-07-04</v>
      </c>
      <c r="AF16" s="1"/>
    </row>
    <row r="17" spans="1:32" x14ac:dyDescent="0.25">
      <c r="A17" s="31">
        <v>42920.896157407406</v>
      </c>
      <c r="B17" s="30" t="s">
        <v>642</v>
      </c>
      <c r="C17" s="30" t="s">
        <v>645</v>
      </c>
      <c r="D17" s="30" t="s">
        <v>49</v>
      </c>
      <c r="E17" s="30" t="s">
        <v>187</v>
      </c>
      <c r="F17" s="42">
        <v>0</v>
      </c>
      <c r="G17" s="42">
        <v>170</v>
      </c>
      <c r="H17" s="42">
        <v>59675</v>
      </c>
      <c r="I17" s="42">
        <v>59392</v>
      </c>
      <c r="J17" s="30" t="s">
        <v>188</v>
      </c>
      <c r="K17" s="42">
        <v>58904</v>
      </c>
      <c r="L17" s="131" t="s">
        <v>51</v>
      </c>
      <c r="M17" s="132">
        <f t="shared" si="0"/>
        <v>257.66399999999999</v>
      </c>
      <c r="N17" s="133" t="str">
        <f>VLOOKUP(C17,'Trips&amp;Operators'!$C$1:$G$99999,5,FALSE)</f>
        <v>FORTUNATO FRANK</v>
      </c>
      <c r="O17" s="203" t="s">
        <v>180</v>
      </c>
      <c r="P17" s="134" t="s">
        <v>536</v>
      </c>
      <c r="Q17" s="30"/>
      <c r="R17" s="81" t="str">
        <f>VLOOKUP(C17,'Train Runs'!$A$13:$AE$9938,31,0)</f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S17" s="84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-07-04T20:15:24-0600',mode:absolute,to:'2017-07-04T22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7" s="86" t="str">
        <f t="shared" si="1"/>
        <v>"C:\Program Files (x86)\AstroGrep\AstroGrep.exe" /e /r /s /spath="%USERPROFILE%\AppData\Local\Temp\OnboardLogs" /stypes="*4023*201707050*" /stext=" 03:.+((SYSTEM_STATE.+slice.+state.+changed )|(ment ac)|(multiple cpu faults)|(system.+state.+changed )|(\[timeout)|(PRM\|1\|D)|(kpr)|(kdp)|(train st.+moving)|(\|lc)|(penalty))"</v>
      </c>
      <c r="U17" s="9" t="str">
        <f t="shared" si="2"/>
        <v>4023</v>
      </c>
      <c r="V17" s="31">
        <f t="shared" si="3"/>
        <v>42921.146157407406</v>
      </c>
      <c r="W17" s="45" t="str">
        <f t="shared" si="4"/>
        <v>EC</v>
      </c>
      <c r="X17" s="22">
        <f t="shared" si="5"/>
        <v>226</v>
      </c>
      <c r="Y17" s="96" t="str">
        <f t="shared" si="6"/>
        <v>echo {"issue":{"subject":"Form C","project_id":79,"tracker_id":40,"status_id":1,"priority_id":2,"assigned_to_id":23,"start_date":"2017-07-04","description":"","custom_fields":[{"id":1,"name":"Subdivision","value":"EC"},{"id":4,"name":"Milepost","value":"5.8904"},{"id":17,"name":"Train ID","value":"226-04"},{"id":16,"name":"Locomotive ID","value":"4023"},{"id":130,"name":"Impact","value":""},{"id":150,"name":"Time of Event (Mountain Time)","value":"21:30:28"},{"id":151,"name":"Denver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/c/Users/stu/AppData/Local/Temp/OnboardLogs/RTDC4023 --include="*4023*201707050*"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"%USERPROFILE%\AppData\Local\Temp\OnboardLogs"\RTDC4023\*4023*201707050* &gt;&gt; 2017-07-04-SliceDisagreementCheck.txt</v>
      </c>
      <c r="AE17" s="145" t="str">
        <f t="shared" si="9"/>
        <v>start /low /b %USERPROFILE%\Documents\GitHub\eaglep3\Utilities\DownloadLogsFromS3.py --loco 4023 --day 2017-07-05</v>
      </c>
      <c r="AF17" s="1"/>
    </row>
    <row r="18" spans="1:32" x14ac:dyDescent="0.25">
      <c r="A18" s="31">
        <v>42920.567256944443</v>
      </c>
      <c r="B18" s="30" t="s">
        <v>482</v>
      </c>
      <c r="C18" s="30" t="s">
        <v>625</v>
      </c>
      <c r="D18" s="30" t="s">
        <v>49</v>
      </c>
      <c r="E18" s="30" t="s">
        <v>187</v>
      </c>
      <c r="F18" s="42">
        <v>460</v>
      </c>
      <c r="G18" s="42">
        <v>552</v>
      </c>
      <c r="H18" s="42">
        <v>79576</v>
      </c>
      <c r="I18" s="42">
        <v>74183</v>
      </c>
      <c r="J18" s="30" t="s">
        <v>188</v>
      </c>
      <c r="K18" s="42">
        <v>78469</v>
      </c>
      <c r="L18" s="131" t="s">
        <v>51</v>
      </c>
      <c r="M18" s="132">
        <f t="shared" si="0"/>
        <v>-2263.0079999999998</v>
      </c>
      <c r="N18" s="133" t="str">
        <f>VLOOKUP(C18,'Trips&amp;Operators'!$C$1:$G$99999,5,FALSE)</f>
        <v>BRANDNER MELINDA</v>
      </c>
      <c r="O18" s="203" t="s">
        <v>180</v>
      </c>
      <c r="P18" s="134" t="s">
        <v>481</v>
      </c>
      <c r="Q18" s="30"/>
      <c r="R18" s="81" t="str">
        <f>VLOOKUP(C18,'Train Runs'!$A$13:$AE$9938,31,0)</f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S18" s="84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-07-04T12:08:09-0600',mode:absolute,to:'2017-07-04T14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6" t="str">
        <f t="shared" si="1"/>
        <v>"C:\Program Files (x86)\AstroGrep\AstroGrep.exe" /e /r /s /spath="%USERPROFILE%\AppData\Local\Temp\OnboardLogs" /stypes="*4007*201707041*"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4007</v>
      </c>
      <c r="V18" s="31">
        <f t="shared" si="3"/>
        <v>42920.817256944443</v>
      </c>
      <c r="W18" s="45" t="str">
        <f t="shared" si="4"/>
        <v>EC</v>
      </c>
      <c r="X18" s="22">
        <f t="shared" si="5"/>
        <v>170</v>
      </c>
      <c r="Y18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arrival","project_id":79,"tracker_id":40,"status_id":1,"priority_id":2,"assigned_to_id":23,"start_date":"2017-07-04","description":"","custom_fields":[{"id":1,"name":"Subdivision","value":"EC"},{"id":4,"name":"Milepost","value":"7.8469"},{"id":17,"name":"Train ID","value":"170-04"},{"id":16,"name":"Locomotive ID","value":"4007"},{"id":130,"name":"Impact","value":""},{"id":150,"name":"Time of Event (Mountain Time)","value":"13:36:51"},{"id":151,"name":"Denver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/c/Users/stu/AppData/Local/Temp/OnboardLogs/RTDC4007 --include="*4007*201707041*"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"%USERPROFILE%\AppData\Local\Temp\OnboardLogs"\RTDC4007\*4007*201707041* &gt;&gt; 2017-07-04-SliceDisagreementCheck.txt</v>
      </c>
      <c r="AE18" s="145" t="str">
        <f t="shared" si="9"/>
        <v>start /low /b %USERPROFILE%\Documents\GitHub\eaglep3\Utilities\DownloadLogsFromS3.py --loco 4007 --day 2017-07-04</v>
      </c>
      <c r="AF18" s="1"/>
    </row>
    <row r="19" spans="1:32" x14ac:dyDescent="0.25">
      <c r="A19" s="31">
        <v>42920.710393518515</v>
      </c>
      <c r="B19" s="30" t="s">
        <v>482</v>
      </c>
      <c r="C19" s="30" t="s">
        <v>638</v>
      </c>
      <c r="D19" s="30" t="s">
        <v>49</v>
      </c>
      <c r="E19" s="30" t="s">
        <v>187</v>
      </c>
      <c r="F19" s="42">
        <v>0</v>
      </c>
      <c r="G19" s="42">
        <v>590</v>
      </c>
      <c r="H19" s="42">
        <v>104735</v>
      </c>
      <c r="I19" s="42">
        <v>102839</v>
      </c>
      <c r="J19" s="30" t="s">
        <v>188</v>
      </c>
      <c r="K19" s="42">
        <v>103800</v>
      </c>
      <c r="L19" s="131" t="s">
        <v>51</v>
      </c>
      <c r="M19" s="132">
        <f t="shared" si="0"/>
        <v>-507.40800000000002</v>
      </c>
      <c r="N19" s="133" t="str">
        <f>VLOOKUP(C19,'Trips&amp;Operators'!$C$1:$G$99999,5,FALSE)</f>
        <v>BRANDNER MELINDA</v>
      </c>
      <c r="O19" s="203" t="s">
        <v>180</v>
      </c>
      <c r="P19" s="134" t="s">
        <v>481</v>
      </c>
      <c r="Q19" s="30"/>
      <c r="R19" s="81" t="str">
        <f>VLOOKUP(C19,'Train Runs'!$A$13:$AE$9938,31,0)</f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S19" s="84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-07-04T15:38:34-0600',mode:absolute,to:'2017-07-04T18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6" t="str">
        <f t="shared" si="1"/>
        <v>"C:\Program Files (x86)\AstroGrep\AstroGrep.exe" /e /r /s /spath="%USERPROFILE%\AppData\Local\Temp\OnboardLogs" /stypes="*4007*201707042*"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4007</v>
      </c>
      <c r="V19" s="31">
        <f t="shared" si="3"/>
        <v>42920.960393518515</v>
      </c>
      <c r="W19" s="45" t="str">
        <f t="shared" si="4"/>
        <v>EC</v>
      </c>
      <c r="X19" s="22">
        <f t="shared" si="5"/>
        <v>198</v>
      </c>
      <c r="Y19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arrival","project_id":79,"tracker_id":40,"status_id":1,"priority_id":2,"assigned_to_id":23,"start_date":"2017-07-04","description":"","custom_fields":[{"id":1,"name":"Subdivision","value":"EC"},{"id":4,"name":"Milepost","value":"10.38"},{"id":17,"name":"Train ID","value":"198-04"},{"id":16,"name":"Locomotive ID","value":"4007"},{"id":130,"name":"Impact","value":""},{"id":150,"name":"Time of Event (Mountain Time)","value":"17:02:58"},{"id":151,"name":"Denver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/c/Users/stu/AppData/Local/Temp/OnboardLogs/RTDC4007 --include="*4007*201707042*"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"%USERPROFILE%\AppData\Local\Temp\OnboardLogs"\RTDC4007\*4007*201707042* &gt;&gt; 2017-07-04-SliceDisagreementCheck.txt</v>
      </c>
      <c r="AE19" s="145" t="str">
        <f t="shared" si="9"/>
        <v>start /low /b %USERPROFILE%\Documents\GitHub\eaglep3\Utilities\DownloadLogsFromS3.py --loco 4007 --day 2017-07-04</v>
      </c>
      <c r="AF19" s="1"/>
    </row>
    <row r="20" spans="1:32" x14ac:dyDescent="0.25">
      <c r="A20" s="31">
        <v>42920.812384259261</v>
      </c>
      <c r="B20" s="30" t="s">
        <v>642</v>
      </c>
      <c r="C20" s="30" t="s">
        <v>643</v>
      </c>
      <c r="D20" s="30" t="s">
        <v>49</v>
      </c>
      <c r="E20" s="30" t="s">
        <v>187</v>
      </c>
      <c r="F20" s="42">
        <v>0</v>
      </c>
      <c r="G20" s="42">
        <v>417</v>
      </c>
      <c r="H20" s="42">
        <v>109565</v>
      </c>
      <c r="I20" s="42">
        <v>108637</v>
      </c>
      <c r="J20" s="30" t="s">
        <v>188</v>
      </c>
      <c r="K20" s="42">
        <v>109135</v>
      </c>
      <c r="L20" s="131" t="s">
        <v>51</v>
      </c>
      <c r="M20" s="132">
        <f t="shared" si="0"/>
        <v>-262.94400000000002</v>
      </c>
      <c r="N20" s="133" t="str">
        <f>VLOOKUP(C20,'Trips&amp;Operators'!$C$1:$G$99999,5,FALSE)</f>
        <v>FORTUNATO FRANK</v>
      </c>
      <c r="O20" s="203" t="s">
        <v>180</v>
      </c>
      <c r="P20" s="134" t="s">
        <v>481</v>
      </c>
      <c r="Q20" s="30"/>
      <c r="R20" s="81" t="str">
        <f>VLOOKUP(C20,'Train Runs'!$A$13:$AE$9938,31,0)</f>
        <v>aws s3 cp s3://rtdc.mdm.uploadarchive.raw/RTDC4023/ "%USERPROFILE%\AppData\Local\Temp\OnboardLogs"\RTDC4023\2017-07-04 --exclude "*" --recursive --include "*20170704*" &amp; "%USERPROFILE%\Documents\GitHub\mrs-test-scripts\Headless Mode &amp; Sideloading\WalkAndUnGZ.bat" "%USERPROFILE%\AppData\Local\Temp\OnboardLogs"\RTDC4023\2017-07-04 &amp; 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</v>
      </c>
      <c r="S20" s="84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-07-04T18:07:46-0600',mode:absolute,to:'2017-07-04T20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86" t="str">
        <f t="shared" si="1"/>
        <v>"C:\Program Files (x86)\AstroGrep\AstroGrep.exe" /e /r /s /spath="%USERPROFILE%\AppData\Local\Temp\OnboardLogs" /stypes="*4023*201707050*"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4023</v>
      </c>
      <c r="V20" s="31">
        <f t="shared" si="3"/>
        <v>42921.062384259261</v>
      </c>
      <c r="W20" s="45" t="str">
        <f t="shared" si="4"/>
        <v>EC</v>
      </c>
      <c r="X20" s="22">
        <f t="shared" si="5"/>
        <v>218</v>
      </c>
      <c r="Y20" s="96" t="str">
        <f t="shared" si="6"/>
        <v>echo {"issue":{"subject":"Early arrival","project_id":79,"tracker_id":40,"status_id":1,"priority_id":2,"assigned_to_id":23,"start_date":"2017-07-04","description":"","custom_fields":[{"id":1,"name":"Subdivision","value":"EC"},{"id":4,"name":"Milepost","value":"10.9135"},{"id":17,"name":"Train ID","value":"218-04"},{"id":16,"name":"Locomotive ID","value":"4023"},{"id":130,"name":"Impact","value":""},{"id":150,"name":"Time of Event (Mountain Time)","value":"19:29:50"},{"id":151,"name":"Denver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/c/Users/stu/AppData/Local/Temp/OnboardLogs/RTDC4023 --include="*4023*201707050*"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"%USERPROFILE%\AppData\Local\Temp\OnboardLogs"\RTDC4023\*4023*201707050* &gt;&gt; 2017-07-04-SliceDisagreementCheck.txt</v>
      </c>
      <c r="AE20" s="145" t="str">
        <f t="shared" si="9"/>
        <v>start /low /b %USERPROFILE%\Documents\GitHub\eaglep3\Utilities\DownloadLogsFromS3.py --loco 4023 --day 2017-07-05</v>
      </c>
      <c r="AF20" s="1"/>
    </row>
    <row r="21" spans="1:32" x14ac:dyDescent="0.25">
      <c r="A21" s="31">
        <v>42920.286296296297</v>
      </c>
      <c r="B21" s="30" t="s">
        <v>538</v>
      </c>
      <c r="C21" s="30" t="s">
        <v>610</v>
      </c>
      <c r="D21" s="30" t="s">
        <v>49</v>
      </c>
      <c r="E21" s="30" t="s">
        <v>200</v>
      </c>
      <c r="F21" s="42">
        <v>400</v>
      </c>
      <c r="G21" s="42">
        <v>765</v>
      </c>
      <c r="H21" s="42">
        <v>112421</v>
      </c>
      <c r="I21" s="42">
        <v>115848</v>
      </c>
      <c r="J21" s="30" t="s">
        <v>201</v>
      </c>
      <c r="K21" s="42">
        <v>116838</v>
      </c>
      <c r="L21" s="131" t="s">
        <v>50</v>
      </c>
      <c r="M21" s="132">
        <f t="shared" si="0"/>
        <v>522.72</v>
      </c>
      <c r="N21" s="133" t="str">
        <f>VLOOKUP(C21,'Trips&amp;Operators'!$C$1:$G$99999,5,FALSE)</f>
        <v>MACDONALD THOMAS</v>
      </c>
      <c r="O21" s="203" t="s">
        <v>180</v>
      </c>
      <c r="P21" s="134"/>
      <c r="Q21" s="30"/>
      <c r="R21" s="81" t="str">
        <f>VLOOKUP(C21,'Train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21" s="84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-07-04T05:25:07-0600',mode:absolute,to:'2017-07-04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/stypes="*4064*201707041*"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42920.536296296297</v>
      </c>
      <c r="W21" s="45" t="str">
        <f t="shared" si="4"/>
        <v>EC</v>
      </c>
      <c r="X21" s="22">
        <f t="shared" si="5"/>
        <v>123</v>
      </c>
      <c r="Y21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{"issue":{"subject":"","project_id":79,"tracker_id":40,"status_id":1,"priority_id":2,"assigned_to_id":23,"start_date":"2017-07-04","description":"","custom_fields":[{"id":1,"name":"Subdivision","value":"EC"},{"id":4,"name":"Milepost","value":"11.6838"},{"id":17,"name":"Train ID","value":"123-04"},{"id":16,"name":"Locomotive ID","value":"4064"},{"id":130,"name":"Impact","value":""},{"id":150,"name":"Time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/c/Users/stu/AppData/Local/Temp/OnboardLogs/RTDC4064 --include="*4064*201707041*"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"%USERPROFILE%\AppData\Local\Temp\OnboardLogs"\RTDC4064\*4064*201707041* &gt;&gt; 2017-07-04-SliceDisagreementCheck.txt</v>
      </c>
      <c r="AE21" s="145" t="str">
        <f t="shared" si="9"/>
        <v>start /low /b %USERPROFILE%\Documents\GitHub\eaglep3\Utilities\DownloadLogsFromS3.py --loco 4064 --day 2017-07-04</v>
      </c>
      <c r="AF21" s="1"/>
    </row>
    <row r="22" spans="1:32" x14ac:dyDescent="0.25">
      <c r="A22" s="31">
        <v>42920.334120370368</v>
      </c>
      <c r="B22" s="30" t="s">
        <v>416</v>
      </c>
      <c r="C22" s="30" t="s">
        <v>613</v>
      </c>
      <c r="D22" s="30" t="s">
        <v>49</v>
      </c>
      <c r="E22" s="30" t="s">
        <v>200</v>
      </c>
      <c r="F22" s="42">
        <v>400</v>
      </c>
      <c r="G22" s="42">
        <v>479</v>
      </c>
      <c r="H22" s="42">
        <v>121162</v>
      </c>
      <c r="I22" s="42">
        <v>119473</v>
      </c>
      <c r="J22" s="30" t="s">
        <v>201</v>
      </c>
      <c r="K22" s="42">
        <v>119716</v>
      </c>
      <c r="L22" s="131" t="s">
        <v>51</v>
      </c>
      <c r="M22" s="132">
        <f t="shared" si="0"/>
        <v>-128.304</v>
      </c>
      <c r="N22" s="133" t="str">
        <f>VLOOKUP(C22,'Trips&amp;Operators'!$C$1:$G$99999,5,FALSE)</f>
        <v>STARKS ANGELINA</v>
      </c>
      <c r="O22" s="203" t="s">
        <v>180</v>
      </c>
      <c r="P22" s="134"/>
      <c r="Q22" s="30"/>
      <c r="R22" s="81" t="str">
        <f>VLOOKUP(C22,'Train Runs'!$A$13:$AE$9938,31,0)</f>
        <v>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 &amp; aws s3 cp s3://rtdc.mdm.uploadarchive.raw/RTDC4043/ "%USERPROFILE%\AppData\Local\Temp\OnboardLogs"\RTDC4043\2017-07-05 --exclude "*" --recursive --include "*20170705*" &amp; "%USERPROFILE%\Documents\GitHub\mrs-test-scripts\Headless Mode &amp; Sideloading\WalkAndUnGZ.bat" "%USERPROFILE%\AppData\Local\Temp\OnboardLogs"\RTDC4043\2017-07-05</v>
      </c>
      <c r="S22" s="84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-07-04T06:41:18-0600',mode:absolute,to:'2017-07-04T09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6" t="str">
        <f t="shared" si="1"/>
        <v>"C:\Program Files (x86)\AstroGrep\AstroGrep.exe" /e /r /s /spath="%USERPROFILE%\AppData\Local\Temp\OnboardLogs" /stypes="*4043*201707041*"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42920.584120370368</v>
      </c>
      <c r="W22" s="45" t="str">
        <f t="shared" si="4"/>
        <v>EC</v>
      </c>
      <c r="X22" s="22">
        <f t="shared" si="5"/>
        <v>126</v>
      </c>
      <c r="Y22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{"issue":{"subject":"","project_id":79,"tracker_id":40,"status_id":1,"priority_id":2,"assigned_to_id":23,"start_date":"2017-07-04","description":"","custom_fields":[{"id":1,"name":"Subdivision","value":"EC"},{"id":4,"name":"Milepost","value":"11.9716"},{"id":17,"name":"Train ID","value":"126-04"},{"id":16,"name":"Locomotive ID","value":"4043"},{"id":130,"name":"Impact","value":""},{"id":150,"name":"Time of Event (Mountain Time)","value":"08:01:08"},{"id":151,"name":"Denver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/c/Users/stu/AppData/Local/Temp/OnboardLogs/RTDC4043 --include="*4043*201707041*"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"%USERPROFILE%\AppData\Local\Temp\OnboardLogs"\RTDC4043\*4043*201707041* &gt;&gt; 2017-07-04-SliceDisagreementCheck.txt</v>
      </c>
      <c r="AE22" s="145" t="str">
        <f t="shared" si="9"/>
        <v>start /low /b %USERPROFILE%\Documents\GitHub\eaglep3\Utilities\DownloadLogsFromS3.py --loco 4043 --day 2017-07-04</v>
      </c>
      <c r="AF22" s="1"/>
    </row>
    <row r="23" spans="1:32" x14ac:dyDescent="0.25">
      <c r="A23" s="31">
        <v>42920.230034722219</v>
      </c>
      <c r="B23" s="30" t="s">
        <v>420</v>
      </c>
      <c r="C23" s="30" t="s">
        <v>608</v>
      </c>
      <c r="D23" s="30" t="s">
        <v>49</v>
      </c>
      <c r="E23" s="30" t="s">
        <v>200</v>
      </c>
      <c r="F23" s="42">
        <v>600</v>
      </c>
      <c r="G23" s="42">
        <v>691</v>
      </c>
      <c r="H23" s="42">
        <v>181634</v>
      </c>
      <c r="I23" s="42">
        <v>184456</v>
      </c>
      <c r="J23" s="30" t="s">
        <v>201</v>
      </c>
      <c r="K23" s="42">
        <v>183829</v>
      </c>
      <c r="L23" s="131" t="s">
        <v>50</v>
      </c>
      <c r="M23" s="132">
        <f t="shared" si="0"/>
        <v>-331.05600000000004</v>
      </c>
      <c r="N23" s="133" t="str">
        <f>VLOOKUP(C23,'Trips&amp;Operators'!$C$1:$G$99999,5,FALSE)</f>
        <v>STARKS ANGELINA</v>
      </c>
      <c r="O23" s="203" t="s">
        <v>180</v>
      </c>
      <c r="P23" s="134"/>
      <c r="Q23" s="30"/>
      <c r="R23" s="81" t="str">
        <f>VLOOKUP(C23,'Train Runs'!$A$13:$AE$9938,31,0)</f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S23" s="84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-07-04T03:58:36-0600',mode:absolute,to:'2017-07-04T06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86" t="str">
        <f t="shared" si="1"/>
        <v>"C:\Program Files (x86)\AstroGrep\AstroGrep.exe" /e /r /s /spath="%USERPROFILE%\AppData\Local\Temp\OnboardLogs" /stypes="*4044*201707041*" /stext=" 11:.+((SYSTEM_STATE.+slice.+state.+changed )|(ment ac)|(multiple cpu faults)|(system.+state.+changed )|(\[timeout)|(PRM\|1\|D)|(kpr)|(kdp)|(train st.+moving)|(\|lc)|(penalty))"</v>
      </c>
      <c r="U23" s="9" t="str">
        <f t="shared" si="2"/>
        <v>4044</v>
      </c>
      <c r="V23" s="31">
        <f t="shared" si="3"/>
        <v>42920.480034722219</v>
      </c>
      <c r="W23" s="45" t="str">
        <f t="shared" si="4"/>
        <v>EC</v>
      </c>
      <c r="X23" s="22">
        <f t="shared" si="5"/>
        <v>111</v>
      </c>
      <c r="Y23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{"issue":{"subject":"","project_id":79,"tracker_id":40,"status_id":1,"priority_id":2,"assigned_to_id":23,"start_date":"2017-07-04","description":"","custom_fields":[{"id":1,"name":"Subdivision","value":"EC"},{"id":4,"name":"Milepost","value":"18.3829"},{"id":17,"name":"Train ID","value":"111-04"},{"id":16,"name":"Locomotive ID","value":"4044"},{"id":130,"name":"Impact","value":""},{"id":150,"name":"Time of Event (Mountain Time)","value":"05:31:15"},{"id":151,"name":"Denver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/c/Users/stu/AppData/Local/Temp/OnboardLogs/RTDC4044 --include="*4044*201707041*"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"%USERPROFILE%\AppData\Local\Temp\OnboardLogs"\RTDC4044\*4044*201707041* &gt;&gt; 2017-07-04-SliceDisagreementCheck.txt</v>
      </c>
      <c r="AE23" s="145" t="str">
        <f t="shared" si="9"/>
        <v>start /low /b %USERPROFILE%\Documents\GitHub\eaglep3\Utilities\DownloadLogsFromS3.py --loco 4044 --day 2017-07-04</v>
      </c>
      <c r="AF23" s="1"/>
    </row>
    <row r="24" spans="1:32" x14ac:dyDescent="0.25">
      <c r="A24" s="31">
        <v>42920.628298611111</v>
      </c>
      <c r="B24" s="30" t="s">
        <v>482</v>
      </c>
      <c r="C24" s="30" t="s">
        <v>629</v>
      </c>
      <c r="D24" s="30" t="s">
        <v>96</v>
      </c>
      <c r="E24" s="30" t="s">
        <v>200</v>
      </c>
      <c r="F24" s="42">
        <v>700</v>
      </c>
      <c r="G24" s="42">
        <v>752</v>
      </c>
      <c r="H24" s="42">
        <v>177662</v>
      </c>
      <c r="I24" s="42">
        <v>174099</v>
      </c>
      <c r="J24" s="30" t="s">
        <v>201</v>
      </c>
      <c r="K24" s="42">
        <v>183829</v>
      </c>
      <c r="L24" s="131" t="s">
        <v>51</v>
      </c>
      <c r="M24" s="132">
        <f t="shared" si="0"/>
        <v>-5137.4399999999996</v>
      </c>
      <c r="N24" s="133" t="str">
        <f>VLOOKUP(C24,'Trips&amp;Operators'!$C$1:$G$99999,5,FALSE)</f>
        <v>BRANDNER MELINDA</v>
      </c>
      <c r="O24" s="203" t="s">
        <v>180</v>
      </c>
      <c r="P24" s="134"/>
      <c r="Q24" s="30"/>
      <c r="R24" s="81" t="str">
        <f>VLOOKUP(C24,'Train Runs'!$A$13:$AE$9938,31,0)</f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S24" s="84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-07-04T13:54:44-0600',mode:absolute,to:'2017-07-04T16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6" t="str">
        <f t="shared" si="1"/>
        <v>"C:\Program Files (x86)\AstroGrep\AstroGrep.exe" /e /r /s /spath="%USERPROFILE%\AppData\Local\Temp\OnboardLogs" /stypes="*4007*201707042*"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4007</v>
      </c>
      <c r="V24" s="31">
        <f t="shared" si="3"/>
        <v>42920.878298611111</v>
      </c>
      <c r="W24" s="45" t="str">
        <f t="shared" si="4"/>
        <v>EC</v>
      </c>
      <c r="X24" s="22">
        <f t="shared" si="5"/>
        <v>184</v>
      </c>
      <c r="Y24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{"issue":{"subject":"","project_id":79,"tracker_id":40,"status_id":1,"priority_id":2,"assigned_to_id":23,"start_date":"2017-07-04","description":"","custom_fields":[{"id":1,"name":"Subdivision","value":"EC"},{"id":4,"name":"Milepost","value":"18.3829"},{"id":17,"name":"Train ID","value":"184-04"},{"id":16,"name":"Locomotive ID","value":"4007"},{"id":130,"name":"Impact","value":""},{"id":150,"name":"Time of Event (Mountain Time)","value":"15:04:45"},{"id":151,"name":"Denver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/c/Users/stu/AppData/Local/Temp/OnboardLogs/RTDC4007 --include="*4007*201707042*"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"%USERPROFILE%\AppData\Local\Temp\OnboardLogs"\RTDC4007\*4007*201707042* &gt;&gt; 2017-07-04-SliceDisagreementCheck.txt</v>
      </c>
      <c r="AE24" s="145" t="str">
        <f t="shared" si="9"/>
        <v>start /low /b %USERPROFILE%\Documents\GitHub\eaglep3\Utilities\DownloadLogsFromS3.py --loco 4007 --day 2017-07-04</v>
      </c>
      <c r="AF24" s="1"/>
    </row>
    <row r="25" spans="1:32" x14ac:dyDescent="0.25">
      <c r="A25" s="31">
        <v>42920.671030092592</v>
      </c>
      <c r="B25" s="30" t="s">
        <v>395</v>
      </c>
      <c r="C25" s="30" t="s">
        <v>636</v>
      </c>
      <c r="D25" s="30" t="s">
        <v>96</v>
      </c>
      <c r="E25" s="30" t="s">
        <v>200</v>
      </c>
      <c r="F25" s="42">
        <v>700</v>
      </c>
      <c r="G25" s="42">
        <v>751</v>
      </c>
      <c r="H25" s="42">
        <v>166770</v>
      </c>
      <c r="I25" s="42">
        <v>163366</v>
      </c>
      <c r="J25" s="30" t="s">
        <v>201</v>
      </c>
      <c r="K25" s="42">
        <v>183829</v>
      </c>
      <c r="L25" s="131" t="s">
        <v>51</v>
      </c>
      <c r="M25" s="132">
        <f t="shared" si="0"/>
        <v>-10804.464</v>
      </c>
      <c r="N25" s="133" t="str">
        <f>VLOOKUP(C25,'Trips&amp;Operators'!$C$1:$G$99999,5,FALSE)</f>
        <v>ROMERO CHAD</v>
      </c>
      <c r="O25" s="203" t="s">
        <v>180</v>
      </c>
      <c r="P25" s="134"/>
      <c r="Q25" s="30"/>
      <c r="R25" s="81" t="str">
        <f>VLOOKUP(C25,'Train Runs'!$A$13:$AE$9938,31,0)</f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S25" s="84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-07-04T14:39:57-0600',mode:absolute,to:'2017-07-04T17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5" s="86" t="str">
        <f t="shared" si="1"/>
        <v>"C:\Program Files (x86)\AstroGrep\AstroGrep.exe" /e /r /s /spath="%USERPROFILE%\AppData\Local\Temp\OnboardLogs" /stypes="*4049*201707042*"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4049</v>
      </c>
      <c r="V25" s="31">
        <f t="shared" si="3"/>
        <v>42920.921030092592</v>
      </c>
      <c r="W25" s="45" t="str">
        <f t="shared" si="4"/>
        <v>EC</v>
      </c>
      <c r="X25" s="22">
        <f t="shared" si="5"/>
        <v>192</v>
      </c>
      <c r="Y25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{"issue":{"subject":"","project_id":79,"tracker_id":40,"status_id":1,"priority_id":2,"assigned_to_id":23,"start_date":"2017-07-04","description":"","custom_fields":[{"id":1,"name":"Subdivision","value":"EC"},{"id":4,"name":"Milepost","value":"18.3829"},{"id":17,"name":"Train ID","value":"192-04"},{"id":16,"name":"Locomotive ID","value":"4049"},{"id":130,"name":"Impact","value":""},{"id":150,"name":"Time of Event (Mountain Time)","value":"16:06:17"},{"id":151,"name":"Denver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/c/Users/stu/AppData/Local/Temp/OnboardLogs/RTDC4049 --include="*4049*201707042*"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"%USERPROFILE%\AppData\Local\Temp\OnboardLogs"\RTDC4049\*4049*201707042* &gt;&gt; 2017-07-04-SliceDisagreementCheck.txt</v>
      </c>
      <c r="AE25" s="145" t="str">
        <f t="shared" si="9"/>
        <v>start /low /b %USERPROFILE%\Documents\GitHub\eaglep3\Utilities\DownloadLogsFromS3.py --loco 4049 --day 2017-07-04</v>
      </c>
      <c r="AF25" s="1"/>
    </row>
    <row r="26" spans="1:32" x14ac:dyDescent="0.25">
      <c r="A26" s="31">
        <v>42920.23300925926</v>
      </c>
      <c r="B26" s="30" t="s">
        <v>420</v>
      </c>
      <c r="C26" s="30" t="s">
        <v>608</v>
      </c>
      <c r="D26" s="30" t="s">
        <v>49</v>
      </c>
      <c r="E26" s="30" t="s">
        <v>200</v>
      </c>
      <c r="F26" s="42">
        <v>350</v>
      </c>
      <c r="G26" s="42">
        <v>596</v>
      </c>
      <c r="H26" s="42">
        <v>221093</v>
      </c>
      <c r="I26" s="42">
        <v>223502</v>
      </c>
      <c r="J26" s="30" t="s">
        <v>201</v>
      </c>
      <c r="K26" s="42">
        <v>224578</v>
      </c>
      <c r="L26" s="131" t="s">
        <v>50</v>
      </c>
      <c r="M26" s="132">
        <f t="shared" si="0"/>
        <v>568.12800000000004</v>
      </c>
      <c r="N26" s="133" t="str">
        <f>VLOOKUP(C26,'Trips&amp;Operators'!$C$1:$G$99999,5,FALSE)</f>
        <v>STARKS ANGELINA</v>
      </c>
      <c r="O26" s="203" t="s">
        <v>180</v>
      </c>
      <c r="P26" s="134"/>
      <c r="Q26" s="30"/>
      <c r="R26" s="81" t="str">
        <f>VLOOKUP(C26,'Train Runs'!$A$13:$AE$9938,31,0)</f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S26" s="84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-07-04T03:58:36-0600',mode:absolute,to:'2017-07-04T06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 t="shared" si="1"/>
        <v>"C:\Program Files (x86)\AstroGrep\AstroGrep.exe" /e /r /s /spath="%USERPROFILE%\AppData\Local\Temp\OnboardLogs" /stypes="*4044*201707041*"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4044</v>
      </c>
      <c r="V26" s="31">
        <f t="shared" si="3"/>
        <v>42920.48300925926</v>
      </c>
      <c r="W26" s="45" t="str">
        <f t="shared" si="4"/>
        <v>EC</v>
      </c>
      <c r="X26" s="22">
        <f t="shared" si="5"/>
        <v>111</v>
      </c>
      <c r="Y26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{"issue":{"subject":"","project_id":79,"tracker_id":40,"status_id":1,"priority_id":2,"assigned_to_id":23,"start_date":"2017-07-04","description":"","custom_fields":[{"id":1,"name":"Subdivision","value":"EC"},{"id":4,"name":"Milepost","value":"22.4578"},{"id":17,"name":"Train ID","value":"111-04"},{"id":16,"name":"Locomotive ID","value":"4044"},{"id":130,"name":"Impact","value":""},{"id":150,"name":"Time of Event (Mountain Time)","value":"05:35:32"},{"id":151,"name":"Denver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/c/Users/stu/AppData/Local/Temp/OnboardLogs/RTDC4044 --include="*4044*201707041*"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"%USERPROFILE%\AppData\Local\Temp\OnboardLogs"\RTDC4044\*4044*201707041* &gt;&gt; 2017-07-04-SliceDisagreementCheck.txt</v>
      </c>
      <c r="AE26" s="145" t="str">
        <f t="shared" si="9"/>
        <v>start /low /b %USERPROFILE%\Documents\GitHub\eaglep3\Utilities\DownloadLogsFromS3.py --loco 4044 --day 2017-07-04</v>
      </c>
      <c r="AF26" s="1"/>
    </row>
    <row r="27" spans="1:32" x14ac:dyDescent="0.25">
      <c r="A27" s="31">
        <v>42920.650138888886</v>
      </c>
      <c r="B27" s="30" t="s">
        <v>396</v>
      </c>
      <c r="C27" s="30" t="s">
        <v>632</v>
      </c>
      <c r="D27" s="30" t="s">
        <v>49</v>
      </c>
      <c r="E27" s="30" t="s">
        <v>200</v>
      </c>
      <c r="F27" s="42">
        <v>150</v>
      </c>
      <c r="G27" s="42">
        <v>395</v>
      </c>
      <c r="H27" s="42">
        <v>229248</v>
      </c>
      <c r="I27" s="42">
        <v>230578</v>
      </c>
      <c r="J27" s="30" t="s">
        <v>201</v>
      </c>
      <c r="K27" s="42">
        <v>232080</v>
      </c>
      <c r="L27" s="131" t="s">
        <v>50</v>
      </c>
      <c r="M27" s="132">
        <f t="shared" si="0"/>
        <v>793.05600000000004</v>
      </c>
      <c r="N27" s="133" t="str">
        <f>VLOOKUP(C27,'Trips&amp;Operators'!$C$1:$G$99999,5,FALSE)</f>
        <v>ROMERO CHAD</v>
      </c>
      <c r="O27" s="203" t="s">
        <v>180</v>
      </c>
      <c r="P27" s="134"/>
      <c r="Q27" s="30"/>
      <c r="R27" s="81" t="str">
        <f>VLOOKUP(C27,'Train Runs'!$A$13:$AE$9938,31,0)</f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S27" s="84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-07-04T13:51:52-0600',mode:absolute,to:'2017-07-04T16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/stypes="*4050*201707042*"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42920.900138888886</v>
      </c>
      <c r="W27" s="45" t="str">
        <f t="shared" si="4"/>
        <v>EC</v>
      </c>
      <c r="X27" s="22">
        <f t="shared" si="5"/>
        <v>191</v>
      </c>
      <c r="Y27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{"issue":{"subject":"","project_id":79,"tracker_id":40,"status_id":1,"priority_id":2,"assigned_to_id":23,"start_date":"2017-07-04","description":"","custom_fields":[{"id":1,"name":"Subdivision","value":"EC"},{"id":4,"name":"Milepost","value":"23.208"},{"id":17,"name":"Train ID","value":"191-04"},{"id":16,"name":"Locomotive ID","value":"4050"},{"id":130,"name":"Impact","value":""},{"id":150,"name":"Time of Event (Mountain Time)","value":"15:36:12"},{"id":151,"name":"Denver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/c/Users/stu/AppData/Local/Temp/OnboardLogs/RTDC4050 --include="*4050*201707042*"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"%USERPROFILE%\AppData\Local\Temp\OnboardLogs"\RTDC4050\*4050*201707042* &gt;&gt; 2017-07-04-SliceDisagreementCheck.txt</v>
      </c>
      <c r="AE27" s="145" t="str">
        <f t="shared" si="9"/>
        <v>start /low /b %USERPROFILE%\Documents\GitHub\eaglep3\Utilities\DownloadLogsFromS3.py --loco 4050 --day 2017-07-04</v>
      </c>
      <c r="AF27" s="1"/>
    </row>
    <row r="28" spans="1:32" x14ac:dyDescent="0.25">
      <c r="A28" s="31">
        <v>42920.546296296299</v>
      </c>
      <c r="B28" s="30" t="s">
        <v>395</v>
      </c>
      <c r="C28" s="30" t="s">
        <v>624</v>
      </c>
      <c r="D28" s="30" t="s">
        <v>49</v>
      </c>
      <c r="E28" s="30" t="s">
        <v>361</v>
      </c>
      <c r="F28" s="42">
        <v>0</v>
      </c>
      <c r="G28" s="42">
        <v>95</v>
      </c>
      <c r="H28" s="42">
        <v>17252</v>
      </c>
      <c r="I28" s="42">
        <v>17210</v>
      </c>
      <c r="J28" s="30" t="s">
        <v>362</v>
      </c>
      <c r="K28" s="42">
        <v>17100</v>
      </c>
      <c r="L28" s="131" t="s">
        <v>51</v>
      </c>
      <c r="M28" s="132">
        <f t="shared" si="0"/>
        <v>58.08</v>
      </c>
      <c r="N28" s="133" t="str">
        <f>VLOOKUP(C28,'Trips&amp;Operators'!$C$1:$G$99999,5,FALSE)</f>
        <v>NEWELL JAMES</v>
      </c>
      <c r="O28" s="203" t="s">
        <v>180</v>
      </c>
      <c r="P28" s="134" t="s">
        <v>1031</v>
      </c>
      <c r="Q28" s="30"/>
      <c r="R28" s="81" t="str">
        <f>VLOOKUP(C28,'Train Runs'!$A$13:$AE$9938,31,0)</f>
        <v>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 &amp; aws s3 cp s3://rtdc.mdm.uploadarchive.raw/RTDC4049/ "%USERPROFILE%\AppData\Local\Temp\OnboardLogs"\RTDC4049\2017-07-05 --exclude "*" --recursive --include "*20170705*" &amp; "%USERPROFILE%\Documents\GitHub\mrs-test-scripts\Headless Mode &amp; Sideloading\WalkAndUnGZ.bat" "%USERPROFILE%\AppData\Local\Temp\OnboardLogs"\RTDC4049\2017-07-05</v>
      </c>
      <c r="S28" s="84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-07-04T11:09:55-0600',mode:absolute,to:'2017-07-04T14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6" t="str">
        <f t="shared" si="1"/>
        <v>"C:\Program Files (x86)\AstroGrep\AstroGrep.exe" /e /r /s /spath="%USERPROFILE%\AppData\Local\Temp\OnboardLogs" /stypes="*4049*201707041*"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42920.796296296299</v>
      </c>
      <c r="W28" s="45" t="str">
        <f t="shared" si="4"/>
        <v>EC</v>
      </c>
      <c r="X28" s="22">
        <f t="shared" si="5"/>
        <v>164</v>
      </c>
      <c r="Y28" s="96" t="str">
        <f t="shared" si="6"/>
        <v>echo {"issue":{"subject":"Bright 4S STOP","project_id":79,"tracker_id":40,"status_id":1,"priority_id":2,"assigned_to_id":23,"start_date":"2017-07-04","description":"","custom_fields":[{"id":1,"name":"Subdivision","value":"EC"},{"id":4,"name":"Milepost","value":"1.71"},{"id":17,"name":"Train ID","value":"164-04"},{"id":16,"name":"Locomotive ID","value":"4049"},{"id":130,"name":"Impact","value":""},{"id":150,"name":"Time of Event (Mountain Time)","value":"13:06:40"},{"id":151,"name":"Denver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/c/Users/stu/AppData/Local/Temp/OnboardLogs/RTDC4049 --include="*4049*201707041*"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"%USERPROFILE%\AppData\Local\Temp\OnboardLogs"\RTDC4049\*4049*201707041* &gt;&gt; 2017-07-04-SliceDisagreementCheck.txt</v>
      </c>
      <c r="AE28" s="145" t="str">
        <f t="shared" si="9"/>
        <v>start /low /b %USERPROFILE%\Documents\GitHub\eaglep3\Utilities\DownloadLogsFromS3.py --loco 4049 --day 2017-07-04</v>
      </c>
      <c r="AF28" s="1"/>
    </row>
    <row r="29" spans="1:32" x14ac:dyDescent="0.25">
      <c r="A29" s="31">
        <v>42920.56177083333</v>
      </c>
      <c r="B29" s="30" t="s">
        <v>482</v>
      </c>
      <c r="C29" s="30" t="s">
        <v>625</v>
      </c>
      <c r="D29" s="30" t="s">
        <v>49</v>
      </c>
      <c r="E29" s="30" t="s">
        <v>361</v>
      </c>
      <c r="F29" s="42">
        <v>0</v>
      </c>
      <c r="G29" s="42">
        <v>117</v>
      </c>
      <c r="H29" s="42">
        <v>127932</v>
      </c>
      <c r="I29" s="42">
        <v>127849</v>
      </c>
      <c r="J29" s="30" t="s">
        <v>362</v>
      </c>
      <c r="K29" s="42">
        <v>127587</v>
      </c>
      <c r="L29" s="131" t="s">
        <v>51</v>
      </c>
      <c r="M29" s="132">
        <f t="shared" si="0"/>
        <v>138.33600000000001</v>
      </c>
      <c r="N29" s="133" t="str">
        <f>VLOOKUP(C29,'Trips&amp;Operators'!$C$1:$G$99999,5,FALSE)</f>
        <v>BRANDNER MELINDA</v>
      </c>
      <c r="O29" s="203" t="s">
        <v>180</v>
      </c>
      <c r="P29" s="134" t="s">
        <v>1032</v>
      </c>
      <c r="Q29" s="30"/>
      <c r="R29" s="81" t="str">
        <f>VLOOKUP(C29,'Train Runs'!$A$13:$AE$9938,31,0)</f>
        <v>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 &amp; 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</v>
      </c>
      <c r="S29" s="84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-07-04T12:08:09-0600',mode:absolute,to:'2017-07-04T14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86" t="str">
        <f t="shared" si="1"/>
        <v>"C:\Program Files (x86)\AstroGrep\AstroGrep.exe" /e /r /s /spath="%USERPROFILE%\AppData\Local\Temp\OnboardLogs" /stypes="*4007*201707041*"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4007</v>
      </c>
      <c r="V29" s="31">
        <f t="shared" si="3"/>
        <v>42920.81177083333</v>
      </c>
      <c r="W29" s="45" t="str">
        <f t="shared" si="4"/>
        <v>EC</v>
      </c>
      <c r="X29" s="22">
        <f t="shared" si="5"/>
        <v>170</v>
      </c>
      <c r="Y29" s="96" t="str">
        <f t="shared" si="6"/>
        <v>echo {"issue":{"subject":"40th 4S STOP","project_id":79,"tracker_id":40,"status_id":1,"priority_id":2,"assigned_to_id":23,"start_date":"2017-07-04","description":"","custom_fields":[{"id":1,"name":"Subdivision","value":"EC"},{"id":4,"name":"Milepost","value":"12.7587"},{"id":17,"name":"Train ID","value":"170-04"},{"id":16,"name":"Locomotive ID","value":"4007"},{"id":130,"name":"Impact","value":""},{"id":150,"name":"Time of Event (Mountain Time)","value":"13:28:57"},{"id":151,"name":"Denver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/c/Users/stu/AppData/Local/Temp/OnboardLogs/RTDC4007 --include="*4007*201707041*"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"%USERPROFILE%\AppData\Local\Temp\OnboardLogs"\RTDC4007\*4007*201707041* &gt;&gt; 2017-07-04-SliceDisagreementCheck.txt</v>
      </c>
      <c r="AE29" s="145" t="str">
        <f t="shared" si="9"/>
        <v>start /low /b %USERPROFILE%\Documents\GitHub\eaglep3\Utilities\DownloadLogsFromS3.py --loco 4007 --day 2017-07-04</v>
      </c>
      <c r="AF29" s="1"/>
    </row>
    <row r="30" spans="1:32" x14ac:dyDescent="0.25">
      <c r="A30" s="31">
        <v>42920.81753472222</v>
      </c>
      <c r="B30" s="30" t="s">
        <v>510</v>
      </c>
      <c r="C30" s="30" t="s">
        <v>644</v>
      </c>
      <c r="D30" s="30" t="s">
        <v>49</v>
      </c>
      <c r="E30" s="30" t="s">
        <v>181</v>
      </c>
      <c r="F30" s="42">
        <v>0</v>
      </c>
      <c r="G30" s="42">
        <v>81</v>
      </c>
      <c r="H30" s="42">
        <v>307</v>
      </c>
      <c r="I30" s="42">
        <v>252</v>
      </c>
      <c r="J30" s="30" t="s">
        <v>182</v>
      </c>
      <c r="K30" s="42">
        <v>1</v>
      </c>
      <c r="L30" s="131" t="s">
        <v>51</v>
      </c>
      <c r="M30" s="132">
        <f t="shared" si="0"/>
        <v>132.52799999999999</v>
      </c>
      <c r="N30" s="133" t="str">
        <f>VLOOKUP(C30,'Trips&amp;Operators'!$C$1:$G$99999,5,FALSE)</f>
        <v>MOSES BRADLEY</v>
      </c>
      <c r="O30" s="203" t="s">
        <v>180</v>
      </c>
      <c r="P30" s="134"/>
      <c r="Q30" s="30"/>
      <c r="R30" s="81" t="str">
        <f>VLOOKUP(C30,'Train Runs'!$A$13:$AE$9938,31,0)</f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S30" s="84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-07-04T17:51:02-0600',mode:absolute,to:'2017-07-04T20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86" t="str">
        <f t="shared" si="1"/>
        <v>"C:\Program Files (x86)\AstroGrep\AstroGrep.exe" /e /r /s /spath="%USERPROFILE%\AppData\Local\Temp\OnboardLogs" /stypes="*4011*201707050*"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4011</v>
      </c>
      <c r="V30" s="31">
        <f t="shared" si="3"/>
        <v>42921.06753472222</v>
      </c>
      <c r="W30" s="45" t="str">
        <f t="shared" si="4"/>
        <v>EC</v>
      </c>
      <c r="X30" s="22">
        <f t="shared" si="5"/>
        <v>216</v>
      </c>
      <c r="Y30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{"issue":{"subject":"","project_id":79,"tracker_id":40,"status_id":1,"priority_id":2,"assigned_to_id":23,"start_date":"2017-07-04","description":"","custom_fields":[{"id":1,"name":"Subdivision","value":"EC"},{"id":4,"name":"Milepost","value":"0.0001"},{"id":17,"name":"Train ID","value":"216-04"},{"id":16,"name":"Locomotive ID","value":"4011"},{"id":130,"name":"Impact","value":""},{"id":150,"name":"Time of Event (Mountain Time)","value":"19:37:15"},{"id":151,"name":"Denver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/c/Users/stu/AppData/Local/Temp/OnboardLogs/RTDC4011 --include="*4011*201707050*"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"%USERPROFILE%\AppData\Local\Temp\OnboardLogs"\RTDC4011\*4011*201707050* &gt;&gt; 2017-07-04-SliceDisagreementCheck.txt</v>
      </c>
      <c r="AE30" s="145" t="str">
        <f t="shared" si="9"/>
        <v>start /low /b %USERPROFILE%\Documents\GitHub\eaglep3\Utilities\DownloadLogsFromS3.py --loco 4011 --day 2017-07-05</v>
      </c>
      <c r="AF30" s="1"/>
    </row>
    <row r="31" spans="1:32" s="20" customFormat="1" x14ac:dyDescent="0.25">
      <c r="A31" s="31">
        <v>42920.235648148147</v>
      </c>
      <c r="B31" s="30" t="s">
        <v>420</v>
      </c>
      <c r="C31" s="30" t="s">
        <v>608</v>
      </c>
      <c r="D31" s="30" t="s">
        <v>49</v>
      </c>
      <c r="E31" s="30" t="s">
        <v>181</v>
      </c>
      <c r="F31" s="42">
        <v>0</v>
      </c>
      <c r="G31" s="42">
        <v>33</v>
      </c>
      <c r="H31" s="42">
        <v>233312</v>
      </c>
      <c r="I31" s="42">
        <v>233334</v>
      </c>
      <c r="J31" s="30" t="s">
        <v>182</v>
      </c>
      <c r="K31" s="42">
        <v>233491</v>
      </c>
      <c r="L31" s="131" t="s">
        <v>50</v>
      </c>
      <c r="M31" s="132">
        <f t="shared" si="0"/>
        <v>82.895999999999987</v>
      </c>
      <c r="N31" s="133" t="str">
        <f>VLOOKUP(C31,'Trips&amp;Operators'!$C$1:$G$99999,5,FALSE)</f>
        <v>STARKS ANGELINA</v>
      </c>
      <c r="O31" s="203" t="s">
        <v>180</v>
      </c>
      <c r="P31" s="134"/>
      <c r="Q31" s="30"/>
      <c r="R31" s="81" t="str">
        <f>VLOOKUP(C31,'Train Runs'!$A$13:$AE$9938,31,0)</f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S31" s="84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-07-04T03:58:36-0600',mode:absolute,to:'2017-07-04T06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/stypes="*4044*201707041*"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42920.485648148147</v>
      </c>
      <c r="W31" s="45" t="str">
        <f t="shared" si="4"/>
        <v>EC</v>
      </c>
      <c r="X31" s="22">
        <f t="shared" si="5"/>
        <v>111</v>
      </c>
      <c r="Y31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ID","value":"111-04"},{"id":16,"name":"Locomotive ID","value":"4044"},{"id":130,"name":"Impact","value":""},{"id":150,"name":"Time of Event (Mountain Time)","value":"05:39:20"},{"id":151,"name":"Denver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/c/Users/stu/AppData/Local/Temp/OnboardLogs/RTDC4044 --include="*4044*201707041*"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"%USERPROFILE%\AppData\Local\Temp\OnboardLogs"\RTDC4044\*4044*201707041* &gt;&gt; 2017-07-04-SliceDisagreementCheck.txt</v>
      </c>
      <c r="AE31" s="145" t="str">
        <f t="shared" si="9"/>
        <v>start /low /b %USERPROFILE%\Documents\GitHub\eaglep3\Utilities\DownloadLogsFromS3.py --loco 4044 --day 2017-07-04</v>
      </c>
      <c r="AF31" s="1"/>
    </row>
    <row r="32" spans="1:32" x14ac:dyDescent="0.25">
      <c r="A32" s="31">
        <v>42920.442858796298</v>
      </c>
      <c r="B32" s="30" t="s">
        <v>538</v>
      </c>
      <c r="C32" s="30" t="s">
        <v>618</v>
      </c>
      <c r="D32" s="30" t="s">
        <v>49</v>
      </c>
      <c r="E32" s="30" t="s">
        <v>181</v>
      </c>
      <c r="F32" s="42">
        <v>0</v>
      </c>
      <c r="G32" s="42">
        <v>77</v>
      </c>
      <c r="H32" s="42">
        <v>233270</v>
      </c>
      <c r="I32" s="42">
        <v>233353</v>
      </c>
      <c r="J32" s="30" t="s">
        <v>182</v>
      </c>
      <c r="K32" s="42">
        <v>233491</v>
      </c>
      <c r="L32" s="131" t="s">
        <v>50</v>
      </c>
      <c r="M32" s="132">
        <f t="shared" si="0"/>
        <v>72.864000000000004</v>
      </c>
      <c r="N32" s="133" t="str">
        <f>VLOOKUP(C32,'Trips&amp;Operators'!$C$1:$G$99999,5,FALSE)</f>
        <v>MACDONALD THOMAS</v>
      </c>
      <c r="O32" s="203" t="s">
        <v>180</v>
      </c>
      <c r="P32" s="134"/>
      <c r="Q32" s="30"/>
      <c r="R32" s="81" t="str">
        <f>VLOOKUP(C32,'Train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32" s="84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-07-04T08:55:57-0600',mode:absolute,to:'2017-07-04T11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6" t="str">
        <f t="shared" si="1"/>
        <v>"C:\Program Files (x86)\AstroGrep\AstroGrep.exe" /e /r /s /spath="%USERPROFILE%\AppData\Local\Temp\OnboardLogs" /stypes="*4064*201707041*"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4064</v>
      </c>
      <c r="V32" s="31">
        <f t="shared" si="3"/>
        <v>42920.692858796298</v>
      </c>
      <c r="W32" s="45" t="str">
        <f t="shared" si="4"/>
        <v>EC</v>
      </c>
      <c r="X32" s="22">
        <f t="shared" si="5"/>
        <v>151</v>
      </c>
      <c r="Y32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ID","value":"151-04"},{"id":16,"name":"Locomotive ID","value":"4064"},{"id":130,"name":"Impact","value":""},{"id":150,"name":"Time of Event (Mountain Time)","value":"10:37:43"},{"id":151,"name":"Denver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/c/Users/stu/AppData/Local/Temp/OnboardLogs/RTDC4064 --include="*4064*201707041*"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"%USERPROFILE%\AppData\Local\Temp\OnboardLogs"\RTDC4064\*4064*201707041* &gt;&gt; 2017-07-04-SliceDisagreementCheck.txt</v>
      </c>
      <c r="AE32" s="145" t="str">
        <f t="shared" si="9"/>
        <v>start /low /b %USERPROFILE%\Documents\GitHub\eaglep3\Utilities\DownloadLogsFromS3.py --loco 4064 --day 2017-07-04</v>
      </c>
      <c r="AF32" s="1"/>
    </row>
    <row r="33" spans="1:32" x14ac:dyDescent="0.25">
      <c r="A33" s="31">
        <v>42920.454328703701</v>
      </c>
      <c r="B33" s="30" t="s">
        <v>420</v>
      </c>
      <c r="C33" s="30" t="s">
        <v>619</v>
      </c>
      <c r="D33" s="30" t="s">
        <v>49</v>
      </c>
      <c r="E33" s="30" t="s">
        <v>181</v>
      </c>
      <c r="F33" s="42">
        <v>0</v>
      </c>
      <c r="G33" s="42">
        <v>64</v>
      </c>
      <c r="H33" s="42">
        <v>233255</v>
      </c>
      <c r="I33" s="42">
        <v>233321</v>
      </c>
      <c r="J33" s="30" t="s">
        <v>182</v>
      </c>
      <c r="K33" s="42">
        <v>233491</v>
      </c>
      <c r="L33" s="131" t="s">
        <v>50</v>
      </c>
      <c r="M33" s="132">
        <f t="shared" si="0"/>
        <v>89.76</v>
      </c>
      <c r="N33" s="133" t="str">
        <f>VLOOKUP(C33,'Trips&amp;Operators'!$C$1:$G$99999,5,FALSE)</f>
        <v>MILLER KEVIN</v>
      </c>
      <c r="O33" s="203" t="s">
        <v>180</v>
      </c>
      <c r="P33" s="134"/>
      <c r="Q33" s="30"/>
      <c r="R33" s="81" t="str">
        <f>VLOOKUP(C33,'Train Runs'!$A$13:$AE$9938,31,0)</f>
        <v>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 &amp; aws s3 cp s3://rtdc.mdm.uploadarchive.raw/RTDC4044/ "%USERPROFILE%\AppData\Local\Temp\OnboardLogs"\RTDC4044\2017-07-05 --exclude "*" --recursive --include "*20170705*" &amp; "%USERPROFILE%\Documents\GitHub\mrs-test-scripts\Headless Mode &amp; Sideloading\WalkAndUnGZ.bat" "%USERPROFILE%\AppData\Local\Temp\OnboardLogs"\RTDC4044\2017-07-05</v>
      </c>
      <c r="S33" s="84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-07-04T09:11:58-0600',mode:absolute,to:'2017-07-04T11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/stypes="*4044*201707041*"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42920.704328703701</v>
      </c>
      <c r="W33" s="45" t="str">
        <f t="shared" si="4"/>
        <v>EC</v>
      </c>
      <c r="X33" s="22">
        <f t="shared" si="5"/>
        <v>153</v>
      </c>
      <c r="Y33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ID","value":"153-04"},{"id":16,"name":"Locomotive ID","value":"4044"},{"id":130,"name":"Impact","value":""},{"id":150,"name":"Time of Event (Mountain Time)","value":"10:54:14"},{"id":151,"name":"Denver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/c/Users/stu/AppData/Local/Temp/OnboardLogs/RTDC4044 --include="*4044*201707041*"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"%USERPROFILE%\AppData\Local\Temp\OnboardLogs"\RTDC4044\*4044*201707041* &gt;&gt; 2017-07-04-SliceDisagreementCheck.txt</v>
      </c>
      <c r="AE33" s="145" t="str">
        <f t="shared" si="9"/>
        <v>start /low /b %USERPROFILE%\Documents\GitHub\eaglep3\Utilities\DownloadLogsFromS3.py --loco 4044 --day 2017-07-04</v>
      </c>
      <c r="AF33" s="1"/>
    </row>
    <row r="34" spans="1:32" x14ac:dyDescent="0.25">
      <c r="A34" s="31">
        <v>42920.578611111108</v>
      </c>
      <c r="B34" s="30" t="s">
        <v>396</v>
      </c>
      <c r="C34" s="30" t="s">
        <v>626</v>
      </c>
      <c r="D34" s="30" t="s">
        <v>49</v>
      </c>
      <c r="E34" s="30" t="s">
        <v>181</v>
      </c>
      <c r="F34" s="42">
        <v>0</v>
      </c>
      <c r="G34" s="42">
        <v>28</v>
      </c>
      <c r="H34" s="42">
        <v>233404</v>
      </c>
      <c r="I34" s="42">
        <v>233415</v>
      </c>
      <c r="J34" s="30" t="s">
        <v>182</v>
      </c>
      <c r="K34" s="42">
        <v>233491</v>
      </c>
      <c r="L34" s="131" t="s">
        <v>50</v>
      </c>
      <c r="M34" s="132">
        <f t="shared" si="0"/>
        <v>40.128</v>
      </c>
      <c r="N34" s="133" t="str">
        <f>VLOOKUP(C34,'Trips&amp;Operators'!$C$1:$G$99999,5,FALSE)</f>
        <v>ROMERO CHAD</v>
      </c>
      <c r="O34" s="203" t="s">
        <v>180</v>
      </c>
      <c r="P34" s="134"/>
      <c r="Q34" s="30"/>
      <c r="R34" s="81" t="str">
        <f>VLOOKUP(C34,'Train Runs'!$A$13:$AE$9938,31,0)</f>
        <v>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 &amp; aws s3 cp s3://rtdc.mdm.uploadarchive.raw/RTDC4050/ "%USERPROFILE%\AppData\Local\Temp\OnboardLogs"\RTDC4050\2017-07-05 --exclude "*" --recursive --include "*20170705*" &amp; "%USERPROFILE%\Documents\GitHub\mrs-test-scripts\Headless Mode &amp; Sideloading\WalkAndUnGZ.bat" "%USERPROFILE%\AppData\Local\Temp\OnboardLogs"\RTDC4050\2017-07-05</v>
      </c>
      <c r="S34" s="84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-07-04T12:53:25-0600',mode:absolute,to:'2017-07-04T14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86" t="str">
        <f t="shared" si="1"/>
        <v>"C:\Program Files (x86)\AstroGrep\AstroGrep.exe" /e /r /s /spath="%USERPROFILE%\AppData\Local\Temp\OnboardLogs" /stypes="*4050*201707041*"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4050</v>
      </c>
      <c r="V34" s="31">
        <f t="shared" si="3"/>
        <v>42920.828611111108</v>
      </c>
      <c r="W34" s="45" t="str">
        <f t="shared" si="4"/>
        <v>EC</v>
      </c>
      <c r="X34" s="22">
        <f t="shared" si="5"/>
        <v>177</v>
      </c>
      <c r="Y34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ID","value":"177-04"},{"id":16,"name":"Locomotive ID","value":"4050"},{"id":130,"name":"Impact","value":""},{"id":150,"name":"Time of Event (Mountain Time)","value":"13:53:12"},{"id":151,"name":"Denver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/c/Users/stu/AppData/Local/Temp/OnboardLogs/RTDC4050 --include="*4050*201707041*"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"%USERPROFILE%\AppData\Local\Temp\OnboardLogs"\RTDC4050\*4050*201707041* &gt;&gt; 2017-07-04-SliceDisagreementCheck.txt</v>
      </c>
      <c r="AE34" s="145" t="str">
        <f t="shared" si="9"/>
        <v>start /low /b %USERPROFILE%\Documents\GitHub\eaglep3\Utilities\DownloadLogsFromS3.py --loco 4050 --day 2017-07-04</v>
      </c>
      <c r="AF34" s="1"/>
    </row>
    <row r="35" spans="1:32" x14ac:dyDescent="0.25">
      <c r="A35" s="31">
        <v>42920.588425925926</v>
      </c>
      <c r="B35" s="30" t="s">
        <v>538</v>
      </c>
      <c r="C35" s="30" t="s">
        <v>627</v>
      </c>
      <c r="D35" s="30" t="s">
        <v>49</v>
      </c>
      <c r="E35" s="30" t="s">
        <v>181</v>
      </c>
      <c r="F35" s="42">
        <v>0</v>
      </c>
      <c r="G35" s="42">
        <v>44</v>
      </c>
      <c r="H35" s="42">
        <v>233334</v>
      </c>
      <c r="I35" s="42">
        <v>233378</v>
      </c>
      <c r="J35" s="30" t="s">
        <v>182</v>
      </c>
      <c r="K35" s="42">
        <v>233491</v>
      </c>
      <c r="L35" s="131" t="s">
        <v>50</v>
      </c>
      <c r="M35" s="132">
        <f t="shared" si="0"/>
        <v>59.664000000000001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35" s="84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-07-04T12:27:06-0600',mode:absolute,to:'2017-07-04T15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5" s="86" t="str">
        <f t="shared" si="1"/>
        <v>"C:\Program Files (x86)\AstroGrep\AstroGrep.exe" /e /r /s /spath="%USERPROFILE%\AppData\Local\Temp\OnboardLogs" /stypes="*4064*201707042*"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4064</v>
      </c>
      <c r="V35" s="31">
        <f t="shared" si="3"/>
        <v>42920.838425925926</v>
      </c>
      <c r="W35" s="45" t="str">
        <f t="shared" si="4"/>
        <v>EC</v>
      </c>
      <c r="X35" s="22">
        <f t="shared" si="5"/>
        <v>179</v>
      </c>
      <c r="Y35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ID","value":"179-04"},{"id":16,"name":"Locomotive ID","value":"4064"},{"id":130,"name":"Impact","value":""},{"id":150,"name":"Time of Event (Mountain Time)","value":"14:07:20"},{"id":151,"name":"Denver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/c/Users/stu/AppData/Local/Temp/OnboardLogs/RTDC4064 --include="*4064*201707042*"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"%USERPROFILE%\AppData\Local\Temp\OnboardLogs"\RTDC4064\*4064*201707042* &gt;&gt; 2017-07-04-SliceDisagreementCheck.txt</v>
      </c>
      <c r="AE35" s="145" t="str">
        <f t="shared" si="9"/>
        <v>start /low /b %USERPROFILE%\Documents\GitHub\eaglep3\Utilities\DownloadLogsFromS3.py --loco 4064 --day 2017-07-04</v>
      </c>
      <c r="AF35" s="1"/>
    </row>
    <row r="36" spans="1:32" x14ac:dyDescent="0.25">
      <c r="A36" s="31">
        <v>42920.612002314818</v>
      </c>
      <c r="B36" s="30" t="s">
        <v>397</v>
      </c>
      <c r="C36" s="30" t="s">
        <v>628</v>
      </c>
      <c r="D36" s="30" t="s">
        <v>49</v>
      </c>
      <c r="E36" s="30" t="s">
        <v>181</v>
      </c>
      <c r="F36" s="42">
        <v>0</v>
      </c>
      <c r="G36" s="42">
        <v>51</v>
      </c>
      <c r="H36" s="42">
        <v>233322</v>
      </c>
      <c r="I36" s="42">
        <v>233351</v>
      </c>
      <c r="J36" s="30" t="s">
        <v>182</v>
      </c>
      <c r="K36" s="42">
        <v>233491</v>
      </c>
      <c r="L36" s="131" t="s">
        <v>50</v>
      </c>
      <c r="M36" s="132">
        <f t="shared" si="0"/>
        <v>73.92</v>
      </c>
      <c r="N36" s="133" t="str">
        <f>VLOOKUP(C36,'Trips&amp;Operators'!$C$1:$G$99999,5,FALSE)</f>
        <v>BRANDNER MELINDA</v>
      </c>
      <c r="O36" s="203" t="s">
        <v>180</v>
      </c>
      <c r="P36" s="134"/>
      <c r="Q36" s="30"/>
      <c r="R36" s="81" t="str">
        <f>VLOOKUP(C36,'Train Runs'!$A$13:$AE$9938,31,0)</f>
        <v>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 &amp; 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</v>
      </c>
      <c r="S36" s="84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-07-04T12:58:17-0600',mode:absolute,to:'2017-07-04T16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6" t="str">
        <f t="shared" si="1"/>
        <v>"C:\Program Files (x86)\AstroGrep\AstroGrep.exe" /e /r /s /spath="%USERPROFILE%\AppData\Local\Temp\OnboardLogs" /stypes="*4008*201707042*"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42920.862002314818</v>
      </c>
      <c r="W36" s="45" t="str">
        <f t="shared" si="4"/>
        <v>EC</v>
      </c>
      <c r="X36" s="22">
        <f t="shared" si="5"/>
        <v>183</v>
      </c>
      <c r="Y36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ID","value":"183-04"},{"id":16,"name":"Locomotive ID","value":"4008"},{"id":130,"name":"Impact","value":""},{"id":150,"name":"Time of Event (Mountain Time)","value":"14:41:17"},{"id":151,"name":"Denver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/c/Users/stu/AppData/Local/Temp/OnboardLogs/RTDC4008 --include="*4008*201707042*"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"%USERPROFILE%\AppData\Local\Temp\OnboardLogs"\RTDC4008\*4008*201707042* &gt;&gt; 2017-07-04-SliceDisagreementCheck.txt</v>
      </c>
      <c r="AE36" s="145" t="str">
        <f t="shared" si="9"/>
        <v>start /low /b %USERPROFILE%\Documents\GitHub\eaglep3\Utilities\DownloadLogsFromS3.py --loco 4008 --day 2017-07-04</v>
      </c>
      <c r="AF36" s="1"/>
    </row>
    <row r="37" spans="1:32" x14ac:dyDescent="0.25">
      <c r="A37" s="31">
        <v>42920.660717592589</v>
      </c>
      <c r="B37" s="30" t="s">
        <v>538</v>
      </c>
      <c r="C37" s="30" t="s">
        <v>634</v>
      </c>
      <c r="D37" s="30" t="s">
        <v>49</v>
      </c>
      <c r="E37" s="30" t="s">
        <v>181</v>
      </c>
      <c r="F37" s="42">
        <v>0</v>
      </c>
      <c r="G37" s="42">
        <v>47</v>
      </c>
      <c r="H37" s="42">
        <v>233304</v>
      </c>
      <c r="I37" s="42">
        <v>233349</v>
      </c>
      <c r="J37" s="30" t="s">
        <v>182</v>
      </c>
      <c r="K37" s="42">
        <v>233491</v>
      </c>
      <c r="L37" s="131" t="s">
        <v>50</v>
      </c>
      <c r="M37" s="132">
        <f t="shared" si="0"/>
        <v>74.975999999999999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Runs'!$A$13:$AE$9938,31,0)</f>
        <v>aws s3 cp s3://rtdc.mdm.uploadarchive.raw/RTDC4064/ "%USERPROFILE%\AppData\Local\Temp\OnboardLogs"\RTDC4064\2017-07-04 --exclude "*" --recursive --include "*20170704*" &amp; "%USERPROFILE%\Documents\GitHub\mrs-test-scripts\Headless Mode &amp; Sideloading\WalkAndUnGZ.bat" "%USERPROFILE%\AppData\Local\Temp\OnboardLogs"\RTDC4064\2017-07-04 &amp; 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</v>
      </c>
      <c r="S37" s="84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-07-04T14:12:33-0600',mode:absolute,to:'2017-07-04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 t="shared" si="1"/>
        <v>"C:\Program Files (x86)\AstroGrep\AstroGrep.exe" /e /r /s /spath="%USERPROFILE%\AppData\Local\Temp\OnboardLogs" /stypes="*4064*201707042*"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4064</v>
      </c>
      <c r="V37" s="31">
        <f t="shared" si="3"/>
        <v>42920.910717592589</v>
      </c>
      <c r="W37" s="45" t="str">
        <f t="shared" si="4"/>
        <v>EC</v>
      </c>
      <c r="X37" s="22">
        <f t="shared" si="5"/>
        <v>193</v>
      </c>
      <c r="Y37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ID","value":"193-04"},{"id":16,"name":"Locomotive ID","value":"4064"},{"id":130,"name":"Impact","value":""},{"id":150,"name":"Time of Event (Mountain Time)","value":"15:51:26"},{"id":151,"name":"Denver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/c/Users/stu/AppData/Local/Temp/OnboardLogs/RTDC4064 --include="*4064*201707042*"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"%USERPROFILE%\AppData\Local\Temp\OnboardLogs"\RTDC4064\*4064*201707042* &gt;&gt; 2017-07-04-SliceDisagreementCheck.txt</v>
      </c>
      <c r="AE37" s="145" t="str">
        <f t="shared" si="9"/>
        <v>start /low /b %USERPROFILE%\Documents\GitHub\eaglep3\Utilities\DownloadLogsFromS3.py --loco 4064 --day 2017-07-04</v>
      </c>
      <c r="AF37" s="1"/>
    </row>
    <row r="38" spans="1:32" x14ac:dyDescent="0.25">
      <c r="A38" s="31">
        <v>42920.776365740741</v>
      </c>
      <c r="B38" s="30" t="s">
        <v>512</v>
      </c>
      <c r="C38" s="30" t="s">
        <v>640</v>
      </c>
      <c r="D38" s="30" t="s">
        <v>49</v>
      </c>
      <c r="E38" s="30" t="s">
        <v>181</v>
      </c>
      <c r="F38" s="42">
        <v>0</v>
      </c>
      <c r="G38" s="42">
        <v>51</v>
      </c>
      <c r="H38" s="42">
        <v>233324</v>
      </c>
      <c r="I38" s="42">
        <v>233378</v>
      </c>
      <c r="J38" s="30" t="s">
        <v>182</v>
      </c>
      <c r="K38" s="42">
        <v>233491</v>
      </c>
      <c r="L38" s="131" t="s">
        <v>50</v>
      </c>
      <c r="M38" s="132">
        <f t="shared" si="0"/>
        <v>59.664000000000001</v>
      </c>
      <c r="N38" s="133" t="str">
        <f>VLOOKUP(C38,'Trips&amp;Operators'!$C$1:$G$99999,5,FALSE)</f>
        <v>MOSES BRADLEY</v>
      </c>
      <c r="O38" s="203" t="s">
        <v>180</v>
      </c>
      <c r="P38" s="134"/>
      <c r="Q38" s="30"/>
      <c r="R38" s="81" t="str">
        <f>VLOOKUP(C38,'Train Runs'!$A$13:$AE$9938,31,0)</f>
        <v>aws s3 cp s3://rtdc.mdm.uploadarchive.raw/RTDC4012/ "%USERPROFILE%\AppData\Local\Temp\OnboardLogs"\RTDC4012\2017-07-04 --exclude "*" --recursive --include "*20170704*" &amp; "%USERPROFILE%\Documents\GitHub\mrs-test-scripts\Headless Mode &amp; Sideloading\WalkAndUnGZ.bat" "%USERPROFILE%\AppData\Local\Temp\OnboardLogs"\RTDC4012\2017-07-04 &amp; 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</v>
      </c>
      <c r="S38" s="84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-07-04T16:58:19-0600',mode:absolute,to:'2017-07-04T19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86" t="str">
        <f t="shared" si="1"/>
        <v>"C:\Program Files (x86)\AstroGrep\AstroGrep.exe" /e /r /s /spath="%USERPROFILE%\AppData\Local\Temp\OnboardLogs" /stypes="*4012*201707050*"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4012</v>
      </c>
      <c r="V38" s="31">
        <f t="shared" si="3"/>
        <v>42921.026365740741</v>
      </c>
      <c r="W38" s="45" t="str">
        <f t="shared" si="4"/>
        <v>EC</v>
      </c>
      <c r="X38" s="22">
        <f t="shared" si="5"/>
        <v>215</v>
      </c>
      <c r="Y38" s="96" t="str">
        <f t="shared" si="6"/>
        <v>echo {"issue":{"subject":"","project_id":79,"tracker_id":40,"status_id":1,"priority_id":2,"assigned_to_id":23,"start_date":"2017-07-04","description":"","custom_fields":[{"id":1,"name":"Subdivision","value":"EC"},{"id":4,"name":"Milepost","value":"23.3491"},{"id":17,"name":"Train ID","value":"215-04"},{"id":16,"name":"Locomotive ID","value":"4012"},{"id":130,"name":"Impact","value":""},{"id":150,"name":"Time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/c/Users/stu/AppData/Local/Temp/OnboardLogs/RTDC4012 --include="*4012*201707050*"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"%USERPROFILE%\AppData\Local\Temp\OnboardLogs"\RTDC4012\*4012*201707050* &gt;&gt; 2017-07-04-SliceDisagreementCheck.txt</v>
      </c>
      <c r="AE38" s="145" t="str">
        <f t="shared" si="9"/>
        <v>start /low /b %USERPROFILE%\Documents\GitHub\eaglep3\Utilities\DownloadLogsFromS3.py --loco 4012 --day 2017-07-05</v>
      </c>
      <c r="AF38" s="1"/>
    </row>
    <row r="39" spans="1:32" x14ac:dyDescent="0.25">
      <c r="A39" s="31">
        <v>42921.017870370371</v>
      </c>
      <c r="B39" s="30" t="s">
        <v>340</v>
      </c>
      <c r="C39" s="30" t="s">
        <v>647</v>
      </c>
      <c r="D39" s="30" t="s">
        <v>49</v>
      </c>
      <c r="E39" s="30" t="s">
        <v>181</v>
      </c>
      <c r="F39" s="42">
        <v>0</v>
      </c>
      <c r="G39" s="42">
        <v>14</v>
      </c>
      <c r="H39" s="42">
        <v>873</v>
      </c>
      <c r="I39" s="42">
        <v>869</v>
      </c>
      <c r="J39" s="30" t="s">
        <v>182</v>
      </c>
      <c r="K39" s="42">
        <v>839</v>
      </c>
      <c r="L39" s="131" t="s">
        <v>51</v>
      </c>
      <c r="M39" s="132">
        <f t="shared" si="0"/>
        <v>15.84</v>
      </c>
      <c r="N39" s="133" t="str">
        <f>VLOOKUP(C39,'Trips&amp;Operators'!$C$1:$G$99999,5,FALSE)</f>
        <v>BADERTSCHER DIANE</v>
      </c>
      <c r="O39" s="203" t="s">
        <v>180</v>
      </c>
      <c r="P39" s="134"/>
      <c r="Q39" s="30"/>
      <c r="R39" s="81" t="str">
        <f>VLOOKUP(C39,'Train Runs'!$A$13:$AE$9938,31,0)</f>
        <v>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 &amp; aws s3 cp s3://rtdc.mdm.uploadarchive.raw/RTDC4027/ "%USERPROFILE%\AppData\Local\Temp\OnboardLogs"\RTDC4027\2017-07-05 --exclude "*" --recursive --include "*20170705*" &amp; "%USERPROFILE%\Documents\GitHub\mrs-test-scripts\Headless Mode &amp; Sideloading\WalkAndUnGZ.bat" "%USERPROFILE%\AppData\Local\Temp\OnboardLogs"\RTDC4027\2017-07-05</v>
      </c>
      <c r="S39" s="84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-07-04T22:42:19-0600',mode:absolute,to:'2017-07-05T01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6" t="str">
        <f t="shared" si="1"/>
        <v>"C:\Program Files (x86)\AstroGrep\AstroGrep.exe" /e /r /s /spath="%USERPROFILE%\AppData\Local\Temp\OnboardLogs" /stypes="*4027*201707050*" /stext=" 06:.+((SYSTEM_STATE.+slice.+state.+changed )|(ment ac)|(multiple cpu faults)|(system.+state.+changed )|(\[timeout)|(PRM\|1\|D)|(kpr)|(kdp)|(train st.+moving)|(\|lc)|(penalty))"</v>
      </c>
      <c r="U39" s="9" t="str">
        <f t="shared" si="2"/>
        <v>4027</v>
      </c>
      <c r="V39" s="31">
        <f t="shared" si="3"/>
        <v>42921.267870370371</v>
      </c>
      <c r="W39" s="45" t="str">
        <f t="shared" si="4"/>
        <v>GL</v>
      </c>
      <c r="X39" s="22">
        <f t="shared" si="5"/>
        <v>600</v>
      </c>
      <c r="Y39" s="96" t="str">
        <f t="shared" si="6"/>
        <v>echo {"issue":{"subject":"","project_id":79,"tracker_id":40,"status_id":1,"priority_id":2,"assigned_to_id":23,"start_date":"2017-07-05","description":"","custom_fields":[{"id":1,"name":"Subdivision","value":"GL"},{"id":4,"name":"Milepost","value":"0.0839"},{"id":17,"name":"Train ID","value":"600-04"},{"id":16,"name":"Locomotive ID","value":"4027"},{"id":130,"name":"Impact","value":""},{"id":150,"name":"Time of Event (Mountain Time)","value":"00:25:44"},{"id":151,"name":"Denver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/c/Users/stu/AppData/Local/Temp/OnboardLogs/RTDC4027 --include="*4027*201707050*"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"%USERPROFILE%\AppData\Local\Temp\OnboardLogs"\RTDC4027\*4027*201707050* &gt;&gt; 2017-07-04-SliceDisagreementCheck.txt</v>
      </c>
      <c r="AE39" s="145" t="str">
        <f t="shared" si="9"/>
        <v>start /low /b %USERPROFILE%\Documents\GitHub\eaglep3\Utilities\DownloadLogsFromS3.py --loco 4027 --day 2017-07-05</v>
      </c>
      <c r="AF39" s="1"/>
    </row>
    <row r="40" spans="1:32" x14ac:dyDescent="0.25">
      <c r="A40" s="31">
        <v>42920.64135416667</v>
      </c>
      <c r="B40" s="30" t="s">
        <v>402</v>
      </c>
      <c r="C40" s="30" t="s">
        <v>631</v>
      </c>
      <c r="D40" s="30" t="s">
        <v>96</v>
      </c>
      <c r="E40" s="30" t="s">
        <v>200</v>
      </c>
      <c r="F40" s="42">
        <v>200</v>
      </c>
      <c r="G40" s="42">
        <v>251</v>
      </c>
      <c r="H40" s="42">
        <v>6273</v>
      </c>
      <c r="I40" s="42">
        <v>6792</v>
      </c>
      <c r="J40" s="30" t="s">
        <v>201</v>
      </c>
      <c r="K40" s="42">
        <v>5315</v>
      </c>
      <c r="L40" s="131" t="s">
        <v>50</v>
      </c>
      <c r="M40" s="132">
        <f t="shared" si="0"/>
        <v>-779.85599999999999</v>
      </c>
      <c r="N40" s="133" t="str">
        <f>VLOOKUP(C40,'Trips&amp;Operators'!$C$1:$G$99999,5,FALSE)</f>
        <v>BRUDER RICHARD</v>
      </c>
      <c r="O40" s="203" t="s">
        <v>180</v>
      </c>
      <c r="P40" s="134"/>
      <c r="Q40" s="30"/>
      <c r="R40" s="81" t="str">
        <f>VLOOKUP(C40,'Train Runs'!$A$13:$AE$9938,31,0)</f>
        <v>aws s3 cp s3://rtdc.mdm.uploadarchive.raw/RTDC4060/ "%USERPROFILE%\AppData\Local\Temp\OnboardLogs"\RTDC4060\2017-07-04 --exclude "*" --recursive --include "*20170704*" &amp; "%USERPROFILE%\Documents\GitHub\mrs-test-scripts\Headless Mode &amp; Sideloading\WalkAndUnGZ.bat" "%USERPROFILE%\AppData\Local\Temp\OnboardLogs"\RTDC4060\2017-07-04 &amp; aws s3 cp s3://rtdc.mdm.uploadarchive.raw/RTDC4060/ "%USERPROFILE%\AppData\Local\Temp\OnboardLogs"\RTDC4060\2017-07-05 --exclude "*" --recursive --include "*20170705*" &amp; "%USERPROFILE%\Documents\GitHub\mrs-test-scripts\Headless Mode &amp; Sideloading\WalkAndUnGZ.bat" "%USERPROFILE%\AppData\Local\Temp\OnboardLogs"\RTDC4060\2017-07-05</v>
      </c>
      <c r="S40" s="84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-07-04T14:16:25-0600',mode:absolute,to:'2017-07-04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0" s="86" t="str">
        <f t="shared" si="1"/>
        <v>"C:\Program Files (x86)\AstroGrep\AstroGrep.exe" /e /r /s /spath="%USERPROFILE%\AppData\Local\Temp\OnboardLogs" /stypes="*4060*201707042*"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4060</v>
      </c>
      <c r="V40" s="31">
        <f t="shared" si="3"/>
        <v>42920.89135416667</v>
      </c>
      <c r="W40" s="45" t="str">
        <f t="shared" si="4"/>
        <v>NW</v>
      </c>
      <c r="X40" s="22">
        <f t="shared" si="5"/>
        <v>825</v>
      </c>
      <c r="Y40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{"issue":{"subject":"","project_id":79,"tracker_id":40,"status_id":1,"priority_id":2,"assigned_to_id":23,"start_date":"2017-07-04","description":"","custom_fields":[{"id":1,"name":"Subdivision","value":"NW"},{"id":4,"name":"Milepost","value":"0.5315"},{"id":17,"name":"Train ID","value":"825-04"},{"id":16,"name":"Locomotive ID","value":"4060"},{"id":130,"name":"Impact","value":""},{"id":150,"name":"Time of Event (Mountain Time)","value":"15:23:33"},{"id":151,"name":"Denver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/c/Users/stu/AppData/Local/Temp/OnboardLogs/RTDC4060 --include="*4060*201707042*"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"%USERPROFILE%\AppData\Local\Temp\OnboardLogs"\RTDC4060\*4060*201707042* &gt;&gt; 2017-07-04-SliceDisagreementCheck.txt</v>
      </c>
      <c r="AE40" s="145" t="str">
        <f t="shared" si="9"/>
        <v>start /low /b %USERPROFILE%\Documents\GitHub\eaglep3\Utilities\DownloadLogsFromS3.py --loco 4060 --day 2017-07-04</v>
      </c>
      <c r="AF40" s="1"/>
    </row>
    <row r="41" spans="1:32" x14ac:dyDescent="0.25">
      <c r="A41" s="31">
        <v>42920.6640162037</v>
      </c>
      <c r="B41" s="30" t="s">
        <v>341</v>
      </c>
      <c r="C41" s="30" t="s">
        <v>635</v>
      </c>
      <c r="D41" s="30" t="s">
        <v>49</v>
      </c>
      <c r="E41" s="30" t="s">
        <v>200</v>
      </c>
      <c r="F41" s="42">
        <v>300</v>
      </c>
      <c r="G41" s="42">
        <v>493</v>
      </c>
      <c r="H41" s="42">
        <v>18849</v>
      </c>
      <c r="I41" s="42">
        <v>20566</v>
      </c>
      <c r="J41" s="30" t="s">
        <v>201</v>
      </c>
      <c r="K41" s="42">
        <v>21299</v>
      </c>
      <c r="L41" s="131" t="s">
        <v>50</v>
      </c>
      <c r="M41" s="132">
        <f t="shared" si="0"/>
        <v>387.024</v>
      </c>
      <c r="N41" s="133" t="str">
        <f>VLOOKUP(C41,'Trips&amp;Operators'!$C$1:$G$99999,5,FALSE)</f>
        <v>STAMBAUGH JAMES</v>
      </c>
      <c r="O41" s="203" t="s">
        <v>180</v>
      </c>
      <c r="P41" s="134"/>
      <c r="Q41" s="30"/>
      <c r="R41" s="81" t="str">
        <f>VLOOKUP(C41,'Train Runs'!$A$13:$AE$9938,31,0)</f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S41" s="84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-07-04T14:42:31-0600',mode:absolute,to:'2017-07-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1" s="86" t="str">
        <f t="shared" si="1"/>
        <v>"C:\Program Files (x86)\AstroGrep\AstroGrep.exe" /e /r /s /spath="%USERPROFILE%\AppData\Local\Temp\OnboardLogs" /stypes="*4022*201707042*" /stext=" 21:.+((SYSTEM_STATE.+slice.+state.+changed )|(ment ac)|(multiple cpu faults)|(system.+state.+changed )|(\[timeout)|(PRM\|1\|D)|(kpr)|(kdp)|(train st.+moving)|(\|lc)|(penalty))"</v>
      </c>
      <c r="U41" s="9" t="str">
        <f t="shared" si="2"/>
        <v>4022</v>
      </c>
      <c r="V41" s="31">
        <f t="shared" si="3"/>
        <v>42920.9140162037</v>
      </c>
      <c r="W41" s="45" t="str">
        <f t="shared" si="4"/>
        <v>NW</v>
      </c>
      <c r="X41" s="22">
        <f t="shared" si="5"/>
        <v>827</v>
      </c>
      <c r="Y41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{"issue":{"subject":"","project_id":79,"tracker_id":40,"status_id":1,"priority_id":2,"assigned_to_id":23,"start_date":"2017-07-04","description":"","custom_fields":[{"id":1,"name":"Subdivision","value":"NW"},{"id":4,"name":"Milepost","value":"2.1299"},{"id":17,"name":"Train ID","value":"827-04"},{"id":16,"name":"Locomotive ID","value":"4022"},{"id":130,"name":"Impact","value":""},{"id":150,"name":"Time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/c/Users/stu/AppData/Local/Temp/OnboardLogs/RTDC4022 --include="*4022*201707042*"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"%USERPROFILE%\AppData\Local\Temp\OnboardLogs"\RTDC4022\*4022*201707042* &gt;&gt; 2017-07-04-SliceDisagreementCheck.txt</v>
      </c>
      <c r="AE41" s="145" t="str">
        <f t="shared" si="9"/>
        <v>start /low /b %USERPROFILE%\Documents\GitHub\eaglep3\Utilities\DownloadLogsFromS3.py --loco 4022 --day 2017-07-04</v>
      </c>
      <c r="AF41" s="1"/>
    </row>
    <row r="42" spans="1:32" x14ac:dyDescent="0.25">
      <c r="A42" s="31">
        <v>42920.905266203707</v>
      </c>
      <c r="B42" s="30" t="s">
        <v>399</v>
      </c>
      <c r="C42" s="30" t="s">
        <v>646</v>
      </c>
      <c r="D42" s="30" t="s">
        <v>96</v>
      </c>
      <c r="E42" s="30" t="s">
        <v>200</v>
      </c>
      <c r="F42" s="42">
        <v>150</v>
      </c>
      <c r="G42" s="42">
        <v>200</v>
      </c>
      <c r="H42" s="42">
        <v>57031</v>
      </c>
      <c r="I42" s="42">
        <v>56598</v>
      </c>
      <c r="J42" s="30" t="s">
        <v>201</v>
      </c>
      <c r="K42" s="42">
        <v>59050</v>
      </c>
      <c r="L42" s="131" t="s">
        <v>51</v>
      </c>
      <c r="M42" s="132">
        <f t="shared" si="0"/>
        <v>-1294.6559999999999</v>
      </c>
      <c r="N42" s="133" t="str">
        <f>VLOOKUP(C42,'Trips&amp;Operators'!$C$1:$G$99999,5,FALSE)</f>
        <v>STAMBAUGH JAMES</v>
      </c>
      <c r="O42" s="203" t="s">
        <v>180</v>
      </c>
      <c r="P42" s="134"/>
      <c r="Q42" s="30"/>
      <c r="R42" s="81" t="str">
        <f>VLOOKUP(C42,'Train Runs'!$A$13:$AE$9938,31,0)</f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S42" s="84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-07-04T20:35:54-0600',mode:absolute,to:'2017-07-04T22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2" s="86" t="str">
        <f t="shared" si="1"/>
        <v>"C:\Program Files (x86)\AstroGrep\AstroGrep.exe" /e /r /s /spath="%USERPROFILE%\AppData\Local\Temp\OnboardLogs" /stypes="*4059*201707050*" /stext=" 03:.+((SYSTEM_STATE.+slice.+state.+changed )|(ment ac)|(multiple cpu faults)|(system.+state.+changed )|(\[timeout)|(PRM\|1\|D)|(kpr)|(kdp)|(train st.+moving)|(\|lc)|(penalty))"</v>
      </c>
      <c r="U42" s="9" t="str">
        <f t="shared" si="2"/>
        <v>4059</v>
      </c>
      <c r="V42" s="31">
        <f t="shared" si="3"/>
        <v>42921.155266203707</v>
      </c>
      <c r="W42" s="45" t="str">
        <f t="shared" si="4"/>
        <v>NW</v>
      </c>
      <c r="X42" s="22">
        <f t="shared" si="5"/>
        <v>844</v>
      </c>
      <c r="Y42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{"issue":{"subject":"","project_id":79,"tracker_id":40,"status_id":1,"priority_id":2,"assigned_to_id":23,"start_date":"2017-07-04","description":"","custom_fields":[{"id":1,"name":"Subdivision","value":"NW"},{"id":4,"name":"Milepost","value":"5.905"},{"id":17,"name":"Train ID","value":"844-04"},{"id":16,"name":"Locomotive ID","value":"4059"},{"id":130,"name":"Impact","value":""},{"id":150,"name":"Time of Event (Mountain Time)","value":"21:43:35"},{"id":151,"name":"Denver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/c/Users/stu/AppData/Local/Temp/OnboardLogs/RTDC4059 --include="*4059*201707050*"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"%USERPROFILE%\AppData\Local\Temp\OnboardLogs"\RTDC4059\*4059*201707050* &gt;&gt; 2017-07-04-SliceDisagreementCheck.txt</v>
      </c>
      <c r="AE42" s="145" t="str">
        <f t="shared" si="9"/>
        <v>start /low /b %USERPROFILE%\Documents\GitHub\eaglep3\Utilities\DownloadLogsFromS3.py --loco 4059 --day 2017-07-05</v>
      </c>
      <c r="AF42" s="1"/>
    </row>
    <row r="43" spans="1:32" x14ac:dyDescent="0.25">
      <c r="A43" s="31">
        <v>42920.327037037037</v>
      </c>
      <c r="B43" s="30" t="s">
        <v>399</v>
      </c>
      <c r="C43" s="30" t="s">
        <v>612</v>
      </c>
      <c r="D43" s="30" t="s">
        <v>49</v>
      </c>
      <c r="E43" s="30" t="s">
        <v>361</v>
      </c>
      <c r="F43" s="42">
        <v>0</v>
      </c>
      <c r="G43" s="42">
        <v>332</v>
      </c>
      <c r="H43" s="42">
        <v>8849</v>
      </c>
      <c r="I43" s="42">
        <v>8285</v>
      </c>
      <c r="J43" s="30" t="s">
        <v>362</v>
      </c>
      <c r="K43" s="42">
        <v>6799</v>
      </c>
      <c r="L43" s="131" t="s">
        <v>51</v>
      </c>
      <c r="M43" s="132">
        <f t="shared" si="0"/>
        <v>784.60799999999995</v>
      </c>
      <c r="N43" s="133" t="str">
        <f>VLOOKUP(C43,'Trips&amp;Operators'!$C$1:$G$99999,5,FALSE)</f>
        <v>YANG JAN</v>
      </c>
      <c r="O43" s="203" t="s">
        <v>180</v>
      </c>
      <c r="P43" s="134" t="s">
        <v>1029</v>
      </c>
      <c r="Q43" s="30"/>
      <c r="R43" s="81" t="str">
        <f>VLOOKUP(C43,'Train Runs'!$A$13:$AE$9938,31,0)</f>
        <v>aws s3 cp s3://rtdc.mdm.uploadarchive.raw/RTDC4059/ "%USERPROFILE%\AppData\Local\Temp\OnboardLogs"\RTDC4059\2017-07-04 --exclude "*" --recursive --include "*20170704*" &amp; "%USERPROFILE%\Documents\GitHub\mrs-test-scripts\Headless Mode &amp; Sideloading\WalkAndUnGZ.bat" "%USERPROFILE%\AppData\Local\Temp\OnboardLogs"\RTDC4059\2017-07-04 &amp; aws s3 cp s3://rtdc.mdm.uploadarchive.raw/RTDC4059/ "%USERPROFILE%\AppData\Local\Temp\OnboardLogs"\RTDC4059\2017-07-05 --exclude "*" --recursive --include "*20170705*" &amp; "%USERPROFILE%\Documents\GitHub\mrs-test-scripts\Headless Mode &amp; Sideloading\WalkAndUnGZ.bat" "%USERPROFILE%\AppData\Local\Temp\OnboardLogs"\RTDC4059\2017-07-05</v>
      </c>
      <c r="S43" s="84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-07-04T06:37:59-0600',mode:absolute,to:'2017-07-04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3" s="86" t="str">
        <f t="shared" si="1"/>
        <v>"C:\Program Files (x86)\AstroGrep\AstroGrep.exe" /e /r /s /spath="%USERPROFILE%\AppData\Local\Temp\OnboardLogs" /stypes="*4059*201707041*" /stext=" 13:.+((SYSTEM_STATE.+slice.+state.+changed )|(ment ac)|(multiple cpu faults)|(system.+state.+changed )|(\[timeout)|(PRM\|1\|D)|(kpr)|(kdp)|(train st.+moving)|(\|lc)|(penalty))"</v>
      </c>
      <c r="U43" s="9" t="str">
        <f t="shared" si="2"/>
        <v>4059</v>
      </c>
      <c r="V43" s="31">
        <f t="shared" si="3"/>
        <v>42920.577037037037</v>
      </c>
      <c r="W43" s="45" t="str">
        <f t="shared" si="4"/>
        <v>NW</v>
      </c>
      <c r="X43" s="22">
        <f t="shared" si="5"/>
        <v>808</v>
      </c>
      <c r="Y43" s="96" t="str">
        <f t="shared" si="6"/>
        <v>echo {"issue":{"subject":"NW0070RH 7-1T 1S STOP","project_id":79,"tracker_id":40,"status_id":1,"priority_id":2,"assigned_to_id":23,"start_date":"2017-07-04","description":"","custom_fields":[{"id":1,"name":"Subdivision","value":"NW"},{"id":4,"name":"Milepost","value":"0.6799"},{"id":17,"name":"Train ID","value":"808-04"},{"id":16,"name":"Locomotive ID","value":"4059"},{"id":130,"name":"Impact","value":""},{"id":150,"name":"Time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/c/Users/stu/AppData/Local/Temp/OnboardLogs/RTDC4059 --include="*4059*201707041*"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"%USERPROFILE%\AppData\Local\Temp\OnboardLogs"\RTDC4059\*4059*201707041* &gt;&gt; 2017-07-04-SliceDisagreementCheck.txt</v>
      </c>
      <c r="AE43" s="145" t="str">
        <f t="shared" si="9"/>
        <v>start /low /b %USERPROFILE%\Documents\GitHub\eaglep3\Utilities\DownloadLogsFromS3.py --loco 4059 --day 2017-07-04</v>
      </c>
      <c r="AF43" s="1"/>
    </row>
    <row r="44" spans="1:32" x14ac:dyDescent="0.25">
      <c r="A44" s="31">
        <v>42920.766585648147</v>
      </c>
      <c r="B44" s="30" t="s">
        <v>365</v>
      </c>
      <c r="C44" s="30" t="s">
        <v>639</v>
      </c>
      <c r="D44" s="30" t="s">
        <v>49</v>
      </c>
      <c r="E44" s="30" t="s">
        <v>361</v>
      </c>
      <c r="F44" s="42">
        <v>0</v>
      </c>
      <c r="G44" s="42">
        <v>126</v>
      </c>
      <c r="H44" s="42">
        <v>9933</v>
      </c>
      <c r="I44" s="42">
        <v>9763</v>
      </c>
      <c r="J44" s="30" t="s">
        <v>362</v>
      </c>
      <c r="K44" s="42">
        <v>9500</v>
      </c>
      <c r="L44" s="131" t="s">
        <v>51</v>
      </c>
      <c r="M44" s="132">
        <f t="shared" si="0"/>
        <v>138.864</v>
      </c>
      <c r="N44" s="133" t="str">
        <f>VLOOKUP(C44,'Trips&amp;Operators'!$C$1:$G$99999,5,FALSE)</f>
        <v>STAMBAUGH JAMES</v>
      </c>
      <c r="O44" s="203" t="s">
        <v>180</v>
      </c>
      <c r="P44" s="134" t="s">
        <v>1030</v>
      </c>
      <c r="Q44" s="30"/>
      <c r="R44" s="81" t="str">
        <f>VLOOKUP(C44,'Train Runs'!$A$13:$AE$9938,31,0)</f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S44" s="84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-07-04T17:05:19-0600',mode:absolute,to:'2017-07-04T19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86" t="str">
        <f t="shared" si="1"/>
        <v>"C:\Program Files (x86)\AstroGrep\AstroGrep.exe" /e /r /s /spath="%USERPROFILE%\AppData\Local\Temp\OnboardLogs" /stypes="*4021*201707050*" /stext=" 00:.+((SYSTEM_STATE.+slice.+state.+changed )|(ment ac)|(multiple cpu faults)|(system.+state.+changed )|(\[timeout)|(PRM\|1\|D)|(kpr)|(kdp)|(train st.+moving)|(\|lc)|(penalty))"</v>
      </c>
      <c r="U44" s="9" t="str">
        <f t="shared" si="2"/>
        <v>4021</v>
      </c>
      <c r="V44" s="31">
        <f t="shared" si="3"/>
        <v>42921.016585648147</v>
      </c>
      <c r="W44" s="45" t="str">
        <f t="shared" si="4"/>
        <v>NW</v>
      </c>
      <c r="X44" s="22">
        <f t="shared" si="5"/>
        <v>836</v>
      </c>
      <c r="Y44" s="96" t="str">
        <f t="shared" si="6"/>
        <v>echo {"issue":{"subject":"NW0096RH 9-1T 1S STOP","project_id":79,"tracker_id":40,"status_id":1,"priority_id":2,"assigned_to_id":23,"start_date":"2017-07-04","description":"","custom_fields":[{"id":1,"name":"Subdivision","value":"NW"},{"id":4,"name":"Milepost","value":"0.95"},{"id":17,"name":"Train ID","value":"836-04"},{"id":16,"name":"Locomotive ID","value":"4021"},{"id":130,"name":"Impact","value":""},{"id":150,"name":"Time of Event (Mountain Time)","value":"18:23:53"},{"id":151,"name":"Denver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/c/Users/stu/AppData/Local/Temp/OnboardLogs/RTDC4021 --include="*4021*201707050*"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"%USERPROFILE%\AppData\Local\Temp\OnboardLogs"\RTDC4021\*4021*201707050* &gt;&gt; 2017-07-04-SliceDisagreementCheck.txt</v>
      </c>
      <c r="AE44" s="145" t="str">
        <f t="shared" si="9"/>
        <v>start /low /b %USERPROFILE%\Documents\GitHub\eaglep3\Utilities\DownloadLogsFromS3.py --loco 4021 --day 2017-07-05</v>
      </c>
      <c r="AF44" s="1"/>
    </row>
    <row r="45" spans="1:32" x14ac:dyDescent="0.25">
      <c r="A45" s="31">
        <v>42920.350613425922</v>
      </c>
      <c r="B45" s="30" t="s">
        <v>365</v>
      </c>
      <c r="C45" s="30" t="s">
        <v>615</v>
      </c>
      <c r="D45" s="30" t="s">
        <v>49</v>
      </c>
      <c r="E45" s="30" t="s">
        <v>181</v>
      </c>
      <c r="F45" s="42">
        <v>0</v>
      </c>
      <c r="G45" s="42">
        <v>52</v>
      </c>
      <c r="H45" s="42">
        <v>189</v>
      </c>
      <c r="I45" s="42">
        <v>155</v>
      </c>
      <c r="J45" s="30" t="s">
        <v>182</v>
      </c>
      <c r="K45" s="42">
        <v>1</v>
      </c>
      <c r="L45" s="131" t="s">
        <v>51</v>
      </c>
      <c r="M45" s="132">
        <f t="shared" si="0"/>
        <v>81.311999999999998</v>
      </c>
      <c r="N45" s="133" t="str">
        <f>VLOOKUP(C45,'Trips&amp;Operators'!$C$1:$G$99999,5,FALSE)</f>
        <v>MILLER KEVIN</v>
      </c>
      <c r="O45" s="203" t="s">
        <v>180</v>
      </c>
      <c r="P45" s="134"/>
      <c r="Q45" s="30"/>
      <c r="R45" s="81" t="str">
        <f>VLOOKUP(C45,'Train Runs'!$A$13:$AE$9938,31,0)</f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S45" s="84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-07-04T07:06:22-0600',mode:absolute,to:'2017-07-04T09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5" s="86" t="str">
        <f t="shared" si="1"/>
        <v>"C:\Program Files (x86)\AstroGrep\AstroGrep.exe" /e /r /s /spath="%USERPROFILE%\AppData\Local\Temp\OnboardLogs" /stypes="*4021*201707041*" /stext=" 14:.+((SYSTEM_STATE.+slice.+state.+changed )|(ment ac)|(multiple cpu faults)|(system.+state.+changed )|(\[timeout)|(PRM\|1\|D)|(kpr)|(kdp)|(train st.+moving)|(\|lc)|(penalty))"</v>
      </c>
      <c r="U45" s="9" t="str">
        <f t="shared" si="2"/>
        <v>4021</v>
      </c>
      <c r="V45" s="31">
        <f t="shared" si="3"/>
        <v>42920.600613425922</v>
      </c>
      <c r="W45" s="45" t="str">
        <f t="shared" si="4"/>
        <v>NW</v>
      </c>
      <c r="X45" s="22">
        <f t="shared" si="5"/>
        <v>810</v>
      </c>
      <c r="Y45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{"issue":{"subject":"","project_id":79,"tracker_id":40,"status_id":1,"priority_id":2,"assigned_to_id":23,"start_date":"2017-07-04","description":"","custom_fields":[{"id":1,"name":"Subdivision","value":"NW"},{"id":4,"name":"Milepost","value":"0.0001"},{"id":17,"name":"Train ID","value":"810-04"},{"id":16,"name":"Locomotive ID","value":"4021"},{"id":130,"name":"Impact","value":""},{"id":150,"name":"Time of Event (Mountain Time)","value":"08:24:53"},{"id":151,"name":"Denver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/c/Users/stu/AppData/Local/Temp/OnboardLogs/RTDC4021 --include="*4021*201707041*"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"%USERPROFILE%\AppData\Local\Temp\OnboardLogs"\RTDC4021\*4021*201707041* &gt;&gt; 2017-07-04-SliceDisagreementCheck.txt</v>
      </c>
      <c r="AE45" s="145" t="str">
        <f t="shared" si="9"/>
        <v>start /low /b %USERPROFILE%\Documents\GitHub\eaglep3\Utilities\DownloadLogsFromS3.py --loco 4021 --day 2017-07-04</v>
      </c>
      <c r="AF45" s="1"/>
    </row>
    <row r="46" spans="1:32" x14ac:dyDescent="0.25">
      <c r="A46" s="31">
        <v>42920.684178240743</v>
      </c>
      <c r="B46" s="30" t="s">
        <v>365</v>
      </c>
      <c r="C46" s="30" t="s">
        <v>637</v>
      </c>
      <c r="D46" s="30" t="s">
        <v>49</v>
      </c>
      <c r="E46" s="30" t="s">
        <v>181</v>
      </c>
      <c r="F46" s="42">
        <v>0</v>
      </c>
      <c r="G46" s="42">
        <v>163</v>
      </c>
      <c r="H46" s="42">
        <v>1319</v>
      </c>
      <c r="I46" s="42">
        <v>1146</v>
      </c>
      <c r="J46" s="30" t="s">
        <v>182</v>
      </c>
      <c r="K46" s="42">
        <v>575</v>
      </c>
      <c r="L46" s="131" t="s">
        <v>51</v>
      </c>
      <c r="M46" s="132">
        <f t="shared" si="0"/>
        <v>301.488</v>
      </c>
      <c r="N46" s="133" t="str">
        <f>VLOOKUP(C46,'Trips&amp;Operators'!$C$1:$G$99999,5,FALSE)</f>
        <v>STAMBAUGH JAMES</v>
      </c>
      <c r="O46" s="203" t="s">
        <v>180</v>
      </c>
      <c r="P46" s="134"/>
      <c r="Q46" s="30"/>
      <c r="R46" s="81" t="str">
        <f>VLOOKUP(C46,'Train Runs'!$A$13:$AE$9938,31,0)</f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S46" s="84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-07-04T15:07:04-0600',mode:absolute,to:'2017-07-04T17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6" s="86" t="str">
        <f t="shared" si="1"/>
        <v>"C:\Program Files (x86)\AstroGrep\AstroGrep.exe" /e /r /s /spath="%USERPROFILE%\AppData\Local\Temp\OnboardLogs" /stypes="*4021*201707042*" /stext=" 22:.+((SYSTEM_STATE.+slice.+state.+changed )|(ment ac)|(multiple cpu faults)|(system.+state.+changed )|(\[timeout)|(PRM\|1\|D)|(kpr)|(kdp)|(train st.+moving)|(\|lc)|(penalty))"</v>
      </c>
      <c r="U46" s="9" t="str">
        <f t="shared" si="2"/>
        <v>4021</v>
      </c>
      <c r="V46" s="31">
        <f t="shared" si="3"/>
        <v>42920.934178240743</v>
      </c>
      <c r="W46" s="45" t="str">
        <f t="shared" si="4"/>
        <v>NW</v>
      </c>
      <c r="X46" s="22">
        <f t="shared" si="5"/>
        <v>828</v>
      </c>
      <c r="Y46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{"issue":{"subject":"","project_id":79,"tracker_id":40,"status_id":1,"priority_id":2,"assigned_to_id":23,"start_date":"2017-07-04","description":"","custom_fields":[{"id":1,"name":"Subdivision","value":"NW"},{"id":4,"name":"Milepost","value":"0.0575"},{"id":17,"name":"Train ID","value":"828-04"},{"id":16,"name":"Locomotive ID","value":"4021"},{"id":130,"name":"Impact","value":""},{"id":150,"name":"Time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/c/Users/stu/AppData/Local/Temp/OnboardLogs/RTDC4021 --include="*4021*201707042*"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"%USERPROFILE%\AppData\Local\Temp\OnboardLogs"\RTDC4021\*4021*201707042* &gt;&gt; 2017-07-04-SliceDisagreementCheck.txt</v>
      </c>
      <c r="AE46" s="145" t="str">
        <f t="shared" si="9"/>
        <v>start /low /b %USERPROFILE%\Documents\GitHub\eaglep3\Utilities\DownloadLogsFromS3.py --loco 4021 --day 2017-07-04</v>
      </c>
      <c r="AF46" s="1"/>
    </row>
    <row r="47" spans="1:32" x14ac:dyDescent="0.25">
      <c r="A47" s="31">
        <v>42920.684849537036</v>
      </c>
      <c r="B47" s="30" t="s">
        <v>365</v>
      </c>
      <c r="C47" s="30" t="s">
        <v>637</v>
      </c>
      <c r="D47" s="30" t="s">
        <v>49</v>
      </c>
      <c r="E47" s="30" t="s">
        <v>181</v>
      </c>
      <c r="F47" s="42">
        <v>0</v>
      </c>
      <c r="G47" s="42">
        <v>62</v>
      </c>
      <c r="H47" s="42">
        <v>839</v>
      </c>
      <c r="I47" s="42">
        <v>792</v>
      </c>
      <c r="J47" s="30" t="s">
        <v>182</v>
      </c>
      <c r="K47" s="42">
        <v>575</v>
      </c>
      <c r="L47" s="131" t="s">
        <v>51</v>
      </c>
      <c r="M47" s="132">
        <f t="shared" si="0"/>
        <v>114.57599999999999</v>
      </c>
      <c r="N47" s="133" t="str">
        <f>VLOOKUP(C47,'Trips&amp;Operators'!$C$1:$G$99999,5,FALSE)</f>
        <v>STAMBAUGH JAMES</v>
      </c>
      <c r="O47" s="203" t="s">
        <v>180</v>
      </c>
      <c r="P47" s="134"/>
      <c r="Q47" s="30"/>
      <c r="R47" s="81" t="str">
        <f>VLOOKUP(C47,'Train Runs'!$A$13:$AE$9938,31,0)</f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S47" s="84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-07-04T15:07:04-0600',mode:absolute,to:'2017-07-04T17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7" s="86" t="str">
        <f t="shared" si="1"/>
        <v>"C:\Program Files (x86)\AstroGrep\AstroGrep.exe" /e /r /s /spath="%USERPROFILE%\AppData\Local\Temp\OnboardLogs" /stypes="*4021*201707042*" /stext=" 22:.+((SYSTEM_STATE.+slice.+state.+changed )|(ment ac)|(multiple cpu faults)|(system.+state.+changed )|(\[timeout)|(PRM\|1\|D)|(kpr)|(kdp)|(train st.+moving)|(\|lc)|(penalty))"</v>
      </c>
      <c r="U47" s="9" t="str">
        <f t="shared" si="2"/>
        <v>4021</v>
      </c>
      <c r="V47" s="31">
        <f t="shared" si="3"/>
        <v>42920.934849537036</v>
      </c>
      <c r="W47" s="45" t="str">
        <f t="shared" si="4"/>
        <v>NW</v>
      </c>
      <c r="X47" s="22">
        <f t="shared" si="5"/>
        <v>828</v>
      </c>
      <c r="Y47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{"issue":{"subject":"","project_id":79,"tracker_id":40,"status_id":1,"priority_id":2,"assigned_to_id":23,"start_date":"2017-07-04","description":"","custom_fields":[{"id":1,"name":"Subdivision","value":"NW"},{"id":4,"name":"Milepost","value":"0.0575"},{"id":17,"name":"Train ID","value":"828-04"},{"id":16,"name":"Locomotive ID","value":"4021"},{"id":130,"name":"Impact","value":""},{"id":150,"name":"Time of Event (Mountain Time)","value":"16:26:11"},{"id":151,"name":"Denver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/c/Users/stu/AppData/Local/Temp/OnboardLogs/RTDC4021 --include="*4021*201707042*"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"%USERPROFILE%\AppData\Local\Temp\OnboardLogs"\RTDC4021\*4021*201707042* &gt;&gt; 2017-07-04-SliceDisagreementCheck.txt</v>
      </c>
      <c r="AE47" s="145" t="str">
        <f t="shared" si="9"/>
        <v>start /low /b %USERPROFILE%\Documents\GitHub\eaglep3\Utilities\DownloadLogsFromS3.py --loco 4021 --day 2017-07-04</v>
      </c>
      <c r="AF47" s="1"/>
    </row>
    <row r="48" spans="1:32" x14ac:dyDescent="0.25">
      <c r="A48" s="31">
        <v>42920.794490740744</v>
      </c>
      <c r="B48" s="30" t="s">
        <v>341</v>
      </c>
      <c r="C48" s="30" t="s">
        <v>641</v>
      </c>
      <c r="D48" s="30" t="s">
        <v>49</v>
      </c>
      <c r="E48" s="30" t="s">
        <v>181</v>
      </c>
      <c r="F48" s="42">
        <v>0</v>
      </c>
      <c r="G48" s="42">
        <v>147</v>
      </c>
      <c r="H48" s="42">
        <v>57834</v>
      </c>
      <c r="I48" s="42">
        <v>58145</v>
      </c>
      <c r="J48" s="30" t="s">
        <v>182</v>
      </c>
      <c r="K48" s="42">
        <v>59048</v>
      </c>
      <c r="L48" s="131" t="s">
        <v>50</v>
      </c>
      <c r="M48" s="132">
        <f t="shared" si="0"/>
        <v>476.78399999999999</v>
      </c>
      <c r="N48" s="133" t="str">
        <f>VLOOKUP(C48,'Trips&amp;Operators'!$C$1:$G$99999,5,FALSE)</f>
        <v>STAMBAUGH JAMES</v>
      </c>
      <c r="O48" s="203" t="s">
        <v>180</v>
      </c>
      <c r="P48" s="134"/>
      <c r="Q48" s="30"/>
      <c r="R48" s="81" t="str">
        <f>VLOOKUP(C48,'Train Runs'!$A$13:$AE$9938,31,0)</f>
        <v>aws s3 cp s3://rtdc.mdm.uploadarchive.raw/RTDC4022/ "%USERPROFILE%\AppData\Local\Temp\OnboardLogs"\RTDC4022\2017-07-04 --exclude "*" --recursive --include "*20170704*" &amp; "%USERPROFILE%\Documents\GitHub\mrs-test-scripts\Headless Mode &amp; Sideloading\WalkAndUnGZ.bat" "%USERPROFILE%\AppData\Local\Temp\OnboardLogs"\RTDC4022\2017-07-04 &amp; aws s3 cp s3://rtdc.mdm.uploadarchive.raw/RTDC4022/ "%USERPROFILE%\AppData\Local\Temp\OnboardLogs"\RTDC4022\2017-07-05 --exclude "*" --recursive --include "*20170705*" &amp; "%USERPROFILE%\Documents\GitHub\mrs-test-scripts\Headless Mode &amp; Sideloading\WalkAndUnGZ.bat" "%USERPROFILE%\AppData\Local\Temp\OnboardLogs"\RTDC4022\2017-07-05</v>
      </c>
      <c r="S48" s="84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-07-04T17:48:33-0600',mode:absolute,to:'2017-07-04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8" s="86" t="str">
        <f t="shared" si="1"/>
        <v>"C:\Program Files (x86)\AstroGrep\AstroGrep.exe" /e /r /s /spath="%USERPROFILE%\AppData\Local\Temp\OnboardLogs" /stypes="*4022*201707050*" /stext=" 01:.+((SYSTEM_STATE.+slice.+state.+changed )|(ment ac)|(multiple cpu faults)|(system.+state.+changed )|(\[timeout)|(PRM\|1\|D)|(kpr)|(kdp)|(train st.+moving)|(\|lc)|(penalty))"</v>
      </c>
      <c r="U48" s="9" t="str">
        <f t="shared" si="2"/>
        <v>4022</v>
      </c>
      <c r="V48" s="31">
        <f t="shared" si="3"/>
        <v>42921.044490740744</v>
      </c>
      <c r="W48" s="45" t="str">
        <f t="shared" si="4"/>
        <v>NW</v>
      </c>
      <c r="X48" s="22">
        <f t="shared" si="5"/>
        <v>839</v>
      </c>
      <c r="Y48" s="96" t="str">
        <f t="shared" si="6"/>
        <v>echo {"issue":{"subject":"","project_id":79,"tracker_id":40,"status_id":1,"priority_id":2,"assigned_to_id":23,"start_date":"2017-07-04","description":"","custom_fields":[{"id":1,"name":"Subdivision","value":"NW"},{"id":4,"name":"Milepost","value":"5.9048"},{"id":17,"name":"Train ID","value":"839-04"},{"id":16,"name":"Locomotive ID","value":"4022"},{"id":130,"name":"Impact","value":""},{"id":150,"name":"Time of Event (Mountain Time)","value":"19:04:04"},{"id":151,"name":"Denver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/c/Users/stu/AppData/Local/Temp/OnboardLogs/RTDC4022 --include="*4022*201707050*"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"%USERPROFILE%\AppData\Local\Temp\OnboardLogs"\RTDC4022\*4022*201707050* &gt;&gt; 2017-07-04-SliceDisagreementCheck.txt</v>
      </c>
      <c r="AE48" s="145" t="str">
        <f t="shared" si="9"/>
        <v>start /low /b %USERPROFILE%\Documents\GitHub\eaglep3\Utilities\DownloadLogsFromS3.py --loco 4022 --day 2017-07-05</v>
      </c>
      <c r="AF48" s="1"/>
    </row>
    <row r="49" spans="1:32" x14ac:dyDescent="0.25">
      <c r="A49" s="31">
        <v>42920.639618055553</v>
      </c>
      <c r="B49" s="30" t="s">
        <v>365</v>
      </c>
      <c r="C49" s="30" t="s">
        <v>630</v>
      </c>
      <c r="D49" s="30" t="s">
        <v>49</v>
      </c>
      <c r="E49" s="30" t="s">
        <v>361</v>
      </c>
      <c r="F49" s="42">
        <v>0</v>
      </c>
      <c r="G49" s="42">
        <v>114</v>
      </c>
      <c r="H49" s="42">
        <v>5305</v>
      </c>
      <c r="I49" s="42">
        <v>5156</v>
      </c>
      <c r="J49" s="30" t="s">
        <v>362</v>
      </c>
      <c r="K49" s="42">
        <v>4790</v>
      </c>
      <c r="L49" s="131" t="s">
        <v>51</v>
      </c>
      <c r="M49" s="132">
        <f t="shared" si="0"/>
        <v>193.24799999999999</v>
      </c>
      <c r="N49" s="133" t="str">
        <f>VLOOKUP(C49,'Trips&amp;Operators'!$C$1:$G$99999,5,FALSE)</f>
        <v>STAMBAUGH JAMES</v>
      </c>
      <c r="O49" s="203" t="s">
        <v>180</v>
      </c>
      <c r="P49" s="134"/>
      <c r="Q49" s="30"/>
      <c r="R49" s="81" t="str">
        <f>VLOOKUP(C49,'Train Runs'!$A$13:$AE$9938,31,0)</f>
        <v>aws s3 cp s3://rtdc.mdm.uploadarchive.raw/RTDC4021/ "%USERPROFILE%\AppData\Local\Temp\OnboardLogs"\RTDC4021\2017-07-04 --exclude "*" --recursive --include "*20170704*" &amp; "%USERPROFILE%\Documents\GitHub\mrs-test-scripts\Headless Mode &amp; Sideloading\WalkAndUnGZ.bat" "%USERPROFILE%\AppData\Local\Temp\OnboardLogs"\RTDC4021\2017-07-04 &amp; aws s3 cp s3://rtdc.mdm.uploadarchive.raw/RTDC4021/ "%USERPROFILE%\AppData\Local\Temp\OnboardLogs"\RTDC4021\2017-07-05 --exclude "*" --recursive --include "*20170705*" &amp; "%USERPROFILE%\Documents\GitHub\mrs-test-scripts\Headless Mode &amp; Sideloading\WalkAndUnGZ.bat" "%USERPROFILE%\AppData\Local\Temp\OnboardLogs"\RTDC4021\2017-07-05</v>
      </c>
      <c r="S49" s="84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-07-04T14:13:20-0600',mode:absolute,to:'2017-07-04T16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9" s="86" t="str">
        <f t="shared" si="1"/>
        <v>"C:\Program Files (x86)\AstroGrep\AstroGrep.exe" /e /r /s /spath="%USERPROFILE%\AppData\Local\Temp\OnboardLogs" /stypes="*4021*201707042*" /stext=" 21:.+((SYSTEM_STATE.+slice.+state.+changed )|(ment ac)|(multiple cpu faults)|(system.+state.+changed )|(\[timeout)|(PRM\|1\|D)|(kpr)|(kdp)|(train st.+moving)|(\|lc)|(penalty))"</v>
      </c>
      <c r="U49" s="9" t="str">
        <f t="shared" si="2"/>
        <v>4021</v>
      </c>
      <c r="V49" s="31">
        <f t="shared" si="3"/>
        <v>42920.889618055553</v>
      </c>
      <c r="W49" s="45" t="str">
        <f t="shared" si="4"/>
        <v>Other</v>
      </c>
      <c r="X49" s="22">
        <f t="shared" si="5"/>
        <v>904</v>
      </c>
      <c r="Y49" s="96" t="str">
        <f t="shared" si="6"/>
        <v>echo {"issue":{"subject":"","project_id":79,"tracker_id":40,"status_id":1,"priority_id":2,"assigned_to_id":23,"start_date":"2017-07-04","description":"","custom_fields":[{"id":1,"name":"Subdivision","value":"Other"},{"id":4,"name":"Milepost","value":"0.479"},{"id":17,"name":"Train ID","value":"904-04"},{"id":16,"name":"Locomotive ID","value":"4021"},{"id":130,"name":"Impact","value":""},{"id":150,"name":"Time of Event (Mountain Time)","value":"15:21:03"},{"id":151,"name":"Denver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/c/Users/stu/AppData/Local/Temp/OnboardLogs/RTDC4021 --include="*4021*201707042*"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"%USERPROFILE%\AppData\Local\Temp\OnboardLogs"\RTDC4021\*4021*201707042* &gt;&gt; 2017-07-04-SliceDisagreementCheck.txt</v>
      </c>
      <c r="AE49" s="145" t="str">
        <f t="shared" si="9"/>
        <v>start /low /b %USERPROFILE%\Documents\GitHub\eaglep3\Utilities\DownloadLogsFromS3.py --loco 4021 --day 2017-07-04</v>
      </c>
      <c r="AF49" s="1"/>
    </row>
    <row r="50" spans="1:32" x14ac:dyDescent="0.25">
      <c r="A50" s="31">
        <v>42920.149756944447</v>
      </c>
      <c r="B50" s="30" t="s">
        <v>439</v>
      </c>
      <c r="C50" s="30" t="s">
        <v>606</v>
      </c>
      <c r="D50" s="30" t="s">
        <v>49</v>
      </c>
      <c r="E50" s="30" t="s">
        <v>181</v>
      </c>
      <c r="F50" s="42">
        <v>0</v>
      </c>
      <c r="G50" s="42">
        <v>47</v>
      </c>
      <c r="H50" s="42">
        <v>167</v>
      </c>
      <c r="I50" s="42">
        <v>129</v>
      </c>
      <c r="J50" s="30" t="s">
        <v>182</v>
      </c>
      <c r="K50" s="42">
        <v>1</v>
      </c>
      <c r="L50" s="131" t="s">
        <v>51</v>
      </c>
      <c r="M50" s="132">
        <f t="shared" si="0"/>
        <v>67.584000000000003</v>
      </c>
      <c r="N50" s="133" t="str">
        <f>VLOOKUP(C50,'Trips&amp;Operators'!$C$1:$G$99999,5,FALSE)</f>
        <v>BONDS REYNALDO</v>
      </c>
      <c r="O50" s="203" t="s">
        <v>180</v>
      </c>
      <c r="P50" s="134"/>
      <c r="Q50" s="30"/>
      <c r="R50" s="81" t="str">
        <f>VLOOKUP(C50,'Train Runs'!$A$13:$AE$9938,31,0)</f>
        <v>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 &amp; 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</v>
      </c>
      <c r="S50" s="84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-07-04T02:19:28-0600',mode:absolute,to:'2017-07-04T04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6" t="str">
        <f t="shared" si="1"/>
        <v>"C:\Program Files (x86)\AstroGrep\AstroGrep.exe" /e /r /s /spath="%USERPROFILE%\AppData\Local\Temp\OnboardLogs" /stypes="*4045*201707040*" /stext=" 09:.+((SYSTEM_STATE.+slice.+state.+changed )|(ment ac)|(multiple cpu faults)|(system.+state.+changed )|(\[timeout)|(PRM\|1\|D)|(kpr)|(kdp)|(train st.+moving)|(\|lc)|(penalty))"</v>
      </c>
      <c r="U50" s="9" t="str">
        <f t="shared" si="2"/>
        <v>4045</v>
      </c>
      <c r="V50" s="31">
        <f t="shared" si="3"/>
        <v>42920.399756944447</v>
      </c>
      <c r="W50" s="45" t="str">
        <f t="shared" si="4"/>
        <v>Other</v>
      </c>
      <c r="X50" s="22">
        <f t="shared" si="5"/>
        <v>302</v>
      </c>
      <c r="Y50" s="96" t="str">
        <f t="shared" si="6"/>
        <v>echo {"issue":{"subject":"","project_id":79,"tracker_id":40,"status_id":1,"priority_id":2,"assigned_to_id":23,"start_date":"2017-07-04","description":"","custom_fields":[{"id":1,"name":"Subdivision","value":"Other"},{"id":4,"name":"Milepost","value":"0.0001"},{"id":17,"name":"Train ID","value":"302-04"},{"id":16,"name":"Locomotive ID","value":"4045"},{"id":130,"name":"Impact","value":""},{"id":150,"name":"Time of Event (Mountain Time)","value":"03:35:39"},{"id":151,"name":"Denver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/c/Users/stu/AppData/Local/Temp/OnboardLogs/RTDC4045 --include="*4045*201707040*"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"%USERPROFILE%\AppData\Local\Temp\OnboardLogs"\RTDC4045\*4045*201707040* &gt;&gt; 2017-07-04-SliceDisagreementCheck.txt</v>
      </c>
      <c r="AE50" s="145" t="str">
        <f t="shared" si="9"/>
        <v>start /low /b %USERPROFILE%\Documents\GitHub\eaglep3\Utilities\DownloadLogsFromS3.py --loco 4045 --day 2017-07-04</v>
      </c>
      <c r="AF50" s="1"/>
    </row>
    <row r="51" spans="1:32" x14ac:dyDescent="0.25">
      <c r="A51" s="31">
        <v>42920.233425925922</v>
      </c>
      <c r="B51" s="30" t="s">
        <v>510</v>
      </c>
      <c r="C51" s="30" t="s">
        <v>609</v>
      </c>
      <c r="D51" s="30" t="s">
        <v>49</v>
      </c>
      <c r="E51" s="30" t="s">
        <v>181</v>
      </c>
      <c r="F51" s="42">
        <v>0</v>
      </c>
      <c r="G51" s="42">
        <v>46</v>
      </c>
      <c r="H51" s="42">
        <v>178</v>
      </c>
      <c r="I51" s="42">
        <v>139</v>
      </c>
      <c r="J51" s="30" t="s">
        <v>182</v>
      </c>
      <c r="K51" s="42">
        <v>1</v>
      </c>
      <c r="L51" s="131" t="s">
        <v>51</v>
      </c>
      <c r="M51" s="132">
        <f t="shared" si="0"/>
        <v>72.864000000000004</v>
      </c>
      <c r="N51" s="133" t="str">
        <f>VLOOKUP(C51,'Trips&amp;Operators'!$C$1:$G$99999,5,FALSE)</f>
        <v>DAVIDSON DAVID</v>
      </c>
      <c r="O51" s="203" t="s">
        <v>180</v>
      </c>
      <c r="P51" s="134"/>
      <c r="Q51" s="30"/>
      <c r="R51" s="81" t="str">
        <f>VLOOKUP(C51,'Train Runs'!$A$13:$AE$9938,31,0)</f>
        <v>aws s3 cp s3://rtdc.mdm.uploadarchive.raw/RTDC4011/ "%USERPROFILE%\AppData\Local\Temp\OnboardLogs"\RTDC4011\2017-07-04 --exclude "*" --recursive --include "*20170704*" &amp; "%USERPROFILE%\Documents\GitHub\mrs-test-scripts\Headless Mode &amp; Sideloading\WalkAndUnGZ.bat" "%USERPROFILE%\AppData\Local\Temp\OnboardLogs"\RTDC4011\2017-07-04 &amp; 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</v>
      </c>
      <c r="S51" s="84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-07-04T04:22:23-0600',mode:absolute,to:'2017-07-04T06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1" s="86" t="str">
        <f t="shared" si="1"/>
        <v>"C:\Program Files (x86)\AstroGrep\AstroGrep.exe" /e /r /s /spath="%USERPROFILE%\AppData\Local\Temp\OnboardLogs" /stypes="*4011*201707041*" /stext=" 11:.+((SYSTEM_STATE.+slice.+state.+changed )|(ment ac)|(multiple cpu faults)|(system.+state.+changed )|(\[timeout)|(PRM\|1\|D)|(kpr)|(kdp)|(train st.+moving)|(\|lc)|(penalty))"</v>
      </c>
      <c r="U51" s="9" t="str">
        <f t="shared" si="2"/>
        <v>4011</v>
      </c>
      <c r="V51" s="31">
        <f t="shared" si="3"/>
        <v>42920.483425925922</v>
      </c>
      <c r="W51" s="45" t="str">
        <f t="shared" si="4"/>
        <v>Other</v>
      </c>
      <c r="X51" s="22">
        <f t="shared" si="5"/>
        <v>312</v>
      </c>
      <c r="Y51" s="96" t="str">
        <f t="shared" si="6"/>
        <v>echo {"issue":{"subject":"","project_id":79,"tracker_id":40,"status_id":1,"priority_id":2,"assigned_to_id":23,"start_date":"2017-07-04","description":"","custom_fields":[{"id":1,"name":"Subdivision","value":"Other"},{"id":4,"name":"Milepost","value":"0.0001"},{"id":17,"name":"Train ID","value":"312-04"},{"id":16,"name":"Locomotive ID","value":"4011"},{"id":130,"name":"Impact","value":""},{"id":150,"name":"Time of Event (Mountain Time)","value":"05:36:08"},{"id":151,"name":"Denver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/c/Users/stu/AppData/Local/Temp/OnboardLogs/RTDC4011 --include="*4011*201707041*"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"%USERPROFILE%\AppData\Local\Temp\OnboardLogs"\RTDC4011\*4011*201707041* &gt;&gt; 2017-07-04-SliceDisagreementCheck.txt</v>
      </c>
      <c r="AE51" s="145" t="str">
        <f t="shared" si="9"/>
        <v>start /low /b %USERPROFILE%\Documents\GitHub\eaglep3\Utilities\DownloadLogsFromS3.py --loco 4011 --day 2017-07-04</v>
      </c>
      <c r="AF51" s="1"/>
    </row>
    <row r="52" spans="1:32" x14ac:dyDescent="0.25">
      <c r="A52" s="31">
        <v>42920.511412037034</v>
      </c>
      <c r="B52" s="30" t="s">
        <v>622</v>
      </c>
      <c r="C52" s="30" t="s">
        <v>623</v>
      </c>
      <c r="D52" s="30" t="s">
        <v>49</v>
      </c>
      <c r="E52" s="30" t="s">
        <v>181</v>
      </c>
      <c r="F52" s="42">
        <v>0</v>
      </c>
      <c r="G52" s="42">
        <v>63</v>
      </c>
      <c r="H52" s="42">
        <v>1049</v>
      </c>
      <c r="I52" s="42">
        <v>1004</v>
      </c>
      <c r="J52" s="30" t="s">
        <v>182</v>
      </c>
      <c r="K52" s="42">
        <v>826</v>
      </c>
      <c r="L52" s="131" t="s">
        <v>51</v>
      </c>
      <c r="M52" s="132">
        <f t="shared" si="0"/>
        <v>93.983999999999995</v>
      </c>
      <c r="N52" s="133" t="str">
        <f>VLOOKUP(C52,'Trips&amp;Operators'!$C$1:$G$99999,5,FALSE)</f>
        <v>MOSES BRADLEY</v>
      </c>
      <c r="O52" s="203" t="s">
        <v>180</v>
      </c>
      <c r="P52" s="134"/>
      <c r="Q52" s="30"/>
      <c r="R52" s="81" t="str">
        <f>VLOOKUP(C52,'Train Runs'!$A$13:$AE$9938,31,0)</f>
        <v>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 &amp; aws s3 cp s3://rtdc.mdm.uploadarchive.raw/RTDC4029/ "%USERPROFILE%\AppData\Local\Temp\OnboardLogs"\RTDC4029\2017-07-05 --exclude "*" --recursive --include "*20170705*" &amp; "%USERPROFILE%\Documents\GitHub\mrs-test-scripts\Headless Mode &amp; Sideloading\WalkAndUnGZ.bat" "%USERPROFILE%\AppData\Local\Temp\OnboardLogs"\RTDC4029\2017-07-05</v>
      </c>
      <c r="S52" s="84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-07-04T11:03:38-0600',mode:absolute,to:'2017-07-04T13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2" s="86" t="str">
        <f t="shared" si="1"/>
        <v>"C:\Program Files (x86)\AstroGrep\AstroGrep.exe" /e /r /s /spath="%USERPROFILE%\AppData\Local\Temp\OnboardLogs" /stypes="*4029*201707041*" /stext=" 18:.+((SYSTEM_STATE.+slice.+state.+changed )|(ment ac)|(multiple cpu faults)|(system.+state.+changed )|(\[timeout)|(PRM\|1\|D)|(kpr)|(kdp)|(train st.+moving)|(\|lc)|(penalty))"</v>
      </c>
      <c r="U52" s="9" t="str">
        <f t="shared" si="2"/>
        <v>4029</v>
      </c>
      <c r="V52" s="31">
        <f t="shared" si="3"/>
        <v>42920.761412037034</v>
      </c>
      <c r="W52" s="45" t="str">
        <f t="shared" si="4"/>
        <v>Shuttle/Test</v>
      </c>
      <c r="X52" s="22">
        <f t="shared" si="5"/>
        <v>54</v>
      </c>
      <c r="Y52" s="96" t="str">
        <f t="shared" si="6"/>
        <v>echo {"issue":{"subject":"","project_id":79,"tracker_id":40,"status_id":1,"priority_id":2,"assigned_to_id":23,"start_date":"2017-07-04","description":"","custom_fields":[{"id":1,"name":"Subdivision","value":"Shuttle/Test"},{"id":4,"name":"Milepost","value":"0.0826"},{"id":17,"name":"Train ID","value":"54-04"},{"id":16,"name":"Locomotive ID","value":"4029"},{"id":130,"name":"Impact","value":""},{"id":150,"name":"Time of Event (Mountain Time)","value":"12:16:26"},{"id":151,"name":"Denver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/c/Users/stu/AppData/Local/Temp/OnboardLogs/RTDC4029 --include="*4029*201707041*"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"%USERPROFILE%\AppData\Local\Temp\OnboardLogs"\RTDC4029\*4029*201707041* &gt;&gt; 2017-07-04-SliceDisagreementCheck.txt</v>
      </c>
      <c r="AE52" s="145" t="str">
        <f t="shared" si="9"/>
        <v>start /low /b %USERPROFILE%\Documents\GitHub\eaglep3\Utilities\DownloadLogsFromS3.py --loco 4029 --day 2017-07-04</v>
      </c>
      <c r="AF52" s="1"/>
    </row>
    <row r="53" spans="1:32" x14ac:dyDescent="0.25">
      <c r="A53" s="31">
        <v>42920.511979166666</v>
      </c>
      <c r="B53" s="30" t="s">
        <v>622</v>
      </c>
      <c r="C53" s="30" t="s">
        <v>623</v>
      </c>
      <c r="D53" s="30" t="s">
        <v>49</v>
      </c>
      <c r="E53" s="30" t="s">
        <v>181</v>
      </c>
      <c r="F53" s="42">
        <v>0</v>
      </c>
      <c r="G53" s="42">
        <v>23</v>
      </c>
      <c r="H53" s="42">
        <v>900</v>
      </c>
      <c r="I53" s="42">
        <v>859</v>
      </c>
      <c r="J53" s="30" t="s">
        <v>182</v>
      </c>
      <c r="K53" s="42">
        <v>826</v>
      </c>
      <c r="L53" s="131" t="s">
        <v>51</v>
      </c>
      <c r="M53" s="132">
        <f t="shared" si="0"/>
        <v>17.423999999999999</v>
      </c>
      <c r="N53" s="133" t="str">
        <f>VLOOKUP(C53,'Trips&amp;Operators'!$C$1:$G$99999,5,FALSE)</f>
        <v>MOSES BRADLEY</v>
      </c>
      <c r="O53" s="203" t="s">
        <v>180</v>
      </c>
      <c r="P53" s="134"/>
      <c r="Q53" s="30"/>
      <c r="R53" s="81" t="str">
        <f>VLOOKUP(C53,'Train Runs'!$A$13:$AE$9938,31,0)</f>
        <v>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 &amp; aws s3 cp s3://rtdc.mdm.uploadarchive.raw/RTDC4029/ "%USERPROFILE%\AppData\Local\Temp\OnboardLogs"\RTDC4029\2017-07-05 --exclude "*" --recursive --include "*20170705*" &amp; "%USERPROFILE%\Documents\GitHub\mrs-test-scripts\Headless Mode &amp; Sideloading\WalkAndUnGZ.bat" "%USERPROFILE%\AppData\Local\Temp\OnboardLogs"\RTDC4029\2017-07-05</v>
      </c>
      <c r="S53" s="84" t="str">
        <f>VLOOKUP(C53,'Train Runs'!$A$13:$AE$9938,22,0)</f>
        <v>https://d0f6bd738d7f1b3e5a7ca70fe4ff75f0.us-east-1.aws.found.io/app/kibana#/discover/Steve-Slow-Train-Analysis-(2080s-and-2083s)?_g=(refreshInterval:(display:Off,pause:!f,section:0,value:0),time:(from:'2017-07-04T11:03:38-0600',mode:absolute,to:'2017-07-04T13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3" s="86" t="str">
        <f t="shared" si="1"/>
        <v>"C:\Program Files (x86)\AstroGrep\AstroGrep.exe" /e /r /s /spath="%USERPROFILE%\AppData\Local\Temp\OnboardLogs" /stypes="*4029*201707041*" /stext=" 18:.+((SYSTEM_STATE.+slice.+state.+changed )|(ment ac)|(multiple cpu faults)|(system.+state.+changed )|(\[timeout)|(PRM\|1\|D)|(kpr)|(kdp)|(train st.+moving)|(\|lc)|(penalty))"</v>
      </c>
      <c r="U53" s="9" t="str">
        <f t="shared" si="2"/>
        <v>4029</v>
      </c>
      <c r="V53" s="31">
        <f t="shared" si="3"/>
        <v>42920.761979166666</v>
      </c>
      <c r="W53" s="45" t="str">
        <f t="shared" si="4"/>
        <v>Shuttle/Test</v>
      </c>
      <c r="X53" s="22">
        <f t="shared" si="5"/>
        <v>54</v>
      </c>
      <c r="Y53" s="96" t="str">
        <f t="shared" si="6"/>
        <v>echo {"issue":{"subject":"","project_id":79,"tracker_id":40,"status_id":1,"priority_id":2,"assigned_to_id":23,"start_date":"2017-07-04","description":"","custom_fields":[{"id":1,"name":"Subdivision","value":"Shuttle/Test"},{"id":4,"name":"Milepost","value":"0.0826"},{"id":17,"name":"Train ID","value":"54-04"},{"id":16,"name":"Locomotive ID","value":"4029"},{"id":130,"name":"Impact","value":""},{"id":150,"name":"Time of Event (Mountain Time)","value":"12:17:15"},{"id":151,"name":"Denver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7"/>
        <v>grep -hrE -A400 "Enforcement Action" /c/Users/stu/AppData/Local/Temp/OnboardLogs/RTDC4029 --include="*4029*201707041*"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"%USERPROFILE%\AppData\Local\Temp\OnboardLogs"\RTDC4029\*4029*201707041* &gt;&gt; 2017-07-04-SliceDisagreementCheck.txt</v>
      </c>
      <c r="AE53" s="145" t="str">
        <f t="shared" si="9"/>
        <v>start /low /b %USERPROFILE%\Documents\GitHub\eaglep3\Utilities\DownloadLogsFromS3.py --loco 4029 --day 2017-07-04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"/>
  <sheetViews>
    <sheetView workbookViewId="0"/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820</v>
      </c>
      <c r="B3" s="42" t="str">
        <f>A3&amp;"-"&amp;IF(DAY(Variables!$A$2)&lt;10,0,"")&amp;DAY(Variables!$A$2)</f>
        <v>820-04</v>
      </c>
      <c r="C3" s="135"/>
      <c r="D3" s="153"/>
      <c r="E3" s="30"/>
      <c r="F3" s="21" t="str">
        <f>VLOOKUP(B3,'Trips&amp;Operators'!$C$2:$E$10000,3,FALSE)</f>
        <v>YANG</v>
      </c>
      <c r="G3" s="21" t="str">
        <f>VLOOKUP(B3,'Trips&amp;Operators'!$C$1:$F$10000,4,FALSE)</f>
        <v>JAN</v>
      </c>
      <c r="H3" s="29" t="str">
        <f>VLOOKUP(B3,'Trips&amp;Operators'!$C$1:$H$10000,5,FALSE)</f>
        <v>YANG JAN</v>
      </c>
      <c r="I3" s="45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22820-04%22)),sort:!(Time.ISO8601,asc))</v>
      </c>
      <c r="J3" s="30" t="str">
        <f>VLOOKUP(B3,'Train Runs'!$A$13:$A$99935,1,FALSE)</f>
        <v>820-04</v>
      </c>
    </row>
    <row r="4" spans="1:10" x14ac:dyDescent="0.25">
      <c r="A4" s="195"/>
      <c r="B4" s="42" t="str">
        <f>A4&amp;"-"&amp;IF(DAY(Variables!$A$2)&lt;10,0,"")&amp;DAY(Variables!$A$2)</f>
        <v>-04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Runs'!$A$13:$A$99935,1,FALSE)</f>
        <v>#N/A</v>
      </c>
    </row>
    <row r="5" spans="1:10" x14ac:dyDescent="0.25">
      <c r="A5" s="195"/>
      <c r="B5" s="42" t="str">
        <f>A5&amp;"-"&amp;IF(DAY(Variables!$A$2)&lt;10,0,"")&amp;DAY(Variables!$A$2)</f>
        <v>-04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Runs'!$A$13:$A$99935,1,FALSE)</f>
        <v>#N/A</v>
      </c>
    </row>
    <row r="6" spans="1:10" x14ac:dyDescent="0.25">
      <c r="A6" s="195"/>
      <c r="B6" s="42" t="str">
        <f>A6&amp;"-"&amp;IF(DAY(Variables!$A$2)&lt;10,0,"")&amp;DAY(Variables!$A$2)</f>
        <v>-04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Runs'!$A$13:$A$99935,1,FALSE)</f>
        <v>#N/A</v>
      </c>
    </row>
    <row r="7" spans="1:10" x14ac:dyDescent="0.25">
      <c r="A7" s="195"/>
      <c r="B7" s="42" t="str">
        <f>A7&amp;"-"&amp;IF(DAY(Variables!$A$2)&lt;10,0,"")&amp;DAY(Variables!$A$2)</f>
        <v>-04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Runs'!$A$13:$A$99935,1,FALSE)</f>
        <v>#N/A</v>
      </c>
    </row>
    <row r="8" spans="1:10" x14ac:dyDescent="0.25">
      <c r="A8" s="195"/>
      <c r="B8" s="42" t="str">
        <f>A8&amp;"-"&amp;IF(DAY(Variables!$A$2)&lt;10,0,"")&amp;DAY(Variables!$A$2)</f>
        <v>-04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Runs'!$A$13:$A$99935,1,FALSE)</f>
        <v>#N/A</v>
      </c>
    </row>
    <row r="9" spans="1:10" x14ac:dyDescent="0.25">
      <c r="A9" s="195"/>
      <c r="B9" s="42" t="str">
        <f>A9&amp;"-"&amp;IF(DAY(Variables!$A$2)&lt;10,0,"")&amp;DAY(Variables!$A$2)</f>
        <v>-04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Runs'!$A$13:$A$99935,1,FALSE)</f>
        <v>#N/A</v>
      </c>
    </row>
    <row r="10" spans="1:10" x14ac:dyDescent="0.25">
      <c r="A10" s="195"/>
      <c r="B10" s="42" t="str">
        <f>A10&amp;"-"&amp;IF(DAY(Variables!$A$2)&lt;10,0,"")&amp;DAY(Variables!$A$2)</f>
        <v>-04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Runs'!$A$13:$A$99935,1,FALSE)</f>
        <v>#N/A</v>
      </c>
    </row>
    <row r="11" spans="1:10" x14ac:dyDescent="0.25">
      <c r="A11" s="195"/>
      <c r="B11" s="42" t="str">
        <f>A11&amp;"-"&amp;IF(DAY(Variables!$A$2)&lt;10,0,"")&amp;DAY(Variables!$A$2)</f>
        <v>-04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Runs'!$A$13:$A$99935,1,FALSE)</f>
        <v>#N/A</v>
      </c>
    </row>
    <row r="12" spans="1:10" x14ac:dyDescent="0.25">
      <c r="A12" s="195"/>
      <c r="B12" s="42" t="str">
        <f>A12&amp;"-"&amp;IF(DAY(Variables!$A$2)&lt;10,0,"")&amp;DAY(Variables!$A$2)</f>
        <v>-04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Runs'!$A$13:$A$99935,1,FALSE)</f>
        <v>#N/A</v>
      </c>
    </row>
    <row r="13" spans="1:10" x14ac:dyDescent="0.25">
      <c r="A13" s="195"/>
      <c r="B13" s="42" t="str">
        <f>A13&amp;"-"&amp;IF(DAY(Variables!$A$2)&lt;10,0,"")&amp;DAY(Variables!$A$2)</f>
        <v>-04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Runs'!$A$13:$A$99935,1,FALSE)</f>
        <v>#N/A</v>
      </c>
    </row>
    <row r="14" spans="1:10" x14ac:dyDescent="0.25">
      <c r="A14" s="195"/>
      <c r="B14" s="42" t="str">
        <f>A14&amp;"-"&amp;IF(DAY(Variables!$A$2)&lt;10,0,"")&amp;DAY(Variables!$A$2)</f>
        <v>-04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Runs'!$A$13:$A$99935,1,FALSE)</f>
        <v>#N/A</v>
      </c>
    </row>
    <row r="15" spans="1:10" x14ac:dyDescent="0.25">
      <c r="A15" s="195"/>
      <c r="B15" s="42" t="str">
        <f>A15&amp;"-"&amp;IF(DAY(Variables!$A$2)&lt;10,0,"")&amp;DAY(Variables!$A$2)</f>
        <v>-04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ref="I15:I3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Runs'!$A$13:$A$99935,1,FALSE)</f>
        <v>#N/A</v>
      </c>
    </row>
    <row r="16" spans="1:10" x14ac:dyDescent="0.25">
      <c r="A16" s="195"/>
      <c r="B16" s="42" t="str">
        <f>A16&amp;"-"&amp;IF(DAY(Variables!$A$2)&lt;10,0,"")&amp;DAY(Variables!$A$2)</f>
        <v>-04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Runs'!$A$13:$A$99935,1,FALSE)</f>
        <v>#N/A</v>
      </c>
    </row>
    <row r="17" spans="1:10" x14ac:dyDescent="0.25">
      <c r="A17" s="195"/>
      <c r="B17" s="42" t="str">
        <f>A17&amp;"-"&amp;IF(DAY(Variables!$A$2)&lt;10,0,"")&amp;DAY(Variables!$A$2)</f>
        <v>-04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Runs'!$A$13:$A$99935,1,FALSE)</f>
        <v>#N/A</v>
      </c>
    </row>
    <row r="18" spans="1:10" x14ac:dyDescent="0.25">
      <c r="A18" s="195"/>
      <c r="B18" s="42" t="str">
        <f>A18&amp;"-"&amp;IF(DAY(Variables!$A$2)&lt;10,0,"")&amp;DAY(Variables!$A$2)</f>
        <v>-04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Runs'!$A$13:$A$99935,1,FALSE)</f>
        <v>#N/A</v>
      </c>
    </row>
    <row r="19" spans="1:10" x14ac:dyDescent="0.25">
      <c r="A19" s="195"/>
      <c r="B19" s="42" t="str">
        <f>A19&amp;"-"&amp;IF(DAY(Variables!$A$2)&lt;10,0,"")&amp;DAY(Variables!$A$2)</f>
        <v>-04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Runs'!$A$13:$A$99935,1,FALSE)</f>
        <v>#N/A</v>
      </c>
    </row>
    <row r="20" spans="1:10" x14ac:dyDescent="0.25">
      <c r="A20" s="195"/>
      <c r="B20" s="42" t="str">
        <f>A20&amp;"-"&amp;IF(DAY(Variables!$A$2)&lt;10,0,"")&amp;DAY(Variables!$A$2)</f>
        <v>-04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Runs'!$A$13:$A$99935,1,FALSE)</f>
        <v>#N/A</v>
      </c>
    </row>
    <row r="21" spans="1:10" x14ac:dyDescent="0.25">
      <c r="A21" s="195"/>
      <c r="B21" s="42" t="str">
        <f>A21&amp;"-"&amp;IF(DAY(Variables!$A$2)&lt;10,0,"")&amp;DAY(Variables!$A$2)</f>
        <v>-04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Runs'!$A$13:$A$99935,1,FALSE)</f>
        <v>#N/A</v>
      </c>
    </row>
    <row r="22" spans="1:10" x14ac:dyDescent="0.25">
      <c r="A22" s="195"/>
      <c r="B22" s="42" t="str">
        <f>A22&amp;"-"&amp;IF(DAY(Variables!$A$2)&lt;10,0,"")&amp;DAY(Variables!$A$2)</f>
        <v>-04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Runs'!$A$13:$A$99935,1,FALSE)</f>
        <v>#N/A</v>
      </c>
    </row>
    <row r="23" spans="1:10" x14ac:dyDescent="0.25">
      <c r="A23" s="195"/>
      <c r="B23" s="42" t="str">
        <f>A23&amp;"-"&amp;IF(DAY(Variables!$A$2)&lt;10,0,"")&amp;DAY(Variables!$A$2)</f>
        <v>-04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Runs'!$A$13:$A$99935,1,FALSE)</f>
        <v>#N/A</v>
      </c>
    </row>
    <row r="24" spans="1:10" x14ac:dyDescent="0.25">
      <c r="A24" s="195"/>
      <c r="B24" s="42" t="str">
        <f>A24&amp;"-"&amp;IF(DAY(Variables!$A$2)&lt;10,0,"")&amp;DAY(Variables!$A$2)</f>
        <v>-04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Runs'!$A$13:$A$99935,1,FALSE)</f>
        <v>#N/A</v>
      </c>
    </row>
    <row r="25" spans="1:10" x14ac:dyDescent="0.25">
      <c r="A25" s="195"/>
      <c r="B25" s="42" t="str">
        <f>A25&amp;"-"&amp;IF(DAY(Variables!$A$2)&lt;10,0,"")&amp;DAY(Variables!$A$2)</f>
        <v>-04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Runs'!$A$13:$A$99935,1,FALSE)</f>
        <v>#N/A</v>
      </c>
    </row>
    <row r="26" spans="1:10" x14ac:dyDescent="0.25">
      <c r="A26" s="195"/>
      <c r="B26" s="42" t="str">
        <f>A26&amp;"-"&amp;IF(DAY(Variables!$A$2)&lt;10,0,"")&amp;DAY(Variables!$A$2)</f>
        <v>-04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Runs'!$A$13:$A$99935,1,FALSE)</f>
        <v>#N/A</v>
      </c>
    </row>
    <row r="27" spans="1:10" x14ac:dyDescent="0.25">
      <c r="A27" s="195"/>
      <c r="B27" s="42" t="str">
        <f>A27&amp;"-"&amp;IF(DAY(Variables!$A$2)&lt;10,0,"")&amp;DAY(Variables!$A$2)</f>
        <v>-04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Runs'!$A$13:$A$99935,1,FALSE)</f>
        <v>#N/A</v>
      </c>
    </row>
    <row r="28" spans="1:10" x14ac:dyDescent="0.25">
      <c r="A28" s="195"/>
      <c r="B28" s="42" t="str">
        <f>A28&amp;"-"&amp;IF(DAY(Variables!$A$2)&lt;10,0,"")&amp;DAY(Variables!$A$2)</f>
        <v>-04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Runs'!$A$13:$A$99935,1,FALSE)</f>
        <v>#N/A</v>
      </c>
    </row>
    <row r="29" spans="1:10" x14ac:dyDescent="0.25">
      <c r="A29" s="195"/>
      <c r="B29" s="42" t="str">
        <f>A29&amp;"-"&amp;IF(DAY(Variables!$A$2)&lt;10,0,"")&amp;DAY(Variables!$A$2)</f>
        <v>-04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Runs'!$A$13:$A$99935,1,FALSE)</f>
        <v>#N/A</v>
      </c>
    </row>
    <row r="30" spans="1:10" x14ac:dyDescent="0.25">
      <c r="A30" s="195"/>
      <c r="B30" s="42" t="str">
        <f>A30&amp;"-"&amp;IF(DAY(Variables!$A$2)&lt;10,0,"")&amp;DAY(Variables!$A$2)</f>
        <v>-04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Runs'!$A$13:$A$99935,1,FALSE)</f>
        <v>#N/A</v>
      </c>
    </row>
    <row r="31" spans="1:10" x14ac:dyDescent="0.25">
      <c r="A31" s="195"/>
      <c r="B31" s="42" t="str">
        <f>A31&amp;"-"&amp;IF(DAY(Variables!$A$2)&lt;10,0,"")&amp;DAY(Variables!$A$2)</f>
        <v>-04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Runs'!$A$13:$A$99935,1,FALSE)</f>
        <v>#N/A</v>
      </c>
    </row>
    <row r="32" spans="1:10" x14ac:dyDescent="0.25">
      <c r="A32" s="195"/>
      <c r="B32" s="42" t="str">
        <f>A32&amp;"-"&amp;IF(DAY(Variables!$A$2)&lt;10,0,"")&amp;DAY(Variables!$A$2)</f>
        <v>-04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Runs'!$A$13:$A$99935,1,FALSE)</f>
        <v>#N/A</v>
      </c>
    </row>
    <row r="33" spans="1:10" x14ac:dyDescent="0.25">
      <c r="A33" s="195"/>
      <c r="B33" s="42" t="str">
        <f>A33&amp;"-"&amp;IF(DAY(Variables!$A$2)&lt;10,0,"")&amp;DAY(Variables!$A$2)</f>
        <v>-04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Runs'!$A$13:$A$99935,1,FALSE)</f>
        <v>#N/A</v>
      </c>
    </row>
    <row r="34" spans="1:10" x14ac:dyDescent="0.25">
      <c r="A34" s="195"/>
      <c r="B34" s="42" t="str">
        <f>A34&amp;"-"&amp;IF(DAY(Variables!$A$2)&lt;10,0,"")&amp;DAY(Variables!$A$2)</f>
        <v>-04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Runs'!$A$13:$A$99935,1,FALSE)</f>
        <v>#N/A</v>
      </c>
    </row>
    <row r="35" spans="1:10" x14ac:dyDescent="0.25">
      <c r="A35" s="195"/>
      <c r="B35" s="42" t="str">
        <f>A35&amp;"-"&amp;IF(DAY(Variables!$A$2)&lt;10,0,"")&amp;DAY(Variables!$A$2)</f>
        <v>-04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Runs'!$A$13:$A$99935,1,FALSE)</f>
        <v>#N/A</v>
      </c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</sheetData>
  <autoFilter ref="A2:J4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42920.049074074072</v>
      </c>
      <c r="B2" s="20" t="s">
        <v>339</v>
      </c>
      <c r="C2" s="20" t="s">
        <v>648</v>
      </c>
      <c r="D2" s="138">
        <v>2230000</v>
      </c>
      <c r="E2" s="20" t="s">
        <v>342</v>
      </c>
      <c r="F2" s="20" t="s">
        <v>192</v>
      </c>
      <c r="G2" s="8" t="str">
        <f>E2&amp;" "&amp;F2</f>
        <v>SMITH MICHAEL</v>
      </c>
    </row>
    <row r="3" spans="1:7" x14ac:dyDescent="0.25">
      <c r="A3" s="8">
        <v>42920.049409722225</v>
      </c>
      <c r="B3" s="20" t="s">
        <v>474</v>
      </c>
      <c r="C3" s="20" t="s">
        <v>649</v>
      </c>
      <c r="D3" s="138">
        <v>2970000</v>
      </c>
      <c r="E3" s="20" t="s">
        <v>379</v>
      </c>
      <c r="F3" s="20" t="s">
        <v>380</v>
      </c>
      <c r="G3" s="8" t="str">
        <f t="shared" ref="G3:G66" si="0">E3&amp;" "&amp;F3</f>
        <v>GUZMAN DANNY</v>
      </c>
    </row>
    <row r="4" spans="1:7" x14ac:dyDescent="0.25">
      <c r="A4" s="8">
        <v>42920.069374999999</v>
      </c>
      <c r="B4" s="20" t="s">
        <v>650</v>
      </c>
      <c r="C4" s="20" t="s">
        <v>651</v>
      </c>
      <c r="D4" s="138">
        <v>2090000</v>
      </c>
      <c r="E4" s="20" t="s">
        <v>442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42920.090439814812</v>
      </c>
      <c r="B5" s="20" t="s">
        <v>469</v>
      </c>
      <c r="C5" s="20" t="s">
        <v>652</v>
      </c>
      <c r="D5" s="138">
        <v>2970000</v>
      </c>
      <c r="E5" s="20" t="s">
        <v>379</v>
      </c>
      <c r="F5" s="20" t="s">
        <v>380</v>
      </c>
      <c r="G5" s="8" t="str">
        <f t="shared" si="0"/>
        <v>GUZMAN DANNY</v>
      </c>
    </row>
    <row r="6" spans="1:7" x14ac:dyDescent="0.25">
      <c r="A6" s="8">
        <v>42920.116678240738</v>
      </c>
      <c r="B6" s="20" t="s">
        <v>642</v>
      </c>
      <c r="C6" s="20" t="s">
        <v>653</v>
      </c>
      <c r="D6" s="138">
        <v>1110000</v>
      </c>
      <c r="E6" s="20" t="s">
        <v>654</v>
      </c>
      <c r="F6" s="20" t="s">
        <v>655</v>
      </c>
      <c r="G6" s="8" t="str">
        <f t="shared" si="0"/>
        <v>STARKS ANGELINA</v>
      </c>
    </row>
    <row r="7" spans="1:7" x14ac:dyDescent="0.25">
      <c r="A7" s="8">
        <v>42920.1174537037</v>
      </c>
      <c r="B7" s="20" t="s">
        <v>642</v>
      </c>
      <c r="C7" s="20" t="s">
        <v>653</v>
      </c>
      <c r="D7" s="138">
        <v>1110000</v>
      </c>
      <c r="E7" s="20" t="s">
        <v>654</v>
      </c>
      <c r="F7" s="20" t="s">
        <v>655</v>
      </c>
      <c r="G7" s="8" t="str">
        <f t="shared" si="0"/>
        <v>STARKS ANGELINA</v>
      </c>
    </row>
    <row r="8" spans="1:7" x14ac:dyDescent="0.25">
      <c r="A8" s="8">
        <v>42920.118078703701</v>
      </c>
      <c r="B8" s="20" t="s">
        <v>642</v>
      </c>
      <c r="C8" s="20" t="s">
        <v>653</v>
      </c>
      <c r="D8" s="138">
        <v>1110000</v>
      </c>
      <c r="E8" s="20" t="s">
        <v>654</v>
      </c>
      <c r="F8" s="20" t="s">
        <v>655</v>
      </c>
      <c r="G8" s="8" t="str">
        <f t="shared" si="0"/>
        <v>STARKS ANGELINA</v>
      </c>
    </row>
    <row r="9" spans="1:7" ht="15.75" thickBot="1" x14ac:dyDescent="0.3">
      <c r="A9" s="24">
        <v>42920.128287037034</v>
      </c>
      <c r="B9" s="20" t="s">
        <v>656</v>
      </c>
      <c r="C9" s="20" t="s">
        <v>657</v>
      </c>
      <c r="D9" s="138">
        <v>1090000</v>
      </c>
      <c r="E9" s="20" t="s">
        <v>658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42920.132708333331</v>
      </c>
      <c r="B10" s="20" t="s">
        <v>420</v>
      </c>
      <c r="C10" s="20" t="s">
        <v>659</v>
      </c>
      <c r="D10" s="138">
        <v>1110000</v>
      </c>
      <c r="E10" s="20" t="s">
        <v>654</v>
      </c>
      <c r="F10" s="20" t="s">
        <v>655</v>
      </c>
      <c r="G10" s="8" t="str">
        <f t="shared" si="0"/>
        <v>STARKS ANGELINA</v>
      </c>
    </row>
    <row r="11" spans="1:7" x14ac:dyDescent="0.25">
      <c r="A11" s="8">
        <v>42920.139108796298</v>
      </c>
      <c r="B11" s="20" t="s">
        <v>439</v>
      </c>
      <c r="C11" s="20" t="s">
        <v>606</v>
      </c>
      <c r="D11" s="138">
        <v>940000</v>
      </c>
      <c r="E11" s="20" t="s">
        <v>501</v>
      </c>
      <c r="F11" s="20" t="s">
        <v>502</v>
      </c>
      <c r="G11" s="8" t="str">
        <f t="shared" si="0"/>
        <v>BONDS REYNALDO</v>
      </c>
    </row>
    <row r="12" spans="1:7" x14ac:dyDescent="0.25">
      <c r="A12" s="8">
        <v>42920.141284722224</v>
      </c>
      <c r="B12" s="20" t="s">
        <v>642</v>
      </c>
      <c r="C12" s="20" t="s">
        <v>660</v>
      </c>
      <c r="D12" s="138">
        <v>1090000</v>
      </c>
      <c r="E12" s="20" t="s">
        <v>658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42920.151712962965</v>
      </c>
      <c r="B13" s="20" t="s">
        <v>438</v>
      </c>
      <c r="C13" s="20" t="s">
        <v>661</v>
      </c>
      <c r="D13" s="138">
        <v>940000</v>
      </c>
      <c r="E13" s="20" t="s">
        <v>501</v>
      </c>
      <c r="F13" s="20" t="s">
        <v>502</v>
      </c>
      <c r="G13" s="8" t="str">
        <f t="shared" si="0"/>
        <v>BONDS REYNALDO</v>
      </c>
    </row>
    <row r="14" spans="1:7" x14ac:dyDescent="0.25">
      <c r="A14" s="8">
        <v>42920.159467592595</v>
      </c>
      <c r="B14" s="20" t="s">
        <v>560</v>
      </c>
      <c r="C14" s="20" t="s">
        <v>662</v>
      </c>
      <c r="D14" s="138">
        <v>2010000</v>
      </c>
      <c r="E14" s="20" t="s">
        <v>490</v>
      </c>
      <c r="F14" s="20" t="s">
        <v>491</v>
      </c>
      <c r="G14" s="8" t="str">
        <f t="shared" si="0"/>
        <v>MAELZER KURT</v>
      </c>
    </row>
    <row r="15" spans="1:7" x14ac:dyDescent="0.25">
      <c r="A15" s="8">
        <v>42920.16605324074</v>
      </c>
      <c r="B15" s="20" t="s">
        <v>416</v>
      </c>
      <c r="C15" s="20" t="s">
        <v>663</v>
      </c>
      <c r="D15" s="138">
        <v>1110000</v>
      </c>
      <c r="E15" s="20" t="s">
        <v>654</v>
      </c>
      <c r="F15" s="20" t="s">
        <v>655</v>
      </c>
      <c r="G15" s="8" t="str">
        <f t="shared" si="0"/>
        <v>STARKS ANGELINA</v>
      </c>
    </row>
    <row r="16" spans="1:7" x14ac:dyDescent="0.25">
      <c r="A16" s="8">
        <v>42920.170300925929</v>
      </c>
      <c r="B16" s="20" t="s">
        <v>395</v>
      </c>
      <c r="C16" s="20" t="s">
        <v>664</v>
      </c>
      <c r="D16" s="138">
        <v>3180000</v>
      </c>
      <c r="E16" s="20" t="s">
        <v>665</v>
      </c>
      <c r="F16" s="20" t="s">
        <v>666</v>
      </c>
      <c r="G16" s="8" t="str">
        <f t="shared" si="0"/>
        <v>HUFFSMITH MONTY</v>
      </c>
    </row>
    <row r="17" spans="1:7" x14ac:dyDescent="0.25">
      <c r="A17" s="8">
        <v>42920.171203703707</v>
      </c>
      <c r="B17" s="20" t="s">
        <v>561</v>
      </c>
      <c r="C17" s="20" t="s">
        <v>607</v>
      </c>
      <c r="D17" s="138">
        <v>2010000</v>
      </c>
      <c r="E17" s="20" t="s">
        <v>490</v>
      </c>
      <c r="F17" s="20" t="s">
        <v>491</v>
      </c>
      <c r="G17" s="8" t="str">
        <f t="shared" si="0"/>
        <v>MAELZER KURT</v>
      </c>
    </row>
    <row r="18" spans="1:7" x14ac:dyDescent="0.25">
      <c r="A18" s="8">
        <v>42920.173113425924</v>
      </c>
      <c r="B18" s="20" t="s">
        <v>395</v>
      </c>
      <c r="C18" s="20" t="s">
        <v>664</v>
      </c>
      <c r="D18" s="138">
        <v>3180000</v>
      </c>
      <c r="E18" s="20" t="s">
        <v>665</v>
      </c>
      <c r="F18" s="20" t="s">
        <v>666</v>
      </c>
      <c r="G18" s="8" t="str">
        <f t="shared" si="0"/>
        <v>HUFFSMITH MONTY</v>
      </c>
    </row>
    <row r="19" spans="1:7" x14ac:dyDescent="0.25">
      <c r="A19" s="8">
        <v>42920.182106481479</v>
      </c>
      <c r="B19" s="20" t="s">
        <v>537</v>
      </c>
      <c r="C19" s="20" t="s">
        <v>667</v>
      </c>
      <c r="D19" s="138">
        <v>2560000</v>
      </c>
      <c r="E19" s="20" t="s">
        <v>492</v>
      </c>
      <c r="F19" s="20" t="s">
        <v>366</v>
      </c>
      <c r="G19" s="8" t="str">
        <f t="shared" si="0"/>
        <v>MACDONALD THOMAS</v>
      </c>
    </row>
    <row r="20" spans="1:7" x14ac:dyDescent="0.25">
      <c r="A20" s="8">
        <v>42920.184641203705</v>
      </c>
      <c r="B20" s="20" t="s">
        <v>396</v>
      </c>
      <c r="C20" s="20" t="s">
        <v>668</v>
      </c>
      <c r="D20" s="138">
        <v>3180000</v>
      </c>
      <c r="E20" s="20" t="s">
        <v>665</v>
      </c>
      <c r="F20" s="20" t="s">
        <v>666</v>
      </c>
      <c r="G20" s="8" t="str">
        <f t="shared" si="0"/>
        <v>HUFFSMITH MONTY</v>
      </c>
    </row>
    <row r="21" spans="1:7" x14ac:dyDescent="0.25">
      <c r="A21" s="8">
        <v>42920.185740740744</v>
      </c>
      <c r="B21" s="20" t="s">
        <v>396</v>
      </c>
      <c r="C21" s="20" t="s">
        <v>668</v>
      </c>
      <c r="D21" s="138">
        <v>3180000</v>
      </c>
      <c r="E21" s="20" t="s">
        <v>665</v>
      </c>
      <c r="F21" s="20" t="s">
        <v>666</v>
      </c>
      <c r="G21" s="8" t="str">
        <f t="shared" si="0"/>
        <v>HUFFSMITH MONTY</v>
      </c>
    </row>
    <row r="22" spans="1:7" x14ac:dyDescent="0.25">
      <c r="A22" s="26">
        <v>42920.193206018521</v>
      </c>
      <c r="B22" s="20" t="s">
        <v>439</v>
      </c>
      <c r="C22" s="20" t="s">
        <v>669</v>
      </c>
      <c r="D22" s="138">
        <v>940000</v>
      </c>
      <c r="E22" s="20" t="s">
        <v>501</v>
      </c>
      <c r="F22" s="20" t="s">
        <v>502</v>
      </c>
      <c r="G22" s="8" t="str">
        <f t="shared" si="0"/>
        <v>BONDS REYNALDO</v>
      </c>
    </row>
    <row r="23" spans="1:7" x14ac:dyDescent="0.25">
      <c r="A23" s="8">
        <v>42920.193692129629</v>
      </c>
      <c r="B23" s="20" t="s">
        <v>538</v>
      </c>
      <c r="C23" s="20" t="s">
        <v>670</v>
      </c>
      <c r="D23" s="138">
        <v>2560000</v>
      </c>
      <c r="E23" s="20" t="s">
        <v>492</v>
      </c>
      <c r="F23" s="20" t="s">
        <v>366</v>
      </c>
      <c r="G23" s="8" t="str">
        <f t="shared" si="0"/>
        <v>MACDONALD THOMAS</v>
      </c>
    </row>
    <row r="24" spans="1:7" x14ac:dyDescent="0.25">
      <c r="A24" s="8">
        <v>42920.199953703705</v>
      </c>
      <c r="B24" s="20" t="s">
        <v>341</v>
      </c>
      <c r="C24" s="20" t="s">
        <v>671</v>
      </c>
      <c r="D24" s="138">
        <v>3200000</v>
      </c>
      <c r="E24" s="20" t="s">
        <v>672</v>
      </c>
      <c r="F24" s="20" t="s">
        <v>673</v>
      </c>
      <c r="G24" s="8" t="str">
        <f t="shared" si="0"/>
        <v>MILLER KEVIN</v>
      </c>
    </row>
    <row r="25" spans="1:7" x14ac:dyDescent="0.25">
      <c r="A25" s="8">
        <v>42920.206145833334</v>
      </c>
      <c r="B25" s="20" t="s">
        <v>482</v>
      </c>
      <c r="C25" s="20" t="s">
        <v>674</v>
      </c>
      <c r="D25" s="138">
        <v>890000</v>
      </c>
      <c r="E25" s="20" t="s">
        <v>675</v>
      </c>
      <c r="F25" s="20" t="s">
        <v>676</v>
      </c>
      <c r="G25" s="8" t="str">
        <f t="shared" si="0"/>
        <v>LOZA FIDEL</v>
      </c>
    </row>
    <row r="26" spans="1:7" x14ac:dyDescent="0.25">
      <c r="A26" s="8">
        <v>42920.207708333335</v>
      </c>
      <c r="B26" s="20" t="s">
        <v>420</v>
      </c>
      <c r="C26" s="20" t="s">
        <v>608</v>
      </c>
      <c r="D26" s="138">
        <v>1110000</v>
      </c>
      <c r="E26" s="20" t="s">
        <v>654</v>
      </c>
      <c r="F26" s="20" t="s">
        <v>655</v>
      </c>
      <c r="G26" s="8" t="str">
        <f t="shared" si="0"/>
        <v>STARKS ANGELINA</v>
      </c>
    </row>
    <row r="27" spans="1:7" x14ac:dyDescent="0.25">
      <c r="A27" s="8">
        <v>42920.21197916667</v>
      </c>
      <c r="B27" s="20" t="s">
        <v>365</v>
      </c>
      <c r="C27" s="20" t="s">
        <v>677</v>
      </c>
      <c r="D27" s="138">
        <v>3200000</v>
      </c>
      <c r="E27" s="20" t="s">
        <v>672</v>
      </c>
      <c r="F27" s="20" t="s">
        <v>673</v>
      </c>
      <c r="G27" s="8" t="str">
        <f t="shared" si="0"/>
        <v>MILLER KEVIN</v>
      </c>
    </row>
    <row r="28" spans="1:7" x14ac:dyDescent="0.25">
      <c r="A28" s="8">
        <v>42920.213333333333</v>
      </c>
      <c r="B28" s="20" t="s">
        <v>560</v>
      </c>
      <c r="C28" s="20" t="s">
        <v>678</v>
      </c>
      <c r="D28" s="138">
        <v>2010000</v>
      </c>
      <c r="E28" s="20" t="s">
        <v>490</v>
      </c>
      <c r="F28" s="20" t="s">
        <v>491</v>
      </c>
      <c r="G28" s="8" t="str">
        <f t="shared" si="0"/>
        <v>MAELZER KURT</v>
      </c>
    </row>
    <row r="29" spans="1:7" x14ac:dyDescent="0.25">
      <c r="A29" s="8">
        <v>42920.217303240737</v>
      </c>
      <c r="B29" s="20" t="s">
        <v>395</v>
      </c>
      <c r="C29" s="20" t="s">
        <v>679</v>
      </c>
      <c r="D29" s="138">
        <v>3180000</v>
      </c>
      <c r="E29" s="20" t="s">
        <v>665</v>
      </c>
      <c r="F29" s="20" t="s">
        <v>666</v>
      </c>
      <c r="G29" s="8" t="str">
        <f t="shared" si="0"/>
        <v>HUFFSMITH MONTY</v>
      </c>
    </row>
    <row r="30" spans="1:7" x14ac:dyDescent="0.25">
      <c r="A30" s="8">
        <v>42920.217719907407</v>
      </c>
      <c r="B30" s="20" t="s">
        <v>397</v>
      </c>
      <c r="C30" s="20" t="s">
        <v>680</v>
      </c>
      <c r="D30" s="138">
        <v>890000</v>
      </c>
      <c r="E30" s="20" t="s">
        <v>675</v>
      </c>
      <c r="F30" s="20" t="s">
        <v>676</v>
      </c>
      <c r="G30" s="8" t="str">
        <f t="shared" si="0"/>
        <v>LOZA FIDEL</v>
      </c>
    </row>
    <row r="31" spans="1:7" x14ac:dyDescent="0.25">
      <c r="A31" s="8">
        <v>42920.224432870367</v>
      </c>
      <c r="B31" s="20" t="s">
        <v>510</v>
      </c>
      <c r="C31" s="20" t="s">
        <v>609</v>
      </c>
      <c r="D31" s="138">
        <v>2600000</v>
      </c>
      <c r="E31" s="20" t="s">
        <v>563</v>
      </c>
      <c r="F31" s="20" t="s">
        <v>564</v>
      </c>
      <c r="G31" s="8" t="str">
        <f t="shared" si="0"/>
        <v>DAVIDSON DAVID</v>
      </c>
    </row>
    <row r="32" spans="1:7" x14ac:dyDescent="0.25">
      <c r="A32" s="8">
        <v>42920.227824074071</v>
      </c>
      <c r="B32" s="20" t="s">
        <v>438</v>
      </c>
      <c r="C32" s="20" t="s">
        <v>681</v>
      </c>
      <c r="D32" s="138">
        <v>940000</v>
      </c>
      <c r="E32" s="20" t="s">
        <v>501</v>
      </c>
      <c r="F32" s="20" t="s">
        <v>502</v>
      </c>
      <c r="G32" s="8" t="str">
        <f t="shared" si="0"/>
        <v>BONDS REYNALDO</v>
      </c>
    </row>
    <row r="33" spans="1:7" x14ac:dyDescent="0.25">
      <c r="A33" s="8">
        <v>42920.228067129632</v>
      </c>
      <c r="B33" s="20" t="s">
        <v>341</v>
      </c>
      <c r="C33" s="20" t="s">
        <v>682</v>
      </c>
      <c r="D33" s="138">
        <v>3200000</v>
      </c>
      <c r="E33" s="20" t="s">
        <v>672</v>
      </c>
      <c r="F33" s="20" t="s">
        <v>673</v>
      </c>
      <c r="G33" s="8" t="str">
        <f t="shared" si="0"/>
        <v>MILLER KEVIN</v>
      </c>
    </row>
    <row r="34" spans="1:7" x14ac:dyDescent="0.25">
      <c r="A34" s="8">
        <v>42920.235706018517</v>
      </c>
      <c r="B34" s="20" t="s">
        <v>512</v>
      </c>
      <c r="C34" s="20" t="s">
        <v>683</v>
      </c>
      <c r="D34" s="138">
        <v>2600000</v>
      </c>
      <c r="E34" s="20" t="s">
        <v>563</v>
      </c>
      <c r="F34" s="20" t="s">
        <v>564</v>
      </c>
      <c r="G34" s="8" t="str">
        <f t="shared" si="0"/>
        <v>DAVIDSON DAVID</v>
      </c>
    </row>
    <row r="35" spans="1:7" x14ac:dyDescent="0.25">
      <c r="A35" s="8">
        <v>42920.236273148148</v>
      </c>
      <c r="B35" s="20" t="s">
        <v>537</v>
      </c>
      <c r="C35" s="20" t="s">
        <v>684</v>
      </c>
      <c r="D35" s="138">
        <v>2560000</v>
      </c>
      <c r="E35" s="20" t="s">
        <v>492</v>
      </c>
      <c r="F35" s="20" t="s">
        <v>366</v>
      </c>
      <c r="G35" s="8" t="str">
        <f t="shared" si="0"/>
        <v>MACDONALD THOMAS</v>
      </c>
    </row>
    <row r="36" spans="1:7" x14ac:dyDescent="0.25">
      <c r="A36" s="8">
        <v>42920.246111111112</v>
      </c>
      <c r="B36" s="20" t="s">
        <v>416</v>
      </c>
      <c r="C36" s="20" t="s">
        <v>685</v>
      </c>
      <c r="D36" s="138">
        <v>1110000</v>
      </c>
      <c r="E36" s="20" t="s">
        <v>654</v>
      </c>
      <c r="F36" s="20" t="s">
        <v>655</v>
      </c>
      <c r="G36" s="8" t="str">
        <f t="shared" si="0"/>
        <v>STARKS ANGELINA</v>
      </c>
    </row>
    <row r="37" spans="1:7" x14ac:dyDescent="0.25">
      <c r="A37" s="8">
        <v>42920.246817129628</v>
      </c>
      <c r="B37" s="20" t="s">
        <v>561</v>
      </c>
      <c r="C37" s="20" t="s">
        <v>686</v>
      </c>
      <c r="D37" s="138">
        <v>2010000</v>
      </c>
      <c r="E37" s="20" t="s">
        <v>490</v>
      </c>
      <c r="F37" s="20" t="s">
        <v>491</v>
      </c>
      <c r="G37" s="8" t="str">
        <f t="shared" si="0"/>
        <v>MAELZER KURT</v>
      </c>
    </row>
    <row r="38" spans="1:7" x14ac:dyDescent="0.25">
      <c r="A38" s="8">
        <v>42920.248680555553</v>
      </c>
      <c r="B38" s="20" t="s">
        <v>399</v>
      </c>
      <c r="C38" s="20" t="s">
        <v>687</v>
      </c>
      <c r="D38" s="138">
        <v>2730000</v>
      </c>
      <c r="E38" s="20" t="s">
        <v>513</v>
      </c>
      <c r="F38" s="20" t="s">
        <v>514</v>
      </c>
      <c r="G38" s="8" t="str">
        <f t="shared" si="0"/>
        <v>YANG JAN</v>
      </c>
    </row>
    <row r="39" spans="1:7" x14ac:dyDescent="0.25">
      <c r="A39" s="8">
        <v>42920.248715277776</v>
      </c>
      <c r="B39" s="20" t="s">
        <v>482</v>
      </c>
      <c r="C39" s="20" t="s">
        <v>688</v>
      </c>
      <c r="D39" s="138">
        <v>890000</v>
      </c>
      <c r="E39" s="20" t="s">
        <v>675</v>
      </c>
      <c r="F39" s="20" t="s">
        <v>676</v>
      </c>
      <c r="G39" s="8" t="str">
        <f t="shared" si="0"/>
        <v>LOZA FIDEL</v>
      </c>
    </row>
    <row r="40" spans="1:7" x14ac:dyDescent="0.25">
      <c r="A40" s="8">
        <v>42920.255902777775</v>
      </c>
      <c r="B40" s="25" t="s">
        <v>365</v>
      </c>
      <c r="C40" s="20" t="s">
        <v>689</v>
      </c>
      <c r="D40" s="138">
        <v>3200000</v>
      </c>
      <c r="E40" s="20" t="s">
        <v>672</v>
      </c>
      <c r="F40" s="20" t="s">
        <v>673</v>
      </c>
      <c r="G40" s="8" t="str">
        <f t="shared" si="0"/>
        <v>MILLER KEVIN</v>
      </c>
    </row>
    <row r="41" spans="1:7" x14ac:dyDescent="0.25">
      <c r="A41" s="8">
        <v>42920.258229166669</v>
      </c>
      <c r="B41" s="20" t="s">
        <v>396</v>
      </c>
      <c r="C41" s="20" t="s">
        <v>690</v>
      </c>
      <c r="D41" s="138">
        <v>3180000</v>
      </c>
      <c r="E41" s="20" t="s">
        <v>665</v>
      </c>
      <c r="F41" s="20" t="s">
        <v>666</v>
      </c>
      <c r="G41" s="8" t="str">
        <f t="shared" si="0"/>
        <v>HUFFSMITH MONTY</v>
      </c>
    </row>
    <row r="42" spans="1:7" x14ac:dyDescent="0.25">
      <c r="A42" s="8">
        <v>42920.261886574073</v>
      </c>
      <c r="B42" s="20" t="s">
        <v>402</v>
      </c>
      <c r="C42" s="20" t="s">
        <v>691</v>
      </c>
      <c r="D42" s="138">
        <v>2730000</v>
      </c>
      <c r="E42" s="20" t="s">
        <v>513</v>
      </c>
      <c r="F42" s="20" t="s">
        <v>514</v>
      </c>
      <c r="G42" s="8" t="str">
        <f t="shared" si="0"/>
        <v>YANG JAN</v>
      </c>
    </row>
    <row r="43" spans="1:7" x14ac:dyDescent="0.25">
      <c r="A43" s="8">
        <v>42920.267071759263</v>
      </c>
      <c r="B43" s="20" t="s">
        <v>439</v>
      </c>
      <c r="C43" s="20" t="s">
        <v>692</v>
      </c>
      <c r="D43" s="138">
        <v>940000</v>
      </c>
      <c r="E43" s="20" t="s">
        <v>501</v>
      </c>
      <c r="F43" s="20" t="s">
        <v>502</v>
      </c>
      <c r="G43" s="8" t="str">
        <f t="shared" si="0"/>
        <v>BONDS REYNALDO</v>
      </c>
    </row>
    <row r="44" spans="1:7" x14ac:dyDescent="0.25">
      <c r="A44" s="8">
        <v>42920.26803240741</v>
      </c>
      <c r="B44" s="20" t="s">
        <v>538</v>
      </c>
      <c r="C44" s="20" t="s">
        <v>610</v>
      </c>
      <c r="D44" s="138">
        <v>2560000</v>
      </c>
      <c r="E44" s="20" t="s">
        <v>492</v>
      </c>
      <c r="F44" s="20" t="s">
        <v>366</v>
      </c>
      <c r="G44" s="8" t="str">
        <f t="shared" si="0"/>
        <v>MACDONALD THOMAS</v>
      </c>
    </row>
    <row r="45" spans="1:7" x14ac:dyDescent="0.25">
      <c r="A45" s="8">
        <v>42920.270069444443</v>
      </c>
      <c r="B45" s="20" t="s">
        <v>510</v>
      </c>
      <c r="C45" s="20" t="s">
        <v>693</v>
      </c>
      <c r="D45" s="138">
        <v>2600000</v>
      </c>
      <c r="E45" s="20" t="s">
        <v>563</v>
      </c>
      <c r="F45" s="20" t="s">
        <v>564</v>
      </c>
      <c r="G45" s="8" t="str">
        <f t="shared" si="0"/>
        <v>DAVIDSON DAVID</v>
      </c>
    </row>
    <row r="46" spans="1:7" x14ac:dyDescent="0.25">
      <c r="A46" s="8">
        <v>42920.277337962965</v>
      </c>
      <c r="B46" s="20" t="s">
        <v>399</v>
      </c>
      <c r="C46" s="20" t="s">
        <v>694</v>
      </c>
      <c r="D46" s="138">
        <v>2730000</v>
      </c>
      <c r="E46" s="20" t="s">
        <v>513</v>
      </c>
      <c r="F46" s="20" t="s">
        <v>514</v>
      </c>
      <c r="G46" s="8" t="str">
        <f t="shared" si="0"/>
        <v>YANG JAN</v>
      </c>
    </row>
    <row r="47" spans="1:7" x14ac:dyDescent="0.25">
      <c r="A47" s="8">
        <v>42920.280775462961</v>
      </c>
      <c r="B47" s="20" t="s">
        <v>420</v>
      </c>
      <c r="C47" s="20" t="s">
        <v>695</v>
      </c>
      <c r="D47" s="138">
        <v>1110000</v>
      </c>
      <c r="E47" s="20" t="s">
        <v>654</v>
      </c>
      <c r="F47" s="20" t="s">
        <v>655</v>
      </c>
      <c r="G47" s="8" t="str">
        <f t="shared" si="0"/>
        <v>STARKS ANGELINA</v>
      </c>
    </row>
    <row r="48" spans="1:7" x14ac:dyDescent="0.25">
      <c r="A48" s="8">
        <v>42920.283680555556</v>
      </c>
      <c r="B48" s="20" t="s">
        <v>341</v>
      </c>
      <c r="C48" s="20" t="s">
        <v>696</v>
      </c>
      <c r="D48" s="138">
        <v>3200000</v>
      </c>
      <c r="E48" s="20" t="s">
        <v>672</v>
      </c>
      <c r="F48" s="20" t="s">
        <v>673</v>
      </c>
      <c r="G48" s="8" t="str">
        <f t="shared" si="0"/>
        <v>MILLER KEVIN</v>
      </c>
    </row>
    <row r="49" spans="1:7" x14ac:dyDescent="0.25">
      <c r="A49" s="8">
        <v>42920.285671296297</v>
      </c>
      <c r="B49" s="20" t="s">
        <v>560</v>
      </c>
      <c r="C49" s="20" t="s">
        <v>697</v>
      </c>
      <c r="D49" s="138">
        <v>2010000</v>
      </c>
      <c r="E49" s="20" t="s">
        <v>490</v>
      </c>
      <c r="F49" s="20" t="s">
        <v>491</v>
      </c>
      <c r="G49" s="8" t="str">
        <f t="shared" si="0"/>
        <v>MAELZER KURT</v>
      </c>
    </row>
    <row r="50" spans="1:7" x14ac:dyDescent="0.25">
      <c r="A50" s="8">
        <v>42920.289293981485</v>
      </c>
      <c r="B50" s="20" t="s">
        <v>395</v>
      </c>
      <c r="C50" s="20" t="s">
        <v>698</v>
      </c>
      <c r="D50" s="138">
        <v>3180000</v>
      </c>
      <c r="E50" s="20" t="s">
        <v>665</v>
      </c>
      <c r="F50" s="20" t="s">
        <v>666</v>
      </c>
      <c r="G50" s="8" t="str">
        <f t="shared" si="0"/>
        <v>HUFFSMITH MONTY</v>
      </c>
    </row>
    <row r="51" spans="1:7" x14ac:dyDescent="0.25">
      <c r="A51" s="8">
        <v>42920.291331018518</v>
      </c>
      <c r="B51" s="20" t="s">
        <v>397</v>
      </c>
      <c r="C51" s="20" t="s">
        <v>699</v>
      </c>
      <c r="D51" s="138">
        <v>890000</v>
      </c>
      <c r="E51" s="20" t="s">
        <v>675</v>
      </c>
      <c r="F51" s="20" t="s">
        <v>676</v>
      </c>
      <c r="G51" s="8" t="str">
        <f t="shared" si="0"/>
        <v>LOZA FIDEL</v>
      </c>
    </row>
    <row r="52" spans="1:7" x14ac:dyDescent="0.25">
      <c r="A52" s="8">
        <v>42920.296979166669</v>
      </c>
      <c r="B52" s="20" t="s">
        <v>365</v>
      </c>
      <c r="C52" s="20" t="s">
        <v>700</v>
      </c>
      <c r="D52" s="138">
        <v>3200000</v>
      </c>
      <c r="E52" s="20" t="s">
        <v>672</v>
      </c>
      <c r="F52" s="20" t="s">
        <v>673</v>
      </c>
      <c r="G52" s="8" t="str">
        <f t="shared" si="0"/>
        <v>MILLER KEVIN</v>
      </c>
    </row>
    <row r="53" spans="1:7" x14ac:dyDescent="0.25">
      <c r="A53" s="8">
        <v>42920.297962962963</v>
      </c>
      <c r="B53" s="20" t="s">
        <v>402</v>
      </c>
      <c r="C53" s="20" t="s">
        <v>701</v>
      </c>
      <c r="D53" s="138">
        <v>2730000</v>
      </c>
      <c r="E53" s="20" t="s">
        <v>513</v>
      </c>
      <c r="F53" s="20" t="s">
        <v>514</v>
      </c>
      <c r="G53" s="8" t="str">
        <f t="shared" si="0"/>
        <v>YANG JAN</v>
      </c>
    </row>
    <row r="54" spans="1:7" x14ac:dyDescent="0.25">
      <c r="A54" s="8">
        <v>42920.299826388888</v>
      </c>
      <c r="B54" s="20" t="s">
        <v>537</v>
      </c>
      <c r="C54" s="20" t="s">
        <v>702</v>
      </c>
      <c r="D54" s="138">
        <v>2560000</v>
      </c>
      <c r="E54" s="20" t="s">
        <v>492</v>
      </c>
      <c r="F54" s="20" t="s">
        <v>366</v>
      </c>
      <c r="G54" s="8" t="str">
        <f t="shared" si="0"/>
        <v>MACDONALD THOMAS</v>
      </c>
    </row>
    <row r="55" spans="1:7" x14ac:dyDescent="0.25">
      <c r="A55" s="8">
        <v>42920.300486111111</v>
      </c>
      <c r="B55" s="20" t="s">
        <v>438</v>
      </c>
      <c r="C55" s="20" t="s">
        <v>611</v>
      </c>
      <c r="D55" s="138">
        <v>1200000</v>
      </c>
      <c r="E55" s="20" t="s">
        <v>703</v>
      </c>
      <c r="F55" s="20" t="s">
        <v>704</v>
      </c>
      <c r="G55" s="8" t="str">
        <f t="shared" si="0"/>
        <v>CUSHING HARRY</v>
      </c>
    </row>
    <row r="56" spans="1:7" x14ac:dyDescent="0.25">
      <c r="A56" s="8">
        <v>42920.309907407405</v>
      </c>
      <c r="B56" s="20" t="s">
        <v>512</v>
      </c>
      <c r="C56" s="20" t="s">
        <v>705</v>
      </c>
      <c r="D56" s="138">
        <v>2600000</v>
      </c>
      <c r="E56" s="20" t="s">
        <v>563</v>
      </c>
      <c r="F56" s="20" t="s">
        <v>564</v>
      </c>
      <c r="G56" s="8" t="str">
        <f t="shared" si="0"/>
        <v>DAVIDSON DAVID</v>
      </c>
    </row>
    <row r="57" spans="1:7" x14ac:dyDescent="0.25">
      <c r="A57" s="8">
        <v>42920.318437499998</v>
      </c>
      <c r="B57" s="20" t="s">
        <v>399</v>
      </c>
      <c r="C57" s="20" t="s">
        <v>612</v>
      </c>
      <c r="D57" s="138">
        <v>2730000</v>
      </c>
      <c r="E57" s="20" t="s">
        <v>513</v>
      </c>
      <c r="F57" s="20" t="s">
        <v>514</v>
      </c>
      <c r="G57" s="8" t="str">
        <f t="shared" si="0"/>
        <v>YANG JAN</v>
      </c>
    </row>
    <row r="58" spans="1:7" x14ac:dyDescent="0.25">
      <c r="A58" s="8">
        <v>42920.319641203707</v>
      </c>
      <c r="B58" s="20" t="s">
        <v>416</v>
      </c>
      <c r="C58" s="20" t="s">
        <v>706</v>
      </c>
      <c r="D58" s="138">
        <v>1110000</v>
      </c>
      <c r="E58" s="20" t="s">
        <v>654</v>
      </c>
      <c r="F58" s="20" t="s">
        <v>655</v>
      </c>
      <c r="G58" s="8" t="str">
        <f t="shared" si="0"/>
        <v>STARKS ANGELINA</v>
      </c>
    </row>
    <row r="59" spans="1:7" x14ac:dyDescent="0.25">
      <c r="A59" s="8">
        <v>42920.320277777777</v>
      </c>
      <c r="B59" s="20" t="s">
        <v>561</v>
      </c>
      <c r="C59" s="20" t="s">
        <v>707</v>
      </c>
      <c r="D59" s="138">
        <v>2010000</v>
      </c>
      <c r="E59" s="20" t="s">
        <v>490</v>
      </c>
      <c r="F59" s="20" t="s">
        <v>491</v>
      </c>
      <c r="G59" s="8" t="str">
        <f t="shared" si="0"/>
        <v>MAELZER KURT</v>
      </c>
    </row>
    <row r="60" spans="1:7" x14ac:dyDescent="0.25">
      <c r="A60" s="8">
        <v>42920.320659722223</v>
      </c>
      <c r="B60" s="20" t="s">
        <v>416</v>
      </c>
      <c r="C60" s="20" t="s">
        <v>613</v>
      </c>
      <c r="D60" s="138">
        <v>1110000</v>
      </c>
      <c r="E60" s="20" t="s">
        <v>654</v>
      </c>
      <c r="F60" s="20" t="s">
        <v>655</v>
      </c>
      <c r="G60" s="8" t="str">
        <f t="shared" si="0"/>
        <v>STARKS ANGELINA</v>
      </c>
    </row>
    <row r="61" spans="1:7" x14ac:dyDescent="0.25">
      <c r="A61" s="8">
        <v>42920.322997685187</v>
      </c>
      <c r="B61" s="20" t="s">
        <v>341</v>
      </c>
      <c r="C61" s="20" t="s">
        <v>708</v>
      </c>
      <c r="D61" s="138">
        <v>3200000</v>
      </c>
      <c r="E61" s="20" t="s">
        <v>672</v>
      </c>
      <c r="F61" s="20" t="s">
        <v>673</v>
      </c>
      <c r="G61" s="8" t="str">
        <f t="shared" si="0"/>
        <v>MILLER KEVIN</v>
      </c>
    </row>
    <row r="62" spans="1:7" x14ac:dyDescent="0.25">
      <c r="A62" s="8">
        <v>42920.329467592594</v>
      </c>
      <c r="B62" s="20" t="s">
        <v>482</v>
      </c>
      <c r="C62" s="20" t="s">
        <v>709</v>
      </c>
      <c r="D62" s="138">
        <v>890000</v>
      </c>
      <c r="E62" s="20" t="s">
        <v>675</v>
      </c>
      <c r="F62" s="20" t="s">
        <v>676</v>
      </c>
      <c r="G62" s="8" t="str">
        <f t="shared" si="0"/>
        <v>LOZA FIDEL</v>
      </c>
    </row>
    <row r="63" spans="1:7" x14ac:dyDescent="0.25">
      <c r="A63" s="8">
        <v>42920.33079861111</v>
      </c>
      <c r="B63" s="20" t="s">
        <v>396</v>
      </c>
      <c r="C63" s="20" t="s">
        <v>710</v>
      </c>
      <c r="D63" s="138">
        <v>3180000</v>
      </c>
      <c r="E63" s="20" t="s">
        <v>665</v>
      </c>
      <c r="F63" s="20" t="s">
        <v>666</v>
      </c>
      <c r="G63" s="8" t="str">
        <f t="shared" si="0"/>
        <v>HUFFSMITH MONTY</v>
      </c>
    </row>
    <row r="64" spans="1:7" x14ac:dyDescent="0.25">
      <c r="A64" s="26">
        <v>42920.334108796298</v>
      </c>
      <c r="B64" s="20" t="s">
        <v>402</v>
      </c>
      <c r="C64" s="20" t="s">
        <v>711</v>
      </c>
      <c r="D64" s="138">
        <v>2730000</v>
      </c>
      <c r="E64" s="20" t="s">
        <v>513</v>
      </c>
      <c r="F64" s="20" t="s">
        <v>514</v>
      </c>
      <c r="G64" s="8" t="str">
        <f t="shared" si="0"/>
        <v>YANG JAN</v>
      </c>
    </row>
    <row r="65" spans="1:7" x14ac:dyDescent="0.25">
      <c r="A65" s="8">
        <v>42920.338252314818</v>
      </c>
      <c r="B65" s="20" t="s">
        <v>365</v>
      </c>
      <c r="C65" s="20" t="s">
        <v>615</v>
      </c>
      <c r="D65" s="138">
        <v>3200000</v>
      </c>
      <c r="E65" s="20" t="s">
        <v>672</v>
      </c>
      <c r="F65" s="20" t="s">
        <v>673</v>
      </c>
      <c r="G65" s="8" t="str">
        <f t="shared" si="0"/>
        <v>MILLER KEVIN</v>
      </c>
    </row>
    <row r="66" spans="1:7" x14ac:dyDescent="0.25">
      <c r="A66" s="8">
        <v>42920.338553240741</v>
      </c>
      <c r="B66" s="20" t="s">
        <v>439</v>
      </c>
      <c r="C66" s="20" t="s">
        <v>616</v>
      </c>
      <c r="D66" s="138">
        <v>1200000</v>
      </c>
      <c r="E66" s="20" t="s">
        <v>703</v>
      </c>
      <c r="F66" s="20" t="s">
        <v>704</v>
      </c>
      <c r="G66" s="8" t="str">
        <f t="shared" si="0"/>
        <v>CUSHING HARRY</v>
      </c>
    </row>
    <row r="67" spans="1:7" x14ac:dyDescent="0.25">
      <c r="A67" s="8">
        <v>42920.341099537036</v>
      </c>
      <c r="B67" s="20" t="s">
        <v>510</v>
      </c>
      <c r="C67" s="20" t="s">
        <v>712</v>
      </c>
      <c r="D67" s="138">
        <v>2600000</v>
      </c>
      <c r="E67" s="20" t="s">
        <v>563</v>
      </c>
      <c r="F67" s="20" t="s">
        <v>564</v>
      </c>
      <c r="G67" s="8" t="str">
        <f t="shared" ref="G67:G130" si="1">E67&amp;" "&amp;F67</f>
        <v>DAVIDSON DAVID</v>
      </c>
    </row>
    <row r="68" spans="1:7" x14ac:dyDescent="0.25">
      <c r="A68" s="8">
        <v>42920.342719907407</v>
      </c>
      <c r="B68" s="20" t="s">
        <v>538</v>
      </c>
      <c r="C68" s="20" t="s">
        <v>614</v>
      </c>
      <c r="D68" s="138">
        <v>2560000</v>
      </c>
      <c r="E68" s="20" t="s">
        <v>492</v>
      </c>
      <c r="F68" s="20" t="s">
        <v>366</v>
      </c>
      <c r="G68" s="8" t="str">
        <f t="shared" si="1"/>
        <v>MACDONALD THOMAS</v>
      </c>
    </row>
    <row r="69" spans="1:7" x14ac:dyDescent="0.25">
      <c r="A69" s="8">
        <v>42920.351944444446</v>
      </c>
      <c r="B69" s="20" t="s">
        <v>341</v>
      </c>
      <c r="C69" s="20" t="s">
        <v>713</v>
      </c>
      <c r="D69" s="138">
        <v>3200000</v>
      </c>
      <c r="E69" s="20" t="s">
        <v>672</v>
      </c>
      <c r="F69" s="20" t="s">
        <v>673</v>
      </c>
      <c r="G69" s="8" t="str">
        <f t="shared" si="1"/>
        <v>MILLER KEVIN</v>
      </c>
    </row>
    <row r="70" spans="1:7" x14ac:dyDescent="0.25">
      <c r="A70" s="8">
        <v>42920.354548611111</v>
      </c>
      <c r="B70" s="20" t="s">
        <v>420</v>
      </c>
      <c r="C70" s="20" t="s">
        <v>706</v>
      </c>
      <c r="D70" s="138">
        <v>1110000</v>
      </c>
      <c r="E70" s="20" t="s">
        <v>654</v>
      </c>
      <c r="F70" s="20" t="s">
        <v>655</v>
      </c>
      <c r="G70" s="8" t="str">
        <f t="shared" si="1"/>
        <v>STARKS ANGELINA</v>
      </c>
    </row>
    <row r="71" spans="1:7" x14ac:dyDescent="0.25">
      <c r="A71" s="8">
        <v>42920.355891203704</v>
      </c>
      <c r="B71" s="20" t="s">
        <v>560</v>
      </c>
      <c r="C71" s="20" t="s">
        <v>714</v>
      </c>
      <c r="D71" s="138">
        <v>2010000</v>
      </c>
      <c r="E71" s="20" t="s">
        <v>490</v>
      </c>
      <c r="F71" s="20" t="s">
        <v>491</v>
      </c>
      <c r="G71" s="8" t="str">
        <f t="shared" si="1"/>
        <v>MAELZER KURT</v>
      </c>
    </row>
    <row r="72" spans="1:7" x14ac:dyDescent="0.25">
      <c r="A72" s="8">
        <v>42920.359675925924</v>
      </c>
      <c r="B72" s="20" t="s">
        <v>399</v>
      </c>
      <c r="C72" s="20" t="s">
        <v>715</v>
      </c>
      <c r="D72" s="138">
        <v>2730000</v>
      </c>
      <c r="E72" s="20" t="s">
        <v>513</v>
      </c>
      <c r="F72" s="20" t="s">
        <v>514</v>
      </c>
      <c r="G72" s="8" t="str">
        <f t="shared" si="1"/>
        <v>YANG JAN</v>
      </c>
    </row>
    <row r="73" spans="1:7" x14ac:dyDescent="0.25">
      <c r="A73" s="8">
        <v>42920.361689814818</v>
      </c>
      <c r="B73" s="20" t="s">
        <v>397</v>
      </c>
      <c r="C73" s="20" t="s">
        <v>716</v>
      </c>
      <c r="D73" s="138">
        <v>890000</v>
      </c>
      <c r="E73" s="20" t="s">
        <v>675</v>
      </c>
      <c r="F73" s="20" t="s">
        <v>676</v>
      </c>
      <c r="G73" s="8" t="str">
        <f t="shared" si="1"/>
        <v>LOZA FIDEL</v>
      </c>
    </row>
    <row r="74" spans="1:7" x14ac:dyDescent="0.25">
      <c r="A74" s="8">
        <v>42920.362002314818</v>
      </c>
      <c r="B74" s="20" t="s">
        <v>395</v>
      </c>
      <c r="C74" s="20" t="s">
        <v>717</v>
      </c>
      <c r="D74" s="138">
        <v>3180000</v>
      </c>
      <c r="E74" s="20" t="s">
        <v>665</v>
      </c>
      <c r="F74" s="20" t="s">
        <v>666</v>
      </c>
      <c r="G74" s="8" t="str">
        <f t="shared" si="1"/>
        <v>HUFFSMITH MONTY</v>
      </c>
    </row>
    <row r="75" spans="1:7" x14ac:dyDescent="0.25">
      <c r="A75" s="8">
        <v>42920.372060185182</v>
      </c>
      <c r="B75" s="20" t="s">
        <v>438</v>
      </c>
      <c r="C75" s="20" t="s">
        <v>718</v>
      </c>
      <c r="D75" s="138">
        <v>940000</v>
      </c>
      <c r="E75" s="20" t="s">
        <v>501</v>
      </c>
      <c r="F75" s="20" t="s">
        <v>502</v>
      </c>
      <c r="G75" s="8" t="str">
        <f t="shared" si="1"/>
        <v>BONDS REYNALDO</v>
      </c>
    </row>
    <row r="76" spans="1:7" x14ac:dyDescent="0.25">
      <c r="A76" s="8">
        <v>42920.382222222222</v>
      </c>
      <c r="B76" s="20" t="s">
        <v>537</v>
      </c>
      <c r="C76" s="20" t="s">
        <v>719</v>
      </c>
      <c r="D76" s="138">
        <v>2560000</v>
      </c>
      <c r="E76" s="20" t="s">
        <v>492</v>
      </c>
      <c r="F76" s="20" t="s">
        <v>366</v>
      </c>
      <c r="G76" s="8" t="str">
        <f t="shared" si="1"/>
        <v>MACDONALD THOMAS</v>
      </c>
    </row>
    <row r="77" spans="1:7" x14ac:dyDescent="0.25">
      <c r="A77" s="8">
        <v>42920.382569444446</v>
      </c>
      <c r="B77" s="20" t="s">
        <v>512</v>
      </c>
      <c r="C77" s="20" t="s">
        <v>720</v>
      </c>
      <c r="D77" s="138">
        <v>2600000</v>
      </c>
      <c r="E77" s="20" t="s">
        <v>563</v>
      </c>
      <c r="F77" s="20" t="s">
        <v>564</v>
      </c>
      <c r="G77" s="8" t="str">
        <f t="shared" si="1"/>
        <v>DAVIDSON DAVID</v>
      </c>
    </row>
    <row r="78" spans="1:7" x14ac:dyDescent="0.25">
      <c r="A78" s="8">
        <v>42920.384305555555</v>
      </c>
      <c r="B78" s="20" t="s">
        <v>416</v>
      </c>
      <c r="C78" s="20" t="s">
        <v>721</v>
      </c>
      <c r="D78" s="138">
        <v>1110000</v>
      </c>
      <c r="E78" s="20" t="s">
        <v>654</v>
      </c>
      <c r="F78" s="20" t="s">
        <v>655</v>
      </c>
      <c r="G78" s="8" t="str">
        <f t="shared" si="1"/>
        <v>STARKS ANGELINA</v>
      </c>
    </row>
    <row r="79" spans="1:7" x14ac:dyDescent="0.25">
      <c r="A79" s="8">
        <v>42920.38484953704</v>
      </c>
      <c r="B79" s="20" t="s">
        <v>402</v>
      </c>
      <c r="C79" s="20" t="s">
        <v>722</v>
      </c>
      <c r="D79" s="138">
        <v>2730000</v>
      </c>
      <c r="E79" s="20" t="s">
        <v>513</v>
      </c>
      <c r="F79" s="20" t="s">
        <v>514</v>
      </c>
      <c r="G79" s="8" t="str">
        <f t="shared" si="1"/>
        <v>YANG JAN</v>
      </c>
    </row>
    <row r="80" spans="1:7" x14ac:dyDescent="0.25">
      <c r="A80" s="8">
        <v>42920.393263888887</v>
      </c>
      <c r="B80" s="20" t="s">
        <v>561</v>
      </c>
      <c r="C80" s="20" t="s">
        <v>617</v>
      </c>
      <c r="D80" s="138">
        <v>2010000</v>
      </c>
      <c r="E80" s="20" t="s">
        <v>490</v>
      </c>
      <c r="F80" s="20" t="s">
        <v>491</v>
      </c>
      <c r="G80" s="8" t="str">
        <f t="shared" si="1"/>
        <v>MAELZER KURT</v>
      </c>
    </row>
    <row r="81" spans="1:7" x14ac:dyDescent="0.25">
      <c r="A81" s="8">
        <v>42920.401400462964</v>
      </c>
      <c r="B81" s="20" t="s">
        <v>399</v>
      </c>
      <c r="C81" s="20" t="s">
        <v>723</v>
      </c>
      <c r="D81" s="138">
        <v>2730000</v>
      </c>
      <c r="E81" s="20" t="s">
        <v>513</v>
      </c>
      <c r="F81" s="20" t="s">
        <v>514</v>
      </c>
      <c r="G81" s="8" t="str">
        <f t="shared" si="1"/>
        <v>YANG JAN</v>
      </c>
    </row>
    <row r="82" spans="1:7" x14ac:dyDescent="0.25">
      <c r="A82" s="8">
        <v>42920.401747685188</v>
      </c>
      <c r="B82" s="20" t="s">
        <v>482</v>
      </c>
      <c r="C82" s="20" t="s">
        <v>724</v>
      </c>
      <c r="D82" s="138">
        <v>890000</v>
      </c>
      <c r="E82" s="20" t="s">
        <v>675</v>
      </c>
      <c r="F82" s="20" t="s">
        <v>676</v>
      </c>
      <c r="G82" s="8" t="str">
        <f t="shared" si="1"/>
        <v>LOZA FIDEL</v>
      </c>
    </row>
    <row r="83" spans="1:7" x14ac:dyDescent="0.25">
      <c r="A83" s="8">
        <v>42920.402766203704</v>
      </c>
      <c r="B83" s="20" t="s">
        <v>396</v>
      </c>
      <c r="C83" s="20" t="s">
        <v>725</v>
      </c>
      <c r="D83" s="138">
        <v>3180000</v>
      </c>
      <c r="E83" s="20" t="s">
        <v>665</v>
      </c>
      <c r="F83" s="20" t="s">
        <v>666</v>
      </c>
      <c r="G83" s="8" t="str">
        <f t="shared" si="1"/>
        <v>HUFFSMITH MONTY</v>
      </c>
    </row>
    <row r="84" spans="1:7" x14ac:dyDescent="0.25">
      <c r="A84" s="8">
        <v>42920.413564814815</v>
      </c>
      <c r="B84" s="20" t="s">
        <v>439</v>
      </c>
      <c r="C84" s="20" t="s">
        <v>726</v>
      </c>
      <c r="D84" s="138">
        <v>940000</v>
      </c>
      <c r="E84" s="20" t="s">
        <v>501</v>
      </c>
      <c r="F84" s="20" t="s">
        <v>502</v>
      </c>
      <c r="G84" s="8" t="str">
        <f t="shared" si="1"/>
        <v>BONDS REYNALDO</v>
      </c>
    </row>
    <row r="85" spans="1:7" x14ac:dyDescent="0.25">
      <c r="A85" s="8">
        <v>42920.413784722223</v>
      </c>
      <c r="B85" s="20" t="s">
        <v>510</v>
      </c>
      <c r="C85" s="20" t="s">
        <v>727</v>
      </c>
      <c r="D85" s="138">
        <v>2600000</v>
      </c>
      <c r="E85" s="20" t="s">
        <v>563</v>
      </c>
      <c r="F85" s="20" t="s">
        <v>564</v>
      </c>
      <c r="G85" s="8" t="str">
        <f t="shared" si="1"/>
        <v>DAVIDSON DAVID</v>
      </c>
    </row>
    <row r="86" spans="1:7" x14ac:dyDescent="0.25">
      <c r="A86" s="8">
        <v>42920.414212962962</v>
      </c>
      <c r="B86" s="20" t="s">
        <v>538</v>
      </c>
      <c r="C86" s="20" t="s">
        <v>618</v>
      </c>
      <c r="D86" s="138">
        <v>2560000</v>
      </c>
      <c r="E86" s="20" t="s">
        <v>492</v>
      </c>
      <c r="F86" s="20" t="s">
        <v>366</v>
      </c>
      <c r="G86" s="8" t="str">
        <f t="shared" si="1"/>
        <v>MACDONALD THOMAS</v>
      </c>
    </row>
    <row r="87" spans="1:7" x14ac:dyDescent="0.25">
      <c r="A87" s="8">
        <v>42920.426759259259</v>
      </c>
      <c r="B87" s="20" t="s">
        <v>420</v>
      </c>
      <c r="C87" s="20" t="s">
        <v>619</v>
      </c>
      <c r="D87" s="138">
        <v>3200000</v>
      </c>
      <c r="E87" s="20" t="s">
        <v>672</v>
      </c>
      <c r="F87" s="20" t="s">
        <v>673</v>
      </c>
      <c r="G87" s="8" t="str">
        <f t="shared" si="1"/>
        <v>MILLER KEVIN</v>
      </c>
    </row>
    <row r="88" spans="1:7" x14ac:dyDescent="0.25">
      <c r="A88" s="8">
        <v>42920.427141203705</v>
      </c>
      <c r="B88" s="20" t="s">
        <v>402</v>
      </c>
      <c r="C88" s="20" t="s">
        <v>728</v>
      </c>
      <c r="D88" s="138">
        <v>2730000</v>
      </c>
      <c r="E88" s="20" t="s">
        <v>513</v>
      </c>
      <c r="F88" s="20" t="s">
        <v>514</v>
      </c>
      <c r="G88" s="8" t="str">
        <f t="shared" si="1"/>
        <v>YANG JAN</v>
      </c>
    </row>
    <row r="89" spans="1:7" x14ac:dyDescent="0.25">
      <c r="A89" s="8">
        <v>42920.433078703703</v>
      </c>
      <c r="B89" s="20" t="s">
        <v>560</v>
      </c>
      <c r="C89" s="20" t="s">
        <v>729</v>
      </c>
      <c r="D89" s="138">
        <v>2010000</v>
      </c>
      <c r="E89" s="20" t="s">
        <v>490</v>
      </c>
      <c r="F89" s="20" t="s">
        <v>491</v>
      </c>
      <c r="G89" s="8" t="str">
        <f t="shared" si="1"/>
        <v>MAELZER KURT</v>
      </c>
    </row>
    <row r="90" spans="1:7" x14ac:dyDescent="0.25">
      <c r="A90" s="8">
        <v>42920.434953703705</v>
      </c>
      <c r="B90" s="20" t="s">
        <v>397</v>
      </c>
      <c r="C90" s="20" t="s">
        <v>730</v>
      </c>
      <c r="D90" s="138">
        <v>890000</v>
      </c>
      <c r="E90" s="20" t="s">
        <v>675</v>
      </c>
      <c r="F90" s="20" t="s">
        <v>676</v>
      </c>
      <c r="G90" s="8" t="str">
        <f t="shared" si="1"/>
        <v>LOZA FIDEL</v>
      </c>
    </row>
    <row r="91" spans="1:7" x14ac:dyDescent="0.25">
      <c r="A91" s="8">
        <v>42920.441759259258</v>
      </c>
      <c r="B91" s="20" t="s">
        <v>395</v>
      </c>
      <c r="C91" s="20" t="s">
        <v>731</v>
      </c>
      <c r="D91" s="138">
        <v>3180000</v>
      </c>
      <c r="E91" s="20" t="s">
        <v>665</v>
      </c>
      <c r="F91" s="20" t="s">
        <v>666</v>
      </c>
      <c r="G91" s="8" t="str">
        <f t="shared" si="1"/>
        <v>HUFFSMITH MONTY</v>
      </c>
    </row>
    <row r="92" spans="1:7" x14ac:dyDescent="0.25">
      <c r="A92" s="8">
        <v>42920.442777777775</v>
      </c>
      <c r="B92" s="20" t="s">
        <v>399</v>
      </c>
      <c r="C92" s="20" t="s">
        <v>732</v>
      </c>
      <c r="D92" s="138">
        <v>2730000</v>
      </c>
      <c r="E92" s="20" t="s">
        <v>513</v>
      </c>
      <c r="F92" s="20" t="s">
        <v>514</v>
      </c>
      <c r="G92" s="8" t="str">
        <f t="shared" si="1"/>
        <v>YANG JAN</v>
      </c>
    </row>
    <row r="93" spans="1:7" x14ac:dyDescent="0.25">
      <c r="A93" s="8">
        <v>42920.445532407408</v>
      </c>
      <c r="B93" s="20" t="s">
        <v>622</v>
      </c>
      <c r="C93" s="20" t="s">
        <v>733</v>
      </c>
      <c r="D93" s="138">
        <v>1810000</v>
      </c>
      <c r="E93" s="20" t="s">
        <v>367</v>
      </c>
      <c r="F93" s="20" t="s">
        <v>189</v>
      </c>
      <c r="G93" s="8" t="str">
        <f t="shared" si="1"/>
        <v>NEWELL JAMES</v>
      </c>
    </row>
    <row r="94" spans="1:7" x14ac:dyDescent="0.25">
      <c r="A94" s="8">
        <v>42920.448217592595</v>
      </c>
      <c r="B94" s="20" t="s">
        <v>438</v>
      </c>
      <c r="C94" s="20" t="s">
        <v>734</v>
      </c>
      <c r="D94" s="138">
        <v>920000</v>
      </c>
      <c r="E94" s="20" t="s">
        <v>410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42920.455682870372</v>
      </c>
      <c r="B95" s="20" t="s">
        <v>537</v>
      </c>
      <c r="C95" s="20" t="s">
        <v>620</v>
      </c>
      <c r="D95" s="138">
        <v>2560000</v>
      </c>
      <c r="E95" s="20" t="s">
        <v>492</v>
      </c>
      <c r="F95" s="20" t="s">
        <v>366</v>
      </c>
      <c r="G95" s="8" t="str">
        <f t="shared" si="1"/>
        <v>MACDONALD THOMAS</v>
      </c>
    </row>
    <row r="96" spans="1:7" x14ac:dyDescent="0.25">
      <c r="A96" s="8">
        <v>42920.455868055556</v>
      </c>
      <c r="B96" s="20" t="s">
        <v>512</v>
      </c>
      <c r="C96" s="20" t="s">
        <v>735</v>
      </c>
      <c r="D96" s="138">
        <v>2600000</v>
      </c>
      <c r="E96" s="20" t="s">
        <v>563</v>
      </c>
      <c r="F96" s="20" t="s">
        <v>564</v>
      </c>
      <c r="G96" s="8" t="str">
        <f t="shared" si="1"/>
        <v>DAVIDSON DAVID</v>
      </c>
    </row>
    <row r="97" spans="1:7" x14ac:dyDescent="0.25">
      <c r="A97" s="8">
        <v>42920.460752314815</v>
      </c>
      <c r="B97" s="20" t="s">
        <v>402</v>
      </c>
      <c r="C97" s="20" t="s">
        <v>736</v>
      </c>
      <c r="D97" s="138">
        <v>2730000</v>
      </c>
      <c r="E97" s="20" t="s">
        <v>513</v>
      </c>
      <c r="F97" s="20" t="s">
        <v>514</v>
      </c>
      <c r="G97" s="8" t="str">
        <f t="shared" si="1"/>
        <v>YANG JAN</v>
      </c>
    </row>
    <row r="98" spans="1:7" x14ac:dyDescent="0.25">
      <c r="A98" s="8">
        <v>42920.464733796296</v>
      </c>
      <c r="B98" s="20" t="s">
        <v>416</v>
      </c>
      <c r="C98" s="20" t="s">
        <v>737</v>
      </c>
      <c r="D98" s="138">
        <v>3200000</v>
      </c>
      <c r="E98" s="20" t="s">
        <v>672</v>
      </c>
      <c r="F98" s="20" t="s">
        <v>673</v>
      </c>
      <c r="G98" s="8" t="str">
        <f t="shared" si="1"/>
        <v>MILLER KEVIN</v>
      </c>
    </row>
    <row r="99" spans="1:7" x14ac:dyDescent="0.25">
      <c r="A99" s="8">
        <v>42920.466458333336</v>
      </c>
      <c r="B99" s="20" t="s">
        <v>561</v>
      </c>
      <c r="C99" s="20" t="s">
        <v>738</v>
      </c>
      <c r="D99" s="138">
        <v>880000</v>
      </c>
      <c r="E99" s="20" t="s">
        <v>739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42920.473020833335</v>
      </c>
      <c r="B100" s="20" t="s">
        <v>740</v>
      </c>
      <c r="C100" s="20" t="s">
        <v>741</v>
      </c>
      <c r="D100" s="138">
        <v>2010000</v>
      </c>
      <c r="E100" s="20" t="s">
        <v>490</v>
      </c>
      <c r="F100" s="20" t="s">
        <v>491</v>
      </c>
      <c r="G100" s="8" t="str">
        <f t="shared" si="1"/>
        <v>MAELZER KURT</v>
      </c>
    </row>
    <row r="101" spans="1:7" x14ac:dyDescent="0.25">
      <c r="A101" s="8">
        <v>42920.474664351852</v>
      </c>
      <c r="B101" s="20" t="s">
        <v>482</v>
      </c>
      <c r="C101" s="20" t="s">
        <v>742</v>
      </c>
      <c r="D101" s="138">
        <v>890000</v>
      </c>
      <c r="E101" s="20" t="s">
        <v>675</v>
      </c>
      <c r="F101" s="20" t="s">
        <v>676</v>
      </c>
      <c r="G101" s="8" t="str">
        <f t="shared" si="1"/>
        <v>LOZA FIDEL</v>
      </c>
    </row>
    <row r="102" spans="1:7" x14ac:dyDescent="0.25">
      <c r="A102" s="8">
        <v>42920.475370370368</v>
      </c>
      <c r="B102" s="20" t="s">
        <v>396</v>
      </c>
      <c r="C102" s="20" t="s">
        <v>621</v>
      </c>
      <c r="D102" s="138">
        <v>1810000</v>
      </c>
      <c r="E102" s="20" t="s">
        <v>367</v>
      </c>
      <c r="F102" s="20" t="s">
        <v>189</v>
      </c>
      <c r="G102" s="8" t="str">
        <f t="shared" si="1"/>
        <v>NEWELL JAMES</v>
      </c>
    </row>
    <row r="103" spans="1:7" x14ac:dyDescent="0.25">
      <c r="A103" s="8">
        <v>42920.484039351853</v>
      </c>
      <c r="B103" s="20" t="s">
        <v>399</v>
      </c>
      <c r="C103" s="20" t="s">
        <v>743</v>
      </c>
      <c r="D103" s="138">
        <v>2730000</v>
      </c>
      <c r="E103" s="20" t="s">
        <v>513</v>
      </c>
      <c r="F103" s="20" t="s">
        <v>514</v>
      </c>
      <c r="G103" s="8" t="str">
        <f t="shared" si="1"/>
        <v>YANG JAN</v>
      </c>
    </row>
    <row r="104" spans="1:7" x14ac:dyDescent="0.25">
      <c r="A104" s="8">
        <v>42920.486863425926</v>
      </c>
      <c r="B104" s="20" t="s">
        <v>439</v>
      </c>
      <c r="C104" s="20" t="s">
        <v>744</v>
      </c>
      <c r="D104" s="138">
        <v>920000</v>
      </c>
      <c r="E104" s="20" t="s">
        <v>410</v>
      </c>
      <c r="F104" s="20" t="s">
        <v>192</v>
      </c>
      <c r="G104" s="8" t="str">
        <f t="shared" si="1"/>
        <v>DAVIS MICHAEL</v>
      </c>
    </row>
    <row r="105" spans="1:7" x14ac:dyDescent="0.25">
      <c r="A105" s="8">
        <v>42920.487893518519</v>
      </c>
      <c r="B105" s="20" t="s">
        <v>510</v>
      </c>
      <c r="C105" s="20" t="s">
        <v>745</v>
      </c>
      <c r="D105" s="138">
        <v>2600000</v>
      </c>
      <c r="E105" s="20" t="s">
        <v>563</v>
      </c>
      <c r="F105" s="20" t="s">
        <v>564</v>
      </c>
      <c r="G105" s="8" t="str">
        <f t="shared" si="1"/>
        <v>DAVIDSON DAVID</v>
      </c>
    </row>
    <row r="106" spans="1:7" x14ac:dyDescent="0.25">
      <c r="A106" s="8">
        <v>42920.488761574074</v>
      </c>
      <c r="B106" s="20" t="s">
        <v>538</v>
      </c>
      <c r="C106" s="20" t="s">
        <v>746</v>
      </c>
      <c r="D106" s="138">
        <v>1300000</v>
      </c>
      <c r="E106" s="20" t="s">
        <v>747</v>
      </c>
      <c r="F106" s="20" t="s">
        <v>748</v>
      </c>
      <c r="G106" s="8" t="str">
        <f t="shared" si="1"/>
        <v>LEVIN SCOTT</v>
      </c>
    </row>
    <row r="107" spans="1:7" x14ac:dyDescent="0.25">
      <c r="A107" s="8">
        <v>42920.498888888891</v>
      </c>
      <c r="B107" s="20" t="s">
        <v>420</v>
      </c>
      <c r="C107" s="20" t="s">
        <v>749</v>
      </c>
      <c r="D107" s="138">
        <v>1180000</v>
      </c>
      <c r="E107" s="20" t="s">
        <v>750</v>
      </c>
      <c r="F107" s="20" t="s">
        <v>751</v>
      </c>
      <c r="G107" s="8" t="str">
        <f t="shared" si="1"/>
        <v>LEVERE CRAIG</v>
      </c>
    </row>
    <row r="108" spans="1:7" x14ac:dyDescent="0.25">
      <c r="A108" s="8">
        <v>42920.501979166664</v>
      </c>
      <c r="B108" s="20" t="s">
        <v>402</v>
      </c>
      <c r="C108" s="20" t="s">
        <v>752</v>
      </c>
      <c r="D108" s="138">
        <v>2730000</v>
      </c>
      <c r="E108" s="20" t="s">
        <v>513</v>
      </c>
      <c r="F108" s="20" t="s">
        <v>514</v>
      </c>
      <c r="G108" s="8" t="str">
        <f t="shared" si="1"/>
        <v>YANG JAN</v>
      </c>
    </row>
    <row r="109" spans="1:7" x14ac:dyDescent="0.25">
      <c r="A109" s="8">
        <v>42920.503101851849</v>
      </c>
      <c r="B109" s="20" t="s">
        <v>622</v>
      </c>
      <c r="C109" s="20" t="s">
        <v>623</v>
      </c>
      <c r="D109" s="138">
        <v>2040000</v>
      </c>
      <c r="E109" s="20" t="s">
        <v>753</v>
      </c>
      <c r="F109" s="20" t="s">
        <v>754</v>
      </c>
      <c r="G109" s="8" t="str">
        <f t="shared" si="1"/>
        <v>MOSES BRADLEY</v>
      </c>
    </row>
    <row r="110" spans="1:7" x14ac:dyDescent="0.25">
      <c r="A110" s="8">
        <v>42920.504050925927</v>
      </c>
      <c r="B110" s="20" t="s">
        <v>622</v>
      </c>
      <c r="C110" s="20" t="s">
        <v>623</v>
      </c>
      <c r="D110" s="138">
        <v>2040000</v>
      </c>
      <c r="E110" s="20" t="s">
        <v>753</v>
      </c>
      <c r="F110" s="20" t="s">
        <v>754</v>
      </c>
      <c r="G110" s="8" t="str">
        <f t="shared" si="1"/>
        <v>MOSES BRADLEY</v>
      </c>
    </row>
    <row r="111" spans="1:7" x14ac:dyDescent="0.25">
      <c r="A111" s="8">
        <v>42920.506944444445</v>
      </c>
      <c r="B111" s="20" t="s">
        <v>560</v>
      </c>
      <c r="C111" s="20" t="s">
        <v>755</v>
      </c>
      <c r="D111" s="138">
        <v>880000</v>
      </c>
      <c r="E111" s="20" t="s">
        <v>739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42920.507291666669</v>
      </c>
      <c r="B112" s="20" t="s">
        <v>395</v>
      </c>
      <c r="C112" s="20" t="s">
        <v>624</v>
      </c>
      <c r="D112" s="138">
        <v>1810000</v>
      </c>
      <c r="E112" s="20" t="s">
        <v>367</v>
      </c>
      <c r="F112" s="20" t="s">
        <v>189</v>
      </c>
      <c r="G112" s="8" t="str">
        <f t="shared" si="1"/>
        <v>NEWELL JAMES</v>
      </c>
    </row>
    <row r="113" spans="1:7" x14ac:dyDescent="0.25">
      <c r="A113" s="8">
        <v>42920.508819444447</v>
      </c>
      <c r="B113" s="20" t="s">
        <v>397</v>
      </c>
      <c r="C113" s="20" t="s">
        <v>756</v>
      </c>
      <c r="D113" s="138">
        <v>2360000</v>
      </c>
      <c r="E113" s="20" t="s">
        <v>565</v>
      </c>
      <c r="F113" s="20" t="s">
        <v>566</v>
      </c>
      <c r="G113" s="8" t="str">
        <f t="shared" si="1"/>
        <v>BRANDNER MELINDA</v>
      </c>
    </row>
    <row r="114" spans="1:7" x14ac:dyDescent="0.25">
      <c r="A114" s="8">
        <v>42920.520266203705</v>
      </c>
      <c r="B114" s="20" t="s">
        <v>438</v>
      </c>
      <c r="C114" s="20" t="s">
        <v>757</v>
      </c>
      <c r="D114" s="138">
        <v>920000</v>
      </c>
      <c r="E114" s="20" t="s">
        <v>410</v>
      </c>
      <c r="F114" s="20" t="s">
        <v>192</v>
      </c>
      <c r="G114" s="8" t="str">
        <f t="shared" si="1"/>
        <v>DAVIS MICHAEL</v>
      </c>
    </row>
    <row r="115" spans="1:7" x14ac:dyDescent="0.25">
      <c r="A115" s="8">
        <v>42920.521898148145</v>
      </c>
      <c r="B115" s="20" t="s">
        <v>560</v>
      </c>
      <c r="C115" s="20" t="s">
        <v>755</v>
      </c>
      <c r="D115" s="138">
        <v>880000</v>
      </c>
      <c r="E115" s="20" t="s">
        <v>739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42920.523738425924</v>
      </c>
      <c r="B116" s="20" t="s">
        <v>560</v>
      </c>
      <c r="C116" s="20" t="s">
        <v>755</v>
      </c>
      <c r="D116" s="138">
        <v>880000</v>
      </c>
      <c r="E116" s="20" t="s">
        <v>739</v>
      </c>
      <c r="F116" s="20" t="s">
        <v>192</v>
      </c>
      <c r="G116" s="8" t="str">
        <f t="shared" si="1"/>
        <v>STEWART MICHAEL</v>
      </c>
    </row>
    <row r="117" spans="1:7" x14ac:dyDescent="0.25">
      <c r="A117" s="8">
        <v>42920.526597222219</v>
      </c>
      <c r="B117" s="20" t="s">
        <v>399</v>
      </c>
      <c r="C117" s="20" t="s">
        <v>758</v>
      </c>
      <c r="D117" s="138">
        <v>2730000</v>
      </c>
      <c r="E117" s="20" t="s">
        <v>513</v>
      </c>
      <c r="F117" s="20" t="s">
        <v>514</v>
      </c>
      <c r="G117" s="8" t="str">
        <f t="shared" si="1"/>
        <v>YANG JAN</v>
      </c>
    </row>
    <row r="118" spans="1:7" x14ac:dyDescent="0.25">
      <c r="A118" s="8">
        <v>42920.527025462965</v>
      </c>
      <c r="B118" s="20" t="s">
        <v>537</v>
      </c>
      <c r="C118" s="20" t="s">
        <v>759</v>
      </c>
      <c r="D118" s="138">
        <v>1300000</v>
      </c>
      <c r="E118" s="20" t="s">
        <v>747</v>
      </c>
      <c r="F118" s="20" t="s">
        <v>748</v>
      </c>
      <c r="G118" s="8" t="str">
        <f t="shared" si="1"/>
        <v>LEVIN SCOTT</v>
      </c>
    </row>
    <row r="119" spans="1:7" x14ac:dyDescent="0.25">
      <c r="A119" s="8">
        <v>42920.529664351852</v>
      </c>
      <c r="B119" s="20" t="s">
        <v>512</v>
      </c>
      <c r="C119" s="20" t="s">
        <v>760</v>
      </c>
      <c r="D119" s="138">
        <v>2040000</v>
      </c>
      <c r="E119" s="20" t="s">
        <v>753</v>
      </c>
      <c r="F119" s="20" t="s">
        <v>754</v>
      </c>
      <c r="G119" s="8" t="str">
        <f t="shared" si="1"/>
        <v>MOSES BRADLEY</v>
      </c>
    </row>
    <row r="120" spans="1:7" x14ac:dyDescent="0.25">
      <c r="A120" s="8">
        <v>42920.533032407409</v>
      </c>
      <c r="B120" s="20" t="s">
        <v>740</v>
      </c>
      <c r="C120" s="20" t="s">
        <v>761</v>
      </c>
      <c r="D120" s="138">
        <v>2600000</v>
      </c>
      <c r="E120" s="20" t="s">
        <v>563</v>
      </c>
      <c r="F120" s="20" t="s">
        <v>564</v>
      </c>
      <c r="G120" s="8" t="str">
        <f t="shared" si="1"/>
        <v>DAVIDSON DAVID</v>
      </c>
    </row>
    <row r="121" spans="1:7" x14ac:dyDescent="0.25">
      <c r="A121" s="8">
        <v>42920.533912037034</v>
      </c>
      <c r="B121" s="20" t="s">
        <v>416</v>
      </c>
      <c r="C121" s="20" t="s">
        <v>762</v>
      </c>
      <c r="D121" s="138">
        <v>1180000</v>
      </c>
      <c r="E121" s="20" t="s">
        <v>750</v>
      </c>
      <c r="F121" s="20" t="s">
        <v>751</v>
      </c>
      <c r="G121" s="8" t="str">
        <f t="shared" si="1"/>
        <v>LEVERE CRAIG</v>
      </c>
    </row>
    <row r="122" spans="1:7" x14ac:dyDescent="0.25">
      <c r="A122" s="8">
        <v>42920.542673611111</v>
      </c>
      <c r="B122" s="25" t="s">
        <v>656</v>
      </c>
      <c r="C122" s="20" t="s">
        <v>763</v>
      </c>
      <c r="D122" s="138">
        <v>1800000</v>
      </c>
      <c r="E122" s="20" t="s">
        <v>377</v>
      </c>
      <c r="F122" s="20" t="s">
        <v>378</v>
      </c>
      <c r="G122" s="8" t="str">
        <f t="shared" si="1"/>
        <v>CHANDLER KELVIN</v>
      </c>
    </row>
    <row r="123" spans="1:7" x14ac:dyDescent="0.25">
      <c r="A123" s="8">
        <v>42920.548043981478</v>
      </c>
      <c r="B123" s="20" t="s">
        <v>482</v>
      </c>
      <c r="C123" s="20" t="s">
        <v>625</v>
      </c>
      <c r="D123" s="138">
        <v>2360000</v>
      </c>
      <c r="E123" s="20" t="s">
        <v>565</v>
      </c>
      <c r="F123" s="20" t="s">
        <v>566</v>
      </c>
      <c r="G123" s="8" t="str">
        <f t="shared" si="1"/>
        <v>BRANDNER MELINDA</v>
      </c>
    </row>
    <row r="124" spans="1:7" x14ac:dyDescent="0.25">
      <c r="A124" s="8">
        <v>42920.548796296294</v>
      </c>
      <c r="B124" s="20" t="s">
        <v>402</v>
      </c>
      <c r="C124" s="20" t="s">
        <v>764</v>
      </c>
      <c r="D124" s="138">
        <v>1770000</v>
      </c>
      <c r="E124" s="20" t="s">
        <v>493</v>
      </c>
      <c r="F124" s="20" t="s">
        <v>494</v>
      </c>
      <c r="G124" s="8" t="str">
        <f t="shared" si="1"/>
        <v>BRUDER RICHARD</v>
      </c>
    </row>
    <row r="125" spans="1:7" x14ac:dyDescent="0.25">
      <c r="A125" s="8">
        <v>42920.553043981483</v>
      </c>
      <c r="B125" s="20" t="s">
        <v>396</v>
      </c>
      <c r="C125" s="20" t="s">
        <v>626</v>
      </c>
      <c r="D125" s="138">
        <v>2470000</v>
      </c>
      <c r="E125" s="20" t="s">
        <v>466</v>
      </c>
      <c r="F125" s="20" t="s">
        <v>467</v>
      </c>
      <c r="G125" s="8" t="str">
        <f t="shared" si="1"/>
        <v>ROMERO CHAD</v>
      </c>
    </row>
    <row r="126" spans="1:7" x14ac:dyDescent="0.25">
      <c r="A126" s="8">
        <v>42920.560034722221</v>
      </c>
      <c r="B126" s="20" t="s">
        <v>439</v>
      </c>
      <c r="C126" s="20" t="s">
        <v>765</v>
      </c>
      <c r="D126" s="138">
        <v>920000</v>
      </c>
      <c r="E126" s="20" t="s">
        <v>410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42920.561261574076</v>
      </c>
      <c r="B127" s="20" t="s">
        <v>538</v>
      </c>
      <c r="C127" s="20" t="s">
        <v>627</v>
      </c>
      <c r="D127" s="138">
        <v>1300000</v>
      </c>
      <c r="E127" s="20" t="s">
        <v>747</v>
      </c>
      <c r="F127" s="20" t="s">
        <v>748</v>
      </c>
      <c r="G127" s="8" t="str">
        <f t="shared" si="1"/>
        <v>LEVIN SCOTT</v>
      </c>
    </row>
    <row r="128" spans="1:7" x14ac:dyDescent="0.25">
      <c r="A128" s="8">
        <v>42920.56821759259</v>
      </c>
      <c r="B128" s="20" t="s">
        <v>510</v>
      </c>
      <c r="C128" s="20" t="s">
        <v>766</v>
      </c>
      <c r="D128" s="138">
        <v>2040000</v>
      </c>
      <c r="E128" s="20" t="s">
        <v>753</v>
      </c>
      <c r="F128" s="20" t="s">
        <v>754</v>
      </c>
      <c r="G128" s="8" t="str">
        <f t="shared" si="1"/>
        <v>MOSES BRADLEY</v>
      </c>
    </row>
    <row r="129" spans="1:7" x14ac:dyDescent="0.25">
      <c r="A129" s="8">
        <v>42920.568391203706</v>
      </c>
      <c r="B129" s="20" t="s">
        <v>399</v>
      </c>
      <c r="C129" s="20" t="s">
        <v>767</v>
      </c>
      <c r="D129" s="138">
        <v>1770000</v>
      </c>
      <c r="E129" s="20" t="s">
        <v>493</v>
      </c>
      <c r="F129" s="20" t="s">
        <v>494</v>
      </c>
      <c r="G129" s="8" t="str">
        <f t="shared" si="1"/>
        <v>BRUDER RICHARD</v>
      </c>
    </row>
    <row r="130" spans="1:7" x14ac:dyDescent="0.25">
      <c r="A130" s="8">
        <v>42920.571168981478</v>
      </c>
      <c r="B130" s="20" t="s">
        <v>420</v>
      </c>
      <c r="C130" s="20" t="s">
        <v>768</v>
      </c>
      <c r="D130" s="138">
        <v>1180000</v>
      </c>
      <c r="E130" s="20" t="s">
        <v>750</v>
      </c>
      <c r="F130" s="20" t="s">
        <v>751</v>
      </c>
      <c r="G130" s="8" t="str">
        <f t="shared" si="1"/>
        <v>LEVERE CRAIG</v>
      </c>
    </row>
    <row r="131" spans="1:7" x14ac:dyDescent="0.25">
      <c r="A131" s="8">
        <v>42920.579293981478</v>
      </c>
      <c r="B131" s="20" t="s">
        <v>642</v>
      </c>
      <c r="C131" s="20" t="s">
        <v>769</v>
      </c>
      <c r="D131" s="138">
        <v>1800000</v>
      </c>
      <c r="E131" s="20" t="s">
        <v>377</v>
      </c>
      <c r="F131" s="20" t="s">
        <v>378</v>
      </c>
      <c r="G131" s="8" t="str">
        <f t="shared" ref="G131:G194" si="2">E131&amp;" "&amp;F131</f>
        <v>CHANDLER KELVIN</v>
      </c>
    </row>
    <row r="132" spans="1:7" x14ac:dyDescent="0.25">
      <c r="A132" s="8">
        <v>42920.580625000002</v>
      </c>
      <c r="B132" s="20" t="s">
        <v>420</v>
      </c>
      <c r="C132" s="20" t="s">
        <v>768</v>
      </c>
      <c r="D132" s="138">
        <v>1180000</v>
      </c>
      <c r="E132" s="20" t="s">
        <v>750</v>
      </c>
      <c r="F132" s="20" t="s">
        <v>751</v>
      </c>
      <c r="G132" s="8" t="str">
        <f t="shared" si="2"/>
        <v>LEVERE CRAIG</v>
      </c>
    </row>
    <row r="133" spans="1:7" x14ac:dyDescent="0.25">
      <c r="A133" s="8">
        <v>42920.582685185182</v>
      </c>
      <c r="B133" s="20" t="s">
        <v>397</v>
      </c>
      <c r="C133" s="20" t="s">
        <v>628</v>
      </c>
      <c r="D133" s="138">
        <v>2360000</v>
      </c>
      <c r="E133" s="20" t="s">
        <v>565</v>
      </c>
      <c r="F133" s="20" t="s">
        <v>566</v>
      </c>
      <c r="G133" s="8" t="str">
        <f t="shared" si="2"/>
        <v>BRANDNER MELINDA</v>
      </c>
    </row>
    <row r="134" spans="1:7" x14ac:dyDescent="0.25">
      <c r="A134" s="8">
        <v>42920.589594907404</v>
      </c>
      <c r="B134" s="20" t="s">
        <v>395</v>
      </c>
      <c r="C134" s="20" t="s">
        <v>770</v>
      </c>
      <c r="D134" s="138">
        <v>2470000</v>
      </c>
      <c r="E134" s="20" t="s">
        <v>466</v>
      </c>
      <c r="F134" s="20" t="s">
        <v>467</v>
      </c>
      <c r="G134" s="8" t="str">
        <f t="shared" si="2"/>
        <v>ROMERO CHAD</v>
      </c>
    </row>
    <row r="135" spans="1:7" x14ac:dyDescent="0.25">
      <c r="A135" s="8">
        <v>42920.594525462962</v>
      </c>
      <c r="B135" s="20" t="s">
        <v>402</v>
      </c>
      <c r="C135" s="20" t="s">
        <v>771</v>
      </c>
      <c r="D135" s="138">
        <v>1770000</v>
      </c>
      <c r="E135" s="20" t="s">
        <v>493</v>
      </c>
      <c r="F135" s="20" t="s">
        <v>494</v>
      </c>
      <c r="G135" s="8" t="str">
        <f t="shared" si="2"/>
        <v>BRUDER RICHARD</v>
      </c>
    </row>
    <row r="136" spans="1:7" x14ac:dyDescent="0.25">
      <c r="A136" s="8">
        <v>42920.595023148147</v>
      </c>
      <c r="B136" s="20" t="s">
        <v>438</v>
      </c>
      <c r="C136" s="20" t="s">
        <v>772</v>
      </c>
      <c r="D136" s="138">
        <v>920000</v>
      </c>
      <c r="E136" s="20" t="s">
        <v>410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42920.600439814814</v>
      </c>
      <c r="B137" s="20" t="s">
        <v>537</v>
      </c>
      <c r="C137" s="20" t="s">
        <v>773</v>
      </c>
      <c r="D137" s="138">
        <v>1300000</v>
      </c>
      <c r="E137" s="20" t="s">
        <v>747</v>
      </c>
      <c r="F137" s="20" t="s">
        <v>748</v>
      </c>
      <c r="G137" s="8" t="str">
        <f t="shared" si="2"/>
        <v>LEVIN SCOTT</v>
      </c>
    </row>
    <row r="138" spans="1:7" x14ac:dyDescent="0.25">
      <c r="A138" s="8">
        <v>42920.601770833331</v>
      </c>
      <c r="B138" s="20" t="s">
        <v>512</v>
      </c>
      <c r="C138" s="20" t="s">
        <v>774</v>
      </c>
      <c r="D138" s="138">
        <v>2040000</v>
      </c>
      <c r="E138" s="20" t="s">
        <v>753</v>
      </c>
      <c r="F138" s="20" t="s">
        <v>754</v>
      </c>
      <c r="G138" s="8" t="str">
        <f t="shared" si="2"/>
        <v>MOSES BRADLEY</v>
      </c>
    </row>
    <row r="139" spans="1:7" x14ac:dyDescent="0.25">
      <c r="A139" s="8">
        <v>42920.609293981484</v>
      </c>
      <c r="B139" s="20" t="s">
        <v>399</v>
      </c>
      <c r="C139" s="20" t="s">
        <v>775</v>
      </c>
      <c r="D139" s="138">
        <v>1770000</v>
      </c>
      <c r="E139" s="20" t="s">
        <v>493</v>
      </c>
      <c r="F139" s="20" t="s">
        <v>494</v>
      </c>
      <c r="G139" s="8" t="str">
        <f t="shared" si="2"/>
        <v>BRUDER RICHARD</v>
      </c>
    </row>
    <row r="140" spans="1:7" x14ac:dyDescent="0.25">
      <c r="A140" s="8">
        <v>42920.609652777777</v>
      </c>
      <c r="B140" s="20" t="s">
        <v>416</v>
      </c>
      <c r="C140" s="20" t="s">
        <v>776</v>
      </c>
      <c r="D140" s="138">
        <v>1180000</v>
      </c>
      <c r="E140" s="20" t="s">
        <v>750</v>
      </c>
      <c r="F140" s="20" t="s">
        <v>751</v>
      </c>
      <c r="G140" s="8" t="str">
        <f t="shared" si="2"/>
        <v>LEVERE CRAIG</v>
      </c>
    </row>
    <row r="141" spans="1:7" x14ac:dyDescent="0.25">
      <c r="A141" s="8">
        <v>42920.618506944447</v>
      </c>
      <c r="B141" s="20" t="s">
        <v>656</v>
      </c>
      <c r="C141" s="20" t="s">
        <v>777</v>
      </c>
      <c r="D141" s="138">
        <v>880000</v>
      </c>
      <c r="E141" s="20" t="s">
        <v>739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42920.619849537034</v>
      </c>
      <c r="B142" s="20" t="s">
        <v>396</v>
      </c>
      <c r="C142" s="20" t="s">
        <v>632</v>
      </c>
      <c r="D142" s="138">
        <v>2470000</v>
      </c>
      <c r="E142" s="20" t="s">
        <v>466</v>
      </c>
      <c r="F142" s="20" t="s">
        <v>467</v>
      </c>
      <c r="G142" s="8" t="str">
        <f t="shared" si="2"/>
        <v>ROMERO CHAD</v>
      </c>
    </row>
    <row r="143" spans="1:7" x14ac:dyDescent="0.25">
      <c r="A143" s="8">
        <v>42920.62090277778</v>
      </c>
      <c r="B143" s="20" t="s">
        <v>482</v>
      </c>
      <c r="C143" s="20" t="s">
        <v>628</v>
      </c>
      <c r="D143" s="138">
        <v>2360000</v>
      </c>
      <c r="E143" s="20" t="s">
        <v>565</v>
      </c>
      <c r="F143" s="20" t="s">
        <v>566</v>
      </c>
      <c r="G143" s="8" t="str">
        <f t="shared" si="2"/>
        <v>BRANDNER MELINDA</v>
      </c>
    </row>
    <row r="144" spans="1:7" x14ac:dyDescent="0.25">
      <c r="A144" s="8">
        <v>42920.621736111112</v>
      </c>
      <c r="B144" s="20" t="s">
        <v>482</v>
      </c>
      <c r="C144" s="20" t="s">
        <v>629</v>
      </c>
      <c r="D144" s="138">
        <v>2360000</v>
      </c>
      <c r="E144" s="20" t="s">
        <v>565</v>
      </c>
      <c r="F144" s="20" t="s">
        <v>566</v>
      </c>
      <c r="G144" s="8" t="str">
        <f t="shared" si="2"/>
        <v>BRANDNER MELINDA</v>
      </c>
    </row>
    <row r="145" spans="1:7" x14ac:dyDescent="0.25">
      <c r="A145" s="8">
        <v>42920.632719907408</v>
      </c>
      <c r="B145" s="20" t="s">
        <v>439</v>
      </c>
      <c r="C145" s="20" t="s">
        <v>633</v>
      </c>
      <c r="D145" s="138">
        <v>920000</v>
      </c>
      <c r="E145" s="20" t="s">
        <v>410</v>
      </c>
      <c r="F145" s="20" t="s">
        <v>192</v>
      </c>
      <c r="G145" s="8" t="str">
        <f t="shared" si="2"/>
        <v>DAVIS MICHAEL</v>
      </c>
    </row>
    <row r="146" spans="1:7" x14ac:dyDescent="0.25">
      <c r="A146" s="8">
        <v>42920.633738425924</v>
      </c>
      <c r="B146" s="20" t="s">
        <v>365</v>
      </c>
      <c r="C146" s="20" t="s">
        <v>630</v>
      </c>
      <c r="D146" s="138">
        <v>2000000</v>
      </c>
      <c r="E146" s="20" t="s">
        <v>451</v>
      </c>
      <c r="F146" s="20" t="s">
        <v>189</v>
      </c>
      <c r="G146" s="8" t="str">
        <f t="shared" si="2"/>
        <v>STAMBAUGH JAMES</v>
      </c>
    </row>
    <row r="147" spans="1:7" x14ac:dyDescent="0.25">
      <c r="A147" s="8">
        <v>42920.634097222224</v>
      </c>
      <c r="B147" s="20" t="s">
        <v>538</v>
      </c>
      <c r="C147" s="20" t="s">
        <v>634</v>
      </c>
      <c r="D147" s="138">
        <v>1300000</v>
      </c>
      <c r="E147" s="20" t="s">
        <v>747</v>
      </c>
      <c r="F147" s="20" t="s">
        <v>748</v>
      </c>
      <c r="G147" s="8" t="str">
        <f t="shared" si="2"/>
        <v>LEVIN SCOTT</v>
      </c>
    </row>
    <row r="148" spans="1:7" x14ac:dyDescent="0.25">
      <c r="A148" s="8">
        <v>42920.634618055556</v>
      </c>
      <c r="B148" s="20" t="s">
        <v>365</v>
      </c>
      <c r="C148" s="20" t="s">
        <v>630</v>
      </c>
      <c r="D148" s="138">
        <v>2000000</v>
      </c>
      <c r="E148" s="20" t="s">
        <v>451</v>
      </c>
      <c r="F148" s="20" t="s">
        <v>189</v>
      </c>
      <c r="G148" s="8" t="str">
        <f t="shared" si="2"/>
        <v>STAMBAUGH JAMES</v>
      </c>
    </row>
    <row r="149" spans="1:7" x14ac:dyDescent="0.25">
      <c r="A149" s="8">
        <v>42920.636736111112</v>
      </c>
      <c r="B149" s="20" t="s">
        <v>402</v>
      </c>
      <c r="C149" s="20" t="s">
        <v>631</v>
      </c>
      <c r="D149" s="138">
        <v>1770000</v>
      </c>
      <c r="E149" s="20" t="s">
        <v>493</v>
      </c>
      <c r="F149" s="20" t="s">
        <v>494</v>
      </c>
      <c r="G149" s="8" t="str">
        <f t="shared" si="2"/>
        <v>BRUDER RICHARD</v>
      </c>
    </row>
    <row r="150" spans="1:7" x14ac:dyDescent="0.25">
      <c r="A150" s="8">
        <v>42920.641296296293</v>
      </c>
      <c r="B150" s="20" t="s">
        <v>510</v>
      </c>
      <c r="C150" s="20" t="s">
        <v>778</v>
      </c>
      <c r="D150" s="138">
        <v>2040000</v>
      </c>
      <c r="E150" s="20" t="s">
        <v>753</v>
      </c>
      <c r="F150" s="20" t="s">
        <v>754</v>
      </c>
      <c r="G150" s="8" t="str">
        <f t="shared" si="2"/>
        <v>MOSES BRADLEY</v>
      </c>
    </row>
    <row r="151" spans="1:7" x14ac:dyDescent="0.25">
      <c r="A151" s="8">
        <v>42920.642974537041</v>
      </c>
      <c r="B151" s="20" t="s">
        <v>420</v>
      </c>
      <c r="C151" s="20" t="s">
        <v>779</v>
      </c>
      <c r="D151" s="138">
        <v>1180000</v>
      </c>
      <c r="E151" s="20" t="s">
        <v>750</v>
      </c>
      <c r="F151" s="20" t="s">
        <v>751</v>
      </c>
      <c r="G151" s="8" t="str">
        <f t="shared" si="2"/>
        <v>LEVERE CRAIG</v>
      </c>
    </row>
    <row r="152" spans="1:7" x14ac:dyDescent="0.25">
      <c r="A152" s="8">
        <v>42920.651828703703</v>
      </c>
      <c r="B152" s="20" t="s">
        <v>399</v>
      </c>
      <c r="C152" s="20" t="s">
        <v>780</v>
      </c>
      <c r="D152" s="138">
        <v>1770000</v>
      </c>
      <c r="E152" s="20" t="s">
        <v>493</v>
      </c>
      <c r="F152" s="20" t="s">
        <v>494</v>
      </c>
      <c r="G152" s="8" t="str">
        <f t="shared" si="2"/>
        <v>BRUDER RICHARD</v>
      </c>
    </row>
    <row r="153" spans="1:7" x14ac:dyDescent="0.25">
      <c r="A153" s="8">
        <v>42920.652430555558</v>
      </c>
      <c r="B153" s="20" t="s">
        <v>642</v>
      </c>
      <c r="C153" s="20" t="s">
        <v>781</v>
      </c>
      <c r="D153" s="138">
        <v>880000</v>
      </c>
      <c r="E153" s="20" t="s">
        <v>739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42920.653217592589</v>
      </c>
      <c r="B154" s="20" t="s">
        <v>395</v>
      </c>
      <c r="C154" s="20" t="s">
        <v>636</v>
      </c>
      <c r="D154" s="138">
        <v>2470000</v>
      </c>
      <c r="E154" s="20" t="s">
        <v>466</v>
      </c>
      <c r="F154" s="20" t="s">
        <v>467</v>
      </c>
      <c r="G154" s="8" t="str">
        <f t="shared" si="2"/>
        <v>ROMERO CHAD</v>
      </c>
    </row>
    <row r="155" spans="1:7" x14ac:dyDescent="0.25">
      <c r="A155" s="8">
        <v>42920.654398148145</v>
      </c>
      <c r="B155" s="20" t="s">
        <v>397</v>
      </c>
      <c r="C155" s="20" t="s">
        <v>782</v>
      </c>
      <c r="D155" s="138">
        <v>2360000</v>
      </c>
      <c r="E155" s="20" t="s">
        <v>565</v>
      </c>
      <c r="F155" s="20" t="s">
        <v>566</v>
      </c>
      <c r="G155" s="8" t="str">
        <f t="shared" si="2"/>
        <v>BRANDNER MELINDA</v>
      </c>
    </row>
    <row r="156" spans="1:7" x14ac:dyDescent="0.25">
      <c r="A156" s="8">
        <v>42920.654942129629</v>
      </c>
      <c r="B156" s="20" t="s">
        <v>341</v>
      </c>
      <c r="C156" s="20" t="s">
        <v>635</v>
      </c>
      <c r="D156" s="138">
        <v>2000000</v>
      </c>
      <c r="E156" s="20" t="s">
        <v>451</v>
      </c>
      <c r="F156" s="20" t="s">
        <v>189</v>
      </c>
      <c r="G156" s="8" t="str">
        <f t="shared" si="2"/>
        <v>STAMBAUGH JAMES</v>
      </c>
    </row>
    <row r="157" spans="1:7" x14ac:dyDescent="0.25">
      <c r="A157" s="8">
        <v>42920.665266203701</v>
      </c>
      <c r="B157" s="20" t="s">
        <v>438</v>
      </c>
      <c r="C157" s="20" t="s">
        <v>783</v>
      </c>
      <c r="D157" s="138">
        <v>920000</v>
      </c>
      <c r="E157" s="20" t="s">
        <v>410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42920.671851851854</v>
      </c>
      <c r="B158" s="20" t="s">
        <v>365</v>
      </c>
      <c r="C158" s="20" t="s">
        <v>637</v>
      </c>
      <c r="D158" s="138">
        <v>2000000</v>
      </c>
      <c r="E158" s="20" t="s">
        <v>451</v>
      </c>
      <c r="F158" s="20" t="s">
        <v>189</v>
      </c>
      <c r="G158" s="8" t="str">
        <f t="shared" si="2"/>
        <v>STAMBAUGH JAMES</v>
      </c>
    </row>
    <row r="159" spans="1:7" x14ac:dyDescent="0.25">
      <c r="A159" s="8">
        <v>42920.673726851855</v>
      </c>
      <c r="B159" s="20" t="s">
        <v>537</v>
      </c>
      <c r="C159" s="20" t="s">
        <v>784</v>
      </c>
      <c r="D159" s="138">
        <v>1300000</v>
      </c>
      <c r="E159" s="20" t="s">
        <v>747</v>
      </c>
      <c r="F159" s="20" t="s">
        <v>748</v>
      </c>
      <c r="G159" s="8" t="str">
        <f t="shared" si="2"/>
        <v>LEVIN SCOTT</v>
      </c>
    </row>
    <row r="160" spans="1:7" x14ac:dyDescent="0.25">
      <c r="A160" s="8">
        <v>42920.675173611111</v>
      </c>
      <c r="B160" s="20" t="s">
        <v>512</v>
      </c>
      <c r="C160" s="20" t="s">
        <v>785</v>
      </c>
      <c r="D160" s="138">
        <v>2040000</v>
      </c>
      <c r="E160" s="20" t="s">
        <v>753</v>
      </c>
      <c r="F160" s="20" t="s">
        <v>754</v>
      </c>
      <c r="G160" s="8" t="str">
        <f t="shared" si="2"/>
        <v>MOSES BRADLEY</v>
      </c>
    </row>
    <row r="161" spans="1:7" x14ac:dyDescent="0.25">
      <c r="A161" s="8">
        <v>42920.678414351853</v>
      </c>
      <c r="B161" s="20" t="s">
        <v>402</v>
      </c>
      <c r="C161" s="20" t="s">
        <v>786</v>
      </c>
      <c r="D161" s="138">
        <v>1770000</v>
      </c>
      <c r="E161" s="20" t="s">
        <v>493</v>
      </c>
      <c r="F161" s="20" t="s">
        <v>494</v>
      </c>
      <c r="G161" s="8" t="str">
        <f t="shared" si="2"/>
        <v>BRUDER RICHARD</v>
      </c>
    </row>
    <row r="162" spans="1:7" x14ac:dyDescent="0.25">
      <c r="A162" s="8">
        <v>42920.681354166663</v>
      </c>
      <c r="B162" s="20" t="s">
        <v>416</v>
      </c>
      <c r="C162" s="20" t="s">
        <v>787</v>
      </c>
      <c r="D162" s="138">
        <v>1180000</v>
      </c>
      <c r="E162" s="20" t="s">
        <v>750</v>
      </c>
      <c r="F162" s="20" t="s">
        <v>751</v>
      </c>
      <c r="G162" s="8" t="str">
        <f t="shared" si="2"/>
        <v>LEVERE CRAIG</v>
      </c>
    </row>
    <row r="163" spans="1:7" x14ac:dyDescent="0.25">
      <c r="A163" s="8">
        <v>42920.685798611114</v>
      </c>
      <c r="B163" s="20" t="s">
        <v>656</v>
      </c>
      <c r="C163" s="20" t="s">
        <v>788</v>
      </c>
      <c r="D163" s="138">
        <v>880000</v>
      </c>
      <c r="E163" s="20" t="s">
        <v>739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42920.692523148151</v>
      </c>
      <c r="B164" s="20" t="s">
        <v>341</v>
      </c>
      <c r="C164" s="20" t="s">
        <v>789</v>
      </c>
      <c r="D164" s="138">
        <v>2000000</v>
      </c>
      <c r="E164" s="20" t="s">
        <v>451</v>
      </c>
      <c r="F164" s="20" t="s">
        <v>189</v>
      </c>
      <c r="G164" s="8" t="str">
        <f t="shared" si="2"/>
        <v>STAMBAUGH JAMES</v>
      </c>
    </row>
    <row r="165" spans="1:7" x14ac:dyDescent="0.25">
      <c r="A165" s="8">
        <v>42920.692569444444</v>
      </c>
      <c r="B165" s="20" t="s">
        <v>399</v>
      </c>
      <c r="C165" s="20" t="s">
        <v>790</v>
      </c>
      <c r="D165" s="138">
        <v>1770000</v>
      </c>
      <c r="E165" s="20" t="s">
        <v>493</v>
      </c>
      <c r="F165" s="20" t="s">
        <v>494</v>
      </c>
      <c r="G165" s="8" t="str">
        <f t="shared" si="2"/>
        <v>BRUDER RICHARD</v>
      </c>
    </row>
    <row r="166" spans="1:7" x14ac:dyDescent="0.25">
      <c r="A166" s="8">
        <v>42920.694340277776</v>
      </c>
      <c r="B166" s="20" t="s">
        <v>482</v>
      </c>
      <c r="C166" s="20" t="s">
        <v>638</v>
      </c>
      <c r="D166" s="138">
        <v>2360000</v>
      </c>
      <c r="E166" s="20" t="s">
        <v>565</v>
      </c>
      <c r="F166" s="20" t="s">
        <v>566</v>
      </c>
      <c r="G166" s="8" t="str">
        <f t="shared" si="2"/>
        <v>BRANDNER MELINDA</v>
      </c>
    </row>
    <row r="167" spans="1:7" x14ac:dyDescent="0.25">
      <c r="A167" s="8">
        <v>42920.694791666669</v>
      </c>
      <c r="B167" s="20" t="s">
        <v>396</v>
      </c>
      <c r="C167" s="20" t="s">
        <v>791</v>
      </c>
      <c r="D167" s="138">
        <v>2470000</v>
      </c>
      <c r="E167" s="20" t="s">
        <v>466</v>
      </c>
      <c r="F167" s="20" t="s">
        <v>467</v>
      </c>
      <c r="G167" s="8" t="str">
        <f t="shared" si="2"/>
        <v>ROMERO CHAD</v>
      </c>
    </row>
    <row r="168" spans="1:7" x14ac:dyDescent="0.25">
      <c r="A168" s="8">
        <v>42920.704664351855</v>
      </c>
      <c r="B168" s="20" t="s">
        <v>439</v>
      </c>
      <c r="C168" s="20" t="s">
        <v>792</v>
      </c>
      <c r="D168" s="138">
        <v>920000</v>
      </c>
      <c r="E168" s="20" t="s">
        <v>410</v>
      </c>
      <c r="F168" s="20" t="s">
        <v>192</v>
      </c>
      <c r="G168" s="8" t="str">
        <f t="shared" si="2"/>
        <v>DAVIS MICHAEL</v>
      </c>
    </row>
    <row r="169" spans="1:7" x14ac:dyDescent="0.25">
      <c r="A169" s="8">
        <v>42920.705428240741</v>
      </c>
      <c r="B169" s="20" t="s">
        <v>538</v>
      </c>
      <c r="C169" s="20" t="s">
        <v>793</v>
      </c>
      <c r="D169" s="138">
        <v>1300000</v>
      </c>
      <c r="E169" s="20" t="s">
        <v>747</v>
      </c>
      <c r="F169" s="20" t="s">
        <v>748</v>
      </c>
      <c r="G169" s="8" t="str">
        <f t="shared" si="2"/>
        <v>LEVIN SCOTT</v>
      </c>
    </row>
    <row r="170" spans="1:7" x14ac:dyDescent="0.25">
      <c r="A170" s="8">
        <v>42920.706284722219</v>
      </c>
      <c r="B170" s="20" t="s">
        <v>561</v>
      </c>
      <c r="C170" s="20" t="s">
        <v>794</v>
      </c>
      <c r="D170" s="138">
        <v>1780000</v>
      </c>
      <c r="E170" s="20" t="s">
        <v>795</v>
      </c>
      <c r="F170" s="20" t="s">
        <v>796</v>
      </c>
      <c r="G170" s="8" t="str">
        <f t="shared" si="2"/>
        <v>DE LA ROSA ALEX</v>
      </c>
    </row>
    <row r="171" spans="1:7" x14ac:dyDescent="0.25">
      <c r="A171" s="8">
        <v>42920.713252314818</v>
      </c>
      <c r="B171" s="20" t="s">
        <v>365</v>
      </c>
      <c r="C171" s="20" t="s">
        <v>797</v>
      </c>
      <c r="D171" s="138">
        <v>2000000</v>
      </c>
      <c r="E171" s="20" t="s">
        <v>451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42920.714907407404</v>
      </c>
      <c r="B172" s="20" t="s">
        <v>510</v>
      </c>
      <c r="C172" s="20" t="s">
        <v>798</v>
      </c>
      <c r="D172" s="138">
        <v>2040000</v>
      </c>
      <c r="E172" s="20" t="s">
        <v>753</v>
      </c>
      <c r="F172" s="20" t="s">
        <v>754</v>
      </c>
      <c r="G172" s="8" t="str">
        <f t="shared" si="2"/>
        <v>MOSES BRADLEY</v>
      </c>
    </row>
    <row r="173" spans="1:7" x14ac:dyDescent="0.25">
      <c r="A173" s="8">
        <v>42920.717187499999</v>
      </c>
      <c r="B173" s="20" t="s">
        <v>420</v>
      </c>
      <c r="C173" s="20" t="s">
        <v>799</v>
      </c>
      <c r="D173" s="138">
        <v>1180000</v>
      </c>
      <c r="E173" s="20" t="s">
        <v>750</v>
      </c>
      <c r="F173" s="20" t="s">
        <v>751</v>
      </c>
      <c r="G173" s="8" t="str">
        <f t="shared" si="2"/>
        <v>LEVERE CRAIG</v>
      </c>
    </row>
    <row r="174" spans="1:7" x14ac:dyDescent="0.25">
      <c r="A174" s="8">
        <v>42920.717499999999</v>
      </c>
      <c r="B174" s="20" t="s">
        <v>562</v>
      </c>
      <c r="C174" s="20" t="s">
        <v>800</v>
      </c>
      <c r="D174" s="138">
        <v>1810000</v>
      </c>
      <c r="E174" s="20" t="s">
        <v>367</v>
      </c>
      <c r="F174" s="20" t="s">
        <v>189</v>
      </c>
      <c r="G174" s="8" t="str">
        <f t="shared" si="2"/>
        <v>NEWELL JAMES</v>
      </c>
    </row>
    <row r="175" spans="1:7" x14ac:dyDescent="0.25">
      <c r="A175" s="8">
        <v>42920.720439814817</v>
      </c>
      <c r="B175" s="20" t="s">
        <v>402</v>
      </c>
      <c r="C175" s="20" t="s">
        <v>801</v>
      </c>
      <c r="D175" s="138">
        <v>1770000</v>
      </c>
      <c r="E175" s="20" t="s">
        <v>493</v>
      </c>
      <c r="F175" s="20" t="s">
        <v>494</v>
      </c>
      <c r="G175" s="8" t="str">
        <f t="shared" si="2"/>
        <v>BRUDER RICHARD</v>
      </c>
    </row>
    <row r="176" spans="1:7" x14ac:dyDescent="0.25">
      <c r="A176" s="8">
        <v>42920.724583333336</v>
      </c>
      <c r="B176" s="20" t="s">
        <v>395</v>
      </c>
      <c r="C176" s="20" t="s">
        <v>802</v>
      </c>
      <c r="D176" s="138">
        <v>2470000</v>
      </c>
      <c r="E176" s="20" t="s">
        <v>466</v>
      </c>
      <c r="F176" s="20" t="s">
        <v>467</v>
      </c>
      <c r="G176" s="8" t="str">
        <f t="shared" si="2"/>
        <v>ROMERO CHAD</v>
      </c>
    </row>
    <row r="177" spans="1:7" x14ac:dyDescent="0.25">
      <c r="A177" s="8">
        <v>42920.725092592591</v>
      </c>
      <c r="B177" s="20" t="s">
        <v>642</v>
      </c>
      <c r="C177" s="20" t="s">
        <v>803</v>
      </c>
      <c r="D177" s="138">
        <v>880000</v>
      </c>
      <c r="E177" s="20" t="s">
        <v>739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42920.730127314811</v>
      </c>
      <c r="B178" s="20" t="s">
        <v>397</v>
      </c>
      <c r="C178" s="20" t="s">
        <v>804</v>
      </c>
      <c r="D178" s="138">
        <v>2360000</v>
      </c>
      <c r="E178" s="20" t="s">
        <v>565</v>
      </c>
      <c r="F178" s="20" t="s">
        <v>566</v>
      </c>
      <c r="G178" s="8" t="str">
        <f t="shared" si="2"/>
        <v>BRANDNER MELINDA</v>
      </c>
    </row>
    <row r="179" spans="1:7" x14ac:dyDescent="0.25">
      <c r="A179" s="8">
        <v>42920.734340277777</v>
      </c>
      <c r="B179" s="20" t="s">
        <v>399</v>
      </c>
      <c r="C179" s="20" t="s">
        <v>805</v>
      </c>
      <c r="D179" s="138">
        <v>1770000</v>
      </c>
      <c r="E179" s="20" t="s">
        <v>493</v>
      </c>
      <c r="F179" s="20" t="s">
        <v>494</v>
      </c>
      <c r="G179" s="8" t="str">
        <f t="shared" si="2"/>
        <v>BRUDER RICHARD</v>
      </c>
    </row>
    <row r="180" spans="1:7" x14ac:dyDescent="0.25">
      <c r="A180" s="8">
        <v>42920.737604166665</v>
      </c>
      <c r="B180" s="20" t="s">
        <v>340</v>
      </c>
      <c r="C180" s="20" t="s">
        <v>806</v>
      </c>
      <c r="D180" s="138">
        <v>2550000</v>
      </c>
      <c r="E180" s="20" t="s">
        <v>807</v>
      </c>
      <c r="F180" s="20" t="s">
        <v>808</v>
      </c>
      <c r="G180" s="8" t="str">
        <f t="shared" si="2"/>
        <v>BADERTSCHER DIANE</v>
      </c>
    </row>
    <row r="181" spans="1:7" x14ac:dyDescent="0.25">
      <c r="A181" s="8">
        <v>42920.738981481481</v>
      </c>
      <c r="B181" s="20" t="s">
        <v>438</v>
      </c>
      <c r="C181" s="20" t="s">
        <v>809</v>
      </c>
      <c r="D181" s="138">
        <v>2230000</v>
      </c>
      <c r="E181" s="20" t="s">
        <v>342</v>
      </c>
      <c r="F181" s="20" t="s">
        <v>192</v>
      </c>
      <c r="G181" s="8" t="str">
        <f t="shared" si="2"/>
        <v>SMITH MICHAEL</v>
      </c>
    </row>
    <row r="182" spans="1:7" x14ac:dyDescent="0.25">
      <c r="A182" s="8">
        <v>42920.739571759259</v>
      </c>
      <c r="B182" s="20" t="s">
        <v>340</v>
      </c>
      <c r="C182" s="20" t="s">
        <v>806</v>
      </c>
      <c r="D182" s="138">
        <v>2550000</v>
      </c>
      <c r="E182" s="20" t="s">
        <v>807</v>
      </c>
      <c r="F182" s="20" t="s">
        <v>808</v>
      </c>
      <c r="G182" s="8" t="str">
        <f t="shared" si="2"/>
        <v>BADERTSCHER DIANE</v>
      </c>
    </row>
    <row r="183" spans="1:7" x14ac:dyDescent="0.25">
      <c r="A183" s="8">
        <v>42920.741481481484</v>
      </c>
      <c r="B183" s="20" t="s">
        <v>341</v>
      </c>
      <c r="C183" s="20" t="s">
        <v>810</v>
      </c>
      <c r="D183" s="138">
        <v>2000000</v>
      </c>
      <c r="E183" s="20" t="s">
        <v>451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42920.745381944442</v>
      </c>
      <c r="B184" s="20" t="s">
        <v>537</v>
      </c>
      <c r="C184" s="20" t="s">
        <v>811</v>
      </c>
      <c r="D184" s="138">
        <v>1300000</v>
      </c>
      <c r="E184" s="20" t="s">
        <v>747</v>
      </c>
      <c r="F184" s="20" t="s">
        <v>748</v>
      </c>
      <c r="G184" s="8" t="str">
        <f t="shared" si="2"/>
        <v>LEVIN SCOTT</v>
      </c>
    </row>
    <row r="185" spans="1:7" x14ac:dyDescent="0.25">
      <c r="A185" s="8">
        <v>42920.749143518522</v>
      </c>
      <c r="B185" s="20" t="s">
        <v>512</v>
      </c>
      <c r="C185" s="20" t="s">
        <v>640</v>
      </c>
      <c r="D185" s="138">
        <v>2040000</v>
      </c>
      <c r="E185" s="20" t="s">
        <v>753</v>
      </c>
      <c r="F185" s="20" t="s">
        <v>754</v>
      </c>
      <c r="G185" s="8" t="str">
        <f t="shared" si="2"/>
        <v>MOSES BRADLEY</v>
      </c>
    </row>
    <row r="186" spans="1:7" x14ac:dyDescent="0.25">
      <c r="A186" s="8">
        <v>42920.750798611109</v>
      </c>
      <c r="B186" s="20" t="s">
        <v>416</v>
      </c>
      <c r="C186" s="20" t="s">
        <v>812</v>
      </c>
      <c r="D186" s="138">
        <v>1180000</v>
      </c>
      <c r="E186" s="20" t="s">
        <v>750</v>
      </c>
      <c r="F186" s="20" t="s">
        <v>751</v>
      </c>
      <c r="G186" s="8" t="str">
        <f t="shared" si="2"/>
        <v>LEVERE CRAIG</v>
      </c>
    </row>
    <row r="187" spans="1:7" x14ac:dyDescent="0.25">
      <c r="A187" s="8">
        <v>42920.754004629627</v>
      </c>
      <c r="B187" s="20" t="s">
        <v>365</v>
      </c>
      <c r="C187" s="20" t="s">
        <v>639</v>
      </c>
      <c r="D187" s="138">
        <v>2000000</v>
      </c>
      <c r="E187" s="20" t="s">
        <v>451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42920.757488425923</v>
      </c>
      <c r="B188" s="20" t="s">
        <v>416</v>
      </c>
      <c r="C188" s="20" t="s">
        <v>812</v>
      </c>
      <c r="D188" s="138">
        <v>1180000</v>
      </c>
      <c r="E188" s="20" t="s">
        <v>750</v>
      </c>
      <c r="F188" s="20" t="s">
        <v>751</v>
      </c>
      <c r="G188" s="8" t="str">
        <f t="shared" si="2"/>
        <v>LEVERE CRAIG</v>
      </c>
    </row>
    <row r="189" spans="1:7" x14ac:dyDescent="0.25">
      <c r="A189" s="8">
        <v>42920.758321759262</v>
      </c>
      <c r="B189" s="20" t="s">
        <v>656</v>
      </c>
      <c r="C189" s="20" t="s">
        <v>813</v>
      </c>
      <c r="D189" s="138">
        <v>3000000</v>
      </c>
      <c r="E189" s="20" t="s">
        <v>421</v>
      </c>
      <c r="F189" s="20" t="s">
        <v>422</v>
      </c>
      <c r="G189" s="8" t="str">
        <f t="shared" si="2"/>
        <v>FORTUNATO FRANK</v>
      </c>
    </row>
    <row r="190" spans="1:7" x14ac:dyDescent="0.25">
      <c r="A190" s="8">
        <v>42920.761874999997</v>
      </c>
      <c r="B190" s="20" t="s">
        <v>402</v>
      </c>
      <c r="C190" s="20" t="s">
        <v>814</v>
      </c>
      <c r="D190" s="138">
        <v>1770000</v>
      </c>
      <c r="E190" s="20" t="s">
        <v>493</v>
      </c>
      <c r="F190" s="20" t="s">
        <v>494</v>
      </c>
      <c r="G190" s="8" t="str">
        <f t="shared" si="2"/>
        <v>BRUDER RICHARD</v>
      </c>
    </row>
    <row r="191" spans="1:7" x14ac:dyDescent="0.25">
      <c r="A191" s="8">
        <v>42920.766446759262</v>
      </c>
      <c r="B191" s="20" t="s">
        <v>482</v>
      </c>
      <c r="C191" s="20" t="s">
        <v>815</v>
      </c>
      <c r="D191" s="138">
        <v>2360000</v>
      </c>
      <c r="E191" s="20" t="s">
        <v>565</v>
      </c>
      <c r="F191" s="20" t="s">
        <v>566</v>
      </c>
      <c r="G191" s="8" t="str">
        <f t="shared" si="2"/>
        <v>BRANDNER MELINDA</v>
      </c>
    </row>
    <row r="192" spans="1:7" x14ac:dyDescent="0.25">
      <c r="A192" s="8">
        <v>42920.768611111111</v>
      </c>
      <c r="B192" s="20" t="s">
        <v>396</v>
      </c>
      <c r="C192" s="20" t="s">
        <v>816</v>
      </c>
      <c r="D192" s="138">
        <v>2450000</v>
      </c>
      <c r="E192" s="20" t="s">
        <v>567</v>
      </c>
      <c r="F192" s="20" t="s">
        <v>568</v>
      </c>
      <c r="G192" s="8" t="str">
        <f t="shared" si="2"/>
        <v>NELSON ARIANE</v>
      </c>
    </row>
    <row r="193" spans="1:7" x14ac:dyDescent="0.25">
      <c r="A193" s="8">
        <v>42920.773217592592</v>
      </c>
      <c r="B193" s="20" t="s">
        <v>439</v>
      </c>
      <c r="C193" s="20" t="s">
        <v>817</v>
      </c>
      <c r="D193" s="138">
        <v>2230000</v>
      </c>
      <c r="E193" s="20" t="s">
        <v>342</v>
      </c>
      <c r="F193" s="20" t="s">
        <v>192</v>
      </c>
      <c r="G193" s="8" t="str">
        <f t="shared" si="2"/>
        <v>SMITH MICHAEL</v>
      </c>
    </row>
    <row r="194" spans="1:7" x14ac:dyDescent="0.25">
      <c r="A194" s="8">
        <v>42920.776770833334</v>
      </c>
      <c r="B194" s="20" t="s">
        <v>399</v>
      </c>
      <c r="C194" s="20" t="s">
        <v>818</v>
      </c>
      <c r="D194" s="138">
        <v>1770000</v>
      </c>
      <c r="E194" s="20" t="s">
        <v>493</v>
      </c>
      <c r="F194" s="20" t="s">
        <v>494</v>
      </c>
      <c r="G194" s="8" t="str">
        <f t="shared" si="2"/>
        <v>BRUDER RICHARD</v>
      </c>
    </row>
    <row r="195" spans="1:7" x14ac:dyDescent="0.25">
      <c r="A195" s="8">
        <v>42920.778668981482</v>
      </c>
      <c r="B195" s="20" t="s">
        <v>538</v>
      </c>
      <c r="C195" s="20" t="s">
        <v>819</v>
      </c>
      <c r="D195" s="138">
        <v>1300000</v>
      </c>
      <c r="E195" s="20" t="s">
        <v>747</v>
      </c>
      <c r="F195" s="20" t="s">
        <v>748</v>
      </c>
      <c r="G195" s="8" t="str">
        <f t="shared" ref="G195:G258" si="3">E195&amp;" "&amp;F195</f>
        <v>LEVIN SCOTT</v>
      </c>
    </row>
    <row r="196" spans="1:7" x14ac:dyDescent="0.25">
      <c r="A196" s="8">
        <v>42920.784062500003</v>
      </c>
      <c r="B196" s="20" t="s">
        <v>341</v>
      </c>
      <c r="C196" s="20" t="s">
        <v>641</v>
      </c>
      <c r="D196" s="138">
        <v>2000000</v>
      </c>
      <c r="E196" s="20" t="s">
        <v>451</v>
      </c>
      <c r="F196" s="20" t="s">
        <v>189</v>
      </c>
      <c r="G196" s="8" t="str">
        <f t="shared" si="3"/>
        <v>STAMBAUGH JAMES</v>
      </c>
    </row>
    <row r="197" spans="1:7" x14ac:dyDescent="0.25">
      <c r="A197" s="8">
        <v>42920.786099537036</v>
      </c>
      <c r="B197" s="20" t="s">
        <v>510</v>
      </c>
      <c r="C197" s="20" t="s">
        <v>644</v>
      </c>
      <c r="D197" s="138">
        <v>2040000</v>
      </c>
      <c r="E197" s="20" t="s">
        <v>753</v>
      </c>
      <c r="F197" s="20" t="s">
        <v>754</v>
      </c>
      <c r="G197" s="8" t="str">
        <f t="shared" si="3"/>
        <v>MOSES BRADLEY</v>
      </c>
    </row>
    <row r="198" spans="1:7" x14ac:dyDescent="0.25">
      <c r="A198" s="8">
        <v>42920.790451388886</v>
      </c>
      <c r="B198" s="20" t="s">
        <v>420</v>
      </c>
      <c r="C198" s="20" t="s">
        <v>820</v>
      </c>
      <c r="D198" s="138">
        <v>2090000</v>
      </c>
      <c r="E198" s="20" t="s">
        <v>442</v>
      </c>
      <c r="F198" s="20" t="s">
        <v>192</v>
      </c>
      <c r="G198" s="8" t="str">
        <f t="shared" si="3"/>
        <v>HAITHCOX MICHAEL</v>
      </c>
    </row>
    <row r="199" spans="1:7" x14ac:dyDescent="0.25">
      <c r="A199" s="8">
        <v>42920.796481481484</v>
      </c>
      <c r="B199" s="20" t="s">
        <v>365</v>
      </c>
      <c r="C199" s="20" t="s">
        <v>821</v>
      </c>
      <c r="D199" s="138">
        <v>2000000</v>
      </c>
      <c r="E199" s="20" t="s">
        <v>451</v>
      </c>
      <c r="F199" s="20" t="s">
        <v>189</v>
      </c>
      <c r="G199" s="8" t="str">
        <f t="shared" si="3"/>
        <v>STAMBAUGH JAMES</v>
      </c>
    </row>
    <row r="200" spans="1:7" x14ac:dyDescent="0.25">
      <c r="A200" s="8">
        <v>42920.797569444447</v>
      </c>
      <c r="B200" s="20" t="s">
        <v>642</v>
      </c>
      <c r="C200" s="20" t="s">
        <v>643</v>
      </c>
      <c r="D200" s="138">
        <v>3000000</v>
      </c>
      <c r="E200" s="20" t="s">
        <v>421</v>
      </c>
      <c r="F200" s="20" t="s">
        <v>422</v>
      </c>
      <c r="G200" s="8" t="str">
        <f t="shared" si="3"/>
        <v>FORTUNATO FRANK</v>
      </c>
    </row>
    <row r="201" spans="1:7" x14ac:dyDescent="0.25">
      <c r="A201" s="8">
        <v>42920.801712962966</v>
      </c>
      <c r="B201" s="20" t="s">
        <v>397</v>
      </c>
      <c r="C201" s="20" t="s">
        <v>822</v>
      </c>
      <c r="D201" s="138">
        <v>2360000</v>
      </c>
      <c r="E201" s="20" t="s">
        <v>565</v>
      </c>
      <c r="F201" s="20" t="s">
        <v>566</v>
      </c>
      <c r="G201" s="8" t="str">
        <f t="shared" si="3"/>
        <v>BRANDNER MELINDA</v>
      </c>
    </row>
    <row r="202" spans="1:7" x14ac:dyDescent="0.25">
      <c r="A202" s="26">
        <v>42920.803576388891</v>
      </c>
      <c r="B202" s="20" t="s">
        <v>402</v>
      </c>
      <c r="C202" s="20" t="s">
        <v>823</v>
      </c>
      <c r="D202" s="138">
        <v>1770000</v>
      </c>
      <c r="E202" s="20" t="s">
        <v>493</v>
      </c>
      <c r="F202" s="20" t="s">
        <v>494</v>
      </c>
      <c r="G202" s="8" t="str">
        <f t="shared" si="3"/>
        <v>BRUDER RICHARD</v>
      </c>
    </row>
    <row r="203" spans="1:7" x14ac:dyDescent="0.25">
      <c r="A203" s="8">
        <v>42920.809965277775</v>
      </c>
      <c r="B203" s="20" t="s">
        <v>395</v>
      </c>
      <c r="C203" s="20" t="s">
        <v>824</v>
      </c>
      <c r="D203" s="138">
        <v>2450000</v>
      </c>
      <c r="E203" s="20" t="s">
        <v>567</v>
      </c>
      <c r="F203" s="20" t="s">
        <v>568</v>
      </c>
      <c r="G203" s="8" t="str">
        <f t="shared" si="3"/>
        <v>NELSON ARIANE</v>
      </c>
    </row>
    <row r="204" spans="1:7" x14ac:dyDescent="0.25">
      <c r="A204" s="8">
        <v>42920.810474537036</v>
      </c>
      <c r="B204" s="20" t="s">
        <v>438</v>
      </c>
      <c r="C204" s="20" t="s">
        <v>825</v>
      </c>
      <c r="D204" s="138">
        <v>2230000</v>
      </c>
      <c r="E204" s="20" t="s">
        <v>342</v>
      </c>
      <c r="F204" s="20" t="s">
        <v>192</v>
      </c>
      <c r="G204" s="8" t="str">
        <f t="shared" si="3"/>
        <v>SMITH MICHAEL</v>
      </c>
    </row>
    <row r="205" spans="1:7" x14ac:dyDescent="0.25">
      <c r="A205" s="8">
        <v>42920.817407407405</v>
      </c>
      <c r="B205" s="20" t="s">
        <v>399</v>
      </c>
      <c r="C205" s="20" t="s">
        <v>826</v>
      </c>
      <c r="D205" s="138">
        <v>1770000</v>
      </c>
      <c r="E205" s="20" t="s">
        <v>493</v>
      </c>
      <c r="F205" s="20" t="s">
        <v>494</v>
      </c>
      <c r="G205" s="8" t="str">
        <f t="shared" si="3"/>
        <v>BRUDER RICHARD</v>
      </c>
    </row>
    <row r="206" spans="1:7" x14ac:dyDescent="0.25">
      <c r="A206" s="8">
        <v>42920.81863425926</v>
      </c>
      <c r="B206" s="20" t="s">
        <v>642</v>
      </c>
      <c r="C206" s="20" t="s">
        <v>643</v>
      </c>
      <c r="D206" s="138">
        <v>3000000</v>
      </c>
      <c r="E206" s="20" t="s">
        <v>421</v>
      </c>
      <c r="F206" s="20" t="s">
        <v>422</v>
      </c>
      <c r="G206" s="8" t="str">
        <f t="shared" si="3"/>
        <v>FORTUNATO FRANK</v>
      </c>
    </row>
    <row r="207" spans="1:7" x14ac:dyDescent="0.25">
      <c r="A207" s="8">
        <v>42920.820231481484</v>
      </c>
      <c r="B207" s="20" t="s">
        <v>512</v>
      </c>
      <c r="C207" s="20" t="s">
        <v>827</v>
      </c>
      <c r="D207" s="138">
        <v>2040000</v>
      </c>
      <c r="E207" s="20" t="s">
        <v>753</v>
      </c>
      <c r="F207" s="20" t="s">
        <v>754</v>
      </c>
      <c r="G207" s="8" t="str">
        <f t="shared" si="3"/>
        <v>MOSES BRADLEY</v>
      </c>
    </row>
    <row r="208" spans="1:7" x14ac:dyDescent="0.25">
      <c r="A208" s="8">
        <v>42920.822175925925</v>
      </c>
      <c r="B208" s="20" t="s">
        <v>416</v>
      </c>
      <c r="C208" s="20" t="s">
        <v>828</v>
      </c>
      <c r="D208" s="138">
        <v>2090000</v>
      </c>
      <c r="E208" s="20" t="s">
        <v>442</v>
      </c>
      <c r="F208" s="20" t="s">
        <v>192</v>
      </c>
      <c r="G208" s="8" t="str">
        <f t="shared" si="3"/>
        <v>HAITHCOX MICHAEL</v>
      </c>
    </row>
    <row r="209" spans="1:7" x14ac:dyDescent="0.25">
      <c r="A209" s="8">
        <v>42920.833113425928</v>
      </c>
      <c r="B209" s="20" t="s">
        <v>656</v>
      </c>
      <c r="C209" s="20" t="s">
        <v>829</v>
      </c>
      <c r="D209" s="138">
        <v>3000000</v>
      </c>
      <c r="E209" s="20" t="s">
        <v>421</v>
      </c>
      <c r="F209" s="20" t="s">
        <v>422</v>
      </c>
      <c r="G209" s="8" t="str">
        <f t="shared" si="3"/>
        <v>FORTUNATO FRANK</v>
      </c>
    </row>
    <row r="210" spans="1:7" x14ac:dyDescent="0.25">
      <c r="A210" s="8">
        <v>42920.84584490741</v>
      </c>
      <c r="B210" s="20" t="s">
        <v>402</v>
      </c>
      <c r="C210" s="20" t="s">
        <v>830</v>
      </c>
      <c r="D210" s="138">
        <v>1770000</v>
      </c>
      <c r="E210" s="20" t="s">
        <v>493</v>
      </c>
      <c r="F210" s="20" t="s">
        <v>494</v>
      </c>
      <c r="G210" s="8" t="str">
        <f t="shared" si="3"/>
        <v>BRUDER RICHARD</v>
      </c>
    </row>
    <row r="211" spans="1:7" x14ac:dyDescent="0.25">
      <c r="A211" s="8">
        <v>42920.847175925926</v>
      </c>
      <c r="B211" s="20" t="s">
        <v>439</v>
      </c>
      <c r="C211" s="20" t="s">
        <v>831</v>
      </c>
      <c r="D211" s="138">
        <v>2230000</v>
      </c>
      <c r="E211" s="20" t="s">
        <v>342</v>
      </c>
      <c r="F211" s="20" t="s">
        <v>192</v>
      </c>
      <c r="G211" s="8" t="str">
        <f t="shared" si="3"/>
        <v>SMITH MICHAEL</v>
      </c>
    </row>
    <row r="212" spans="1:7" x14ac:dyDescent="0.25">
      <c r="A212" s="8">
        <v>42920.853344907409</v>
      </c>
      <c r="B212" s="20" t="s">
        <v>396</v>
      </c>
      <c r="C212" s="20" t="s">
        <v>832</v>
      </c>
      <c r="D212" s="138">
        <v>2450000</v>
      </c>
      <c r="E212" s="20" t="s">
        <v>567</v>
      </c>
      <c r="F212" s="20" t="s">
        <v>568</v>
      </c>
      <c r="G212" s="8" t="str">
        <f t="shared" si="3"/>
        <v>NELSON ARIANE</v>
      </c>
    </row>
    <row r="213" spans="1:7" x14ac:dyDescent="0.25">
      <c r="A213" s="8">
        <v>42920.859039351853</v>
      </c>
      <c r="B213" s="20" t="s">
        <v>399</v>
      </c>
      <c r="C213" s="20" t="s">
        <v>833</v>
      </c>
      <c r="D213" s="138">
        <v>1770000</v>
      </c>
      <c r="E213" s="20" t="s">
        <v>493</v>
      </c>
      <c r="F213" s="20" t="s">
        <v>494</v>
      </c>
      <c r="G213" s="8" t="str">
        <f t="shared" si="3"/>
        <v>BRUDER RICHARD</v>
      </c>
    </row>
    <row r="214" spans="1:7" x14ac:dyDescent="0.25">
      <c r="A214" s="8">
        <v>42920.862824074073</v>
      </c>
      <c r="B214" s="20" t="s">
        <v>420</v>
      </c>
      <c r="C214" s="20" t="s">
        <v>834</v>
      </c>
      <c r="D214" s="138">
        <v>2090000</v>
      </c>
      <c r="E214" s="20" t="s">
        <v>442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42920.882881944446</v>
      </c>
      <c r="B215" s="20" t="s">
        <v>402</v>
      </c>
      <c r="C215" s="20" t="s">
        <v>835</v>
      </c>
      <c r="D215" s="138">
        <v>2000000</v>
      </c>
      <c r="E215" s="20" t="s">
        <v>451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42920.886122685188</v>
      </c>
      <c r="B216" s="20" t="s">
        <v>642</v>
      </c>
      <c r="C216" s="20" t="s">
        <v>645</v>
      </c>
      <c r="D216" s="138">
        <v>3000000</v>
      </c>
      <c r="E216" s="20" t="s">
        <v>421</v>
      </c>
      <c r="F216" s="20" t="s">
        <v>422</v>
      </c>
      <c r="G216" s="8" t="str">
        <f t="shared" si="3"/>
        <v>FORTUNATO FRANK</v>
      </c>
    </row>
    <row r="217" spans="1:7" x14ac:dyDescent="0.25">
      <c r="A217" s="8">
        <v>42920.887719907405</v>
      </c>
      <c r="B217" s="20" t="s">
        <v>438</v>
      </c>
      <c r="C217" s="20" t="s">
        <v>836</v>
      </c>
      <c r="D217" s="138">
        <v>2230000</v>
      </c>
      <c r="E217" s="20" t="s">
        <v>342</v>
      </c>
      <c r="F217" s="20" t="s">
        <v>192</v>
      </c>
      <c r="G217" s="8" t="str">
        <f t="shared" si="3"/>
        <v>SMITH MICHAEL</v>
      </c>
    </row>
    <row r="218" spans="1:7" x14ac:dyDescent="0.25">
      <c r="A218" s="8">
        <v>42920.892106481479</v>
      </c>
      <c r="B218" s="20" t="s">
        <v>395</v>
      </c>
      <c r="C218" s="20" t="s">
        <v>837</v>
      </c>
      <c r="D218" s="138">
        <v>2450000</v>
      </c>
      <c r="E218" s="20" t="s">
        <v>567</v>
      </c>
      <c r="F218" s="20" t="s">
        <v>568</v>
      </c>
      <c r="G218" s="8" t="str">
        <f t="shared" si="3"/>
        <v>NELSON ARIANE</v>
      </c>
    </row>
    <row r="219" spans="1:7" x14ac:dyDescent="0.25">
      <c r="A219" s="8">
        <v>42920.900405092594</v>
      </c>
      <c r="B219" s="20" t="s">
        <v>399</v>
      </c>
      <c r="C219" s="20" t="s">
        <v>646</v>
      </c>
      <c r="D219" s="138">
        <v>2000000</v>
      </c>
      <c r="E219" s="20" t="s">
        <v>451</v>
      </c>
      <c r="F219" s="20" t="s">
        <v>189</v>
      </c>
      <c r="G219" s="8" t="str">
        <f t="shared" si="3"/>
        <v>STAMBAUGH JAMES</v>
      </c>
    </row>
    <row r="220" spans="1:7" x14ac:dyDescent="0.25">
      <c r="A220" s="8">
        <v>42920.905104166668</v>
      </c>
      <c r="B220" s="20" t="s">
        <v>416</v>
      </c>
      <c r="C220" s="20" t="s">
        <v>838</v>
      </c>
      <c r="D220" s="138">
        <v>2090000</v>
      </c>
      <c r="E220" s="20" t="s">
        <v>442</v>
      </c>
      <c r="F220" s="20" t="s">
        <v>192</v>
      </c>
      <c r="G220" s="8" t="str">
        <f t="shared" si="3"/>
        <v>HAITHCOX MICHAEL</v>
      </c>
    </row>
    <row r="221" spans="1:7" x14ac:dyDescent="0.25">
      <c r="A221" s="8">
        <v>42920.910798611112</v>
      </c>
      <c r="B221" s="20" t="s">
        <v>656</v>
      </c>
      <c r="C221" s="20" t="s">
        <v>839</v>
      </c>
      <c r="D221" s="138">
        <v>3000000</v>
      </c>
      <c r="E221" s="20" t="s">
        <v>421</v>
      </c>
      <c r="F221" s="20" t="s">
        <v>422</v>
      </c>
      <c r="G221" s="8" t="str">
        <f t="shared" si="3"/>
        <v>FORTUNATO FRANK</v>
      </c>
    </row>
    <row r="222" spans="1:7" x14ac:dyDescent="0.25">
      <c r="A222" s="8">
        <v>42920.914305555554</v>
      </c>
      <c r="B222" s="20" t="s">
        <v>402</v>
      </c>
      <c r="C222" s="20" t="s">
        <v>840</v>
      </c>
      <c r="D222" s="138">
        <v>2000000</v>
      </c>
      <c r="E222" s="20" t="s">
        <v>451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42920.929768518516</v>
      </c>
      <c r="B223" s="20" t="s">
        <v>439</v>
      </c>
      <c r="C223" s="20" t="s">
        <v>841</v>
      </c>
      <c r="D223" s="138">
        <v>2230000</v>
      </c>
      <c r="E223" s="20" t="s">
        <v>342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42920.935370370367</v>
      </c>
      <c r="B224" t="s">
        <v>396</v>
      </c>
      <c r="C224" t="s">
        <v>842</v>
      </c>
      <c r="D224" s="138">
        <v>2450000</v>
      </c>
      <c r="E224" t="s">
        <v>567</v>
      </c>
      <c r="F224" s="20" t="s">
        <v>568</v>
      </c>
      <c r="G224" s="8" t="str">
        <f t="shared" si="3"/>
        <v>NELSON ARIANE</v>
      </c>
    </row>
    <row r="225" spans="1:7" x14ac:dyDescent="0.25">
      <c r="A225" s="8">
        <v>42920.940532407411</v>
      </c>
      <c r="B225" t="s">
        <v>339</v>
      </c>
      <c r="C225" t="s">
        <v>843</v>
      </c>
      <c r="D225" s="138">
        <v>2550000</v>
      </c>
      <c r="E225" t="s">
        <v>807</v>
      </c>
      <c r="F225" s="20" t="s">
        <v>808</v>
      </c>
      <c r="G225" s="8" t="str">
        <f t="shared" si="3"/>
        <v>BADERTSCHER DIANE</v>
      </c>
    </row>
    <row r="226" spans="1:7" x14ac:dyDescent="0.25">
      <c r="A226" s="8">
        <v>42920.943761574075</v>
      </c>
      <c r="B226" t="s">
        <v>399</v>
      </c>
      <c r="C226" t="s">
        <v>844</v>
      </c>
      <c r="D226" s="138">
        <v>2630000</v>
      </c>
      <c r="E226" t="s">
        <v>845</v>
      </c>
      <c r="F226" s="20" t="s">
        <v>846</v>
      </c>
      <c r="G226" s="8" t="str">
        <f t="shared" si="3"/>
        <v>SAFIEF AEIMEN</v>
      </c>
    </row>
    <row r="227" spans="1:7" x14ac:dyDescent="0.25">
      <c r="A227" s="8">
        <v>42920.944525462961</v>
      </c>
      <c r="B227" t="s">
        <v>399</v>
      </c>
      <c r="C227" t="s">
        <v>844</v>
      </c>
      <c r="D227" s="138">
        <v>2630000</v>
      </c>
      <c r="E227" t="s">
        <v>845</v>
      </c>
      <c r="F227" s="20" t="s">
        <v>846</v>
      </c>
      <c r="G227" s="8" t="str">
        <f t="shared" si="3"/>
        <v>SAFIEF AEIMEN</v>
      </c>
    </row>
    <row r="228" spans="1:7" x14ac:dyDescent="0.25">
      <c r="A228" s="8">
        <v>42920.945752314816</v>
      </c>
      <c r="B228" t="s">
        <v>399</v>
      </c>
      <c r="C228" t="s">
        <v>844</v>
      </c>
      <c r="D228" s="138">
        <v>2630000</v>
      </c>
      <c r="E228" t="s">
        <v>845</v>
      </c>
      <c r="F228" s="20" t="s">
        <v>846</v>
      </c>
      <c r="G228" s="8" t="str">
        <f t="shared" si="3"/>
        <v>SAFIEF AEIMEN</v>
      </c>
    </row>
    <row r="229" spans="1:7" x14ac:dyDescent="0.25">
      <c r="A229" s="8">
        <v>42920.946250000001</v>
      </c>
      <c r="B229" t="s">
        <v>642</v>
      </c>
      <c r="C229" t="s">
        <v>847</v>
      </c>
      <c r="D229" s="138">
        <v>3000000</v>
      </c>
      <c r="E229" t="s">
        <v>421</v>
      </c>
      <c r="F229" s="20" t="s">
        <v>422</v>
      </c>
      <c r="G229" s="8" t="str">
        <f t="shared" si="3"/>
        <v>FORTUNATO FRANK</v>
      </c>
    </row>
    <row r="230" spans="1:7" x14ac:dyDescent="0.25">
      <c r="A230" s="8">
        <v>42920.949594907404</v>
      </c>
      <c r="B230" t="s">
        <v>339</v>
      </c>
      <c r="C230" t="s">
        <v>848</v>
      </c>
      <c r="D230" s="138">
        <v>2550000</v>
      </c>
      <c r="E230" t="s">
        <v>807</v>
      </c>
      <c r="F230" s="20" t="s">
        <v>808</v>
      </c>
      <c r="G230" s="8" t="str">
        <f t="shared" si="3"/>
        <v>BADERTSCHER DIANE</v>
      </c>
    </row>
    <row r="231" spans="1:7" x14ac:dyDescent="0.25">
      <c r="A231" s="8">
        <v>42920.950706018521</v>
      </c>
      <c r="B231" t="s">
        <v>420</v>
      </c>
      <c r="C231" t="s">
        <v>849</v>
      </c>
      <c r="D231" s="138">
        <v>2090000</v>
      </c>
      <c r="E231" t="s">
        <v>442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42920.968599537038</v>
      </c>
      <c r="B232" t="s">
        <v>438</v>
      </c>
      <c r="C232" t="s">
        <v>850</v>
      </c>
      <c r="D232" s="138">
        <v>2230000</v>
      </c>
      <c r="E232" t="s">
        <v>342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42920.970868055556</v>
      </c>
      <c r="B233" t="s">
        <v>402</v>
      </c>
      <c r="C233" t="s">
        <v>851</v>
      </c>
      <c r="D233" s="138">
        <v>2630000</v>
      </c>
      <c r="E233" t="s">
        <v>845</v>
      </c>
      <c r="F233" s="20" t="s">
        <v>846</v>
      </c>
      <c r="G233" s="8" t="str">
        <f t="shared" si="3"/>
        <v>SAFIEF AEIMEN</v>
      </c>
    </row>
    <row r="234" spans="1:7" x14ac:dyDescent="0.25">
      <c r="A234" s="8">
        <v>42920.976458333331</v>
      </c>
      <c r="B234" t="s">
        <v>395</v>
      </c>
      <c r="C234" t="s">
        <v>852</v>
      </c>
      <c r="D234" s="138">
        <v>2450000</v>
      </c>
      <c r="E234" t="s">
        <v>567</v>
      </c>
      <c r="F234" s="20" t="s">
        <v>568</v>
      </c>
      <c r="G234" s="8" t="str">
        <f t="shared" si="3"/>
        <v>NELSON ARIANE</v>
      </c>
    </row>
    <row r="235" spans="1:7" x14ac:dyDescent="0.25">
      <c r="A235" s="8">
        <v>42920.984201388892</v>
      </c>
      <c r="B235" t="s">
        <v>399</v>
      </c>
      <c r="C235" t="s">
        <v>853</v>
      </c>
      <c r="D235" s="138">
        <v>2630000</v>
      </c>
      <c r="E235" t="s">
        <v>845</v>
      </c>
      <c r="F235" s="20" t="s">
        <v>846</v>
      </c>
      <c r="G235" s="8" t="str">
        <f t="shared" si="3"/>
        <v>SAFIEF AEIMEN</v>
      </c>
    </row>
    <row r="236" spans="1:7" x14ac:dyDescent="0.25">
      <c r="A236" s="8">
        <v>42920.988159722219</v>
      </c>
      <c r="B236" t="s">
        <v>340</v>
      </c>
      <c r="C236" t="s">
        <v>647</v>
      </c>
      <c r="D236" s="138">
        <v>2550000</v>
      </c>
      <c r="E236" t="s">
        <v>807</v>
      </c>
      <c r="F236" s="20" t="s">
        <v>808</v>
      </c>
      <c r="G236" s="8" t="str">
        <f t="shared" si="3"/>
        <v>BADERTSCHER DIANE</v>
      </c>
    </row>
    <row r="237" spans="1:7" x14ac:dyDescent="0.25">
      <c r="A237" s="8">
        <v>42920.988749999997</v>
      </c>
      <c r="B237" t="s">
        <v>416</v>
      </c>
      <c r="C237" t="s">
        <v>854</v>
      </c>
      <c r="D237" s="138">
        <v>2090000</v>
      </c>
      <c r="E237" t="s">
        <v>442</v>
      </c>
      <c r="F237" s="20" t="s">
        <v>192</v>
      </c>
      <c r="G237" s="8" t="str">
        <f t="shared" si="3"/>
        <v>HAITHCOX MICHAEL</v>
      </c>
    </row>
    <row r="238" spans="1:7" x14ac:dyDescent="0.25">
      <c r="A238" s="8">
        <v>42920.990717592591</v>
      </c>
      <c r="B238" t="s">
        <v>656</v>
      </c>
      <c r="C238" t="s">
        <v>855</v>
      </c>
      <c r="D238" s="138">
        <v>3000000</v>
      </c>
      <c r="E238" t="s">
        <v>421</v>
      </c>
      <c r="F238" s="20" t="s">
        <v>422</v>
      </c>
      <c r="G238" s="8" t="str">
        <f t="shared" si="3"/>
        <v>FORTUNATO FRANK</v>
      </c>
    </row>
    <row r="239" spans="1:7" x14ac:dyDescent="0.25">
      <c r="A239" s="8">
        <v>42920.991655092592</v>
      </c>
      <c r="B239" t="s">
        <v>402</v>
      </c>
      <c r="C239" t="s">
        <v>853</v>
      </c>
      <c r="D239" s="138">
        <v>2630000</v>
      </c>
      <c r="E239" t="s">
        <v>845</v>
      </c>
      <c r="F239" s="20" t="s">
        <v>846</v>
      </c>
      <c r="G239" s="8" t="str">
        <f t="shared" si="3"/>
        <v>SAFIEF AEIMEN</v>
      </c>
    </row>
    <row r="240" spans="1:7" x14ac:dyDescent="0.25">
      <c r="A240" s="8">
        <v>42920.993113425924</v>
      </c>
      <c r="B240" t="s">
        <v>402</v>
      </c>
      <c r="C240" t="s">
        <v>853</v>
      </c>
      <c r="D240" s="138">
        <v>2630000</v>
      </c>
      <c r="E240" t="s">
        <v>845</v>
      </c>
      <c r="F240" s="20" t="s">
        <v>846</v>
      </c>
      <c r="G240" s="8" t="str">
        <f t="shared" si="3"/>
        <v>SAFIEF AEIMEN</v>
      </c>
    </row>
    <row r="241" spans="1:7" x14ac:dyDescent="0.25">
      <c r="A241" s="8">
        <v>42921.004386574074</v>
      </c>
      <c r="B241" t="s">
        <v>656</v>
      </c>
      <c r="C241" t="s">
        <v>855</v>
      </c>
      <c r="D241" s="138">
        <v>3000000</v>
      </c>
      <c r="E241" t="s">
        <v>421</v>
      </c>
      <c r="F241" s="20" t="s">
        <v>422</v>
      </c>
      <c r="G241" s="8" t="str">
        <f t="shared" si="3"/>
        <v>FORTUNATO FRANK</v>
      </c>
    </row>
    <row r="242" spans="1:7" x14ac:dyDescent="0.25">
      <c r="A242" s="8">
        <v>42921.013043981482</v>
      </c>
      <c r="B242" t="s">
        <v>439</v>
      </c>
      <c r="C242" t="s">
        <v>856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42921.019513888888</v>
      </c>
      <c r="B243" t="s">
        <v>396</v>
      </c>
      <c r="C243" t="s">
        <v>857</v>
      </c>
      <c r="D243" s="138">
        <v>2450000</v>
      </c>
      <c r="E243" t="s">
        <v>567</v>
      </c>
      <c r="F243" s="20" t="s">
        <v>568</v>
      </c>
      <c r="G243" s="8" t="str">
        <f t="shared" si="3"/>
        <v>NELSON ARIANE</v>
      </c>
    </row>
    <row r="244" spans="1:7" x14ac:dyDescent="0.25">
      <c r="A244" s="8">
        <v>42921.028587962966</v>
      </c>
      <c r="B244" t="s">
        <v>420</v>
      </c>
      <c r="C244" t="s">
        <v>858</v>
      </c>
      <c r="D244" s="138">
        <v>2090000</v>
      </c>
      <c r="E244" t="s">
        <v>442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42921.029537037037</v>
      </c>
      <c r="B245" t="s">
        <v>420</v>
      </c>
      <c r="C245" t="s">
        <v>858</v>
      </c>
      <c r="D245" s="138">
        <v>2090000</v>
      </c>
      <c r="E245" t="s">
        <v>442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42921.031736111108</v>
      </c>
      <c r="B246" t="s">
        <v>642</v>
      </c>
      <c r="C246" t="s">
        <v>859</v>
      </c>
      <c r="D246" s="138">
        <v>3000000</v>
      </c>
      <c r="E246" t="s">
        <v>421</v>
      </c>
      <c r="F246" s="20" t="s">
        <v>422</v>
      </c>
      <c r="G246" s="8" t="str">
        <f t="shared" si="3"/>
        <v>FORTUNATO FRANK</v>
      </c>
    </row>
    <row r="247" spans="1:7" x14ac:dyDescent="0.25">
      <c r="A247" s="8">
        <v>42921.05127314815</v>
      </c>
      <c r="B247" t="s">
        <v>438</v>
      </c>
      <c r="C247" t="s">
        <v>860</v>
      </c>
      <c r="D247" s="138">
        <v>2230000</v>
      </c>
      <c r="E247" t="s">
        <v>342</v>
      </c>
      <c r="F247" s="20" t="s">
        <v>192</v>
      </c>
      <c r="G247" s="8" t="str">
        <f t="shared" si="3"/>
        <v>SMITH MICHAEL</v>
      </c>
    </row>
    <row r="248" spans="1:7" x14ac:dyDescent="0.25">
      <c r="A248" s="8">
        <v>42921.065069444441</v>
      </c>
      <c r="B248" t="s">
        <v>395</v>
      </c>
      <c r="C248" t="s">
        <v>861</v>
      </c>
      <c r="D248" s="138">
        <v>2450000</v>
      </c>
      <c r="E248" t="s">
        <v>567</v>
      </c>
      <c r="F248" s="20" t="s">
        <v>568</v>
      </c>
      <c r="G248" s="8" t="str">
        <f t="shared" si="3"/>
        <v>NELSON ARIANE</v>
      </c>
    </row>
    <row r="249" spans="1:7" x14ac:dyDescent="0.25">
      <c r="A249" s="8">
        <v>42921.070787037039</v>
      </c>
      <c r="B249" t="s">
        <v>656</v>
      </c>
      <c r="C249" t="s">
        <v>862</v>
      </c>
      <c r="D249" s="138">
        <v>3000000</v>
      </c>
      <c r="E249" t="s">
        <v>421</v>
      </c>
      <c r="F249" s="20" t="s">
        <v>422</v>
      </c>
      <c r="G249" s="8" t="str">
        <f t="shared" si="3"/>
        <v>FORTUNATO FRANK</v>
      </c>
    </row>
    <row r="250" spans="1:7" x14ac:dyDescent="0.25">
      <c r="A250" s="8">
        <v>42921.097395833334</v>
      </c>
      <c r="B250" t="s">
        <v>396</v>
      </c>
      <c r="C250" t="s">
        <v>863</v>
      </c>
      <c r="D250" s="138">
        <v>2450000</v>
      </c>
      <c r="E250" t="s">
        <v>567</v>
      </c>
      <c r="F250" s="20" t="s">
        <v>568</v>
      </c>
      <c r="G250" s="8" t="str">
        <f t="shared" si="3"/>
        <v>NELSON ARIANE</v>
      </c>
    </row>
    <row r="251" spans="1:7" x14ac:dyDescent="0.25">
      <c r="A251" s="8">
        <v>42921.099386574075</v>
      </c>
      <c r="B251" t="s">
        <v>396</v>
      </c>
      <c r="C251" t="s">
        <v>863</v>
      </c>
      <c r="D251" s="138">
        <v>2450000</v>
      </c>
      <c r="E251" t="s">
        <v>567</v>
      </c>
      <c r="F251" s="20" t="s">
        <v>568</v>
      </c>
      <c r="G251" s="8" t="str">
        <f t="shared" si="3"/>
        <v>NELSON ARIANE</v>
      </c>
    </row>
    <row r="252" spans="1:7" x14ac:dyDescent="0.25">
      <c r="A252" s="8">
        <v>42913.97347222222</v>
      </c>
      <c r="B252" t="s">
        <v>475</v>
      </c>
      <c r="C252" t="s">
        <v>515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448</v>
      </c>
      <c r="C253" t="s">
        <v>516</v>
      </c>
      <c r="D253" s="138">
        <v>3000000</v>
      </c>
      <c r="E253" t="s">
        <v>421</v>
      </c>
      <c r="F253" s="20" t="s">
        <v>422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474</v>
      </c>
      <c r="C254" t="s">
        <v>517</v>
      </c>
      <c r="D254" s="138">
        <v>2090000</v>
      </c>
      <c r="E254" t="s">
        <v>442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472</v>
      </c>
      <c r="C255" t="s">
        <v>518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436</v>
      </c>
      <c r="C256" t="s">
        <v>519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469</v>
      </c>
      <c r="C257" t="s">
        <v>520</v>
      </c>
      <c r="D257" s="138">
        <v>2090000</v>
      </c>
      <c r="E257" t="s">
        <v>442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469</v>
      </c>
      <c r="C258" t="s">
        <v>520</v>
      </c>
      <c r="D258" s="138">
        <v>2090000</v>
      </c>
      <c r="E258" t="s">
        <v>442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488</v>
      </c>
      <c r="C259" t="s">
        <v>511</v>
      </c>
      <c r="D259" s="138">
        <v>3000000</v>
      </c>
      <c r="E259" t="s">
        <v>421</v>
      </c>
      <c r="F259" s="20" t="s">
        <v>422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437</v>
      </c>
      <c r="C260" t="s">
        <v>521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475</v>
      </c>
      <c r="C261" t="s">
        <v>522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448</v>
      </c>
      <c r="C262" t="s">
        <v>523</v>
      </c>
      <c r="D262" s="138">
        <v>3000000</v>
      </c>
      <c r="E262" t="s">
        <v>421</v>
      </c>
      <c r="F262" s="20" t="s">
        <v>422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472</v>
      </c>
      <c r="C263" t="s">
        <v>524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472</v>
      </c>
      <c r="C264" t="s">
        <v>524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472</v>
      </c>
      <c r="C265" t="s">
        <v>524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489</v>
      </c>
      <c r="C266" t="s">
        <v>525</v>
      </c>
      <c r="D266" s="138">
        <v>940000</v>
      </c>
      <c r="E266" t="s">
        <v>501</v>
      </c>
      <c r="F266" s="20" t="s">
        <v>502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438</v>
      </c>
      <c r="C267" t="s">
        <v>449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418</v>
      </c>
      <c r="D268" s="138">
        <v>2680000</v>
      </c>
      <c r="E268" t="s">
        <v>411</v>
      </c>
      <c r="F268" s="20" t="s">
        <v>412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424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420</v>
      </c>
      <c r="C270" t="s">
        <v>425</v>
      </c>
      <c r="D270" s="138">
        <v>2610000</v>
      </c>
      <c r="E270" t="s">
        <v>413</v>
      </c>
      <c r="F270" s="20" t="s">
        <v>414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426</v>
      </c>
      <c r="D271" s="138">
        <v>2140000</v>
      </c>
      <c r="E271" t="s">
        <v>408</v>
      </c>
      <c r="F271" s="20" t="s">
        <v>409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417</v>
      </c>
      <c r="C272" t="s">
        <v>427</v>
      </c>
      <c r="D272" s="138">
        <v>3000000</v>
      </c>
      <c r="E272" t="s">
        <v>421</v>
      </c>
      <c r="F272" s="20" t="s">
        <v>422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423</v>
      </c>
      <c r="D273" s="138">
        <v>2680000</v>
      </c>
      <c r="E273" t="s">
        <v>411</v>
      </c>
      <c r="F273" s="20" t="s">
        <v>412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428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416</v>
      </c>
      <c r="C275" t="s">
        <v>429</v>
      </c>
      <c r="D275" s="138">
        <v>2610000</v>
      </c>
      <c r="E275" t="s">
        <v>413</v>
      </c>
      <c r="F275" s="20" t="s">
        <v>414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419</v>
      </c>
      <c r="C276" t="s">
        <v>430</v>
      </c>
      <c r="D276" s="138">
        <v>3000000</v>
      </c>
      <c r="E276" t="s">
        <v>421</v>
      </c>
      <c r="F276" s="20" t="s">
        <v>422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420</v>
      </c>
      <c r="C277" t="s">
        <v>431</v>
      </c>
      <c r="D277" s="138">
        <v>2610000</v>
      </c>
      <c r="E277" t="s">
        <v>413</v>
      </c>
      <c r="F277" s="20" t="s">
        <v>414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/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452</v>
      </c>
      <c r="O1" s="171" t="s">
        <v>156</v>
      </c>
      <c r="P1" s="171" t="s">
        <v>163</v>
      </c>
      <c r="Q1" s="171" t="s">
        <v>453</v>
      </c>
      <c r="R1" s="171" t="s">
        <v>160</v>
      </c>
      <c r="S1"/>
    </row>
    <row r="2" spans="1:19" x14ac:dyDescent="0.25">
      <c r="A2" s="172">
        <v>73.27</v>
      </c>
      <c r="B2" s="172">
        <v>0.04</v>
      </c>
      <c r="C2" s="172">
        <v>41.07</v>
      </c>
      <c r="D2" s="8">
        <v>42920</v>
      </c>
      <c r="E2" s="172">
        <v>0.31</v>
      </c>
      <c r="F2" s="172" t="s">
        <v>444</v>
      </c>
      <c r="G2" s="172">
        <v>298.11</v>
      </c>
      <c r="H2" s="172">
        <v>0</v>
      </c>
      <c r="I2" s="172">
        <v>0</v>
      </c>
      <c r="J2" s="172">
        <v>1012.09</v>
      </c>
      <c r="K2" s="172" t="s">
        <v>445</v>
      </c>
      <c r="L2" s="172">
        <v>73.27</v>
      </c>
      <c r="M2" s="172">
        <v>1499148000</v>
      </c>
      <c r="N2" s="172">
        <v>0</v>
      </c>
      <c r="O2" s="172">
        <v>10</v>
      </c>
      <c r="P2" s="172">
        <v>207</v>
      </c>
      <c r="Q2" s="172">
        <v>6.51</v>
      </c>
      <c r="R2" s="172">
        <v>3.62</v>
      </c>
      <c r="S2"/>
    </row>
    <row r="3" spans="1:19" x14ac:dyDescent="0.25">
      <c r="A3" s="172">
        <v>72.3</v>
      </c>
      <c r="B3" s="172">
        <v>0.04</v>
      </c>
      <c r="C3" s="172">
        <v>40.53</v>
      </c>
      <c r="D3" s="8">
        <v>42920.041666666664</v>
      </c>
      <c r="E3" s="172">
        <v>0.32</v>
      </c>
      <c r="F3" s="172" t="s">
        <v>444</v>
      </c>
      <c r="G3" s="172">
        <v>297.67</v>
      </c>
      <c r="H3" s="172">
        <v>0</v>
      </c>
      <c r="I3" s="172">
        <v>0</v>
      </c>
      <c r="J3" s="172">
        <v>1012.23</v>
      </c>
      <c r="K3" s="172" t="s">
        <v>445</v>
      </c>
      <c r="L3" s="172">
        <v>72.3</v>
      </c>
      <c r="M3" s="172">
        <v>1499151600</v>
      </c>
      <c r="N3" s="172">
        <v>0</v>
      </c>
      <c r="O3" s="172">
        <v>10</v>
      </c>
      <c r="P3" s="172">
        <v>190</v>
      </c>
      <c r="Q3" s="172">
        <v>6.95</v>
      </c>
      <c r="R3" s="172">
        <v>4.79</v>
      </c>
      <c r="S3"/>
    </row>
    <row r="4" spans="1:19" x14ac:dyDescent="0.25">
      <c r="A4" s="172">
        <v>71.569999999999993</v>
      </c>
      <c r="B4" s="172">
        <v>0.05</v>
      </c>
      <c r="C4" s="172">
        <v>39.35</v>
      </c>
      <c r="D4" s="8">
        <v>42920.083333333336</v>
      </c>
      <c r="E4" s="172">
        <v>0.31</v>
      </c>
      <c r="F4" s="172" t="s">
        <v>444</v>
      </c>
      <c r="G4" s="172">
        <v>297.68</v>
      </c>
      <c r="H4" s="172">
        <v>0</v>
      </c>
      <c r="I4" s="172">
        <v>0</v>
      </c>
      <c r="J4" s="172">
        <v>1012.28</v>
      </c>
      <c r="K4" s="172" t="s">
        <v>445</v>
      </c>
      <c r="L4" s="172">
        <v>71.569999999999993</v>
      </c>
      <c r="M4" s="172">
        <v>1499155200</v>
      </c>
      <c r="N4" s="172">
        <v>0</v>
      </c>
      <c r="O4" s="172">
        <v>10</v>
      </c>
      <c r="P4" s="172">
        <v>218</v>
      </c>
      <c r="Q4" s="172">
        <v>6.07</v>
      </c>
      <c r="R4" s="172">
        <v>5.14</v>
      </c>
      <c r="S4"/>
    </row>
    <row r="5" spans="1:19" x14ac:dyDescent="0.25">
      <c r="A5" s="172">
        <v>71.180000000000007</v>
      </c>
      <c r="B5" s="172">
        <v>7.0000000000000007E-2</v>
      </c>
      <c r="C5" s="172">
        <v>38.700000000000003</v>
      </c>
      <c r="D5" s="8">
        <v>42920.125</v>
      </c>
      <c r="E5" s="172">
        <v>0.31</v>
      </c>
      <c r="F5" s="172" t="s">
        <v>444</v>
      </c>
      <c r="G5" s="172">
        <v>298.56</v>
      </c>
      <c r="H5" s="172">
        <v>0</v>
      </c>
      <c r="I5" s="172">
        <v>0</v>
      </c>
      <c r="J5" s="172">
        <v>1012.54</v>
      </c>
      <c r="K5" s="172" t="s">
        <v>445</v>
      </c>
      <c r="L5" s="172">
        <v>71.180000000000007</v>
      </c>
      <c r="M5" s="172">
        <v>1499158800</v>
      </c>
      <c r="N5" s="172">
        <v>0</v>
      </c>
      <c r="O5" s="172">
        <v>10</v>
      </c>
      <c r="P5" s="172">
        <v>219</v>
      </c>
      <c r="Q5" s="172">
        <v>6.49</v>
      </c>
      <c r="R5" s="172">
        <v>5.71</v>
      </c>
      <c r="S5"/>
    </row>
    <row r="6" spans="1:19" x14ac:dyDescent="0.25">
      <c r="A6" s="172">
        <v>70.150000000000006</v>
      </c>
      <c r="B6" s="172">
        <v>0.08</v>
      </c>
      <c r="C6" s="172">
        <v>38.56</v>
      </c>
      <c r="D6" s="8">
        <v>42920.166666666664</v>
      </c>
      <c r="E6" s="172">
        <v>0.32</v>
      </c>
      <c r="F6" s="172" t="s">
        <v>444</v>
      </c>
      <c r="G6" s="172">
        <v>300.98</v>
      </c>
      <c r="H6" s="172">
        <v>0</v>
      </c>
      <c r="I6" s="172">
        <v>0</v>
      </c>
      <c r="J6" s="172">
        <v>1012.68</v>
      </c>
      <c r="K6" s="172" t="s">
        <v>445</v>
      </c>
      <c r="L6" s="172">
        <v>70.150000000000006</v>
      </c>
      <c r="M6" s="172">
        <v>1499162400</v>
      </c>
      <c r="N6" s="172">
        <v>0</v>
      </c>
      <c r="O6" s="172">
        <v>10</v>
      </c>
      <c r="P6" s="172">
        <v>232</v>
      </c>
      <c r="Q6" s="172">
        <v>6.32</v>
      </c>
      <c r="R6" s="172">
        <v>5.94</v>
      </c>
      <c r="S6"/>
    </row>
    <row r="7" spans="1:19" x14ac:dyDescent="0.25">
      <c r="A7" s="172">
        <v>69.209999999999994</v>
      </c>
      <c r="B7" s="172">
        <v>0</v>
      </c>
      <c r="C7" s="172">
        <v>38.840000000000003</v>
      </c>
      <c r="D7" s="8">
        <v>42920.208333333336</v>
      </c>
      <c r="E7" s="172">
        <v>0.33</v>
      </c>
      <c r="F7" s="172" t="s">
        <v>444</v>
      </c>
      <c r="G7" s="172">
        <v>304.25</v>
      </c>
      <c r="H7" s="172">
        <v>0</v>
      </c>
      <c r="I7" s="172">
        <v>0</v>
      </c>
      <c r="J7" s="172">
        <v>1012.85</v>
      </c>
      <c r="K7" s="172" t="s">
        <v>445</v>
      </c>
      <c r="L7" s="172">
        <v>69.209999999999994</v>
      </c>
      <c r="M7" s="172">
        <v>1499166000</v>
      </c>
      <c r="N7" s="172">
        <v>0</v>
      </c>
      <c r="O7" s="172">
        <v>10</v>
      </c>
      <c r="P7" s="172">
        <v>240</v>
      </c>
      <c r="Q7" s="172">
        <v>6.4</v>
      </c>
      <c r="R7" s="172">
        <v>6.06</v>
      </c>
      <c r="S7"/>
    </row>
    <row r="8" spans="1:19" x14ac:dyDescent="0.25">
      <c r="A8" s="172">
        <v>67.08</v>
      </c>
      <c r="B8" s="172">
        <v>0</v>
      </c>
      <c r="C8" s="172">
        <v>39.36</v>
      </c>
      <c r="D8" s="8">
        <v>42920.25</v>
      </c>
      <c r="E8" s="172">
        <v>0.36</v>
      </c>
      <c r="F8" s="172" t="s">
        <v>446</v>
      </c>
      <c r="G8" s="172">
        <v>307.89999999999998</v>
      </c>
      <c r="H8" s="172">
        <v>0</v>
      </c>
      <c r="I8" s="172">
        <v>0</v>
      </c>
      <c r="J8" s="172">
        <v>1013.12</v>
      </c>
      <c r="K8" s="172" t="s">
        <v>445</v>
      </c>
      <c r="L8" s="172">
        <v>67.08</v>
      </c>
      <c r="M8" s="172">
        <v>1499169600</v>
      </c>
      <c r="N8" s="172">
        <v>0</v>
      </c>
      <c r="O8" s="172">
        <v>10</v>
      </c>
      <c r="P8" s="172">
        <v>220</v>
      </c>
      <c r="Q8" s="172">
        <v>6.44</v>
      </c>
      <c r="R8" s="172">
        <v>5.61</v>
      </c>
      <c r="S8"/>
    </row>
    <row r="9" spans="1:19" x14ac:dyDescent="0.25">
      <c r="A9" s="172">
        <v>70.64</v>
      </c>
      <c r="B9" s="172">
        <v>0</v>
      </c>
      <c r="C9" s="172">
        <v>40.1</v>
      </c>
      <c r="D9" s="8">
        <v>42920.291666666664</v>
      </c>
      <c r="E9" s="172">
        <v>0.33</v>
      </c>
      <c r="F9" s="172" t="s">
        <v>446</v>
      </c>
      <c r="G9" s="172">
        <v>308.75</v>
      </c>
      <c r="H9" s="172">
        <v>0</v>
      </c>
      <c r="I9" s="172">
        <v>0</v>
      </c>
      <c r="J9" s="172">
        <v>1013.06</v>
      </c>
      <c r="K9" s="172" t="s">
        <v>445</v>
      </c>
      <c r="L9" s="172">
        <v>70.64</v>
      </c>
      <c r="M9" s="172">
        <v>1499173200</v>
      </c>
      <c r="N9" s="172">
        <v>1</v>
      </c>
      <c r="O9" s="172">
        <v>10</v>
      </c>
      <c r="P9" s="172">
        <v>168</v>
      </c>
      <c r="Q9" s="172">
        <v>6.03</v>
      </c>
      <c r="R9" s="172">
        <v>4.79</v>
      </c>
      <c r="S9"/>
    </row>
    <row r="10" spans="1:19" x14ac:dyDescent="0.25">
      <c r="A10" s="172">
        <v>77.260000000000005</v>
      </c>
      <c r="B10" s="172">
        <v>0</v>
      </c>
      <c r="C10" s="172">
        <v>40.5</v>
      </c>
      <c r="D10" s="8">
        <v>42920.333333333336</v>
      </c>
      <c r="E10" s="172">
        <v>0.27</v>
      </c>
      <c r="F10" s="172" t="s">
        <v>446</v>
      </c>
      <c r="G10" s="172">
        <v>308.64999999999998</v>
      </c>
      <c r="H10" s="172">
        <v>0</v>
      </c>
      <c r="I10" s="172">
        <v>0</v>
      </c>
      <c r="J10" s="172">
        <v>1012.88</v>
      </c>
      <c r="K10" s="172" t="s">
        <v>445</v>
      </c>
      <c r="L10" s="172">
        <v>77.260000000000005</v>
      </c>
      <c r="M10" s="172">
        <v>1499176800</v>
      </c>
      <c r="N10" s="172">
        <v>1</v>
      </c>
      <c r="O10" s="172">
        <v>10</v>
      </c>
      <c r="P10" s="172">
        <v>51</v>
      </c>
      <c r="Q10" s="172">
        <v>4.3</v>
      </c>
      <c r="R10" s="172">
        <v>3.51</v>
      </c>
      <c r="S10"/>
    </row>
    <row r="11" spans="1:19" x14ac:dyDescent="0.25">
      <c r="A11" s="172">
        <v>82.92</v>
      </c>
      <c r="B11" s="172">
        <v>0</v>
      </c>
      <c r="C11" s="172">
        <v>40.54</v>
      </c>
      <c r="D11" s="8">
        <v>42920.375</v>
      </c>
      <c r="E11" s="172">
        <v>0.22</v>
      </c>
      <c r="F11" s="172" t="s">
        <v>446</v>
      </c>
      <c r="G11" s="172">
        <v>307.89</v>
      </c>
      <c r="H11" s="172">
        <v>0</v>
      </c>
      <c r="I11" s="172">
        <v>0</v>
      </c>
      <c r="J11" s="172">
        <v>1012.6</v>
      </c>
      <c r="K11" s="172" t="s">
        <v>445</v>
      </c>
      <c r="L11" s="172">
        <v>82.92</v>
      </c>
      <c r="M11" s="172">
        <v>1499180400</v>
      </c>
      <c r="N11" s="172">
        <v>3</v>
      </c>
      <c r="O11" s="172">
        <v>10</v>
      </c>
      <c r="P11" s="172">
        <v>331</v>
      </c>
      <c r="Q11" s="172">
        <v>8.1199999999999992</v>
      </c>
      <c r="R11" s="172">
        <v>4.18</v>
      </c>
      <c r="S11"/>
    </row>
    <row r="12" spans="1:19" x14ac:dyDescent="0.25">
      <c r="A12" s="172">
        <v>86.28</v>
      </c>
      <c r="B12" s="172">
        <v>0</v>
      </c>
      <c r="C12" s="172">
        <v>38.89</v>
      </c>
      <c r="D12" s="8">
        <v>42920.416666666664</v>
      </c>
      <c r="E12" s="172">
        <v>0.19</v>
      </c>
      <c r="F12" s="172" t="s">
        <v>446</v>
      </c>
      <c r="G12" s="172">
        <v>305.97000000000003</v>
      </c>
      <c r="H12" s="172">
        <v>0</v>
      </c>
      <c r="I12" s="172">
        <v>0</v>
      </c>
      <c r="J12" s="172">
        <v>1012.18</v>
      </c>
      <c r="K12" s="172" t="s">
        <v>445</v>
      </c>
      <c r="L12" s="172">
        <v>86.28</v>
      </c>
      <c r="M12" s="172">
        <v>1499184000</v>
      </c>
      <c r="N12" s="172">
        <v>5</v>
      </c>
      <c r="O12" s="172">
        <v>10</v>
      </c>
      <c r="P12" s="172">
        <v>330</v>
      </c>
      <c r="Q12" s="172">
        <v>9.57</v>
      </c>
      <c r="R12" s="172">
        <v>4.87</v>
      </c>
      <c r="S12"/>
    </row>
    <row r="13" spans="1:19" x14ac:dyDescent="0.25">
      <c r="A13" s="172">
        <v>89.33</v>
      </c>
      <c r="B13" s="172">
        <v>0</v>
      </c>
      <c r="C13" s="172">
        <v>36.67</v>
      </c>
      <c r="D13" s="8">
        <v>42920.458333333336</v>
      </c>
      <c r="E13" s="172">
        <v>0.16</v>
      </c>
      <c r="F13" s="172" t="s">
        <v>446</v>
      </c>
      <c r="G13" s="172">
        <v>303.38</v>
      </c>
      <c r="H13" s="172">
        <v>0</v>
      </c>
      <c r="I13" s="172">
        <v>0</v>
      </c>
      <c r="J13" s="172">
        <v>1011.66</v>
      </c>
      <c r="K13" s="172" t="s">
        <v>445</v>
      </c>
      <c r="L13" s="172">
        <v>89.33</v>
      </c>
      <c r="M13" s="172">
        <v>1499187600</v>
      </c>
      <c r="N13" s="172">
        <v>8</v>
      </c>
      <c r="O13" s="172">
        <v>10</v>
      </c>
      <c r="P13" s="172">
        <v>3</v>
      </c>
      <c r="Q13" s="172">
        <v>11.93</v>
      </c>
      <c r="R13" s="172">
        <v>6.21</v>
      </c>
      <c r="S13"/>
    </row>
    <row r="14" spans="1:19" x14ac:dyDescent="0.25">
      <c r="A14" s="172">
        <v>93.24</v>
      </c>
      <c r="B14" s="172">
        <v>0.02</v>
      </c>
      <c r="C14" s="172">
        <v>35.1</v>
      </c>
      <c r="D14" s="8">
        <v>42920.5</v>
      </c>
      <c r="E14" s="172">
        <v>0.13</v>
      </c>
      <c r="F14" s="172" t="s">
        <v>446</v>
      </c>
      <c r="G14" s="172">
        <v>298.56</v>
      </c>
      <c r="H14" s="172">
        <v>0</v>
      </c>
      <c r="I14" s="172">
        <v>0</v>
      </c>
      <c r="J14" s="172">
        <v>1011.33</v>
      </c>
      <c r="K14" s="172" t="s">
        <v>445</v>
      </c>
      <c r="L14" s="172">
        <v>93.24</v>
      </c>
      <c r="M14" s="172">
        <v>1499191200</v>
      </c>
      <c r="N14" s="172">
        <v>11</v>
      </c>
      <c r="O14" s="172">
        <v>10</v>
      </c>
      <c r="P14" s="172">
        <v>20</v>
      </c>
      <c r="Q14" s="172">
        <v>13.57</v>
      </c>
      <c r="R14" s="172">
        <v>7.76</v>
      </c>
      <c r="S14"/>
    </row>
    <row r="15" spans="1:19" x14ac:dyDescent="0.25">
      <c r="A15" s="172">
        <v>94.35</v>
      </c>
      <c r="B15" s="172">
        <v>0.06</v>
      </c>
      <c r="C15" s="172">
        <v>34.409999999999997</v>
      </c>
      <c r="D15" s="8">
        <v>42920.541666666664</v>
      </c>
      <c r="E15" s="172">
        <v>0.12</v>
      </c>
      <c r="F15" s="172" t="s">
        <v>446</v>
      </c>
      <c r="G15" s="172">
        <v>297.57</v>
      </c>
      <c r="H15" s="172">
        <v>0</v>
      </c>
      <c r="I15" s="172">
        <v>0</v>
      </c>
      <c r="J15" s="172">
        <v>1011.26</v>
      </c>
      <c r="K15" s="172" t="s">
        <v>445</v>
      </c>
      <c r="L15" s="172">
        <v>94.35</v>
      </c>
      <c r="M15" s="172">
        <v>1499194800</v>
      </c>
      <c r="N15" s="172">
        <v>13</v>
      </c>
      <c r="O15" s="172">
        <v>10</v>
      </c>
      <c r="P15" s="172">
        <v>16</v>
      </c>
      <c r="Q15" s="172">
        <v>14.59</v>
      </c>
      <c r="R15" s="172">
        <v>9.1199999999999992</v>
      </c>
      <c r="S15"/>
    </row>
    <row r="16" spans="1:19" x14ac:dyDescent="0.25">
      <c r="A16" s="172">
        <v>93.7</v>
      </c>
      <c r="B16" s="172">
        <v>0.16</v>
      </c>
      <c r="C16" s="172">
        <v>34.950000000000003</v>
      </c>
      <c r="D16" s="8">
        <v>42920.583333333336</v>
      </c>
      <c r="E16" s="172">
        <v>0.13</v>
      </c>
      <c r="F16" s="172" t="s">
        <v>446</v>
      </c>
      <c r="G16" s="172">
        <v>297.45999999999998</v>
      </c>
      <c r="H16" s="172">
        <v>0</v>
      </c>
      <c r="I16" s="172">
        <v>0</v>
      </c>
      <c r="J16" s="172">
        <v>1011.41</v>
      </c>
      <c r="K16" s="172" t="s">
        <v>445</v>
      </c>
      <c r="L16" s="172">
        <v>93.7</v>
      </c>
      <c r="M16" s="172">
        <v>1499198400</v>
      </c>
      <c r="N16" s="172">
        <v>11</v>
      </c>
      <c r="O16" s="172">
        <v>10</v>
      </c>
      <c r="P16" s="172">
        <v>5</v>
      </c>
      <c r="Q16" s="172">
        <v>15.96</v>
      </c>
      <c r="R16" s="172">
        <v>10.26</v>
      </c>
      <c r="S16"/>
    </row>
    <row r="17" spans="1:19" x14ac:dyDescent="0.25">
      <c r="A17" s="172">
        <v>91.7</v>
      </c>
      <c r="B17" s="172">
        <v>0.16</v>
      </c>
      <c r="C17" s="172">
        <v>35.369999999999997</v>
      </c>
      <c r="D17" s="8">
        <v>42920.625</v>
      </c>
      <c r="E17" s="172">
        <v>0.14000000000000001</v>
      </c>
      <c r="F17" s="172" t="s">
        <v>446</v>
      </c>
      <c r="G17" s="172">
        <v>297.58</v>
      </c>
      <c r="H17" s="172">
        <v>0</v>
      </c>
      <c r="I17" s="172">
        <v>0</v>
      </c>
      <c r="J17" s="172">
        <v>1011.57</v>
      </c>
      <c r="K17" s="172" t="s">
        <v>445</v>
      </c>
      <c r="L17" s="172">
        <v>91.7</v>
      </c>
      <c r="M17" s="172">
        <v>1499202000</v>
      </c>
      <c r="N17" s="172">
        <v>8</v>
      </c>
      <c r="O17" s="172">
        <v>10</v>
      </c>
      <c r="P17" s="172">
        <v>336</v>
      </c>
      <c r="Q17" s="172">
        <v>16.71</v>
      </c>
      <c r="R17" s="172">
        <v>11.97</v>
      </c>
      <c r="S17"/>
    </row>
    <row r="18" spans="1:19" x14ac:dyDescent="0.25">
      <c r="A18" s="172">
        <v>91.78</v>
      </c>
      <c r="B18" s="172">
        <v>0.28000000000000003</v>
      </c>
      <c r="C18" s="172">
        <v>35.51</v>
      </c>
      <c r="D18" s="8">
        <v>42920.666666666664</v>
      </c>
      <c r="E18" s="172">
        <v>0.14000000000000001</v>
      </c>
      <c r="F18" s="172" t="s">
        <v>464</v>
      </c>
      <c r="G18" s="172">
        <v>297.8</v>
      </c>
      <c r="H18" s="172">
        <v>0</v>
      </c>
      <c r="I18" s="172">
        <v>0</v>
      </c>
      <c r="J18" s="172">
        <v>1011.23</v>
      </c>
      <c r="K18" s="172" t="s">
        <v>465</v>
      </c>
      <c r="L18" s="172">
        <v>91.78</v>
      </c>
      <c r="M18" s="172">
        <v>1499205600</v>
      </c>
      <c r="N18" s="172">
        <v>5</v>
      </c>
      <c r="O18" s="172">
        <v>10</v>
      </c>
      <c r="P18" s="172">
        <v>333</v>
      </c>
      <c r="Q18" s="172">
        <v>16.149999999999999</v>
      </c>
      <c r="R18" s="172">
        <v>10.45</v>
      </c>
      <c r="S18"/>
    </row>
    <row r="19" spans="1:19" x14ac:dyDescent="0.25">
      <c r="A19" s="172">
        <v>91.38</v>
      </c>
      <c r="B19" s="172">
        <v>0.4</v>
      </c>
      <c r="C19" s="172">
        <v>35.799999999999997</v>
      </c>
      <c r="D19" s="8">
        <v>42920.708333333336</v>
      </c>
      <c r="E19" s="172">
        <v>0.14000000000000001</v>
      </c>
      <c r="F19" s="172" t="s">
        <v>464</v>
      </c>
      <c r="G19" s="172">
        <v>298.25</v>
      </c>
      <c r="H19" s="172">
        <v>0</v>
      </c>
      <c r="I19" s="172">
        <v>0</v>
      </c>
      <c r="J19" s="172">
        <v>1011.07</v>
      </c>
      <c r="K19" s="172" t="s">
        <v>465</v>
      </c>
      <c r="L19" s="172">
        <v>91.38</v>
      </c>
      <c r="M19" s="172">
        <v>1499209200</v>
      </c>
      <c r="N19" s="172">
        <v>2</v>
      </c>
      <c r="O19" s="172">
        <v>10</v>
      </c>
      <c r="P19" s="172">
        <v>359</v>
      </c>
      <c r="Q19" s="172">
        <v>14.46</v>
      </c>
      <c r="R19" s="172">
        <v>9.83</v>
      </c>
      <c r="S19"/>
    </row>
    <row r="20" spans="1:19" x14ac:dyDescent="0.25">
      <c r="A20" s="172">
        <v>90.23</v>
      </c>
      <c r="B20" s="172">
        <v>0.53</v>
      </c>
      <c r="C20" s="172">
        <v>36.24</v>
      </c>
      <c r="D20" s="8">
        <v>42920.75</v>
      </c>
      <c r="E20" s="172">
        <v>0.15</v>
      </c>
      <c r="F20" s="172" t="s">
        <v>464</v>
      </c>
      <c r="G20" s="172">
        <v>296.70999999999998</v>
      </c>
      <c r="H20" s="172">
        <v>0</v>
      </c>
      <c r="I20" s="172">
        <v>0</v>
      </c>
      <c r="J20" s="172">
        <v>1011.26</v>
      </c>
      <c r="K20" s="172" t="s">
        <v>465</v>
      </c>
      <c r="L20" s="172">
        <v>90.23</v>
      </c>
      <c r="M20" s="172">
        <v>1499212800</v>
      </c>
      <c r="N20" s="172">
        <v>1</v>
      </c>
      <c r="O20" s="172">
        <v>10</v>
      </c>
      <c r="P20" s="172">
        <v>7</v>
      </c>
      <c r="Q20" s="172">
        <v>10.11</v>
      </c>
      <c r="R20" s="172">
        <v>6.46</v>
      </c>
      <c r="S20"/>
    </row>
    <row r="21" spans="1:19" x14ac:dyDescent="0.25">
      <c r="A21" s="172">
        <v>87.66</v>
      </c>
      <c r="B21" s="172">
        <v>0.52</v>
      </c>
      <c r="C21" s="172">
        <v>37.47</v>
      </c>
      <c r="D21" s="8">
        <v>42920.791666666664</v>
      </c>
      <c r="E21" s="172">
        <v>0.17</v>
      </c>
      <c r="F21" s="172" t="s">
        <v>464</v>
      </c>
      <c r="G21" s="172">
        <v>297.92</v>
      </c>
      <c r="H21" s="172">
        <v>0</v>
      </c>
      <c r="I21" s="172">
        <v>0</v>
      </c>
      <c r="J21" s="172">
        <v>1011.73</v>
      </c>
      <c r="K21" s="172" t="s">
        <v>465</v>
      </c>
      <c r="L21" s="172">
        <v>87.66</v>
      </c>
      <c r="M21" s="172">
        <v>1499216400</v>
      </c>
      <c r="N21" s="172">
        <v>1</v>
      </c>
      <c r="O21" s="172">
        <v>10</v>
      </c>
      <c r="P21" s="172">
        <v>14</v>
      </c>
      <c r="Q21" s="172">
        <v>7.72</v>
      </c>
      <c r="R21" s="172">
        <v>6.07</v>
      </c>
      <c r="S21"/>
    </row>
    <row r="22" spans="1:19" x14ac:dyDescent="0.25">
      <c r="A22" s="172">
        <v>84.34</v>
      </c>
      <c r="B22" s="172">
        <v>0.38</v>
      </c>
      <c r="C22" s="172">
        <v>39</v>
      </c>
      <c r="D22" s="8">
        <v>42920.833333333336</v>
      </c>
      <c r="E22" s="172">
        <v>0.2</v>
      </c>
      <c r="F22" s="172" t="s">
        <v>464</v>
      </c>
      <c r="G22" s="172">
        <v>299.68</v>
      </c>
      <c r="H22" s="172">
        <v>0</v>
      </c>
      <c r="I22" s="172">
        <v>0</v>
      </c>
      <c r="J22" s="172">
        <v>1012.48</v>
      </c>
      <c r="K22" s="172" t="s">
        <v>465</v>
      </c>
      <c r="L22" s="172">
        <v>84.34</v>
      </c>
      <c r="M22" s="172">
        <v>1499220000</v>
      </c>
      <c r="N22" s="172">
        <v>0</v>
      </c>
      <c r="O22" s="172">
        <v>10</v>
      </c>
      <c r="P22" s="172">
        <v>269</v>
      </c>
      <c r="Q22" s="172">
        <v>6.02</v>
      </c>
      <c r="R22" s="172">
        <v>4.84</v>
      </c>
      <c r="S22"/>
    </row>
    <row r="23" spans="1:19" x14ac:dyDescent="0.25">
      <c r="A23" s="172">
        <v>80.8</v>
      </c>
      <c r="B23" s="172">
        <v>0.23</v>
      </c>
      <c r="C23" s="172">
        <v>40.200000000000003</v>
      </c>
      <c r="D23" s="8">
        <v>42920.875</v>
      </c>
      <c r="E23" s="172">
        <v>0.24</v>
      </c>
      <c r="F23" s="172" t="s">
        <v>444</v>
      </c>
      <c r="G23" s="172">
        <v>300.77</v>
      </c>
      <c r="H23" s="172">
        <v>0</v>
      </c>
      <c r="I23" s="172">
        <v>0</v>
      </c>
      <c r="J23" s="172">
        <v>1013.38</v>
      </c>
      <c r="K23" s="172" t="s">
        <v>445</v>
      </c>
      <c r="L23" s="172">
        <v>80.8</v>
      </c>
      <c r="M23" s="172">
        <v>1499223600</v>
      </c>
      <c r="N23" s="172">
        <v>0</v>
      </c>
      <c r="O23" s="172">
        <v>10</v>
      </c>
      <c r="P23" s="172">
        <v>244</v>
      </c>
      <c r="Q23" s="172">
        <v>4.07</v>
      </c>
      <c r="R23" s="172">
        <v>2.99</v>
      </c>
      <c r="S23"/>
    </row>
    <row r="24" spans="1:19" x14ac:dyDescent="0.25">
      <c r="A24" s="172">
        <v>77.41</v>
      </c>
      <c r="B24" s="172">
        <v>0.18</v>
      </c>
      <c r="C24" s="172">
        <v>41.34</v>
      </c>
      <c r="D24" s="8">
        <v>42920.916666666664</v>
      </c>
      <c r="E24" s="172">
        <v>0.28000000000000003</v>
      </c>
      <c r="F24" s="172" t="s">
        <v>444</v>
      </c>
      <c r="G24" s="172">
        <v>300.64999999999998</v>
      </c>
      <c r="H24" s="172">
        <v>0</v>
      </c>
      <c r="I24" s="172">
        <v>0</v>
      </c>
      <c r="J24" s="172">
        <v>1014.2</v>
      </c>
      <c r="K24" s="172" t="s">
        <v>445</v>
      </c>
      <c r="L24" s="172">
        <v>77.41</v>
      </c>
      <c r="M24" s="172">
        <v>1499227200</v>
      </c>
      <c r="N24" s="172">
        <v>0</v>
      </c>
      <c r="O24" s="172">
        <v>10</v>
      </c>
      <c r="P24" s="172">
        <v>233</v>
      </c>
      <c r="Q24" s="172">
        <v>6.01</v>
      </c>
      <c r="R24" s="172">
        <v>3.53</v>
      </c>
      <c r="S24"/>
    </row>
    <row r="25" spans="1:19" x14ac:dyDescent="0.25">
      <c r="A25" s="172">
        <v>75.27</v>
      </c>
      <c r="B25" s="172">
        <v>0.14000000000000001</v>
      </c>
      <c r="C25" s="172">
        <v>41.8</v>
      </c>
      <c r="D25" s="8">
        <v>42920.958333333336</v>
      </c>
      <c r="E25" s="172">
        <v>0.3</v>
      </c>
      <c r="F25" s="172" t="s">
        <v>444</v>
      </c>
      <c r="G25" s="172">
        <v>299.87</v>
      </c>
      <c r="H25" s="172">
        <v>0</v>
      </c>
      <c r="I25" s="172">
        <v>0</v>
      </c>
      <c r="J25" s="172">
        <v>1014.73</v>
      </c>
      <c r="K25" s="172" t="s">
        <v>445</v>
      </c>
      <c r="L25" s="172">
        <v>75.27</v>
      </c>
      <c r="M25" s="172">
        <v>1499230800</v>
      </c>
      <c r="N25" s="172">
        <v>0</v>
      </c>
      <c r="O25" s="172">
        <v>10</v>
      </c>
      <c r="P25" s="172">
        <v>176</v>
      </c>
      <c r="Q25" s="172">
        <v>5.51</v>
      </c>
      <c r="R25" s="172">
        <v>3.76</v>
      </c>
      <c r="S25"/>
    </row>
    <row r="26" spans="1:19" x14ac:dyDescent="0.25">
      <c r="A26" s="172">
        <v>73.069999999999993</v>
      </c>
      <c r="B26" s="172">
        <v>0.04</v>
      </c>
      <c r="C26" s="172">
        <v>40.83</v>
      </c>
      <c r="D26" s="8">
        <v>42921</v>
      </c>
      <c r="E26" s="172">
        <v>0.31</v>
      </c>
      <c r="F26" s="172" t="s">
        <v>444</v>
      </c>
      <c r="G26" s="172">
        <v>299.08999999999997</v>
      </c>
      <c r="H26" s="172">
        <v>0</v>
      </c>
      <c r="I26" s="172">
        <v>0</v>
      </c>
      <c r="J26" s="172">
        <v>1015.05</v>
      </c>
      <c r="K26" s="172" t="s">
        <v>445</v>
      </c>
      <c r="L26" s="172">
        <v>73.069999999999993</v>
      </c>
      <c r="M26" s="172">
        <v>1499234400</v>
      </c>
      <c r="N26" s="172">
        <v>0</v>
      </c>
      <c r="O26" s="172">
        <v>10</v>
      </c>
      <c r="P26" s="172">
        <v>194</v>
      </c>
      <c r="Q26" s="172">
        <v>5.45</v>
      </c>
      <c r="R26" s="172">
        <v>3.63</v>
      </c>
      <c r="S26"/>
    </row>
    <row r="27" spans="1:19" x14ac:dyDescent="0.25">
      <c r="A27" s="172">
        <v>71.61</v>
      </c>
      <c r="B27" s="172">
        <v>0.02</v>
      </c>
      <c r="C27" s="172">
        <v>40.43</v>
      </c>
      <c r="D27" s="8">
        <v>42921.041666666664</v>
      </c>
      <c r="E27" s="172">
        <v>0.32</v>
      </c>
      <c r="F27" s="172" t="s">
        <v>444</v>
      </c>
      <c r="G27" s="172">
        <v>298.43</v>
      </c>
      <c r="H27" s="172">
        <v>0</v>
      </c>
      <c r="I27" s="172">
        <v>0</v>
      </c>
      <c r="J27" s="172">
        <v>1015.35</v>
      </c>
      <c r="K27" s="172" t="s">
        <v>445</v>
      </c>
      <c r="L27" s="172">
        <v>71.61</v>
      </c>
      <c r="M27" s="172">
        <v>1499238000</v>
      </c>
      <c r="N27" s="172">
        <v>0</v>
      </c>
      <c r="O27" s="172">
        <v>10</v>
      </c>
      <c r="P27" s="172">
        <v>192</v>
      </c>
      <c r="Q27" s="172">
        <v>5.76</v>
      </c>
      <c r="R27" s="172">
        <v>4.17</v>
      </c>
      <c r="S27"/>
    </row>
    <row r="28" spans="1:19" x14ac:dyDescent="0.25">
      <c r="A28" s="172">
        <v>70.25</v>
      </c>
      <c r="B28" s="172">
        <v>0.01</v>
      </c>
      <c r="C28" s="172">
        <v>40.18</v>
      </c>
      <c r="D28" s="8">
        <v>42921.083333333336</v>
      </c>
      <c r="E28" s="172">
        <v>0.34</v>
      </c>
      <c r="F28" s="172" t="s">
        <v>444</v>
      </c>
      <c r="G28" s="172">
        <v>297.99</v>
      </c>
      <c r="H28" s="172">
        <v>0</v>
      </c>
      <c r="I28" s="172">
        <v>0</v>
      </c>
      <c r="J28" s="172">
        <v>1015.55</v>
      </c>
      <c r="K28" s="172" t="s">
        <v>445</v>
      </c>
      <c r="L28" s="172">
        <v>70.25</v>
      </c>
      <c r="M28" s="172">
        <v>1499241600</v>
      </c>
      <c r="N28" s="172">
        <v>0</v>
      </c>
      <c r="O28" s="172">
        <v>10</v>
      </c>
      <c r="P28" s="172">
        <v>197</v>
      </c>
      <c r="Q28" s="172">
        <v>5.92</v>
      </c>
      <c r="R28" s="172">
        <v>4.43</v>
      </c>
      <c r="S28"/>
    </row>
    <row r="29" spans="1:19" x14ac:dyDescent="0.25">
      <c r="A29" s="172">
        <v>70.099999999999994</v>
      </c>
      <c r="B29" s="172">
        <v>0</v>
      </c>
      <c r="C29" s="172">
        <v>39.69</v>
      </c>
      <c r="D29" s="8">
        <v>42921.125</v>
      </c>
      <c r="E29" s="172">
        <v>0.33</v>
      </c>
      <c r="F29" s="172" t="s">
        <v>444</v>
      </c>
      <c r="G29" s="172">
        <v>297.66000000000003</v>
      </c>
      <c r="H29" s="172">
        <v>0</v>
      </c>
      <c r="I29" s="172">
        <v>0</v>
      </c>
      <c r="J29" s="172">
        <v>1015.85</v>
      </c>
      <c r="K29" s="172" t="s">
        <v>445</v>
      </c>
      <c r="L29" s="172">
        <v>70.099999999999994</v>
      </c>
      <c r="M29" s="172">
        <v>1499245200</v>
      </c>
      <c r="N29" s="172">
        <v>0</v>
      </c>
      <c r="O29" s="172">
        <v>10</v>
      </c>
      <c r="P29" s="172">
        <v>207</v>
      </c>
      <c r="Q29" s="172">
        <v>8.5399999999999991</v>
      </c>
      <c r="R29" s="172">
        <v>4.6100000000000003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42920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457</v>
      </c>
      <c r="AE2" s="56" t="s">
        <v>460</v>
      </c>
      <c r="AF2" s="56" t="s">
        <v>461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1003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1004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1008</v>
      </c>
      <c r="J25" s="140" t="s">
        <v>146</v>
      </c>
      <c r="M25" s="154" t="b">
        <v>1</v>
      </c>
    </row>
    <row r="26" spans="3:24" x14ac:dyDescent="0.25">
      <c r="C26" t="s">
        <v>1009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C:\Users\stu\Documents\GitHub\eaglep3-reporting\EC\2017-07-04-refined-times.txt</v>
      </c>
    </row>
    <row r="27" spans="3:24" x14ac:dyDescent="0.25">
      <c r="C27" t="s">
        <v>1010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C:\Users\stu\Documents\GitHub\eaglep3-reporting\EC\2017-07-04-Enforcements.txt</v>
      </c>
    </row>
    <row r="28" spans="3:24" x14ac:dyDescent="0.25">
      <c r="C28" t="s">
        <v>1011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C:\Users\stu\Documents\GitHub\eaglep3-reporting\EC\2017-07-04-Runs-refined.txt</v>
      </c>
    </row>
    <row r="29" spans="3:24" x14ac:dyDescent="0.25">
      <c r="C29" t="s">
        <v>1012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C:\Users\stu\Documents\GitHub\eaglep3-reporting\EC\2017-07-04-Trips.txt</v>
      </c>
    </row>
    <row r="30" spans="3:24" x14ac:dyDescent="0.25">
      <c r="C30" t="s">
        <v>1013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C:\Users\stu\Documents\GitHub\eaglep3-reporting\EC\2017-07-04-Weather.txt</v>
      </c>
    </row>
    <row r="31" spans="3:24" x14ac:dyDescent="0.25">
      <c r="C31" t="s">
        <v>1014</v>
      </c>
      <c r="J31" s="140" t="s">
        <v>196</v>
      </c>
      <c r="M31" s="154" t="s">
        <v>197</v>
      </c>
    </row>
    <row r="32" spans="3:24" x14ac:dyDescent="0.25">
      <c r="C32" t="s">
        <v>1015</v>
      </c>
    </row>
    <row r="33" spans="3:3" x14ac:dyDescent="0.25">
      <c r="C33" t="s">
        <v>1016</v>
      </c>
    </row>
    <row r="34" spans="3:3" x14ac:dyDescent="0.25">
      <c r="C34" t="s">
        <v>1017</v>
      </c>
    </row>
    <row r="35" spans="3:3" x14ac:dyDescent="0.25">
      <c r="C35" t="s">
        <v>1018</v>
      </c>
    </row>
    <row r="36" spans="3:3" x14ac:dyDescent="0.25">
      <c r="C36" t="s">
        <v>1019</v>
      </c>
    </row>
    <row r="37" spans="3:3" x14ac:dyDescent="0.25">
      <c r="C37" t="s">
        <v>1020</v>
      </c>
    </row>
    <row r="38" spans="3:3" x14ac:dyDescent="0.25">
      <c r="C38" t="s">
        <v>1021</v>
      </c>
    </row>
    <row r="39" spans="3:3" x14ac:dyDescent="0.25">
      <c r="C39" t="s">
        <v>1022</v>
      </c>
    </row>
    <row r="40" spans="3:3" x14ac:dyDescent="0.25">
      <c r="C40" t="s">
        <v>1023</v>
      </c>
    </row>
    <row r="41" spans="3:3" x14ac:dyDescent="0.25">
      <c r="C41" t="s">
        <v>1024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2017-07-05T19:47:36Z</dcterms:modified>
</cp:coreProperties>
</file>