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3" i="1" l="1"/>
  <c r="X94" i="1"/>
  <c r="X95" i="1"/>
  <c r="X96" i="1"/>
  <c r="X97" i="1"/>
  <c r="X98" i="1"/>
  <c r="X99" i="1"/>
  <c r="X100" i="1"/>
  <c r="B5" i="6"/>
  <c r="F5" i="6" s="1"/>
  <c r="I5" i="6"/>
  <c r="K5" i="6"/>
  <c r="K42" i="1"/>
  <c r="L42" i="1"/>
  <c r="M42" i="1"/>
  <c r="N42" i="1" s="1"/>
  <c r="V42" i="1"/>
  <c r="AA42" i="1"/>
  <c r="AB42" i="1"/>
  <c r="AC42" i="1"/>
  <c r="AD42" i="1"/>
  <c r="T42" i="1" s="1"/>
  <c r="AE42" i="1"/>
  <c r="AF42" i="1"/>
  <c r="AH42" i="1"/>
  <c r="K28" i="1"/>
  <c r="L28" i="1"/>
  <c r="M28" i="1"/>
  <c r="V28" i="1"/>
  <c r="Y28" i="1"/>
  <c r="Z28" i="1"/>
  <c r="AA28" i="1" s="1"/>
  <c r="AB28" i="1"/>
  <c r="AC28" i="1"/>
  <c r="AD28" i="1"/>
  <c r="T28" i="1" s="1"/>
  <c r="AE28" i="1"/>
  <c r="AF28" i="1"/>
  <c r="AH28" i="1"/>
  <c r="K167" i="1"/>
  <c r="L167" i="1"/>
  <c r="M167" i="1"/>
  <c r="V167" i="1"/>
  <c r="Y167" i="1"/>
  <c r="Z167" i="1"/>
  <c r="AA167" i="1" s="1"/>
  <c r="AB167" i="1"/>
  <c r="AC167" i="1"/>
  <c r="AD167" i="1"/>
  <c r="T167" i="1" s="1"/>
  <c r="AE167" i="1"/>
  <c r="AF167" i="1"/>
  <c r="AH167" i="1"/>
  <c r="H5" i="6" l="1"/>
  <c r="G5" i="6"/>
  <c r="J5" i="6"/>
  <c r="AG42" i="1"/>
  <c r="AG28" i="1"/>
  <c r="AG16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P16" i="1" s="1"/>
  <c r="V16" i="1"/>
  <c r="S34" i="3" s="1"/>
  <c r="Y16" i="1"/>
  <c r="Z16" i="1"/>
  <c r="AB16" i="1"/>
  <c r="AC16" i="1"/>
  <c r="AD16" i="1"/>
  <c r="AE16" i="1"/>
  <c r="R34" i="3" s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S16" i="3" s="1"/>
  <c r="Y20" i="1"/>
  <c r="Z20" i="1"/>
  <c r="AB20" i="1"/>
  <c r="AC20" i="1"/>
  <c r="AD20" i="1"/>
  <c r="AE20" i="1"/>
  <c r="R16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S40" i="3" s="1"/>
  <c r="Y22" i="1"/>
  <c r="Z22" i="1"/>
  <c r="AB22" i="1"/>
  <c r="AC22" i="1"/>
  <c r="AD22" i="1"/>
  <c r="T22" i="1" s="1"/>
  <c r="AE22" i="1"/>
  <c r="R40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41" i="3" s="1"/>
  <c r="Y24" i="1"/>
  <c r="Z24" i="1"/>
  <c r="AB24" i="1"/>
  <c r="AC24" i="1"/>
  <c r="AD24" i="1"/>
  <c r="AE24" i="1"/>
  <c r="R41" i="3" s="1"/>
  <c r="AF24" i="1"/>
  <c r="AH24" i="1"/>
  <c r="K25" i="1"/>
  <c r="L25" i="1"/>
  <c r="M25" i="1"/>
  <c r="N25" i="1" s="1"/>
  <c r="V25" i="1"/>
  <c r="S54" i="3" s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S42" i="3" s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S8" i="3" s="1"/>
  <c r="Y27" i="1"/>
  <c r="Z27" i="1"/>
  <c r="AB27" i="1"/>
  <c r="AC27" i="1"/>
  <c r="AD27" i="1"/>
  <c r="AG27" i="1" s="1"/>
  <c r="AE27" i="1"/>
  <c r="R8" i="3" s="1"/>
  <c r="AF27" i="1"/>
  <c r="AH27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K31" i="1"/>
  <c r="L31" i="1"/>
  <c r="M31" i="1"/>
  <c r="P31" i="1" s="1"/>
  <c r="V31" i="1"/>
  <c r="AB31" i="1"/>
  <c r="AC31" i="1"/>
  <c r="AD31" i="1"/>
  <c r="AE31" i="1"/>
  <c r="AF31" i="1"/>
  <c r="AH31" i="1"/>
  <c r="K32" i="1"/>
  <c r="L32" i="1"/>
  <c r="M32" i="1"/>
  <c r="P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 s="1"/>
  <c r="V34" i="1"/>
  <c r="S43" i="3" s="1"/>
  <c r="Y34" i="1"/>
  <c r="Z34" i="1"/>
  <c r="AB34" i="1"/>
  <c r="AC34" i="1"/>
  <c r="AD34" i="1"/>
  <c r="AE34" i="1"/>
  <c r="AF34" i="1"/>
  <c r="AH34" i="1"/>
  <c r="K35" i="1"/>
  <c r="L35" i="1"/>
  <c r="M35" i="1"/>
  <c r="V35" i="1"/>
  <c r="Y35" i="1"/>
  <c r="Z35" i="1"/>
  <c r="AB35" i="1"/>
  <c r="AC35" i="1"/>
  <c r="AD35" i="1"/>
  <c r="AE35" i="1"/>
  <c r="R28" i="3" s="1"/>
  <c r="AF35" i="1"/>
  <c r="AH35" i="1"/>
  <c r="K36" i="1"/>
  <c r="L36" i="1"/>
  <c r="M36" i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14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S25" i="3" s="1"/>
  <c r="Y40" i="1"/>
  <c r="Z40" i="1"/>
  <c r="AB40" i="1"/>
  <c r="AC40" i="1"/>
  <c r="AD40" i="1"/>
  <c r="AE40" i="1"/>
  <c r="R25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X42" i="1" s="1"/>
  <c r="AE41" i="1"/>
  <c r="AF41" i="1"/>
  <c r="AH41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R22" i="3" s="1"/>
  <c r="AF45" i="1"/>
  <c r="AH45" i="1"/>
  <c r="K46" i="1"/>
  <c r="L46" i="1"/>
  <c r="M46" i="1"/>
  <c r="N46" i="1" s="1"/>
  <c r="V46" i="1"/>
  <c r="S55" i="3" s="1"/>
  <c r="Y46" i="1"/>
  <c r="Z46" i="1"/>
  <c r="AB46" i="1"/>
  <c r="AC46" i="1"/>
  <c r="AD46" i="1"/>
  <c r="AG46" i="1" s="1"/>
  <c r="AE46" i="1"/>
  <c r="R55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K50" i="1"/>
  <c r="L50" i="1"/>
  <c r="M50" i="1"/>
  <c r="N50" i="1" s="1"/>
  <c r="V50" i="1"/>
  <c r="S17" i="3" s="1"/>
  <c r="Y50" i="1"/>
  <c r="Z50" i="1"/>
  <c r="AB50" i="1"/>
  <c r="AC50" i="1"/>
  <c r="AD50" i="1"/>
  <c r="AE50" i="1"/>
  <c r="R17" i="3" s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K54" i="1"/>
  <c r="L54" i="1"/>
  <c r="M54" i="1"/>
  <c r="N54" i="1" s="1"/>
  <c r="V54" i="1"/>
  <c r="S56" i="3" s="1"/>
  <c r="Y54" i="1"/>
  <c r="Z54" i="1"/>
  <c r="AB54" i="1"/>
  <c r="AC54" i="1"/>
  <c r="AD54" i="1"/>
  <c r="X54" i="1" s="1"/>
  <c r="AE54" i="1"/>
  <c r="R56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S44" i="3" s="1"/>
  <c r="Y59" i="1"/>
  <c r="Z59" i="1"/>
  <c r="AB59" i="1"/>
  <c r="AC59" i="1"/>
  <c r="AD59" i="1"/>
  <c r="AE59" i="1"/>
  <c r="R44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S19" i="3" s="1"/>
  <c r="Y67" i="1"/>
  <c r="Z67" i="1"/>
  <c r="AB67" i="1"/>
  <c r="AC67" i="1"/>
  <c r="AD67" i="1"/>
  <c r="T67" i="1" s="1"/>
  <c r="AE67" i="1"/>
  <c r="R19" i="3" s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S30" i="3" s="1"/>
  <c r="Y70" i="1"/>
  <c r="Z70" i="1"/>
  <c r="AB70" i="1"/>
  <c r="AC70" i="1"/>
  <c r="AD70" i="1"/>
  <c r="AE70" i="1"/>
  <c r="R30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45" i="3" s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S10" i="3" s="1"/>
  <c r="Y73" i="1"/>
  <c r="Z73" i="1"/>
  <c r="AB73" i="1"/>
  <c r="AC73" i="1"/>
  <c r="AD73" i="1"/>
  <c r="AE73" i="1"/>
  <c r="R10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S51" i="3" s="1"/>
  <c r="Y75" i="1"/>
  <c r="Z75" i="1"/>
  <c r="AB75" i="1"/>
  <c r="AC75" i="1"/>
  <c r="AD75" i="1"/>
  <c r="T75" i="1" s="1"/>
  <c r="AE75" i="1"/>
  <c r="R51" i="3" s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V77" i="1"/>
  <c r="Y77" i="1"/>
  <c r="Z77" i="1"/>
  <c r="AB77" i="1"/>
  <c r="AC77" i="1"/>
  <c r="AD77" i="1"/>
  <c r="AE77" i="1"/>
  <c r="AF77" i="1"/>
  <c r="AH77" i="1"/>
  <c r="K78" i="1"/>
  <c r="L78" i="1"/>
  <c r="M78" i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S52" i="3" s="1"/>
  <c r="Y82" i="1"/>
  <c r="Z82" i="1"/>
  <c r="AB82" i="1"/>
  <c r="AC82" i="1"/>
  <c r="AD82" i="1"/>
  <c r="AE82" i="1"/>
  <c r="R52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S26" i="3" s="1"/>
  <c r="Y84" i="1"/>
  <c r="Z84" i="1"/>
  <c r="AB84" i="1"/>
  <c r="AC84" i="1"/>
  <c r="AD84" i="1"/>
  <c r="AE84" i="1"/>
  <c r="R26" i="3" s="1"/>
  <c r="AF84" i="1"/>
  <c r="AH84" i="1"/>
  <c r="K85" i="1"/>
  <c r="L85" i="1"/>
  <c r="M85" i="1"/>
  <c r="N85" i="1" s="1"/>
  <c r="V85" i="1"/>
  <c r="S15" i="3" s="1"/>
  <c r="Y85" i="1"/>
  <c r="Z85" i="1"/>
  <c r="AB85" i="1"/>
  <c r="AC85" i="1"/>
  <c r="AD85" i="1"/>
  <c r="AG85" i="1" s="1"/>
  <c r="AE85" i="1"/>
  <c r="R15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S39" i="3" s="1"/>
  <c r="Y88" i="1"/>
  <c r="Z88" i="1"/>
  <c r="AB88" i="1"/>
  <c r="AC88" i="1"/>
  <c r="AD88" i="1"/>
  <c r="T88" i="1" s="1"/>
  <c r="AE88" i="1"/>
  <c r="R39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93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9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9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96" i="1"/>
  <c r="K172" i="1"/>
  <c r="L172" i="1"/>
  <c r="M172" i="1"/>
  <c r="N172" i="1" s="1"/>
  <c r="V172" i="1"/>
  <c r="S59" i="3" s="1"/>
  <c r="Y172" i="1"/>
  <c r="Z172" i="1"/>
  <c r="AB172" i="1"/>
  <c r="AC172" i="1"/>
  <c r="AD172" i="1"/>
  <c r="AG172" i="1" s="1"/>
  <c r="AE172" i="1"/>
  <c r="R59" i="3" s="1"/>
  <c r="AF172" i="1"/>
  <c r="AH9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98" i="1"/>
  <c r="K174" i="1"/>
  <c r="L174" i="1"/>
  <c r="M174" i="1"/>
  <c r="N174" i="1" s="1"/>
  <c r="V174" i="1"/>
  <c r="S60" i="3" s="1"/>
  <c r="Y174" i="1"/>
  <c r="Z174" i="1"/>
  <c r="AB174" i="1"/>
  <c r="AC174" i="1"/>
  <c r="AD174" i="1"/>
  <c r="T174" i="1" s="1"/>
  <c r="AE174" i="1"/>
  <c r="R60" i="3" s="1"/>
  <c r="AF174" i="1"/>
  <c r="AH99" i="1"/>
  <c r="K175" i="1"/>
  <c r="L175" i="1"/>
  <c r="M175" i="1"/>
  <c r="N175" i="1" s="1"/>
  <c r="V175" i="1"/>
  <c r="S62" i="3" s="1"/>
  <c r="Y175" i="1"/>
  <c r="Z175" i="1"/>
  <c r="AB175" i="1"/>
  <c r="AC175" i="1"/>
  <c r="AD175" i="1"/>
  <c r="T175" i="1" s="1"/>
  <c r="AE175" i="1"/>
  <c r="AF175" i="1"/>
  <c r="AH10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01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0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04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05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0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07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0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09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110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11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12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1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1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1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1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1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1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20" i="1"/>
  <c r="K195" i="1"/>
  <c r="L195" i="1"/>
  <c r="M195" i="1"/>
  <c r="N195" i="1" s="1"/>
  <c r="V195" i="1"/>
  <c r="S61" i="3" s="1"/>
  <c r="Y195" i="1"/>
  <c r="Z195" i="1"/>
  <c r="AB195" i="1"/>
  <c r="AC195" i="1"/>
  <c r="AD195" i="1"/>
  <c r="AG195" i="1" s="1"/>
  <c r="AE195" i="1"/>
  <c r="R61" i="3" s="1"/>
  <c r="AF195" i="1"/>
  <c r="AH121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2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23" i="1"/>
  <c r="K95" i="1"/>
  <c r="L95" i="1"/>
  <c r="M95" i="1"/>
  <c r="V95" i="1"/>
  <c r="Y95" i="1"/>
  <c r="Z95" i="1"/>
  <c r="AB95" i="1"/>
  <c r="AC95" i="1"/>
  <c r="AD95" i="1"/>
  <c r="AE95" i="1"/>
  <c r="AF95" i="1"/>
  <c r="AH124" i="1"/>
  <c r="K96" i="1"/>
  <c r="L96" i="1"/>
  <c r="M96" i="1"/>
  <c r="V96" i="1"/>
  <c r="Y96" i="1"/>
  <c r="Z96" i="1"/>
  <c r="AB96" i="1"/>
  <c r="AC96" i="1"/>
  <c r="AD96" i="1"/>
  <c r="AE96" i="1"/>
  <c r="AF96" i="1"/>
  <c r="AH125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2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27" i="1"/>
  <c r="K200" i="1"/>
  <c r="L200" i="1"/>
  <c r="M200" i="1"/>
  <c r="N200" i="1" s="1"/>
  <c r="V200" i="1"/>
  <c r="S63" i="3" s="1"/>
  <c r="Y200" i="1"/>
  <c r="Z200" i="1"/>
  <c r="AB200" i="1"/>
  <c r="AC200" i="1"/>
  <c r="AD200" i="1"/>
  <c r="AG200" i="1" s="1"/>
  <c r="AE200" i="1"/>
  <c r="R63" i="3" s="1"/>
  <c r="AF200" i="1"/>
  <c r="AH128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1" i="1"/>
  <c r="K99" i="1"/>
  <c r="L99" i="1"/>
  <c r="M99" i="1"/>
  <c r="V99" i="1"/>
  <c r="Y99" i="1"/>
  <c r="Z99" i="1"/>
  <c r="AB99" i="1"/>
  <c r="AC99" i="1"/>
  <c r="AD99" i="1"/>
  <c r="AE99" i="1"/>
  <c r="R58" i="3" s="1"/>
  <c r="AF99" i="1"/>
  <c r="AH132" i="1"/>
  <c r="K100" i="1"/>
  <c r="L100" i="1"/>
  <c r="M100" i="1"/>
  <c r="V100" i="1"/>
  <c r="Y100" i="1"/>
  <c r="Z100" i="1"/>
  <c r="AB100" i="1"/>
  <c r="AC100" i="1"/>
  <c r="AD100" i="1"/>
  <c r="AE100" i="1"/>
  <c r="AF100" i="1"/>
  <c r="AH133" i="1"/>
  <c r="AH134" i="1"/>
  <c r="K101" i="1"/>
  <c r="L101" i="1"/>
  <c r="M101" i="1"/>
  <c r="P101" i="1" s="1"/>
  <c r="V101" i="1"/>
  <c r="Y101" i="1"/>
  <c r="Z101" i="1"/>
  <c r="AB101" i="1"/>
  <c r="AC101" i="1"/>
  <c r="AD101" i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36" i="1"/>
  <c r="K103" i="1"/>
  <c r="L103" i="1"/>
  <c r="M103" i="1"/>
  <c r="N103" i="1" s="1"/>
  <c r="V103" i="1"/>
  <c r="S27" i="3" s="1"/>
  <c r="Y103" i="1"/>
  <c r="Z103" i="1"/>
  <c r="AB103" i="1"/>
  <c r="AC103" i="1"/>
  <c r="AD103" i="1"/>
  <c r="AE103" i="1"/>
  <c r="R20" i="3" s="1"/>
  <c r="AF103" i="1"/>
  <c r="AH137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38" i="1"/>
  <c r="K104" i="1"/>
  <c r="L104" i="1"/>
  <c r="M104" i="1"/>
  <c r="N104" i="1" s="1"/>
  <c r="V104" i="1"/>
  <c r="Y104" i="1"/>
  <c r="Z104" i="1"/>
  <c r="AB104" i="1"/>
  <c r="AC104" i="1"/>
  <c r="AD104" i="1"/>
  <c r="X104" i="1" s="1"/>
  <c r="AE104" i="1"/>
  <c r="AF104" i="1"/>
  <c r="AH139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0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4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K112" i="1"/>
  <c r="L112" i="1"/>
  <c r="M112" i="1"/>
  <c r="N112" i="1" s="1"/>
  <c r="V112" i="1"/>
  <c r="S7" i="3" s="1"/>
  <c r="Y112" i="1"/>
  <c r="Z112" i="1"/>
  <c r="AB112" i="1"/>
  <c r="AC112" i="1"/>
  <c r="AD112" i="1"/>
  <c r="T112" i="1" s="1"/>
  <c r="AE112" i="1"/>
  <c r="R7" i="3" s="1"/>
  <c r="AF112" i="1"/>
  <c r="AH147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8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49" i="1"/>
  <c r="K115" i="1"/>
  <c r="L115" i="1"/>
  <c r="M115" i="1"/>
  <c r="N115" i="1" s="1"/>
  <c r="V115" i="1"/>
  <c r="S9" i="3" s="1"/>
  <c r="Y115" i="1"/>
  <c r="Z115" i="1"/>
  <c r="AB115" i="1"/>
  <c r="AC115" i="1"/>
  <c r="AD115" i="1"/>
  <c r="AG115" i="1" s="1"/>
  <c r="AE115" i="1"/>
  <c r="R9" i="3" s="1"/>
  <c r="AF115" i="1"/>
  <c r="AH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2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8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0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2" i="1"/>
  <c r="K128" i="1"/>
  <c r="L128" i="1"/>
  <c r="M128" i="1"/>
  <c r="P128" i="1" s="1"/>
  <c r="V128" i="1"/>
  <c r="S48" i="3" s="1"/>
  <c r="Y128" i="1"/>
  <c r="Z128" i="1"/>
  <c r="AB128" i="1"/>
  <c r="AC128" i="1"/>
  <c r="AD128" i="1"/>
  <c r="T128" i="1" s="1"/>
  <c r="AE128" i="1"/>
  <c r="R48" i="3" s="1"/>
  <c r="AF128" i="1"/>
  <c r="AH163" i="1"/>
  <c r="K129" i="1"/>
  <c r="L129" i="1"/>
  <c r="M129" i="1"/>
  <c r="V129" i="1"/>
  <c r="Y129" i="1"/>
  <c r="Z129" i="1"/>
  <c r="AB129" i="1"/>
  <c r="AC129" i="1"/>
  <c r="AD129" i="1"/>
  <c r="AE129" i="1"/>
  <c r="AF129" i="1"/>
  <c r="AH164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5" i="1"/>
  <c r="K131" i="1"/>
  <c r="L131" i="1"/>
  <c r="M131" i="1"/>
  <c r="P131" i="1" s="1"/>
  <c r="V131" i="1"/>
  <c r="S53" i="3" s="1"/>
  <c r="Y131" i="1"/>
  <c r="Z131" i="1"/>
  <c r="AB131" i="1"/>
  <c r="AC131" i="1"/>
  <c r="AD131" i="1"/>
  <c r="T131" i="1" s="1"/>
  <c r="AE131" i="1"/>
  <c r="R53" i="3" s="1"/>
  <c r="AF131" i="1"/>
  <c r="AH166" i="1"/>
  <c r="K132" i="1"/>
  <c r="L132" i="1"/>
  <c r="M132" i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P133" i="1" s="1"/>
  <c r="V133" i="1"/>
  <c r="Y133" i="1"/>
  <c r="Z133" i="1"/>
  <c r="AB133" i="1"/>
  <c r="AC133" i="1"/>
  <c r="AD133" i="1"/>
  <c r="AE133" i="1"/>
  <c r="AF133" i="1"/>
  <c r="AH168" i="1"/>
  <c r="K134" i="1"/>
  <c r="L134" i="1"/>
  <c r="M134" i="1"/>
  <c r="P134" i="1" s="1"/>
  <c r="V134" i="1"/>
  <c r="S31" i="3" s="1"/>
  <c r="Y134" i="1"/>
  <c r="Z134" i="1"/>
  <c r="AB134" i="1"/>
  <c r="AC134" i="1"/>
  <c r="AD134" i="1"/>
  <c r="AG134" i="1" s="1"/>
  <c r="AE134" i="1"/>
  <c r="R31" i="3" s="1"/>
  <c r="AF134" i="1"/>
  <c r="AH169" i="1"/>
  <c r="K135" i="1"/>
  <c r="L135" i="1"/>
  <c r="M135" i="1"/>
  <c r="P135" i="1" s="1"/>
  <c r="V135" i="1"/>
  <c r="Y135" i="1"/>
  <c r="Z135" i="1"/>
  <c r="AB135" i="1"/>
  <c r="AC135" i="1"/>
  <c r="AD135" i="1"/>
  <c r="T135" i="1" s="1"/>
  <c r="AE135" i="1"/>
  <c r="AF135" i="1"/>
  <c r="AH170" i="1"/>
  <c r="K136" i="1"/>
  <c r="L136" i="1"/>
  <c r="M136" i="1"/>
  <c r="P136" i="1" s="1"/>
  <c r="V136" i="1"/>
  <c r="Y136" i="1"/>
  <c r="Z136" i="1"/>
  <c r="AB136" i="1"/>
  <c r="AC136" i="1"/>
  <c r="AD136" i="1"/>
  <c r="AG136" i="1" s="1"/>
  <c r="AE136" i="1"/>
  <c r="AF136" i="1"/>
  <c r="AH171" i="1"/>
  <c r="K137" i="1"/>
  <c r="L137" i="1"/>
  <c r="M137" i="1"/>
  <c r="P137" i="1" s="1"/>
  <c r="V137" i="1"/>
  <c r="Y137" i="1"/>
  <c r="Z137" i="1"/>
  <c r="AB137" i="1"/>
  <c r="AC137" i="1"/>
  <c r="AD137" i="1"/>
  <c r="AG137" i="1" s="1"/>
  <c r="AE137" i="1"/>
  <c r="AF137" i="1"/>
  <c r="AH172" i="1"/>
  <c r="K138" i="1"/>
  <c r="L138" i="1"/>
  <c r="M138" i="1"/>
  <c r="P138" i="1" s="1"/>
  <c r="V138" i="1"/>
  <c r="Y138" i="1"/>
  <c r="Z138" i="1"/>
  <c r="AB138" i="1"/>
  <c r="AC138" i="1"/>
  <c r="AD138" i="1"/>
  <c r="AG138" i="1" s="1"/>
  <c r="AE138" i="1"/>
  <c r="AF138" i="1"/>
  <c r="AH173" i="1"/>
  <c r="K139" i="1"/>
  <c r="L139" i="1"/>
  <c r="M139" i="1"/>
  <c r="V139" i="1"/>
  <c r="Y139" i="1"/>
  <c r="Z139" i="1"/>
  <c r="AB139" i="1"/>
  <c r="AC139" i="1"/>
  <c r="AD139" i="1"/>
  <c r="AE139" i="1"/>
  <c r="AF139" i="1"/>
  <c r="AH174" i="1"/>
  <c r="K140" i="1"/>
  <c r="L140" i="1"/>
  <c r="M140" i="1"/>
  <c r="P140" i="1" s="1"/>
  <c r="V140" i="1"/>
  <c r="Y140" i="1"/>
  <c r="Z140" i="1"/>
  <c r="AB140" i="1"/>
  <c r="AC140" i="1"/>
  <c r="AD140" i="1"/>
  <c r="T140" i="1" s="1"/>
  <c r="AE140" i="1"/>
  <c r="AF140" i="1"/>
  <c r="AH175" i="1"/>
  <c r="K141" i="1"/>
  <c r="L141" i="1"/>
  <c r="M141" i="1"/>
  <c r="P141" i="1" s="1"/>
  <c r="V141" i="1"/>
  <c r="Y141" i="1"/>
  <c r="Z141" i="1"/>
  <c r="AB141" i="1"/>
  <c r="AC141" i="1"/>
  <c r="AD141" i="1"/>
  <c r="AG141" i="1" s="1"/>
  <c r="AE141" i="1"/>
  <c r="AF141" i="1"/>
  <c r="AH176" i="1"/>
  <c r="K142" i="1"/>
  <c r="L142" i="1"/>
  <c r="M142" i="1"/>
  <c r="V142" i="1"/>
  <c r="Y142" i="1"/>
  <c r="Z142" i="1"/>
  <c r="AB142" i="1"/>
  <c r="AC142" i="1"/>
  <c r="AD142" i="1"/>
  <c r="AE142" i="1"/>
  <c r="AF142" i="1"/>
  <c r="AH177" i="1"/>
  <c r="K143" i="1"/>
  <c r="L143" i="1"/>
  <c r="M143" i="1"/>
  <c r="P143" i="1" s="1"/>
  <c r="V143" i="1"/>
  <c r="Y143" i="1"/>
  <c r="Z143" i="1"/>
  <c r="AB143" i="1"/>
  <c r="AC143" i="1"/>
  <c r="AD143" i="1"/>
  <c r="T143" i="1" s="1"/>
  <c r="AE143" i="1"/>
  <c r="AF143" i="1"/>
  <c r="AH178" i="1"/>
  <c r="K144" i="1"/>
  <c r="L144" i="1"/>
  <c r="M144" i="1"/>
  <c r="P144" i="1" s="1"/>
  <c r="V144" i="1"/>
  <c r="Y144" i="1"/>
  <c r="Z144" i="1"/>
  <c r="AB144" i="1"/>
  <c r="AC144" i="1"/>
  <c r="AD144" i="1"/>
  <c r="AE144" i="1"/>
  <c r="AF144" i="1"/>
  <c r="AH179" i="1"/>
  <c r="K145" i="1"/>
  <c r="L145" i="1"/>
  <c r="M145" i="1"/>
  <c r="V145" i="1"/>
  <c r="Y145" i="1"/>
  <c r="Z145" i="1"/>
  <c r="AB145" i="1"/>
  <c r="AC145" i="1"/>
  <c r="AD145" i="1"/>
  <c r="T145" i="1" s="1"/>
  <c r="AE145" i="1"/>
  <c r="AF145" i="1"/>
  <c r="AH180" i="1"/>
  <c r="K146" i="1"/>
  <c r="L146" i="1"/>
  <c r="M146" i="1"/>
  <c r="P146" i="1" s="1"/>
  <c r="V146" i="1"/>
  <c r="Y146" i="1"/>
  <c r="Z146" i="1"/>
  <c r="AB146" i="1"/>
  <c r="AC146" i="1"/>
  <c r="AD146" i="1"/>
  <c r="AE146" i="1"/>
  <c r="AF146" i="1"/>
  <c r="AH181" i="1"/>
  <c r="K147" i="1"/>
  <c r="L147" i="1"/>
  <c r="M147" i="1"/>
  <c r="P147" i="1" s="1"/>
  <c r="V147" i="1"/>
  <c r="S33" i="3" s="1"/>
  <c r="Y147" i="1"/>
  <c r="Z147" i="1"/>
  <c r="AB147" i="1"/>
  <c r="AC147" i="1"/>
  <c r="AD147" i="1"/>
  <c r="T147" i="1" s="1"/>
  <c r="AE147" i="1"/>
  <c r="R24" i="3" s="1"/>
  <c r="AF147" i="1"/>
  <c r="AH182" i="1"/>
  <c r="K148" i="1"/>
  <c r="L148" i="1"/>
  <c r="M148" i="1"/>
  <c r="V148" i="1"/>
  <c r="Y148" i="1"/>
  <c r="Z148" i="1"/>
  <c r="AB148" i="1"/>
  <c r="AC148" i="1"/>
  <c r="AD148" i="1"/>
  <c r="T148" i="1" s="1"/>
  <c r="AE148" i="1"/>
  <c r="AF148" i="1"/>
  <c r="AH183" i="1"/>
  <c r="K149" i="1"/>
  <c r="L149" i="1"/>
  <c r="M149" i="1"/>
  <c r="P149" i="1" s="1"/>
  <c r="V149" i="1"/>
  <c r="Y149" i="1"/>
  <c r="Z149" i="1"/>
  <c r="AB149" i="1"/>
  <c r="AC149" i="1"/>
  <c r="AD149" i="1"/>
  <c r="AE149" i="1"/>
  <c r="AF149" i="1"/>
  <c r="AH184" i="1"/>
  <c r="K150" i="1"/>
  <c r="L150" i="1"/>
  <c r="M150" i="1"/>
  <c r="P150" i="1" s="1"/>
  <c r="V150" i="1"/>
  <c r="Y150" i="1"/>
  <c r="Z150" i="1"/>
  <c r="AB150" i="1"/>
  <c r="AC150" i="1"/>
  <c r="AD150" i="1"/>
  <c r="AG150" i="1" s="1"/>
  <c r="AE150" i="1"/>
  <c r="AF150" i="1"/>
  <c r="AH185" i="1"/>
  <c r="K151" i="1"/>
  <c r="L151" i="1"/>
  <c r="M151" i="1"/>
  <c r="V151" i="1"/>
  <c r="Y151" i="1"/>
  <c r="Z151" i="1"/>
  <c r="AB151" i="1"/>
  <c r="AC151" i="1"/>
  <c r="AD151" i="1"/>
  <c r="T151" i="1" s="1"/>
  <c r="AE151" i="1"/>
  <c r="AF151" i="1"/>
  <c r="AH186" i="1"/>
  <c r="K152" i="1"/>
  <c r="L152" i="1"/>
  <c r="M152" i="1"/>
  <c r="P152" i="1" s="1"/>
  <c r="V152" i="1"/>
  <c r="Y152" i="1"/>
  <c r="Z152" i="1"/>
  <c r="AB152" i="1"/>
  <c r="AC152" i="1"/>
  <c r="AD152" i="1"/>
  <c r="T152" i="1" s="1"/>
  <c r="AE152" i="1"/>
  <c r="AF152" i="1"/>
  <c r="AH187" i="1"/>
  <c r="K153" i="1"/>
  <c r="L153" i="1"/>
  <c r="M153" i="1"/>
  <c r="V153" i="1"/>
  <c r="Y153" i="1"/>
  <c r="Z153" i="1"/>
  <c r="AB153" i="1"/>
  <c r="AC153" i="1"/>
  <c r="AD153" i="1"/>
  <c r="AG153" i="1" s="1"/>
  <c r="AE153" i="1"/>
  <c r="AF153" i="1"/>
  <c r="AH188" i="1"/>
  <c r="K154" i="1"/>
  <c r="L154" i="1"/>
  <c r="M154" i="1"/>
  <c r="P154" i="1" s="1"/>
  <c r="V154" i="1"/>
  <c r="S11" i="3" s="1"/>
  <c r="Y154" i="1"/>
  <c r="Z154" i="1"/>
  <c r="AB154" i="1"/>
  <c r="AC154" i="1"/>
  <c r="AD154" i="1"/>
  <c r="AG154" i="1" s="1"/>
  <c r="AE154" i="1"/>
  <c r="R11" i="3" s="1"/>
  <c r="AF154" i="1"/>
  <c r="AH189" i="1"/>
  <c r="K155" i="1"/>
  <c r="L155" i="1"/>
  <c r="M155" i="1"/>
  <c r="V155" i="1"/>
  <c r="Y155" i="1"/>
  <c r="Z155" i="1"/>
  <c r="AB155" i="1"/>
  <c r="AC155" i="1"/>
  <c r="AD155" i="1"/>
  <c r="AE155" i="1"/>
  <c r="AF155" i="1"/>
  <c r="AH190" i="1"/>
  <c r="K156" i="1"/>
  <c r="L156" i="1"/>
  <c r="M156" i="1"/>
  <c r="V156" i="1"/>
  <c r="Y156" i="1"/>
  <c r="Z156" i="1"/>
  <c r="AB156" i="1"/>
  <c r="AC156" i="1"/>
  <c r="AD156" i="1"/>
  <c r="X156" i="1" s="1"/>
  <c r="AE156" i="1"/>
  <c r="AF156" i="1"/>
  <c r="AH191" i="1"/>
  <c r="K157" i="1"/>
  <c r="L157" i="1"/>
  <c r="M157" i="1"/>
  <c r="V157" i="1"/>
  <c r="Y157" i="1"/>
  <c r="Z157" i="1"/>
  <c r="AB157" i="1"/>
  <c r="AC157" i="1"/>
  <c r="AD157" i="1"/>
  <c r="AG157" i="1" s="1"/>
  <c r="AE157" i="1"/>
  <c r="AF157" i="1"/>
  <c r="AH192" i="1"/>
  <c r="K158" i="1"/>
  <c r="L158" i="1"/>
  <c r="M158" i="1"/>
  <c r="P158" i="1" s="1"/>
  <c r="V158" i="1"/>
  <c r="S32" i="3" s="1"/>
  <c r="Y158" i="1"/>
  <c r="Z158" i="1"/>
  <c r="AB158" i="1"/>
  <c r="AC158" i="1"/>
  <c r="AD158" i="1"/>
  <c r="AE158" i="1"/>
  <c r="R32" i="3" s="1"/>
  <c r="AF158" i="1"/>
  <c r="AH193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94" i="1"/>
  <c r="K160" i="1"/>
  <c r="L160" i="1"/>
  <c r="M160" i="1"/>
  <c r="P160" i="1" s="1"/>
  <c r="V160" i="1"/>
  <c r="S49" i="3" s="1"/>
  <c r="Y160" i="1"/>
  <c r="Z160" i="1"/>
  <c r="AB160" i="1"/>
  <c r="AC160" i="1"/>
  <c r="AD160" i="1"/>
  <c r="AE160" i="1"/>
  <c r="R49" i="3" s="1"/>
  <c r="AF160" i="1"/>
  <c r="AH195" i="1"/>
  <c r="K161" i="1"/>
  <c r="L161" i="1"/>
  <c r="M161" i="1"/>
  <c r="V161" i="1"/>
  <c r="Y161" i="1"/>
  <c r="Z161" i="1"/>
  <c r="AB161" i="1"/>
  <c r="AC161" i="1"/>
  <c r="AD161" i="1"/>
  <c r="T161" i="1" s="1"/>
  <c r="AE161" i="1"/>
  <c r="AF161" i="1"/>
  <c r="AH196" i="1"/>
  <c r="K162" i="1"/>
  <c r="L162" i="1"/>
  <c r="M162" i="1"/>
  <c r="P162" i="1" s="1"/>
  <c r="V162" i="1"/>
  <c r="Y162" i="1"/>
  <c r="Z162" i="1"/>
  <c r="AB162" i="1"/>
  <c r="AC162" i="1"/>
  <c r="AD162" i="1"/>
  <c r="AG162" i="1" s="1"/>
  <c r="AE162" i="1"/>
  <c r="AF162" i="1"/>
  <c r="AH197" i="1"/>
  <c r="K163" i="1"/>
  <c r="L163" i="1"/>
  <c r="M163" i="1"/>
  <c r="P163" i="1" s="1"/>
  <c r="V163" i="1"/>
  <c r="Y163" i="1"/>
  <c r="Z163" i="1"/>
  <c r="AB163" i="1"/>
  <c r="AC163" i="1"/>
  <c r="AD163" i="1"/>
  <c r="AE163" i="1"/>
  <c r="AF163" i="1"/>
  <c r="AH198" i="1"/>
  <c r="K164" i="1"/>
  <c r="L164" i="1"/>
  <c r="M164" i="1"/>
  <c r="P164" i="1" s="1"/>
  <c r="V164" i="1"/>
  <c r="Y164" i="1"/>
  <c r="Z164" i="1"/>
  <c r="AB164" i="1"/>
  <c r="AC164" i="1"/>
  <c r="AD164" i="1"/>
  <c r="AG164" i="1" s="1"/>
  <c r="AE164" i="1"/>
  <c r="AF164" i="1"/>
  <c r="AH199" i="1"/>
  <c r="K165" i="1"/>
  <c r="L165" i="1"/>
  <c r="M165" i="1"/>
  <c r="P165" i="1" s="1"/>
  <c r="V165" i="1"/>
  <c r="Y165" i="1"/>
  <c r="Z165" i="1"/>
  <c r="AB165" i="1"/>
  <c r="AC165" i="1"/>
  <c r="AD165" i="1"/>
  <c r="T165" i="1" s="1"/>
  <c r="AE165" i="1"/>
  <c r="AF165" i="1"/>
  <c r="AH200" i="1"/>
  <c r="K166" i="1"/>
  <c r="L166" i="1"/>
  <c r="M166" i="1"/>
  <c r="P166" i="1" s="1"/>
  <c r="V166" i="1"/>
  <c r="Y166" i="1"/>
  <c r="Z166" i="1"/>
  <c r="AB166" i="1"/>
  <c r="AC166" i="1"/>
  <c r="AD166" i="1"/>
  <c r="X167" i="1" s="1"/>
  <c r="AE166" i="1"/>
  <c r="AF166" i="1"/>
  <c r="AH201" i="1"/>
  <c r="AH20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4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5" i="1"/>
  <c r="K205" i="1"/>
  <c r="L205" i="1"/>
  <c r="M205" i="1"/>
  <c r="N205" i="1" s="1"/>
  <c r="V205" i="1"/>
  <c r="S66" i="3" s="1"/>
  <c r="Y205" i="1"/>
  <c r="Z205" i="1"/>
  <c r="AB205" i="1"/>
  <c r="AC205" i="1"/>
  <c r="AD205" i="1"/>
  <c r="AE205" i="1"/>
  <c r="R66" i="3" s="1"/>
  <c r="AF205" i="1"/>
  <c r="AH206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7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208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R65" i="3" s="1"/>
  <c r="AF208" i="1"/>
  <c r="AH20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2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4" i="1"/>
  <c r="K215" i="1"/>
  <c r="L215" i="1"/>
  <c r="M215" i="1"/>
  <c r="N215" i="1" s="1"/>
  <c r="V215" i="1"/>
  <c r="S67" i="3" s="1"/>
  <c r="Y215" i="1"/>
  <c r="Z215" i="1"/>
  <c r="AB215" i="1"/>
  <c r="AC215" i="1"/>
  <c r="AD215" i="1"/>
  <c r="AG215" i="1" s="1"/>
  <c r="AE215" i="1"/>
  <c r="R67" i="3" s="1"/>
  <c r="AF215" i="1"/>
  <c r="AH215" i="1"/>
  <c r="K216" i="1"/>
  <c r="L216" i="1"/>
  <c r="M216" i="1"/>
  <c r="N216" i="1" s="1"/>
  <c r="V216" i="1"/>
  <c r="S68" i="3" s="1"/>
  <c r="Y216" i="1"/>
  <c r="Z216" i="1"/>
  <c r="AB216" i="1"/>
  <c r="AC216" i="1"/>
  <c r="AD216" i="1"/>
  <c r="T216" i="1" s="1"/>
  <c r="AE216" i="1"/>
  <c r="R68" i="3" s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K218" i="1"/>
  <c r="L218" i="1"/>
  <c r="M218" i="1"/>
  <c r="N218" i="1" s="1"/>
  <c r="V218" i="1"/>
  <c r="S64" i="3" s="1"/>
  <c r="Y218" i="1"/>
  <c r="Z218" i="1"/>
  <c r="AB218" i="1"/>
  <c r="AC218" i="1"/>
  <c r="AD218" i="1"/>
  <c r="AE218" i="1"/>
  <c r="R64" i="3" s="1"/>
  <c r="AF218" i="1"/>
  <c r="AH218" i="1"/>
  <c r="K219" i="1"/>
  <c r="L219" i="1"/>
  <c r="M219" i="1"/>
  <c r="N219" i="1" s="1"/>
  <c r="V219" i="1"/>
  <c r="Y219" i="1"/>
  <c r="Z219" i="1"/>
  <c r="AB219" i="1"/>
  <c r="AC219" i="1"/>
  <c r="AD219" i="1"/>
  <c r="AE219" i="1"/>
  <c r="R70" i="3" s="1"/>
  <c r="AF219" i="1"/>
  <c r="AH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M66" i="3"/>
  <c r="U66" i="3"/>
  <c r="T66" i="3" s="1"/>
  <c r="V66" i="3"/>
  <c r="W66" i="3"/>
  <c r="X66" i="3"/>
  <c r="AC66" i="3"/>
  <c r="M65" i="3"/>
  <c r="S65" i="3"/>
  <c r="U65" i="3"/>
  <c r="T65" i="3" s="1"/>
  <c r="V65" i="3"/>
  <c r="W65" i="3"/>
  <c r="X65" i="3"/>
  <c r="AC65" i="3"/>
  <c r="M34" i="3"/>
  <c r="U34" i="3"/>
  <c r="T34" i="3" s="1"/>
  <c r="V34" i="3"/>
  <c r="W34" i="3"/>
  <c r="X34" i="3"/>
  <c r="AC34" i="3"/>
  <c r="M16" i="3"/>
  <c r="U16" i="3"/>
  <c r="T16" i="3" s="1"/>
  <c r="V16" i="3"/>
  <c r="W16" i="3"/>
  <c r="X16" i="3"/>
  <c r="AC16" i="3"/>
  <c r="M8" i="3"/>
  <c r="U8" i="3"/>
  <c r="T8" i="3" s="1"/>
  <c r="V8" i="3"/>
  <c r="W8" i="3"/>
  <c r="X8" i="3"/>
  <c r="AC8" i="3"/>
  <c r="M54" i="3"/>
  <c r="R54" i="3"/>
  <c r="U54" i="3"/>
  <c r="T54" i="3" s="1"/>
  <c r="V54" i="3"/>
  <c r="W54" i="3"/>
  <c r="X54" i="3"/>
  <c r="M13" i="3"/>
  <c r="U13" i="3"/>
  <c r="T13" i="3" s="1"/>
  <c r="V13" i="3"/>
  <c r="W13" i="3"/>
  <c r="X13" i="3"/>
  <c r="AC13" i="3"/>
  <c r="M40" i="3"/>
  <c r="U40" i="3"/>
  <c r="T40" i="3" s="1"/>
  <c r="V40" i="3"/>
  <c r="W40" i="3"/>
  <c r="X40" i="3"/>
  <c r="AC40" i="3"/>
  <c r="M41" i="3"/>
  <c r="U41" i="3"/>
  <c r="T41" i="3" s="1"/>
  <c r="V41" i="3"/>
  <c r="W41" i="3"/>
  <c r="X41" i="3"/>
  <c r="AC41" i="3"/>
  <c r="M28" i="3"/>
  <c r="S28" i="3"/>
  <c r="U28" i="3"/>
  <c r="T28" i="3" s="1"/>
  <c r="V28" i="3"/>
  <c r="W28" i="3"/>
  <c r="X28" i="3"/>
  <c r="AC28" i="3"/>
  <c r="M42" i="3"/>
  <c r="R42" i="3"/>
  <c r="U42" i="3"/>
  <c r="T42" i="3" s="1"/>
  <c r="V42" i="3"/>
  <c r="W42" i="3"/>
  <c r="X42" i="3"/>
  <c r="AC42" i="3"/>
  <c r="M14" i="3"/>
  <c r="S14" i="3"/>
  <c r="U14" i="3"/>
  <c r="T14" i="3" s="1"/>
  <c r="V14" i="3"/>
  <c r="W14" i="3"/>
  <c r="X14" i="3"/>
  <c r="M25" i="3"/>
  <c r="U25" i="3"/>
  <c r="T25" i="3" s="1"/>
  <c r="V25" i="3"/>
  <c r="W25" i="3"/>
  <c r="X25" i="3"/>
  <c r="AC25" i="3"/>
  <c r="M59" i="3"/>
  <c r="U59" i="3"/>
  <c r="T59" i="3" s="1"/>
  <c r="V59" i="3"/>
  <c r="W59" i="3"/>
  <c r="X59" i="3"/>
  <c r="AC59" i="3"/>
  <c r="M29" i="3"/>
  <c r="R29" i="3"/>
  <c r="S29" i="3"/>
  <c r="U29" i="3"/>
  <c r="T29" i="3" s="1"/>
  <c r="V29" i="3"/>
  <c r="W29" i="3"/>
  <c r="X29" i="3"/>
  <c r="AC29" i="3"/>
  <c r="M43" i="3"/>
  <c r="R43" i="3"/>
  <c r="U43" i="3"/>
  <c r="T43" i="3" s="1"/>
  <c r="V43" i="3"/>
  <c r="W43" i="3"/>
  <c r="X43" i="3"/>
  <c r="AC43" i="3"/>
  <c r="M55" i="3"/>
  <c r="U55" i="3"/>
  <c r="T55" i="3" s="1"/>
  <c r="V55" i="3"/>
  <c r="W55" i="3"/>
  <c r="X55" i="3"/>
  <c r="AC55" i="3"/>
  <c r="M60" i="3"/>
  <c r="U60" i="3"/>
  <c r="T60" i="3" s="1"/>
  <c r="V60" i="3"/>
  <c r="W60" i="3"/>
  <c r="X60" i="3"/>
  <c r="M17" i="3"/>
  <c r="U17" i="3"/>
  <c r="T17" i="3" s="1"/>
  <c r="V17" i="3"/>
  <c r="W17" i="3"/>
  <c r="X17" i="3"/>
  <c r="AC17" i="3"/>
  <c r="M22" i="3"/>
  <c r="S22" i="3"/>
  <c r="U22" i="3"/>
  <c r="T22" i="3" s="1"/>
  <c r="V22" i="3"/>
  <c r="W22" i="3"/>
  <c r="X22" i="3"/>
  <c r="AC22" i="3"/>
  <c r="M62" i="3"/>
  <c r="R62" i="3"/>
  <c r="U62" i="3"/>
  <c r="T62" i="3" s="1"/>
  <c r="V62" i="3"/>
  <c r="W62" i="3"/>
  <c r="X62" i="3"/>
  <c r="AC62" i="3"/>
  <c r="M56" i="3"/>
  <c r="U56" i="3"/>
  <c r="T56" i="3" s="1"/>
  <c r="V56" i="3"/>
  <c r="W56" i="3"/>
  <c r="X56" i="3"/>
  <c r="AC56" i="3"/>
  <c r="M67" i="3"/>
  <c r="U67" i="3"/>
  <c r="T67" i="3" s="1"/>
  <c r="V67" i="3"/>
  <c r="W67" i="3"/>
  <c r="X67" i="3"/>
  <c r="AC67" i="3"/>
  <c r="M68" i="3"/>
  <c r="U68" i="3"/>
  <c r="T68" i="3" s="1"/>
  <c r="V68" i="3"/>
  <c r="W68" i="3"/>
  <c r="X68" i="3"/>
  <c r="AC68" i="3"/>
  <c r="M44" i="3"/>
  <c r="U44" i="3"/>
  <c r="T44" i="3" s="1"/>
  <c r="V44" i="3"/>
  <c r="W44" i="3"/>
  <c r="X44" i="3"/>
  <c r="AC44" i="3"/>
  <c r="M30" i="3"/>
  <c r="U30" i="3"/>
  <c r="T30" i="3" s="1"/>
  <c r="V30" i="3"/>
  <c r="W30" i="3"/>
  <c r="X30" i="3"/>
  <c r="AC30" i="3"/>
  <c r="M19" i="3"/>
  <c r="U19" i="3"/>
  <c r="T19" i="3" s="1"/>
  <c r="V19" i="3"/>
  <c r="W19" i="3"/>
  <c r="X19" i="3"/>
  <c r="M57" i="3"/>
  <c r="U57" i="3"/>
  <c r="T57" i="3" s="1"/>
  <c r="V57" i="3"/>
  <c r="W57" i="3"/>
  <c r="X57" i="3"/>
  <c r="AC57" i="3"/>
  <c r="M35" i="3"/>
  <c r="U35" i="3"/>
  <c r="T35" i="3" s="1"/>
  <c r="V35" i="3"/>
  <c r="W35" i="3"/>
  <c r="X35" i="3"/>
  <c r="AC35" i="3"/>
  <c r="M50" i="3"/>
  <c r="U50" i="3"/>
  <c r="T50" i="3" s="1"/>
  <c r="V50" i="3"/>
  <c r="W50" i="3"/>
  <c r="X50" i="3"/>
  <c r="AC50" i="3"/>
  <c r="M36" i="3"/>
  <c r="U36" i="3"/>
  <c r="T36" i="3" s="1"/>
  <c r="V36" i="3"/>
  <c r="W36" i="3"/>
  <c r="X36" i="3"/>
  <c r="AC36" i="3"/>
  <c r="M21" i="3"/>
  <c r="U21" i="3"/>
  <c r="T21" i="3" s="1"/>
  <c r="V21" i="3"/>
  <c r="W21" i="3"/>
  <c r="X21" i="3"/>
  <c r="AC21" i="3"/>
  <c r="M45" i="3"/>
  <c r="U45" i="3"/>
  <c r="T45" i="3" s="1"/>
  <c r="V45" i="3"/>
  <c r="W45" i="3"/>
  <c r="X45" i="3"/>
  <c r="AC45" i="3"/>
  <c r="M10" i="3"/>
  <c r="U10" i="3"/>
  <c r="T10" i="3" s="1"/>
  <c r="V10" i="3"/>
  <c r="W10" i="3"/>
  <c r="X10" i="3"/>
  <c r="AC10" i="3"/>
  <c r="M46" i="3"/>
  <c r="U46" i="3"/>
  <c r="T46" i="3" s="1"/>
  <c r="V46" i="3"/>
  <c r="W46" i="3"/>
  <c r="X46" i="3"/>
  <c r="AC46" i="3"/>
  <c r="M51" i="3"/>
  <c r="U51" i="3"/>
  <c r="T51" i="3" s="1"/>
  <c r="V51" i="3"/>
  <c r="W51" i="3"/>
  <c r="X51" i="3"/>
  <c r="AC51" i="3"/>
  <c r="M15" i="3"/>
  <c r="U15" i="3"/>
  <c r="T15" i="3" s="1"/>
  <c r="V15" i="3"/>
  <c r="W15" i="3"/>
  <c r="X15" i="3"/>
  <c r="M26" i="3"/>
  <c r="U26" i="3"/>
  <c r="T26" i="3" s="1"/>
  <c r="V26" i="3"/>
  <c r="W26" i="3"/>
  <c r="X26" i="3"/>
  <c r="AC26" i="3"/>
  <c r="M52" i="3"/>
  <c r="U52" i="3"/>
  <c r="T52" i="3" s="1"/>
  <c r="V52" i="3"/>
  <c r="W52" i="3"/>
  <c r="X52" i="3"/>
  <c r="AC52" i="3"/>
  <c r="M12" i="3"/>
  <c r="U12" i="3"/>
  <c r="T12" i="3" s="1"/>
  <c r="V12" i="3"/>
  <c r="W12" i="3"/>
  <c r="X12" i="3"/>
  <c r="AC12" i="3"/>
  <c r="M37" i="3"/>
  <c r="U37" i="3"/>
  <c r="T37" i="3" s="1"/>
  <c r="V37" i="3"/>
  <c r="W37" i="3"/>
  <c r="X37" i="3"/>
  <c r="AC37" i="3"/>
  <c r="M38" i="3"/>
  <c r="U38" i="3"/>
  <c r="T38" i="3" s="1"/>
  <c r="V38" i="3"/>
  <c r="W38" i="3"/>
  <c r="X38" i="3"/>
  <c r="AC38" i="3"/>
  <c r="M39" i="3"/>
  <c r="U39" i="3"/>
  <c r="T39" i="3" s="1"/>
  <c r="V39" i="3"/>
  <c r="W39" i="3"/>
  <c r="X39" i="3"/>
  <c r="AC39" i="3"/>
  <c r="M64" i="3"/>
  <c r="U64" i="3"/>
  <c r="T64" i="3" s="1"/>
  <c r="V64" i="3"/>
  <c r="W64" i="3"/>
  <c r="X64" i="3"/>
  <c r="AC64" i="3"/>
  <c r="M18" i="3"/>
  <c r="U18" i="3"/>
  <c r="T18" i="3" s="1"/>
  <c r="V18" i="3"/>
  <c r="W18" i="3"/>
  <c r="X18" i="3"/>
  <c r="AC18" i="3"/>
  <c r="M58" i="3"/>
  <c r="U58" i="3"/>
  <c r="T58" i="3" s="1"/>
  <c r="V58" i="3"/>
  <c r="W58" i="3"/>
  <c r="X58" i="3"/>
  <c r="AC58" i="3"/>
  <c r="M20" i="3"/>
  <c r="U20" i="3"/>
  <c r="T20" i="3" s="1"/>
  <c r="V20" i="3"/>
  <c r="W20" i="3"/>
  <c r="X20" i="3"/>
  <c r="AC20" i="3"/>
  <c r="M27" i="3"/>
  <c r="U27" i="3"/>
  <c r="T27" i="3" s="1"/>
  <c r="V27" i="3"/>
  <c r="W27" i="3"/>
  <c r="X27" i="3"/>
  <c r="M69" i="3"/>
  <c r="R69" i="3"/>
  <c r="U69" i="3"/>
  <c r="T69" i="3" s="1"/>
  <c r="V69" i="3"/>
  <c r="W69" i="3"/>
  <c r="X69" i="3"/>
  <c r="AC69" i="3"/>
  <c r="M70" i="3"/>
  <c r="U70" i="3"/>
  <c r="T70" i="3" s="1"/>
  <c r="V70" i="3"/>
  <c r="W70" i="3"/>
  <c r="X70" i="3"/>
  <c r="AC70" i="3"/>
  <c r="M9" i="3"/>
  <c r="U9" i="3"/>
  <c r="T9" i="3" s="1"/>
  <c r="V9" i="3"/>
  <c r="W9" i="3"/>
  <c r="X9" i="3"/>
  <c r="AC9" i="3"/>
  <c r="M7" i="3"/>
  <c r="U7" i="3"/>
  <c r="T7" i="3" s="1"/>
  <c r="V7" i="3"/>
  <c r="W7" i="3"/>
  <c r="X7" i="3"/>
  <c r="AC7" i="3"/>
  <c r="M47" i="3"/>
  <c r="U47" i="3"/>
  <c r="T47" i="3" s="1"/>
  <c r="V47" i="3"/>
  <c r="W47" i="3"/>
  <c r="X47" i="3"/>
  <c r="AC47" i="3"/>
  <c r="M61" i="3"/>
  <c r="U61" i="3"/>
  <c r="T61" i="3" s="1"/>
  <c r="V61" i="3"/>
  <c r="W61" i="3"/>
  <c r="X61" i="3"/>
  <c r="AC61" i="3"/>
  <c r="M48" i="3"/>
  <c r="U48" i="3"/>
  <c r="T48" i="3" s="1"/>
  <c r="V48" i="3"/>
  <c r="W48" i="3"/>
  <c r="X48" i="3"/>
  <c r="M31" i="3"/>
  <c r="U31" i="3"/>
  <c r="T31" i="3" s="1"/>
  <c r="V31" i="3"/>
  <c r="W31" i="3"/>
  <c r="X31" i="3"/>
  <c r="AC31" i="3"/>
  <c r="M53" i="3"/>
  <c r="U53" i="3"/>
  <c r="T53" i="3" s="1"/>
  <c r="V53" i="3"/>
  <c r="W53" i="3"/>
  <c r="X53" i="3"/>
  <c r="AC53" i="3"/>
  <c r="M63" i="3"/>
  <c r="U63" i="3"/>
  <c r="T63" i="3" s="1"/>
  <c r="V63" i="3"/>
  <c r="W63" i="3"/>
  <c r="X63" i="3"/>
  <c r="AC63" i="3"/>
  <c r="M24" i="3"/>
  <c r="U24" i="3"/>
  <c r="T24" i="3" s="1"/>
  <c r="V24" i="3"/>
  <c r="W24" i="3"/>
  <c r="X24" i="3"/>
  <c r="AC24" i="3"/>
  <c r="M11" i="3"/>
  <c r="U11" i="3"/>
  <c r="T11" i="3" s="1"/>
  <c r="V11" i="3"/>
  <c r="W11" i="3"/>
  <c r="X11" i="3"/>
  <c r="AC11" i="3"/>
  <c r="M33" i="3"/>
  <c r="U33" i="3"/>
  <c r="T33" i="3" s="1"/>
  <c r="V33" i="3"/>
  <c r="W33" i="3"/>
  <c r="X33" i="3"/>
  <c r="AC33" i="3"/>
  <c r="M32" i="3"/>
  <c r="U32" i="3"/>
  <c r="T32" i="3" s="1"/>
  <c r="V32" i="3"/>
  <c r="W32" i="3"/>
  <c r="X32" i="3"/>
  <c r="AC32" i="3"/>
  <c r="M49" i="3"/>
  <c r="U49" i="3"/>
  <c r="T49" i="3" s="1"/>
  <c r="V49" i="3"/>
  <c r="W49" i="3"/>
  <c r="X49" i="3"/>
  <c r="AC49" i="3"/>
  <c r="M28" i="5"/>
  <c r="AA201" i="1" l="1"/>
  <c r="T97" i="1"/>
  <c r="AG45" i="1"/>
  <c r="X45" i="1"/>
  <c r="AG44" i="1"/>
  <c r="X44" i="1"/>
  <c r="T43" i="1"/>
  <c r="X43" i="1"/>
  <c r="R12" i="3"/>
  <c r="S13" i="3"/>
  <c r="U42" i="1"/>
  <c r="S42" i="1" s="1"/>
  <c r="AI42" i="1"/>
  <c r="W42" i="1"/>
  <c r="X28" i="1"/>
  <c r="R35" i="3"/>
  <c r="AG29" i="1"/>
  <c r="AI29" i="1" s="1"/>
  <c r="X29" i="1"/>
  <c r="AI28" i="1"/>
  <c r="U28" i="1"/>
  <c r="S28" i="1" s="1"/>
  <c r="W28" i="1"/>
  <c r="R21" i="3"/>
  <c r="AG14" i="1"/>
  <c r="AI14" i="1" s="1"/>
  <c r="AI167" i="1"/>
  <c r="U167" i="1"/>
  <c r="S167" i="1" s="1"/>
  <c r="W167" i="1"/>
  <c r="AG166" i="1"/>
  <c r="X166" i="1"/>
  <c r="T170" i="1"/>
  <c r="X170" i="1"/>
  <c r="T169" i="1"/>
  <c r="AA121" i="1"/>
  <c r="W121" i="1" s="1"/>
  <c r="S47" i="3"/>
  <c r="X101" i="1"/>
  <c r="AI60" i="1"/>
  <c r="AI58" i="1"/>
  <c r="P155" i="1"/>
  <c r="AC48" i="3"/>
  <c r="AC60" i="3"/>
  <c r="AG103" i="1"/>
  <c r="X103" i="1"/>
  <c r="AI171" i="1"/>
  <c r="AI81" i="1"/>
  <c r="AC27" i="3"/>
  <c r="AC54" i="3"/>
  <c r="T80" i="1"/>
  <c r="R18" i="3"/>
  <c r="P99" i="1"/>
  <c r="AA177" i="1"/>
  <c r="AG67" i="1"/>
  <c r="AI67" i="1" s="1"/>
  <c r="X67" i="1"/>
  <c r="AA66" i="1"/>
  <c r="AA64" i="1"/>
  <c r="N95" i="1"/>
  <c r="AG95" i="1"/>
  <c r="AA95" i="1"/>
  <c r="AC15" i="3"/>
  <c r="S24" i="3"/>
  <c r="R50" i="3"/>
  <c r="AA218" i="1"/>
  <c r="AI217" i="1"/>
  <c r="AG189" i="1"/>
  <c r="AI187" i="1"/>
  <c r="AI183" i="1"/>
  <c r="AA182" i="1"/>
  <c r="AA180" i="1"/>
  <c r="P77" i="1"/>
  <c r="AG39" i="1"/>
  <c r="AI39" i="1" s="1"/>
  <c r="AC19" i="3"/>
  <c r="S20" i="3"/>
  <c r="X147" i="1"/>
  <c r="AA141" i="1"/>
  <c r="W141" i="1" s="1"/>
  <c r="AA193" i="1"/>
  <c r="W193" i="1" s="1"/>
  <c r="AA191" i="1"/>
  <c r="AI46" i="1"/>
  <c r="AA44" i="1"/>
  <c r="W44" i="1" s="1"/>
  <c r="T52" i="1"/>
  <c r="X52" i="1"/>
  <c r="T51" i="1"/>
  <c r="X51" i="1"/>
  <c r="T50" i="1"/>
  <c r="X50" i="1"/>
  <c r="T48" i="1"/>
  <c r="X48" i="1"/>
  <c r="AA77" i="1"/>
  <c r="S21" i="3"/>
  <c r="AA220" i="1"/>
  <c r="AA159" i="1"/>
  <c r="AA144" i="1"/>
  <c r="AA133" i="1"/>
  <c r="AA132" i="1"/>
  <c r="W132" i="1" s="1"/>
  <c r="AA126" i="1"/>
  <c r="AA125" i="1"/>
  <c r="W125" i="1" s="1"/>
  <c r="T115" i="1"/>
  <c r="U115" i="1" s="1"/>
  <c r="S115" i="1" s="1"/>
  <c r="AA105" i="1"/>
  <c r="W105" i="1" s="1"/>
  <c r="AG193" i="1"/>
  <c r="AA175" i="1"/>
  <c r="AI172" i="1"/>
  <c r="AA172" i="1"/>
  <c r="W172" i="1" s="1"/>
  <c r="AA170" i="1"/>
  <c r="AA49" i="1"/>
  <c r="AA47" i="1"/>
  <c r="T27" i="1"/>
  <c r="U27" i="1" s="1"/>
  <c r="S27" i="1" s="1"/>
  <c r="AA17" i="1"/>
  <c r="AC14" i="3"/>
  <c r="X212" i="1"/>
  <c r="AG116" i="1"/>
  <c r="U116" i="1" s="1"/>
  <c r="S116" i="1" s="1"/>
  <c r="X197" i="1"/>
  <c r="AA194" i="1"/>
  <c r="W194" i="1" s="1"/>
  <c r="AA178" i="1"/>
  <c r="X81" i="1"/>
  <c r="AG19" i="1"/>
  <c r="U19" i="1" s="1"/>
  <c r="S19" i="1" s="1"/>
  <c r="T34" i="1"/>
  <c r="X34" i="1"/>
  <c r="T31" i="1"/>
  <c r="X31" i="1"/>
  <c r="S50" i="3"/>
  <c r="S35" i="3"/>
  <c r="S12" i="3"/>
  <c r="AA150" i="1"/>
  <c r="AA148" i="1"/>
  <c r="T125" i="1"/>
  <c r="AA120" i="1"/>
  <c r="X115" i="1"/>
  <c r="AA86" i="1"/>
  <c r="AA85" i="1"/>
  <c r="W85" i="1" s="1"/>
  <c r="P35" i="1"/>
  <c r="AG35" i="1"/>
  <c r="AI35" i="1" s="1"/>
  <c r="X35" i="1"/>
  <c r="AA166" i="1"/>
  <c r="AG143" i="1"/>
  <c r="U143" i="1" s="1"/>
  <c r="S143" i="1" s="1"/>
  <c r="AA130" i="1"/>
  <c r="R33" i="3"/>
  <c r="R36" i="3"/>
  <c r="T220" i="1"/>
  <c r="U220" i="1" s="1"/>
  <c r="S220" i="1" s="1"/>
  <c r="AA216" i="1"/>
  <c r="AA212" i="1"/>
  <c r="W212" i="1" s="1"/>
  <c r="AG211" i="1"/>
  <c r="U211" i="1" s="1"/>
  <c r="S211" i="1" s="1"/>
  <c r="AA208" i="1"/>
  <c r="W208" i="1" s="1"/>
  <c r="AA207" i="1"/>
  <c r="AG159" i="1"/>
  <c r="X159" i="1"/>
  <c r="AA153" i="1"/>
  <c r="W153" i="1" s="1"/>
  <c r="AG147" i="1"/>
  <c r="U147" i="1" s="1"/>
  <c r="AA146" i="1"/>
  <c r="AA145" i="1"/>
  <c r="X121" i="1"/>
  <c r="AA119" i="1"/>
  <c r="AA116" i="1"/>
  <c r="X109" i="1"/>
  <c r="AA199" i="1"/>
  <c r="AA198" i="1"/>
  <c r="AA96" i="1"/>
  <c r="AA197" i="1"/>
  <c r="X183" i="1"/>
  <c r="AG178" i="1"/>
  <c r="W178" i="1" s="1"/>
  <c r="AA61" i="1"/>
  <c r="AA46" i="1"/>
  <c r="W46" i="1" s="1"/>
  <c r="AA45" i="1"/>
  <c r="T45" i="1"/>
  <c r="U45" i="1" s="1"/>
  <c r="S45" i="1" s="1"/>
  <c r="AI44" i="1"/>
  <c r="AA39" i="1"/>
  <c r="AG23" i="1"/>
  <c r="U23" i="1" s="1"/>
  <c r="S23" i="1" s="1"/>
  <c r="X23" i="1"/>
  <c r="AA149" i="1"/>
  <c r="AG148" i="1"/>
  <c r="R47" i="3"/>
  <c r="AA162" i="1"/>
  <c r="W162" i="1" s="1"/>
  <c r="AA152" i="1"/>
  <c r="AA151" i="1"/>
  <c r="X144" i="1"/>
  <c r="AA143" i="1"/>
  <c r="X125" i="1"/>
  <c r="X107" i="1"/>
  <c r="AA106" i="1"/>
  <c r="W106" i="1" s="1"/>
  <c r="AA179" i="1"/>
  <c r="W179" i="1" s="1"/>
  <c r="AA171" i="1"/>
  <c r="W171" i="1" s="1"/>
  <c r="AA81" i="1"/>
  <c r="W81" i="1" s="1"/>
  <c r="X80" i="1"/>
  <c r="AA79" i="1"/>
  <c r="AA78" i="1"/>
  <c r="T72" i="1"/>
  <c r="AA70" i="1"/>
  <c r="AA65" i="1"/>
  <c r="AA57" i="1"/>
  <c r="AA56" i="1"/>
  <c r="W56" i="1" s="1"/>
  <c r="AA36" i="1"/>
  <c r="AA29" i="1"/>
  <c r="W29" i="1" s="1"/>
  <c r="X27" i="1"/>
  <c r="AA26" i="1"/>
  <c r="AA24" i="1"/>
  <c r="AA117" i="1"/>
  <c r="AA111" i="1"/>
  <c r="AA110" i="1"/>
  <c r="AA109" i="1"/>
  <c r="W109" i="1" s="1"/>
  <c r="T109" i="1"/>
  <c r="U109" i="1" s="1"/>
  <c r="S109" i="1" s="1"/>
  <c r="AA183" i="1"/>
  <c r="W183" i="1" s="1"/>
  <c r="AA89" i="1"/>
  <c r="X77" i="1"/>
  <c r="AA73" i="1"/>
  <c r="AA63" i="1"/>
  <c r="X24" i="1"/>
  <c r="AA23" i="1"/>
  <c r="Y48" i="3"/>
  <c r="Y46" i="3"/>
  <c r="Y19" i="3"/>
  <c r="Y67" i="3"/>
  <c r="Y45" i="3"/>
  <c r="Y55" i="3"/>
  <c r="Y25" i="3"/>
  <c r="Y54" i="3"/>
  <c r="Y8" i="3"/>
  <c r="Y16" i="3"/>
  <c r="Y49" i="3"/>
  <c r="Y53" i="3"/>
  <c r="Y69" i="3"/>
  <c r="Y18" i="3"/>
  <c r="Y52" i="3"/>
  <c r="Y15" i="3"/>
  <c r="Y17" i="3"/>
  <c r="Y40" i="3"/>
  <c r="Y13" i="3"/>
  <c r="Y66" i="3"/>
  <c r="Y33" i="3"/>
  <c r="Y24" i="3"/>
  <c r="Y39" i="3"/>
  <c r="Y35" i="3"/>
  <c r="Y44" i="3"/>
  <c r="Y62" i="3"/>
  <c r="Y29" i="3"/>
  <c r="Y42" i="3"/>
  <c r="Y28" i="3"/>
  <c r="Y41" i="3"/>
  <c r="Y65" i="3"/>
  <c r="Y47" i="3"/>
  <c r="Y9" i="3"/>
  <c r="Y20" i="3"/>
  <c r="Y37" i="3"/>
  <c r="Y36" i="3"/>
  <c r="Y34" i="3"/>
  <c r="AA217" i="1"/>
  <c r="W217" i="1" s="1"/>
  <c r="AG216" i="1"/>
  <c r="AI216" i="1" s="1"/>
  <c r="X216" i="1"/>
  <c r="X208" i="1"/>
  <c r="AA205" i="1"/>
  <c r="AA204" i="1"/>
  <c r="W204" i="1" s="1"/>
  <c r="X157" i="1"/>
  <c r="T156" i="1"/>
  <c r="AG152" i="1"/>
  <c r="W152" i="1" s="1"/>
  <c r="AA142" i="1"/>
  <c r="AA137" i="1"/>
  <c r="W137" i="1" s="1"/>
  <c r="AA136" i="1"/>
  <c r="W136" i="1" s="1"/>
  <c r="T124" i="1"/>
  <c r="AG120" i="1"/>
  <c r="U120" i="1" s="1"/>
  <c r="S120" i="1" s="1"/>
  <c r="X120" i="1"/>
  <c r="AA114" i="1"/>
  <c r="AA113" i="1"/>
  <c r="AG108" i="1"/>
  <c r="U108" i="1" s="1"/>
  <c r="S108" i="1" s="1"/>
  <c r="AA98" i="1"/>
  <c r="AA97" i="1"/>
  <c r="AA200" i="1"/>
  <c r="W200" i="1" s="1"/>
  <c r="AA196" i="1"/>
  <c r="AA94" i="1"/>
  <c r="AG182" i="1"/>
  <c r="X182" i="1"/>
  <c r="X181" i="1"/>
  <c r="AA169" i="1"/>
  <c r="AA90" i="1"/>
  <c r="W90" i="1" s="1"/>
  <c r="T85" i="1"/>
  <c r="X84" i="1"/>
  <c r="AA84" i="1"/>
  <c r="AG76" i="1"/>
  <c r="U76" i="1" s="1"/>
  <c r="S76" i="1" s="1"/>
  <c r="AI74" i="1"/>
  <c r="AA52" i="1"/>
  <c r="X39" i="1"/>
  <c r="AA38" i="1"/>
  <c r="T35" i="1"/>
  <c r="AA33" i="1"/>
  <c r="AA32" i="1"/>
  <c r="AA14" i="1"/>
  <c r="X217" i="1"/>
  <c r="AA209" i="1"/>
  <c r="X165" i="1"/>
  <c r="AA164" i="1"/>
  <c r="AG161" i="1"/>
  <c r="AA158" i="1"/>
  <c r="AA157" i="1"/>
  <c r="W157" i="1" s="1"/>
  <c r="AG156" i="1"/>
  <c r="AI156" i="1" s="1"/>
  <c r="AA155" i="1"/>
  <c r="AA140" i="1"/>
  <c r="X139" i="1"/>
  <c r="AA138" i="1"/>
  <c r="X136" i="1"/>
  <c r="AG124" i="1"/>
  <c r="AI124" i="1" s="1"/>
  <c r="AA123" i="1"/>
  <c r="AA118" i="1"/>
  <c r="W118" i="1" s="1"/>
  <c r="AI103" i="1"/>
  <c r="AA103" i="1"/>
  <c r="W103" i="1" s="1"/>
  <c r="AA102" i="1"/>
  <c r="AA101" i="1"/>
  <c r="AA100" i="1"/>
  <c r="AG97" i="1"/>
  <c r="U97" i="1" s="1"/>
  <c r="S97" i="1" s="1"/>
  <c r="AA186" i="1"/>
  <c r="AA173" i="1"/>
  <c r="AA91" i="1"/>
  <c r="AG88" i="1"/>
  <c r="U88" i="1" s="1"/>
  <c r="S88" i="1" s="1"/>
  <c r="AG83" i="1"/>
  <c r="X83" i="1"/>
  <c r="AA76" i="1"/>
  <c r="AA67" i="1"/>
  <c r="AG64" i="1"/>
  <c r="AI64" i="1" s="1"/>
  <c r="X64" i="1"/>
  <c r="AA60" i="1"/>
  <c r="W60" i="1" s="1"/>
  <c r="AI56" i="1"/>
  <c r="AG51" i="1"/>
  <c r="AI51" i="1" s="1"/>
  <c r="AA69" i="1"/>
  <c r="AA20" i="1"/>
  <c r="W220" i="1"/>
  <c r="T217" i="1"/>
  <c r="U217" i="1" s="1"/>
  <c r="S217" i="1" s="1"/>
  <c r="AA213" i="1"/>
  <c r="AA211" i="1"/>
  <c r="W211" i="1" s="1"/>
  <c r="T208" i="1"/>
  <c r="U208" i="1" s="1"/>
  <c r="S208" i="1" s="1"/>
  <c r="T203" i="1"/>
  <c r="U203" i="1" s="1"/>
  <c r="S203" i="1" s="1"/>
  <c r="AG165" i="1"/>
  <c r="U165" i="1" s="1"/>
  <c r="S165" i="1" s="1"/>
  <c r="AA156" i="1"/>
  <c r="X152" i="1"/>
  <c r="T144" i="1"/>
  <c r="X141" i="1"/>
  <c r="AG140" i="1"/>
  <c r="AI140" i="1" s="1"/>
  <c r="X140" i="1"/>
  <c r="AA139" i="1"/>
  <c r="AA135" i="1"/>
  <c r="AA134" i="1"/>
  <c r="AA129" i="1"/>
  <c r="AG128" i="1"/>
  <c r="AI128" i="1" s="1"/>
  <c r="X128" i="1"/>
  <c r="AA127" i="1"/>
  <c r="T111" i="1"/>
  <c r="AG111" i="1"/>
  <c r="AI111" i="1" s="1"/>
  <c r="X105" i="1"/>
  <c r="AA104" i="1"/>
  <c r="T104" i="1"/>
  <c r="AG98" i="1"/>
  <c r="T98" i="1"/>
  <c r="U216" i="1"/>
  <c r="S216" i="1" s="1"/>
  <c r="AA206" i="1"/>
  <c r="W206" i="1" s="1"/>
  <c r="T204" i="1"/>
  <c r="U204" i="1" s="1"/>
  <c r="S204" i="1" s="1"/>
  <c r="T162" i="1"/>
  <c r="T136" i="1"/>
  <c r="U136" i="1" s="1"/>
  <c r="S136" i="1" s="1"/>
  <c r="T132" i="1"/>
  <c r="U132" i="1" s="1"/>
  <c r="X132" i="1"/>
  <c r="T127" i="1"/>
  <c r="X127" i="1"/>
  <c r="AG127" i="1"/>
  <c r="AI127" i="1" s="1"/>
  <c r="X199" i="1"/>
  <c r="AG199" i="1"/>
  <c r="U199" i="1" s="1"/>
  <c r="S199" i="1" s="1"/>
  <c r="T207" i="1"/>
  <c r="AA203" i="1"/>
  <c r="W203" i="1" s="1"/>
  <c r="T166" i="1"/>
  <c r="U166" i="1" s="1"/>
  <c r="S166" i="1" s="1"/>
  <c r="AA163" i="1"/>
  <c r="AA161" i="1"/>
  <c r="X155" i="1"/>
  <c r="AA154" i="1"/>
  <c r="W154" i="1" s="1"/>
  <c r="X148" i="1"/>
  <c r="AG144" i="1"/>
  <c r="AI144" i="1" s="1"/>
  <c r="T141" i="1"/>
  <c r="U141" i="1" s="1"/>
  <c r="X137" i="1"/>
  <c r="AG131" i="1"/>
  <c r="AI131" i="1" s="1"/>
  <c r="X131" i="1"/>
  <c r="AA124" i="1"/>
  <c r="X112" i="1"/>
  <c r="AG112" i="1"/>
  <c r="AA112" i="1"/>
  <c r="AA108" i="1"/>
  <c r="AG104" i="1"/>
  <c r="AG101" i="1"/>
  <c r="T101" i="1"/>
  <c r="AA215" i="1"/>
  <c r="W215" i="1" s="1"/>
  <c r="T212" i="1"/>
  <c r="AG207" i="1"/>
  <c r="U207" i="1" s="1"/>
  <c r="S207" i="1" s="1"/>
  <c r="X204" i="1"/>
  <c r="AA165" i="1"/>
  <c r="X162" i="1"/>
  <c r="U161" i="1"/>
  <c r="T157" i="1"/>
  <c r="U157" i="1" s="1"/>
  <c r="X153" i="1"/>
  <c r="U148" i="1"/>
  <c r="X108" i="1"/>
  <c r="AI141" i="1"/>
  <c r="T200" i="1"/>
  <c r="U200" i="1" s="1"/>
  <c r="S200" i="1" s="1"/>
  <c r="X198" i="1"/>
  <c r="AG197" i="1"/>
  <c r="W197" i="1" s="1"/>
  <c r="AA195" i="1"/>
  <c r="W195" i="1" s="1"/>
  <c r="U193" i="1"/>
  <c r="S193" i="1" s="1"/>
  <c r="AA188" i="1"/>
  <c r="AA187" i="1"/>
  <c r="W187" i="1" s="1"/>
  <c r="T187" i="1"/>
  <c r="U187" i="1" s="1"/>
  <c r="S187" i="1" s="1"/>
  <c r="AA181" i="1"/>
  <c r="AA174" i="1"/>
  <c r="AA92" i="1"/>
  <c r="T92" i="1"/>
  <c r="AA88" i="1"/>
  <c r="X88" i="1"/>
  <c r="T84" i="1"/>
  <c r="AA82" i="1"/>
  <c r="AG75" i="1"/>
  <c r="AI75" i="1" s="1"/>
  <c r="X75" i="1"/>
  <c r="AA74" i="1"/>
  <c r="W74" i="1" s="1"/>
  <c r="AA72" i="1"/>
  <c r="W72" i="1" s="1"/>
  <c r="AG69" i="1"/>
  <c r="AI69" i="1" s="1"/>
  <c r="X69" i="1"/>
  <c r="AG65" i="1"/>
  <c r="AI65" i="1" s="1"/>
  <c r="X65" i="1"/>
  <c r="T60" i="1"/>
  <c r="U60" i="1" s="1"/>
  <c r="S60" i="1" s="1"/>
  <c r="AA58" i="1"/>
  <c r="W58" i="1" s="1"/>
  <c r="X56" i="1"/>
  <c r="X55" i="1"/>
  <c r="AG55" i="1"/>
  <c r="U55" i="1" s="1"/>
  <c r="S55" i="1" s="1"/>
  <c r="AA54" i="1"/>
  <c r="AA53" i="1"/>
  <c r="AG52" i="1"/>
  <c r="T47" i="1"/>
  <c r="X47" i="1"/>
  <c r="AG47" i="1"/>
  <c r="AI47" i="1" s="1"/>
  <c r="AI45" i="1"/>
  <c r="T44" i="1"/>
  <c r="U44" i="1" s="1"/>
  <c r="S44" i="1" s="1"/>
  <c r="AA40" i="1"/>
  <c r="T186" i="1"/>
  <c r="X76" i="1"/>
  <c r="AI72" i="1"/>
  <c r="U72" i="1"/>
  <c r="T56" i="1"/>
  <c r="U56" i="1" s="1"/>
  <c r="S56" i="1" s="1"/>
  <c r="AA35" i="1"/>
  <c r="AG31" i="1"/>
  <c r="AI31" i="1" s="1"/>
  <c r="T29" i="1"/>
  <c r="AG16" i="1"/>
  <c r="X16" i="1"/>
  <c r="AA128" i="1"/>
  <c r="W128" i="1" s="1"/>
  <c r="AA122" i="1"/>
  <c r="W122" i="1" s="1"/>
  <c r="X116" i="1"/>
  <c r="AA107" i="1"/>
  <c r="AA99" i="1"/>
  <c r="X200" i="1"/>
  <c r="X196" i="1"/>
  <c r="AA189" i="1"/>
  <c r="W189" i="1" s="1"/>
  <c r="AG188" i="1"/>
  <c r="AI188" i="1" s="1"/>
  <c r="X188" i="1"/>
  <c r="X187" i="1"/>
  <c r="AG186" i="1"/>
  <c r="W186" i="1" s="1"/>
  <c r="AG174" i="1"/>
  <c r="U174" i="1" s="1"/>
  <c r="S174" i="1" s="1"/>
  <c r="X174" i="1"/>
  <c r="AG170" i="1"/>
  <c r="AG92" i="1"/>
  <c r="T87" i="1"/>
  <c r="AG84" i="1"/>
  <c r="AI84" i="1" s="1"/>
  <c r="T81" i="1"/>
  <c r="U81" i="1" s="1"/>
  <c r="S81" i="1" s="1"/>
  <c r="T69" i="1"/>
  <c r="X68" i="1"/>
  <c r="AG68" i="1"/>
  <c r="AA68" i="1"/>
  <c r="U64" i="1"/>
  <c r="S64" i="1" s="1"/>
  <c r="X61" i="1"/>
  <c r="AG48" i="1"/>
  <c r="AA48" i="1"/>
  <c r="AA43" i="1"/>
  <c r="AA37" i="1"/>
  <c r="W37" i="1" s="1"/>
  <c r="AA25" i="1"/>
  <c r="AA190" i="1"/>
  <c r="X189" i="1"/>
  <c r="X175" i="1"/>
  <c r="AG175" i="1"/>
  <c r="W175" i="1" s="1"/>
  <c r="X171" i="1"/>
  <c r="AA31" i="1"/>
  <c r="AG22" i="1"/>
  <c r="U22" i="1" s="1"/>
  <c r="S22" i="1" s="1"/>
  <c r="X22" i="1"/>
  <c r="T16" i="1"/>
  <c r="X15" i="1"/>
  <c r="AG15" i="1"/>
  <c r="AI15" i="1" s="1"/>
  <c r="AA15" i="1"/>
  <c r="AA185" i="1"/>
  <c r="AA184" i="1"/>
  <c r="AA176" i="1"/>
  <c r="T171" i="1"/>
  <c r="U171" i="1" s="1"/>
  <c r="S171" i="1" s="1"/>
  <c r="X91" i="1"/>
  <c r="AA83" i="1"/>
  <c r="W83" i="1" s="1"/>
  <c r="AA80" i="1"/>
  <c r="W80" i="1" s="1"/>
  <c r="AA75" i="1"/>
  <c r="X72" i="1"/>
  <c r="AA62" i="1"/>
  <c r="AA51" i="1"/>
  <c r="AA27" i="1"/>
  <c r="W27" i="1" s="1"/>
  <c r="AA22" i="1"/>
  <c r="AA21" i="1"/>
  <c r="W21" i="1" s="1"/>
  <c r="AA19" i="1"/>
  <c r="W19" i="1" s="1"/>
  <c r="T202" i="1"/>
  <c r="X202" i="1"/>
  <c r="AG202" i="1"/>
  <c r="X203" i="1"/>
  <c r="AI199" i="1"/>
  <c r="AI200" i="1"/>
  <c r="AA219" i="1"/>
  <c r="T218" i="1"/>
  <c r="X218" i="1"/>
  <c r="AG218" i="1"/>
  <c r="AI215" i="1"/>
  <c r="T210" i="1"/>
  <c r="X210" i="1"/>
  <c r="AG210" i="1"/>
  <c r="X211" i="1"/>
  <c r="T205" i="1"/>
  <c r="X205" i="1"/>
  <c r="AG205" i="1"/>
  <c r="AI205" i="1" s="1"/>
  <c r="W166" i="1"/>
  <c r="T219" i="1"/>
  <c r="X219" i="1"/>
  <c r="AG219" i="1"/>
  <c r="X220" i="1"/>
  <c r="T213" i="1"/>
  <c r="X213" i="1"/>
  <c r="AG213" i="1"/>
  <c r="AI213" i="1" s="1"/>
  <c r="AI220" i="1"/>
  <c r="S69" i="3"/>
  <c r="S70" i="3"/>
  <c r="AA210" i="1"/>
  <c r="T209" i="1"/>
  <c r="X209" i="1"/>
  <c r="AG209" i="1"/>
  <c r="AI209" i="1" s="1"/>
  <c r="T206" i="1"/>
  <c r="U206" i="1" s="1"/>
  <c r="S206" i="1" s="1"/>
  <c r="X206" i="1"/>
  <c r="AI204" i="1"/>
  <c r="AA160" i="1"/>
  <c r="AI194" i="1"/>
  <c r="U159" i="1"/>
  <c r="T154" i="1"/>
  <c r="U154" i="1" s="1"/>
  <c r="S154" i="1" s="1"/>
  <c r="X154" i="1"/>
  <c r="X151" i="1"/>
  <c r="AG151" i="1"/>
  <c r="AI151" i="1" s="1"/>
  <c r="AG149" i="1"/>
  <c r="X149" i="1"/>
  <c r="T149" i="1"/>
  <c r="T142" i="1"/>
  <c r="X142" i="1"/>
  <c r="AG142" i="1"/>
  <c r="AG129" i="1"/>
  <c r="X129" i="1"/>
  <c r="AI162" i="1"/>
  <c r="AI159" i="1"/>
  <c r="T122" i="1"/>
  <c r="U122" i="1" s="1"/>
  <c r="S122" i="1" s="1"/>
  <c r="X122" i="1"/>
  <c r="X119" i="1"/>
  <c r="AG119" i="1"/>
  <c r="AI119" i="1" s="1"/>
  <c r="AG117" i="1"/>
  <c r="X117" i="1"/>
  <c r="T117" i="1"/>
  <c r="T110" i="1"/>
  <c r="X110" i="1"/>
  <c r="AG110" i="1"/>
  <c r="AG99" i="1"/>
  <c r="AI99" i="1" s="1"/>
  <c r="AG190" i="1"/>
  <c r="X190" i="1"/>
  <c r="T190" i="1"/>
  <c r="W170" i="1"/>
  <c r="T168" i="1"/>
  <c r="AG168" i="1"/>
  <c r="AG53" i="1"/>
  <c r="T53" i="1"/>
  <c r="T30" i="1"/>
  <c r="AG30" i="1"/>
  <c r="AI21" i="1"/>
  <c r="X19" i="1"/>
  <c r="X18" i="1"/>
  <c r="AG18" i="1"/>
  <c r="T18" i="1"/>
  <c r="AI208" i="1"/>
  <c r="AI207" i="1"/>
  <c r="W164" i="1"/>
  <c r="T163" i="1"/>
  <c r="X163" i="1"/>
  <c r="AG163" i="1"/>
  <c r="AI163" i="1" s="1"/>
  <c r="T160" i="1"/>
  <c r="X160" i="1"/>
  <c r="AI189" i="1"/>
  <c r="W150" i="1"/>
  <c r="W138" i="1"/>
  <c r="AI166" i="1"/>
  <c r="AI157" i="1"/>
  <c r="AI153" i="1"/>
  <c r="AA214" i="1"/>
  <c r="S18" i="3"/>
  <c r="S58" i="3"/>
  <c r="W180" i="1"/>
  <c r="X178" i="1"/>
  <c r="AG93" i="1"/>
  <c r="AI95" i="1"/>
  <c r="AI83" i="1"/>
  <c r="U83" i="1"/>
  <c r="S83" i="1" s="1"/>
  <c r="T82" i="1"/>
  <c r="X82" i="1"/>
  <c r="AG82" i="1"/>
  <c r="S36" i="3"/>
  <c r="S45" i="3"/>
  <c r="X59" i="1"/>
  <c r="AG59" i="1"/>
  <c r="W216" i="1"/>
  <c r="T215" i="1"/>
  <c r="U215" i="1" s="1"/>
  <c r="S215" i="1" s="1"/>
  <c r="X215" i="1"/>
  <c r="U212" i="1"/>
  <c r="S212" i="1" s="1"/>
  <c r="AI212" i="1"/>
  <c r="AA202" i="1"/>
  <c r="T164" i="1"/>
  <c r="U164" i="1" s="1"/>
  <c r="S164" i="1" s="1"/>
  <c r="X164" i="1"/>
  <c r="U162" i="1"/>
  <c r="S162" i="1" s="1"/>
  <c r="X161" i="1"/>
  <c r="AG160" i="1"/>
  <c r="AI160" i="1" s="1"/>
  <c r="T158" i="1"/>
  <c r="X158" i="1"/>
  <c r="AG158" i="1"/>
  <c r="AG145" i="1"/>
  <c r="X145" i="1"/>
  <c r="AI179" i="1"/>
  <c r="X143" i="1"/>
  <c r="AI175" i="1"/>
  <c r="T138" i="1"/>
  <c r="U138" i="1" s="1"/>
  <c r="X138" i="1"/>
  <c r="X135" i="1"/>
  <c r="AG135" i="1"/>
  <c r="AI135" i="1" s="1"/>
  <c r="AG133" i="1"/>
  <c r="X133" i="1"/>
  <c r="T133" i="1"/>
  <c r="T129" i="1"/>
  <c r="U128" i="1"/>
  <c r="S128" i="1" s="1"/>
  <c r="T126" i="1"/>
  <c r="X126" i="1"/>
  <c r="AG126" i="1"/>
  <c r="X123" i="1"/>
  <c r="AG113" i="1"/>
  <c r="X113" i="1"/>
  <c r="AI147" i="1"/>
  <c r="X111" i="1"/>
  <c r="T106" i="1"/>
  <c r="U106" i="1" s="1"/>
  <c r="S106" i="1" s="1"/>
  <c r="X106" i="1"/>
  <c r="X214" i="1"/>
  <c r="AG214" i="1"/>
  <c r="AG102" i="1"/>
  <c r="T102" i="1"/>
  <c r="T99" i="1"/>
  <c r="X193" i="1"/>
  <c r="X192" i="1"/>
  <c r="AG192" i="1"/>
  <c r="AI192" i="1" s="1"/>
  <c r="T184" i="1"/>
  <c r="X184" i="1"/>
  <c r="AG184" i="1"/>
  <c r="AI105" i="1"/>
  <c r="AI88" i="1"/>
  <c r="S37" i="3"/>
  <c r="S38" i="3"/>
  <c r="AI37" i="1"/>
  <c r="W134" i="1"/>
  <c r="AI150" i="1"/>
  <c r="AI137" i="1"/>
  <c r="T96" i="1"/>
  <c r="AG96" i="1"/>
  <c r="AI96" i="1" s="1"/>
  <c r="AI121" i="1"/>
  <c r="T93" i="1"/>
  <c r="AG176" i="1"/>
  <c r="X176" i="1"/>
  <c r="T176" i="1"/>
  <c r="R37" i="3"/>
  <c r="R38" i="3"/>
  <c r="X60" i="1"/>
  <c r="T59" i="1"/>
  <c r="T49" i="1"/>
  <c r="AG49" i="1"/>
  <c r="T201" i="1"/>
  <c r="X201" i="1"/>
  <c r="T196" i="1"/>
  <c r="U189" i="1"/>
  <c r="S189" i="1" s="1"/>
  <c r="T94" i="1"/>
  <c r="T181" i="1"/>
  <c r="T173" i="1"/>
  <c r="X173" i="1"/>
  <c r="AG169" i="1"/>
  <c r="AI169" i="1" s="1"/>
  <c r="AG89" i="1"/>
  <c r="X89" i="1"/>
  <c r="T89" i="1"/>
  <c r="T86" i="1"/>
  <c r="X86" i="1"/>
  <c r="AG86" i="1"/>
  <c r="W86" i="1" s="1"/>
  <c r="U80" i="1"/>
  <c r="S80" i="1" s="1"/>
  <c r="T78" i="1"/>
  <c r="X78" i="1"/>
  <c r="AI68" i="1"/>
  <c r="T66" i="1"/>
  <c r="X66" i="1"/>
  <c r="T41" i="1"/>
  <c r="X41" i="1"/>
  <c r="AG40" i="1"/>
  <c r="T40" i="1"/>
  <c r="X40" i="1"/>
  <c r="T33" i="1"/>
  <c r="AG33" i="1"/>
  <c r="AG32" i="1"/>
  <c r="AI27" i="1"/>
  <c r="AA16" i="1"/>
  <c r="S46" i="3"/>
  <c r="S57" i="3"/>
  <c r="W159" i="1"/>
  <c r="T155" i="1"/>
  <c r="T146" i="1"/>
  <c r="X146" i="1"/>
  <c r="T139" i="1"/>
  <c r="T130" i="1"/>
  <c r="X130" i="1"/>
  <c r="T123" i="1"/>
  <c r="T114" i="1"/>
  <c r="X114" i="1"/>
  <c r="W111" i="1"/>
  <c r="T107" i="1"/>
  <c r="T100" i="1"/>
  <c r="AG201" i="1"/>
  <c r="AI201" i="1" s="1"/>
  <c r="T198" i="1"/>
  <c r="AG196" i="1"/>
  <c r="T194" i="1"/>
  <c r="U194" i="1" s="1"/>
  <c r="S194" i="1" s="1"/>
  <c r="T191" i="1"/>
  <c r="X191" i="1"/>
  <c r="AG94" i="1"/>
  <c r="T185" i="1"/>
  <c r="AG181" i="1"/>
  <c r="T179" i="1"/>
  <c r="U179" i="1" s="1"/>
  <c r="S179" i="1" s="1"/>
  <c r="T177" i="1"/>
  <c r="X177" i="1"/>
  <c r="AG173" i="1"/>
  <c r="AI173" i="1" s="1"/>
  <c r="T91" i="1"/>
  <c r="AG87" i="1"/>
  <c r="X87" i="1"/>
  <c r="AI85" i="1"/>
  <c r="U85" i="1"/>
  <c r="S85" i="1" s="1"/>
  <c r="X79" i="1"/>
  <c r="AG79" i="1"/>
  <c r="AG78" i="1"/>
  <c r="AG77" i="1"/>
  <c r="T77" i="1"/>
  <c r="AG73" i="1"/>
  <c r="X73" i="1"/>
  <c r="T73" i="1"/>
  <c r="S72" i="1"/>
  <c r="T70" i="1"/>
  <c r="X70" i="1"/>
  <c r="AG70" i="1"/>
  <c r="AG66" i="1"/>
  <c r="T62" i="1"/>
  <c r="X62" i="1"/>
  <c r="AG50" i="1"/>
  <c r="AG41" i="1"/>
  <c r="AG34" i="1"/>
  <c r="T25" i="1"/>
  <c r="X25" i="1"/>
  <c r="R27" i="3"/>
  <c r="R46" i="3"/>
  <c r="R57" i="3"/>
  <c r="R13" i="3"/>
  <c r="AG155" i="1"/>
  <c r="AI155" i="1" s="1"/>
  <c r="T153" i="1"/>
  <c r="U153" i="1" s="1"/>
  <c r="T150" i="1"/>
  <c r="U150" i="1" s="1"/>
  <c r="X150" i="1"/>
  <c r="AA147" i="1"/>
  <c r="W147" i="1" s="1"/>
  <c r="AG146" i="1"/>
  <c r="AI146" i="1" s="1"/>
  <c r="AG139" i="1"/>
  <c r="AI139" i="1" s="1"/>
  <c r="T137" i="1"/>
  <c r="U137" i="1" s="1"/>
  <c r="S137" i="1" s="1"/>
  <c r="T134" i="1"/>
  <c r="U134" i="1" s="1"/>
  <c r="S134" i="1" s="1"/>
  <c r="X134" i="1"/>
  <c r="AA131" i="1"/>
  <c r="AG130" i="1"/>
  <c r="U125" i="1"/>
  <c r="S125" i="1" s="1"/>
  <c r="AG123" i="1"/>
  <c r="AI123" i="1" s="1"/>
  <c r="T121" i="1"/>
  <c r="U121" i="1" s="1"/>
  <c r="S121" i="1" s="1"/>
  <c r="T118" i="1"/>
  <c r="U118" i="1" s="1"/>
  <c r="S118" i="1" s="1"/>
  <c r="X118" i="1"/>
  <c r="AA115" i="1"/>
  <c r="W115" i="1" s="1"/>
  <c r="AG114" i="1"/>
  <c r="AI114" i="1" s="1"/>
  <c r="AG107" i="1"/>
  <c r="AI107" i="1" s="1"/>
  <c r="T105" i="1"/>
  <c r="U105" i="1" s="1"/>
  <c r="S105" i="1" s="1"/>
  <c r="T103" i="1"/>
  <c r="U103" i="1" s="1"/>
  <c r="S103" i="1" s="1"/>
  <c r="AG100" i="1"/>
  <c r="AI100" i="1" s="1"/>
  <c r="AG198" i="1"/>
  <c r="T95" i="1"/>
  <c r="U95" i="1" s="1"/>
  <c r="T195" i="1"/>
  <c r="U195" i="1" s="1"/>
  <c r="S195" i="1" s="1"/>
  <c r="X195" i="1"/>
  <c r="X194" i="1"/>
  <c r="AA192" i="1"/>
  <c r="AG191" i="1"/>
  <c r="AI191" i="1" s="1"/>
  <c r="AI115" i="1"/>
  <c r="AG185" i="1"/>
  <c r="AI185" i="1" s="1"/>
  <c r="T183" i="1"/>
  <c r="U183" i="1" s="1"/>
  <c r="S183" i="1" s="1"/>
  <c r="T180" i="1"/>
  <c r="U180" i="1" s="1"/>
  <c r="S180" i="1" s="1"/>
  <c r="X180" i="1"/>
  <c r="X179" i="1"/>
  <c r="AA93" i="1"/>
  <c r="AG177" i="1"/>
  <c r="T172" i="1"/>
  <c r="U172" i="1" s="1"/>
  <c r="S172" i="1" s="1"/>
  <c r="X172" i="1"/>
  <c r="AA168" i="1"/>
  <c r="AG91" i="1"/>
  <c r="AI90" i="1"/>
  <c r="X85" i="1"/>
  <c r="AI80" i="1"/>
  <c r="AG71" i="1"/>
  <c r="X71" i="1"/>
  <c r="U68" i="1"/>
  <c r="S68" i="1" s="1"/>
  <c r="X63" i="1"/>
  <c r="AG63" i="1"/>
  <c r="AG62" i="1"/>
  <c r="AG61" i="1"/>
  <c r="T61" i="1"/>
  <c r="AA59" i="1"/>
  <c r="AG57" i="1"/>
  <c r="X57" i="1"/>
  <c r="T57" i="1"/>
  <c r="T54" i="1"/>
  <c r="AG54" i="1"/>
  <c r="AG43" i="1"/>
  <c r="X38" i="1"/>
  <c r="AG38" i="1"/>
  <c r="AG36" i="1"/>
  <c r="X36" i="1"/>
  <c r="T32" i="1"/>
  <c r="AA30" i="1"/>
  <c r="X26" i="1"/>
  <c r="AG26" i="1"/>
  <c r="W26" i="1" s="1"/>
  <c r="AG25" i="1"/>
  <c r="AG24" i="1"/>
  <c r="T24" i="1"/>
  <c r="AI22" i="1"/>
  <c r="AG20" i="1"/>
  <c r="X20" i="1"/>
  <c r="T20" i="1"/>
  <c r="T17" i="1"/>
  <c r="X17" i="1"/>
  <c r="AG17" i="1"/>
  <c r="T90" i="1"/>
  <c r="U90" i="1" s="1"/>
  <c r="S90" i="1" s="1"/>
  <c r="X90" i="1"/>
  <c r="AA87" i="1"/>
  <c r="T74" i="1"/>
  <c r="U74" i="1" s="1"/>
  <c r="S74" i="1" s="1"/>
  <c r="X74" i="1"/>
  <c r="AA71" i="1"/>
  <c r="T58" i="1"/>
  <c r="U58" i="1" s="1"/>
  <c r="S58" i="1" s="1"/>
  <c r="X58" i="1"/>
  <c r="AA55" i="1"/>
  <c r="T46" i="1"/>
  <c r="U46" i="1" s="1"/>
  <c r="S46" i="1" s="1"/>
  <c r="X46" i="1"/>
  <c r="AA41" i="1"/>
  <c r="AA50" i="1"/>
  <c r="T37" i="1"/>
  <c r="U37" i="1" s="1"/>
  <c r="S37" i="1" s="1"/>
  <c r="X37" i="1"/>
  <c r="AA34" i="1"/>
  <c r="U29" i="1"/>
  <c r="S29" i="1" s="1"/>
  <c r="T21" i="1"/>
  <c r="U21" i="1" s="1"/>
  <c r="S21" i="1" s="1"/>
  <c r="X21" i="1"/>
  <c r="AA18" i="1"/>
  <c r="Y32" i="3"/>
  <c r="Y63" i="3"/>
  <c r="Y61" i="3"/>
  <c r="Y7" i="3"/>
  <c r="Y27" i="3"/>
  <c r="Y26" i="3"/>
  <c r="Y10" i="3"/>
  <c r="Y21" i="3"/>
  <c r="Y50" i="3"/>
  <c r="Y57" i="3"/>
  <c r="Y30" i="3"/>
  <c r="AD69" i="3"/>
  <c r="AD67" i="3"/>
  <c r="AD65" i="3"/>
  <c r="AD63" i="3"/>
  <c r="AD61" i="3"/>
  <c r="AD59" i="3"/>
  <c r="AD57" i="3"/>
  <c r="AD55" i="3"/>
  <c r="AD53" i="3"/>
  <c r="AD51" i="3"/>
  <c r="AD49" i="3"/>
  <c r="AD47" i="3"/>
  <c r="AD45" i="3"/>
  <c r="AD43" i="3"/>
  <c r="AD41" i="3"/>
  <c r="AD39" i="3"/>
  <c r="AD37" i="3"/>
  <c r="AD35" i="3"/>
  <c r="AD33" i="3"/>
  <c r="AD31" i="3"/>
  <c r="AD29" i="3"/>
  <c r="AD27" i="3"/>
  <c r="AD25" i="3"/>
  <c r="AD21" i="3"/>
  <c r="AD19" i="3"/>
  <c r="AD17" i="3"/>
  <c r="AD15" i="3"/>
  <c r="AD13" i="3"/>
  <c r="AD11" i="3"/>
  <c r="AD9" i="3"/>
  <c r="AD70" i="3"/>
  <c r="AD68" i="3"/>
  <c r="AD66" i="3"/>
  <c r="AD64" i="3"/>
  <c r="AD62" i="3"/>
  <c r="AD60" i="3"/>
  <c r="AD58" i="3"/>
  <c r="AD56" i="3"/>
  <c r="AD54" i="3"/>
  <c r="AD52" i="3"/>
  <c r="AD50" i="3"/>
  <c r="AD48" i="3"/>
  <c r="AD46" i="3"/>
  <c r="AD44" i="3"/>
  <c r="AD42" i="3"/>
  <c r="AD40" i="3"/>
  <c r="AD38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D10" i="3"/>
  <c r="AD8" i="3"/>
  <c r="Y11" i="3"/>
  <c r="Y31" i="3"/>
  <c r="Y70" i="3"/>
  <c r="Y58" i="3"/>
  <c r="Y64" i="3"/>
  <c r="Y38" i="3"/>
  <c r="Y12" i="3"/>
  <c r="Y51" i="3"/>
  <c r="Y68" i="3"/>
  <c r="Y56" i="3"/>
  <c r="Y22" i="3"/>
  <c r="Y60" i="3"/>
  <c r="Y43" i="3"/>
  <c r="Y59" i="3"/>
  <c r="Y14" i="3"/>
  <c r="M23" i="3"/>
  <c r="R23" i="3"/>
  <c r="S23" i="3"/>
  <c r="U23" i="3"/>
  <c r="T23" i="3" s="1"/>
  <c r="V23" i="3"/>
  <c r="W23" i="3"/>
  <c r="X23" i="3"/>
  <c r="AC23" i="3"/>
  <c r="U52" i="1" l="1"/>
  <c r="S52" i="1" s="1"/>
  <c r="W45" i="1"/>
  <c r="AI19" i="1"/>
  <c r="W101" i="1"/>
  <c r="W127" i="1"/>
  <c r="W126" i="1"/>
  <c r="W98" i="1"/>
  <c r="W140" i="1"/>
  <c r="U14" i="1"/>
  <c r="S14" i="1" s="1"/>
  <c r="W88" i="1"/>
  <c r="W36" i="1"/>
  <c r="W131" i="1"/>
  <c r="U131" i="1"/>
  <c r="S131" i="1" s="1"/>
  <c r="S147" i="1"/>
  <c r="AI55" i="1"/>
  <c r="W14" i="1"/>
  <c r="W55" i="1"/>
  <c r="W77" i="1"/>
  <c r="W32" i="1"/>
  <c r="U31" i="1"/>
  <c r="S31" i="1" s="1"/>
  <c r="W51" i="1"/>
  <c r="W61" i="1"/>
  <c r="U67" i="1"/>
  <c r="S67" i="1" s="1"/>
  <c r="W67" i="1"/>
  <c r="AI52" i="1"/>
  <c r="W76" i="1"/>
  <c r="W116" i="1"/>
  <c r="U170" i="1"/>
  <c r="S170" i="1" s="1"/>
  <c r="W198" i="1"/>
  <c r="U175" i="1"/>
  <c r="S175" i="1" s="1"/>
  <c r="W18" i="1"/>
  <c r="W34" i="1"/>
  <c r="W184" i="1"/>
  <c r="AI178" i="1"/>
  <c r="W165" i="1"/>
  <c r="W190" i="1"/>
  <c r="U39" i="1"/>
  <c r="S39" i="1" s="1"/>
  <c r="U178" i="1"/>
  <c r="S178" i="1" s="1"/>
  <c r="U48" i="1"/>
  <c r="S48" i="1" s="1"/>
  <c r="W112" i="1"/>
  <c r="U51" i="1"/>
  <c r="S51" i="1" s="1"/>
  <c r="W182" i="1"/>
  <c r="U16" i="1"/>
  <c r="S16" i="1" s="1"/>
  <c r="W142" i="1"/>
  <c r="W95" i="1"/>
  <c r="W148" i="1"/>
  <c r="U15" i="1"/>
  <c r="S15" i="1" s="1"/>
  <c r="W84" i="1"/>
  <c r="W93" i="1"/>
  <c r="AI16" i="1"/>
  <c r="W119" i="1"/>
  <c r="AI120" i="1"/>
  <c r="W156" i="1"/>
  <c r="W120" i="1"/>
  <c r="W39" i="1"/>
  <c r="W50" i="1"/>
  <c r="W87" i="1"/>
  <c r="W30" i="1"/>
  <c r="W97" i="1"/>
  <c r="W143" i="1"/>
  <c r="W16" i="1"/>
  <c r="U75" i="1"/>
  <c r="S75" i="1" s="1"/>
  <c r="W207" i="1"/>
  <c r="W47" i="1"/>
  <c r="U156" i="1"/>
  <c r="W196" i="1"/>
  <c r="AI97" i="1"/>
  <c r="U124" i="1"/>
  <c r="S124" i="1" s="1"/>
  <c r="W133" i="1"/>
  <c r="W202" i="1"/>
  <c r="W117" i="1"/>
  <c r="W129" i="1"/>
  <c r="U144" i="1"/>
  <c r="S144" i="1" s="1"/>
  <c r="AI108" i="1"/>
  <c r="W108" i="1"/>
  <c r="W124" i="1"/>
  <c r="W168" i="1"/>
  <c r="U69" i="1"/>
  <c r="S69" i="1" s="1"/>
  <c r="W161" i="1"/>
  <c r="W210" i="1"/>
  <c r="W22" i="1"/>
  <c r="W69" i="1"/>
  <c r="W53" i="1"/>
  <c r="U84" i="1"/>
  <c r="S84" i="1" s="1"/>
  <c r="W75" i="1"/>
  <c r="W15" i="1"/>
  <c r="U47" i="1"/>
  <c r="S47" i="1" s="1"/>
  <c r="W174" i="1"/>
  <c r="U98" i="1"/>
  <c r="S98" i="1" s="1"/>
  <c r="U35" i="1"/>
  <c r="W99" i="1"/>
  <c r="W65" i="1"/>
  <c r="W35" i="1"/>
  <c r="W78" i="1"/>
  <c r="AI76" i="1"/>
  <c r="AI48" i="1"/>
  <c r="W38" i="1"/>
  <c r="W59" i="1"/>
  <c r="W192" i="1"/>
  <c r="W79" i="1"/>
  <c r="W188" i="1"/>
  <c r="AI182" i="1"/>
  <c r="U111" i="1"/>
  <c r="S111" i="1" s="1"/>
  <c r="U127" i="1"/>
  <c r="S127" i="1" s="1"/>
  <c r="AI23" i="1"/>
  <c r="U152" i="1"/>
  <c r="S152" i="1" s="1"/>
  <c r="U65" i="1"/>
  <c r="S65" i="1" s="1"/>
  <c r="W91" i="1"/>
  <c r="W130" i="1"/>
  <c r="U188" i="1"/>
  <c r="S188" i="1" s="1"/>
  <c r="AI143" i="1"/>
  <c r="W158" i="1"/>
  <c r="W23" i="1"/>
  <c r="U182" i="1"/>
  <c r="S182" i="1" s="1"/>
  <c r="U186" i="1"/>
  <c r="S186" i="1" s="1"/>
  <c r="W31" i="1"/>
  <c r="W52" i="1"/>
  <c r="W64" i="1"/>
  <c r="W176" i="1"/>
  <c r="AI176" i="1"/>
  <c r="W48" i="1"/>
  <c r="U92" i="1"/>
  <c r="S92" i="1" s="1"/>
  <c r="AI92" i="1"/>
  <c r="U101" i="1"/>
  <c r="S101" i="1" s="1"/>
  <c r="AI112" i="1"/>
  <c r="U112" i="1"/>
  <c r="S112" i="1" s="1"/>
  <c r="W199" i="1"/>
  <c r="AI196" i="1"/>
  <c r="W68" i="1"/>
  <c r="U104" i="1"/>
  <c r="S104" i="1" s="1"/>
  <c r="AI104" i="1"/>
  <c r="AI130" i="1"/>
  <c r="W151" i="1"/>
  <c r="W92" i="1"/>
  <c r="W144" i="1"/>
  <c r="U140" i="1"/>
  <c r="S140" i="1" s="1"/>
  <c r="U197" i="1"/>
  <c r="S197" i="1" s="1"/>
  <c r="AI197" i="1"/>
  <c r="W104" i="1"/>
  <c r="W71" i="1"/>
  <c r="AI110" i="1"/>
  <c r="U185" i="1"/>
  <c r="S185" i="1" s="1"/>
  <c r="U100" i="1"/>
  <c r="AI133" i="1"/>
  <c r="AI158" i="1"/>
  <c r="U123" i="1"/>
  <c r="S123" i="1" s="1"/>
  <c r="U173" i="1"/>
  <c r="S173" i="1" s="1"/>
  <c r="AI98" i="1"/>
  <c r="U94" i="1"/>
  <c r="S94" i="1" s="1"/>
  <c r="AI113" i="1"/>
  <c r="U201" i="1"/>
  <c r="S201" i="1" s="1"/>
  <c r="AI129" i="1"/>
  <c r="AI33" i="1"/>
  <c r="U33" i="1"/>
  <c r="S33" i="1" s="1"/>
  <c r="U89" i="1"/>
  <c r="S89" i="1" s="1"/>
  <c r="AI89" i="1"/>
  <c r="W185" i="1"/>
  <c r="U49" i="1"/>
  <c r="S49" i="1" s="1"/>
  <c r="W49" i="1"/>
  <c r="AI49" i="1"/>
  <c r="AI125" i="1"/>
  <c r="U96" i="1"/>
  <c r="S95" i="1" s="1"/>
  <c r="U145" i="1"/>
  <c r="AI180" i="1"/>
  <c r="AI18" i="1"/>
  <c r="U18" i="1"/>
  <c r="S18" i="1" s="1"/>
  <c r="W201" i="1"/>
  <c r="AI154" i="1"/>
  <c r="U119" i="1"/>
  <c r="S119" i="1" s="1"/>
  <c r="U129" i="1"/>
  <c r="AI164" i="1"/>
  <c r="U149" i="1"/>
  <c r="S149" i="1" s="1"/>
  <c r="AI184" i="1"/>
  <c r="U205" i="1"/>
  <c r="S205" i="1" s="1"/>
  <c r="AI206" i="1"/>
  <c r="W205" i="1"/>
  <c r="AI25" i="1"/>
  <c r="U25" i="1"/>
  <c r="S25" i="1" s="1"/>
  <c r="U36" i="1"/>
  <c r="AI36" i="1"/>
  <c r="U54" i="1"/>
  <c r="S54" i="1" s="1"/>
  <c r="AI54" i="1"/>
  <c r="W54" i="1"/>
  <c r="AI71" i="1"/>
  <c r="U71" i="1"/>
  <c r="S71" i="1" s="1"/>
  <c r="AI62" i="1"/>
  <c r="U62" i="1"/>
  <c r="S62" i="1" s="1"/>
  <c r="W41" i="1"/>
  <c r="U20" i="1"/>
  <c r="S20" i="1" s="1"/>
  <c r="AI20" i="1"/>
  <c r="W20" i="1"/>
  <c r="U24" i="1"/>
  <c r="S24" i="1" s="1"/>
  <c r="AI24" i="1"/>
  <c r="AI43" i="1"/>
  <c r="U43" i="1"/>
  <c r="S43" i="1" s="1"/>
  <c r="AI63" i="1"/>
  <c r="U63" i="1"/>
  <c r="S63" i="1" s="1"/>
  <c r="U177" i="1"/>
  <c r="S177" i="1" s="1"/>
  <c r="AI101" i="1"/>
  <c r="W177" i="1"/>
  <c r="AI142" i="1"/>
  <c r="U107" i="1"/>
  <c r="S107" i="1" s="1"/>
  <c r="U146" i="1"/>
  <c r="S146" i="1" s="1"/>
  <c r="AI181" i="1"/>
  <c r="AI50" i="1"/>
  <c r="U50" i="1"/>
  <c r="S50" i="1" s="1"/>
  <c r="W63" i="1"/>
  <c r="U73" i="1"/>
  <c r="S73" i="1" s="1"/>
  <c r="AI73" i="1"/>
  <c r="W73" i="1"/>
  <c r="U77" i="1"/>
  <c r="AI77" i="1"/>
  <c r="AI106" i="1"/>
  <c r="U181" i="1"/>
  <c r="S181" i="1" s="1"/>
  <c r="AI122" i="1"/>
  <c r="U196" i="1"/>
  <c r="S196" i="1" s="1"/>
  <c r="AI94" i="1"/>
  <c r="U169" i="1"/>
  <c r="S169" i="1" s="1"/>
  <c r="W169" i="1"/>
  <c r="AI118" i="1"/>
  <c r="U192" i="1"/>
  <c r="S192" i="1" s="1"/>
  <c r="W96" i="1"/>
  <c r="U102" i="1"/>
  <c r="S102" i="1" s="1"/>
  <c r="AI136" i="1"/>
  <c r="W24" i="1"/>
  <c r="W62" i="1"/>
  <c r="W89" i="1"/>
  <c r="U99" i="1"/>
  <c r="AI132" i="1"/>
  <c r="AI186" i="1"/>
  <c r="U151" i="1"/>
  <c r="S150" i="1" s="1"/>
  <c r="U209" i="1"/>
  <c r="S209" i="1" s="1"/>
  <c r="AI210" i="1"/>
  <c r="W100" i="1"/>
  <c r="U213" i="1"/>
  <c r="S213" i="1" s="1"/>
  <c r="AI214" i="1"/>
  <c r="W213" i="1"/>
  <c r="AI219" i="1"/>
  <c r="U219" i="1"/>
  <c r="S219" i="1" s="1"/>
  <c r="W146" i="1"/>
  <c r="AI211" i="1"/>
  <c r="U210" i="1"/>
  <c r="S210" i="1" s="1"/>
  <c r="W219" i="1"/>
  <c r="AI41" i="1"/>
  <c r="U41" i="1"/>
  <c r="S41" i="1" s="1"/>
  <c r="AI66" i="1"/>
  <c r="U66" i="1"/>
  <c r="S66" i="1" s="1"/>
  <c r="AI78" i="1"/>
  <c r="U78" i="1"/>
  <c r="AI87" i="1"/>
  <c r="U87" i="1"/>
  <c r="S87" i="1" s="1"/>
  <c r="U40" i="1"/>
  <c r="S40" i="1" s="1"/>
  <c r="AI40" i="1"/>
  <c r="W107" i="1"/>
  <c r="W173" i="1"/>
  <c r="AI138" i="1"/>
  <c r="U214" i="1"/>
  <c r="S214" i="1" s="1"/>
  <c r="U133" i="1"/>
  <c r="S133" i="1" s="1"/>
  <c r="AI168" i="1"/>
  <c r="AI195" i="1"/>
  <c r="U160" i="1"/>
  <c r="S160" i="1" s="1"/>
  <c r="AI202" i="1"/>
  <c r="W66" i="1"/>
  <c r="U82" i="1"/>
  <c r="S82" i="1" s="1"/>
  <c r="AI82" i="1"/>
  <c r="AI134" i="1"/>
  <c r="W145" i="1"/>
  <c r="W25" i="1"/>
  <c r="U53" i="1"/>
  <c r="S53" i="1" s="1"/>
  <c r="AI53" i="1"/>
  <c r="W82" i="1"/>
  <c r="U110" i="1"/>
  <c r="S110" i="1" s="1"/>
  <c r="AI145" i="1"/>
  <c r="U142" i="1"/>
  <c r="S141" i="1" s="1"/>
  <c r="AI177" i="1"/>
  <c r="W160" i="1"/>
  <c r="U218" i="1"/>
  <c r="S218" i="1" s="1"/>
  <c r="AI218" i="1"/>
  <c r="W218" i="1"/>
  <c r="W102" i="1"/>
  <c r="AI203" i="1"/>
  <c r="U202" i="1"/>
  <c r="S202" i="1" s="1"/>
  <c r="AI126" i="1"/>
  <c r="U198" i="1"/>
  <c r="S198" i="1" s="1"/>
  <c r="U130" i="1"/>
  <c r="S130" i="1" s="1"/>
  <c r="AI165" i="1"/>
  <c r="AI190" i="1"/>
  <c r="U155" i="1"/>
  <c r="U17" i="1"/>
  <c r="S17" i="1" s="1"/>
  <c r="AI17" i="1"/>
  <c r="W17" i="1"/>
  <c r="AI26" i="1"/>
  <c r="U26" i="1"/>
  <c r="S26" i="1" s="1"/>
  <c r="AI38" i="1"/>
  <c r="U38" i="1"/>
  <c r="S38" i="1" s="1"/>
  <c r="U57" i="1"/>
  <c r="S57" i="1" s="1"/>
  <c r="AI57" i="1"/>
  <c r="W57" i="1"/>
  <c r="U61" i="1"/>
  <c r="S61" i="1" s="1"/>
  <c r="AI61" i="1"/>
  <c r="AI91" i="1"/>
  <c r="U91" i="1"/>
  <c r="S91" i="1" s="1"/>
  <c r="U191" i="1"/>
  <c r="S191" i="1" s="1"/>
  <c r="AI117" i="1"/>
  <c r="W191" i="1"/>
  <c r="U114" i="1"/>
  <c r="S114" i="1" s="1"/>
  <c r="AI149" i="1"/>
  <c r="W114" i="1"/>
  <c r="AI174" i="1"/>
  <c r="U139" i="1"/>
  <c r="S138" i="1" s="1"/>
  <c r="AI34" i="1"/>
  <c r="U34" i="1"/>
  <c r="S34" i="1" s="1"/>
  <c r="W43" i="1"/>
  <c r="U70" i="1"/>
  <c r="S70" i="1" s="1"/>
  <c r="AI70" i="1"/>
  <c r="W70" i="1"/>
  <c r="AI79" i="1"/>
  <c r="U79" i="1"/>
  <c r="S79" i="1" s="1"/>
  <c r="U32" i="1"/>
  <c r="S32" i="1" s="1"/>
  <c r="AI32" i="1"/>
  <c r="U86" i="1"/>
  <c r="S86" i="1" s="1"/>
  <c r="AI86" i="1"/>
  <c r="U176" i="1"/>
  <c r="S176" i="1" s="1"/>
  <c r="W94" i="1"/>
  <c r="W139" i="1"/>
  <c r="AI109" i="1"/>
  <c r="U184" i="1"/>
  <c r="S184" i="1" s="1"/>
  <c r="U113" i="1"/>
  <c r="S113" i="1" s="1"/>
  <c r="AI148" i="1"/>
  <c r="AI161" i="1"/>
  <c r="U126" i="1"/>
  <c r="S126" i="1" s="1"/>
  <c r="AI170" i="1"/>
  <c r="U135" i="1"/>
  <c r="S135" i="1" s="1"/>
  <c r="AI193" i="1"/>
  <c r="U158" i="1"/>
  <c r="S158" i="1" s="1"/>
  <c r="W40" i="1"/>
  <c r="AI59" i="1"/>
  <c r="U59" i="1"/>
  <c r="S59" i="1" s="1"/>
  <c r="AI102" i="1"/>
  <c r="U93" i="1"/>
  <c r="S93" i="1" s="1"/>
  <c r="W181" i="1"/>
  <c r="W214" i="1"/>
  <c r="W113" i="1"/>
  <c r="W123" i="1"/>
  <c r="W135" i="1"/>
  <c r="W155" i="1"/>
  <c r="U163" i="1"/>
  <c r="S163" i="1" s="1"/>
  <c r="AI198" i="1"/>
  <c r="U30" i="1"/>
  <c r="S30" i="1" s="1"/>
  <c r="AI30" i="1"/>
  <c r="W33" i="1"/>
  <c r="AI93" i="1"/>
  <c r="U168" i="1"/>
  <c r="S168" i="1" s="1"/>
  <c r="U190" i="1"/>
  <c r="S190" i="1" s="1"/>
  <c r="AI116" i="1"/>
  <c r="U117" i="1"/>
  <c r="S117" i="1" s="1"/>
  <c r="AI152" i="1"/>
  <c r="W149" i="1"/>
  <c r="W209" i="1"/>
  <c r="W110" i="1"/>
  <c r="W163" i="1"/>
  <c r="Y23" i="3"/>
  <c r="AD23" i="3"/>
  <c r="S155" i="1" l="1"/>
  <c r="S99" i="1"/>
  <c r="S77" i="1"/>
  <c r="S35" i="1"/>
  <c r="AD7" i="3"/>
  <c r="B4" i="6" l="1"/>
  <c r="F4" i="6" s="1"/>
  <c r="K4" i="6"/>
  <c r="B6" i="6"/>
  <c r="G6" i="6" s="1"/>
  <c r="K6" i="6"/>
  <c r="B7" i="6"/>
  <c r="F7" i="6" s="1"/>
  <c r="K7" i="6"/>
  <c r="B8" i="6"/>
  <c r="F8" i="6" s="1"/>
  <c r="K8" i="6"/>
  <c r="B9" i="6"/>
  <c r="F9" i="6" s="1"/>
  <c r="K9" i="6"/>
  <c r="B10" i="6"/>
  <c r="G10" i="6" s="1"/>
  <c r="K10" i="6"/>
  <c r="B11" i="6"/>
  <c r="K11" i="6"/>
  <c r="B12" i="6"/>
  <c r="F12" i="6" s="1"/>
  <c r="K12" i="6"/>
  <c r="B13" i="6"/>
  <c r="F13" i="6" s="1"/>
  <c r="K13" i="6"/>
  <c r="B14" i="6"/>
  <c r="G14" i="6" s="1"/>
  <c r="K14" i="6"/>
  <c r="B15" i="6"/>
  <c r="F15" i="6" s="1"/>
  <c r="K15" i="6"/>
  <c r="B16" i="6"/>
  <c r="F16" i="6" s="1"/>
  <c r="K16" i="6"/>
  <c r="I7" i="6" l="1"/>
  <c r="F10" i="6"/>
  <c r="G4" i="6"/>
  <c r="F11" i="6"/>
  <c r="I11" i="6"/>
  <c r="G8" i="6"/>
  <c r="F14" i="6"/>
  <c r="I15" i="6"/>
  <c r="G12" i="6"/>
  <c r="G16" i="6"/>
  <c r="F6" i="6"/>
  <c r="H15" i="6"/>
  <c r="H11" i="6"/>
  <c r="H7" i="6"/>
  <c r="I16" i="6"/>
  <c r="G15" i="6"/>
  <c r="J14" i="6"/>
  <c r="I12" i="6"/>
  <c r="G11" i="6"/>
  <c r="J10" i="6"/>
  <c r="I8" i="6"/>
  <c r="G7" i="6"/>
  <c r="J6" i="6"/>
  <c r="I4" i="6"/>
  <c r="H16" i="6"/>
  <c r="J15" i="6"/>
  <c r="I14" i="6"/>
  <c r="I13" i="6"/>
  <c r="H12" i="6"/>
  <c r="J11" i="6"/>
  <c r="I10" i="6"/>
  <c r="I9" i="6"/>
  <c r="H8" i="6"/>
  <c r="J7" i="6"/>
  <c r="I6" i="6"/>
  <c r="H4" i="6"/>
  <c r="H13" i="6"/>
  <c r="H9" i="6"/>
  <c r="J16" i="6"/>
  <c r="H14" i="6"/>
  <c r="G13" i="6"/>
  <c r="J12" i="6"/>
  <c r="H10" i="6"/>
  <c r="G9" i="6"/>
  <c r="J8" i="6"/>
  <c r="H6" i="6"/>
  <c r="J4" i="6"/>
  <c r="J13" i="6"/>
  <c r="J9" i="6"/>
  <c r="B86" i="9" l="1"/>
  <c r="B87" i="9"/>
  <c r="B88" i="9"/>
  <c r="B89" i="9"/>
  <c r="C90" i="9" s="1"/>
  <c r="B90" i="9"/>
  <c r="B91" i="9"/>
  <c r="C91" i="9" s="1"/>
  <c r="B92" i="9"/>
  <c r="B93" i="9"/>
  <c r="B94" i="9"/>
  <c r="B95" i="9"/>
  <c r="B96" i="9"/>
  <c r="B97" i="9"/>
  <c r="C97" i="9"/>
  <c r="B98" i="9"/>
  <c r="B99" i="9"/>
  <c r="B100" i="9"/>
  <c r="B101" i="9"/>
  <c r="B102" i="9"/>
  <c r="B103" i="9"/>
  <c r="B104" i="9"/>
  <c r="B105" i="9"/>
  <c r="C106" i="9" s="1"/>
  <c r="B106" i="9"/>
  <c r="B107" i="9"/>
  <c r="C107" i="9" s="1"/>
  <c r="B108" i="9"/>
  <c r="B109" i="9"/>
  <c r="B110" i="9"/>
  <c r="B111" i="9"/>
  <c r="C99" i="9" l="1"/>
  <c r="C96" i="9"/>
  <c r="C101" i="9"/>
  <c r="C104" i="9"/>
  <c r="C98" i="9"/>
  <c r="C88" i="9"/>
  <c r="C109" i="9"/>
  <c r="C105" i="9"/>
  <c r="C93" i="9"/>
  <c r="C89" i="9"/>
  <c r="C108" i="9"/>
  <c r="C100" i="9"/>
  <c r="C92" i="9"/>
  <c r="C111" i="9"/>
  <c r="C110" i="9"/>
  <c r="C103" i="9"/>
  <c r="C102" i="9"/>
  <c r="C95" i="9"/>
  <c r="C94" i="9"/>
  <c r="C87" i="9"/>
  <c r="B3" i="6" l="1"/>
  <c r="G3" i="6" s="1"/>
  <c r="K3" i="6"/>
  <c r="I3" i="6" l="1"/>
  <c r="J3" i="6"/>
  <c r="F3" i="6"/>
  <c r="H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58" i="9" l="1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29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9" i="3" l="1"/>
  <c r="N52" i="3"/>
  <c r="N15" i="3"/>
  <c r="N21" i="3"/>
  <c r="N51" i="3"/>
  <c r="N59" i="3"/>
  <c r="N43" i="3"/>
  <c r="N8" i="3"/>
  <c r="N65" i="3"/>
  <c r="N33" i="3"/>
  <c r="N24" i="3"/>
  <c r="N63" i="3"/>
  <c r="N31" i="3"/>
  <c r="N70" i="3"/>
  <c r="N69" i="3"/>
  <c r="N37" i="3"/>
  <c r="N38" i="3"/>
  <c r="N12" i="3"/>
  <c r="N26" i="3"/>
  <c r="N36" i="3"/>
  <c r="N45" i="3"/>
  <c r="N50" i="3"/>
  <c r="N35" i="3"/>
  <c r="N19" i="3"/>
  <c r="N44" i="3"/>
  <c r="N22" i="3"/>
  <c r="N42" i="3"/>
  <c r="N16" i="3"/>
  <c r="N13" i="3"/>
  <c r="N61" i="3"/>
  <c r="N56" i="3"/>
  <c r="N49" i="3"/>
  <c r="N11" i="3"/>
  <c r="N48" i="3"/>
  <c r="N27" i="3"/>
  <c r="N20" i="3"/>
  <c r="N10" i="3"/>
  <c r="N46" i="3"/>
  <c r="N68" i="3"/>
  <c r="N60" i="3"/>
  <c r="N25" i="3"/>
  <c r="N28" i="3"/>
  <c r="N40" i="3"/>
  <c r="N54" i="3"/>
  <c r="N34" i="3"/>
  <c r="N66" i="3"/>
  <c r="N32" i="3"/>
  <c r="N53" i="3"/>
  <c r="N7" i="3"/>
  <c r="N47" i="3"/>
  <c r="N9" i="3"/>
  <c r="N64" i="3"/>
  <c r="N18" i="3"/>
  <c r="N58" i="3"/>
  <c r="N57" i="3"/>
  <c r="N30" i="3"/>
  <c r="N67" i="3"/>
  <c r="N62" i="3"/>
  <c r="N17" i="3"/>
  <c r="N55" i="3"/>
  <c r="N14" i="3"/>
  <c r="N41" i="3"/>
  <c r="N23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59" i="4" l="1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<sst xmlns="http://schemas.openxmlformats.org/spreadsheetml/2006/main" count="2871" uniqueCount="1009">
  <si>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</si>
  <si>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</si>
  <si>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</si>
  <si>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</si>
  <si>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</si>
  <si>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</si>
  <si>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</si>
  <si>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</si>
  <si>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</si>
  <si>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</si>
  <si>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</si>
  <si>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</si>
  <si>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</si>
  <si>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</si>
  <si>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</si>
  <si>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</si>
  <si>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</si>
  <si>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</si>
  <si>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</si>
  <si>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</si>
  <si>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</si>
  <si>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</si>
  <si>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</si>
  <si>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</si>
  <si>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</si>
  <si>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</si>
  <si>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</si>
  <si>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</si>
  <si>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</si>
  <si>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</si>
  <si>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</si>
  <si>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</si>
  <si>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</si>
  <si>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</si>
  <si>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</si>
  <si>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</si>
  <si>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</si>
  <si>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</si>
  <si>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</si>
  <si>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</si>
  <si>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</si>
  <si>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</si>
  <si>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</si>
  <si>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</si>
  <si>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</si>
  <si>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</si>
  <si>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</si>
  <si>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</si>
  <si>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</si>
  <si>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</si>
  <si>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</si>
  <si>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</si>
  <si>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</si>
  <si>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</si>
  <si>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</si>
  <si>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</si>
  <si>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</si>
  <si>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</si>
  <si>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</si>
  <si>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</si>
  <si>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</si>
  <si>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</si>
  <si>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</si>
  <si>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</si>
  <si>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</si>
  <si>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</si>
  <si>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</si>
  <si>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</si>
  <si>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</si>
  <si>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</si>
  <si>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</si>
  <si>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</si>
  <si>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</si>
  <si>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</si>
  <si>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</si>
  <si>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</si>
  <si>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</si>
  <si>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</si>
  <si>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</si>
  <si>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</si>
  <si>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</si>
  <si>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</si>
  <si>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</si>
  <si>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</si>
  <si>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</si>
  <si>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</si>
  <si>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</si>
  <si>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</si>
  <si>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</si>
  <si>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</si>
  <si>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</si>
  <si>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</si>
  <si>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</si>
  <si>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</si>
  <si>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</si>
  <si>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</si>
  <si>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</si>
  <si>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</si>
  <si>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</si>
  <si>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</si>
  <si>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</si>
  <si>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</si>
  <si>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</si>
  <si>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</si>
  <si>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</si>
  <si>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</si>
  <si>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</si>
  <si>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</si>
  <si>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</si>
  <si>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</si>
  <si>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</si>
  <si>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</si>
  <si>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</si>
  <si>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</si>
  <si>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</si>
  <si>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</si>
  <si>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</si>
  <si>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</si>
  <si>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</si>
  <si>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</si>
  <si>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</si>
  <si>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</si>
  <si>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</si>
  <si>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</si>
  <si>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</si>
  <si>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</si>
  <si>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</si>
  <si>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</si>
  <si>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</si>
  <si>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</si>
  <si>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</si>
  <si>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</si>
  <si>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</si>
  <si>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</si>
  <si>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</si>
  <si>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</si>
  <si>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</si>
  <si>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</si>
  <si>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</si>
  <si>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</si>
  <si>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</si>
  <si>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</si>
  <si>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</si>
  <si>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</si>
  <si>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</si>
  <si>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</si>
  <si>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</si>
  <si>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</si>
  <si>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</si>
  <si>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</si>
  <si>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</si>
  <si>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</si>
  <si>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</si>
  <si>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</si>
  <si>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</si>
  <si>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</si>
  <si>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</si>
  <si>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</si>
  <si>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</si>
  <si>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</si>
  <si>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</si>
  <si>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</si>
  <si>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</si>
  <si>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</si>
  <si>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</si>
  <si>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</si>
  <si>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</si>
  <si>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</si>
  <si>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</si>
  <si>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</si>
  <si>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</si>
  <si>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</si>
  <si>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</si>
  <si>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</si>
  <si>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</si>
  <si>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</si>
  <si>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</si>
  <si>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</si>
  <si>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</si>
  <si>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</si>
  <si>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</si>
  <si>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</si>
  <si>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</si>
  <si>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</si>
  <si>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</si>
  <si>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</si>
  <si>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</si>
  <si>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</si>
  <si>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</si>
  <si>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</si>
  <si>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</si>
  <si>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</si>
  <si>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</si>
  <si>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</si>
  <si>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</si>
  <si>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</si>
  <si>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</si>
  <si>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</si>
  <si>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</si>
  <si>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</si>
  <si>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</si>
  <si>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</si>
  <si>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</si>
  <si>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</si>
  <si>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</si>
  <si>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</si>
  <si>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</si>
  <si>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</si>
  <si>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</si>
  <si>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</si>
  <si>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</si>
  <si>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</si>
  <si>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</si>
  <si>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</si>
  <si>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</si>
  <si>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</si>
  <si>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</si>
  <si>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</si>
  <si>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</si>
  <si>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</si>
  <si>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</si>
  <si>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</si>
  <si>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</si>
  <si>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</si>
  <si>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204:141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</si>
  <si>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</si>
  <si>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</si>
  <si>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</si>
  <si>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</si>
  <si>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</si>
  <si>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</si>
  <si>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</si>
  <si>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</si>
  <si>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</si>
  <si>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</si>
  <si>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rtdc.l.rtdc.4032:itc</t>
  </si>
  <si>
    <t>CHANDLER</t>
  </si>
  <si>
    <t>LALONDE</t>
  </si>
  <si>
    <t>81-25</t>
  </si>
  <si>
    <t>80-25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</si>
  <si>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</si>
  <si>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</si>
  <si>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</si>
  <si>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</si>
  <si>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</si>
  <si>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</si>
  <si>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</si>
  <si>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</si>
  <si>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</si>
  <si>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</si>
  <si>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204:446</t>
  </si>
  <si>
    <t>JOHN</t>
  </si>
  <si>
    <t>DAVID</t>
  </si>
  <si>
    <t>JAMES</t>
  </si>
  <si>
    <t>Last + First</t>
  </si>
  <si>
    <t>Employee First Name</t>
  </si>
  <si>
    <t>rtdc.l.rtdc.4019:itc</t>
  </si>
  <si>
    <t>rtdc.l.rtdc.4020:itc</t>
  </si>
  <si>
    <t>KELVIN</t>
  </si>
  <si>
    <t>204:453</t>
  </si>
  <si>
    <t>204:152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</si>
  <si>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</si>
  <si>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</si>
  <si>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</si>
  <si>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</si>
  <si>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</si>
  <si>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</si>
  <si>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</si>
  <si>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</si>
  <si>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</si>
  <si>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300:58623</t>
  </si>
  <si>
    <t>204:233304</t>
  </si>
  <si>
    <t>204:232989</t>
  </si>
  <si>
    <t>204:232996</t>
  </si>
  <si>
    <t>204:232983</t>
  </si>
  <si>
    <t>204:467</t>
  </si>
  <si>
    <t>204:232977</t>
  </si>
  <si>
    <t>204:161</t>
  </si>
  <si>
    <t>204:232990</t>
  </si>
  <si>
    <t>204:160</t>
  </si>
  <si>
    <t>204:232987</t>
  </si>
  <si>
    <t>clear-night</t>
  </si>
  <si>
    <t>Clear</t>
  </si>
  <si>
    <t>204:158</t>
  </si>
  <si>
    <t>204:233312</t>
  </si>
  <si>
    <t>204:462</t>
  </si>
  <si>
    <t>204:232991</t>
  </si>
  <si>
    <t>204:435</t>
  </si>
  <si>
    <t>204:233314</t>
  </si>
  <si>
    <t>204:974</t>
  </si>
  <si>
    <t>rtdc.l.rtdc.4013:itc</t>
  </si>
  <si>
    <t>204:475</t>
  </si>
  <si>
    <t>204:232998</t>
  </si>
  <si>
    <t>204:486</t>
  </si>
  <si>
    <t>204:233011</t>
  </si>
  <si>
    <t>204:233323</t>
  </si>
  <si>
    <t>300:58931</t>
  </si>
  <si>
    <t>300:58935</t>
  </si>
  <si>
    <t>300:58613</t>
  </si>
  <si>
    <t>300:58944</t>
  </si>
  <si>
    <t>300:58937</t>
  </si>
  <si>
    <t>rtdc.l.rtdc.4004:itc</t>
  </si>
  <si>
    <t>rtdc.l.rtdc.4021:itc</t>
  </si>
  <si>
    <t>SCOTT</t>
  </si>
  <si>
    <t>rtdc.l.rtdc.4003:itc</t>
  </si>
  <si>
    <t>DUSTIN</t>
  </si>
  <si>
    <t>315-13</t>
  </si>
  <si>
    <t>204:138</t>
  </si>
  <si>
    <t>204:444</t>
  </si>
  <si>
    <t>204:477</t>
  </si>
  <si>
    <t>204:136</t>
  </si>
  <si>
    <t>204:132</t>
  </si>
  <si>
    <t>204:233017</t>
  </si>
  <si>
    <t>204:176</t>
  </si>
  <si>
    <t>300:58960</t>
  </si>
  <si>
    <t>204:978</t>
  </si>
  <si>
    <t>rtdc.l.rtdc.4018:itc</t>
  </si>
  <si>
    <t>rtdc.l.rtdc.4017:itc</t>
  </si>
  <si>
    <t>GEBRETEKLE</t>
  </si>
  <si>
    <t>DAGNEW</t>
  </si>
  <si>
    <t>MAELZER</t>
  </si>
  <si>
    <t>KURT</t>
  </si>
  <si>
    <t>SANTIZO</t>
  </si>
  <si>
    <t>D. EDY</t>
  </si>
  <si>
    <t>DIANE</t>
  </si>
  <si>
    <t>precipAccumulation</t>
  </si>
  <si>
    <t>precipType</t>
  </si>
  <si>
    <t>snow</t>
  </si>
  <si>
    <t>Flurries</t>
  </si>
  <si>
    <t>Light Snow</t>
  </si>
  <si>
    <t>204:233315</t>
  </si>
  <si>
    <t>204:457</t>
  </si>
  <si>
    <t>204:233008</t>
  </si>
  <si>
    <t>204:233000</t>
  </si>
  <si>
    <t>204:232986</t>
  </si>
  <si>
    <t>204:422</t>
  </si>
  <si>
    <t>204:440</t>
  </si>
  <si>
    <t>204:232971</t>
  </si>
  <si>
    <t>204:233291</t>
  </si>
  <si>
    <t>204:233306</t>
  </si>
  <si>
    <t>204:233299</t>
  </si>
  <si>
    <t>204:125</t>
  </si>
  <si>
    <t>204:134</t>
  </si>
  <si>
    <t>300:58624</t>
  </si>
  <si>
    <t>204:689</t>
  </si>
  <si>
    <t>204:965</t>
  </si>
  <si>
    <t>300:58933</t>
  </si>
  <si>
    <t>204:969</t>
  </si>
  <si>
    <t>204:1013</t>
  </si>
  <si>
    <t>204:694</t>
  </si>
  <si>
    <t>SYS :2016/12/14 10:32:11.283:ENFORCEMENT:Predictive Enforcement Action:  Target Number: 00001002  Target Speed:   0.0  Current Speed:   2.5</t>
  </si>
  <si>
    <t>SYS :2016/12/14 12:39:29.984:ENFORCEMENT:Reactive Enforcement Action:  Target Number: 0000A024  Target Speed:  15.0  Current Speed:  21.7</t>
  </si>
  <si>
    <t>SYS :2016/12/14 12:39:30.145:ENFORCEMENT:Reactive Enforcement Action:  Target Number: 0000A024  Target Speed:  15.0  Current Speed:  21.7</t>
  </si>
  <si>
    <t>SYS :2016/12/14 12:39:30.815:ENFORCEMENT:Reactive Enforcement Action:  Target Number: 0000A003  Target Speed:  15.0  Current Speed:  21.7</t>
  </si>
  <si>
    <t>SYS :2016/12/14 12:51:01.148:ENFORCEMENT:Predictive Enforcement Action:  Target Number: 0000A025  Target Speed:  10.0  Current Speed:  64.0</t>
  </si>
  <si>
    <t>SYS :2016/12/14 12:51:01.990:ENFORCEMENT:Predictive Enforcement Action:  Target Number: 0000A025  Target Speed:  10.0  Current Speed:  63.5</t>
  </si>
  <si>
    <t>SYS :2016/12/14 12:51:02.826:ENFORCEMENT:Predictive Enforcement Action:  Target Number: 0000A004  Target Speed:  10.0  Current Speed:  63.0</t>
  </si>
  <si>
    <t>SYS :2016/12/14 12:52:28.631:ENFORCEMENT:Reactive Enforcement Action:  Target Number: 0000A026  Target Speed:  15.0  Current Speed:  20.1</t>
  </si>
  <si>
    <t>SYS :2016/12/14 12:52:29.264:ENFORCEMENT:Reactive Enforcement Action:  Target Number: 0000A026  Target Speed:  15.0  Current Speed:  20.1</t>
  </si>
  <si>
    <t>SYS :2016/12/14 12:52:29.472:ENFORCEMENT:Reactive Enforcement Action:  Target Number: 0000A026  Target Speed:  15.0  Current Speed:  20.1</t>
  </si>
  <si>
    <t>SYS :2016/12/14 13:01:15.737:ENFORCEMENT:Reactive Enforcement Action:  Target Number: 0000A066  Target Speed:  15.0  Current Speed:  20.0</t>
  </si>
  <si>
    <t>SYS :2016/12/14 14:41:17.411:ENFORCEMENT:Reactive Enforcement Action:  Target Number: 0001701A  Target Speed:   0.0  Current Speed:  35.4</t>
  </si>
  <si>
    <t>SYS :2016/12/14 14:41:17.754:ENFORCEMENT:Reactive Enforcement Action:  Target Number: 0001701A  Target Speed:   0.0  Current Speed:  35.7</t>
  </si>
  <si>
    <t>SYS :2016/12/14 14:41:18.047:ENFORCEMENT:Reactive Enforcement Action:  Target Number: 0001701A  Target Speed:   0.0  Current Speed:  35.4</t>
  </si>
  <si>
    <t>SYS :2016/12/14 14:51:33.969:ENFORCEMENT:Predictive Enforcement Action:  Target Number: 0000102B  Target Speed:   0.0  Current Speed:   5.2</t>
  </si>
  <si>
    <t>SYS :2016/12/14 14:51:34.128:ENFORCEMENT:Predictive Enforcement Action:  Target Number: 0000102B  Target Speed:   0.0  Current Speed:   5.1</t>
  </si>
  <si>
    <t>SYS :2016/12/14 14:57:19.018:ENFORCEMENT:Predictive Enforcement Action:  Target Number: 00010067  Target Speed:  30.0  Current Speed:  35.1</t>
  </si>
  <si>
    <t>SYS :2016/12/14 14:57:19.968:ENFORCEMENT:Predictive Enforcement Action:  Target Number: 00010009  Target Speed:  30.0  Current Speed:  35.1</t>
  </si>
  <si>
    <t>SYS :2016/12/14 14:57:20.091:ENFORCEMENT:Predictive Enforcement Action:  Target Number: 00010068  Target Speed:  30.0  Current Speed:  35.1</t>
  </si>
  <si>
    <t>SYS :2016/12/14 15:02:26.052:ENFORCEMENT:Reactive Enforcement Action:  Target Number: 0000A008  Target Speed:  15.0  Current Speed:  20.7</t>
  </si>
  <si>
    <t>SYS :2016/12/14 15:02:26.397:ENFORCEMENT:Reactive Enforcement Action:  Target Number: 0000A008  Target Speed:  15.0  Current Speed:  20.7</t>
  </si>
  <si>
    <t>SYS :2016/12/14 15:02:26.763:ENFORCEMENT:Reactive Enforcement Action:  Target Number: 0000A008  Target Speed:  15.0  Current Speed:  20.7</t>
  </si>
  <si>
    <t>SYS :2016/12/14 15:33:49.866:ENFORCEMENT:Predictive Enforcement Action:  Target Number: 0000A02D  Target Speed:  10.0  Current Speed:  37.5</t>
  </si>
  <si>
    <t>SYS :2016/12/14 15:38:00.008:ENFORCEMENT:Predictive Enforcement Action:  Target Number: 00017004  Target Speed:   9.0  Current Speed:  14.6</t>
  </si>
  <si>
    <t>SYS :2016/12/14 15:38:00.075:ENFORCEMENT:Predictive Enforcement Action:  Target Number: 00017004  Target Speed:   9.0  Current Speed:  14.6</t>
  </si>
  <si>
    <t>SYS :2016/12/14 15:38:00.143:ENFORCEMENT:Predictive Enforcement Action:  Target Number: 00017002  Target Speed:   9.0  Current Speed:  14.6</t>
  </si>
  <si>
    <t>SYS :2016/12/14 16:31:06.806:ENFORCEMENT:Predictive Enforcement Action:  Target Number: 000060BA  Target Speed:   0.0  Current Speed:  72.7</t>
  </si>
  <si>
    <t>SYS :2016/12/14 16:31:07.049:ENFORCEMENT:Predictive Enforcement Action:  Target Number: 000060B5  Target Speed:   0.0  Current Speed:  72.3</t>
  </si>
  <si>
    <t>SYS :2016/12/14 16:31:07.416:ENFORCEMENT:Predictive Enforcement Action:  Target Number: 000060B1  Target Speed:   0.0  Current Speed:  72.3</t>
  </si>
  <si>
    <t>SYS :2016/12/14 16:31:44.840:ENFORCEMENT:Predictive Enforcement Action:  Target Number: 00010154  Target Speed:  15.0  Current Speed:  26.1</t>
  </si>
  <si>
    <t>SYS :2016/12/14 16:37:12.664:ENFORCEMENT:Predictive Enforcement Action:  Target Number: 0000103F  Target Speed:   0.0  Current Speed:   5.0</t>
  </si>
  <si>
    <t>SYS :2016/12/14 16:54:03.388:ENFORCEMENT:Predictive Enforcement Action:  Target Number: 00001007  Target Speed:   0.0  Current Speed:  13.5</t>
  </si>
  <si>
    <t>SYS :2016/12/14 17:27:14.441:ENFORCEMENT:Predictive Enforcement Action:  Target Number: 0000E001  Target Speed:   0.0  Current Speed:   5.6</t>
  </si>
  <si>
    <t>SYS :2016/12/14 17:27:15.071:ENFORCEMENT:Predictive Enforcement Action:  Target Number: 0000E003  Target Speed:   0.0  Current Speed:   5.6</t>
  </si>
  <si>
    <t>SYS :2016/12/14 17:27:15.462:ENFORCEMENT:Predictive Enforcement Action:  Target Number: 0000E002  Target Speed:   0.0  Current Speed:   5.6</t>
  </si>
  <si>
    <t>SYS :2016/12/14 17:34:00.303:ENFORCEMENT:Predictive Enforcement Action:  Target Number: 0000A00E  Target Speed:  10.0  Current Speed:  27.8</t>
  </si>
  <si>
    <t>SYS :2016/12/14 17:34:00.386:ENFORCEMENT:Predictive Enforcement Action:  Target Number: 0000A00E  Target Speed:  10.0  Current Speed:  28.4</t>
  </si>
  <si>
    <t>SYS :2016/12/14 17:34:00.993:ENFORCEMENT:Predictive Enforcement Action:  Target Number: 0000A00E  Target Speed:  10.0  Current Speed:  26.8</t>
  </si>
  <si>
    <t>SYS :2016/12/14 17:36:14.708:ENFORCEMENT:Predictive Enforcement Action:  Target Number: 00001062  Target Speed:   0.0  Current Speed:   9.7</t>
  </si>
  <si>
    <t>SYS :2016/12/14 17:36:14.845:ENFORCEMENT:Predictive Enforcement Action:  Target Number: 00001025  Target Speed:   0.0  Current Speed:   9.7</t>
  </si>
  <si>
    <t>SYS :2016/12/14 17:52:35.665:ENFORCEMENT:Predictive Enforcement Action:  Target Number: 00017247  Target Speed:   0.0  Current Speed:  21.9</t>
  </si>
  <si>
    <t>SYS :2016/12/14 17:52:36.716:ENFORCEMENT:Predictive Enforcement Action:  Target Number: 00017247  Target Speed:   0.0  Current Speed:  20.6</t>
  </si>
  <si>
    <t>SYS :2016/12/14 18:01:02.988:ENFORCEMENT:Predictive Enforcement Action:  Target Number: 000101FF  Target Speed:  40.0  Current Speed:  46.3</t>
  </si>
  <si>
    <t>SYS :2016/12/14 18:01:03.161:ENFORCEMENT:Predictive Enforcement Action:  Target Number: 000101FE  Target Speed:  40.0  Current Speed:  46.6</t>
  </si>
  <si>
    <t>SYS :2016/12/14 18:01:03.821:ENFORCEMENT:Predictive Enforcement Action:  Target Number: 00010088  Target Speed:  40.0  Current Speed:  46.6</t>
  </si>
  <si>
    <t>SYS :2016/12/14 18:08:47.821:ENFORCEMENT:Predictive Enforcement Action:  Target Number: 0000A00D  Target Speed:  10.0  Current Speed:  24.5</t>
  </si>
  <si>
    <t>SYS :2016/12/14 18:08:47.981:ENFORCEMENT:Predictive Enforcement Action:  Target Number: 0000A02E  Target Speed:  10.0  Current Speed:  24.5</t>
  </si>
  <si>
    <t>SYS :2016/12/14 18:08:48.151:ENFORCEMENT:Predictive Enforcement Action:  Target Number: 0000A02E  Target Speed:  10.0  Current Speed:  24.5</t>
  </si>
  <si>
    <t>SYS :2016/12/14 18:49:32.997:ENFORCEMENT:Predictive Enforcement Action:  Target Number: 00001047  Target Speed:   0.0  Current Speed:   4.6</t>
  </si>
  <si>
    <t>SYS :2016/12/14 18:51:08.610:ENFORCEMENT:Predictive Enforcement Action:  Target Number: 00001073  Target Speed:   0.0  Current Speed:  14.5</t>
  </si>
  <si>
    <t>SYS :2016/12/14 18:53:47.083:ENFORCEMENT:Predictive Enforcement Action:  Target Number: 000063DA  Target Speed:   0.0  Current Speed:  44.4</t>
  </si>
  <si>
    <t>SYS :2016/12/14 18:53:47.432:ENFORCEMENT:Predictive Enforcement Action:  Target Number: 0000606E  Target Speed:   0.0  Current Speed:  43.5</t>
  </si>
  <si>
    <t>SYS :2016/12/14 18:53:47.463:ENFORCEMENT:Predictive Enforcement Action:  Target Number: 00006320  Target Speed:   0.0  Current Speed:  44.4</t>
  </si>
  <si>
    <t>SYS :2016/12/14 18:56:13.431:ENFORCEMENT:Predictive Enforcement Action:  Target Number: 0000606E  Target Speed:   0.0  Current Speed:   4.3</t>
  </si>
  <si>
    <t>SYS :2016/12/14 19:04:10.481:ENFORCEMENT:Predictive Enforcement Action:  Target Number: 0000A028  Target Speed:  10.0  Current Speed:  45.6</t>
  </si>
  <si>
    <t>SYS :2016/12/14 19:20:19.060:ENFORCEMENT:Predictive Enforcement Action:  Target Number: 00001027  Target Speed:   0.0  Current Speed:   7.3</t>
  </si>
  <si>
    <t>SYS :2016/12/14 19:20:19.434:ENFORCEMENT:Predictive Enforcement Action:  Target Number: 00001007  Target Speed:   0.0  Current Speed:   7.1</t>
  </si>
  <si>
    <t>SYS :2016/12/14 19:20:21.373:ENFORCEMENT:Predictive Enforcement Action:  Target Number: 00001002  Target Speed:   0.0  Current Speed:   6.5</t>
  </si>
  <si>
    <t>SYS :2016/12/14 19:26:14.284:ENFORCEMENT:Predictive Enforcement Action:  Target Number: 00001020  Target Speed:   0.0  Current Speed:   9.4</t>
  </si>
  <si>
    <t>SYS :2016/12/14 19:26:14.954:ENFORCEMENT:Predictive Enforcement Action:  Target Number: 00001003  Target Speed:   0.0  Current Speed:   9.4</t>
  </si>
  <si>
    <t>SYS :2016/12/14 19:26:15.397:ENFORCEMENT:Predictive Enforcement Action:  Target Number: 00001020  Target Speed:   0.0  Current Speed:   9.4</t>
  </si>
  <si>
    <t>SYS :2016/12/14 19:27:45.954:ENFORCEMENT:Predictive Enforcement Action:  Target Number: 00001003  Target Speed:   0.0  Current Speed:   3.2</t>
  </si>
  <si>
    <t>SYS :2016/12/14 19:27:46.275:ENFORCEMENT:Predictive Enforcement Action:  Target Number: 00001020  Target Speed:   0.0  Current Speed:   3.2</t>
  </si>
  <si>
    <t>SYS :2016/12/14 19:27:46.397:ENFORCEMENT:Predictive Enforcement Action:  Target Number: 00001020  Target Speed:   0.0  Current Speed:   3.2</t>
  </si>
  <si>
    <t>SYS :2016/12/14 20:03:30.075:ENFORCEMENT:Predictive Enforcement Action:  Target Number: 0000A002  Target Speed:  10.0  Current Speed:  37.9</t>
  </si>
  <si>
    <t>SYS :2016/12/14 20:03:34.474:ENFORCEMENT:Predictive Enforcement Action:  Target Number: 0000A02F  Target Speed:  10.0  Current Speed:  32.7</t>
  </si>
  <si>
    <t>SYS :2016/12/14 20:03:34.634:ENFORCEMENT:Predictive Enforcement Action:  Target Number: 0000A02F  Target Speed:  10.0  Current Speed:  31.9</t>
  </si>
  <si>
    <t>SYS :2016/12/14 21:05:09.276:ENFORCEMENT:Predictive Enforcement Action:  Target Number: 00001022  Target Speed:   0.0  Current Speed:   8.6</t>
  </si>
  <si>
    <t>SYS :2016/12/14 21:48:54.478:ENFORCEMENT:Predictive Enforcement Action:  Target Number: 0000A030  Target Speed:  10.0  Current Speed:  25.2</t>
  </si>
  <si>
    <t>SYS :2016/12/14 21:48:54.641:ENFORCEMENT:Predictive Enforcement Action:  Target Number: 0000A030  Target Speed:  10.0  Current Speed:  24.7</t>
  </si>
  <si>
    <t>SYS :2016/12/14 21:48:55.069:ENFORCEMENT:Predictive Enforcement Action:  Target Number: 0000A003  Target Speed:  10.0  Current Speed:  24.7</t>
  </si>
  <si>
    <t>SYS :2016/12/14 22:48:51.273:ENFORCEMENT:Predictive Enforcement Action:  Target Number: 000102B7  Target Speed:  15.0  Current Speed:  34.0</t>
  </si>
  <si>
    <t>SYS :2016/12/14 22:48:51.958:ENFORCEMENT:Predictive Enforcement Action:  Target Number: 0001007D  Target Speed:  15.0  Current Speed:  34.0</t>
  </si>
  <si>
    <t>SYS :2016/12/14 22:48:52.396:ENFORCEMENT:Predictive Enforcement Action:  Target Number: 00010298  Target Speed:  15.0  Current Speed:  34.0</t>
  </si>
  <si>
    <t>SYS :2016/12/14 23:41:59.135:ENFORCEMENT:Reactive Enforcement Action:  Target Number: 000062CA  Target Speed:   0.0  Current Speed:   5.1</t>
  </si>
  <si>
    <t>SYS :2016/12/14 23:41:59.475:ENFORCEMENT:Reactive Enforcement Action:  Target Number: 00006303  Target Speed:   0.0  Current Speed:   6.0</t>
  </si>
  <si>
    <t>SYS :2016/12/14 23:42:01.118:ENFORCEMENT:Reactive Enforcement Action:  Target Number: 000062B8  Target Speed:   0.0  Current Speed:   6.8</t>
  </si>
  <si>
    <t>SYS :2016/12/14 23:42:41.456:ENFORCEMENT:Reactive Enforcement Action:  Target Number: 00006303  Target Speed:   0.0  Current Speed:   0.4</t>
  </si>
  <si>
    <t>SYS :2016/12/14 23:42:42.111:ENFORCEMENT:Reactive Enforcement Action:  Target Number: 000062B8  Target Speed:   0.0  Current Speed:   0.4</t>
  </si>
  <si>
    <t>SYS :2016/12/14 23:42:42.124:ENFORCEMENT:Reactive Enforcement Action:  Target Number: 000062CA  Target Speed:   0.0  Current Speed:   0.4</t>
  </si>
  <si>
    <t>SYS :2016/12/14 23:51:34.620:ENFORCEMENT:Predictive Enforcement Action:  Target Number: 0000102A  Target Speed:   0.0  Current Speed:  12.7</t>
  </si>
  <si>
    <t>SYS :2016/12/14 23:52:14.619:ENFORCEMENT:Predictive Enforcement Action:  Target Number: 0000102A  Target Speed:   0.0  Current Speed:   8.7</t>
  </si>
  <si>
    <t>SYS :2016/12/15 00:19:51.666:ENFORCEMENT:Predictive Enforcement Action:  Target Number: 00010255  Target Speed:  15.0  Current Speed:  28.1</t>
  </si>
  <si>
    <t>SYS :2016/12/15 00:19:51.712:ENFORCEMENT:Predictive Enforcement Action:  Target Number: 000101BE  Target Speed:  15.0  Current Speed:  28.1</t>
  </si>
  <si>
    <t>SYS :2016/12/15 00:19:52.465:ENFORCEMENT:Predictive Enforcement Action:  Target Number: 00010250  Target Speed:  15.0  Current Speed:  27.6</t>
  </si>
  <si>
    <t>SYS :2016/12/15 01:03:25.592:ENFORCEMENT:Predictive Enforcement Action:  Target Number: 0000A013  Target Speed:  10.0  Current Speed:  33.7</t>
  </si>
  <si>
    <t>SYS :2016/12/15 01:03:25.882:ENFORCEMENT:Predictive Enforcement Action:  Target Number: 0000A013  Target Speed:  10.0  Current Speed:  33.7</t>
  </si>
  <si>
    <t>SYS :2016/12/15 01:03:26.126:ENFORCEMENT:Predictive Enforcement Action:  Target Number: 0000A013  Target Speed:  10.0  Current Speed:  33.7</t>
  </si>
  <si>
    <t>SYS :2016/12/15 02:06:46.998:ENFORCEMENT:Predictive Enforcement Action:  Target Number: 00001017  Target Speed:   0.0  Current Speed:   3.8</t>
  </si>
  <si>
    <t>SYS :2016/12/15 02:33:01.023:ENFORCEMENT:Predictive Enforcement Action:  Target Number: 0000A005  Target Speed:  10.0  Current Speed:  44.6</t>
  </si>
  <si>
    <t>SYS :2016/12/15 02:48:08.893:ENFORCEMENT:Predictive Enforcement Action:  Target Number: 0000A014  Target Speed:  10.0  Current Speed:  58.6</t>
  </si>
  <si>
    <t>SYS :2016/12/15 02:48:09.133:ENFORCEMENT:Predictive Enforcement Action:  Target Number: 0000A014  Target Speed:  10.0  Current Speed:  58.6</t>
  </si>
  <si>
    <t>SYS :2016/12/15 02:48:09.600:ENFORCEMENT:Predictive Enforcement Action:  Target Number: 0000A014  Target Speed:  10.0  Current Speed:  58.6</t>
  </si>
  <si>
    <t>SYS :2016/12/15 03:33:30.993:ENFORCEMENT:Predictive Enforcement Action:  Target Number: 00001052  Target Speed:   0.0  Current Speed:   5.2</t>
  </si>
  <si>
    <t>SYS :2016/12/15 03:33:31.394:ENFORCEMENT:Predictive Enforcement Action:  Target Number: 0000104F  Target Speed:   0.0  Current Speed:   5.2</t>
  </si>
  <si>
    <t>SYS :2016/12/15 03:55:06.113:ENFORCEMENT:Predictive Enforcement Action:  Target Number: 00001055  Target Speed:   0.0  Current Speed:   5.2</t>
  </si>
  <si>
    <t>SYS :2016/12/15 03:55:06.458:ENFORCEMENT:Predictive Enforcement Action:  Target Number: 00001053  Target Speed:   0.0  Current Speed:   5.2</t>
  </si>
  <si>
    <t>SYS :2016/12/15 04:10:06.205:ENFORCEMENT:Predictive Enforcement Action:  Target Number: 0000100F  Target Speed:   0.0  Current Speed:   5.7</t>
  </si>
  <si>
    <t>SYS :2016/12/15 04:10:06.428:ENFORCEMENT:Predictive Enforcement Action:  Target Number: 00001014  Target Speed:   0.0  Current Speed:   5.7</t>
  </si>
  <si>
    <t>SYS :2016/12/15 04:36:28.698:ENFORCEMENT:Predictive Enforcement Action:  Target Number: 00001082  Target Speed:   0.0  Current Speed:   3.7</t>
  </si>
  <si>
    <t>SYS :2016/12/15 04:36:28.792:ENFORCEMENT:Predictive Enforcement Action:  Target Number: 00001076  Target Speed:   0.0  Current Speed:   3.7</t>
  </si>
  <si>
    <t>SYS :2016/12/15 04:36:28.835:ENFORCEMENT:Predictive Enforcement Action:  Target Number: 00001045  Target Speed:   0.0  Current Speed:   3.7</t>
  </si>
  <si>
    <t>SYS :2016/12/15 05:30:06.715:ENFORCEMENT:Predictive Enforcement Action:  Target Number: 0001077B  Target Speed:  30.0  Current Speed:  39.4</t>
  </si>
  <si>
    <t>SYS :2016/12/15 05:30:06.807:ENFORCEMENT:Predictive Enforcement Action:  Target Number: 000106B6  Target Speed:  30.0  Current Speed:  39.4</t>
  </si>
  <si>
    <t>SYS :2016/12/15 05:30:06.852:ENFORCEMENT:Predictive Enforcement Action:  Target Number: 00010316  Target Speed:  30.0  Current Speed:  39.4</t>
  </si>
  <si>
    <t>SYS :2016/12/15 06:29:05.594:ENFORCEMENT:Reactive Enforcement Action:  Target Number: 000101A7  Target Speed:  35.0  Current Speed:  40.0</t>
  </si>
  <si>
    <t>SYS :2016/12/15 06:29:05.877:ENFORCEMENT:Reactive Enforcement Action:  Target Number: 000101A4  Target Speed:  35.0  Current Speed:  40.0</t>
  </si>
  <si>
    <t>SYS :2016/12/15 06:29:06.133:ENFORCEMENT:Reactive Enforcement Action:  Target Number: 000101A7  Target Speed:  35.0  Current Speed:  40.0</t>
  </si>
  <si>
    <t>SYS :2016/12/15 08:03:31.211:ENFORCEMENT:Predictive Enforcement Action:  Target Number: 00001013  Target Speed:   0.0  Current Speed:   6.0</t>
  </si>
  <si>
    <t>SYS :2016/12/15 08:03:31.442:ENFORCEMENT:Predictive Enforcement Action:  Target Number: 00001018  Target Speed:   0.0  Current Speed:   6.0</t>
  </si>
  <si>
    <t>SYS :2016/12/15 08:03:32.067:ENFORCEMENT:Predictive Enforcement Action:  Target Number: 00001038  Target Speed:   0.0  Current Speed:   6.0</t>
  </si>
  <si>
    <t>rtdc.l.rtdc.4010:itc</t>
  </si>
  <si>
    <t>SWITCH UNKNOWN</t>
  </si>
  <si>
    <t>Track device (7)</t>
  </si>
  <si>
    <t>243-16</t>
  </si>
  <si>
    <t>309-16</t>
  </si>
  <si>
    <t>WENDY</t>
  </si>
  <si>
    <t>ROBINSON</t>
  </si>
  <si>
    <t>KADDIBA</t>
  </si>
  <si>
    <t>STRICKLAND</t>
  </si>
  <si>
    <t>EVAN</t>
  </si>
  <si>
    <t>SMITH</t>
  </si>
  <si>
    <t>rtdc.l.rtdc.4026:itc</t>
  </si>
  <si>
    <t>rtdc.l.rtdc.4025:itc</t>
  </si>
  <si>
    <t>SHOOK</t>
  </si>
  <si>
    <t>WHITED</t>
  </si>
  <si>
    <t>NEWELL</t>
  </si>
  <si>
    <t>KAMDEN</t>
  </si>
  <si>
    <t>MACDONALD</t>
  </si>
  <si>
    <t>THOMAS</t>
  </si>
  <si>
    <t>241-16</t>
  </si>
  <si>
    <t>240-16</t>
  </si>
  <si>
    <t>245-16</t>
  </si>
  <si>
    <t>242-16</t>
  </si>
  <si>
    <t>244-16</t>
  </si>
  <si>
    <t>246-16</t>
  </si>
  <si>
    <t>311-16</t>
  </si>
  <si>
    <t>313-16</t>
  </si>
  <si>
    <t>315-16</t>
  </si>
  <si>
    <t>Mostly Cloudy</t>
  </si>
  <si>
    <t>Snow</t>
  </si>
  <si>
    <t>Heavy Snow</t>
  </si>
  <si>
    <t>204:121</t>
  </si>
  <si>
    <t>204:692</t>
  </si>
  <si>
    <t>204:232988</t>
  </si>
  <si>
    <t>204:233310</t>
  </si>
  <si>
    <t>204:469</t>
  </si>
  <si>
    <t>204:442</t>
  </si>
  <si>
    <t>204:233295</t>
  </si>
  <si>
    <t>204:233280</t>
  </si>
  <si>
    <t>204:233308</t>
  </si>
  <si>
    <t>204:127</t>
  </si>
  <si>
    <t>204:233357</t>
  </si>
  <si>
    <t>204:233013</t>
  </si>
  <si>
    <t>204:232964</t>
  </si>
  <si>
    <t>204:509</t>
  </si>
  <si>
    <t>204:183</t>
  </si>
  <si>
    <t>204:233319</t>
  </si>
  <si>
    <t>204:232970</t>
  </si>
  <si>
    <t>204:233334</t>
  </si>
  <si>
    <t>204:167</t>
  </si>
  <si>
    <t>204:232978</t>
  </si>
  <si>
    <t>204:426</t>
  </si>
  <si>
    <t>300:23312</t>
  </si>
  <si>
    <t>204:506</t>
  </si>
  <si>
    <t>204:3338</t>
  </si>
  <si>
    <t>300:23306</t>
  </si>
  <si>
    <t>204:759</t>
  </si>
  <si>
    <t>300:58929</t>
  </si>
  <si>
    <t>204:719</t>
  </si>
  <si>
    <t>204:1009</t>
  </si>
  <si>
    <t>204:1016</t>
  </si>
  <si>
    <t>204:1021</t>
  </si>
  <si>
    <t>204:727</t>
  </si>
  <si>
    <t>300:58609</t>
  </si>
  <si>
    <t>204:680</t>
  </si>
  <si>
    <t>204:971</t>
  </si>
  <si>
    <t>300:58621</t>
  </si>
  <si>
    <t>300:58630</t>
  </si>
  <si>
    <t>204:671</t>
  </si>
  <si>
    <t>300:58617</t>
  </si>
  <si>
    <t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t>
  </si>
  <si>
    <t>rtdc.l.rtdc.4029:itc</t>
  </si>
  <si>
    <t>103-17</t>
  </si>
  <si>
    <t>306-17</t>
  </si>
  <si>
    <t>310-17</t>
  </si>
  <si>
    <t>104-17</t>
  </si>
  <si>
    <t>108-17</t>
  </si>
  <si>
    <t>115-17</t>
  </si>
  <si>
    <t>113-17</t>
  </si>
  <si>
    <t>110-17</t>
  </si>
  <si>
    <t>rtdc.l.rtdc.4043:itc</t>
  </si>
  <si>
    <t>112-17</t>
  </si>
  <si>
    <t>123-17</t>
  </si>
  <si>
    <t>114-17</t>
  </si>
  <si>
    <t>rtdc.l.rtdc.4044:itc</t>
  </si>
  <si>
    <t>125-17</t>
  </si>
  <si>
    <t>127-17</t>
  </si>
  <si>
    <t>1804-17</t>
  </si>
  <si>
    <t>129-17</t>
  </si>
  <si>
    <t>122-17</t>
  </si>
  <si>
    <t>133-17</t>
  </si>
  <si>
    <t>1806-17</t>
  </si>
  <si>
    <t>137-17</t>
  </si>
  <si>
    <t>132-17</t>
  </si>
  <si>
    <t>1807-17</t>
  </si>
  <si>
    <t>141-17</t>
  </si>
  <si>
    <t>52-17</t>
  </si>
  <si>
    <t>54-17</t>
  </si>
  <si>
    <t>146-17</t>
  </si>
  <si>
    <t>159-17</t>
  </si>
  <si>
    <t>154-17</t>
  </si>
  <si>
    <t>160-17</t>
  </si>
  <si>
    <t>rtdc.l.rtdc.4030:itc</t>
  </si>
  <si>
    <t>164-17</t>
  </si>
  <si>
    <t>162-17</t>
  </si>
  <si>
    <t>173-17</t>
  </si>
  <si>
    <t>172-17</t>
  </si>
  <si>
    <t>170-17</t>
  </si>
  <si>
    <t>174-17</t>
  </si>
  <si>
    <t>176-17</t>
  </si>
  <si>
    <t>rtdc.l.rtdc.4031:itc</t>
  </si>
  <si>
    <t>67-17</t>
  </si>
  <si>
    <t>187-17</t>
  </si>
  <si>
    <t>190-17</t>
  </si>
  <si>
    <t>68-17</t>
  </si>
  <si>
    <t>203-17</t>
  </si>
  <si>
    <t>200-17</t>
  </si>
  <si>
    <t>1827-17</t>
  </si>
  <si>
    <t>216-17</t>
  </si>
  <si>
    <t>220-17</t>
  </si>
  <si>
    <t>218-17</t>
  </si>
  <si>
    <t>1832-17</t>
  </si>
  <si>
    <t>230-17</t>
  </si>
  <si>
    <t>237-17</t>
  </si>
  <si>
    <t>239-17</t>
  </si>
  <si>
    <t>240-17</t>
  </si>
  <si>
    <t>302-17</t>
  </si>
  <si>
    <t>101-17</t>
  </si>
  <si>
    <t>304-17</t>
  </si>
  <si>
    <t>ACKERMAN</t>
  </si>
  <si>
    <t>JARED</t>
  </si>
  <si>
    <t>102-17</t>
  </si>
  <si>
    <t>105-17</t>
  </si>
  <si>
    <t>308-17</t>
  </si>
  <si>
    <t>KILLION</t>
  </si>
  <si>
    <t>107-17</t>
  </si>
  <si>
    <t>109-17</t>
  </si>
  <si>
    <t>111-17</t>
  </si>
  <si>
    <t>106-17</t>
  </si>
  <si>
    <t>117-17</t>
  </si>
  <si>
    <t>1800-17</t>
  </si>
  <si>
    <t>YORK</t>
  </si>
  <si>
    <t>EDGAR</t>
  </si>
  <si>
    <t>119-17</t>
  </si>
  <si>
    <t>121-17</t>
  </si>
  <si>
    <t>1801-17</t>
  </si>
  <si>
    <t>1802-17</t>
  </si>
  <si>
    <t>BEAM</t>
  </si>
  <si>
    <t>ROSS</t>
  </si>
  <si>
    <t>118-17</t>
  </si>
  <si>
    <t>120-17</t>
  </si>
  <si>
    <t>1803-17</t>
  </si>
  <si>
    <t>131-17</t>
  </si>
  <si>
    <t>124-17</t>
  </si>
  <si>
    <t>126-17</t>
  </si>
  <si>
    <t>135-17</t>
  </si>
  <si>
    <t>1805-17</t>
  </si>
  <si>
    <t>128-17</t>
  </si>
  <si>
    <t>130-17</t>
  </si>
  <si>
    <t>134-17</t>
  </si>
  <si>
    <t>139-17</t>
  </si>
  <si>
    <t>136-17</t>
  </si>
  <si>
    <t>143-17</t>
  </si>
  <si>
    <t>138-17</t>
  </si>
  <si>
    <t>145-17</t>
  </si>
  <si>
    <t>147-17</t>
  </si>
  <si>
    <t>140-17</t>
  </si>
  <si>
    <t>1808-17</t>
  </si>
  <si>
    <t>142-17</t>
  </si>
  <si>
    <t>149-17</t>
  </si>
  <si>
    <t>151-17</t>
  </si>
  <si>
    <t>1809-17</t>
  </si>
  <si>
    <t>144-17</t>
  </si>
  <si>
    <t>MAHAN</t>
  </si>
  <si>
    <t>DUANE</t>
  </si>
  <si>
    <t>BROWN</t>
  </si>
  <si>
    <t>JACOB</t>
  </si>
  <si>
    <t>148-17</t>
  </si>
  <si>
    <t>153-17</t>
  </si>
  <si>
    <t>56-17</t>
  </si>
  <si>
    <t>BARTLETT</t>
  </si>
  <si>
    <t>KIANDRA</t>
  </si>
  <si>
    <t>155-17</t>
  </si>
  <si>
    <t>150-17</t>
  </si>
  <si>
    <t>1810-17</t>
  </si>
  <si>
    <t>152-17</t>
  </si>
  <si>
    <t>1811-17</t>
  </si>
  <si>
    <t>161-17</t>
  </si>
  <si>
    <t>57-17</t>
  </si>
  <si>
    <t>163-17</t>
  </si>
  <si>
    <t>1812-17</t>
  </si>
  <si>
    <t>156-17</t>
  </si>
  <si>
    <t>165-17</t>
  </si>
  <si>
    <t>167-17</t>
  </si>
  <si>
    <t>BRUDER</t>
  </si>
  <si>
    <t>RICHARD</t>
  </si>
  <si>
    <t>1813-17</t>
  </si>
  <si>
    <t>169-17</t>
  </si>
  <si>
    <t>MOSES</t>
  </si>
  <si>
    <t>BRADLEY</t>
  </si>
  <si>
    <t>1814-17</t>
  </si>
  <si>
    <t>166-17</t>
  </si>
  <si>
    <t>171-17</t>
  </si>
  <si>
    <t>STORY</t>
  </si>
  <si>
    <t>SAMANTHA</t>
  </si>
  <si>
    <t>168-17</t>
  </si>
  <si>
    <t>175-17</t>
  </si>
  <si>
    <t>1815-17</t>
  </si>
  <si>
    <t>177-17</t>
  </si>
  <si>
    <t>179-17</t>
  </si>
  <si>
    <t>1816-17</t>
  </si>
  <si>
    <t>181-17</t>
  </si>
  <si>
    <t>191-17</t>
  </si>
  <si>
    <t>178-17</t>
  </si>
  <si>
    <t>1817-17</t>
  </si>
  <si>
    <t>183-17</t>
  </si>
  <si>
    <t>185-17</t>
  </si>
  <si>
    <t>180-17</t>
  </si>
  <si>
    <t>182-17</t>
  </si>
  <si>
    <t>1818-17</t>
  </si>
  <si>
    <t>189-17</t>
  </si>
  <si>
    <t>1819-17</t>
  </si>
  <si>
    <t>186-17</t>
  </si>
  <si>
    <t>193-17</t>
  </si>
  <si>
    <t>188-17</t>
  </si>
  <si>
    <t>195-17</t>
  </si>
  <si>
    <t>1820-17</t>
  </si>
  <si>
    <t>192-17</t>
  </si>
  <si>
    <t>199-17</t>
  </si>
  <si>
    <t>194-17</t>
  </si>
  <si>
    <t>1821-17</t>
  </si>
  <si>
    <t>196-17</t>
  </si>
  <si>
    <t>201-17</t>
  </si>
  <si>
    <t>198-17</t>
  </si>
  <si>
    <t>1822-17</t>
  </si>
  <si>
    <t>205-17</t>
  </si>
  <si>
    <t>207-17</t>
  </si>
  <si>
    <t>1823-17</t>
  </si>
  <si>
    <t>202-17</t>
  </si>
  <si>
    <t>204-17</t>
  </si>
  <si>
    <t>209-17</t>
  </si>
  <si>
    <t>211-17</t>
  </si>
  <si>
    <t>206-17</t>
  </si>
  <si>
    <t>1824-17</t>
  </si>
  <si>
    <t>208-17</t>
  </si>
  <si>
    <t>213-17</t>
  </si>
  <si>
    <t>215-17</t>
  </si>
  <si>
    <t>1825-17</t>
  </si>
  <si>
    <t>210-17</t>
  </si>
  <si>
    <t>217-17</t>
  </si>
  <si>
    <t>212-17</t>
  </si>
  <si>
    <t>219-17</t>
  </si>
  <si>
    <t>214-17</t>
  </si>
  <si>
    <t>1826-17</t>
  </si>
  <si>
    <t>303-17</t>
  </si>
  <si>
    <t>221-17</t>
  </si>
  <si>
    <t>223-17</t>
  </si>
  <si>
    <t>79-17</t>
  </si>
  <si>
    <t>1828-17</t>
  </si>
  <si>
    <t>305-17</t>
  </si>
  <si>
    <t>225-17</t>
  </si>
  <si>
    <t>NELSON</t>
  </si>
  <si>
    <t>ARIANE</t>
  </si>
  <si>
    <t>1829-17</t>
  </si>
  <si>
    <t>222-17</t>
  </si>
  <si>
    <t>224-17</t>
  </si>
  <si>
    <t>307-17</t>
  </si>
  <si>
    <t>227-17</t>
  </si>
  <si>
    <t>1830-17</t>
  </si>
  <si>
    <t>229-17</t>
  </si>
  <si>
    <t>226-17</t>
  </si>
  <si>
    <t>1831-17</t>
  </si>
  <si>
    <t>231-17</t>
  </si>
  <si>
    <t>228-17</t>
  </si>
  <si>
    <t>233-17</t>
  </si>
  <si>
    <t>1833-17</t>
  </si>
  <si>
    <t>1902-17</t>
  </si>
  <si>
    <t>232-17</t>
  </si>
  <si>
    <t>238-17</t>
  </si>
  <si>
    <t>241-17</t>
  </si>
  <si>
    <t>243-17</t>
  </si>
  <si>
    <t>MCREYNOLDS</t>
  </si>
  <si>
    <t>KYLE</t>
  </si>
  <si>
    <t>242-17</t>
  </si>
  <si>
    <t>245-17</t>
  </si>
  <si>
    <t>309-17</t>
  </si>
  <si>
    <t>244-17</t>
  </si>
  <si>
    <t>311-17</t>
  </si>
  <si>
    <t>313-17</t>
  </si>
  <si>
    <t>302-18</t>
  </si>
  <si>
    <t>OUN</t>
  </si>
  <si>
    <t>ZACK</t>
  </si>
  <si>
    <t>clear-day</t>
  </si>
  <si>
    <t>204:232690</t>
  </si>
  <si>
    <t>204:165</t>
  </si>
  <si>
    <t>204:644</t>
  </si>
  <si>
    <t>204:81515</t>
  </si>
  <si>
    <t>204:232813</t>
  </si>
  <si>
    <t>204:58847</t>
  </si>
  <si>
    <t>204:708</t>
  </si>
  <si>
    <t>204:233363</t>
  </si>
  <si>
    <t>204:232724</t>
  </si>
  <si>
    <t>204:107</t>
  </si>
  <si>
    <t>204:233383</t>
  </si>
  <si>
    <t>204:233063</t>
  </si>
  <si>
    <t>204:233408</t>
  </si>
  <si>
    <t>204:233083</t>
  </si>
  <si>
    <t>204:750</t>
  </si>
  <si>
    <t>204:233326</t>
  </si>
  <si>
    <t>204:233028</t>
  </si>
  <si>
    <t>204:233321</t>
  </si>
  <si>
    <t>204:233330</t>
  </si>
  <si>
    <t>204:362</t>
  </si>
  <si>
    <t>204:153665</t>
  </si>
  <si>
    <t>204:233119</t>
  </si>
  <si>
    <t>204:157835</t>
  </si>
  <si>
    <t>204:154422</t>
  </si>
  <si>
    <t>204:233343</t>
  </si>
  <si>
    <t>204:137163</t>
  </si>
  <si>
    <t>204:233005</t>
  </si>
  <si>
    <t>204:413</t>
  </si>
  <si>
    <t>204:233349</t>
  </si>
  <si>
    <t>204:231231</t>
  </si>
  <si>
    <t>204:233006</t>
  </si>
  <si>
    <t>204:232783</t>
  </si>
  <si>
    <t>204:233329</t>
  </si>
  <si>
    <t>204:233015</t>
  </si>
  <si>
    <t>204:233069</t>
  </si>
  <si>
    <t>204:232746</t>
  </si>
  <si>
    <t>204:233342</t>
  </si>
  <si>
    <t>204:233004</t>
  </si>
  <si>
    <t>204:233097</t>
  </si>
  <si>
    <t>204:232779</t>
  </si>
  <si>
    <t>204:233355</t>
  </si>
  <si>
    <t>204:233122</t>
  </si>
  <si>
    <t>204:232796</t>
  </si>
  <si>
    <t>204:433</t>
  </si>
  <si>
    <t>204:233204</t>
  </si>
  <si>
    <t>204:232885</t>
  </si>
  <si>
    <t>204:1056</t>
  </si>
  <si>
    <t>204:427</t>
  </si>
  <si>
    <t>204:233111</t>
  </si>
  <si>
    <t>204:232802</t>
  </si>
  <si>
    <t>204:939</t>
  </si>
  <si>
    <t>204:233325</t>
  </si>
  <si>
    <t>204:233105</t>
  </si>
  <si>
    <t>204:232781</t>
  </si>
  <si>
    <t>204:918</t>
  </si>
  <si>
    <t>204:233094</t>
  </si>
  <si>
    <t>204:232775</t>
  </si>
  <si>
    <t>204:62127</t>
  </si>
  <si>
    <t>204:36791</t>
  </si>
  <si>
    <t>204:888</t>
  </si>
  <si>
    <t>204:424</t>
  </si>
  <si>
    <t>204:1031</t>
  </si>
  <si>
    <t>204:233113</t>
  </si>
  <si>
    <t>204:232800</t>
  </si>
  <si>
    <t>204:491</t>
  </si>
  <si>
    <t>204:480</t>
  </si>
  <si>
    <t>204:233019</t>
  </si>
  <si>
    <t>204:172</t>
  </si>
  <si>
    <t>204:1169</t>
  </si>
  <si>
    <t>204:233103</t>
  </si>
  <si>
    <t>204:232771</t>
  </si>
  <si>
    <t>204:170</t>
  </si>
  <si>
    <t>204:1232</t>
  </si>
  <si>
    <t>204:233338</t>
  </si>
  <si>
    <t>204:233109</t>
  </si>
  <si>
    <t>204:232792</t>
  </si>
  <si>
    <t>204:724</t>
  </si>
  <si>
    <t>204:720</t>
  </si>
  <si>
    <t>204:1011</t>
  </si>
  <si>
    <t>204:736</t>
  </si>
  <si>
    <t>204:1023</t>
  </si>
  <si>
    <t>300:58943</t>
  </si>
  <si>
    <t>204:1199</t>
  </si>
  <si>
    <t>204:233344</t>
  </si>
  <si>
    <t>204:733</t>
  </si>
  <si>
    <t>204:787</t>
  </si>
  <si>
    <t>204:1083</t>
  </si>
  <si>
    <t>204:684</t>
  </si>
  <si>
    <t>300:58950</t>
  </si>
  <si>
    <t>300:58640</t>
  </si>
  <si>
    <t>300:58956</t>
  </si>
  <si>
    <t>204:666</t>
  </si>
  <si>
    <t>300:58963</t>
  </si>
  <si>
    <t>300:58645</t>
  </si>
  <si>
    <t>300:58973</t>
  </si>
  <si>
    <t>300:58651</t>
  </si>
  <si>
    <t>204:418</t>
  </si>
  <si>
    <t>204:65115</t>
  </si>
  <si>
    <t>204:64621</t>
  </si>
  <si>
    <t>204:981</t>
  </si>
  <si>
    <t>204:986</t>
  </si>
  <si>
    <t>300:58969</t>
  </si>
  <si>
    <t>204:786</t>
  </si>
  <si>
    <t>204:233138</t>
  </si>
  <si>
    <t>204:169</t>
  </si>
  <si>
    <t>204:154402</t>
  </si>
  <si>
    <t>204:233253</t>
  </si>
  <si>
    <t>204:100522</t>
  </si>
  <si>
    <t>204:86330</t>
  </si>
  <si>
    <t>204:232932</t>
  </si>
  <si>
    <t>300:58643</t>
  </si>
  <si>
    <t>300:21661</t>
  </si>
  <si>
    <t>204:488</t>
  </si>
  <si>
    <t>204:437</t>
  </si>
  <si>
    <t>204:1179</t>
  </si>
  <si>
    <t>204:232980</t>
  </si>
  <si>
    <t>204:203</t>
  </si>
  <si>
    <t>204:783</t>
  </si>
  <si>
    <t>204:130</t>
  </si>
  <si>
    <t>204:233311</t>
  </si>
  <si>
    <t>204:144</t>
  </si>
  <si>
    <t>204:233316</t>
  </si>
  <si>
    <t>204:232984</t>
  </si>
  <si>
    <t>204:233300</t>
  </si>
  <si>
    <t>204:409</t>
  </si>
  <si>
    <t>204:154013</t>
  </si>
  <si>
    <t>204:232948</t>
  </si>
  <si>
    <t>204:127843</t>
  </si>
  <si>
    <t>204:928</t>
  </si>
  <si>
    <t>204:232957</t>
  </si>
  <si>
    <t>204:228080</t>
  </si>
  <si>
    <t>204:225156</t>
  </si>
  <si>
    <t>204:227995</t>
  </si>
  <si>
    <t>204:127871</t>
  </si>
  <si>
    <t>204:228396</t>
  </si>
  <si>
    <t>204:153999</t>
  </si>
  <si>
    <t>204:127846</t>
  </si>
  <si>
    <t>204:1164</t>
  </si>
  <si>
    <t>204:228020</t>
  </si>
  <si>
    <t>204:86351</t>
  </si>
  <si>
    <t>204:497</t>
  </si>
  <si>
    <t>204:227013</t>
  </si>
  <si>
    <t>204:127867</t>
  </si>
  <si>
    <t>204:118</t>
  </si>
  <si>
    <t>204:228116</t>
  </si>
  <si>
    <t>204:233009</t>
  </si>
  <si>
    <t>204:231602</t>
  </si>
  <si>
    <t>204:86353</t>
  </si>
  <si>
    <t>204:216885</t>
  </si>
  <si>
    <t>204:192844</t>
  </si>
  <si>
    <t>204:233027</t>
  </si>
  <si>
    <t>204:232009</t>
  </si>
  <si>
    <t>204:154433</t>
  </si>
  <si>
    <t>204:216447</t>
  </si>
  <si>
    <t>204:19125</t>
  </si>
  <si>
    <t>204:154427</t>
  </si>
  <si>
    <t>204:214033</t>
  </si>
  <si>
    <t>204:192552</t>
  </si>
  <si>
    <t>204:108315</t>
  </si>
  <si>
    <t>204:232604</t>
  </si>
  <si>
    <t>204:19129</t>
  </si>
  <si>
    <t>204:214561</t>
  </si>
  <si>
    <t>204:1835</t>
  </si>
  <si>
    <t>204:153988</t>
  </si>
  <si>
    <t>204:68</t>
  </si>
  <si>
    <t>204:232460</t>
  </si>
  <si>
    <t>204:216169</t>
  </si>
  <si>
    <t>204:153892</t>
  </si>
  <si>
    <t>204:213996</t>
  </si>
  <si>
    <t>204:153990</t>
  </si>
  <si>
    <t>204:212675</t>
  </si>
  <si>
    <t>300:20146</t>
  </si>
  <si>
    <t>300:23301</t>
  </si>
  <si>
    <t>300:23144</t>
  </si>
  <si>
    <t>300:22314</t>
  </si>
  <si>
    <t>204:83</t>
  </si>
  <si>
    <t>300:23372</t>
  </si>
  <si>
    <t>204:386</t>
  </si>
  <si>
    <t>300:22216</t>
  </si>
  <si>
    <t>300:22868</t>
  </si>
  <si>
    <t>300:23316</t>
  </si>
  <si>
    <t>300:21411</t>
  </si>
  <si>
    <t>204:73</t>
  </si>
  <si>
    <t>300:22087</t>
  </si>
  <si>
    <t>204:962</t>
  </si>
  <si>
    <t>204:688</t>
  </si>
  <si>
    <t>300:24197</t>
  </si>
  <si>
    <t>204:810</t>
  </si>
  <si>
    <t>300:23291</t>
  </si>
  <si>
    <t>300:21931</t>
  </si>
  <si>
    <t>204:1554</t>
  </si>
  <si>
    <t>204:1567</t>
  </si>
  <si>
    <t>300:23314</t>
  </si>
  <si>
    <t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t>
  </si>
  <si>
    <t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t>
  </si>
  <si>
    <t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t>
  </si>
  <si>
    <t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t>
  </si>
  <si>
    <t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t>
  </si>
  <si>
    <t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t>
  </si>
  <si>
    <t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t>
  </si>
  <si>
    <t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t>
  </si>
  <si>
    <t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t>
  </si>
  <si>
    <t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t>
  </si>
  <si>
    <t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t>
  </si>
  <si>
    <t>aws s3 cp s3://rtdc.mdm.uploadarchive.raw/RTDC4025/ "%USERPROFILE%\AppData\Local\Temp\OnboardLogs"\RTDC4025\2016-12-17 --exclude "*" --recursive --include "*20161217*" &amp; "%USERPROFILE%\Documents\GitHub\mrs-test-scripts\Headless Mode &amp; Sideloading\WalkAndUnGZ.bat" "%USERPROFILE%\AppData\Local\Temp\OnboardLogs"\RTDC4025\2016-12-17 &amp; aws s3 cp s3://rtdc.mdm.uploadarchive.raw/RTDC4025/ "%USERPROFILE%\AppData\Local\Temp\OnboardLogs"\RTDC4025\2016-12-18 --exclude "*" --recursive --include "*20161218*" &amp; "%USERPROFILE%\Documents\GitHub\mrs-test-scripts\Headless Mode &amp; Sideloading\WalkAndUnGZ.bat" "%USERPROFILE%\AppData\Local\Temp\OnboardLogs"\RTDC4025\2016-12-18</t>
  </si>
  <si>
    <t>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 &amp; 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</t>
  </si>
  <si>
    <t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t>
  </si>
  <si>
    <t>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 &amp; aws s3 cp s3://rtdc.mdm.uploadarchive.raw/RTDC4026/ "%USERPROFILE%\AppData\Local\Temp\OnboardLogs"\RTDC4026\2016-12-19 --exclude "*" --recursive --include "*20161219*" &amp; "%USERPROFILE%\Documents\GitHub\mrs-test-scripts\Headless Mode &amp; Sideloading\WalkAndUnGZ.bat" "%USERPROFILE%\AppData\Local\Temp\OnboardLogs"\RTDC4026\2016-12-19</t>
  </si>
  <si>
    <t>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 &amp; 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</t>
  </si>
  <si>
    <t>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 &amp; 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</t>
  </si>
  <si>
    <t>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 &amp; 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</t>
  </si>
  <si>
    <t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t>
  </si>
  <si>
    <t>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 &amp; 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</t>
  </si>
  <si>
    <t>aws s3 cp s3://rtdc.mdm.uploadarchive.raw/RTDC4025/ "%USERPROFILE%\AppData\Local\Temp\OnboardLogs"\RTDC4025\2016-12-18 --exclude "*" --recursive --include "*20161218*" &amp; "%USERPROFILE%\Documents\GitHub\mrs-test-scripts\Headless Mode &amp; Sideloading\WalkAndUnGZ.bat" "%USERPROFILE%\AppData\Local\Temp\OnboardLogs"\RTDC4025\2016-12-18 &amp; aws s3 cp s3://rtdc.mdm.uploadarchive.raw/RTDC4025/ "%USERPROFILE%\AppData\Local\Temp\OnboardLogs"\RTDC4025\2016-12-19 --exclude "*" --recursive --include "*20161219*" &amp; "%USERPROFILE%\Documents\GitHub\mrs-test-scripts\Headless Mode &amp; Sideloading\WalkAndUnGZ.bat" "%USERPROFILE%\AppData\Local\Temp\OnboardLogs"\RTDC4025\2016-12-19</t>
  </si>
  <si>
    <t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t>
  </si>
  <si>
    <t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t>
  </si>
  <si>
    <t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t>
  </si>
  <si>
    <t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t>
  </si>
  <si>
    <t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t>
  </si>
  <si>
    <t>aws s3 cp s3://rtdc.mdm.uploadarchive.raw/RTDC4043/ "%USERPROFILE%\AppData\Local\Temp\OnboardLogs"\RTDC4043\2016-12-17 --exclude "*" --recursive --include "*20161217*" &amp; "%USERPROFILE%\Documents\GitHub\mrs-test-scripts\Headless Mode &amp; Sideloading\WalkAndUnGZ.bat" "%USERPROFILE%\AppData\Local\Temp\OnboardLogs"\RTDC4043\2016-12-17 &amp; 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</t>
  </si>
  <si>
    <t>aws s3 cp s3://rtdc.mdm.uploadarchive.raw/RTDC4032/ "%USERPROFILE%\AppData\Local\Temp\OnboardLogs"\RTDC4032\2016-12-17 --exclude "*" --recursive --include "*20161217*" &amp; "%USERPROFILE%\Documents\GitHub\mrs-test-scripts\Headless Mode &amp; Sideloading\WalkAndUnGZ.bat" "%USERPROFILE%\AppData\Local\Temp\OnboardLogs"\RTDC4032\2016-12-17 &amp; 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</t>
  </si>
  <si>
    <t>aws s3 cp s3://rtdc.mdm.uploadarchive.raw/RTDC4014/ "%USERPROFILE%\AppData\Local\Temp\OnboardLogs"\RTDC4014\2016-12-17 --exclude "*" --recursive --include "*20161217*" &amp; "%USERPROFILE%\Documents\GitHub\mrs-test-scripts\Headless Mode &amp; Sideloading\WalkAndUnGZ.bat" "%USERPROFILE%\AppData\Local\Temp\OnboardLogs"\RTDC4014\2016-12-17 &amp; 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</t>
  </si>
  <si>
    <t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t>
  </si>
  <si>
    <t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t>
  </si>
  <si>
    <t>Wi-MAX data drop</t>
  </si>
  <si>
    <t>Sable 2N stuck at STOP. XING bit dependency?</t>
  </si>
  <si>
    <t>At 06:21:52, a clear request was sent to Sable 2N, it did not clear. Canceled at 06:28:40, tried again at 06:33:01 and it did clear then. Was this due to XING bit dependencies or something else?</t>
  </si>
  <si>
    <t>EC1332RH 127-1T 1N and EC1388RH 133-1T 1N dropped to STOP &amp; PROCEED</t>
  </si>
  <si>
    <t>At 07:05:02, the two signals in the title dropped to STOP &amp; PROCEED. Do logs tell us why?</t>
  </si>
  <si>
    <t>61st 4S stuck at STOP</t>
  </si>
  <si>
    <t>At 07:05:02, 61st 4S dropped to STOP. Do logs tell anything interesting?</t>
  </si>
  <si>
    <t>Onboard in-route failure</t>
  </si>
  <si>
    <t>Onboard in-route failure delayed departure</t>
  </si>
  <si>
    <t>Cancelled</t>
  </si>
  <si>
    <t>Overshot platform</t>
  </si>
  <si>
    <t>Starting at 14:47:20, Sable 2N was at STOP, this seem like undesired behavior. Do logs tell anything? Any XING bits not come in yet?</t>
  </si>
  <si>
    <t>Unable to select track - asking Onboard folks for analysis</t>
  </si>
  <si>
    <t>After initializing and loading subdiv 204.80, in the 22:21 UTC timeframe, kept getting kicked back to SELECT CURRENT TRACK screen despite selecting Main 1 multiple times. No GPS faults observed. Do onboard logs tell us anything?</t>
  </si>
  <si>
    <t>Early arrival</t>
  </si>
  <si>
    <t>Early arrival (41st)</t>
  </si>
  <si>
    <t>DIA SW 1 Out of Correspondence from 2016-12-17 18:51 - 2016-12-18 03:27</t>
  </si>
  <si>
    <t>Poor GPS at DUS &amp; ATC Issue &amp; DIA SW 1</t>
  </si>
  <si>
    <t>246-17</t>
  </si>
  <si>
    <t>Did not init</t>
  </si>
  <si>
    <t>116-17</t>
  </si>
  <si>
    <t>Cancelled?</t>
  </si>
  <si>
    <t>RESTRICTED aspect</t>
  </si>
  <si>
    <t>http://stevetu21.github.io/eaglep3/load_kml.html?kml=http://rtdc.gmaps-snips.s3.amazonaws.com/6571c4c5-93f8-442b-a0ec-99b757ed96ed.kml</t>
  </si>
  <si>
    <t>Overspeed</t>
  </si>
  <si>
    <t>40th 2N STOP</t>
  </si>
  <si>
    <t>40th 4S STOP</t>
  </si>
  <si>
    <t>EC1497RH 143-1T 1N STOP</t>
  </si>
  <si>
    <t>EC2241RH 219-1T 1N STOP</t>
  </si>
  <si>
    <t>EC2241RH 225-1T 1S STOP</t>
  </si>
  <si>
    <t>Onboard in-route failure &amp; DIA SW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</si>
</sst>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6571c4c5-93f8-442b-a0ec-99b757ed96ed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9"/>
  <sheetViews>
    <sheetView tabSelected="1" topLeftCell="A133" zoomScaleNormal="100" workbookViewId="0">
      <selection activeCell="R152" sqref="R152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139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COUNTIFS($N$13:$N$9359,"&gt;0",$AG$13:$AG$9359,I1)</f>
        <v>103</v>
      </c>
      <c r="K5" s="44"/>
      <c r="L5" s="44"/>
      <c r="M5" s="45">
        <f>AVERAGEIFS($N$13:$N$9359,$AG$13:$AG$9359,I1)</f>
        <v>44.392233009538295</v>
      </c>
      <c r="N5" s="43">
        <f t="array" ref="N5">MIN(IF($AG$13:$AG$9359=I1,IF(ISNUMBER($N$13:$N$9359),IF($N$13:$N$9359&gt;0,$N$13:$N$9359))))</f>
        <v>34.066666667349637</v>
      </c>
      <c r="O5" s="3">
        <f t="array" ref="O5">MAX(IF($AG$13:$AG$9359=I1,IF(ISNUMBER($N$13:$N$9359),IF($N$13:$N$9359&gt;0,$N$13:$N$9359))))</f>
        <v>75.03333333414048</v>
      </c>
      <c r="P5" s="2"/>
      <c r="R5" s="80" t="s">
        <v>17</v>
      </c>
      <c r="S5" s="55">
        <f>COUNTIFS($N$13:$N$9359,"&gt;0",$AG$13:$AG$9359,R1)</f>
        <v>34</v>
      </c>
      <c r="T5" s="44"/>
      <c r="U5" s="169"/>
      <c r="V5" s="45">
        <f>AVERAGEIFS($N$13:$N$9359,$AG$13:$AG$9359,R1)</f>
        <v>15.193627450532992</v>
      </c>
      <c r="W5" s="43">
        <f t="array" ref="W5">MIN(IF($AG$13:$AG$9359=R1,IF(ISNUMBER($N$13:$N$9359),IF($N$13:$N$9359&gt;0,$N$13:$N$9359))))</f>
        <v>12.283333333907649</v>
      </c>
      <c r="X5" s="173">
        <f t="array" ref="X5">MAX(IF($AG$13:$AG$9359=R1,IF(ISNUMBER($N$13:$N$9359),IF($N$13:$N$9359&gt;0,$N$13:$N$9359))))</f>
        <v>19.316666666418314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COUNT($O$13:$O$144)</f>
        <v>0</v>
      </c>
      <c r="K6" s="44"/>
      <c r="L6" s="44"/>
      <c r="M6" s="45">
        <f>IFERROR(AVERAGE($O$13:$O$144),0)</f>
        <v>0</v>
      </c>
      <c r="N6" s="43">
        <f>MIN($O$13:$O$144)</f>
        <v>0</v>
      </c>
      <c r="O6" s="3">
        <f>MAX($O$13:$O$144)</f>
        <v>0</v>
      </c>
      <c r="P6" s="2"/>
      <c r="R6" s="81" t="s">
        <v>43</v>
      </c>
      <c r="S6" s="55">
        <f>COUNT($O$13:$O$144)</f>
        <v>0</v>
      </c>
      <c r="T6" s="44"/>
      <c r="U6" s="169"/>
      <c r="V6" s="45">
        <f>IFERROR(AVERAGE($O$13:$O$144),0)</f>
        <v>0</v>
      </c>
      <c r="W6" s="43">
        <f>MIN($O$13:$O$144)</f>
        <v>0</v>
      </c>
      <c r="X6" s="173">
        <f>MAX($O$13:$O$144)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COUNTIFS($P$13:$P$9359,"&gt;0",$AG$13:$AG$9359,I1)</f>
        <v>36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COUNTIFS($P$13:$P$9359,"&gt;0",$AG$13:$AG$9359,R1)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103</v>
      </c>
      <c r="K8" s="44"/>
      <c r="L8" s="44"/>
      <c r="M8" s="45">
        <f>M5</f>
        <v>44.392233009538295</v>
      </c>
      <c r="N8" s="43">
        <f>N5</f>
        <v>34.066666667349637</v>
      </c>
      <c r="O8" s="3">
        <f>O5</f>
        <v>75.03333333414048</v>
      </c>
      <c r="P8" s="2"/>
      <c r="R8" s="80" t="s">
        <v>16</v>
      </c>
      <c r="S8" s="55">
        <f>S5</f>
        <v>34</v>
      </c>
      <c r="T8" s="44"/>
      <c r="U8" s="169"/>
      <c r="V8" s="45">
        <f>V5</f>
        <v>15.193627450532992</v>
      </c>
      <c r="W8" s="43">
        <f>W5</f>
        <v>12.283333333907649</v>
      </c>
      <c r="X8" s="173">
        <f>X5</f>
        <v>19.316666666418314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0.74100719424460426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- 2016-12-17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AVERAGE(S13:S100)</f>
        <v>0.95734126984126988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588</v>
      </c>
      <c r="B13" s="7">
        <v>4044</v>
      </c>
      <c r="C13" s="22" t="s">
        <v>205</v>
      </c>
      <c r="D13" s="22" t="s">
        <v>517</v>
      </c>
      <c r="E13" s="13">
        <v>42721.129895833335</v>
      </c>
      <c r="F13" s="13">
        <v>42721.13590277778</v>
      </c>
      <c r="G13" s="7">
        <v>1</v>
      </c>
      <c r="H13" s="22" t="s">
        <v>330</v>
      </c>
      <c r="I13" s="13">
        <v>42721.163391203707</v>
      </c>
      <c r="J13" s="7">
        <v>0</v>
      </c>
      <c r="K13" s="109" t="str">
        <f t="shared" ref="K13:K78" si="0">IF(ISEVEN(B13),(B13-1)&amp;"/"&amp;B13,B13&amp;"/"&amp;(B13+1))</f>
        <v>4043/4044</v>
      </c>
      <c r="L13" s="22" t="str">
        <f>VLOOKUP(A13,'Trips&amp;Operators'!$C$1:$G$99999,5,FALSE)</f>
        <v>MAELZER KURT</v>
      </c>
      <c r="M13" s="6">
        <f t="shared" ref="M13:M78" si="1">I13-F13</f>
        <v>2.7488425927003846E-2</v>
      </c>
      <c r="N13" s="7">
        <f>24*60*SUM($M13:$M13)</f>
        <v>39.583333334885538</v>
      </c>
      <c r="O13" s="7"/>
      <c r="P13" s="7"/>
      <c r="Q13" s="23"/>
      <c r="R13" s="23"/>
      <c r="S13" s="35">
        <f t="shared" ref="S13:S34" si="2">SUM(U13:U13)/IF(AG13="EC",12,1)</f>
        <v>1</v>
      </c>
      <c r="T13" s="50" t="str">
        <f t="shared" ref="T13:T78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8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https://search-rtdc-monitor-bjffxe2xuh6vdkpspy63sjmuny.us-east-1.es.amazonaws.com/_plugin/kibana/#/discover/Steve-Slow-Train-Analysis-(2080s-and-2083s)?_g=(refreshInterval:(display:Off,section:0,value:0),time:(from:'2016-12-17 02:07:03-700',mode:absolute,to:'2016-12-17 04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8" si="5">IF(AA13&lt;IF(AG13="EC",23,5.65),"Y","N")</f>
        <v>N</v>
      </c>
      <c r="X13" s="177" t="e">
        <f t="shared" ref="X13:X27" si="6">VALUE(LEFT(AD13,4))-VALUE(LEFT(AD12,4))</f>
        <v>#VALUE!</v>
      </c>
      <c r="Y13" s="67">
        <f t="shared" ref="Y13:Y30" si="7">RIGHT(D13,LEN(D13)-4)/10000</f>
        <v>7.5899999999999995E-2</v>
      </c>
      <c r="Z13" s="67">
        <f t="shared" ref="Z13:Z30" si="8">RIGHT(H13,LEN(H13)-4)/10000</f>
        <v>23.331499999999998</v>
      </c>
      <c r="AA13" s="67">
        <f t="shared" ref="AA13:AA78" si="9">ABS(Z13-Y13)</f>
        <v>23.255599999999998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8" si="10">IF(LEN(A13)=6,"0"&amp;A13,A13)</f>
        <v>0101-17</v>
      </c>
      <c r="AE13" s="91" t="str">
        <f t="shared" ref="AE13:AE78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v>
      </c>
      <c r="AF13" s="88" t="str">
        <f t="shared" ref="AF13:AF78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/stypes="app*4044*20161217*" /stext=" 10:.+((SYSTEM_STATE.+slice.+state.+changed )|(ment ac)|(multiple cpu faults)|(system.+state.+changed )|(\[timeout)|(PRM\|1\|D)|(kpr)|(kdp)|(\|lc)|(penalty))" /e /r /s</v>
      </c>
      <c r="AG13" s="1" t="str">
        <f t="shared" ref="AG13:AG78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4044 --swversion DE.1.0.8.0 --startMP 204:759 --initTime 2016-12-17T03:07:03 --startdatetime 2016-12-17T03:15:42 --delay 1 --endMP 204:233315 --enddatetime 2016-12-17T03:55:17 --enforcementcount 0 &gt;&gt;C:\Users\stu\Documents\GitHub\eaglep3-reporting\EC\2016-12-17-refined-times.txt</v>
      </c>
      <c r="AI13" s="11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{"issue":{"subject":"","project_id":79,"tracker_id":40,"status_id":1,"priority_id":2,"assigned_to_id":23,"start_date":"2016-12-17","description":"","custom_fields":[{"id":1,"name":"Subdivision","value":"EC"},{"id":4,"name":"Milepost","value":"23.3315"},{"id":17,"name":"Train ID","value":"101-17"},{"id":16,"name":"Locomotive ID","value":"4044"},{"id":130,"name":"Impact","value":""},{"id":150,"name":"Time of Event (Mountain Time)","value":"03:55:17"},{"id":151,"name":"Denver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592</v>
      </c>
      <c r="B14" s="7">
        <v>4013</v>
      </c>
      <c r="C14" s="22" t="s">
        <v>205</v>
      </c>
      <c r="D14" s="22" t="s">
        <v>754</v>
      </c>
      <c r="E14" s="13">
        <v>42721.170763888891</v>
      </c>
      <c r="F14" s="13">
        <v>42721.174687500003</v>
      </c>
      <c r="G14" s="7">
        <v>1</v>
      </c>
      <c r="H14" s="22" t="s">
        <v>755</v>
      </c>
      <c r="I14" s="13">
        <v>42721.203946759262</v>
      </c>
      <c r="J14" s="7">
        <v>0</v>
      </c>
      <c r="K14" s="109" t="str">
        <f t="shared" si="0"/>
        <v>4013/4014</v>
      </c>
      <c r="L14" s="22" t="str">
        <f>VLOOKUP(A14,'Trips&amp;Operators'!$C$1:$G$99999,5,FALSE)</f>
        <v>MAELZER KURT</v>
      </c>
      <c r="M14" s="6">
        <f t="shared" si="1"/>
        <v>2.9259259259561077E-2</v>
      </c>
      <c r="N14" s="7">
        <f>24*60*SUM($M14:$M14)</f>
        <v>42.133333333767951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03:05:54-700',mode:absolute,to:'2016-12-17 05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52" t="str">
        <f t="shared" si="5"/>
        <v>N</v>
      </c>
      <c r="X14" s="177">
        <f t="shared" si="6"/>
        <v>1</v>
      </c>
      <c r="Y14" s="67">
        <f t="shared" si="7"/>
        <v>23.268999999999998</v>
      </c>
      <c r="Z14" s="67">
        <f t="shared" si="8"/>
        <v>1.6500000000000001E-2</v>
      </c>
      <c r="AA14" s="67">
        <f t="shared" si="9"/>
        <v>23.252499999999998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0"/>
        <v>0102-17</v>
      </c>
      <c r="AE14" s="91" t="str">
        <f t="shared" si="11"/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AF14" s="88" t="str">
        <f t="shared" si="12"/>
        <v>"C:\Program Files (x86)\AstroGrep\AstroGrep.exe" /spath="%USERPROFILE%\AppData\Local\Temp\OnboardLogs" /stypes="app*4013*20161217*"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92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4013 --swversion DE.1.0.8.0 --startMP 204:232690 --initTime 2016-12-17T04:05:54 --startdatetime 2016-12-17T04:11:33 --delay 1 --endMP 204:165 --enddatetime 2016-12-17T04:53:41 --enforcementcount 0 &gt;&gt;C:\Users\stu\Documents\GitHub\eaglep3-reporting\EC\2016-12-17-refined-times.txt</v>
      </c>
      <c r="AI14" s="119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{"issue":{"subject":"","project_id":79,"tracker_id":40,"status_id":1,"priority_id":2,"assigned_to_id":23,"start_date":"2016-12-17","description":"","custom_fields":[{"id":1,"name":"Subdivision","value":"EC"},{"id":4,"name":"Milepost","value":"0.0165"},{"id":17,"name":"Train ID","value":"102-17"},{"id":16,"name":"Locomotive ID","value":"4013"},{"id":130,"name":"Impact","value":""},{"id":150,"name":"Time of Event (Mountain Time)","value":"04:53:41"},{"id":151,"name":"Denver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533</v>
      </c>
      <c r="B15" s="7">
        <v>4029</v>
      </c>
      <c r="C15" s="22" t="s">
        <v>205</v>
      </c>
      <c r="D15" s="22" t="s">
        <v>756</v>
      </c>
      <c r="E15" s="13">
        <v>42721.150972222225</v>
      </c>
      <c r="F15" s="13">
        <v>42721.175081018519</v>
      </c>
      <c r="G15" s="7">
        <v>1</v>
      </c>
      <c r="H15" s="22" t="s">
        <v>757</v>
      </c>
      <c r="I15" s="13">
        <v>42721.23296296296</v>
      </c>
      <c r="J15" s="7">
        <v>0</v>
      </c>
      <c r="K15" s="109" t="str">
        <f t="shared" si="0"/>
        <v>4029/4030</v>
      </c>
      <c r="L15" s="22" t="str">
        <f>VLOOKUP(A15,'Trips&amp;Operators'!$C$1:$G$99999,5,FALSE)</f>
        <v>ROBINSON KADDIBA</v>
      </c>
      <c r="M15" s="6">
        <f t="shared" si="1"/>
        <v>5.7881944441760425E-2</v>
      </c>
      <c r="N15" s="7"/>
      <c r="O15" s="7"/>
      <c r="P15" s="7">
        <f>24*60*SUM($M15:$M15)</f>
        <v>83.349999996135011</v>
      </c>
      <c r="Q15" s="23"/>
      <c r="R15" s="23" t="s">
        <v>978</v>
      </c>
      <c r="S15" s="35">
        <f t="shared" si="2"/>
        <v>0.83333333333333337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10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02:37:24-700',mode:absolute,to:'2016-12-17 06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" s="52" t="str">
        <f t="shared" si="5"/>
        <v>Y</v>
      </c>
      <c r="X15" s="177">
        <f t="shared" si="6"/>
        <v>1</v>
      </c>
      <c r="Y15" s="67">
        <f t="shared" si="7"/>
        <v>6.4399999999999999E-2</v>
      </c>
      <c r="Z15" s="67">
        <f t="shared" si="8"/>
        <v>8.1515000000000004</v>
      </c>
      <c r="AA15" s="67">
        <f t="shared" si="9"/>
        <v>8.0871000000000013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0"/>
        <v>0103-17</v>
      </c>
      <c r="AE15" s="91" t="str">
        <f t="shared" si="11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15" s="88" t="str">
        <f t="shared" si="12"/>
        <v>"C:\Program Files (x86)\AstroGrep\AstroGrep.exe" /spath="%USERPROFILE%\AppData\Local\Temp\OnboardLogs" /stypes="app*4029*20161217*" /stext=" 12:.+((SYSTEM_STATE.+slice.+state.+changed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92" t="str">
        <f t="shared" si="16"/>
        <v>"%USERPROFILE%\Documents\GitHub\eaglep3\Utilities\RefineRTDCRunTimes.py" --tripid 103-17 --locoid 4029 --swversion DE.1.0.8.0 --startMP 204:644 --initTime 2016-12-17T03:37:24 --startdatetime 2016-12-17T04:12:07 --delay 1 --endMP 204:81515 --enddatetime 2016-12-17T05:35:28 --enforcementcount 0 &gt;&gt;C:\Users\stu\Documents\GitHub\eaglep3-reporting\EC\2016-12-17-refined-times.txt</v>
      </c>
      <c r="AI15" s="119" t="str">
        <f t="shared" si="17"/>
        <v>echo {"issue":{"subject":"Wi-MAX data drop","project_id":79,"tracker_id":40,"status_id":1,"priority_id":2,"assigned_to_id":23,"start_date":"2016-12-17","description":"","custom_fields":[{"id":1,"name":"Subdivision","value":"EC"},{"id":4,"name":"Milepost","value":"8.1515"},{"id":17,"name":"Train ID","value":"103-17"},{"id":16,"name":"Locomotive ID","value":"4029"},{"id":130,"name":"Impact","value":""},{"id":150,"name":"Time of Event (Mountain Time)","value":"05:35:28"},{"id":151,"name":"Denver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536</v>
      </c>
      <c r="B16" s="7">
        <v>4041</v>
      </c>
      <c r="C16" s="22" t="s">
        <v>205</v>
      </c>
      <c r="D16" s="22" t="s">
        <v>758</v>
      </c>
      <c r="E16" s="13">
        <v>42721.195173611108</v>
      </c>
      <c r="F16" s="13">
        <v>42721.198101851849</v>
      </c>
      <c r="G16" s="7">
        <v>1</v>
      </c>
      <c r="H16" s="22" t="s">
        <v>759</v>
      </c>
      <c r="I16" s="13">
        <v>42721.21702546296</v>
      </c>
      <c r="J16" s="7">
        <v>0</v>
      </c>
      <c r="K16" s="109" t="str">
        <f t="shared" si="0"/>
        <v>4041/4042</v>
      </c>
      <c r="L16" s="22" t="str">
        <f>VLOOKUP(A16,'Trips&amp;Operators'!$C$1:$G$99999,5,FALSE)</f>
        <v>ROBINSON KADDIBA</v>
      </c>
      <c r="M16" s="6">
        <f t="shared" si="1"/>
        <v>1.8923611110949423E-2</v>
      </c>
      <c r="N16" s="7"/>
      <c r="O16" s="7"/>
      <c r="P16" s="7">
        <f>24*60*SUM($M16:$M16)</f>
        <v>27.249999999767169</v>
      </c>
      <c r="Q16" s="23"/>
      <c r="R16" s="23" t="s">
        <v>978</v>
      </c>
      <c r="S16" s="35">
        <f t="shared" si="2"/>
        <v>0.33333333333333331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4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03:41:03-700',mode:absolute,to:'2016-12-17 06:12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52" t="str">
        <f t="shared" si="5"/>
        <v>Y</v>
      </c>
      <c r="X16" s="177">
        <f t="shared" si="6"/>
        <v>1</v>
      </c>
      <c r="Y16" s="67">
        <f t="shared" si="7"/>
        <v>23.281300000000002</v>
      </c>
      <c r="Z16" s="67">
        <f t="shared" si="8"/>
        <v>5.8846999999999996</v>
      </c>
      <c r="AA16" s="67">
        <f t="shared" si="9"/>
        <v>17.396600000000003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0"/>
        <v>0104-17</v>
      </c>
      <c r="AE16" s="91" t="str">
        <f t="shared" si="11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16" s="88" t="str">
        <f t="shared" si="12"/>
        <v>"C:\Program Files (x86)\AstroGrep\AstroGrep.exe" /spath="%USERPROFILE%\AppData\Local\Temp\OnboardLogs" /stypes="app*4041*20161217*"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92" t="str">
        <f t="shared" si="16"/>
        <v>"%USERPROFILE%\Documents\GitHub\eaglep3\Utilities\RefineRTDCRunTimes.py" --tripid 104-17 --locoid 4041 --swversion DE.1.0.8.0 --startMP 204:232813 --initTime 2016-12-17T04:41:03 --startdatetime 2016-12-17T04:45:16 --delay 1 --endMP 204:58847 --enddatetime 2016-12-17T05:12:31 --enforcementcount 0 &gt;&gt;C:\Users\stu\Documents\GitHub\eaglep3-reporting\EC\2016-12-17-refined-times.txt</v>
      </c>
      <c r="AI16" s="119" t="str">
        <f t="shared" si="17"/>
        <v>echo {"issue":{"subject":"Wi-MAX data drop","project_id":79,"tracker_id":40,"status_id":1,"priority_id":2,"assigned_to_id":23,"start_date":"2016-12-17","description":"","custom_fields":[{"id":1,"name":"Subdivision","value":"EC"},{"id":4,"name":"Milepost","value":"5.8847"},{"id":17,"name":"Train ID","value":"104-17"},{"id":16,"name":"Locomotive ID","value":"4041"},{"id":130,"name":"Impact","value":""},{"id":150,"name":"Time of Event (Mountain Time)","value":"05:12:31"},{"id":151,"name":"Denver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593</v>
      </c>
      <c r="B17" s="7">
        <v>4016</v>
      </c>
      <c r="C17" s="22" t="s">
        <v>205</v>
      </c>
      <c r="D17" s="22" t="s">
        <v>760</v>
      </c>
      <c r="E17" s="13">
        <v>42721.172858796293</v>
      </c>
      <c r="F17" s="13">
        <v>42721.17728009259</v>
      </c>
      <c r="G17" s="7">
        <v>1</v>
      </c>
      <c r="H17" s="22" t="s">
        <v>761</v>
      </c>
      <c r="I17" s="13">
        <v>42721.203680555554</v>
      </c>
      <c r="J17" s="7">
        <v>0</v>
      </c>
      <c r="K17" s="109" t="str">
        <f t="shared" si="0"/>
        <v>4015/4016</v>
      </c>
      <c r="L17" s="22" t="str">
        <f>VLOOKUP(A17,'Trips&amp;Operators'!$C$1:$G$99999,5,FALSE)</f>
        <v>ACKERMAN JARED</v>
      </c>
      <c r="M17" s="6">
        <f t="shared" si="1"/>
        <v>2.6400462964375038E-2</v>
      </c>
      <c r="N17" s="7">
        <f t="shared" ref="N17:N30" si="18">24*60*SUM($M17:$M17)</f>
        <v>38.016666668700054</v>
      </c>
      <c r="O17" s="7"/>
      <c r="P17" s="7"/>
      <c r="Q17" s="23"/>
      <c r="R17" s="23"/>
      <c r="S17" s="35">
        <f t="shared" si="2"/>
        <v>1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03:08:55-700',mode:absolute,to:'2016-12-17 05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" s="52" t="str">
        <f t="shared" si="5"/>
        <v>N</v>
      </c>
      <c r="X17" s="177">
        <f t="shared" si="6"/>
        <v>1</v>
      </c>
      <c r="Y17" s="67">
        <f t="shared" si="7"/>
        <v>7.0800000000000002E-2</v>
      </c>
      <c r="Z17" s="67">
        <f t="shared" si="8"/>
        <v>23.336300000000001</v>
      </c>
      <c r="AA17" s="67">
        <f t="shared" si="9"/>
        <v>23.265500000000003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0"/>
        <v>0105-17</v>
      </c>
      <c r="AE17" s="91" t="str">
        <f t="shared" si="11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17" s="88" t="str">
        <f t="shared" si="12"/>
        <v>"C:\Program Files (x86)\AstroGrep\AstroGrep.exe" /spath="%USERPROFILE%\AppData\Local\Temp\OnboardLogs" /stypes="app*4016*20161217*"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92" t="str">
        <f t="shared" si="16"/>
        <v>"%USERPROFILE%\Documents\GitHub\eaglep3\Utilities\RefineRTDCRunTimes.py" --tripid 105-17 --locoid 4016 --swversion DE.1.0.8.0 --startMP 204:708 --initTime 2016-12-17T04:08:55 --startdatetime 2016-12-17T04:15:17 --delay 1 --endMP 204:233363 --enddatetime 2016-12-17T04:53:18 --enforcementcount 0 &gt;&gt;C:\Users\stu\Documents\GitHub\eaglep3-reporting\EC\2016-12-17-refined-times.txt</v>
      </c>
      <c r="AI17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{"issue":{"subject":"","project_id":79,"tracker_id":40,"status_id":1,"priority_id":2,"assigned_to_id":23,"start_date":"2016-12-17","description":"","custom_fields":[{"id":1,"name":"Subdivision","value":"EC"},{"id":4,"name":"Milepost","value":"23.3363"},{"id":17,"name":"Train ID","value":"105-17"},{"id":16,"name":"Locomotive ID","value":"4016"},{"id":130,"name":"Impact","value":""},{"id":150,"name":"Time of Event (Mountain Time)","value":"04:53:18"},{"id":151,"name":"Denver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599</v>
      </c>
      <c r="B18" s="7">
        <v>4045</v>
      </c>
      <c r="C18" s="22" t="s">
        <v>205</v>
      </c>
      <c r="D18" s="22" t="s">
        <v>762</v>
      </c>
      <c r="E18" s="13">
        <v>42721.209432870368</v>
      </c>
      <c r="F18" s="13">
        <v>42721.216145833336</v>
      </c>
      <c r="G18" s="7">
        <v>3</v>
      </c>
      <c r="H18" s="22" t="s">
        <v>763</v>
      </c>
      <c r="I18" s="13">
        <v>42721.246666666666</v>
      </c>
      <c r="J18" s="7">
        <v>0</v>
      </c>
      <c r="K18" s="109" t="str">
        <f t="shared" si="0"/>
        <v>4045/4046</v>
      </c>
      <c r="L18" s="22" t="str">
        <f>VLOOKUP(A18,'Trips&amp;Operators'!$C$1:$G$99999,5,FALSE)</f>
        <v>ACKERMAN JARED</v>
      </c>
      <c r="M18" s="6">
        <f t="shared" si="1"/>
        <v>3.0520833330228925E-2</v>
      </c>
      <c r="N18" s="7">
        <f t="shared" si="18"/>
        <v>43.949999995529652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04:01:35-700',mode:absolute,to:'2016-12-17 06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5"/>
        <v>N</v>
      </c>
      <c r="X18" s="177">
        <f t="shared" si="6"/>
        <v>1</v>
      </c>
      <c r="Y18" s="67">
        <f t="shared" si="7"/>
        <v>23.272400000000001</v>
      </c>
      <c r="Z18" s="67">
        <f t="shared" si="8"/>
        <v>1.0699999999999999E-2</v>
      </c>
      <c r="AA18" s="67">
        <f t="shared" si="9"/>
        <v>23.261700000000001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0"/>
        <v>0106-17</v>
      </c>
      <c r="AE18" s="91" t="str">
        <f t="shared" si="11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18" s="88" t="str">
        <f t="shared" si="12"/>
        <v>"C:\Program Files (x86)\AstroGrep\AstroGrep.exe" /spath="%USERPROFILE%\AppData\Local\Temp\OnboardLogs" /stypes="app*4045*20161217*"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92" t="str">
        <f t="shared" si="16"/>
        <v>"%USERPROFILE%\Documents\GitHub\eaglep3\Utilities\RefineRTDCRunTimes.py" --tripid 106-17 --locoid 4045 --swversion DE.1.0.8.0 --startMP 204:232724 --initTime 2016-12-17T05:01:35 --startdatetime 2016-12-17T05:11:15 --delay 3 --endMP 204:107 --enddatetime 2016-12-17T05:55:12 --enforcementcount 0 &gt;&gt;C:\Users\stu\Documents\GitHub\eaglep3-reporting\EC\2016-12-17-refined-times.txt</v>
      </c>
      <c r="AI18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{"issue":{"subject":"","project_id":79,"tracker_id":40,"status_id":1,"priority_id":2,"assigned_to_id":23,"start_date":"2016-12-17","description":"","custom_fields":[{"id":1,"name":"Subdivision","value":"EC"},{"id":4,"name":"Milepost","value":"0.0107"},{"id":17,"name":"Train ID","value":"106-17"},{"id":16,"name":"Locomotive ID","value":"4045"},{"id":130,"name":"Impact","value":""},{"id":150,"name":"Time of Event (Mountain Time)","value":"05:55:12"},{"id":151,"name":"Denver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596</v>
      </c>
      <c r="B19" s="7">
        <v>4020</v>
      </c>
      <c r="C19" s="22" t="s">
        <v>205</v>
      </c>
      <c r="D19" s="22" t="s">
        <v>512</v>
      </c>
      <c r="E19" s="13">
        <v>42721.187256944446</v>
      </c>
      <c r="F19" s="13">
        <v>42721.188634259262</v>
      </c>
      <c r="G19" s="7">
        <v>1</v>
      </c>
      <c r="H19" s="22" t="s">
        <v>764</v>
      </c>
      <c r="I19" s="13">
        <v>42721.214641203704</v>
      </c>
      <c r="J19" s="7">
        <v>0</v>
      </c>
      <c r="K19" s="109" t="str">
        <f t="shared" si="0"/>
        <v>4019/4020</v>
      </c>
      <c r="L19" s="22" t="str">
        <f>VLOOKUP(A19,'Trips&amp;Operators'!$C$1:$G$99999,5,FALSE)</f>
        <v>DAVIS WENDY</v>
      </c>
      <c r="M19" s="6">
        <f t="shared" si="1"/>
        <v>2.6006944441178348E-2</v>
      </c>
      <c r="N19" s="7">
        <f t="shared" si="18"/>
        <v>37.449999995296821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03:29:39-700',mode:absolute,to:'2016-12-17 06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" s="52" t="str">
        <f t="shared" si="5"/>
        <v>N</v>
      </c>
      <c r="X19" s="177">
        <f t="shared" si="6"/>
        <v>1</v>
      </c>
      <c r="Y19" s="67">
        <f t="shared" si="7"/>
        <v>4.2599999999999999E-2</v>
      </c>
      <c r="Z19" s="67">
        <f t="shared" si="8"/>
        <v>23.3383</v>
      </c>
      <c r="AA19" s="67">
        <f t="shared" si="9"/>
        <v>23.2957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0"/>
        <v>0107-17</v>
      </c>
      <c r="AE19" s="91" t="str">
        <f t="shared" si="11"/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19" s="88" t="str">
        <f t="shared" si="12"/>
        <v>"C:\Program Files (x86)\AstroGrep\AstroGrep.exe" /spath="%USERPROFILE%\AppData\Local\Temp\OnboardLogs" /stypes="app*4020*20161217*"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92" t="str">
        <f t="shared" si="16"/>
        <v>"%USERPROFILE%\Documents\GitHub\eaglep3\Utilities\RefineRTDCRunTimes.py" --tripid 107-17 --locoid 4020 --swversion DE.1.0.8.0 --startMP 204:426 --initTime 2016-12-17T04:29:39 --startdatetime 2016-12-17T04:31:38 --delay 1 --endMP 204:233383 --enddatetime 2016-12-17T05:09:05 --enforcementcount 0 &gt;&gt;C:\Users\stu\Documents\GitHub\eaglep3-reporting\EC\2016-12-17-refined-times.txt</v>
      </c>
      <c r="AI19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{"issue":{"subject":"","project_id":79,"tracker_id":40,"status_id":1,"priority_id":2,"assigned_to_id":23,"start_date":"2016-12-17","description":"","custom_fields":[{"id":1,"name":"Subdivision","value":"EC"},{"id":4,"name":"Milepost","value":"23.3383"},{"id":17,"name":"Train ID","value":"107-17"},{"id":16,"name":"Locomotive ID","value":"4020"},{"id":130,"name":"Impact","value":""},{"id":150,"name":"Time of Event (Mountain Time)","value":"05:09:05"},{"id":151,"name":"Denver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537</v>
      </c>
      <c r="B20" s="7">
        <v>4019</v>
      </c>
      <c r="C20" s="22" t="s">
        <v>205</v>
      </c>
      <c r="D20" s="22" t="s">
        <v>765</v>
      </c>
      <c r="E20" s="13">
        <v>42721.224027777775</v>
      </c>
      <c r="F20" s="13">
        <v>42721.2265625</v>
      </c>
      <c r="G20" s="7">
        <v>1</v>
      </c>
      <c r="H20" s="22" t="s">
        <v>307</v>
      </c>
      <c r="I20" s="13">
        <v>42721.259571759256</v>
      </c>
      <c r="J20" s="7">
        <v>0</v>
      </c>
      <c r="K20" s="109" t="str">
        <f t="shared" si="0"/>
        <v>4019/4020</v>
      </c>
      <c r="L20" s="22" t="str">
        <f>VLOOKUP(A20,'Trips&amp;Operators'!$C$1:$G$99999,5,FALSE)</f>
        <v>DAVIS WENDY</v>
      </c>
      <c r="M20" s="6">
        <f t="shared" si="1"/>
        <v>3.3009259255777579E-2</v>
      </c>
      <c r="N20" s="7">
        <f t="shared" si="18"/>
        <v>47.533333328319713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04:22:36-700',mode:absolute,to:'2016-12-17 07:13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" s="52" t="str">
        <f t="shared" si="5"/>
        <v>N</v>
      </c>
      <c r="X20" s="177">
        <f t="shared" si="6"/>
        <v>1</v>
      </c>
      <c r="Y20" s="67">
        <f t="shared" si="7"/>
        <v>23.3063</v>
      </c>
      <c r="Z20" s="67">
        <f t="shared" si="8"/>
        <v>1.38E-2</v>
      </c>
      <c r="AA20" s="67">
        <f t="shared" si="9"/>
        <v>23.2925</v>
      </c>
      <c r="AB20" s="64" t="str">
        <f>VLOOKUP(A20,Enforcements!$C$7:$K$19,8,0)</f>
        <v>Speed (6)</v>
      </c>
      <c r="AC20" s="60" t="str">
        <f>VLOOKUP(A20,Enforcements!$C$7:$E$19,3,0)</f>
        <v>PERMANENT SPEED RESTRICTION</v>
      </c>
      <c r="AD20" s="61" t="str">
        <f t="shared" si="10"/>
        <v>0108-17</v>
      </c>
      <c r="AE20" s="91" t="str">
        <f t="shared" si="11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20" s="88" t="str">
        <f t="shared" si="12"/>
        <v>"C:\Program Files (x86)\AstroGrep\AstroGrep.exe" /spath="%USERPROFILE%\AppData\Local\Temp\OnboardLogs" /stypes="app*4019*20161217*"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92" t="str">
        <f t="shared" si="16"/>
        <v>"%USERPROFILE%\Documents\GitHub\eaglep3\Utilities\RefineRTDCRunTimes.py" --tripid 108-17 --locoid 4019 --swversion DE.1.0.8.0 --startMP 204:233063 --initTime 2016-12-17T05:22:36 --startdatetime 2016-12-17T05:26:15 --delay 1 --endMP 204:138 --enddatetime 2016-12-17T06:13:47 --enforcementcount 0 &gt;&gt;C:\Users\stu\Documents\GitHub\eaglep3-reporting\EC\2016-12-17-refined-times.txt</v>
      </c>
      <c r="AI20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{"issue":{"subject":"","project_id":79,"tracker_id":40,"status_id":1,"priority_id":2,"assigned_to_id":23,"start_date":"2016-12-17","description":"","custom_fields":[{"id":1,"name":"Subdivision","value":"EC"},{"id":4,"name":"Milepost","value":"0.0138"},{"id":17,"name":"Train ID","value":"108-17"},{"id":16,"name":"Locomotive ID","value":"4019"},{"id":130,"name":"Impact","value":""},{"id":150,"name":"Time of Event (Mountain Time)","value":"06:13:47"},{"id":151,"name":"Denver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597</v>
      </c>
      <c r="B21" s="7">
        <v>4018</v>
      </c>
      <c r="C21" s="22" t="s">
        <v>205</v>
      </c>
      <c r="D21" s="22" t="s">
        <v>291</v>
      </c>
      <c r="E21" s="13">
        <v>42721.196388888886</v>
      </c>
      <c r="F21" s="13">
        <v>42721.19809027778</v>
      </c>
      <c r="G21" s="7">
        <v>1</v>
      </c>
      <c r="H21" s="22" t="s">
        <v>766</v>
      </c>
      <c r="I21" s="13">
        <v>42721.225624999999</v>
      </c>
      <c r="J21" s="7">
        <v>0</v>
      </c>
      <c r="K21" s="109" t="str">
        <f t="shared" si="0"/>
        <v>4017/4018</v>
      </c>
      <c r="L21" s="22" t="str">
        <f>VLOOKUP(A21,'Trips&amp;Operators'!$C$1:$G$99999,5,FALSE)</f>
        <v>KILLION DAVID</v>
      </c>
      <c r="M21" s="6">
        <f t="shared" si="1"/>
        <v>2.753472221957054E-2</v>
      </c>
      <c r="N21" s="7">
        <f t="shared" si="18"/>
        <v>39.649999996181577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03:42:48-700',mode:absolute,to:'2016-12-17 06:24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" s="52" t="str">
        <f t="shared" si="5"/>
        <v>N</v>
      </c>
      <c r="X21" s="177">
        <f t="shared" si="6"/>
        <v>1</v>
      </c>
      <c r="Y21" s="67">
        <f t="shared" si="7"/>
        <v>4.7500000000000001E-2</v>
      </c>
      <c r="Z21" s="67">
        <f t="shared" si="8"/>
        <v>23.340800000000002</v>
      </c>
      <c r="AA21" s="67">
        <f t="shared" si="9"/>
        <v>23.293300000000002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0"/>
        <v>0109-17</v>
      </c>
      <c r="AE21" s="91" t="str">
        <f t="shared" si="11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21" s="88" t="str">
        <f t="shared" si="12"/>
        <v>"C:\Program Files (x86)\AstroGrep\AstroGrep.exe" /spath="%USERPROFILE%\AppData\Local\Temp\OnboardLogs" /stypes="app*4018*20161217*"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92" t="str">
        <f t="shared" si="16"/>
        <v>"%USERPROFILE%\Documents\GitHub\eaglep3\Utilities\RefineRTDCRunTimes.py" --tripid 109-17 --locoid 4018 --swversion DE.1.0.8.0 --startMP 204:475 --initTime 2016-12-17T04:42:48 --startdatetime 2016-12-17T04:45:15 --delay 1 --endMP 204:233408 --enddatetime 2016-12-17T05:24:54 --enforcementcount 0 &gt;&gt;C:\Users\stu\Documents\GitHub\eaglep3-reporting\EC\2016-12-17-refined-times.txt</v>
      </c>
      <c r="AI21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{"issue":{"subject":"","project_id":79,"tracker_id":40,"status_id":1,"priority_id":2,"assigned_to_id":23,"start_date":"2016-12-17","description":"","custom_fields":[{"id":1,"name":"Subdivision","value":"EC"},{"id":4,"name":"Milepost","value":"23.3408"},{"id":17,"name":"Train ID","value":"109-17"},{"id":16,"name":"Locomotive ID","value":"4018"},{"id":130,"name":"Impact","value":""},{"id":150,"name":"Time of Event (Mountain Time)","value":"05:24:54"},{"id":151,"name":"Denver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540</v>
      </c>
      <c r="B22" s="7">
        <v>4017</v>
      </c>
      <c r="C22" s="22" t="s">
        <v>205</v>
      </c>
      <c r="D22" s="22" t="s">
        <v>767</v>
      </c>
      <c r="E22" s="13">
        <v>42721.232372685183</v>
      </c>
      <c r="F22" s="13">
        <v>42721.237013888887</v>
      </c>
      <c r="G22" s="7">
        <v>1</v>
      </c>
      <c r="H22" s="22" t="s">
        <v>307</v>
      </c>
      <c r="I22" s="13">
        <v>42721.269363425927</v>
      </c>
      <c r="J22" s="7">
        <v>0</v>
      </c>
      <c r="K22" s="109" t="str">
        <f t="shared" si="0"/>
        <v>4017/4018</v>
      </c>
      <c r="L22" s="22" t="str">
        <f>VLOOKUP(A22,'Trips&amp;Operators'!$C$1:$G$99999,5,FALSE)</f>
        <v>KILLION DAVID</v>
      </c>
      <c r="M22" s="6">
        <f t="shared" si="1"/>
        <v>3.234953703940846E-2</v>
      </c>
      <c r="N22" s="7">
        <f t="shared" si="18"/>
        <v>46.583333336748183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04:34:37-700',mode:absolute,to:'2016-12-17 07:27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" s="52" t="str">
        <f t="shared" si="5"/>
        <v>N</v>
      </c>
      <c r="X22" s="177">
        <f t="shared" si="6"/>
        <v>1</v>
      </c>
      <c r="Y22" s="67">
        <f t="shared" si="7"/>
        <v>23.308299999999999</v>
      </c>
      <c r="Z22" s="67">
        <f t="shared" si="8"/>
        <v>1.38E-2</v>
      </c>
      <c r="AA22" s="67">
        <f t="shared" si="9"/>
        <v>23.294499999999999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0"/>
        <v>0110-17</v>
      </c>
      <c r="AE22" s="91" t="str">
        <f t="shared" si="11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22" s="88" t="str">
        <f t="shared" si="12"/>
        <v>"C:\Program Files (x86)\AstroGrep\AstroGrep.exe" /spath="%USERPROFILE%\AppData\Local\Temp\OnboardLogs" /stypes="app*4017*20161217*"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92" t="str">
        <f t="shared" si="16"/>
        <v>"%USERPROFILE%\Documents\GitHub\eaglep3\Utilities\RefineRTDCRunTimes.py" --tripid 110-17 --locoid 4017 --swversion DE.1.0.8.0 --startMP 204:233083 --initTime 2016-12-17T05:34:37 --startdatetime 2016-12-17T05:41:18 --delay 1 --endMP 204:138 --enddatetime 2016-12-17T06:27:53 --enforcementcount 0 &gt;&gt;C:\Users\stu\Documents\GitHub\eaglep3-reporting\EC\2016-12-17-refined-times.txt</v>
      </c>
      <c r="AI22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{"issue":{"subject":"","project_id":79,"tracker_id":40,"status_id":1,"priority_id":2,"assigned_to_id":23,"start_date":"2016-12-17","description":"","custom_fields":[{"id":1,"name":"Subdivision","value":"EC"},{"id":4,"name":"Milepost","value":"0.0138"},{"id":17,"name":"Train ID","value":"110-17"},{"id":16,"name":"Locomotive ID","value":"4017"},{"id":130,"name":"Impact","value":""},{"id":150,"name":"Time of Event (Mountain Time)","value":"06:27:53"},{"id":151,"name":"Denver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598</v>
      </c>
      <c r="B23" s="7">
        <v>4044</v>
      </c>
      <c r="C23" s="22" t="s">
        <v>205</v>
      </c>
      <c r="D23" s="22" t="s">
        <v>768</v>
      </c>
      <c r="E23" s="13">
        <v>42721.208969907406</v>
      </c>
      <c r="F23" s="13">
        <v>42721.211400462962</v>
      </c>
      <c r="G23" s="7">
        <v>3</v>
      </c>
      <c r="H23" s="22" t="s">
        <v>769</v>
      </c>
      <c r="I23" s="13">
        <v>42721.237488425926</v>
      </c>
      <c r="J23" s="7">
        <v>0</v>
      </c>
      <c r="K23" s="109" t="str">
        <f t="shared" si="0"/>
        <v>4043/4044</v>
      </c>
      <c r="L23" s="22" t="str">
        <f>VLOOKUP(A23,'Trips&amp;Operators'!$C$1:$G$99999,5,FALSE)</f>
        <v>GEBRETEKLE DAGNEW</v>
      </c>
      <c r="M23" s="6">
        <f t="shared" si="1"/>
        <v>2.6087962964083999E-2</v>
      </c>
      <c r="N23" s="7">
        <f t="shared" si="18"/>
        <v>37.566666668280959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04:00:55-700',mode:absolute,to:'2016-12-17 06:41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5"/>
        <v>N</v>
      </c>
      <c r="X23" s="177">
        <f t="shared" si="6"/>
        <v>1</v>
      </c>
      <c r="Y23" s="67">
        <f t="shared" si="7"/>
        <v>7.4999999999999997E-2</v>
      </c>
      <c r="Z23" s="67">
        <f t="shared" si="8"/>
        <v>23.332599999999999</v>
      </c>
      <c r="AA23" s="67">
        <f t="shared" si="9"/>
        <v>23.2576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0"/>
        <v>0111-17</v>
      </c>
      <c r="AE23" s="91" t="str">
        <f t="shared" si="11"/>
        <v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v>
      </c>
      <c r="AF23" s="88" t="str">
        <f t="shared" si="12"/>
        <v>"C:\Program Files (x86)\AstroGrep\AstroGrep.exe" /spath="%USERPROFILE%\AppData\Local\Temp\OnboardLogs" /stypes="app*4044*20161217*"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92" t="str">
        <f t="shared" si="16"/>
        <v>"%USERPROFILE%\Documents\GitHub\eaglep3\Utilities\RefineRTDCRunTimes.py" --tripid 111-17 --locoid 4044 --swversion DE.1.0.8.0 --startMP 204:750 --initTime 2016-12-17T05:00:55 --startdatetime 2016-12-17T05:04:25 --delay 3 --endMP 204:233326 --enddatetime 2016-12-17T05:41:59 --enforcementcount 0 &gt;&gt;C:\Users\stu\Documents\GitHub\eaglep3-reporting\EC\2016-12-17-refined-times.txt</v>
      </c>
      <c r="AI23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{"issue":{"subject":"","project_id":79,"tracker_id":40,"status_id":1,"priority_id":2,"assigned_to_id":23,"start_date":"2016-12-17","description":"","custom_fields":[{"id":1,"name":"Subdivision","value":"EC"},{"id":4,"name":"Milepost","value":"23.3326"},{"id":17,"name":"Train ID","value":"111-17"},{"id":16,"name":"Locomotive ID","value":"4044"},{"id":130,"name":"Impact","value":""},{"id":150,"name":"Time of Event (Mountain Time)","value":"05:41:59"},{"id":151,"name":"Denver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542</v>
      </c>
      <c r="B24" s="7">
        <v>4043</v>
      </c>
      <c r="C24" s="22" t="s">
        <v>205</v>
      </c>
      <c r="D24" s="22" t="s">
        <v>770</v>
      </c>
      <c r="E24" s="13">
        <v>42721.243622685186</v>
      </c>
      <c r="F24" s="13">
        <v>42721.247685185182</v>
      </c>
      <c r="G24" s="7">
        <v>2</v>
      </c>
      <c r="H24" s="22" t="s">
        <v>310</v>
      </c>
      <c r="I24" s="13">
        <v>42721.279189814813</v>
      </c>
      <c r="J24" s="7">
        <v>0</v>
      </c>
      <c r="K24" s="109" t="str">
        <f t="shared" si="0"/>
        <v>4043/4044</v>
      </c>
      <c r="L24" s="22" t="str">
        <f>VLOOKUP(A24,'Trips&amp;Operators'!$C$1:$G$99999,5,FALSE)</f>
        <v>GEBRETEKLE DAGNEW</v>
      </c>
      <c r="M24" s="6">
        <f t="shared" si="1"/>
        <v>3.1504629630944692E-2</v>
      </c>
      <c r="N24" s="7">
        <f t="shared" si="18"/>
        <v>45.366666668560356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04:50:49-700',mode:absolute,to:'2016-12-17 07:42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5"/>
        <v>N</v>
      </c>
      <c r="X24" s="177">
        <f t="shared" si="6"/>
        <v>1</v>
      </c>
      <c r="Y24" s="67">
        <f t="shared" si="7"/>
        <v>23.302800000000001</v>
      </c>
      <c r="Z24" s="67">
        <f t="shared" si="8"/>
        <v>1.3599999999999999E-2</v>
      </c>
      <c r="AA24" s="67">
        <f t="shared" si="9"/>
        <v>23.289200000000001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0"/>
        <v>0112-17</v>
      </c>
      <c r="AE24" s="91" t="str">
        <f t="shared" si="11"/>
        <v>aws s3 cp s3://rtdc.mdm.uploadarchive.raw/RTDC4043/ "%USERPROFILE%\AppData\Local\Temp\OnboardLogs"\RTDC4043\2016-12-17 --exclude "*" --recursive --include "*20161217*" &amp; "%USERPROFILE%\Documents\GitHub\mrs-test-scripts\Headless Mode &amp; Sideloading\WalkAndUnGZ.bat" "%USERPROFILE%\AppData\Local\Temp\OnboardLogs"\RTDC4043\2016-12-17 &amp; 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</v>
      </c>
      <c r="AF24" s="88" t="str">
        <f t="shared" si="12"/>
        <v>"C:\Program Files (x86)\AstroGrep\AstroGrep.exe" /spath="%USERPROFILE%\AppData\Local\Temp\OnboardLogs" /stypes="app*4043*20161217*"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92" t="str">
        <f t="shared" si="16"/>
        <v>"%USERPROFILE%\Documents\GitHub\eaglep3\Utilities\RefineRTDCRunTimes.py" --tripid 112-17 --locoid 4043 --swversion DE.1.0.8.0 --startMP 204:233028 --initTime 2016-12-17T05:50:49 --startdatetime 2016-12-17T05:56:40 --delay 2 --endMP 204:136 --enddatetime 2016-12-17T06:42:02 --enforcementcount 0 &gt;&gt;C:\Users\stu\Documents\GitHub\eaglep3-reporting\EC\2016-12-17-refined-times.txt</v>
      </c>
      <c r="AI24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{"issue":{"subject":"","project_id":79,"tracker_id":40,"status_id":1,"priority_id":2,"assigned_to_id":23,"start_date":"2016-12-17","description":"","custom_fields":[{"id":1,"name":"Subdivision","value":"EC"},{"id":4,"name":"Milepost","value":"0.0136"},{"id":17,"name":"Train ID","value":"112-17"},{"id":16,"name":"Locomotive ID","value":"4043"},{"id":130,"name":"Impact","value":""},{"id":150,"name":"Time of Event (Mountain Time)","value":"06:42:02"},{"id":151,"name":"Denver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539</v>
      </c>
      <c r="B25" s="7">
        <v>4014</v>
      </c>
      <c r="C25" s="22" t="s">
        <v>205</v>
      </c>
      <c r="D25" s="22" t="s">
        <v>512</v>
      </c>
      <c r="E25" s="13">
        <v>42721.21471064815</v>
      </c>
      <c r="F25" s="13">
        <v>42721.219108796293</v>
      </c>
      <c r="G25" s="7">
        <v>1</v>
      </c>
      <c r="H25" s="22" t="s">
        <v>771</v>
      </c>
      <c r="I25" s="13">
        <v>42721.248055555552</v>
      </c>
      <c r="J25" s="7">
        <v>0</v>
      </c>
      <c r="K25" s="109" t="str">
        <f t="shared" si="0"/>
        <v>4013/4014</v>
      </c>
      <c r="L25" s="22" t="str">
        <f>VLOOKUP(A25,'Trips&amp;Operators'!$C$1:$G$99999,5,FALSE)</f>
        <v>MAELZER KURT</v>
      </c>
      <c r="M25" s="6">
        <f t="shared" si="1"/>
        <v>2.8946759259270038E-2</v>
      </c>
      <c r="N25" s="7">
        <f t="shared" si="18"/>
        <v>41.683333333348855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04:09:11-700',mode:absolute,to:'2016-12-17 06:57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52" t="str">
        <f t="shared" si="5"/>
        <v>N</v>
      </c>
      <c r="X25" s="177">
        <f t="shared" si="6"/>
        <v>1</v>
      </c>
      <c r="Y25" s="67">
        <f t="shared" si="7"/>
        <v>4.2599999999999999E-2</v>
      </c>
      <c r="Z25" s="67">
        <f t="shared" si="8"/>
        <v>23.332100000000001</v>
      </c>
      <c r="AA25" s="67">
        <f t="shared" si="9"/>
        <v>23.2895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0"/>
        <v>0113-17</v>
      </c>
      <c r="AE25" s="91" t="str">
        <f t="shared" si="11"/>
        <v>aws s3 cp s3://rtdc.mdm.uploadarchive.raw/RTDC4014/ "%USERPROFILE%\AppData\Local\Temp\OnboardLogs"\RTDC4014\2016-12-17 --exclude "*" --recursive --include "*20161217*" &amp; "%USERPROFILE%\Documents\GitHub\mrs-test-scripts\Headless Mode &amp; Sideloading\WalkAndUnGZ.bat" "%USERPROFILE%\AppData\Local\Temp\OnboardLogs"\RTDC4014\2016-12-17 &amp; 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</v>
      </c>
      <c r="AF25" s="88" t="str">
        <f t="shared" si="12"/>
        <v>"C:\Program Files (x86)\AstroGrep\AstroGrep.exe" /spath="%USERPROFILE%\AppData\Local\Temp\OnboardLogs" /stypes="app*4014*20161217*" /stext=" 12:.+((SYSTEM_STATE.+slice.+state.+changed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92" t="str">
        <f t="shared" si="16"/>
        <v>"%USERPROFILE%\Documents\GitHub\eaglep3\Utilities\RefineRTDCRunTimes.py" --tripid 113-17 --locoid 4014 --swversion DE.1.0.8.0 --startMP 204:426 --initTime 2016-12-17T05:09:11 --startdatetime 2016-12-17T05:15:31 --delay 1 --endMP 204:233321 --enddatetime 2016-12-17T05:57:12 --enforcementcount 0 &gt;&gt;C:\Users\stu\Documents\GitHub\eaglep3-reporting\EC\2016-12-17-refined-times.txt</v>
      </c>
      <c r="AI25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{"issue":{"subject":"","project_id":79,"tracker_id":40,"status_id":1,"priority_id":2,"assigned_to_id":23,"start_date":"2016-12-17","description":"","custom_fields":[{"id":1,"name":"Subdivision","value":"EC"},{"id":4,"name":"Milepost","value":"23.3321"},{"id":17,"name":"Train ID","value":"113-17"},{"id":16,"name":"Locomotive ID","value":"4014"},{"id":130,"name":"Impact","value":""},{"id":150,"name":"Time of Event (Mountain Time)","value":"05:57:12"},{"id":151,"name":"Denver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544</v>
      </c>
      <c r="B26" s="7">
        <v>4013</v>
      </c>
      <c r="C26" s="22" t="s">
        <v>205</v>
      </c>
      <c r="D26" s="22" t="s">
        <v>294</v>
      </c>
      <c r="E26" s="13">
        <v>42721.254571759258</v>
      </c>
      <c r="F26" s="13">
        <v>42721.258136574077</v>
      </c>
      <c r="G26" s="7">
        <v>1</v>
      </c>
      <c r="H26" s="22" t="s">
        <v>267</v>
      </c>
      <c r="I26" s="13">
        <v>42721.296319444446</v>
      </c>
      <c r="J26" s="7">
        <v>0</v>
      </c>
      <c r="K26" s="109" t="str">
        <f t="shared" si="0"/>
        <v>4013/4014</v>
      </c>
      <c r="L26" s="22" t="str">
        <f>VLOOKUP(A26,'Trips&amp;Operators'!$C$1:$G$99999,5,FALSE)</f>
        <v>MAELZER KURT</v>
      </c>
      <c r="M26" s="6">
        <f t="shared" si="1"/>
        <v>3.8182870368473232E-2</v>
      </c>
      <c r="N26" s="7">
        <f t="shared" si="18"/>
        <v>54.983333330601454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05:06:35-700',mode:absolute,to:'2016-12-17 08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52" t="str">
        <f t="shared" si="5"/>
        <v>N</v>
      </c>
      <c r="X26" s="177">
        <f t="shared" si="6"/>
        <v>1</v>
      </c>
      <c r="Y26" s="67">
        <f t="shared" si="7"/>
        <v>23.301100000000002</v>
      </c>
      <c r="Z26" s="67">
        <f t="shared" si="8"/>
        <v>1.3899999999999999E-2</v>
      </c>
      <c r="AA26" s="67">
        <f t="shared" si="9"/>
        <v>23.287200000000002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0"/>
        <v>0114-17</v>
      </c>
      <c r="AE26" s="91" t="str">
        <f t="shared" si="11"/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AF26" s="88" t="str">
        <f t="shared" si="12"/>
        <v>"C:\Program Files (x86)\AstroGrep\AstroGrep.exe" /spath="%USERPROFILE%\AppData\Local\Temp\OnboardLogs" /stypes="app*4013*20161217*" /stext=" 14:.+((SYSTEM_STATE.+slice.+state.+changed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92" t="str">
        <f t="shared" si="16"/>
        <v>"%USERPROFILE%\Documents\GitHub\eaglep3\Utilities\RefineRTDCRunTimes.py" --tripid 114-17 --locoid 4013 --swversion DE.1.0.8.0 --startMP 204:233011 --initTime 2016-12-17T06:06:35 --startdatetime 2016-12-17T06:11:43 --delay 1 --endMP 204:139 --enddatetime 2016-12-17T07:06:42 --enforcementcount 0 &gt;&gt;C:\Users\stu\Documents\GitHub\eaglep3-reporting\EC\2016-12-17-refined-times.txt</v>
      </c>
      <c r="AI26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{"issue":{"subject":"","project_id":79,"tracker_id":40,"status_id":1,"priority_id":2,"assigned_to_id":23,"start_date":"2016-12-17","description":"","custom_fields":[{"id":1,"name":"Subdivision","value":"EC"},{"id":4,"name":"Milepost","value":"0.0139"},{"id":17,"name":"Train ID","value":"114-17"},{"id":16,"name":"Locomotive ID","value":"4013"},{"id":130,"name":"Impact","value":""},{"id":150,"name":"Time of Event (Mountain Time)","value":"07:06:42"},{"id":151,"name":"Denver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538</v>
      </c>
      <c r="B27" s="7">
        <v>4029</v>
      </c>
      <c r="C27" s="22" t="s">
        <v>205</v>
      </c>
      <c r="D27" s="22" t="s">
        <v>493</v>
      </c>
      <c r="E27" s="13">
        <v>42721.230393518519</v>
      </c>
      <c r="F27" s="13">
        <v>42721.232175925928</v>
      </c>
      <c r="G27" s="7">
        <v>1</v>
      </c>
      <c r="H27" s="22" t="s">
        <v>772</v>
      </c>
      <c r="I27" s="13">
        <v>42721.258159722223</v>
      </c>
      <c r="J27" s="7">
        <v>0</v>
      </c>
      <c r="K27" s="109" t="str">
        <f t="shared" si="0"/>
        <v>4029/4030</v>
      </c>
      <c r="L27" s="22" t="str">
        <f>VLOOKUP(A27,'Trips&amp;Operators'!$C$1:$G$99999,5,FALSE)</f>
        <v>STRICKLAND EVAN</v>
      </c>
      <c r="M27" s="6">
        <f t="shared" si="1"/>
        <v>2.5983796294895001E-2</v>
      </c>
      <c r="N27" s="7">
        <f t="shared" si="18"/>
        <v>37.416666664648801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04:31:46-700',mode:absolute,to:'2016-12-17 07:11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7" s="52" t="str">
        <f t="shared" si="5"/>
        <v>N</v>
      </c>
      <c r="X27" s="177">
        <f t="shared" si="6"/>
        <v>1</v>
      </c>
      <c r="Y27" s="67">
        <f t="shared" si="7"/>
        <v>6.9199999999999998E-2</v>
      </c>
      <c r="Z27" s="67">
        <f t="shared" si="8"/>
        <v>23.332999999999998</v>
      </c>
      <c r="AA27" s="67">
        <f t="shared" si="9"/>
        <v>23.2638</v>
      </c>
      <c r="AB27" s="64" t="str">
        <f>VLOOKUP(A27,Enforcements!$C$7:$K$19,8,0)</f>
        <v>Speed (6)</v>
      </c>
      <c r="AC27" s="60" t="str">
        <f>VLOOKUP(A27,Enforcements!$C$7:$E$19,3,0)</f>
        <v>PERMANENT SPEED RESTRICTION</v>
      </c>
      <c r="AD27" s="61" t="str">
        <f t="shared" si="10"/>
        <v>0115-17</v>
      </c>
      <c r="AE27" s="91" t="str">
        <f t="shared" si="11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27" s="88" t="str">
        <f t="shared" si="12"/>
        <v>"C:\Program Files (x86)\AstroGrep\AstroGrep.exe" /spath="%USERPROFILE%\AppData\Local\Temp\OnboardLogs" /stypes="app*4029*20161217*"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92" t="str">
        <f t="shared" si="16"/>
        <v>"%USERPROFILE%\Documents\GitHub\eaglep3\Utilities\RefineRTDCRunTimes.py" --tripid 115-17 --locoid 4029 --swversion DE.1.0.8.0 --startMP 204:692 --initTime 2016-12-17T05:31:46 --startdatetime 2016-12-17T05:34:20 --delay 1 --endMP 204:233330 --enddatetime 2016-12-17T06:11:45 --enforcementcount 0 &gt;&gt;C:\Users\stu\Documents\GitHub\eaglep3-reporting\EC\2016-12-17-refined-times.txt</v>
      </c>
      <c r="AI27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{"issue":{"subject":"","project_id":79,"tracker_id":40,"status_id":1,"priority_id":2,"assigned_to_id":23,"start_date":"2016-12-17","description":"","custom_fields":[{"id":1,"name":"Subdivision","value":"EC"},{"id":4,"name":"Milepost","value":"23.333"},{"id":17,"name":"Train ID","value":"115-17"},{"id":16,"name":"Locomotive ID","value":"4029"},{"id":130,"name":"Impact","value":""},{"id":150,"name":"Time of Event (Mountain Time)","value":"06:11:45"},{"id":151,"name":"Denver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998</v>
      </c>
      <c r="B28" s="7"/>
      <c r="C28" s="22" t="s">
        <v>205</v>
      </c>
      <c r="D28" s="22" t="s">
        <v>493</v>
      </c>
      <c r="E28" s="13">
        <v>42721.230393518519</v>
      </c>
      <c r="F28" s="13"/>
      <c r="G28" s="7">
        <v>1</v>
      </c>
      <c r="H28" s="22" t="s">
        <v>772</v>
      </c>
      <c r="I28" s="13"/>
      <c r="J28" s="7">
        <v>0</v>
      </c>
      <c r="K28" s="109" t="str">
        <f t="shared" ref="K28" si="19">IF(ISEVEN(B28),(B28-1)&amp;"/"&amp;B28,B28&amp;"/"&amp;(B28+1))</f>
        <v>-1/</v>
      </c>
      <c r="L28" s="22" t="e">
        <f>VLOOKUP(A28,'Trips&amp;Operators'!$C$1:$G$99999,5,FALSE)</f>
        <v>#N/A</v>
      </c>
      <c r="M28" s="6">
        <f t="shared" ref="M28" si="20">I28-F28</f>
        <v>0</v>
      </c>
      <c r="N28" s="7"/>
      <c r="O28" s="7"/>
      <c r="P28" s="7">
        <v>1</v>
      </c>
      <c r="Q28" s="23"/>
      <c r="R28" s="23" t="s">
        <v>997</v>
      </c>
      <c r="S28" s="35">
        <f t="shared" ref="S28" si="21">SUM(U28:U28)/IF(AG28="EC",12,1)</f>
        <v>0</v>
      </c>
      <c r="T28" s="50" t="str">
        <f t="shared" ref="T28" si="22">IF(ISEVEN(LEFT(AD28,4)),"Southbound","NorthBound")</f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98" t="str">
        <f t="shared" ref="V28" si="23"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https://search-rtdc-monitor-bjffxe2xuh6vdkpspy63sjmuny.us-east-1.es.amazonaws.com/_plugin/kibana/#/discover/Steve-Slow-Train-Analysis-(2080s-and-2083s)?_g=(refreshInterval:(display:Off,section:0,value:0),time:(from:'2016-12-17 04:31:46-700',mode:absolute,to:'1900-01-00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28" s="52" t="str">
        <f t="shared" ref="W28" si="24">IF(AA28&lt;IF(AG28="EC",23,5.65),"Y","N")</f>
        <v>N</v>
      </c>
      <c r="X28" s="177">
        <f t="shared" ref="X28:X30" si="25">VALUE(LEFT(AD28,4))-VALUE(LEFT(AD27,4))</f>
        <v>1</v>
      </c>
      <c r="Y28" s="67">
        <f t="shared" ref="Y28" si="26">RIGHT(D28,LEN(D28)-4)/10000</f>
        <v>6.9199999999999998E-2</v>
      </c>
      <c r="Z28" s="67">
        <f t="shared" ref="Z28" si="27">RIGHT(H28,LEN(H28)-4)/10000</f>
        <v>23.332999999999998</v>
      </c>
      <c r="AA28" s="67">
        <f t="shared" ref="AA28" si="28">ABS(Z28-Y28)</f>
        <v>23.2638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ref="AD28" si="29">IF(LEN(A28)=6,"0"&amp;A28,A28)</f>
        <v>0116-17</v>
      </c>
      <c r="AE28" s="91" t="str">
        <f t="shared" ref="AE28" si="30"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8" s="88" t="str">
        <f t="shared" ref="AF28" si="31"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8" s="1" t="str">
        <f t="shared" ref="AG28" si="32">IFERROR(IF(VALUE(LEFT(AD28,2))&lt;=2,"EC",IF(OR(VALUE(LEFT(AD28,2))=8,VALUE(LEFT(AD28,2))=18),"NW","Other")),"Other")</f>
        <v>EC</v>
      </c>
      <c r="AH28" s="92" t="str">
        <f t="shared" ref="AH28" si="33">refinertdcruntimes&amp;" --tripid "&amp;A28&amp;" --locoid "&amp;B28&amp;" --swversion "&amp;C28&amp;" --startMP "&amp;D28&amp;" --initTime "&amp;TEXT(E28,"yyyy-mm-ddTHH:MM:SS")&amp;" --startdatetime "&amp;TEXT(F28,"yyyy-mm-ddTHH:MM:SS")&amp;" --delay "&amp;G28&amp;" --endMP "&amp;H28&amp;" --enddatetime "&amp;TEXT(I28,"yyyy-mm-ddTHH:MM:SS")&amp;" --enforcementcount "&amp;J28&amp;IF(outputrefinedruntimes," &gt;&gt;"&amp;RefinedRTDCRunTimesOutputFile,"")</f>
        <v>"%USERPROFILE%\Documents\GitHub\eaglep3\Utilities\RefineRTDCRunTimes.py" --tripid 116-17 --locoid  --swversion DE.1.0.8.0 --startMP 204:692 --initTime 2016-12-17T05:31:46 --startdatetime 1900-01-00T00:00:00 --delay 1 --endMP 204:233330 --enddatetime 1900-01-00T00:00:00 --enforcementcount 0 &gt;&gt;C:\Users\stu\Documents\GitHub\eaglep3-reporting\EC\2016-12-17-refined-times.txt</v>
      </c>
      <c r="AI28" s="119" t="str">
        <f t="shared" ref="AI28" si="34">"echo {""issue"":{""subject"":"""&amp;R28&amp;""",""project_id"":79,""tracker_id"":40,""status_id"":"&amp;redmine_status&amp;",""priority_id"":"&amp;redmine_priority&amp;",""assigned_to_id"":"&amp;redmine_assignee&amp;",""start_date"":"""&amp;TEXT(I28,"YYYY-mm-dd")&amp;""",""description"":"""&amp;AJ28&amp;""",""custom_fields"":[{""id"":1,""name"":""Subdivision"",""value"":"""&amp;AG28&amp;"""},{""id"":4,""name"":""Milepost"",""value"":"""&amp;Z28&amp;"""},{""id"":17,""name"":""Train ID"",""value"":"""&amp;A28&amp;"""},{""id"":16,""name"":""Locomotive ID"",""value"":"""&amp;B28&amp;"""},{""id"":130,""name"":""Impact"",""value"":"""&amp;AK28&amp;"""},{""id"":150,""name"":""Time of Event (Mountain Time)"",""value"":"""&amp;TEXT(I28,"hh:mm:ss")&amp;"""},{""id"":151,""name"":""Denver Issue ID"",""value"":"""&amp;"""},{""id"":178,""name"":""Operational Impact"",""value"":"""&amp;redmine_op_impact&amp;"""},{""id"":179,""name"":""Denver Segment Assigned"",""value"":"""&amp;AL28&amp;"""}]}}"&amp;"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init","project_id":79,"tracker_id":40,"status_id":1,"priority_id":2,"assigned_to_id":23,"start_date":"1900-01-00","description":"","custom_fields":[{"id":1,"name":"Subdivision","value":"EC"},{"id":4,"name":"Milepost","value":"23.333"},{"id":17,"name":"Train ID","value":"116-17"},{"id":16,"name":"Locomotive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</row>
    <row r="29" spans="1:91" s="1" customFormat="1" x14ac:dyDescent="0.25">
      <c r="A29" s="37" t="s">
        <v>600</v>
      </c>
      <c r="B29" s="7">
        <v>4042</v>
      </c>
      <c r="C29" s="22" t="s">
        <v>205</v>
      </c>
      <c r="D29" s="22" t="s">
        <v>773</v>
      </c>
      <c r="E29" s="13">
        <v>42721.23510416667</v>
      </c>
      <c r="F29" s="13">
        <v>42721.239861111113</v>
      </c>
      <c r="G29" s="7">
        <v>1</v>
      </c>
      <c r="H29" s="22" t="s">
        <v>507</v>
      </c>
      <c r="I29" s="13">
        <v>42721.276909722219</v>
      </c>
      <c r="J29" s="7">
        <v>0</v>
      </c>
      <c r="K29" s="109" t="str">
        <f t="shared" si="0"/>
        <v>4041/4042</v>
      </c>
      <c r="L29" s="22" t="str">
        <f>VLOOKUP(A29,'Trips&amp;Operators'!$C$1:$G$99999,5,FALSE)</f>
        <v>ROBINSON KADDIBA</v>
      </c>
      <c r="M29" s="6">
        <f t="shared" si="1"/>
        <v>3.7048611106001772E-2</v>
      </c>
      <c r="N29" s="7">
        <f t="shared" si="18"/>
        <v>53.349999992642552</v>
      </c>
      <c r="O29" s="7"/>
      <c r="P29" s="7"/>
      <c r="Q29" s="23"/>
      <c r="R29" s="23"/>
      <c r="S29" s="35">
        <f t="shared" si="2"/>
        <v>1</v>
      </c>
      <c r="T29" s="50" t="str">
        <f t="shared" si="3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04:38:33-700',mode:absolute,to:'2016-12-17 07:38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5"/>
        <v>N</v>
      </c>
      <c r="X29" s="177">
        <f t="shared" si="25"/>
        <v>1</v>
      </c>
      <c r="Y29" s="67">
        <f t="shared" si="7"/>
        <v>3.6200000000000003E-2</v>
      </c>
      <c r="Z29" s="67">
        <f t="shared" si="8"/>
        <v>23.331900000000001</v>
      </c>
      <c r="AA29" s="67">
        <f t="shared" si="9"/>
        <v>23.2957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0"/>
        <v>0117-17</v>
      </c>
      <c r="AE29" s="91" t="str">
        <f t="shared" si="11"/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AF29" s="88" t="str">
        <f t="shared" si="12"/>
        <v>"C:\Program Files (x86)\AstroGrep\AstroGrep.exe" /spath="%USERPROFILE%\AppData\Local\Temp\OnboardLogs" /stypes="app*4042*20161217*"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92" t="str">
        <f t="shared" si="16"/>
        <v>"%USERPROFILE%\Documents\GitHub\eaglep3\Utilities\RefineRTDCRunTimes.py" --tripid 117-17 --locoid 4042 --swversion DE.1.0.8.0 --startMP 204:362 --initTime 2016-12-17T05:38:33 --startdatetime 2016-12-17T05:45:24 --delay 1 --endMP 204:233319 --enddatetime 2016-12-17T06:38:45 --enforcementcount 0 &gt;&gt;C:\Users\stu\Documents\GitHub\eaglep3-reporting\EC\2016-12-17-refined-times.txt</v>
      </c>
      <c r="AI29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{"issue":{"subject":"","project_id":79,"tracker_id":40,"status_id":1,"priority_id":2,"assigned_to_id":23,"start_date":"2016-12-17","description":"","custom_fields":[{"id":1,"name":"Subdivision","value":"EC"},{"id":4,"name":"Milepost","value":"23.3319"},{"id":17,"name":"Train ID","value":"117-17"},{"id":16,"name":"Locomotive ID","value":"4042"},{"id":130,"name":"Impact","value":""},{"id":150,"name":"Time of Event (Mountain Time)","value":"06:38:45"},{"id":151,"name":"Denver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610</v>
      </c>
      <c r="B30" s="7">
        <v>4041</v>
      </c>
      <c r="C30" s="22" t="s">
        <v>205</v>
      </c>
      <c r="D30" s="22" t="s">
        <v>272</v>
      </c>
      <c r="E30" s="13">
        <v>42721.283530092594</v>
      </c>
      <c r="F30" s="13">
        <v>42721.286226851851</v>
      </c>
      <c r="G30" s="7">
        <v>1</v>
      </c>
      <c r="H30" s="22" t="s">
        <v>211</v>
      </c>
      <c r="I30" s="13">
        <v>42721.313576388886</v>
      </c>
      <c r="J30" s="7">
        <v>0</v>
      </c>
      <c r="K30" s="109" t="str">
        <f t="shared" si="0"/>
        <v>4041/4042</v>
      </c>
      <c r="L30" s="22" t="str">
        <f>VLOOKUP(A30,'Trips&amp;Operators'!$C$1:$G$99999,5,FALSE)</f>
        <v>ROBINSON KADDIBA</v>
      </c>
      <c r="M30" s="6">
        <f t="shared" si="1"/>
        <v>2.7349537034751847E-2</v>
      </c>
      <c r="N30" s="7">
        <f t="shared" si="18"/>
        <v>39.38333333004266</v>
      </c>
      <c r="O30" s="7"/>
      <c r="P30" s="7"/>
      <c r="Q30" s="23"/>
      <c r="R30" s="23"/>
      <c r="S30" s="35">
        <f t="shared" si="2"/>
        <v>1</v>
      </c>
      <c r="T30" s="50" t="str">
        <f t="shared" si="3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05:48:17-700',mode:absolute,to:'2016-12-17 08:31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5"/>
        <v>N</v>
      </c>
      <c r="X30" s="177">
        <f t="shared" si="25"/>
        <v>1</v>
      </c>
      <c r="Y30" s="67">
        <f t="shared" si="7"/>
        <v>23.2989</v>
      </c>
      <c r="Z30" s="67">
        <f t="shared" si="8"/>
        <v>1.4999999999999999E-2</v>
      </c>
      <c r="AA30" s="67">
        <f t="shared" si="9"/>
        <v>23.283899999999999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0"/>
        <v>0118-17</v>
      </c>
      <c r="AE30" s="91" t="str">
        <f t="shared" si="11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30" s="88" t="str">
        <f t="shared" si="12"/>
        <v>"C:\Program Files (x86)\AstroGrep\AstroGrep.exe" /spath="%USERPROFILE%\AppData\Local\Temp\OnboardLogs" /stypes="app*4041*20161217*"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92" t="str">
        <f t="shared" si="16"/>
        <v>"%USERPROFILE%\Documents\GitHub\eaglep3\Utilities\RefineRTDCRunTimes.py" --tripid 118-17 --locoid 4041 --swversion DE.1.0.8.0 --startMP 204:232989 --initTime 2016-12-17T06:48:17 --startdatetime 2016-12-17T06:52:10 --delay 1 --endMP 204:150 --enddatetime 2016-12-17T07:31:33 --enforcementcount 0 &gt;&gt;C:\Users\stu\Documents\GitHub\eaglep3-reporting\EC\2016-12-17-refined-times.txt</v>
      </c>
      <c r="AI30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{"issue":{"subject":"","project_id":79,"tracker_id":40,"status_id":1,"priority_id":2,"assigned_to_id":23,"start_date":"2016-12-17","description":"","custom_fields":[{"id":1,"name":"Subdivision","value":"EC"},{"id":4,"name":"Milepost","value":"0.015"},{"id":17,"name":"Train ID","value":"118-17"},{"id":16,"name":"Locomotive ID","value":"4041"},{"id":130,"name":"Impact","value":""},{"id":150,"name":"Time of Event (Mountain Time)","value":"07:31:33"},{"id":151,"name":"Denver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604</v>
      </c>
      <c r="B31" s="7">
        <v>4016</v>
      </c>
      <c r="C31" s="22" t="s">
        <v>205</v>
      </c>
      <c r="D31" s="22" t="s">
        <v>774</v>
      </c>
      <c r="E31" s="13">
        <v>42721.276053240741</v>
      </c>
      <c r="F31" s="13">
        <v>42721.251712962963</v>
      </c>
      <c r="G31" s="7">
        <v>3</v>
      </c>
      <c r="H31" s="22" t="s">
        <v>775</v>
      </c>
      <c r="I31" s="13">
        <v>42721.269687499997</v>
      </c>
      <c r="J31" s="7">
        <v>0</v>
      </c>
      <c r="K31" s="109" t="str">
        <f t="shared" si="0"/>
        <v>4015/4016</v>
      </c>
      <c r="L31" s="22" t="str">
        <f>VLOOKUP(A31,'Trips&amp;Operators'!$C$1:$G$99999,5,FALSE)</f>
        <v>ACKERMAN JARED</v>
      </c>
      <c r="M31" s="6">
        <f t="shared" si="1"/>
        <v>1.7974537033296656E-2</v>
      </c>
      <c r="N31" s="7"/>
      <c r="O31" s="7"/>
      <c r="P31" s="7">
        <f>24*60*SUM($M31:$M31)</f>
        <v>25.883333327947184</v>
      </c>
      <c r="Q31" s="23"/>
      <c r="R31" s="23" t="s">
        <v>979</v>
      </c>
      <c r="S31" s="35">
        <f t="shared" si="2"/>
        <v>0.83333333333333337</v>
      </c>
      <c r="T31" s="50" t="str">
        <f t="shared" si="3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10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05:37:31-700',mode:absolute,to:'2016-12-17 07:28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1" s="52" t="str">
        <f t="shared" si="5"/>
        <v>Y</v>
      </c>
      <c r="X31" s="177">
        <f t="shared" ref="X31:X35" si="35">VALUE(LEFT(AD31,4))-VALUE(LEFT(AD30,4))</f>
        <v>1</v>
      </c>
      <c r="Y31" s="67">
        <v>7.0000000000000007E-2</v>
      </c>
      <c r="Z31" s="67">
        <v>10.3</v>
      </c>
      <c r="AA31" s="67">
        <f t="shared" si="9"/>
        <v>10.23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0"/>
        <v>0119-17</v>
      </c>
      <c r="AE31" s="91" t="str">
        <f t="shared" si="11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31" s="88" t="str">
        <f t="shared" si="12"/>
        <v>"C:\Program Files (x86)\AstroGrep\AstroGrep.exe" /spath="%USERPROFILE%\AppData\Local\Temp\OnboardLogs" /stypes="app*4016*20161217*"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92" t="str">
        <f t="shared" si="16"/>
        <v>"%USERPROFILE%\Documents\GitHub\eaglep3\Utilities\RefineRTDCRunTimes.py" --tripid 119-17 --locoid 4016 --swversion DE.1.0.8.0 --startMP 204:153665 --initTime 2016-12-17T06:37:31 --startdatetime 2016-12-17T06:02:28 --delay 3 --endMP 204:233119 --enddatetime 2016-12-17T06:28:21 --enforcementcount 0 &gt;&gt;C:\Users\stu\Documents\GitHub\eaglep3-reporting\EC\2016-12-17-refined-times.txt</v>
      </c>
      <c r="AI31" s="119" t="str">
        <f t="shared" si="17"/>
        <v>echo {"issue":{"subject":"Sable 2N stuck at STOP. XING bit dependency?","project_id":79,"tracker_id":40,"status_id":1,"priority_id":2,"assigned_to_id":23,"start_date":"2016-12-17","description":"At 06:21:52, a clear request was sent to Sable 2N, it did not clear. Canceled at 06:28:40, tried again at 06:33:01 and it did clear then. Was this due to XING bit dependencies or something else?","custom_fields":[{"id":1,"name":"Subdivision","value":"EC"},{"id":4,"name":"Milepost","value":"10.3"},{"id":17,"name":"Train ID","value":"119-17"},{"id":16,"name":"Locomotive ID","value":"4016"},{"id":130,"name":"Impact","value":"Unexpected Cut-Out or Disengaged"},{"id":150,"name":"Time of Event (Mountain Time)","value":"06:28:21"},{"id":151,"name":"Denver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31" s="53" t="s">
        <v>980</v>
      </c>
      <c r="AK31" s="53" t="s">
        <v>131</v>
      </c>
      <c r="AL31" s="53" t="s">
        <v>130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611</v>
      </c>
      <c r="B32" s="7">
        <v>4015</v>
      </c>
      <c r="C32" s="22" t="s">
        <v>205</v>
      </c>
      <c r="D32" s="22" t="s">
        <v>334</v>
      </c>
      <c r="E32" s="13">
        <v>42721.288506944446</v>
      </c>
      <c r="F32" s="13">
        <v>42721.37263888889</v>
      </c>
      <c r="G32" s="7">
        <v>1</v>
      </c>
      <c r="H32" s="22" t="s">
        <v>776</v>
      </c>
      <c r="I32" s="13">
        <v>42721.401319444441</v>
      </c>
      <c r="J32" s="7">
        <v>0</v>
      </c>
      <c r="K32" s="109" t="str">
        <f t="shared" si="0"/>
        <v>4015/4016</v>
      </c>
      <c r="L32" s="22" t="str">
        <f>VLOOKUP(A32,'Trips&amp;Operators'!$C$1:$G$99999,5,FALSE)</f>
        <v>ACKERMAN JARED</v>
      </c>
      <c r="M32" s="6">
        <f t="shared" si="1"/>
        <v>2.8680555551545694E-2</v>
      </c>
      <c r="N32" s="7"/>
      <c r="O32" s="7"/>
      <c r="P32" s="7">
        <f>24*60*SUM($M32:$M32)</f>
        <v>41.2999999942258</v>
      </c>
      <c r="Q32" s="23"/>
      <c r="R32" s="23" t="s">
        <v>983</v>
      </c>
      <c r="S32" s="35">
        <f t="shared" si="2"/>
        <v>0</v>
      </c>
      <c r="T32" s="50" t="str">
        <f t="shared" si="3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05:55:27-700',mode:absolute,to:'2016-12-17 10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2" s="52" t="str">
        <f t="shared" si="5"/>
        <v>Y</v>
      </c>
      <c r="X32" s="177">
        <f t="shared" si="35"/>
        <v>1</v>
      </c>
      <c r="Y32" s="67">
        <f t="shared" ref="Y32:Y64" si="36">RIGHT(D32,LEN(D32)-4)/10000</f>
        <v>23.2986</v>
      </c>
      <c r="Z32" s="67">
        <f t="shared" ref="Z32:Z64" si="37">RIGHT(H32,LEN(H32)-4)/10000</f>
        <v>15.7835</v>
      </c>
      <c r="AA32" s="67">
        <f t="shared" si="9"/>
        <v>7.5151000000000003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0"/>
        <v>0120-17</v>
      </c>
      <c r="AE32" s="91" t="str">
        <f t="shared" si="11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32" s="88" t="str">
        <f t="shared" si="12"/>
        <v>"C:\Program Files (x86)\AstroGrep\AstroGrep.exe" /spath="%USERPROFILE%\AppData\Local\Temp\OnboardLogs" /stypes="app*4015*20161217*" /stext=" 16:.+((SYSTEM_STATE.+slice.+state.+changed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92" t="str">
        <f t="shared" si="16"/>
        <v>"%USERPROFILE%\Documents\GitHub\eaglep3\Utilities\RefineRTDCRunTimes.py" --tripid 120-17 --locoid 4015 --swversion DE.1.0.8.0 --startMP 204:232986 --initTime 2016-12-17T06:55:27 --startdatetime 2016-12-17T08:56:36 --delay 1 --endMP 204:157835 --enddatetime 2016-12-17T09:37:54 --enforcementcount 0 &gt;&gt;C:\Users\stu\Documents\GitHub\eaglep3-reporting\EC\2016-12-17-refined-times.txt</v>
      </c>
      <c r="AI32" s="119" t="str">
        <f t="shared" si="17"/>
        <v>echo {"issue":{"subject":"61st 4S stuck at STOP","project_id":79,"tracker_id":40,"status_id":1,"priority_id":2,"assigned_to_id":23,"start_date":"2016-12-17","description":"At 07:05:02, 61st 4S dropped to STOP. Do logs tell anything interesting?","custom_fields":[{"id":1,"name":"Subdivision","value":"EC"},{"id":4,"name":"Milepost","value":"15.7835"},{"id":17,"name":"Train ID","value":"120-17"},{"id":16,"name":"Locomotive ID","value":"4015"},{"id":130,"name":"Impact","value":"Unexpected Cut-Out or Disengaged"},{"id":150,"name":"Time of Event (Mountain Time)","value":"09:37:54"},{"id":151,"name":"Denver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32" s="53" t="s">
        <v>984</v>
      </c>
      <c r="AK32" s="53" t="s">
        <v>131</v>
      </c>
      <c r="AL32" s="53" t="s">
        <v>130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605</v>
      </c>
      <c r="B33" s="7">
        <v>4020</v>
      </c>
      <c r="C33" s="22" t="s">
        <v>205</v>
      </c>
      <c r="D33" s="22" t="s">
        <v>228</v>
      </c>
      <c r="E33" s="13">
        <v>42721.260347222225</v>
      </c>
      <c r="F33" s="13">
        <v>42721.261516203704</v>
      </c>
      <c r="G33" s="7">
        <v>1</v>
      </c>
      <c r="H33" s="22" t="s">
        <v>284</v>
      </c>
      <c r="I33" s="13">
        <v>42721.289768518516</v>
      </c>
      <c r="J33" s="7">
        <v>0</v>
      </c>
      <c r="K33" s="109" t="str">
        <f t="shared" si="0"/>
        <v>4019/4020</v>
      </c>
      <c r="L33" s="22" t="str">
        <f>VLOOKUP(A33,'Trips&amp;Operators'!$C$1:$G$99999,5,FALSE)</f>
        <v>DAVIS WENDY</v>
      </c>
      <c r="M33" s="6">
        <f t="shared" si="1"/>
        <v>2.8252314812561963E-2</v>
      </c>
      <c r="N33" s="7">
        <f>24*60*SUM($M33:$M33)</f>
        <v>40.683333330089226</v>
      </c>
      <c r="O33" s="7"/>
      <c r="P33" s="7"/>
      <c r="Q33" s="23"/>
      <c r="R33" s="23"/>
      <c r="S33" s="35">
        <f t="shared" si="2"/>
        <v>1</v>
      </c>
      <c r="T33" s="50" t="str">
        <f t="shared" si="3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05:14:54-700',mode:absolute,to:'2016-12-17 07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3" s="52" t="str">
        <f t="shared" si="5"/>
        <v>N</v>
      </c>
      <c r="X33" s="177">
        <f t="shared" si="35"/>
        <v>1</v>
      </c>
      <c r="Y33" s="67">
        <f t="shared" si="36"/>
        <v>4.5499999999999999E-2</v>
      </c>
      <c r="Z33" s="67">
        <f t="shared" si="37"/>
        <v>23.331199999999999</v>
      </c>
      <c r="AA33" s="67">
        <f t="shared" si="9"/>
        <v>23.285699999999999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0"/>
        <v>0121-17</v>
      </c>
      <c r="AE33" s="91" t="str">
        <f t="shared" si="11"/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33" s="88" t="str">
        <f t="shared" si="12"/>
        <v>"C:\Program Files (x86)\AstroGrep\AstroGrep.exe" /spath="%USERPROFILE%\AppData\Local\Temp\OnboardLogs" /stypes="app*4020*20161217*" /stext=" 13:.+((SYSTEM_STATE.+slice.+state.+changed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92" t="str">
        <f t="shared" si="16"/>
        <v>"%USERPROFILE%\Documents\GitHub\eaglep3\Utilities\RefineRTDCRunTimes.py" --tripid 121-17 --locoid 4020 --swversion DE.1.0.8.0 --startMP 204:455 --initTime 2016-12-17T06:14:54 --startdatetime 2016-12-17T06:16:35 --delay 1 --endMP 204:233312 --enddatetime 2016-12-17T06:57:16 --enforcementcount 0 &gt;&gt;C:\Users\stu\Documents\GitHub\eaglep3-reporting\EC\2016-12-17-refined-times.txt</v>
      </c>
      <c r="AI33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{"issue":{"subject":"","project_id":79,"tracker_id":40,"status_id":1,"priority_id":2,"assigned_to_id":23,"start_date":"2016-12-17","description":"","custom_fields":[{"id":1,"name":"Subdivision","value":"EC"},{"id":4,"name":"Milepost","value":"23.3312"},{"id":17,"name":"Train ID","value":"121-17"},{"id":16,"name":"Locomotive ID","value":"4020"},{"id":130,"name":"Impact","value":""},{"id":150,"name":"Time of Event (Mountain Time)","value":"06:57:16"},{"id":151,"name":"Denver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550</v>
      </c>
      <c r="B34" s="7">
        <v>4019</v>
      </c>
      <c r="C34" s="22" t="s">
        <v>205</v>
      </c>
      <c r="D34" s="22" t="s">
        <v>292</v>
      </c>
      <c r="E34" s="13">
        <v>42721.299247685187</v>
      </c>
      <c r="F34" s="13">
        <v>42721.31046296296</v>
      </c>
      <c r="G34" s="7">
        <v>1</v>
      </c>
      <c r="H34" s="22" t="s">
        <v>311</v>
      </c>
      <c r="I34" s="13">
        <v>42721.340092592596</v>
      </c>
      <c r="J34" s="7">
        <v>0</v>
      </c>
      <c r="K34" s="109" t="str">
        <f t="shared" si="0"/>
        <v>4019/4020</v>
      </c>
      <c r="L34" s="22" t="str">
        <f>VLOOKUP(A34,'Trips&amp;Operators'!$C$1:$G$99999,5,FALSE)</f>
        <v>DAVIS WENDY</v>
      </c>
      <c r="M34" s="6">
        <f t="shared" si="1"/>
        <v>2.9629629636474419E-2</v>
      </c>
      <c r="N34" s="7">
        <f>24*60*SUM($M34:$M34)</f>
        <v>42.666666676523164</v>
      </c>
      <c r="O34" s="7"/>
      <c r="P34" s="7"/>
      <c r="Q34" s="23"/>
      <c r="R34" s="23"/>
      <c r="S34" s="35">
        <f t="shared" si="2"/>
        <v>1</v>
      </c>
      <c r="T34" s="50" t="str">
        <f t="shared" si="3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06:10:55-700',mode:absolute,to:'2016-12-17 09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4" s="52" t="str">
        <f t="shared" si="5"/>
        <v>N</v>
      </c>
      <c r="X34" s="177">
        <f t="shared" si="35"/>
        <v>1</v>
      </c>
      <c r="Y34" s="67">
        <f t="shared" si="36"/>
        <v>23.299800000000001</v>
      </c>
      <c r="Z34" s="67">
        <f t="shared" si="37"/>
        <v>1.32E-2</v>
      </c>
      <c r="AA34" s="67">
        <f t="shared" si="9"/>
        <v>23.2866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0"/>
        <v>0122-17</v>
      </c>
      <c r="AE34" s="91" t="str">
        <f t="shared" si="11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34" s="88" t="str">
        <f t="shared" si="12"/>
        <v>"C:\Program Files (x86)\AstroGrep\AstroGrep.exe" /spath="%USERPROFILE%\AppData\Local\Temp\OnboardLogs" /stypes="app*4019*20161217*" /stext=" 15:.+((SYSTEM_STATE.+slice.+state.+changed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92" t="str">
        <f t="shared" si="16"/>
        <v>"%USERPROFILE%\Documents\GitHub\eaglep3\Utilities\RefineRTDCRunTimes.py" --tripid 122-17 --locoid 4019 --swversion DE.1.0.8.0 --startMP 204:232998 --initTime 2016-12-17T07:10:55 --startdatetime 2016-12-17T07:27:04 --delay 1 --endMP 204:132 --enddatetime 2016-12-17T08:09:44 --enforcementcount 0 &gt;&gt;C:\Users\stu\Documents\GitHub\eaglep3-reporting\EC\2016-12-17-refined-times.txt</v>
      </c>
      <c r="AI34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{"issue":{"subject":"","project_id":79,"tracker_id":40,"status_id":1,"priority_id":2,"assigned_to_id":23,"start_date":"2016-12-17","description":"","custom_fields":[{"id":1,"name":"Subdivision","value":"EC"},{"id":4,"name":"Milepost","value":"0.0132"},{"id":17,"name":"Train ID","value":"122-17"},{"id":16,"name":"Locomotive ID","value":"4019"},{"id":130,"name":"Impact","value":""},{"id":150,"name":"Time of Event (Mountain Time)","value":"08:09:44"},{"id":151,"name":"Denver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543</v>
      </c>
      <c r="B35" s="7">
        <v>4018</v>
      </c>
      <c r="C35" s="22" t="s">
        <v>205</v>
      </c>
      <c r="D35" s="22" t="s">
        <v>777</v>
      </c>
      <c r="E35" s="13">
        <v>42721.307291666664</v>
      </c>
      <c r="F35" s="13">
        <v>42721.308067129627</v>
      </c>
      <c r="G35" s="7">
        <v>1</v>
      </c>
      <c r="H35" s="22" t="s">
        <v>778</v>
      </c>
      <c r="I35" s="13">
        <v>42721.315335648149</v>
      </c>
      <c r="J35" s="7">
        <v>0</v>
      </c>
      <c r="K35" s="109" t="str">
        <f t="shared" si="0"/>
        <v>4017/4018</v>
      </c>
      <c r="L35" s="22" t="str">
        <f>VLOOKUP(A35,'Trips&amp;Operators'!$C$1:$G$99999,5,FALSE)</f>
        <v>KILLION DAVID</v>
      </c>
      <c r="M35" s="6">
        <f t="shared" si="1"/>
        <v>7.2685185223235749E-3</v>
      </c>
      <c r="N35" s="7"/>
      <c r="O35" s="7"/>
      <c r="P35" s="7">
        <f>24*60*SUM($M35:$M36)</f>
        <v>47.516666678711772</v>
      </c>
      <c r="Q35" s="23"/>
      <c r="R35" s="23" t="s">
        <v>981</v>
      </c>
      <c r="S35" s="35">
        <f>SUM(U35:U36)/IF(AG35="EC",12,1)</f>
        <v>1</v>
      </c>
      <c r="T35" s="50" t="str">
        <f t="shared" si="3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06:22:30-700',mode:absolute,to:'2016-12-17 08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2" t="str">
        <f t="shared" si="5"/>
        <v>Y</v>
      </c>
      <c r="X35" s="177">
        <f t="shared" si="35"/>
        <v>1</v>
      </c>
      <c r="Y35" s="67">
        <f t="shared" si="36"/>
        <v>15.4422</v>
      </c>
      <c r="Z35" s="67">
        <f t="shared" si="37"/>
        <v>23.334299999999999</v>
      </c>
      <c r="AA35" s="67">
        <f t="shared" si="9"/>
        <v>7.8920999999999992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0"/>
        <v>0123-17</v>
      </c>
      <c r="AE35" s="91" t="str">
        <f t="shared" si="11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35" s="88" t="str">
        <f t="shared" si="12"/>
        <v>"C:\Program Files (x86)\AstroGrep\AstroGrep.exe" /spath="%USERPROFILE%\AppData\Local\Temp\OnboardLogs" /stypes="app*4018*20161217*"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92" t="str">
        <f t="shared" si="16"/>
        <v>"%USERPROFILE%\Documents\GitHub\eaglep3\Utilities\RefineRTDCRunTimes.py" --tripid 123-17 --locoid 4018 --swversion DE.1.0.8.0 --startMP 204:154422 --initTime 2016-12-17T07:22:30 --startdatetime 2016-12-17T07:23:37 --delay 1 --endMP 204:233343 --enddatetime 2016-12-17T07:34:05 --enforcementcount 0 &gt;&gt;C:\Users\stu\Documents\GitHub\eaglep3-reporting\EC\2016-12-17-refined-times.txt</v>
      </c>
      <c r="AI35" s="119" t="str">
        <f t="shared" si="17"/>
        <v>echo {"issue":{"subject":"EC1332RH 127-1T 1N and EC1388RH 133-1T 1N dropped to STOP &amp; PROCEED","project_id":79,"tracker_id":40,"status_id":1,"priority_id":2,"assigned_to_id":23,"start_date":"2016-12-17","description":"At 07:05:02, the two signals in the title dropped to STOP &amp; PROCEED. Do logs tell us why?","custom_fields":[{"id":1,"name":"Subdivision","value":"EC"},{"id":4,"name":"Milepost","value":"23.3343"},{"id":17,"name":"Train ID","value":"123-17"},{"id":16,"name":"Locomotive ID","value":"4018"},{"id":130,"name":"Impact","value":"Enforcement"},{"id":150,"name":"Time of Event (Mountain Time)","value":"07:34:05"},{"id":151,"name":"Denver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35" s="53" t="s">
        <v>982</v>
      </c>
      <c r="AK35" s="53" t="s">
        <v>125</v>
      </c>
      <c r="AL35" s="53" t="s">
        <v>130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543</v>
      </c>
      <c r="B36" s="7">
        <v>4018</v>
      </c>
      <c r="C36" s="22" t="s">
        <v>205</v>
      </c>
      <c r="D36" s="22" t="s">
        <v>250</v>
      </c>
      <c r="E36" s="13">
        <v>42721.270902777775</v>
      </c>
      <c r="F36" s="13">
        <v>42721.271898148145</v>
      </c>
      <c r="G36" s="7">
        <v>1</v>
      </c>
      <c r="H36" s="22" t="s">
        <v>779</v>
      </c>
      <c r="I36" s="13">
        <v>42721.297627314816</v>
      </c>
      <c r="J36" s="7">
        <v>1</v>
      </c>
      <c r="K36" s="109" t="str">
        <f t="shared" si="0"/>
        <v>4017/4018</v>
      </c>
      <c r="L36" s="22" t="str">
        <f>VLOOKUP(A36,'Trips&amp;Operators'!$C$1:$G$99999,5,FALSE)</f>
        <v>KILLION DAVID</v>
      </c>
      <c r="M36" s="6">
        <f t="shared" si="1"/>
        <v>2.5729166671226267E-2</v>
      </c>
      <c r="N36" s="7"/>
      <c r="O36" s="7"/>
      <c r="P36" s="7"/>
      <c r="Q36" s="23"/>
      <c r="R36" s="23"/>
      <c r="S36" s="35"/>
      <c r="T36" s="50" t="str">
        <f t="shared" si="3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05:30:06-700',mode:absolute,to:'2016-12-17 08:08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6" s="52" t="str">
        <f t="shared" si="5"/>
        <v>Y</v>
      </c>
      <c r="X36" s="177">
        <f t="shared" ref="X36:X47" si="38">VALUE(LEFT(AD36,4))-VALUE(LEFT(AD35,4))</f>
        <v>0</v>
      </c>
      <c r="Y36" s="67">
        <f t="shared" si="36"/>
        <v>4.4600000000000001E-2</v>
      </c>
      <c r="Z36" s="67">
        <f t="shared" si="37"/>
        <v>13.7163</v>
      </c>
      <c r="AA36" s="67">
        <f t="shared" si="9"/>
        <v>13.6717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0"/>
        <v>0123-17</v>
      </c>
      <c r="AE36" s="91" t="str">
        <f t="shared" si="11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36" s="88" t="str">
        <f t="shared" si="12"/>
        <v>"C:\Program Files (x86)\AstroGrep\AstroGrep.exe" /spath="%USERPROFILE%\AppData\Local\Temp\OnboardLogs" /stypes="app*4018*20161217*" /stext=" 14:.+((SYSTEM_STATE.+slice.+state.+changed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92" t="str">
        <f t="shared" si="16"/>
        <v>"%USERPROFILE%\Documents\GitHub\eaglep3\Utilities\RefineRTDCRunTimes.py" --tripid 123-17 --locoid 4018 --swversion DE.1.0.8.0 --startMP 204:446 --initTime 2016-12-17T06:30:06 --startdatetime 2016-12-17T06:31:32 --delay 1 --endMP 204:137163 --enddatetime 2016-12-17T07:08:35 --enforcementcount 1 &gt;&gt;C:\Users\stu\Documents\GitHub\eaglep3-reporting\EC\2016-12-17-refined-times.txt</v>
      </c>
      <c r="AI36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{"issue":{"subject":"","project_id":79,"tracker_id":40,"status_id":1,"priority_id":2,"assigned_to_id":23,"start_date":"2016-12-17","description":"","custom_fields":[{"id":1,"name":"Subdivision","value":"EC"},{"id":4,"name":"Milepost","value":"13.7163"},{"id":17,"name":"Train ID","value":"123-17"},{"id":16,"name":"Locomotive ID","value":"4018"},{"id":130,"name":"Impact","value":""},{"id":150,"name":"Time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614</v>
      </c>
      <c r="B37" s="7">
        <v>4017</v>
      </c>
      <c r="C37" s="22" t="s">
        <v>205</v>
      </c>
      <c r="D37" s="22" t="s">
        <v>780</v>
      </c>
      <c r="E37" s="13">
        <v>42721.320115740738</v>
      </c>
      <c r="F37" s="13">
        <v>42721.323518518519</v>
      </c>
      <c r="G37" s="7">
        <v>4</v>
      </c>
      <c r="H37" s="22" t="s">
        <v>260</v>
      </c>
      <c r="I37" s="13">
        <v>42721.355925925927</v>
      </c>
      <c r="J37" s="7">
        <v>0</v>
      </c>
      <c r="K37" s="109" t="str">
        <f t="shared" si="0"/>
        <v>4017/4018</v>
      </c>
      <c r="L37" s="22" t="str">
        <f>VLOOKUP(A37,'Trips&amp;Operators'!$C$1:$G$99999,5,FALSE)</f>
        <v>KILLION DAVID</v>
      </c>
      <c r="M37" s="6">
        <f t="shared" si="1"/>
        <v>3.2407407408754807E-2</v>
      </c>
      <c r="N37" s="7">
        <f t="shared" ref="N37:N76" si="39">24*60*SUM($M37:$M37)</f>
        <v>46.666666668606922</v>
      </c>
      <c r="O37" s="7"/>
      <c r="P37" s="7"/>
      <c r="Q37" s="23"/>
      <c r="R37" s="23"/>
      <c r="S37" s="35">
        <f t="shared" ref="S37:S76" si="40">SUM(U37:U37)/IF(AG37="EC",12,1)</f>
        <v>1</v>
      </c>
      <c r="T37" s="50" t="str">
        <f t="shared" si="3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06:40:58-700',mode:absolute,to:'2016-12-17 09:32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7" s="52" t="str">
        <f t="shared" si="5"/>
        <v>N</v>
      </c>
      <c r="X37" s="177">
        <f t="shared" si="38"/>
        <v>1</v>
      </c>
      <c r="Y37" s="67">
        <f t="shared" si="36"/>
        <v>23.3005</v>
      </c>
      <c r="Z37" s="67">
        <f t="shared" si="37"/>
        <v>1.52E-2</v>
      </c>
      <c r="AA37" s="67">
        <f t="shared" si="9"/>
        <v>23.285299999999999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0"/>
        <v>0124-17</v>
      </c>
      <c r="AE37" s="91" t="str">
        <f t="shared" si="11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37" s="88" t="str">
        <f t="shared" si="12"/>
        <v>"C:\Program Files (x86)\AstroGrep\AstroGrep.exe" /spath="%USERPROFILE%\AppData\Local\Temp\OnboardLogs" /stypes="app*4017*20161217*" /stext=" 15:.+((SYSTEM_STATE.+slice.+state.+changed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92" t="str">
        <f t="shared" si="16"/>
        <v>"%USERPROFILE%\Documents\GitHub\eaglep3\Utilities\RefineRTDCRunTimes.py" --tripid 124-17 --locoid 4017 --swversion DE.1.0.8.0 --startMP 204:233005 --initTime 2016-12-17T07:40:58 --startdatetime 2016-12-17T07:45:52 --delay 4 --endMP 204:152 --enddatetime 2016-12-17T08:32:32 --enforcementcount 0 &gt;&gt;C:\Users\stu\Documents\GitHub\eaglep3-reporting\EC\2016-12-17-refined-times.txt</v>
      </c>
      <c r="AI37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{"issue":{"subject":"","project_id":79,"tracker_id":40,"status_id":1,"priority_id":2,"assigned_to_id":23,"start_date":"2016-12-17","description":"","custom_fields":[{"id":1,"name":"Subdivision","value":"EC"},{"id":4,"name":"Milepost","value":"0.0152"},{"id":17,"name":"Train ID","value":"124-17"},{"id":16,"name":"Locomotive ID","value":"4017"},{"id":130,"name":"Impact","value":""},{"id":150,"name":"Time of Event (Mountain Time)","value":"08:32:32"},{"id":151,"name":"Denver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546</v>
      </c>
      <c r="B38" s="7">
        <v>4044</v>
      </c>
      <c r="C38" s="22" t="s">
        <v>205</v>
      </c>
      <c r="D38" s="22" t="s">
        <v>308</v>
      </c>
      <c r="E38" s="13">
        <v>42721.280324074076</v>
      </c>
      <c r="F38" s="13">
        <v>42721.281921296293</v>
      </c>
      <c r="G38" s="7">
        <v>1</v>
      </c>
      <c r="H38" s="22" t="s">
        <v>499</v>
      </c>
      <c r="I38" s="13">
        <v>42721.334027777775</v>
      </c>
      <c r="J38" s="7">
        <v>0</v>
      </c>
      <c r="K38" s="109" t="str">
        <f t="shared" si="0"/>
        <v>4043/4044</v>
      </c>
      <c r="L38" s="22" t="str">
        <f>VLOOKUP(A38,'Trips&amp;Operators'!$C$1:$G$99999,5,FALSE)</f>
        <v>GEBRETEKLE DAGNEW</v>
      </c>
      <c r="M38" s="6">
        <f t="shared" si="1"/>
        <v>5.2106481482042E-2</v>
      </c>
      <c r="N38" s="7">
        <f t="shared" si="39"/>
        <v>75.03333333414048</v>
      </c>
      <c r="O38" s="7"/>
      <c r="P38" s="7"/>
      <c r="Q38" s="23"/>
      <c r="R38" s="23"/>
      <c r="S38" s="35">
        <f t="shared" si="40"/>
        <v>1</v>
      </c>
      <c r="T38" s="50" t="str">
        <f t="shared" si="3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05:43:40-700',mode:absolute,to:'2016-12-17 09:01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8" s="52" t="str">
        <f t="shared" si="5"/>
        <v>N</v>
      </c>
      <c r="X38" s="177">
        <f t="shared" si="38"/>
        <v>1</v>
      </c>
      <c r="Y38" s="67">
        <f t="shared" si="36"/>
        <v>4.4400000000000002E-2</v>
      </c>
      <c r="Z38" s="67">
        <f t="shared" si="37"/>
        <v>23.327999999999999</v>
      </c>
      <c r="AA38" s="67">
        <f t="shared" si="9"/>
        <v>23.2836</v>
      </c>
      <c r="AB38" s="64" t="str">
        <f>VLOOKUP(A38,Enforcements!$C$7:$K$19,8,0)</f>
        <v>Speed (6)</v>
      </c>
      <c r="AC38" s="60" t="str">
        <f>VLOOKUP(A38,Enforcements!$C$7:$E$19,3,0)</f>
        <v>PERMANENT SPEED RESTRICTION</v>
      </c>
      <c r="AD38" s="61" t="str">
        <f t="shared" si="10"/>
        <v>0125-17</v>
      </c>
      <c r="AE38" s="91" t="str">
        <f t="shared" si="11"/>
        <v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v>
      </c>
      <c r="AF38" s="88" t="str">
        <f t="shared" si="12"/>
        <v>"C:\Program Files (x86)\AstroGrep\AstroGrep.exe" /spath="%USERPROFILE%\AppData\Local\Temp\OnboardLogs" /stypes="app*4044*20161217*"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92" t="str">
        <f t="shared" si="16"/>
        <v>"%USERPROFILE%\Documents\GitHub\eaglep3\Utilities\RefineRTDCRunTimes.py" --tripid 125-17 --locoid 4044 --swversion DE.1.0.8.0 --startMP 204:444 --initTime 2016-12-17T06:43:40 --startdatetime 2016-12-17T06:45:58 --delay 1 --endMP 204:233280 --enddatetime 2016-12-17T08:01:00 --enforcementcount 0 &gt;&gt;C:\Users\stu\Documents\GitHub\eaglep3-reporting\EC\2016-12-17-refined-times.txt</v>
      </c>
      <c r="AI38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{"issue":{"subject":"","project_id":79,"tracker_id":40,"status_id":1,"priority_id":2,"assigned_to_id":23,"start_date":"2016-12-17","description":"","custom_fields":[{"id":1,"name":"Subdivision","value":"EC"},{"id":4,"name":"Milepost","value":"23.328"},{"id":17,"name":"Train ID","value":"125-17"},{"id":16,"name":"Locomotive ID","value":"4044"},{"id":130,"name":"Impact","value":""},{"id":150,"name":"Time of Event (Mountain Time)","value":"08:01:00"},{"id":151,"name":"Denver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615</v>
      </c>
      <c r="B39" s="7">
        <v>4017</v>
      </c>
      <c r="C39" s="22" t="s">
        <v>205</v>
      </c>
      <c r="D39" s="22" t="s">
        <v>780</v>
      </c>
      <c r="E39" s="13">
        <v>42721.322164351855</v>
      </c>
      <c r="F39" s="13">
        <v>42721.323518518519</v>
      </c>
      <c r="G39" s="7">
        <v>1</v>
      </c>
      <c r="H39" s="22" t="s">
        <v>260</v>
      </c>
      <c r="I39" s="13">
        <v>42721.355925925927</v>
      </c>
      <c r="J39" s="7">
        <v>0</v>
      </c>
      <c r="K39" s="109" t="str">
        <f t="shared" si="0"/>
        <v>4017/4018</v>
      </c>
      <c r="L39" s="22" t="str">
        <f>VLOOKUP(A39,'Trips&amp;Operators'!$C$1:$G$99999,5,FALSE)</f>
        <v>KILLION DAVID</v>
      </c>
      <c r="M39" s="6">
        <f t="shared" si="1"/>
        <v>3.2407407408754807E-2</v>
      </c>
      <c r="N39" s="7">
        <f t="shared" si="39"/>
        <v>46.666666668606922</v>
      </c>
      <c r="O39" s="7"/>
      <c r="P39" s="7"/>
      <c r="Q39" s="23"/>
      <c r="R39" s="23"/>
      <c r="S39" s="35">
        <f t="shared" si="40"/>
        <v>1</v>
      </c>
      <c r="T39" s="50" t="str">
        <f t="shared" si="3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06:43:55-700',mode:absolute,to:'2016-12-17 09:32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9" s="52" t="str">
        <f t="shared" si="5"/>
        <v>N</v>
      </c>
      <c r="X39" s="177">
        <f t="shared" si="38"/>
        <v>1</v>
      </c>
      <c r="Y39" s="67">
        <f t="shared" si="36"/>
        <v>23.3005</v>
      </c>
      <c r="Z39" s="67">
        <f t="shared" si="37"/>
        <v>1.52E-2</v>
      </c>
      <c r="AA39" s="67">
        <f t="shared" si="9"/>
        <v>23.285299999999999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0"/>
        <v>0126-17</v>
      </c>
      <c r="AE39" s="91" t="str">
        <f t="shared" si="11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39" s="88" t="str">
        <f t="shared" si="12"/>
        <v>"C:\Program Files (x86)\AstroGrep\AstroGrep.exe" /spath="%USERPROFILE%\AppData\Local\Temp\OnboardLogs" /stypes="app*4017*20161217*" /stext=" 15:.+((SYSTEM_STATE.+slice.+state.+changed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92" t="str">
        <f t="shared" si="16"/>
        <v>"%USERPROFILE%\Documents\GitHub\eaglep3\Utilities\RefineRTDCRunTimes.py" --tripid 126-17 --locoid 4017 --swversion DE.1.0.8.0 --startMP 204:233005 --initTime 2016-12-17T07:43:55 --startdatetime 2016-12-17T07:45:52 --delay 1 --endMP 204:152 --enddatetime 2016-12-17T08:32:32 --enforcementcount 0 &gt;&gt;C:\Users\stu\Documents\GitHub\eaglep3-reporting\EC\2016-12-17-refined-times.txt</v>
      </c>
      <c r="AI39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{"issue":{"subject":"","project_id":79,"tracker_id":40,"status_id":1,"priority_id":2,"assigned_to_id":23,"start_date":"2016-12-17","description":"","custom_fields":[{"id":1,"name":"Subdivision","value":"EC"},{"id":4,"name":"Milepost","value":"0.0152"},{"id":17,"name":"Train ID","value":"126-17"},{"id":16,"name":"Locomotive ID","value":"4017"},{"id":130,"name":"Impact","value":""},{"id":150,"name":"Time of Event (Mountain Time)","value":"08:32:32"},{"id":151,"name":"Denver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547</v>
      </c>
      <c r="B40" s="7">
        <v>4046</v>
      </c>
      <c r="C40" s="22" t="s">
        <v>205</v>
      </c>
      <c r="D40" s="22" t="s">
        <v>781</v>
      </c>
      <c r="E40" s="13">
        <v>42721.281365740739</v>
      </c>
      <c r="F40" s="13">
        <v>42721.291898148149</v>
      </c>
      <c r="G40" s="7">
        <v>1</v>
      </c>
      <c r="H40" s="22" t="s">
        <v>271</v>
      </c>
      <c r="I40" s="13">
        <v>42721.341134259259</v>
      </c>
      <c r="J40" s="7">
        <v>0</v>
      </c>
      <c r="K40" s="109" t="str">
        <f t="shared" si="0"/>
        <v>4045/4046</v>
      </c>
      <c r="L40" s="22" t="str">
        <f>VLOOKUP(A40,'Trips&amp;Operators'!$C$1:$G$99999,5,FALSE)</f>
        <v>BEAM ROSS</v>
      </c>
      <c r="M40" s="6">
        <f t="shared" si="1"/>
        <v>4.9236111110076308E-2</v>
      </c>
      <c r="N40" s="7">
        <f t="shared" si="39"/>
        <v>70.899999998509884</v>
      </c>
      <c r="O40" s="7"/>
      <c r="P40" s="7"/>
      <c r="Q40" s="23"/>
      <c r="R40" s="23"/>
      <c r="S40" s="35">
        <f t="shared" si="40"/>
        <v>1</v>
      </c>
      <c r="T40" s="50" t="str">
        <f t="shared" si="3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05:45:10-700',mode:absolute,to:'2016-12-17 09:11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0" s="52" t="str">
        <f t="shared" si="5"/>
        <v>N</v>
      </c>
      <c r="X40" s="177">
        <f t="shared" si="38"/>
        <v>1</v>
      </c>
      <c r="Y40" s="67">
        <f t="shared" si="36"/>
        <v>4.1300000000000003E-2</v>
      </c>
      <c r="Z40" s="67">
        <f t="shared" si="37"/>
        <v>23.330400000000001</v>
      </c>
      <c r="AA40" s="67">
        <f t="shared" si="9"/>
        <v>23.289100000000001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0"/>
        <v>0127-17</v>
      </c>
      <c r="AE40" s="91" t="str">
        <f t="shared" si="11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40" s="88" t="str">
        <f t="shared" si="12"/>
        <v>"C:\Program Files (x86)\AstroGrep\AstroGrep.exe" /spath="%USERPROFILE%\AppData\Local\Temp\OnboardLogs" /stypes="app*4046*20161217*"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92" t="str">
        <f t="shared" si="16"/>
        <v>"%USERPROFILE%\Documents\GitHub\eaglep3\Utilities\RefineRTDCRunTimes.py" --tripid 127-17 --locoid 4046 --swversion DE.1.0.8.0 --startMP 204:413 --initTime 2016-12-17T06:45:10 --startdatetime 2016-12-17T07:00:20 --delay 1 --endMP 204:233304 --enddatetime 2016-12-17T08:11:14 --enforcementcount 0 &gt;&gt;C:\Users\stu\Documents\GitHub\eaglep3-reporting\EC\2016-12-17-refined-times.txt</v>
      </c>
      <c r="AI40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{"issue":{"subject":"","project_id":79,"tracker_id":40,"status_id":1,"priority_id":2,"assigned_to_id":23,"start_date":"2016-12-17","description":"","custom_fields":[{"id":1,"name":"Subdivision","value":"EC"},{"id":4,"name":"Milepost","value":"23.3304"},{"id":17,"name":"Train ID","value":"127-17"},{"id":16,"name":"Locomotive ID","value":"4046"},{"id":130,"name":"Impact","value":""},{"id":150,"name":"Time of Event (Mountain Time)","value":"08:11:14"},{"id":151,"name":"Denver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618</v>
      </c>
      <c r="B41" s="7">
        <v>4043</v>
      </c>
      <c r="C41" s="22" t="s">
        <v>205</v>
      </c>
      <c r="D41" s="22" t="s">
        <v>337</v>
      </c>
      <c r="E41" s="13">
        <v>42721.335578703707</v>
      </c>
      <c r="F41" s="13">
        <v>42721.33734953704</v>
      </c>
      <c r="G41" s="7">
        <v>1</v>
      </c>
      <c r="H41" s="22" t="s">
        <v>192</v>
      </c>
      <c r="I41" s="13">
        <v>42721.366550925923</v>
      </c>
      <c r="J41" s="7">
        <v>0</v>
      </c>
      <c r="K41" s="109" t="str">
        <f t="shared" si="0"/>
        <v>4043/4044</v>
      </c>
      <c r="L41" s="22" t="str">
        <f>VLOOKUP(A41,'Trips&amp;Operators'!$C$1:$G$99999,5,FALSE)</f>
        <v>GEBRETEKLE DAGNEW</v>
      </c>
      <c r="M41" s="6">
        <f t="shared" si="1"/>
        <v>2.9201388882938772E-2</v>
      </c>
      <c r="N41" s="7">
        <f t="shared" si="39"/>
        <v>42.049999991431832</v>
      </c>
      <c r="O41" s="7"/>
      <c r="P41" s="7"/>
      <c r="Q41" s="23"/>
      <c r="R41" s="23"/>
      <c r="S41" s="35">
        <f t="shared" si="40"/>
        <v>1</v>
      </c>
      <c r="T41" s="50" t="str">
        <f t="shared" si="3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07:03:14-700',mode:absolute,to:'2016-12-17 09:47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1" s="52" t="str">
        <f t="shared" si="5"/>
        <v>N</v>
      </c>
      <c r="X41" s="177">
        <f t="shared" si="38"/>
        <v>1</v>
      </c>
      <c r="Y41" s="67">
        <f t="shared" si="36"/>
        <v>23.2971</v>
      </c>
      <c r="Z41" s="67">
        <f t="shared" si="37"/>
        <v>1.43E-2</v>
      </c>
      <c r="AA41" s="67">
        <f t="shared" si="9"/>
        <v>23.282800000000002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0"/>
        <v>0128-17</v>
      </c>
      <c r="AE41" s="91" t="str">
        <f t="shared" si="11"/>
        <v>aws s3 cp s3://rtdc.mdm.uploadarchive.raw/RTDC4043/ "%USERPROFILE%\AppData\Local\Temp\OnboardLogs"\RTDC4043\2016-12-17 --exclude "*" --recursive --include "*20161217*" &amp; "%USERPROFILE%\Documents\GitHub\mrs-test-scripts\Headless Mode &amp; Sideloading\WalkAndUnGZ.bat" "%USERPROFILE%\AppData\Local\Temp\OnboardLogs"\RTDC4043\2016-12-17 &amp; 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</v>
      </c>
      <c r="AF41" s="88" t="str">
        <f t="shared" si="12"/>
        <v>"C:\Program Files (x86)\AstroGrep\AstroGrep.exe" /spath="%USERPROFILE%\AppData\Local\Temp\OnboardLogs" /stypes="app*4043*20161217*" /stext=" 15:.+((SYSTEM_STATE.+slice.+state.+changed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92" t="str">
        <f t="shared" si="16"/>
        <v>"%USERPROFILE%\Documents\GitHub\eaglep3\Utilities\RefineRTDCRunTimes.py" --tripid 128-17 --locoid 4043 --swversion DE.1.0.8.0 --startMP 204:232971 --initTime 2016-12-17T08:03:14 --startdatetime 2016-12-17T08:05:47 --delay 1 --endMP 204:143 --enddatetime 2016-12-17T08:47:50 --enforcementcount 0 &gt;&gt;C:\Users\stu\Documents\GitHub\eaglep3-reporting\EC\2016-12-17-refined-times.txt</v>
      </c>
      <c r="AI41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{"issue":{"subject":"","project_id":79,"tracker_id":40,"status_id":1,"priority_id":2,"assigned_to_id":23,"start_date":"2016-12-17","description":"","custom_fields":[{"id":1,"name":"Subdivision","value":"EC"},{"id":4,"name":"Milepost","value":"0.0143"},{"id":17,"name":"Train ID","value":"128-17"},{"id":16,"name":"Locomotive ID","value":"4043"},{"id":130,"name":"Impact","value":""},{"id":150,"name":"Time of Event (Mountain Time)","value":"08:47:50"},{"id":151,"name":"Denver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549</v>
      </c>
      <c r="B42" s="7">
        <v>4014</v>
      </c>
      <c r="C42" s="22" t="s">
        <v>205</v>
      </c>
      <c r="D42" s="22" t="s">
        <v>337</v>
      </c>
      <c r="E42" s="13">
        <v>42721.335578703707</v>
      </c>
      <c r="F42" s="13">
        <v>42721.302303240744</v>
      </c>
      <c r="G42" s="7">
        <v>1</v>
      </c>
      <c r="H42" s="22" t="s">
        <v>192</v>
      </c>
      <c r="I42" s="13">
        <v>42721.342800925922</v>
      </c>
      <c r="J42" s="7">
        <v>0</v>
      </c>
      <c r="K42" s="109" t="str">
        <f t="shared" ref="K42" si="41">IF(ISEVEN(B42),(B42-1)&amp;"/"&amp;B42,B42&amp;"/"&amp;(B42+1))</f>
        <v>4013/4014</v>
      </c>
      <c r="L42" s="22" t="str">
        <f>VLOOKUP(A42,'Trips&amp;Operators'!$C$1:$G$99999,5,FALSE)</f>
        <v>MAELZER KURT</v>
      </c>
      <c r="M42" s="6">
        <f t="shared" ref="M42" si="42">I42-F42</f>
        <v>4.0497685178706888E-2</v>
      </c>
      <c r="N42" s="7">
        <f t="shared" si="39"/>
        <v>58.316666657337919</v>
      </c>
      <c r="O42" s="7"/>
      <c r="P42" s="7"/>
      <c r="Q42" s="23"/>
      <c r="R42" s="23"/>
      <c r="S42" s="35">
        <f t="shared" ref="S42" si="43">SUM(U42:U42)/IF(AG42="EC",12,1)</f>
        <v>1</v>
      </c>
      <c r="T42" s="50" t="str">
        <f t="shared" ref="T42" si="44">IF(ISEVEN(LEFT(AD42,4)),"Southbound","NorthBound")</f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ref="V42" si="45"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https://search-rtdc-monitor-bjffxe2xuh6vdkpspy63sjmuny.us-east-1.es.amazonaws.com/_plugin/kibana/#/discover/Steve-Slow-Train-Analysis-(2080s-and-2083s)?_g=(refreshInterval:(display:Off,section:0,value:0),time:(from:'2016-12-17 07:03:14-700',mode:absolute,to:'2016-12-17 09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2" s="52" t="str">
        <f t="shared" ref="W42" si="46">IF(AA42&lt;IF(AG42="EC",23,5.65),"Y","N")</f>
        <v>N</v>
      </c>
      <c r="X42" s="177">
        <f t="shared" si="38"/>
        <v>1</v>
      </c>
      <c r="Y42" s="67">
        <v>4.1300000000000003E-2</v>
      </c>
      <c r="Z42" s="67">
        <v>23.330400000000001</v>
      </c>
      <c r="AA42" s="67">
        <f t="shared" ref="AA42" si="47">ABS(Z42-Y42)</f>
        <v>23.289100000000001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ref="AD42" si="48">IF(LEN(A42)=6,"0"&amp;A42,A42)</f>
        <v>0129-17</v>
      </c>
      <c r="AE42" s="91" t="str">
        <f t="shared" ref="AE42" si="49"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s3://rtdc.mdm.uploadarchive.raw/RTDC4014/ "%USERPROFILE%\AppData\Local\Temp\OnboardLogs"\RTDC4014\2016-12-17 --exclude "*" --recursive --include "*20161217*" &amp; "%USERPROFILE%\Documents\GitHub\mrs-test-scripts\Headless Mode &amp; Sideloading\WalkAndUnGZ.bat" "%USERPROFILE%\AppData\Local\Temp\OnboardLogs"\RTDC4014\2016-12-17 &amp; 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</v>
      </c>
      <c r="AF42" s="88" t="str">
        <f t="shared" ref="AF42" si="50"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/stypes="app*4014*20161217*" /stext=" 15:.+((SYSTEM_STATE.+slice.+state.+changed )|(ment ac)|(multiple cpu faults)|(system.+state.+changed )|(\[timeout)|(PRM\|1\|D)|(kpr)|(kdp)|(\|lc)|(penalty))" /e /r /s</v>
      </c>
      <c r="AG42" s="1" t="str">
        <f t="shared" ref="AG42" si="51">IFERROR(IF(VALUE(LEFT(AD42,2))&lt;=2,"EC",IF(OR(VALUE(LEFT(AD42,2))=8,VALUE(LEFT(AD42,2))=18),"NW","Other")),"Other")</f>
        <v>EC</v>
      </c>
      <c r="AH42" s="92" t="str">
        <f t="shared" ref="AH42" si="52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129-17 --locoid 4014 --swversion DE.1.0.8.0 --startMP 204:232971 --initTime 2016-12-17T08:03:14 --startdatetime 2016-12-17T07:15:19 --delay 1 --endMP 204:143 --enddatetime 2016-12-17T08:13:38 --enforcementcount 0 &gt;&gt;C:\Users\stu\Documents\GitHub\eaglep3-reporting\EC\2016-12-17-refined-times.txt</v>
      </c>
      <c r="AI42" s="119" t="str">
        <f t="shared" ref="AI42" si="53"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{"issue":{"subject":"","project_id":79,"tracker_id":40,"status_id":1,"priority_id":2,"assigned_to_id":23,"start_date":"2016-12-17","description":"","custom_fields":[{"id":1,"name":"Subdivision","value":"EC"},{"id":4,"name":"Milepost","value":"23.3304"},{"id":17,"name":"Train ID","value":"129-17"},{"id":16,"name":"Locomotive ID","value":"4014"},{"id":130,"name":"Impact","value":""},{"id":150,"name":"Time of Event (Mountain Time)","value":"08:13:38"},{"id":151,"name":"Denver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</row>
    <row r="43" spans="1:91" s="1" customFormat="1" x14ac:dyDescent="0.25">
      <c r="A43" s="37" t="s">
        <v>619</v>
      </c>
      <c r="B43" s="7">
        <v>4045</v>
      </c>
      <c r="C43" s="22" t="s">
        <v>205</v>
      </c>
      <c r="D43" s="22" t="s">
        <v>280</v>
      </c>
      <c r="E43" s="13">
        <v>42721.3434375</v>
      </c>
      <c r="F43" s="13">
        <v>42721.344710648147</v>
      </c>
      <c r="G43" s="7">
        <v>1</v>
      </c>
      <c r="H43" s="22" t="s">
        <v>279</v>
      </c>
      <c r="I43" s="13">
        <v>42721.372372685182</v>
      </c>
      <c r="J43" s="7">
        <v>0</v>
      </c>
      <c r="K43" s="109" t="str">
        <f t="shared" si="0"/>
        <v>4045/4046</v>
      </c>
      <c r="L43" s="22" t="str">
        <f>VLOOKUP(A43,'Trips&amp;Operators'!$C$1:$G$99999,5,FALSE)</f>
        <v>BEAM ROSS</v>
      </c>
      <c r="M43" s="6">
        <f t="shared" si="1"/>
        <v>2.7662037035042886E-2</v>
      </c>
      <c r="N43" s="7">
        <f t="shared" si="39"/>
        <v>39.833333330461755</v>
      </c>
      <c r="O43" s="7"/>
      <c r="P43" s="7"/>
      <c r="Q43" s="23"/>
      <c r="R43" s="23"/>
      <c r="S43" s="35">
        <f t="shared" si="40"/>
        <v>1</v>
      </c>
      <c r="T43" s="50" t="str">
        <f t="shared" si="3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07:14:33-700',mode:absolute,to:'2016-12-17 09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3" s="52" t="str">
        <f t="shared" si="5"/>
        <v>N</v>
      </c>
      <c r="X43" s="177">
        <f t="shared" si="38"/>
        <v>1</v>
      </c>
      <c r="Y43" s="67">
        <f t="shared" si="36"/>
        <v>23.2987</v>
      </c>
      <c r="Z43" s="67">
        <f t="shared" si="37"/>
        <v>1.6E-2</v>
      </c>
      <c r="AA43" s="67">
        <f t="shared" si="9"/>
        <v>23.282700000000002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0"/>
        <v>0130-17</v>
      </c>
      <c r="AE43" s="91" t="str">
        <f t="shared" si="11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43" s="88" t="str">
        <f t="shared" si="12"/>
        <v>"C:\Program Files (x86)\AstroGrep\AstroGrep.exe" /spath="%USERPROFILE%\AppData\Local\Temp\OnboardLogs" /stypes="app*4045*20161217*"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92" t="str">
        <f t="shared" si="16"/>
        <v>"%USERPROFILE%\Documents\GitHub\eaglep3\Utilities\RefineRTDCRunTimes.py" --tripid 130-17 --locoid 4045 --swversion DE.1.0.8.0 --startMP 204:232987 --initTime 2016-12-17T08:14:33 --startdatetime 2016-12-17T08:16:23 --delay 1 --endMP 204:160 --enddatetime 2016-12-17T08:56:13 --enforcementcount 0 &gt;&gt;C:\Users\stu\Documents\GitHub\eaglep3-reporting\EC\2016-12-17-refined-times.txt</v>
      </c>
      <c r="AI43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{"issue":{"subject":"","project_id":79,"tracker_id":40,"status_id":1,"priority_id":2,"assigned_to_id":23,"start_date":"2016-12-17","description":"","custom_fields":[{"id":1,"name":"Subdivision","value":"EC"},{"id":4,"name":"Milepost","value":"0.016"},{"id":17,"name":"Train ID","value":"130-17"},{"id":16,"name":"Locomotive ID","value":"4045"},{"id":130,"name":"Impact","value":""},{"id":150,"name":"Time of Event (Mountain Time)","value":"08:56:13"},{"id":151,"name":"Denver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613</v>
      </c>
      <c r="B44" s="7">
        <v>4029</v>
      </c>
      <c r="C44" s="22" t="s">
        <v>205</v>
      </c>
      <c r="D44" s="22" t="s">
        <v>228</v>
      </c>
      <c r="E44" s="13">
        <v>42721.306851851848</v>
      </c>
      <c r="F44" s="13">
        <v>42721.312905092593</v>
      </c>
      <c r="G44" s="7">
        <v>1</v>
      </c>
      <c r="H44" s="22" t="s">
        <v>782</v>
      </c>
      <c r="I44" s="13">
        <v>42721.347546296296</v>
      </c>
      <c r="J44" s="7">
        <v>0</v>
      </c>
      <c r="K44" s="109" t="str">
        <f t="shared" si="0"/>
        <v>4029/4030</v>
      </c>
      <c r="L44" s="22" t="str">
        <f>VLOOKUP(A44,'Trips&amp;Operators'!$C$1:$G$99999,5,FALSE)</f>
        <v>STRICKLAND EVAN</v>
      </c>
      <c r="M44" s="6">
        <f t="shared" si="1"/>
        <v>3.4641203703358769E-2</v>
      </c>
      <c r="N44" s="7">
        <f t="shared" si="39"/>
        <v>49.883333332836628</v>
      </c>
      <c r="O44" s="7"/>
      <c r="P44" s="7"/>
      <c r="Q44" s="23"/>
      <c r="R44" s="23"/>
      <c r="S44" s="35">
        <f t="shared" si="40"/>
        <v>1</v>
      </c>
      <c r="T44" s="50" t="str">
        <f t="shared" si="3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06:21:52-700',mode:absolute,to:'2016-12-17 09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4" s="52" t="str">
        <f t="shared" si="5"/>
        <v>N</v>
      </c>
      <c r="X44" s="177">
        <f t="shared" si="38"/>
        <v>1</v>
      </c>
      <c r="Y44" s="67">
        <f t="shared" si="36"/>
        <v>4.5499999999999999E-2</v>
      </c>
      <c r="Z44" s="67">
        <f t="shared" si="37"/>
        <v>23.334900000000001</v>
      </c>
      <c r="AA44" s="67">
        <f t="shared" si="9"/>
        <v>23.289400000000001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0"/>
        <v>0131-17</v>
      </c>
      <c r="AE44" s="91" t="str">
        <f t="shared" si="11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44" s="88" t="str">
        <f t="shared" si="12"/>
        <v>"C:\Program Files (x86)\AstroGrep\AstroGrep.exe" /spath="%USERPROFILE%\AppData\Local\Temp\OnboardLogs" /stypes="app*4029*20161217*"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92" t="str">
        <f t="shared" si="16"/>
        <v>"%USERPROFILE%\Documents\GitHub\eaglep3\Utilities\RefineRTDCRunTimes.py" --tripid 131-17 --locoid 4029 --swversion DE.1.0.8.0 --startMP 204:455 --initTime 2016-12-17T07:21:52 --startdatetime 2016-12-17T07:30:35 --delay 1 --endMP 204:233349 --enddatetime 2016-12-17T08:20:28 --enforcementcount 0 &gt;&gt;C:\Users\stu\Documents\GitHub\eaglep3-reporting\EC\2016-12-17-refined-times.txt</v>
      </c>
      <c r="AI44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{"issue":{"subject":"","project_id":79,"tracker_id":40,"status_id":1,"priority_id":2,"assigned_to_id":23,"start_date":"2016-12-17","description":"","custom_fields":[{"id":1,"name":"Subdivision","value":"EC"},{"id":4,"name":"Milepost","value":"23.3349"},{"id":17,"name":"Train ID","value":"131-17"},{"id":16,"name":"Locomotive ID","value":"4029"},{"id":130,"name":"Impact","value":""},{"id":150,"name":"Time of Event (Mountain Time)","value":"08:20:28"},{"id":151,"name":"Denver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554</v>
      </c>
      <c r="B45" s="7">
        <v>4013</v>
      </c>
      <c r="C45" s="22" t="s">
        <v>205</v>
      </c>
      <c r="D45" s="22" t="s">
        <v>494</v>
      </c>
      <c r="E45" s="13">
        <v>42721.349062499998</v>
      </c>
      <c r="F45" s="13">
        <v>42721.351770833331</v>
      </c>
      <c r="G45" s="7">
        <v>1</v>
      </c>
      <c r="H45" s="22" t="s">
        <v>266</v>
      </c>
      <c r="I45" s="13">
        <v>42721.383020833331</v>
      </c>
      <c r="J45" s="7">
        <v>0</v>
      </c>
      <c r="K45" s="109" t="str">
        <f t="shared" si="0"/>
        <v>4013/4014</v>
      </c>
      <c r="L45" s="22" t="str">
        <f>VLOOKUP(A45,'Trips&amp;Operators'!$C$1:$G$99999,5,FALSE)</f>
        <v>MAELZER KURT</v>
      </c>
      <c r="M45" s="6">
        <f t="shared" si="1"/>
        <v>3.125E-2</v>
      </c>
      <c r="N45" s="7">
        <f t="shared" si="39"/>
        <v>45</v>
      </c>
      <c r="O45" s="7"/>
      <c r="P45" s="7"/>
      <c r="Q45" s="23"/>
      <c r="R45" s="23"/>
      <c r="S45" s="35">
        <f t="shared" si="40"/>
        <v>1</v>
      </c>
      <c r="T45" s="50" t="str">
        <f t="shared" si="3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07:22:39-700',mode:absolute,to:'2016-12-17 10:11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2" t="str">
        <f t="shared" si="5"/>
        <v>N</v>
      </c>
      <c r="X45" s="177">
        <f t="shared" si="38"/>
        <v>1</v>
      </c>
      <c r="Y45" s="67">
        <f t="shared" si="36"/>
        <v>23.2988</v>
      </c>
      <c r="Z45" s="67">
        <f t="shared" si="37"/>
        <v>1.47E-2</v>
      </c>
      <c r="AA45" s="67">
        <f t="shared" si="9"/>
        <v>23.284099999999999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0"/>
        <v>0132-17</v>
      </c>
      <c r="AE45" s="91" t="str">
        <f t="shared" si="11"/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AF45" s="88" t="str">
        <f t="shared" si="12"/>
        <v>"C:\Program Files (x86)\AstroGrep\AstroGrep.exe" /spath="%USERPROFILE%\AppData\Local\Temp\OnboardLogs" /stypes="app*4013*20161217*"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92" t="str">
        <f t="shared" si="16"/>
        <v>"%USERPROFILE%\Documents\GitHub\eaglep3\Utilities\RefineRTDCRunTimes.py" --tripid 132-17 --locoid 4013 --swversion DE.1.0.8.0 --startMP 204:232988 --initTime 2016-12-17T08:22:39 --startdatetime 2016-12-17T08:26:33 --delay 1 --endMP 204:147 --enddatetime 2016-12-17T09:11:33 --enforcementcount 0 &gt;&gt;C:\Users\stu\Documents\GitHub\eaglep3-reporting\EC\2016-12-17-refined-times.txt</v>
      </c>
      <c r="AI45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{"issue":{"subject":"","project_id":79,"tracker_id":40,"status_id":1,"priority_id":2,"assigned_to_id":23,"start_date":"2016-12-17","description":"","custom_fields":[{"id":1,"name":"Subdivision","value":"EC"},{"id":4,"name":"Milepost","value":"0.0147"},{"id":17,"name":"Train ID","value":"132-17"},{"id":16,"name":"Locomotive ID","value":"4013"},{"id":130,"name":"Impact","value":""},{"id":150,"name":"Time of Event (Mountain Time)","value":"09:11:33"},{"id":151,"name":"Denver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551</v>
      </c>
      <c r="B46" s="7">
        <v>4042</v>
      </c>
      <c r="C46" s="22" t="s">
        <v>205</v>
      </c>
      <c r="D46" s="22" t="s">
        <v>193</v>
      </c>
      <c r="E46" s="13">
        <v>42721.318923611114</v>
      </c>
      <c r="F46" s="13">
        <v>42721.323067129626</v>
      </c>
      <c r="G46" s="7">
        <v>1</v>
      </c>
      <c r="H46" s="22" t="s">
        <v>783</v>
      </c>
      <c r="I46" s="13">
        <v>42721.358599537038</v>
      </c>
      <c r="J46" s="7">
        <v>0</v>
      </c>
      <c r="K46" s="109" t="str">
        <f t="shared" si="0"/>
        <v>4041/4042</v>
      </c>
      <c r="L46" s="22" t="str">
        <f>VLOOKUP(A46,'Trips&amp;Operators'!$C$1:$G$99999,5,FALSE)</f>
        <v>ROBINSON KADDIBA</v>
      </c>
      <c r="M46" s="6">
        <f t="shared" si="1"/>
        <v>3.553240741166519E-2</v>
      </c>
      <c r="N46" s="7">
        <f t="shared" si="39"/>
        <v>51.166666672797874</v>
      </c>
      <c r="O46" s="7"/>
      <c r="P46" s="7"/>
      <c r="Q46" s="23"/>
      <c r="R46" s="23"/>
      <c r="S46" s="35">
        <f t="shared" si="40"/>
        <v>1</v>
      </c>
      <c r="T46" s="50" t="str">
        <f t="shared" si="3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06:39:15-700',mode:absolute,to:'2016-12-17 09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6" s="52" t="str">
        <f t="shared" si="5"/>
        <v>N</v>
      </c>
      <c r="X46" s="177">
        <f t="shared" si="38"/>
        <v>1</v>
      </c>
      <c r="Y46" s="67">
        <f t="shared" si="36"/>
        <v>4.4699999999999997E-2</v>
      </c>
      <c r="Z46" s="67">
        <f t="shared" si="37"/>
        <v>23.123100000000001</v>
      </c>
      <c r="AA46" s="67">
        <f t="shared" si="9"/>
        <v>23.078400000000002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0"/>
        <v>0133-17</v>
      </c>
      <c r="AE46" s="91" t="str">
        <f t="shared" si="11"/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AF46" s="88" t="str">
        <f t="shared" si="12"/>
        <v>"C:\Program Files (x86)\AstroGrep\AstroGrep.exe" /spath="%USERPROFILE%\AppData\Local\Temp\OnboardLogs" /stypes="app*4042*20161217*"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92" t="str">
        <f t="shared" si="16"/>
        <v>"%USERPROFILE%\Documents\GitHub\eaglep3\Utilities\RefineRTDCRunTimes.py" --tripid 133-17 --locoid 4042 --swversion DE.1.0.8.0 --startMP 204:447 --initTime 2016-12-17T07:39:15 --startdatetime 2016-12-17T07:45:13 --delay 1 --endMP 204:231231 --enddatetime 2016-12-17T08:36:23 --enforcementcount 0 &gt;&gt;C:\Users\stu\Documents\GitHub\eaglep3-reporting\EC\2016-12-17-refined-times.txt</v>
      </c>
      <c r="AI46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{"issue":{"subject":"","project_id":79,"tracker_id":40,"status_id":1,"priority_id":2,"assigned_to_id":23,"start_date":"2016-12-17","description":"","custom_fields":[{"id":1,"name":"Subdivision","value":"EC"},{"id":4,"name":"Milepost","value":"23.1231"},{"id":17,"name":"Train ID","value":"133-17"},{"id":16,"name":"Locomotive ID","value":"4042"},{"id":130,"name":"Impact","value":""},{"id":150,"name":"Time of Event (Mountain Time)","value":"08:36:23"},{"id":151,"name":"Denver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620</v>
      </c>
      <c r="B47" s="7">
        <v>4030</v>
      </c>
      <c r="C47" s="22" t="s">
        <v>205</v>
      </c>
      <c r="D47" s="22" t="s">
        <v>784</v>
      </c>
      <c r="E47" s="13">
        <v>42721.357268518521</v>
      </c>
      <c r="F47" s="13">
        <v>42721.362060185187</v>
      </c>
      <c r="G47" s="7">
        <v>2</v>
      </c>
      <c r="H47" s="22" t="s">
        <v>310</v>
      </c>
      <c r="I47" s="13">
        <v>42721.392905092594</v>
      </c>
      <c r="J47" s="7">
        <v>0</v>
      </c>
      <c r="K47" s="109" t="str">
        <f t="shared" si="0"/>
        <v>4029/4030</v>
      </c>
      <c r="L47" s="22" t="str">
        <f>VLOOKUP(A47,'Trips&amp;Operators'!$C$1:$G$99999,5,FALSE)</f>
        <v>STRICKLAND EVAN</v>
      </c>
      <c r="M47" s="6">
        <f t="shared" si="1"/>
        <v>3.0844907407299615E-2</v>
      </c>
      <c r="N47" s="7">
        <f t="shared" si="39"/>
        <v>44.416666666511446</v>
      </c>
      <c r="O47" s="7"/>
      <c r="P47" s="7"/>
      <c r="Q47" s="23"/>
      <c r="R47" s="23"/>
      <c r="S47" s="35">
        <f t="shared" si="40"/>
        <v>1</v>
      </c>
      <c r="T47" s="50" t="str">
        <f t="shared" si="3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07:34:28-700',mode:absolute,to:'2016-12-17 10:25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7" s="52" t="str">
        <f t="shared" si="5"/>
        <v>N</v>
      </c>
      <c r="X47" s="177">
        <f t="shared" si="38"/>
        <v>1</v>
      </c>
      <c r="Y47" s="67">
        <f t="shared" si="36"/>
        <v>23.300599999999999</v>
      </c>
      <c r="Z47" s="67">
        <f t="shared" si="37"/>
        <v>1.3599999999999999E-2</v>
      </c>
      <c r="AA47" s="67">
        <f t="shared" si="9"/>
        <v>23.286999999999999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0"/>
        <v>0134-17</v>
      </c>
      <c r="AE47" s="91" t="str">
        <f t="shared" si="11"/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AF47" s="88" t="str">
        <f t="shared" si="12"/>
        <v>"C:\Program Files (x86)\AstroGrep\AstroGrep.exe" /spath="%USERPROFILE%\AppData\Local\Temp\OnboardLogs" /stypes="app*4030*20161217*"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92" t="str">
        <f t="shared" si="16"/>
        <v>"%USERPROFILE%\Documents\GitHub\eaglep3\Utilities\RefineRTDCRunTimes.py" --tripid 134-17 --locoid 4030 --swversion DE.1.0.8.0 --startMP 204:233006 --initTime 2016-12-17T08:34:28 --startdatetime 2016-12-17T08:41:22 --delay 2 --endMP 204:136 --enddatetime 2016-12-17T09:25:47 --enforcementcount 0 &gt;&gt;C:\Users\stu\Documents\GitHub\eaglep3-reporting\EC\2016-12-17-refined-times.txt</v>
      </c>
      <c r="AI47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{"issue":{"subject":"","project_id":79,"tracker_id":40,"status_id":1,"priority_id":2,"assigned_to_id":23,"start_date":"2016-12-17","description":"","custom_fields":[{"id":1,"name":"Subdivision","value":"EC"},{"id":4,"name":"Milepost","value":"0.0136"},{"id":17,"name":"Train ID","value":"134-17"},{"id":16,"name":"Locomotive ID","value":"4030"},{"id":130,"name":"Impact","value":""},{"id":150,"name":"Time of Event (Mountain Time)","value":"09:25:47"},{"id":151,"name":"Denver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616</v>
      </c>
      <c r="B48" s="7">
        <v>4016</v>
      </c>
      <c r="C48" s="22" t="s">
        <v>205</v>
      </c>
      <c r="D48" s="22" t="s">
        <v>308</v>
      </c>
      <c r="E48" s="13">
        <v>42721.331053240741</v>
      </c>
      <c r="F48" s="13">
        <v>42721.333506944444</v>
      </c>
      <c r="G48" s="7">
        <v>2</v>
      </c>
      <c r="H48" s="22" t="s">
        <v>775</v>
      </c>
      <c r="I48" s="13">
        <v>42721.366539351853</v>
      </c>
      <c r="J48" s="7">
        <v>0</v>
      </c>
      <c r="K48" s="109" t="str">
        <f t="shared" si="0"/>
        <v>4015/4016</v>
      </c>
      <c r="L48" s="22" t="str">
        <f>VLOOKUP(A48,'Trips&amp;Operators'!$C$1:$G$99999,5,FALSE)</f>
        <v>ACKERMAN JARED</v>
      </c>
      <c r="M48" s="6">
        <f t="shared" si="1"/>
        <v>3.3032407409336884E-2</v>
      </c>
      <c r="N48" s="7">
        <f t="shared" si="39"/>
        <v>47.566666669445112</v>
      </c>
      <c r="O48" s="7"/>
      <c r="P48" s="7"/>
      <c r="Q48" s="23"/>
      <c r="R48" s="23"/>
      <c r="S48" s="35">
        <f t="shared" si="40"/>
        <v>1</v>
      </c>
      <c r="T48" s="50" t="str">
        <f t="shared" si="3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06:56:43-700',mode:absolute,to:'2016-12-17 09:47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8" s="52" t="str">
        <f t="shared" si="5"/>
        <v>N</v>
      </c>
      <c r="X48" s="177">
        <f t="shared" ref="X48:X54" si="54">VALUE(LEFT(AD48,4))-VALUE(LEFT(AD47,4))</f>
        <v>1</v>
      </c>
      <c r="Y48" s="67">
        <f t="shared" si="36"/>
        <v>4.4400000000000002E-2</v>
      </c>
      <c r="Z48" s="67">
        <f t="shared" si="37"/>
        <v>23.311900000000001</v>
      </c>
      <c r="AA48" s="67">
        <f t="shared" si="9"/>
        <v>23.267500000000002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0"/>
        <v>0135-17</v>
      </c>
      <c r="AE48" s="91" t="str">
        <f t="shared" si="11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48" s="88" t="str">
        <f t="shared" si="12"/>
        <v>"C:\Program Files (x86)\AstroGrep\AstroGrep.exe" /spath="%USERPROFILE%\AppData\Local\Temp\OnboardLogs" /stypes="app*4016*20161217*" /stext=" 15:.+((SYSTEM_STATE.+slice.+state.+changed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92" t="str">
        <f t="shared" si="16"/>
        <v>"%USERPROFILE%\Documents\GitHub\eaglep3\Utilities\RefineRTDCRunTimes.py" --tripid 135-17 --locoid 4016 --swversion DE.1.0.8.0 --startMP 204:444 --initTime 2016-12-17T07:56:43 --startdatetime 2016-12-17T08:00:15 --delay 2 --endMP 204:233119 --enddatetime 2016-12-17T08:47:49 --enforcementcount 0 &gt;&gt;C:\Users\stu\Documents\GitHub\eaglep3-reporting\EC\2016-12-17-refined-times.txt</v>
      </c>
      <c r="AI48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{"issue":{"subject":"","project_id":79,"tracker_id":40,"status_id":1,"priority_id":2,"assigned_to_id":23,"start_date":"2016-12-17","description":"","custom_fields":[{"id":1,"name":"Subdivision","value":"EC"},{"id":4,"name":"Milepost","value":"23.3119"},{"id":17,"name":"Train ID","value":"135-17"},{"id":16,"name":"Locomotive ID","value":"4016"},{"id":130,"name":"Impact","value":""},{"id":150,"name":"Time of Event (Mountain Time)","value":"08:47:49"},{"id":151,"name":"Denver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622</v>
      </c>
      <c r="B49" s="7">
        <v>4015</v>
      </c>
      <c r="C49" s="22" t="s">
        <v>205</v>
      </c>
      <c r="D49" s="22" t="s">
        <v>785</v>
      </c>
      <c r="E49" s="13">
        <v>42721.368645833332</v>
      </c>
      <c r="F49" s="13">
        <v>42721.37263888889</v>
      </c>
      <c r="G49" s="7">
        <v>1</v>
      </c>
      <c r="H49" s="22" t="s">
        <v>501</v>
      </c>
      <c r="I49" s="13">
        <v>42721.401319444441</v>
      </c>
      <c r="J49" s="7">
        <v>0</v>
      </c>
      <c r="K49" s="109" t="str">
        <f t="shared" si="0"/>
        <v>4015/4016</v>
      </c>
      <c r="L49" s="22" t="str">
        <f>VLOOKUP(A49,'Trips&amp;Operators'!$C$1:$G$99999,5,FALSE)</f>
        <v>ACKERMAN JARED</v>
      </c>
      <c r="M49" s="6">
        <f t="shared" si="1"/>
        <v>2.8680555551545694E-2</v>
      </c>
      <c r="N49" s="7">
        <f t="shared" si="39"/>
        <v>41.2999999942258</v>
      </c>
      <c r="O49" s="7"/>
      <c r="P49" s="7"/>
      <c r="Q49" s="23"/>
      <c r="R49" s="23"/>
      <c r="S49" s="35">
        <f t="shared" si="40"/>
        <v>1</v>
      </c>
      <c r="T49" s="50" t="str">
        <f t="shared" si="3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07:50:51-700',mode:absolute,to:'2016-12-17 10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9" s="52" t="str">
        <f t="shared" si="5"/>
        <v>N</v>
      </c>
      <c r="X49" s="177">
        <f t="shared" si="54"/>
        <v>1</v>
      </c>
      <c r="Y49" s="67">
        <f t="shared" si="36"/>
        <v>23.278300000000002</v>
      </c>
      <c r="Z49" s="67">
        <f t="shared" si="37"/>
        <v>1.2699999999999999E-2</v>
      </c>
      <c r="AA49" s="67">
        <f t="shared" si="9"/>
        <v>23.265600000000003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0"/>
        <v>0136-17</v>
      </c>
      <c r="AE49" s="91" t="str">
        <f t="shared" si="11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49" s="88" t="str">
        <f t="shared" si="12"/>
        <v>"C:\Program Files (x86)\AstroGrep\AstroGrep.exe" /spath="%USERPROFILE%\AppData\Local\Temp\OnboardLogs" /stypes="app*4015*20161217*" /stext=" 16:.+((SYSTEM_STATE.+slice.+state.+changed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92" t="str">
        <f t="shared" si="16"/>
        <v>"%USERPROFILE%\Documents\GitHub\eaglep3\Utilities\RefineRTDCRunTimes.py" --tripid 136-17 --locoid 4015 --swversion DE.1.0.8.0 --startMP 204:232783 --initTime 2016-12-17T08:50:51 --startdatetime 2016-12-17T08:56:36 --delay 1 --endMP 204:127 --enddatetime 2016-12-17T09:37:54 --enforcementcount 0 &gt;&gt;C:\Users\stu\Documents\GitHub\eaglep3-reporting\EC\2016-12-17-refined-times.txt</v>
      </c>
      <c r="AI49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{"issue":{"subject":"","project_id":79,"tracker_id":40,"status_id":1,"priority_id":2,"assigned_to_id":23,"start_date":"2016-12-17","description":"","custom_fields":[{"id":1,"name":"Subdivision","value":"EC"},{"id":4,"name":"Milepost","value":"0.0127"},{"id":17,"name":"Train ID","value":"136-17"},{"id":16,"name":"Locomotive ID","value":"4015"},{"id":130,"name":"Impact","value":""},{"id":150,"name":"Time of Event (Mountain Time)","value":"09:37:54"},{"id":151,"name":"Denver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553</v>
      </c>
      <c r="B50" s="7">
        <v>4020</v>
      </c>
      <c r="C50" s="22" t="s">
        <v>205</v>
      </c>
      <c r="D50" s="22" t="s">
        <v>512</v>
      </c>
      <c r="E50" s="13">
        <v>42721.341504629629</v>
      </c>
      <c r="F50" s="13">
        <v>42721.343912037039</v>
      </c>
      <c r="G50" s="7">
        <v>1</v>
      </c>
      <c r="H50" s="22" t="s">
        <v>786</v>
      </c>
      <c r="I50" s="13">
        <v>42721.371261574073</v>
      </c>
      <c r="J50" s="7">
        <v>0</v>
      </c>
      <c r="K50" s="109" t="str">
        <f t="shared" si="0"/>
        <v>4019/4020</v>
      </c>
      <c r="L50" s="22" t="str">
        <f>VLOOKUP(A50,'Trips&amp;Operators'!$C$1:$G$99999,5,FALSE)</f>
        <v>DAVIS WENDY</v>
      </c>
      <c r="M50" s="6">
        <f t="shared" si="1"/>
        <v>2.7349537034751847E-2</v>
      </c>
      <c r="N50" s="7">
        <f t="shared" si="39"/>
        <v>39.38333333004266</v>
      </c>
      <c r="O50" s="7"/>
      <c r="P50" s="7"/>
      <c r="Q50" s="23"/>
      <c r="R50" s="23"/>
      <c r="S50" s="35">
        <f t="shared" si="40"/>
        <v>1</v>
      </c>
      <c r="T50" s="50" t="str">
        <f t="shared" si="3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07:11:46-700',mode:absolute,to:'2016-12-17 09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0" s="52" t="str">
        <f t="shared" si="5"/>
        <v>N</v>
      </c>
      <c r="X50" s="177">
        <f t="shared" si="54"/>
        <v>1</v>
      </c>
      <c r="Y50" s="67">
        <f t="shared" si="36"/>
        <v>4.2599999999999999E-2</v>
      </c>
      <c r="Z50" s="67">
        <f t="shared" si="37"/>
        <v>23.332899999999999</v>
      </c>
      <c r="AA50" s="67">
        <f t="shared" si="9"/>
        <v>23.290299999999998</v>
      </c>
      <c r="AB50" s="64" t="str">
        <f>VLOOKUP(A50,Enforcements!$C$7:$K$19,8,0)</f>
        <v>Speed (6)</v>
      </c>
      <c r="AC50" s="60" t="str">
        <f>VLOOKUP(A50,Enforcements!$C$7:$E$19,3,0)</f>
        <v>PERMANENT SPEED RESTRICTION</v>
      </c>
      <c r="AD50" s="61" t="str">
        <f t="shared" si="10"/>
        <v>0137-17</v>
      </c>
      <c r="AE50" s="91" t="str">
        <f t="shared" si="11"/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50" s="88" t="str">
        <f t="shared" si="12"/>
        <v>"C:\Program Files (x86)\AstroGrep\AstroGrep.exe" /spath="%USERPROFILE%\AppData\Local\Temp\OnboardLogs" /stypes="app*4020*20161217*" /stext=" 15:.+((SYSTEM_STATE.+slice.+state.+changed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92" t="str">
        <f t="shared" si="16"/>
        <v>"%USERPROFILE%\Documents\GitHub\eaglep3\Utilities\RefineRTDCRunTimes.py" --tripid 137-17 --locoid 4020 --swversion DE.1.0.8.0 --startMP 204:426 --initTime 2016-12-17T08:11:46 --startdatetime 2016-12-17T08:15:14 --delay 1 --endMP 204:233329 --enddatetime 2016-12-17T08:54:37 --enforcementcount 0 &gt;&gt;C:\Users\stu\Documents\GitHub\eaglep3-reporting\EC\2016-12-17-refined-times.txt</v>
      </c>
      <c r="AI50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{"issue":{"subject":"","project_id":79,"tracker_id":40,"status_id":1,"priority_id":2,"assigned_to_id":23,"start_date":"2016-12-17","description":"","custom_fields":[{"id":1,"name":"Subdivision","value":"EC"},{"id":4,"name":"Milepost","value":"23.3329"},{"id":17,"name":"Train ID","value":"137-17"},{"id":16,"name":"Locomotive ID","value":"4020"},{"id":130,"name":"Impact","value":""},{"id":150,"name":"Time of Event (Mountain Time)","value":"08:54:37"},{"id":151,"name":"Denver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624</v>
      </c>
      <c r="B51" s="7">
        <v>4019</v>
      </c>
      <c r="C51" s="22" t="s">
        <v>205</v>
      </c>
      <c r="D51" s="22" t="s">
        <v>787</v>
      </c>
      <c r="E51" s="13">
        <v>42721.380532407406</v>
      </c>
      <c r="F51" s="13">
        <v>42721.382824074077</v>
      </c>
      <c r="G51" s="7">
        <v>1</v>
      </c>
      <c r="H51" s="22" t="s">
        <v>342</v>
      </c>
      <c r="I51" s="13">
        <v>42721.412615740737</v>
      </c>
      <c r="J51" s="7">
        <v>0</v>
      </c>
      <c r="K51" s="109" t="str">
        <f t="shared" si="0"/>
        <v>4019/4020</v>
      </c>
      <c r="L51" s="22" t="str">
        <f>VLOOKUP(A51,'Trips&amp;Operators'!$C$1:$G$99999,5,FALSE)</f>
        <v>DAVIS WENDY</v>
      </c>
      <c r="M51" s="6">
        <f t="shared" si="1"/>
        <v>2.979166666045785E-2</v>
      </c>
      <c r="N51" s="7">
        <f t="shared" si="39"/>
        <v>42.899999991059303</v>
      </c>
      <c r="O51" s="7"/>
      <c r="P51" s="7"/>
      <c r="Q51" s="23"/>
      <c r="R51" s="23"/>
      <c r="S51" s="35">
        <f t="shared" si="40"/>
        <v>1</v>
      </c>
      <c r="T51" s="50" t="str">
        <f t="shared" si="3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08:07:58-700',mode:absolute,to:'2016-12-17 10:54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1" s="52" t="str">
        <f t="shared" si="5"/>
        <v>N</v>
      </c>
      <c r="X51" s="177">
        <f t="shared" si="54"/>
        <v>1</v>
      </c>
      <c r="Y51" s="67">
        <f t="shared" si="36"/>
        <v>23.301500000000001</v>
      </c>
      <c r="Z51" s="67">
        <f t="shared" si="37"/>
        <v>1.34E-2</v>
      </c>
      <c r="AA51" s="67">
        <f t="shared" si="9"/>
        <v>23.2881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0"/>
        <v>0138-17</v>
      </c>
      <c r="AE51" s="91" t="str">
        <f t="shared" si="11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51" s="88" t="str">
        <f t="shared" si="12"/>
        <v>"C:\Program Files (x86)\AstroGrep\AstroGrep.exe" /spath="%USERPROFILE%\AppData\Local\Temp\OnboardLogs" /stypes="app*4019*20161217*"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92" t="str">
        <f t="shared" si="16"/>
        <v>"%USERPROFILE%\Documents\GitHub\eaglep3\Utilities\RefineRTDCRunTimes.py" --tripid 138-17 --locoid 4019 --swversion DE.1.0.8.0 --startMP 204:233015 --initTime 2016-12-17T09:07:58 --startdatetime 2016-12-17T09:11:16 --delay 1 --endMP 204:134 --enddatetime 2016-12-17T09:54:10 --enforcementcount 0 &gt;&gt;C:\Users\stu\Documents\GitHub\eaglep3-reporting\EC\2016-12-17-refined-times.txt</v>
      </c>
      <c r="AI51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{"issue":{"subject":"","project_id":79,"tracker_id":40,"status_id":1,"priority_id":2,"assigned_to_id":23,"start_date":"2016-12-17","description":"","custom_fields":[{"id":1,"name":"Subdivision","value":"EC"},{"id":4,"name":"Milepost","value":"0.0134"},{"id":17,"name":"Train ID","value":"138-17"},{"id":16,"name":"Locomotive ID","value":"4019"},{"id":130,"name":"Impact","value":""},{"id":150,"name":"Time of Event (Mountain Time)","value":"09:54:10"},{"id":151,"name":"Denver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621</v>
      </c>
      <c r="B52" s="7">
        <v>4018</v>
      </c>
      <c r="C52" s="22" t="s">
        <v>205</v>
      </c>
      <c r="D52" s="22" t="s">
        <v>193</v>
      </c>
      <c r="E52" s="13">
        <v>42721.357824074075</v>
      </c>
      <c r="F52" s="13">
        <v>42721.359456018516</v>
      </c>
      <c r="G52" s="7">
        <v>1</v>
      </c>
      <c r="H52" s="22" t="s">
        <v>788</v>
      </c>
      <c r="I52" s="13">
        <v>42721.390949074077</v>
      </c>
      <c r="J52" s="7">
        <v>0</v>
      </c>
      <c r="K52" s="109" t="str">
        <f t="shared" si="0"/>
        <v>4017/4018</v>
      </c>
      <c r="L52" s="22" t="str">
        <f>VLOOKUP(A52,'Trips&amp;Operators'!$C$1:$G$99999,5,FALSE)</f>
        <v>KILLION DAVID</v>
      </c>
      <c r="M52" s="6">
        <f t="shared" si="1"/>
        <v>3.1493055561440997E-2</v>
      </c>
      <c r="N52" s="7">
        <f t="shared" si="39"/>
        <v>45.350000008475035</v>
      </c>
      <c r="O52" s="7"/>
      <c r="P52" s="7"/>
      <c r="Q52" s="23"/>
      <c r="R52" s="23"/>
      <c r="S52" s="35">
        <f t="shared" si="40"/>
        <v>1</v>
      </c>
      <c r="T52" s="50" t="str">
        <f t="shared" si="3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07:35:16-700',mode:absolute,to:'2016-12-17 10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2" s="52" t="str">
        <f t="shared" si="5"/>
        <v>N</v>
      </c>
      <c r="X52" s="177">
        <f t="shared" si="54"/>
        <v>1</v>
      </c>
      <c r="Y52" s="67">
        <f t="shared" si="36"/>
        <v>4.4699999999999997E-2</v>
      </c>
      <c r="Z52" s="67">
        <f t="shared" si="37"/>
        <v>23.306899999999999</v>
      </c>
      <c r="AA52" s="67">
        <f t="shared" si="9"/>
        <v>23.2622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0"/>
        <v>0139-17</v>
      </c>
      <c r="AE52" s="91" t="str">
        <f t="shared" si="11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52" s="88" t="str">
        <f t="shared" si="12"/>
        <v>"C:\Program Files (x86)\AstroGrep\AstroGrep.exe" /spath="%USERPROFILE%\AppData\Local\Temp\OnboardLogs" /stypes="app*4018*20161217*"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92" t="str">
        <f t="shared" si="16"/>
        <v>"%USERPROFILE%\Documents\GitHub\eaglep3\Utilities\RefineRTDCRunTimes.py" --tripid 139-17 --locoid 4018 --swversion DE.1.0.8.0 --startMP 204:447 --initTime 2016-12-17T08:35:16 --startdatetime 2016-12-17T08:37:37 --delay 1 --endMP 204:233069 --enddatetime 2016-12-17T09:22:58 --enforcementcount 0 &gt;&gt;C:\Users\stu\Documents\GitHub\eaglep3-reporting\EC\2016-12-17-refined-times.txt</v>
      </c>
      <c r="AI52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{"issue":{"subject":"","project_id":79,"tracker_id":40,"status_id":1,"priority_id":2,"assigned_to_id":23,"start_date":"2016-12-17","description":"","custom_fields":[{"id":1,"name":"Subdivision","value":"EC"},{"id":4,"name":"Milepost","value":"23.3069"},{"id":17,"name":"Train ID","value":"139-17"},{"id":16,"name":"Locomotive ID","value":"4018"},{"id":130,"name":"Impact","value":""},{"id":150,"name":"Time of Event (Mountain Time)","value":"09:22:58"},{"id":151,"name":"Denver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627</v>
      </c>
      <c r="B53" s="7">
        <v>4017</v>
      </c>
      <c r="C53" s="22" t="s">
        <v>205</v>
      </c>
      <c r="D53" s="22" t="s">
        <v>789</v>
      </c>
      <c r="E53" s="13">
        <v>42721.395972222221</v>
      </c>
      <c r="F53" s="13">
        <v>42721.397372685184</v>
      </c>
      <c r="G53" s="7">
        <v>1</v>
      </c>
      <c r="H53" s="22" t="s">
        <v>501</v>
      </c>
      <c r="I53" s="13">
        <v>42721.426296296297</v>
      </c>
      <c r="J53" s="7">
        <v>0</v>
      </c>
      <c r="K53" s="109" t="str">
        <f t="shared" si="0"/>
        <v>4017/4018</v>
      </c>
      <c r="L53" s="22" t="str">
        <f>VLOOKUP(A53,'Trips&amp;Operators'!$C$1:$G$99999,5,FALSE)</f>
        <v>KILLION DAVID</v>
      </c>
      <c r="M53" s="6">
        <f t="shared" si="1"/>
        <v>2.8923611112986691E-2</v>
      </c>
      <c r="N53" s="7">
        <f t="shared" si="39"/>
        <v>41.650000002700835</v>
      </c>
      <c r="O53" s="7"/>
      <c r="P53" s="7"/>
      <c r="Q53" s="23"/>
      <c r="R53" s="23"/>
      <c r="S53" s="35">
        <f t="shared" si="40"/>
        <v>1</v>
      </c>
      <c r="T53" s="50" t="str">
        <f t="shared" si="3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08:30:12-700',mode:absolute,to:'2016-12-17 11:13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3" s="52" t="str">
        <f t="shared" si="5"/>
        <v>N</v>
      </c>
      <c r="X53" s="177">
        <f t="shared" si="54"/>
        <v>1</v>
      </c>
      <c r="Y53" s="67">
        <f t="shared" si="36"/>
        <v>23.2746</v>
      </c>
      <c r="Z53" s="67">
        <f t="shared" si="37"/>
        <v>1.2699999999999999E-2</v>
      </c>
      <c r="AA53" s="67">
        <f t="shared" si="9"/>
        <v>23.261900000000001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0"/>
        <v>0140-17</v>
      </c>
      <c r="AE53" s="91" t="str">
        <f t="shared" si="11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53" s="88" t="str">
        <f t="shared" si="12"/>
        <v>"C:\Program Files (x86)\AstroGrep\AstroGrep.exe" /spath="%USERPROFILE%\AppData\Local\Temp\OnboardLogs" /stypes="app*4017*20161217*"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92" t="str">
        <f t="shared" si="16"/>
        <v>"%USERPROFILE%\Documents\GitHub\eaglep3\Utilities\RefineRTDCRunTimes.py" --tripid 140-17 --locoid 4017 --swversion DE.1.0.8.0 --startMP 204:232746 --initTime 2016-12-17T09:30:12 --startdatetime 2016-12-17T09:32:13 --delay 1 --endMP 204:127 --enddatetime 2016-12-17T10:13:52 --enforcementcount 0 &gt;&gt;C:\Users\stu\Documents\GitHub\eaglep3-reporting\EC\2016-12-17-refined-times.txt</v>
      </c>
      <c r="AI53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{"issue":{"subject":"","project_id":79,"tracker_id":40,"status_id":1,"priority_id":2,"assigned_to_id":23,"start_date":"2016-12-17","description":"","custom_fields":[{"id":1,"name":"Subdivision","value":"EC"},{"id":4,"name":"Milepost","value":"0.0127"},{"id":17,"name":"Train ID","value":"140-17"},{"id":16,"name":"Locomotive ID","value":"4017"},{"id":130,"name":"Impact","value":""},{"id":150,"name":"Time of Event (Mountain Time)","value":"10:13:52"},{"id":151,"name":"Denver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556</v>
      </c>
      <c r="B54" s="7">
        <v>4044</v>
      </c>
      <c r="C54" s="22" t="s">
        <v>205</v>
      </c>
      <c r="D54" s="22" t="s">
        <v>331</v>
      </c>
      <c r="E54" s="13">
        <v>42721.369062500002</v>
      </c>
      <c r="F54" s="13">
        <v>42721.37054398148</v>
      </c>
      <c r="G54" s="7">
        <v>2</v>
      </c>
      <c r="H54" s="22" t="s">
        <v>498</v>
      </c>
      <c r="I54" s="13">
        <v>42721.397326388891</v>
      </c>
      <c r="J54" s="7">
        <v>0</v>
      </c>
      <c r="K54" s="109" t="str">
        <f t="shared" si="0"/>
        <v>4043/4044</v>
      </c>
      <c r="L54" s="22" t="str">
        <f>VLOOKUP(A54,'Trips&amp;Operators'!$C$1:$G$99999,5,FALSE)</f>
        <v>GEBRETEKLE DAGNEW</v>
      </c>
      <c r="M54" s="6">
        <f t="shared" si="1"/>
        <v>2.6782407410792075E-2</v>
      </c>
      <c r="N54" s="7">
        <f t="shared" si="39"/>
        <v>38.566666671540588</v>
      </c>
      <c r="O54" s="7"/>
      <c r="P54" s="7"/>
      <c r="Q54" s="23"/>
      <c r="R54" s="23"/>
      <c r="S54" s="35">
        <f t="shared" si="40"/>
        <v>1</v>
      </c>
      <c r="T54" s="50" t="str">
        <f t="shared" si="3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07:51:27-700',mode:absolute,to:'2016-12-17 10:32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5"/>
        <v>N</v>
      </c>
      <c r="X54" s="177">
        <f t="shared" si="54"/>
        <v>1</v>
      </c>
      <c r="Y54" s="67">
        <f t="shared" si="36"/>
        <v>4.5699999999999998E-2</v>
      </c>
      <c r="Z54" s="67">
        <f t="shared" si="37"/>
        <v>23.329499999999999</v>
      </c>
      <c r="AA54" s="67">
        <f t="shared" si="9"/>
        <v>23.283799999999999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0"/>
        <v>0141-17</v>
      </c>
      <c r="AE54" s="91" t="str">
        <f t="shared" si="11"/>
        <v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v>
      </c>
      <c r="AF54" s="88" t="str">
        <f t="shared" si="12"/>
        <v>"C:\Program Files (x86)\AstroGrep\AstroGrep.exe" /spath="%USERPROFILE%\AppData\Local\Temp\OnboardLogs" /stypes="app*4044*20161217*"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92" t="str">
        <f t="shared" si="16"/>
        <v>"%USERPROFILE%\Documents\GitHub\eaglep3\Utilities\RefineRTDCRunTimes.py" --tripid 141-17 --locoid 4044 --swversion DE.1.0.8.0 --startMP 204:457 --initTime 2016-12-17T08:51:27 --startdatetime 2016-12-17T08:53:35 --delay 2 --endMP 204:233295 --enddatetime 2016-12-17T09:32:09 --enforcementcount 0 &gt;&gt;C:\Users\stu\Documents\GitHub\eaglep3-reporting\EC\2016-12-17-refined-times.txt</v>
      </c>
      <c r="AI54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{"issue":{"subject":"","project_id":79,"tracker_id":40,"status_id":1,"priority_id":2,"assigned_to_id":23,"start_date":"2016-12-17","description":"","custom_fields":[{"id":1,"name":"Subdivision","value":"EC"},{"id":4,"name":"Milepost","value":"23.3295"},{"id":17,"name":"Train ID","value":"141-17"},{"id":16,"name":"Locomotive ID","value":"4044"},{"id":130,"name":"Impact","value":""},{"id":150,"name":"Time of Event (Mountain Time)","value":"09:32:09"},{"id":151,"name":"Denver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629</v>
      </c>
      <c r="B55" s="7">
        <v>4043</v>
      </c>
      <c r="C55" s="22" t="s">
        <v>205</v>
      </c>
      <c r="D55" s="22" t="s">
        <v>273</v>
      </c>
      <c r="E55" s="13">
        <v>42721.402106481481</v>
      </c>
      <c r="F55" s="13">
        <v>42721.405416666668</v>
      </c>
      <c r="G55" s="7">
        <v>1</v>
      </c>
      <c r="H55" s="22" t="s">
        <v>267</v>
      </c>
      <c r="I55" s="13">
        <v>42721.432187500002</v>
      </c>
      <c r="J55" s="7">
        <v>0</v>
      </c>
      <c r="K55" s="109" t="str">
        <f t="shared" si="0"/>
        <v>4043/4044</v>
      </c>
      <c r="L55" s="22" t="str">
        <f>VLOOKUP(A55,'Trips&amp;Operators'!$C$1:$G$99999,5,FALSE)</f>
        <v>GEBRETEKLE DAGNEW</v>
      </c>
      <c r="M55" s="6">
        <f t="shared" si="1"/>
        <v>2.6770833334012423E-2</v>
      </c>
      <c r="N55" s="7">
        <f t="shared" si="39"/>
        <v>38.550000000977889</v>
      </c>
      <c r="O55" s="7"/>
      <c r="P55" s="7"/>
      <c r="Q55" s="23"/>
      <c r="R55" s="23"/>
      <c r="S55" s="35">
        <f t="shared" si="40"/>
        <v>1</v>
      </c>
      <c r="T55" s="50" t="str">
        <f t="shared" si="3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08:39:02-700',mode:absolute,to:'2016-12-17 11:22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5"/>
        <v>N</v>
      </c>
      <c r="X55" s="177">
        <f t="shared" ref="X55:X91" si="55">VALUE(LEFT(AD55,4))-VALUE(LEFT(AD54,4))</f>
        <v>1</v>
      </c>
      <c r="Y55" s="67">
        <f t="shared" si="36"/>
        <v>23.299600000000002</v>
      </c>
      <c r="Z55" s="67">
        <f t="shared" si="37"/>
        <v>1.3899999999999999E-2</v>
      </c>
      <c r="AA55" s="67">
        <f t="shared" si="9"/>
        <v>23.285700000000002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0"/>
        <v>0142-17</v>
      </c>
      <c r="AE55" s="91" t="str">
        <f t="shared" si="11"/>
        <v>aws s3 cp s3://rtdc.mdm.uploadarchive.raw/RTDC4043/ "%USERPROFILE%\AppData\Local\Temp\OnboardLogs"\RTDC4043\2016-12-17 --exclude "*" --recursive --include "*20161217*" &amp; "%USERPROFILE%\Documents\GitHub\mrs-test-scripts\Headless Mode &amp; Sideloading\WalkAndUnGZ.bat" "%USERPROFILE%\AppData\Local\Temp\OnboardLogs"\RTDC4043\2016-12-17 &amp; 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</v>
      </c>
      <c r="AF55" s="88" t="str">
        <f t="shared" si="12"/>
        <v>"C:\Program Files (x86)\AstroGrep\AstroGrep.exe" /spath="%USERPROFILE%\AppData\Local\Temp\OnboardLogs" /stypes="app*4043*20161217*"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92" t="str">
        <f t="shared" si="16"/>
        <v>"%USERPROFILE%\Documents\GitHub\eaglep3\Utilities\RefineRTDCRunTimes.py" --tripid 142-17 --locoid 4043 --swversion DE.1.0.8.0 --startMP 204:232996 --initTime 2016-12-17T09:39:02 --startdatetime 2016-12-17T09:43:48 --delay 1 --endMP 204:139 --enddatetime 2016-12-17T10:22:21 --enforcementcount 0 &gt;&gt;C:\Users\stu\Documents\GitHub\eaglep3-reporting\EC\2016-12-17-refined-times.txt</v>
      </c>
      <c r="AI55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{"issue":{"subject":"","project_id":79,"tracker_id":40,"status_id":1,"priority_id":2,"assigned_to_id":23,"start_date":"2016-12-17","description":"","custom_fields":[{"id":1,"name":"Subdivision","value":"EC"},{"id":4,"name":"Milepost","value":"0.0139"},{"id":17,"name":"Train ID","value":"142-17"},{"id":16,"name":"Locomotive ID","value":"4043"},{"id":130,"name":"Impact","value":""},{"id":150,"name":"Time of Event (Mountain Time)","value":"10:22:21"},{"id":151,"name":"Denver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623</v>
      </c>
      <c r="B56" s="7">
        <v>4046</v>
      </c>
      <c r="C56" s="22" t="s">
        <v>205</v>
      </c>
      <c r="D56" s="22" t="s">
        <v>231</v>
      </c>
      <c r="E56" s="13">
        <v>42721.375706018516</v>
      </c>
      <c r="F56" s="13">
        <v>42721.383206018516</v>
      </c>
      <c r="G56" s="7">
        <v>1</v>
      </c>
      <c r="H56" s="22" t="s">
        <v>790</v>
      </c>
      <c r="I56" s="13">
        <v>42721.412523148145</v>
      </c>
      <c r="J56" s="7">
        <v>0</v>
      </c>
      <c r="K56" s="109" t="str">
        <f t="shared" si="0"/>
        <v>4045/4046</v>
      </c>
      <c r="L56" s="22" t="str">
        <f>VLOOKUP(A56,'Trips&amp;Operators'!$C$1:$G$99999,5,FALSE)</f>
        <v>BEAM ROSS</v>
      </c>
      <c r="M56" s="6">
        <f t="shared" si="1"/>
        <v>2.9317129628907423E-2</v>
      </c>
      <c r="N56" s="7">
        <f t="shared" si="39"/>
        <v>42.21666666562669</v>
      </c>
      <c r="O56" s="7"/>
      <c r="P56" s="7"/>
      <c r="Q56" s="23"/>
      <c r="R56" s="23"/>
      <c r="S56" s="35">
        <f t="shared" si="40"/>
        <v>1</v>
      </c>
      <c r="T56" s="50" t="str">
        <f t="shared" si="3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08:01:01-700',mode:absolute,to:'2016-12-17 10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6" s="52" t="str">
        <f t="shared" si="5"/>
        <v>N</v>
      </c>
      <c r="X56" s="177">
        <f t="shared" si="55"/>
        <v>1</v>
      </c>
      <c r="Y56" s="67">
        <f t="shared" si="36"/>
        <v>4.7100000000000003E-2</v>
      </c>
      <c r="Z56" s="67">
        <f t="shared" si="37"/>
        <v>23.334199999999999</v>
      </c>
      <c r="AA56" s="67">
        <f t="shared" si="9"/>
        <v>23.287099999999999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0"/>
        <v>0143-17</v>
      </c>
      <c r="AE56" s="91" t="str">
        <f t="shared" si="11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56" s="88" t="str">
        <f t="shared" si="12"/>
        <v>"C:\Program Files (x86)\AstroGrep\AstroGrep.exe" /spath="%USERPROFILE%\AppData\Local\Temp\OnboardLogs" /stypes="app*4046*20161217*" /stext=" 16:.+((SYSTEM_STATE.+slice.+state.+changed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92" t="str">
        <f t="shared" si="16"/>
        <v>"%USERPROFILE%\Documents\GitHub\eaglep3\Utilities\RefineRTDCRunTimes.py" --tripid 143-17 --locoid 4046 --swversion DE.1.0.8.0 --startMP 204:471 --initTime 2016-12-17T09:01:01 --startdatetime 2016-12-17T09:11:49 --delay 1 --endMP 204:233342 --enddatetime 2016-12-17T09:54:02 --enforcementcount 0 &gt;&gt;C:\Users\stu\Documents\GitHub\eaglep3-reporting\EC\2016-12-17-refined-times.txt</v>
      </c>
      <c r="AI56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{"issue":{"subject":"","project_id":79,"tracker_id":40,"status_id":1,"priority_id":2,"assigned_to_id":23,"start_date":"2016-12-17","description":"","custom_fields":[{"id":1,"name":"Subdivision","value":"EC"},{"id":4,"name":"Milepost","value":"23.3342"},{"id":17,"name":"Train ID","value":"143-17"},{"id":16,"name":"Locomotive ID","value":"4046"},{"id":130,"name":"Impact","value":""},{"id":150,"name":"Time of Event (Mountain Time)","value":"09:54:02"},{"id":151,"name":"Denver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633</v>
      </c>
      <c r="B57" s="7">
        <v>4045</v>
      </c>
      <c r="C57" s="22" t="s">
        <v>205</v>
      </c>
      <c r="D57" s="22" t="s">
        <v>791</v>
      </c>
      <c r="E57" s="13">
        <v>42721.414733796293</v>
      </c>
      <c r="F57" s="13">
        <v>42721.416875000003</v>
      </c>
      <c r="G57" s="7">
        <v>1</v>
      </c>
      <c r="H57" s="22" t="s">
        <v>266</v>
      </c>
      <c r="I57" s="13">
        <v>42721.44803240741</v>
      </c>
      <c r="J57" s="7">
        <v>0</v>
      </c>
      <c r="K57" s="109" t="str">
        <f t="shared" si="0"/>
        <v>4045/4046</v>
      </c>
      <c r="L57" s="22" t="str">
        <f>VLOOKUP(A57,'Trips&amp;Operators'!$C$1:$G$99999,5,FALSE)</f>
        <v>BEAM ROSS</v>
      </c>
      <c r="M57" s="6">
        <f t="shared" si="1"/>
        <v>3.1157407407590654E-2</v>
      </c>
      <c r="N57" s="7">
        <f t="shared" si="39"/>
        <v>44.866666666930541</v>
      </c>
      <c r="O57" s="7"/>
      <c r="P57" s="7"/>
      <c r="Q57" s="23"/>
      <c r="R57" s="23"/>
      <c r="S57" s="35">
        <f t="shared" si="40"/>
        <v>1</v>
      </c>
      <c r="T57" s="50" t="str">
        <f t="shared" si="3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08:57:13-700',mode:absolute,to:'2016-12-17 11:45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7" s="52" t="str">
        <f t="shared" si="5"/>
        <v>N</v>
      </c>
      <c r="X57" s="177">
        <f t="shared" si="55"/>
        <v>1</v>
      </c>
      <c r="Y57" s="67">
        <f t="shared" si="36"/>
        <v>23.3004</v>
      </c>
      <c r="Z57" s="67">
        <f t="shared" si="37"/>
        <v>1.47E-2</v>
      </c>
      <c r="AA57" s="67">
        <f t="shared" si="9"/>
        <v>23.285699999999999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0"/>
        <v>0144-17</v>
      </c>
      <c r="AE57" s="91" t="str">
        <f t="shared" si="11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57" s="88" t="str">
        <f t="shared" si="12"/>
        <v>"C:\Program Files (x86)\AstroGrep\AstroGrep.exe" /spath="%USERPROFILE%\AppData\Local\Temp\OnboardLogs" /stypes="app*4045*20161217*" /stext=" 17:.+((SYSTEM_STATE.+slice.+state.+changed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92" t="str">
        <f t="shared" si="16"/>
        <v>"%USERPROFILE%\Documents\GitHub\eaglep3\Utilities\RefineRTDCRunTimes.py" --tripid 144-17 --locoid 4045 --swversion DE.1.0.8.0 --startMP 204:233004 --initTime 2016-12-17T09:57:13 --startdatetime 2016-12-17T10:00:18 --delay 1 --endMP 204:147 --enddatetime 2016-12-17T10:45:10 --enforcementcount 0 &gt;&gt;C:\Users\stu\Documents\GitHub\eaglep3-reporting\EC\2016-12-17-refined-times.txt</v>
      </c>
      <c r="AI57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{"issue":{"subject":"","project_id":79,"tracker_id":40,"status_id":1,"priority_id":2,"assigned_to_id":23,"start_date":"2016-12-17","description":"","custom_fields":[{"id":1,"name":"Subdivision","value":"EC"},{"id":4,"name":"Milepost","value":"0.0147"},{"id":17,"name":"Train ID","value":"144-17"},{"id":16,"name":"Locomotive ID","value":"4045"},{"id":130,"name":"Impact","value":""},{"id":150,"name":"Time of Event (Mountain Time)","value":"10:45:10"},{"id":151,"name":"Denver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625</v>
      </c>
      <c r="B58" s="7">
        <v>4014</v>
      </c>
      <c r="C58" s="22" t="s">
        <v>205</v>
      </c>
      <c r="D58" s="22" t="s">
        <v>259</v>
      </c>
      <c r="E58" s="13">
        <v>42721.387372685182</v>
      </c>
      <c r="F58" s="13">
        <v>42721.388738425929</v>
      </c>
      <c r="G58" s="7">
        <v>1</v>
      </c>
      <c r="H58" s="22" t="s">
        <v>792</v>
      </c>
      <c r="I58" s="13">
        <v>42721.420694444445</v>
      </c>
      <c r="J58" s="7">
        <v>0</v>
      </c>
      <c r="K58" s="109" t="str">
        <f t="shared" si="0"/>
        <v>4013/4014</v>
      </c>
      <c r="L58" s="22" t="str">
        <f>VLOOKUP(A58,'Trips&amp;Operators'!$C$1:$G$99999,5,FALSE)</f>
        <v>MAELZER KURT</v>
      </c>
      <c r="M58" s="6">
        <f t="shared" si="1"/>
        <v>3.195601851621177E-2</v>
      </c>
      <c r="N58" s="7">
        <f t="shared" si="39"/>
        <v>46.016666663344949</v>
      </c>
      <c r="O58" s="7"/>
      <c r="P58" s="7"/>
      <c r="Q58" s="23"/>
      <c r="R58" s="23"/>
      <c r="S58" s="35">
        <f t="shared" si="40"/>
        <v>1</v>
      </c>
      <c r="T58" s="50" t="str">
        <f t="shared" si="3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08:17:49-700',mode:absolute,to:'2016-12-17 11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8" s="52" t="str">
        <f t="shared" si="5"/>
        <v>N</v>
      </c>
      <c r="X58" s="177">
        <f t="shared" si="55"/>
        <v>1</v>
      </c>
      <c r="Y58" s="67">
        <f t="shared" si="36"/>
        <v>4.53E-2</v>
      </c>
      <c r="Z58" s="67">
        <f t="shared" si="37"/>
        <v>23.309699999999999</v>
      </c>
      <c r="AA58" s="67">
        <f t="shared" si="9"/>
        <v>23.264399999999998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0"/>
        <v>0145-17</v>
      </c>
      <c r="AE58" s="91" t="str">
        <f t="shared" si="11"/>
        <v>aws s3 cp s3://rtdc.mdm.uploadarchive.raw/RTDC4014/ "%USERPROFILE%\AppData\Local\Temp\OnboardLogs"\RTDC4014\2016-12-17 --exclude "*" --recursive --include "*20161217*" &amp; "%USERPROFILE%\Documents\GitHub\mrs-test-scripts\Headless Mode &amp; Sideloading\WalkAndUnGZ.bat" "%USERPROFILE%\AppData\Local\Temp\OnboardLogs"\RTDC4014\2016-12-17 &amp; 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</v>
      </c>
      <c r="AF58" s="88" t="str">
        <f t="shared" si="12"/>
        <v>"C:\Program Files (x86)\AstroGrep\AstroGrep.exe" /spath="%USERPROFILE%\AppData\Local\Temp\OnboardLogs" /stypes="app*4014*20161217*"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92" t="str">
        <f t="shared" si="16"/>
        <v>"%USERPROFILE%\Documents\GitHub\eaglep3\Utilities\RefineRTDCRunTimes.py" --tripid 145-17 --locoid 4014 --swversion DE.1.0.8.0 --startMP 204:453 --initTime 2016-12-17T09:17:49 --startdatetime 2016-12-17T09:19:47 --delay 1 --endMP 204:233097 --enddatetime 2016-12-17T10:05:48 --enforcementcount 0 &gt;&gt;C:\Users\stu\Documents\GitHub\eaglep3-reporting\EC\2016-12-17-refined-times.txt</v>
      </c>
      <c r="AI58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{"issue":{"subject":"","project_id":79,"tracker_id":40,"status_id":1,"priority_id":2,"assigned_to_id":23,"start_date":"2016-12-17","description":"","custom_fields":[{"id":1,"name":"Subdivision","value":"EC"},{"id":4,"name":"Milepost","value":"23.3097"},{"id":17,"name":"Train ID","value":"145-17"},{"id":16,"name":"Locomotive ID","value":"4014"},{"id":130,"name":"Impact","value":""},{"id":150,"name":"Time of Event (Mountain Time)","value":"10:05:48"},{"id":151,"name":"Denver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559</v>
      </c>
      <c r="B59" s="7">
        <v>4013</v>
      </c>
      <c r="C59" s="22" t="s">
        <v>205</v>
      </c>
      <c r="D59" s="22" t="s">
        <v>793</v>
      </c>
      <c r="E59" s="13">
        <v>42721.425023148149</v>
      </c>
      <c r="F59" s="13">
        <v>42721.426319444443</v>
      </c>
      <c r="G59" s="7">
        <v>1</v>
      </c>
      <c r="H59" s="22" t="s">
        <v>224</v>
      </c>
      <c r="I59" s="13">
        <v>42721.462777777779</v>
      </c>
      <c r="J59" s="7">
        <v>0</v>
      </c>
      <c r="K59" s="109" t="str">
        <f t="shared" si="0"/>
        <v>4013/4014</v>
      </c>
      <c r="L59" s="22" t="str">
        <f>VLOOKUP(A59,'Trips&amp;Operators'!$C$1:$G$99999,5,FALSE)</f>
        <v>MAELZER KURT</v>
      </c>
      <c r="M59" s="6">
        <f t="shared" si="1"/>
        <v>3.6458333335758653E-2</v>
      </c>
      <c r="N59" s="7">
        <f t="shared" si="39"/>
        <v>52.50000000349246</v>
      </c>
      <c r="O59" s="7"/>
      <c r="P59" s="7"/>
      <c r="Q59" s="23"/>
      <c r="R59" s="23"/>
      <c r="S59" s="35">
        <f t="shared" si="40"/>
        <v>1</v>
      </c>
      <c r="T59" s="50" t="str">
        <f t="shared" si="3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09:12:02-700',mode:absolute,to:'2016-12-17 12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9" s="52" t="str">
        <f t="shared" si="5"/>
        <v>N</v>
      </c>
      <c r="X59" s="177">
        <f t="shared" si="55"/>
        <v>1</v>
      </c>
      <c r="Y59" s="67">
        <f t="shared" si="36"/>
        <v>23.277899999999999</v>
      </c>
      <c r="Z59" s="67">
        <f t="shared" si="37"/>
        <v>1.41E-2</v>
      </c>
      <c r="AA59" s="67">
        <f t="shared" si="9"/>
        <v>23.2638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0"/>
        <v>0146-17</v>
      </c>
      <c r="AE59" s="91" t="str">
        <f t="shared" si="11"/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AF59" s="88" t="str">
        <f t="shared" si="12"/>
        <v>"C:\Program Files (x86)\AstroGrep\AstroGrep.exe" /spath="%USERPROFILE%\AppData\Local\Temp\OnboardLogs" /stypes="app*4013*20161217*" /stext=" 18:.+((SYSTEM_STATE.+slice.+state.+changed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92" t="str">
        <f t="shared" si="16"/>
        <v>"%USERPROFILE%\Documents\GitHub\eaglep3\Utilities\RefineRTDCRunTimes.py" --tripid 146-17 --locoid 4013 --swversion DE.1.0.8.0 --startMP 204:232779 --initTime 2016-12-17T10:12:02 --startdatetime 2016-12-17T10:13:54 --delay 1 --endMP 204:141 --enddatetime 2016-12-17T11:06:24 --enforcementcount 0 &gt;&gt;C:\Users\stu\Documents\GitHub\eaglep3-reporting\EC\2016-12-17-refined-times.txt</v>
      </c>
      <c r="AI59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{"issue":{"subject":"","project_id":79,"tracker_id":40,"status_id":1,"priority_id":2,"assigned_to_id":23,"start_date":"2016-12-17","description":"","custom_fields":[{"id":1,"name":"Subdivision","value":"EC"},{"id":4,"name":"Milepost","value":"0.0141"},{"id":17,"name":"Train ID","value":"146-17"},{"id":16,"name":"Locomotive ID","value":"4013"},{"id":130,"name":"Impact","value":""},{"id":150,"name":"Time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626</v>
      </c>
      <c r="B60" s="7">
        <v>4029</v>
      </c>
      <c r="C60" s="22" t="s">
        <v>205</v>
      </c>
      <c r="D60" s="22" t="s">
        <v>261</v>
      </c>
      <c r="E60" s="13">
        <v>42721.395266203705</v>
      </c>
      <c r="F60" s="13">
        <v>42721.396863425929</v>
      </c>
      <c r="G60" s="7">
        <v>1</v>
      </c>
      <c r="H60" s="22" t="s">
        <v>794</v>
      </c>
      <c r="I60" s="13">
        <v>42721.423310185186</v>
      </c>
      <c r="J60" s="7">
        <v>0</v>
      </c>
      <c r="K60" s="109" t="str">
        <f t="shared" si="0"/>
        <v>4029/4030</v>
      </c>
      <c r="L60" s="22" t="str">
        <f>VLOOKUP(A60,'Trips&amp;Operators'!$C$1:$G$99999,5,FALSE)</f>
        <v>STRICKLAND EVAN</v>
      </c>
      <c r="M60" s="6">
        <f t="shared" si="1"/>
        <v>2.6446759256941732E-2</v>
      </c>
      <c r="N60" s="7">
        <f t="shared" si="39"/>
        <v>38.083333329996094</v>
      </c>
      <c r="O60" s="7"/>
      <c r="P60" s="7"/>
      <c r="Q60" s="23"/>
      <c r="R60" s="23"/>
      <c r="S60" s="35">
        <f t="shared" si="40"/>
        <v>1</v>
      </c>
      <c r="T60" s="50" t="str">
        <f t="shared" si="3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08:29:11-700',mode:absolute,to:'2016-12-17 11:09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0" s="52" t="str">
        <f t="shared" si="5"/>
        <v>N</v>
      </c>
      <c r="X60" s="177">
        <f t="shared" si="55"/>
        <v>1</v>
      </c>
      <c r="Y60" s="67">
        <f t="shared" si="36"/>
        <v>4.6399999999999997E-2</v>
      </c>
      <c r="Z60" s="67">
        <f t="shared" si="37"/>
        <v>23.3355</v>
      </c>
      <c r="AA60" s="67">
        <f t="shared" si="9"/>
        <v>23.289100000000001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0"/>
        <v>0147-17</v>
      </c>
      <c r="AE60" s="91" t="str">
        <f t="shared" si="11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60" s="88" t="str">
        <f t="shared" si="12"/>
        <v>"C:\Program Files (x86)\AstroGrep\AstroGrep.exe" /spath="%USERPROFILE%\AppData\Local\Temp\OnboardLogs" /stypes="app*4029*20161217*"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92" t="str">
        <f t="shared" si="16"/>
        <v>"%USERPROFILE%\Documents\GitHub\eaglep3\Utilities\RefineRTDCRunTimes.py" --tripid 147-17 --locoid 4029 --swversion DE.1.0.8.0 --startMP 204:464 --initTime 2016-12-17T09:29:11 --startdatetime 2016-12-17T09:31:29 --delay 1 --endMP 204:233355 --enddatetime 2016-12-17T10:09:34 --enforcementcount 0 &gt;&gt;C:\Users\stu\Documents\GitHub\eaglep3-reporting\EC\2016-12-17-refined-times.txt</v>
      </c>
      <c r="AI60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{"issue":{"subject":"","project_id":79,"tracker_id":40,"status_id":1,"priority_id":2,"assigned_to_id":23,"start_date":"2016-12-17","description":"","custom_fields":[{"id":1,"name":"Subdivision","value":"EC"},{"id":4,"name":"Milepost","value":"23.3355"},{"id":17,"name":"Train ID","value":"147-17"},{"id":16,"name":"Locomotive ID","value":"4029"},{"id":130,"name":"Impact","value":""},{"id":150,"name":"Time of Event (Mountain Time)","value":"10:09:34"},{"id":151,"name":"Denver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638</v>
      </c>
      <c r="B61" s="7">
        <v>4030</v>
      </c>
      <c r="C61" s="22" t="s">
        <v>205</v>
      </c>
      <c r="D61" s="22" t="s">
        <v>332</v>
      </c>
      <c r="E61" s="13">
        <v>42721.429282407407</v>
      </c>
      <c r="F61" s="13">
        <v>42721.435150462959</v>
      </c>
      <c r="G61" s="7">
        <v>1</v>
      </c>
      <c r="H61" s="22" t="s">
        <v>310</v>
      </c>
      <c r="I61" s="13">
        <v>42721.468761574077</v>
      </c>
      <c r="J61" s="7">
        <v>0</v>
      </c>
      <c r="K61" s="109" t="str">
        <f t="shared" si="0"/>
        <v>4029/4030</v>
      </c>
      <c r="L61" s="22" t="str">
        <f>VLOOKUP(A61,'Trips&amp;Operators'!$C$1:$G$99999,5,FALSE)</f>
        <v>STRICKLAND EVAN</v>
      </c>
      <c r="M61" s="6">
        <f t="shared" si="1"/>
        <v>3.3611111117352266E-2</v>
      </c>
      <c r="N61" s="7">
        <f t="shared" si="39"/>
        <v>48.400000008987263</v>
      </c>
      <c r="O61" s="7"/>
      <c r="P61" s="7"/>
      <c r="Q61" s="23"/>
      <c r="R61" s="23"/>
      <c r="S61" s="35">
        <f t="shared" si="40"/>
        <v>1</v>
      </c>
      <c r="T61" s="50" t="str">
        <f t="shared" si="3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09:18:10-700',mode:absolute,to:'2016-12-17 12:15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1" s="52" t="str">
        <f t="shared" si="5"/>
        <v>N</v>
      </c>
      <c r="X61" s="177">
        <f t="shared" si="55"/>
        <v>1</v>
      </c>
      <c r="Y61" s="67">
        <f t="shared" si="36"/>
        <v>23.300799999999999</v>
      </c>
      <c r="Z61" s="67">
        <f t="shared" si="37"/>
        <v>1.3599999999999999E-2</v>
      </c>
      <c r="AA61" s="67">
        <f t="shared" si="9"/>
        <v>23.287199999999999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0"/>
        <v>0148-17</v>
      </c>
      <c r="AE61" s="91" t="str">
        <f t="shared" si="11"/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AF61" s="88" t="str">
        <f t="shared" si="12"/>
        <v>"C:\Program Files (x86)\AstroGrep\AstroGrep.exe" /spath="%USERPROFILE%\AppData\Local\Temp\OnboardLogs" /stypes="app*4030*20161217*"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92" t="str">
        <f t="shared" si="16"/>
        <v>"%USERPROFILE%\Documents\GitHub\eaglep3\Utilities\RefineRTDCRunTimes.py" --tripid 148-17 --locoid 4030 --swversion DE.1.0.8.0 --startMP 204:233008 --initTime 2016-12-17T10:18:10 --startdatetime 2016-12-17T10:26:37 --delay 1 --endMP 204:136 --enddatetime 2016-12-17T11:15:01 --enforcementcount 0 &gt;&gt;C:\Users\stu\Documents\GitHub\eaglep3-reporting\EC\2016-12-17-refined-times.txt</v>
      </c>
      <c r="AI61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{"issue":{"subject":"","project_id":79,"tracker_id":40,"status_id":1,"priority_id":2,"assigned_to_id":23,"start_date":"2016-12-17","description":"","custom_fields":[{"id":1,"name":"Subdivision","value":"EC"},{"id":4,"name":"Milepost","value":"0.0136"},{"id":17,"name":"Train ID","value":"148-17"},{"id":16,"name":"Locomotive ID","value":"4030"},{"id":130,"name":"Impact","value":""},{"id":150,"name":"Time of Event (Mountain Time)","value":"11:15:01"},{"id":151,"name":"Denver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630</v>
      </c>
      <c r="B62" s="7">
        <v>4016</v>
      </c>
      <c r="C62" s="22" t="s">
        <v>205</v>
      </c>
      <c r="D62" s="22" t="s">
        <v>228</v>
      </c>
      <c r="E62" s="13">
        <v>42721.406111111108</v>
      </c>
      <c r="F62" s="13">
        <v>42721.40834490741</v>
      </c>
      <c r="G62" s="7">
        <v>1</v>
      </c>
      <c r="H62" s="22" t="s">
        <v>795</v>
      </c>
      <c r="I62" s="13">
        <v>42721.436238425929</v>
      </c>
      <c r="J62" s="7">
        <v>0</v>
      </c>
      <c r="K62" s="109" t="str">
        <f t="shared" si="0"/>
        <v>4015/4016</v>
      </c>
      <c r="L62" s="22" t="str">
        <f>VLOOKUP(A62,'Trips&amp;Operators'!$C$1:$G$99999,5,FALSE)</f>
        <v>ACKERMAN JARED</v>
      </c>
      <c r="M62" s="6">
        <f t="shared" si="1"/>
        <v>2.789351851970423E-2</v>
      </c>
      <c r="N62" s="7">
        <f t="shared" si="39"/>
        <v>40.166666668374091</v>
      </c>
      <c r="O62" s="7"/>
      <c r="P62" s="7"/>
      <c r="Q62" s="23"/>
      <c r="R62" s="23"/>
      <c r="S62" s="35">
        <f t="shared" si="40"/>
        <v>1</v>
      </c>
      <c r="T62" s="50" t="str">
        <f t="shared" si="3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08:44:48-700',mode:absolute,to:'2016-12-17 11:28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2" s="52" t="str">
        <f t="shared" si="5"/>
        <v>N</v>
      </c>
      <c r="X62" s="177">
        <f t="shared" si="55"/>
        <v>1</v>
      </c>
      <c r="Y62" s="67">
        <f t="shared" si="36"/>
        <v>4.5499999999999999E-2</v>
      </c>
      <c r="Z62" s="67">
        <f t="shared" si="37"/>
        <v>23.312200000000001</v>
      </c>
      <c r="AA62" s="67">
        <f t="shared" si="9"/>
        <v>23.2667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0"/>
        <v>0149-17</v>
      </c>
      <c r="AE62" s="91" t="str">
        <f t="shared" si="11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62" s="88" t="str">
        <f t="shared" si="12"/>
        <v>"C:\Program Files (x86)\AstroGrep\AstroGrep.exe" /spath="%USERPROFILE%\AppData\Local\Temp\OnboardLogs" /stypes="app*4016*20161217*"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92" t="str">
        <f t="shared" si="16"/>
        <v>"%USERPROFILE%\Documents\GitHub\eaglep3\Utilities\RefineRTDCRunTimes.py" --tripid 149-17 --locoid 4016 --swversion DE.1.0.8.0 --startMP 204:455 --initTime 2016-12-17T09:44:48 --startdatetime 2016-12-17T09:48:01 --delay 1 --endMP 204:233122 --enddatetime 2016-12-17T10:28:11 --enforcementcount 0 &gt;&gt;C:\Users\stu\Documents\GitHub\eaglep3-reporting\EC\2016-12-17-refined-times.txt</v>
      </c>
      <c r="AI62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{"issue":{"subject":"","project_id":79,"tracker_id":40,"status_id":1,"priority_id":2,"assigned_to_id":23,"start_date":"2016-12-17","description":"","custom_fields":[{"id":1,"name":"Subdivision","value":"EC"},{"id":4,"name":"Milepost","value":"23.3122"},{"id":17,"name":"Train ID","value":"149-17"},{"id":16,"name":"Locomotive ID","value":"4016"},{"id":130,"name":"Impact","value":""},{"id":150,"name":"Time of Event (Mountain Time)","value":"10:28:11"},{"id":151,"name":"Denver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644</v>
      </c>
      <c r="B63" s="7">
        <v>4015</v>
      </c>
      <c r="C63" s="22" t="s">
        <v>205</v>
      </c>
      <c r="D63" s="22" t="s">
        <v>796</v>
      </c>
      <c r="E63" s="13">
        <v>42721.440034722225</v>
      </c>
      <c r="F63" s="13">
        <v>42721.445960648147</v>
      </c>
      <c r="G63" s="7">
        <v>1</v>
      </c>
      <c r="H63" s="22" t="s">
        <v>492</v>
      </c>
      <c r="I63" s="13">
        <v>42721.47865740741</v>
      </c>
      <c r="J63" s="7">
        <v>0</v>
      </c>
      <c r="K63" s="109" t="str">
        <f t="shared" si="0"/>
        <v>4015/4016</v>
      </c>
      <c r="L63" s="22" t="str">
        <f>VLOOKUP(A63,'Trips&amp;Operators'!$C$1:$G$99999,5,FALSE)</f>
        <v>ACKERMAN JARED</v>
      </c>
      <c r="M63" s="6">
        <f t="shared" si="1"/>
        <v>3.2696759262762498E-2</v>
      </c>
      <c r="N63" s="7">
        <f t="shared" si="39"/>
        <v>47.083333338377997</v>
      </c>
      <c r="O63" s="7"/>
      <c r="P63" s="7"/>
      <c r="Q63" s="23"/>
      <c r="R63" s="23"/>
      <c r="S63" s="35">
        <f t="shared" si="40"/>
        <v>1</v>
      </c>
      <c r="T63" s="50" t="str">
        <f t="shared" si="3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09:33:39-700',mode:absolute,to:'2016-12-17 12:29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3" s="52" t="str">
        <f t="shared" si="5"/>
        <v>N</v>
      </c>
      <c r="X63" s="177">
        <f t="shared" si="55"/>
        <v>1</v>
      </c>
      <c r="Y63" s="67">
        <f t="shared" si="36"/>
        <v>23.279599999999999</v>
      </c>
      <c r="Z63" s="67">
        <f t="shared" si="37"/>
        <v>1.21E-2</v>
      </c>
      <c r="AA63" s="67">
        <f t="shared" si="9"/>
        <v>23.267499999999998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0"/>
        <v>0150-17</v>
      </c>
      <c r="AE63" s="91" t="str">
        <f t="shared" si="11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63" s="88" t="str">
        <f t="shared" si="12"/>
        <v>"C:\Program Files (x86)\AstroGrep\AstroGrep.exe" /spath="%USERPROFILE%\AppData\Local\Temp\OnboardLogs" /stypes="app*4015*20161217*" /stext=" 18:.+((SYSTEM_STATE.+slice.+state.+changed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92" t="str">
        <f t="shared" si="16"/>
        <v>"%USERPROFILE%\Documents\GitHub\eaglep3\Utilities\RefineRTDCRunTimes.py" --tripid 150-17 --locoid 4015 --swversion DE.1.0.8.0 --startMP 204:232796 --initTime 2016-12-17T10:33:39 --startdatetime 2016-12-17T10:42:11 --delay 1 --endMP 204:121 --enddatetime 2016-12-17T11:29:16 --enforcementcount 0 &gt;&gt;C:\Users\stu\Documents\GitHub\eaglep3-reporting\EC\2016-12-17-refined-times.txt</v>
      </c>
      <c r="AI63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{"issue":{"subject":"","project_id":79,"tracker_id":40,"status_id":1,"priority_id":2,"assigned_to_id":23,"start_date":"2016-12-17","description":"","custom_fields":[{"id":1,"name":"Subdivision","value":"EC"},{"id":4,"name":"Milepost","value":"0.0121"},{"id":17,"name":"Train ID","value":"150-17"},{"id":16,"name":"Locomotive ID","value":"4015"},{"id":130,"name":"Impact","value":""},{"id":150,"name":"Time of Event (Mountain Time)","value":"11:29:16"},{"id":151,"name":"Denver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631</v>
      </c>
      <c r="B64" s="7">
        <v>4020</v>
      </c>
      <c r="C64" s="22" t="s">
        <v>205</v>
      </c>
      <c r="D64" s="22" t="s">
        <v>309</v>
      </c>
      <c r="E64" s="13">
        <v>42721.413946759261</v>
      </c>
      <c r="F64" s="13">
        <v>42721.416886574072</v>
      </c>
      <c r="G64" s="7">
        <v>1</v>
      </c>
      <c r="H64" s="22" t="s">
        <v>338</v>
      </c>
      <c r="I64" s="13">
        <v>42721.445752314816</v>
      </c>
      <c r="J64" s="7">
        <v>0</v>
      </c>
      <c r="K64" s="109" t="str">
        <f t="shared" si="0"/>
        <v>4019/4020</v>
      </c>
      <c r="L64" s="22" t="str">
        <f>VLOOKUP(A64,'Trips&amp;Operators'!$C$1:$G$99999,5,FALSE)</f>
        <v>DAVIS WENDY</v>
      </c>
      <c r="M64" s="6">
        <f t="shared" si="1"/>
        <v>2.8865740743640345E-2</v>
      </c>
      <c r="N64" s="7">
        <f t="shared" si="39"/>
        <v>41.566666670842096</v>
      </c>
      <c r="O64" s="7"/>
      <c r="P64" s="7"/>
      <c r="Q64" s="23"/>
      <c r="R64" s="23"/>
      <c r="S64" s="35">
        <f t="shared" si="40"/>
        <v>1</v>
      </c>
      <c r="T64" s="50" t="str">
        <f t="shared" si="3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08:56:05-700',mode:absolute,to:'2016-12-17 11:41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4" s="52" t="str">
        <f t="shared" si="5"/>
        <v>N</v>
      </c>
      <c r="X64" s="177">
        <f t="shared" si="55"/>
        <v>1</v>
      </c>
      <c r="Y64" s="67">
        <f t="shared" si="36"/>
        <v>4.7699999999999999E-2</v>
      </c>
      <c r="Z64" s="67">
        <f t="shared" si="37"/>
        <v>23.3291</v>
      </c>
      <c r="AA64" s="67">
        <f t="shared" si="9"/>
        <v>23.281400000000001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0"/>
        <v>0151-17</v>
      </c>
      <c r="AE64" s="91" t="str">
        <f t="shared" si="11"/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64" s="88" t="str">
        <f t="shared" si="12"/>
        <v>"C:\Program Files (x86)\AstroGrep\AstroGrep.exe" /spath="%USERPROFILE%\AppData\Local\Temp\OnboardLogs" /stypes="app*4020*20161217*" /stext=" 17:.+((SYSTEM_STATE.+slice.+state.+changed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92" t="str">
        <f t="shared" si="16"/>
        <v>"%USERPROFILE%\Documents\GitHub\eaglep3\Utilities\RefineRTDCRunTimes.py" --tripid 151-17 --locoid 4020 --swversion DE.1.0.8.0 --startMP 204:477 --initTime 2016-12-17T09:56:05 --startdatetime 2016-12-17T10:00:19 --delay 1 --endMP 204:233291 --enddatetime 2016-12-17T10:41:53 --enforcementcount 0 &gt;&gt;C:\Users\stu\Documents\GitHub\eaglep3-reporting\EC\2016-12-17-refined-times.txt</v>
      </c>
      <c r="AI64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{"issue":{"subject":"","project_id":79,"tracker_id":40,"status_id":1,"priority_id":2,"assigned_to_id":23,"start_date":"2016-12-17","description":"","custom_fields":[{"id":1,"name":"Subdivision","value":"EC"},{"id":4,"name":"Milepost","value":"23.3291"},{"id":17,"name":"Train ID","value":"151-17"},{"id":16,"name":"Locomotive ID","value":"4020"},{"id":130,"name":"Impact","value":""},{"id":150,"name":"Time of Event (Mountain Time)","value":"10:41:53"},{"id":151,"name":"Denver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646</v>
      </c>
      <c r="B65" s="7">
        <v>4019</v>
      </c>
      <c r="C65" s="22" t="s">
        <v>205</v>
      </c>
      <c r="D65" s="22" t="s">
        <v>276</v>
      </c>
      <c r="E65" s="13">
        <v>42721.449849537035</v>
      </c>
      <c r="F65" s="13">
        <v>42721.455775462964</v>
      </c>
      <c r="G65" s="7">
        <v>4</v>
      </c>
      <c r="H65" s="22" t="s">
        <v>342</v>
      </c>
      <c r="I65" s="13">
        <v>42721.487500000003</v>
      </c>
      <c r="J65" s="7">
        <v>0</v>
      </c>
      <c r="K65" s="109" t="str">
        <f t="shared" si="0"/>
        <v>4019/4020</v>
      </c>
      <c r="L65" s="22" t="str">
        <f>VLOOKUP(A65,'Trips&amp;Operators'!$C$1:$G$99999,5,FALSE)</f>
        <v>DAVIS WENDY</v>
      </c>
      <c r="M65" s="6">
        <f t="shared" si="1"/>
        <v>3.1724537038826384E-2</v>
      </c>
      <c r="N65" s="7">
        <f t="shared" si="39"/>
        <v>45.683333335909992</v>
      </c>
      <c r="O65" s="7"/>
      <c r="P65" s="7"/>
      <c r="Q65" s="23"/>
      <c r="R65" s="23"/>
      <c r="S65" s="35">
        <f t="shared" si="40"/>
        <v>1</v>
      </c>
      <c r="T65" s="50" t="str">
        <f t="shared" si="3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09:47:47-700',mode:absolute,to:'2016-12-17 12:42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5" s="52" t="str">
        <f t="shared" si="5"/>
        <v>N</v>
      </c>
      <c r="X65" s="177">
        <f t="shared" si="55"/>
        <v>1</v>
      </c>
      <c r="Y65" s="67">
        <f t="shared" ref="Y65:Y96" si="56">RIGHT(D65,LEN(D65)-4)/10000</f>
        <v>23.297699999999999</v>
      </c>
      <c r="Z65" s="67">
        <f t="shared" ref="Z65:Z96" si="57">RIGHT(H65,LEN(H65)-4)/10000</f>
        <v>1.34E-2</v>
      </c>
      <c r="AA65" s="67">
        <f t="shared" si="9"/>
        <v>23.284299999999998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0"/>
        <v>0152-17</v>
      </c>
      <c r="AE65" s="91" t="str">
        <f t="shared" si="11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65" s="88" t="str">
        <f t="shared" si="12"/>
        <v>"C:\Program Files (x86)\AstroGrep\AstroGrep.exe" /spath="%USERPROFILE%\AppData\Local\Temp\OnboardLogs" /stypes="app*4019*20161217*" /stext=" 18:.+((SYSTEM_STATE.+slice.+state.+changed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92" t="str">
        <f t="shared" si="16"/>
        <v>"%USERPROFILE%\Documents\GitHub\eaglep3\Utilities\RefineRTDCRunTimes.py" --tripid 152-17 --locoid 4019 --swversion DE.1.0.8.0 --startMP 204:232977 --initTime 2016-12-17T10:47:47 --startdatetime 2016-12-17T10:56:19 --delay 4 --endMP 204:134 --enddatetime 2016-12-17T11:42:00 --enforcementcount 0 &gt;&gt;C:\Users\stu\Documents\GitHub\eaglep3-reporting\EC\2016-12-17-refined-times.txt</v>
      </c>
      <c r="AI65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{"issue":{"subject":"","project_id":79,"tracker_id":40,"status_id":1,"priority_id":2,"assigned_to_id":23,"start_date":"2016-12-17","description":"","custom_fields":[{"id":1,"name":"Subdivision","value":"EC"},{"id":4,"name":"Milepost","value":"0.0134"},{"id":17,"name":"Train ID","value":"152-17"},{"id":16,"name":"Locomotive ID","value":"4019"},{"id":130,"name":"Impact","value":""},{"id":150,"name":"Time of Event (Mountain Time)","value":"11:42:00"},{"id":151,"name":"Denver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639</v>
      </c>
      <c r="B66" s="7">
        <v>4018</v>
      </c>
      <c r="C66" s="22" t="s">
        <v>205</v>
      </c>
      <c r="D66" s="22" t="s">
        <v>797</v>
      </c>
      <c r="E66" s="13">
        <v>42721.430532407408</v>
      </c>
      <c r="F66" s="13">
        <v>42721.43236111111</v>
      </c>
      <c r="G66" s="7">
        <v>1</v>
      </c>
      <c r="H66" s="22" t="s">
        <v>798</v>
      </c>
      <c r="I66" s="13">
        <v>42721.478333333333</v>
      </c>
      <c r="J66" s="7">
        <v>0</v>
      </c>
      <c r="K66" s="109" t="str">
        <f t="shared" si="0"/>
        <v>4017/4018</v>
      </c>
      <c r="L66" s="22" t="str">
        <f>VLOOKUP(A66,'Trips&amp;Operators'!$C$1:$G$99999,5,FALSE)</f>
        <v>KILLION DAVID</v>
      </c>
      <c r="M66" s="6">
        <f t="shared" si="1"/>
        <v>4.5972222222189885E-2</v>
      </c>
      <c r="N66" s="7">
        <f t="shared" si="39"/>
        <v>66.199999999953434</v>
      </c>
      <c r="O66" s="7"/>
      <c r="P66" s="7"/>
      <c r="Q66" s="23"/>
      <c r="R66" s="23"/>
      <c r="S66" s="35">
        <f t="shared" si="40"/>
        <v>1</v>
      </c>
      <c r="T66" s="50" t="str">
        <f t="shared" si="3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09:19:58-700',mode:absolute,to:'2016-12-17 12:28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6" s="52" t="str">
        <f t="shared" si="5"/>
        <v>N</v>
      </c>
      <c r="X66" s="177">
        <f t="shared" si="55"/>
        <v>1</v>
      </c>
      <c r="Y66" s="67">
        <f t="shared" si="56"/>
        <v>4.3299999999999998E-2</v>
      </c>
      <c r="Z66" s="67">
        <f t="shared" si="57"/>
        <v>23.320399999999999</v>
      </c>
      <c r="AA66" s="67">
        <f t="shared" si="9"/>
        <v>23.277100000000001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0"/>
        <v>0153-17</v>
      </c>
      <c r="AE66" s="91" t="str">
        <f t="shared" si="11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66" s="88" t="str">
        <f t="shared" si="12"/>
        <v>"C:\Program Files (x86)\AstroGrep\AstroGrep.exe" /spath="%USERPROFILE%\AppData\Local\Temp\OnboardLogs" /stypes="app*4018*20161217*"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92" t="str">
        <f t="shared" si="16"/>
        <v>"%USERPROFILE%\Documents\GitHub\eaglep3\Utilities\RefineRTDCRunTimes.py" --tripid 153-17 --locoid 4018 --swversion DE.1.0.8.0 --startMP 204:433 --initTime 2016-12-17T10:19:58 --startdatetime 2016-12-17T10:22:36 --delay 1 --endMP 204:233204 --enddatetime 2016-12-17T11:28:48 --enforcementcount 0 &gt;&gt;C:\Users\stu\Documents\GitHub\eaglep3-reporting\EC\2016-12-17-refined-times.txt</v>
      </c>
      <c r="AI66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{"issue":{"subject":"","project_id":79,"tracker_id":40,"status_id":1,"priority_id":2,"assigned_to_id":23,"start_date":"2016-12-17","description":"","custom_fields":[{"id":1,"name":"Subdivision","value":"EC"},{"id":4,"name":"Milepost","value":"23.3204"},{"id":17,"name":"Train ID","value":"153-17"},{"id":16,"name":"Locomotive ID","value":"4018"},{"id":130,"name":"Impact","value":""},{"id":150,"name":"Time of Event (Mountain Time)","value":"11:28:48"},{"id":151,"name":"Denver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561</v>
      </c>
      <c r="B67" s="7">
        <v>4017</v>
      </c>
      <c r="C67" s="22" t="s">
        <v>205</v>
      </c>
      <c r="D67" s="22" t="s">
        <v>799</v>
      </c>
      <c r="E67" s="13">
        <v>42721.481041666666</v>
      </c>
      <c r="F67" s="13">
        <v>42721.484849537039</v>
      </c>
      <c r="G67" s="7">
        <v>0</v>
      </c>
      <c r="H67" s="22" t="s">
        <v>800</v>
      </c>
      <c r="I67" s="13">
        <v>42721.5153587963</v>
      </c>
      <c r="J67" s="7">
        <v>0</v>
      </c>
      <c r="K67" s="109" t="str">
        <f t="shared" si="0"/>
        <v>4017/4018</v>
      </c>
      <c r="L67" s="22" t="str">
        <f>VLOOKUP(A67,'Trips&amp;Operators'!$C$1:$G$99999,5,FALSE)</f>
        <v>KILLION DAVID</v>
      </c>
      <c r="M67" s="6">
        <f t="shared" si="1"/>
        <v>3.050925926072523E-2</v>
      </c>
      <c r="N67" s="7">
        <f t="shared" si="39"/>
        <v>43.933333335444331</v>
      </c>
      <c r="O67" s="7"/>
      <c r="P67" s="7"/>
      <c r="Q67" s="23"/>
      <c r="R67" s="23"/>
      <c r="S67" s="35">
        <f t="shared" si="40"/>
        <v>1</v>
      </c>
      <c r="T67" s="50" t="str">
        <f t="shared" si="3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10:32:42-700',mode:absolute,to:'2016-12-17 13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7" s="52" t="str">
        <f t="shared" si="5"/>
        <v>N</v>
      </c>
      <c r="X67" s="177">
        <f t="shared" si="55"/>
        <v>1</v>
      </c>
      <c r="Y67" s="67">
        <f t="shared" si="56"/>
        <v>23.288499999999999</v>
      </c>
      <c r="Z67" s="67">
        <f t="shared" si="57"/>
        <v>0.1056</v>
      </c>
      <c r="AA67" s="67">
        <f t="shared" si="9"/>
        <v>23.1829</v>
      </c>
      <c r="AB67" s="64" t="str">
        <f>VLOOKUP(A67,Enforcements!$C$7:$K$19,8,0)</f>
        <v>Speed (6)</v>
      </c>
      <c r="AC67" s="60" t="str">
        <f>VLOOKUP(A67,Enforcements!$C$7:$E$19,3,0)</f>
        <v>PERMANENT SPEED RESTRICTION</v>
      </c>
      <c r="AD67" s="61" t="str">
        <f t="shared" si="10"/>
        <v>0154-17</v>
      </c>
      <c r="AE67" s="91" t="str">
        <f t="shared" si="11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67" s="88" t="str">
        <f t="shared" si="12"/>
        <v>"C:\Program Files (x86)\AstroGrep\AstroGrep.exe" /spath="%USERPROFILE%\AppData\Local\Temp\OnboardLogs" /stypes="app*4017*20161217*" /stext=" 19:.+((SYSTEM_STATE.+slice.+state.+changed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92" t="str">
        <f t="shared" si="16"/>
        <v>"%USERPROFILE%\Documents\GitHub\eaglep3\Utilities\RefineRTDCRunTimes.py" --tripid 154-17 --locoid 4017 --swversion DE.1.0.8.0 --startMP 204:232885 --initTime 2016-12-17T11:32:42 --startdatetime 2016-12-17T11:38:11 --delay 0 --endMP 204:1056 --enddatetime 2016-12-17T12:22:07 --enforcementcount 0 &gt;&gt;C:\Users\stu\Documents\GitHub\eaglep3-reporting\EC\2016-12-17-refined-times.txt</v>
      </c>
      <c r="AI67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{"issue":{"subject":"","project_id":79,"tracker_id":40,"status_id":1,"priority_id":2,"assigned_to_id":23,"start_date":"2016-12-17","description":"","custom_fields":[{"id":1,"name":"Subdivision","value":"EC"},{"id":4,"name":"Milepost","value":"0.1056"},{"id":17,"name":"Train ID","value":"154-17"},{"id":16,"name":"Locomotive ID","value":"4017"},{"id":130,"name":"Impact","value":""},{"id":150,"name":"Time of Event (Mountain Time)","value":"12:22:07"},{"id":151,"name":"Denver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643</v>
      </c>
      <c r="B68" s="7">
        <v>4044</v>
      </c>
      <c r="C68" s="22" t="s">
        <v>205</v>
      </c>
      <c r="D68" s="22" t="s">
        <v>801</v>
      </c>
      <c r="E68" s="13">
        <v>42721.436840277776</v>
      </c>
      <c r="F68" s="13">
        <v>42721.438703703701</v>
      </c>
      <c r="G68" s="7">
        <v>1</v>
      </c>
      <c r="H68" s="22" t="s">
        <v>802</v>
      </c>
      <c r="I68" s="13">
        <v>42721.485844907409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SMITH MICHAEL</v>
      </c>
      <c r="M68" s="6">
        <f t="shared" si="1"/>
        <v>4.7141203707724344E-2</v>
      </c>
      <c r="N68" s="7">
        <f t="shared" si="39"/>
        <v>67.883333339123055</v>
      </c>
      <c r="O68" s="7"/>
      <c r="P68" s="7"/>
      <c r="Q68" s="23"/>
      <c r="R68" s="23"/>
      <c r="S68" s="35">
        <f t="shared" si="40"/>
        <v>1</v>
      </c>
      <c r="T68" s="50" t="str">
        <f t="shared" si="3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09:29:03-700',mode:absolute,to:'2016-12-17 12:39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52" t="str">
        <f t="shared" si="5"/>
        <v>N</v>
      </c>
      <c r="X68" s="177">
        <f t="shared" si="55"/>
        <v>1</v>
      </c>
      <c r="Y68" s="67">
        <f t="shared" si="56"/>
        <v>4.2700000000000002E-2</v>
      </c>
      <c r="Z68" s="67">
        <f t="shared" si="57"/>
        <v>23.3111</v>
      </c>
      <c r="AA68" s="67">
        <f t="shared" si="9"/>
        <v>23.2684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0"/>
        <v>0155-17</v>
      </c>
      <c r="AE68" s="91" t="str">
        <f t="shared" si="11"/>
        <v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v>
      </c>
      <c r="AF68" s="88" t="str">
        <f t="shared" si="12"/>
        <v>"C:\Program Files (x86)\AstroGrep\AstroGrep.exe" /spath="%USERPROFILE%\AppData\Local\Temp\OnboardLogs" /stypes="app*4044*20161217*" /stext=" 18:.+((SYSTEM_STATE.+slice.+state.+changed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92" t="str">
        <f t="shared" si="16"/>
        <v>"%USERPROFILE%\Documents\GitHub\eaglep3\Utilities\RefineRTDCRunTimes.py" --tripid 155-17 --locoid 4044 --swversion DE.1.0.8.0 --startMP 204:427 --initTime 2016-12-17T10:29:03 --startdatetime 2016-12-17T10:31:44 --delay 1 --endMP 204:233111 --enddatetime 2016-12-17T11:39:37 --enforcementcount 0 &gt;&gt;C:\Users\stu\Documents\GitHub\eaglep3-reporting\EC\2016-12-17-refined-times.txt</v>
      </c>
      <c r="AI68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{"issue":{"subject":"","project_id":79,"tracker_id":40,"status_id":1,"priority_id":2,"assigned_to_id":23,"start_date":"2016-12-17","description":"","custom_fields":[{"id":1,"name":"Subdivision","value":"EC"},{"id":4,"name":"Milepost","value":"23.3111"},{"id":17,"name":"Train ID","value":"155-17"},{"id":16,"name":"Locomotive ID","value":"4044"},{"id":130,"name":"Impact","value":""},{"id":150,"name":"Time of Event (Mountain Time)","value":"11:39:37"},{"id":151,"name":"Denver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652</v>
      </c>
      <c r="B69" s="7">
        <v>4043</v>
      </c>
      <c r="C69" s="22" t="s">
        <v>205</v>
      </c>
      <c r="D69" s="22" t="s">
        <v>803</v>
      </c>
      <c r="E69" s="13">
        <v>42721.488449074073</v>
      </c>
      <c r="F69" s="13">
        <v>42721.491122685184</v>
      </c>
      <c r="G69" s="7">
        <v>2</v>
      </c>
      <c r="H69" s="22" t="s">
        <v>804</v>
      </c>
      <c r="I69" s="13">
        <v>42721.522951388892</v>
      </c>
      <c r="J69" s="7">
        <v>0</v>
      </c>
      <c r="K69" s="109" t="str">
        <f t="shared" si="0"/>
        <v>4043/4044</v>
      </c>
      <c r="L69" s="22" t="str">
        <f>VLOOKUP(A69,'Trips&amp;Operators'!$C$1:$G$99999,5,FALSE)</f>
        <v>SMITH MICHAEL</v>
      </c>
      <c r="M69" s="6">
        <f t="shared" si="1"/>
        <v>3.1828703708015382E-2</v>
      </c>
      <c r="N69" s="7">
        <f t="shared" si="39"/>
        <v>45.83333333954215</v>
      </c>
      <c r="O69" s="7"/>
      <c r="P69" s="7"/>
      <c r="Q69" s="23"/>
      <c r="R69" s="23"/>
      <c r="S69" s="35">
        <f t="shared" si="40"/>
        <v>1</v>
      </c>
      <c r="T69" s="50" t="str">
        <f t="shared" si="3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10:43:22-700',mode:absolute,to:'2016-12-17 13:33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52" t="str">
        <f t="shared" si="5"/>
        <v>N</v>
      </c>
      <c r="X69" s="177">
        <f t="shared" si="55"/>
        <v>1</v>
      </c>
      <c r="Y69" s="67">
        <f t="shared" si="56"/>
        <v>23.280200000000001</v>
      </c>
      <c r="Z69" s="67">
        <f t="shared" si="57"/>
        <v>9.3899999999999997E-2</v>
      </c>
      <c r="AA69" s="67">
        <f t="shared" si="9"/>
        <v>23.186299999999999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0"/>
        <v>0156-17</v>
      </c>
      <c r="AE69" s="91" t="str">
        <f t="shared" si="11"/>
        <v>aws s3 cp s3://rtdc.mdm.uploadarchive.raw/RTDC4043/ "%USERPROFILE%\AppData\Local\Temp\OnboardLogs"\RTDC4043\2016-12-17 --exclude "*" --recursive --include "*20161217*" &amp; "%USERPROFILE%\Documents\GitHub\mrs-test-scripts\Headless Mode &amp; Sideloading\WalkAndUnGZ.bat" "%USERPROFILE%\AppData\Local\Temp\OnboardLogs"\RTDC4043\2016-12-17 &amp; 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</v>
      </c>
      <c r="AF69" s="88" t="str">
        <f t="shared" si="12"/>
        <v>"C:\Program Files (x86)\AstroGrep\AstroGrep.exe" /spath="%USERPROFILE%\AppData\Local\Temp\OnboardLogs" /stypes="app*4043*20161217*"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92" t="str">
        <f t="shared" si="16"/>
        <v>"%USERPROFILE%\Documents\GitHub\eaglep3\Utilities\RefineRTDCRunTimes.py" --tripid 156-17 --locoid 4043 --swversion DE.1.0.8.0 --startMP 204:232802 --initTime 2016-12-17T11:43:22 --startdatetime 2016-12-17T11:47:13 --delay 2 --endMP 204:939 --enddatetime 2016-12-17T12:33:03 --enforcementcount 0 &gt;&gt;C:\Users\stu\Documents\GitHub\eaglep3-reporting\EC\2016-12-17-refined-times.txt</v>
      </c>
      <c r="AI69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{"issue":{"subject":"","project_id":79,"tracker_id":40,"status_id":1,"priority_id":2,"assigned_to_id":23,"start_date":"2016-12-17","description":"","custom_fields":[{"id":1,"name":"Subdivision","value":"EC"},{"id":4,"name":"Milepost","value":"0.0939"},{"id":17,"name":"Train ID","value":"156-17"},{"id":16,"name":"Locomotive ID","value":"4043"},{"id":130,"name":"Impact","value":""},{"id":150,"name":"Time of Event (Mountain Time)","value":"12:33:03"},{"id":151,"name":"Denver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560</v>
      </c>
      <c r="B70" s="7">
        <v>4046</v>
      </c>
      <c r="C70" s="22" t="s">
        <v>205</v>
      </c>
      <c r="D70" s="22" t="s">
        <v>331</v>
      </c>
      <c r="E70" s="13">
        <v>42721.453645833331</v>
      </c>
      <c r="F70" s="13">
        <v>42721.45890046296</v>
      </c>
      <c r="G70" s="7">
        <v>2</v>
      </c>
      <c r="H70" s="22" t="s">
        <v>805</v>
      </c>
      <c r="I70" s="13">
        <v>42721.487858796296</v>
      </c>
      <c r="J70" s="7">
        <v>0</v>
      </c>
      <c r="K70" s="109" t="str">
        <f t="shared" si="0"/>
        <v>4045/4046</v>
      </c>
      <c r="L70" s="22" t="str">
        <f>VLOOKUP(A70,'Trips&amp;Operators'!$C$1:$G$99999,5,FALSE)</f>
        <v>HOLCOMB KAMDEN</v>
      </c>
      <c r="M70" s="6">
        <f t="shared" si="1"/>
        <v>2.8958333336049691E-2</v>
      </c>
      <c r="N70" s="7">
        <f t="shared" si="39"/>
        <v>41.700000003911555</v>
      </c>
      <c r="O70" s="7"/>
      <c r="P70" s="7"/>
      <c r="Q70" s="23"/>
      <c r="R70" s="23"/>
      <c r="S70" s="35">
        <f t="shared" si="40"/>
        <v>1</v>
      </c>
      <c r="T70" s="50" t="str">
        <f t="shared" si="3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09:53:15-700',mode:absolute,to:'2016-12-17 12:42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0" s="52" t="str">
        <f t="shared" si="5"/>
        <v>N</v>
      </c>
      <c r="X70" s="177">
        <f t="shared" si="55"/>
        <v>3</v>
      </c>
      <c r="Y70" s="67">
        <f t="shared" si="56"/>
        <v>4.5699999999999998E-2</v>
      </c>
      <c r="Z70" s="67">
        <f t="shared" si="57"/>
        <v>23.3325</v>
      </c>
      <c r="AA70" s="67">
        <f t="shared" si="9"/>
        <v>23.286799999999999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0"/>
        <v>0159-17</v>
      </c>
      <c r="AE70" s="91" t="str">
        <f t="shared" si="11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70" s="88" t="str">
        <f t="shared" si="12"/>
        <v>"C:\Program Files (x86)\AstroGrep\AstroGrep.exe" /spath="%USERPROFILE%\AppData\Local\Temp\OnboardLogs" /stypes="app*4046*20161217*"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92" t="str">
        <f t="shared" si="16"/>
        <v>"%USERPROFILE%\Documents\GitHub\eaglep3\Utilities\RefineRTDCRunTimes.py" --tripid 159-17 --locoid 4046 --swversion DE.1.0.8.0 --startMP 204:457 --initTime 2016-12-17T10:53:15 --startdatetime 2016-12-17T11:00:49 --delay 2 --endMP 204:233325 --enddatetime 2016-12-17T11:42:31 --enforcementcount 0 &gt;&gt;C:\Users\stu\Documents\GitHub\eaglep3-reporting\EC\2016-12-17-refined-times.txt</v>
      </c>
      <c r="AI70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{"issue":{"subject":"","project_id":79,"tracker_id":40,"status_id":1,"priority_id":2,"assigned_to_id":23,"start_date":"2016-12-17","description":"","custom_fields":[{"id":1,"name":"Subdivision","value":"EC"},{"id":4,"name":"Milepost","value":"23.3325"},{"id":17,"name":"Train ID","value":"159-17"},{"id":16,"name":"Locomotive ID","value":"4046"},{"id":130,"name":"Impact","value":""},{"id":150,"name":"Time of Event (Mountain Time)","value":"11:42:31"},{"id":151,"name":"Denver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562</v>
      </c>
      <c r="B71" s="7">
        <v>4045</v>
      </c>
      <c r="C71" s="22" t="s">
        <v>205</v>
      </c>
      <c r="D71" s="22" t="s">
        <v>503</v>
      </c>
      <c r="E71" s="13">
        <v>42721.494143518517</v>
      </c>
      <c r="F71" s="13">
        <v>42721.497928240744</v>
      </c>
      <c r="G71" s="7">
        <v>1</v>
      </c>
      <c r="H71" s="22" t="s">
        <v>313</v>
      </c>
      <c r="I71" s="13">
        <v>42721.528668981482</v>
      </c>
      <c r="J71" s="7">
        <v>0</v>
      </c>
      <c r="K71" s="109" t="str">
        <f t="shared" si="0"/>
        <v>4045/4046</v>
      </c>
      <c r="L71" s="22" t="str">
        <f>VLOOKUP(A71,'Trips&amp;Operators'!$C$1:$G$99999,5,FALSE)</f>
        <v>HOLCOMB KAMDEN</v>
      </c>
      <c r="M71" s="6">
        <f t="shared" si="1"/>
        <v>3.0740740738110617E-2</v>
      </c>
      <c r="N71" s="7">
        <f t="shared" si="39"/>
        <v>44.266666662879288</v>
      </c>
      <c r="O71" s="7"/>
      <c r="P71" s="7"/>
      <c r="Q71" s="23"/>
      <c r="R71" s="23"/>
      <c r="S71" s="35">
        <f t="shared" si="40"/>
        <v>1</v>
      </c>
      <c r="T71" s="50" t="str">
        <f t="shared" si="3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10:51:34-700',mode:absolute,to:'2016-12-17 13:41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1" s="52" t="str">
        <f t="shared" si="5"/>
        <v>N</v>
      </c>
      <c r="X71" s="177">
        <f t="shared" si="55"/>
        <v>1</v>
      </c>
      <c r="Y71" s="67">
        <f t="shared" si="56"/>
        <v>23.301300000000001</v>
      </c>
      <c r="Z71" s="67">
        <f t="shared" si="57"/>
        <v>1.7600000000000001E-2</v>
      </c>
      <c r="AA71" s="67">
        <f t="shared" si="9"/>
        <v>23.2837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0"/>
        <v>0160-17</v>
      </c>
      <c r="AE71" s="91" t="str">
        <f t="shared" si="11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71" s="88" t="str">
        <f t="shared" si="12"/>
        <v>"C:\Program Files (x86)\AstroGrep\AstroGrep.exe" /spath="%USERPROFILE%\AppData\Local\Temp\OnboardLogs" /stypes="app*4045*20161217*"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92" t="str">
        <f t="shared" si="16"/>
        <v>"%USERPROFILE%\Documents\GitHub\eaglep3\Utilities\RefineRTDCRunTimes.py" --tripid 160-17 --locoid 4045 --swversion DE.1.0.8.0 --startMP 204:233013 --initTime 2016-12-17T11:51:34 --startdatetime 2016-12-17T11:57:01 --delay 1 --endMP 204:176 --enddatetime 2016-12-17T12:41:17 --enforcementcount 0 &gt;&gt;C:\Users\stu\Documents\GitHub\eaglep3-reporting\EC\2016-12-17-refined-times.txt</v>
      </c>
      <c r="AI71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{"issue":{"subject":"","project_id":79,"tracker_id":40,"status_id":1,"priority_id":2,"assigned_to_id":23,"start_date":"2016-12-17","description":"","custom_fields":[{"id":1,"name":"Subdivision","value":"EC"},{"id":4,"name":"Milepost","value":"0.0176"},{"id":17,"name":"Train ID","value":"160-17"},{"id":16,"name":"Locomotive ID","value":"4045"},{"id":130,"name":"Impact","value":""},{"id":150,"name":"Time of Event (Mountain Time)","value":"12:41:17"},{"id":151,"name":"Denver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648</v>
      </c>
      <c r="B72" s="7">
        <v>4014</v>
      </c>
      <c r="C72" s="22" t="s">
        <v>205</v>
      </c>
      <c r="D72" s="22" t="s">
        <v>497</v>
      </c>
      <c r="E72" s="13">
        <v>42721.465902777774</v>
      </c>
      <c r="F72" s="13">
        <v>42721.468923611108</v>
      </c>
      <c r="G72" s="7">
        <v>1</v>
      </c>
      <c r="H72" s="22" t="s">
        <v>806</v>
      </c>
      <c r="I72" s="13">
        <v>42721.500578703701</v>
      </c>
      <c r="J72" s="7">
        <v>0</v>
      </c>
      <c r="K72" s="109" t="str">
        <f t="shared" si="0"/>
        <v>4013/4014</v>
      </c>
      <c r="L72" s="22" t="str">
        <f>VLOOKUP(A72,'Trips&amp;Operators'!$C$1:$G$99999,5,FALSE)</f>
        <v>BARTLETT KIANDRA</v>
      </c>
      <c r="M72" s="6">
        <f t="shared" si="1"/>
        <v>3.1655092592700385E-2</v>
      </c>
      <c r="N72" s="7">
        <f t="shared" si="39"/>
        <v>45.583333333488554</v>
      </c>
      <c r="O72" s="7"/>
      <c r="P72" s="7"/>
      <c r="Q72" s="23"/>
      <c r="R72" s="23"/>
      <c r="S72" s="35">
        <f t="shared" si="40"/>
        <v>1</v>
      </c>
      <c r="T72" s="50" t="str">
        <f t="shared" si="3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10:10:54-700',mode:absolute,to:'2016-12-17 13:00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2" s="52" t="str">
        <f t="shared" si="5"/>
        <v>N</v>
      </c>
      <c r="X72" s="177">
        <f t="shared" si="55"/>
        <v>1</v>
      </c>
      <c r="Y72" s="67">
        <f t="shared" si="56"/>
        <v>4.4200000000000003E-2</v>
      </c>
      <c r="Z72" s="67">
        <f t="shared" si="57"/>
        <v>23.310500000000001</v>
      </c>
      <c r="AA72" s="67">
        <f t="shared" si="9"/>
        <v>23.266300000000001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0"/>
        <v>0161-17</v>
      </c>
      <c r="AE72" s="91" t="str">
        <f t="shared" si="11"/>
        <v>aws s3 cp s3://rtdc.mdm.uploadarchive.raw/RTDC4014/ "%USERPROFILE%\AppData\Local\Temp\OnboardLogs"\RTDC4014\2016-12-17 --exclude "*" --recursive --include "*20161217*" &amp; "%USERPROFILE%\Documents\GitHub\mrs-test-scripts\Headless Mode &amp; Sideloading\WalkAndUnGZ.bat" "%USERPROFILE%\AppData\Local\Temp\OnboardLogs"\RTDC4014\2016-12-17 &amp; 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</v>
      </c>
      <c r="AF72" s="88" t="str">
        <f t="shared" si="12"/>
        <v>"C:\Program Files (x86)\AstroGrep\AstroGrep.exe" /spath="%USERPROFILE%\AppData\Local\Temp\OnboardLogs" /stypes="app*4014*20161217*" /stext=" 19:.+((SYSTEM_STATE.+slice.+state.+changed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92" t="str">
        <f t="shared" si="16"/>
        <v>"%USERPROFILE%\Documents\GitHub\eaglep3\Utilities\RefineRTDCRunTimes.py" --tripid 161-17 --locoid 4014 --swversion DE.1.0.8.0 --startMP 204:442 --initTime 2016-12-17T11:10:54 --startdatetime 2016-12-17T11:15:15 --delay 1 --endMP 204:233105 --enddatetime 2016-12-17T12:00:50 --enforcementcount 0 &gt;&gt;C:\Users\stu\Documents\GitHub\eaglep3-reporting\EC\2016-12-17-refined-times.txt</v>
      </c>
      <c r="AI72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{"issue":{"subject":"","project_id":79,"tracker_id":40,"status_id":1,"priority_id":2,"assigned_to_id":23,"start_date":"2016-12-17","description":"","custom_fields":[{"id":1,"name":"Subdivision","value":"EC"},{"id":4,"name":"Milepost","value":"23.3105"},{"id":17,"name":"Train ID","value":"161-17"},{"id":16,"name":"Locomotive ID","value":"4014"},{"id":130,"name":"Impact","value":""},{"id":150,"name":"Time of Event (Mountain Time)","value":"12:00:50"},{"id":151,"name":"Denver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565</v>
      </c>
      <c r="B73" s="7">
        <v>4013</v>
      </c>
      <c r="C73" s="22" t="s">
        <v>205</v>
      </c>
      <c r="D73" s="22" t="s">
        <v>807</v>
      </c>
      <c r="E73" s="13">
        <v>42721.504363425927</v>
      </c>
      <c r="F73" s="13">
        <v>42721.507962962962</v>
      </c>
      <c r="G73" s="7">
        <v>1</v>
      </c>
      <c r="H73" s="22" t="s">
        <v>506</v>
      </c>
      <c r="I73" s="13">
        <v>42721.535416666666</v>
      </c>
      <c r="J73" s="7">
        <v>0</v>
      </c>
      <c r="K73" s="109" t="str">
        <f t="shared" si="0"/>
        <v>4013/4014</v>
      </c>
      <c r="L73" s="22" t="str">
        <f>VLOOKUP(A73,'Trips&amp;Operators'!$C$1:$G$99999,5,FALSE)</f>
        <v>BARTLETT KIANDRA</v>
      </c>
      <c r="M73" s="6">
        <f t="shared" si="1"/>
        <v>2.7453703703940846E-2</v>
      </c>
      <c r="N73" s="7">
        <f t="shared" si="39"/>
        <v>39.533333333674818</v>
      </c>
      <c r="O73" s="7"/>
      <c r="P73" s="7"/>
      <c r="Q73" s="23"/>
      <c r="R73" s="23"/>
      <c r="S73" s="35">
        <f t="shared" si="40"/>
        <v>1</v>
      </c>
      <c r="T73" s="50" t="str">
        <f t="shared" si="3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11:06:17-700',mode:absolute,to:'2016-12-17 13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52" t="str">
        <f t="shared" si="5"/>
        <v>N</v>
      </c>
      <c r="X73" s="177">
        <f t="shared" si="55"/>
        <v>1</v>
      </c>
      <c r="Y73" s="67">
        <f t="shared" si="56"/>
        <v>23.278099999999998</v>
      </c>
      <c r="Z73" s="67">
        <f t="shared" si="57"/>
        <v>1.83E-2</v>
      </c>
      <c r="AA73" s="67">
        <f t="shared" si="9"/>
        <v>23.259799999999998</v>
      </c>
      <c r="AB73" s="64" t="str">
        <f>VLOOKUP(A73,Enforcements!$C$7:$K$19,8,0)</f>
        <v>Speed (6)</v>
      </c>
      <c r="AC73" s="60" t="str">
        <f>VLOOKUP(A73,Enforcements!$C$7:$E$19,3,0)</f>
        <v>PERMANENT SPEED RESTRICTION</v>
      </c>
      <c r="AD73" s="61" t="str">
        <f t="shared" si="10"/>
        <v>0162-17</v>
      </c>
      <c r="AE73" s="91" t="str">
        <f t="shared" si="11"/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AF73" s="88" t="str">
        <f t="shared" si="12"/>
        <v>"C:\Program Files (x86)\AstroGrep\AstroGrep.exe" /spath="%USERPROFILE%\AppData\Local\Temp\OnboardLogs" /stypes="app*4013*20161217*" /stext=" 19:.+((SYSTEM_STATE.+slice.+state.+changed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92" t="str">
        <f t="shared" si="16"/>
        <v>"%USERPROFILE%\Documents\GitHub\eaglep3\Utilities\RefineRTDCRunTimes.py" --tripid 162-17 --locoid 4013 --swversion DE.1.0.8.0 --startMP 204:232781 --initTime 2016-12-17T12:06:17 --startdatetime 2016-12-17T12:11:28 --delay 1 --endMP 204:183 --enddatetime 2016-12-17T12:51:00 --enforcementcount 0 &gt;&gt;C:\Users\stu\Documents\GitHub\eaglep3-reporting\EC\2016-12-17-refined-times.txt</v>
      </c>
      <c r="AI73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{"issue":{"subject":"","project_id":79,"tracker_id":40,"status_id":1,"priority_id":2,"assigned_to_id":23,"start_date":"2016-12-17","description":"","custom_fields":[{"id":1,"name":"Subdivision","value":"EC"},{"id":4,"name":"Milepost","value":"0.0183"},{"id":17,"name":"Train ID","value":"162-17"},{"id":16,"name":"Locomotive ID","value":"4013"},{"id":130,"name":"Impact","value":""},{"id":150,"name":"Time of Event (Mountain Time)","value":"12:51:00"},{"id":151,"name":"Denver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650</v>
      </c>
      <c r="B74" s="7">
        <v>4029</v>
      </c>
      <c r="C74" s="22" t="s">
        <v>205</v>
      </c>
      <c r="D74" s="22" t="s">
        <v>259</v>
      </c>
      <c r="E74" s="13">
        <v>42721.47451388889</v>
      </c>
      <c r="F74" s="13">
        <v>42721.479386574072</v>
      </c>
      <c r="G74" s="7">
        <v>1</v>
      </c>
      <c r="H74" s="22" t="s">
        <v>502</v>
      </c>
      <c r="I74" s="13">
        <v>42721.507048611114</v>
      </c>
      <c r="J74" s="7">
        <v>0</v>
      </c>
      <c r="K74" s="109" t="str">
        <f t="shared" si="0"/>
        <v>4029/4030</v>
      </c>
      <c r="L74" s="22" t="str">
        <f>VLOOKUP(A74,'Trips&amp;Operators'!$C$1:$G$99999,5,FALSE)</f>
        <v>MAHAN DUANE</v>
      </c>
      <c r="M74" s="6">
        <f t="shared" si="1"/>
        <v>2.7662037042318843E-2</v>
      </c>
      <c r="N74" s="7">
        <f t="shared" si="39"/>
        <v>39.833333340939134</v>
      </c>
      <c r="O74" s="7"/>
      <c r="P74" s="7"/>
      <c r="Q74" s="23"/>
      <c r="R74" s="23"/>
      <c r="S74" s="35">
        <f t="shared" si="40"/>
        <v>1</v>
      </c>
      <c r="T74" s="50" t="str">
        <f t="shared" si="3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10:23:18-700',mode:absolute,to:'2016-12-17 13:10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4" s="52" t="str">
        <f t="shared" si="5"/>
        <v>N</v>
      </c>
      <c r="X74" s="177">
        <f t="shared" si="55"/>
        <v>1</v>
      </c>
      <c r="Y74" s="67">
        <f t="shared" si="56"/>
        <v>4.53E-2</v>
      </c>
      <c r="Z74" s="67">
        <f t="shared" si="57"/>
        <v>23.335699999999999</v>
      </c>
      <c r="AA74" s="67">
        <f t="shared" si="9"/>
        <v>23.290399999999998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0"/>
        <v>0163-17</v>
      </c>
      <c r="AE74" s="91" t="str">
        <f t="shared" si="11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74" s="88" t="str">
        <f t="shared" si="12"/>
        <v>"C:\Program Files (x86)\AstroGrep\AstroGrep.exe" /spath="%USERPROFILE%\AppData\Local\Temp\OnboardLogs" /stypes="app*4029*20161217*"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92" t="str">
        <f t="shared" si="16"/>
        <v>"%USERPROFILE%\Documents\GitHub\eaglep3\Utilities\RefineRTDCRunTimes.py" --tripid 163-17 --locoid 4029 --swversion DE.1.0.8.0 --startMP 204:453 --initTime 2016-12-17T11:23:18 --startdatetime 2016-12-17T11:30:19 --delay 1 --endMP 204:233357 --enddatetime 2016-12-17T12:10:09 --enforcementcount 0 &gt;&gt;C:\Users\stu\Documents\GitHub\eaglep3-reporting\EC\2016-12-17-refined-times.txt</v>
      </c>
      <c r="AI74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{"issue":{"subject":"","project_id":79,"tracker_id":40,"status_id":1,"priority_id":2,"assigned_to_id":23,"start_date":"2016-12-17","description":"","custom_fields":[{"id":1,"name":"Subdivision","value":"EC"},{"id":4,"name":"Milepost","value":"23.3357"},{"id":17,"name":"Train ID","value":"163-17"},{"id":16,"name":"Locomotive ID","value":"4029"},{"id":130,"name":"Impact","value":""},{"id":150,"name":"Time of Event (Mountain Time)","value":"12:10:09"},{"id":151,"name":"Denver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564</v>
      </c>
      <c r="B75" s="7">
        <v>4030</v>
      </c>
      <c r="C75" s="22" t="s">
        <v>205</v>
      </c>
      <c r="D75" s="22" t="s">
        <v>286</v>
      </c>
      <c r="E75" s="13">
        <v>42721.513472222221</v>
      </c>
      <c r="F75" s="13">
        <v>42721.518935185188</v>
      </c>
      <c r="G75" s="7">
        <v>1</v>
      </c>
      <c r="H75" s="22" t="s">
        <v>808</v>
      </c>
      <c r="I75" s="13">
        <v>42721.552002314813</v>
      </c>
      <c r="J75" s="7">
        <v>0</v>
      </c>
      <c r="K75" s="109" t="str">
        <f t="shared" si="0"/>
        <v>4029/4030</v>
      </c>
      <c r="L75" s="22" t="str">
        <f>VLOOKUP(A75,'Trips&amp;Operators'!$C$1:$G$99999,5,FALSE)</f>
        <v>MAHAN DUANE</v>
      </c>
      <c r="M75" s="6">
        <f t="shared" si="1"/>
        <v>3.3067129625123926E-2</v>
      </c>
      <c r="N75" s="7">
        <f t="shared" si="39"/>
        <v>47.616666660178453</v>
      </c>
      <c r="O75" s="7"/>
      <c r="P75" s="7"/>
      <c r="Q75" s="23"/>
      <c r="R75" s="23"/>
      <c r="S75" s="35">
        <f t="shared" si="40"/>
        <v>1</v>
      </c>
      <c r="T75" s="50" t="str">
        <f t="shared" si="3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11:19:24-700',mode:absolute,to:'2016-12-17 14:14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5" s="52" t="str">
        <f t="shared" si="5"/>
        <v>N</v>
      </c>
      <c r="X75" s="177">
        <f t="shared" si="55"/>
        <v>1</v>
      </c>
      <c r="Y75" s="67">
        <f t="shared" si="56"/>
        <v>23.299099999999999</v>
      </c>
      <c r="Z75" s="67">
        <f t="shared" si="57"/>
        <v>9.1800000000000007E-2</v>
      </c>
      <c r="AA75" s="67">
        <f t="shared" si="9"/>
        <v>23.2073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0"/>
        <v>0164-17</v>
      </c>
      <c r="AE75" s="91" t="str">
        <f t="shared" si="11"/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AF75" s="88" t="str">
        <f t="shared" si="12"/>
        <v>"C:\Program Files (x86)\AstroGrep\AstroGrep.exe" /spath="%USERPROFILE%\AppData\Local\Temp\OnboardLogs" /stypes="app*4030*20161217*" /stext=" 20:.+((SYSTEM_STATE.+slice.+state.+changed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92" t="str">
        <f t="shared" si="16"/>
        <v>"%USERPROFILE%\Documents\GitHub\eaglep3\Utilities\RefineRTDCRunTimes.py" --tripid 164-17 --locoid 4030 --swversion DE.1.0.8.0 --startMP 204:232991 --initTime 2016-12-17T12:19:24 --startdatetime 2016-12-17T12:27:16 --delay 1 --endMP 204:918 --enddatetime 2016-12-17T13:14:53 --enforcementcount 0 &gt;&gt;C:\Users\stu\Documents\GitHub\eaglep3-reporting\EC\2016-12-17-refined-times.txt</v>
      </c>
      <c r="AI75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{"issue":{"subject":"","project_id":79,"tracker_id":40,"status_id":1,"priority_id":2,"assigned_to_id":23,"start_date":"2016-12-17","description":"","custom_fields":[{"id":1,"name":"Subdivision","value":"EC"},{"id":4,"name":"Milepost","value":"0.0918"},{"id":17,"name":"Train ID","value":"164-17"},{"id":16,"name":"Locomotive ID","value":"4030"},{"id":130,"name":"Impact","value":""},{"id":150,"name":"Time of Event (Mountain Time)","value":"13:14:53"},{"id":151,"name":"Denver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653</v>
      </c>
      <c r="B76" s="7">
        <v>4016</v>
      </c>
      <c r="C76" s="22" t="s">
        <v>205</v>
      </c>
      <c r="D76" s="22" t="s">
        <v>230</v>
      </c>
      <c r="E76" s="13">
        <v>42721.489027777781</v>
      </c>
      <c r="F76" s="13">
        <v>42721.491597222222</v>
      </c>
      <c r="G76" s="7">
        <v>3</v>
      </c>
      <c r="H76" s="22" t="s">
        <v>809</v>
      </c>
      <c r="I76" s="13">
        <v>42721.523518518516</v>
      </c>
      <c r="J76" s="7">
        <v>0</v>
      </c>
      <c r="K76" s="109" t="str">
        <f t="shared" si="0"/>
        <v>4015/4016</v>
      </c>
      <c r="L76" s="22" t="str">
        <f>VLOOKUP(A76,'Trips&amp;Operators'!$C$1:$G$99999,5,FALSE)</f>
        <v>SHOOK JOHN</v>
      </c>
      <c r="M76" s="6">
        <f t="shared" si="1"/>
        <v>3.1921296293148771E-2</v>
      </c>
      <c r="N76" s="7">
        <f t="shared" si="39"/>
        <v>45.96666666213423</v>
      </c>
      <c r="O76" s="7"/>
      <c r="P76" s="7"/>
      <c r="Q76" s="23"/>
      <c r="R76" s="23"/>
      <c r="S76" s="35">
        <f t="shared" si="40"/>
        <v>1</v>
      </c>
      <c r="T76" s="50" t="str">
        <f t="shared" si="3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10:44:12-700',mode:absolute,to:'2016-12-17 13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6" s="52" t="str">
        <f t="shared" si="5"/>
        <v>N</v>
      </c>
      <c r="X76" s="177">
        <f t="shared" si="55"/>
        <v>1</v>
      </c>
      <c r="Y76" s="67">
        <f t="shared" si="56"/>
        <v>4.5999999999999999E-2</v>
      </c>
      <c r="Z76" s="67">
        <f t="shared" si="57"/>
        <v>23.3094</v>
      </c>
      <c r="AA76" s="67">
        <f t="shared" si="9"/>
        <v>23.263400000000001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0"/>
        <v>0165-17</v>
      </c>
      <c r="AE76" s="91" t="str">
        <f t="shared" si="11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76" s="88" t="str">
        <f t="shared" si="12"/>
        <v>"C:\Program Files (x86)\AstroGrep\AstroGrep.exe" /spath="%USERPROFILE%\AppData\Local\Temp\OnboardLogs" /stypes="app*4016*20161217*" /stext=" 19:.+((SYSTEM_STATE.+slice.+state.+changed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92" t="str">
        <f t="shared" si="16"/>
        <v>"%USERPROFILE%\Documents\GitHub\eaglep3\Utilities\RefineRTDCRunTimes.py" --tripid 165-17 --locoid 4016 --swversion DE.1.0.8.0 --startMP 204:460 --initTime 2016-12-17T11:44:12 --startdatetime 2016-12-17T11:47:54 --delay 3 --endMP 204:233094 --enddatetime 2016-12-17T12:33:52 --enforcementcount 0 &gt;&gt;C:\Users\stu\Documents\GitHub\eaglep3-reporting\EC\2016-12-17-refined-times.txt</v>
      </c>
      <c r="AI76" s="119" t="str">
        <f t="shared" si="17"/>
        <v>echo {"issue":{"subject":"","project_id":79,"tracker_id":40,"status_id":1,"priority_id":2,"assigned_to_id":23,"start_date":"2016-12-17","description":"","custom_fields":[{"id":1,"name":"Subdivision","value":"EC"},{"id":4,"name":"Milepost","value":"23.3094"},{"id":17,"name":"Train ID","value":"165-17"},{"id":16,"name":"Locomotive ID","value":"4016"},{"id":130,"name":"Impact","value":""},{"id":150,"name":"Time of Event (Mountain Time)","value":"12:33:52"},{"id":151,"name":"Denver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662</v>
      </c>
      <c r="B77" s="7">
        <v>4015</v>
      </c>
      <c r="C77" s="22" t="s">
        <v>205</v>
      </c>
      <c r="D77" s="22" t="s">
        <v>810</v>
      </c>
      <c r="E77" s="13">
        <v>42721.525995370372</v>
      </c>
      <c r="F77" s="13">
        <v>42721.527071759258</v>
      </c>
      <c r="G77" s="7">
        <v>1</v>
      </c>
      <c r="H77" s="22" t="s">
        <v>811</v>
      </c>
      <c r="I77" s="13">
        <v>42721.549988425926</v>
      </c>
      <c r="J77" s="7">
        <v>0</v>
      </c>
      <c r="K77" s="109" t="str">
        <f t="shared" si="0"/>
        <v>4015/4016</v>
      </c>
      <c r="L77" s="22" t="str">
        <f>VLOOKUP(A77,'Trips&amp;Operators'!$C$1:$G$99999,5,FALSE)</f>
        <v>SHOOK JOHN</v>
      </c>
      <c r="M77" s="6">
        <f t="shared" si="1"/>
        <v>2.2916666668606922E-2</v>
      </c>
      <c r="N77" s="7"/>
      <c r="O77" s="7"/>
      <c r="P77" s="7">
        <f>24*60*SUM($M77:$M78)</f>
        <v>43.333333331393078</v>
      </c>
      <c r="Q77" s="23"/>
      <c r="R77" s="23" t="s">
        <v>985</v>
      </c>
      <c r="S77" s="35">
        <f>SUM(U77:U78)/IF(AG77="EC",12,1)</f>
        <v>0.58333333333333337</v>
      </c>
      <c r="T77" s="50" t="str">
        <f t="shared" si="3"/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4</v>
      </c>
      <c r="V7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11:37:26-700',mode:absolute,to:'2016-12-17 14:11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7" s="52" t="str">
        <f t="shared" si="5"/>
        <v>Y</v>
      </c>
      <c r="X77" s="177">
        <f t="shared" si="55"/>
        <v>1</v>
      </c>
      <c r="Y77" s="67">
        <f t="shared" si="56"/>
        <v>23.2775</v>
      </c>
      <c r="Z77" s="67">
        <f t="shared" si="57"/>
        <v>6.2126999999999999</v>
      </c>
      <c r="AA77" s="67">
        <f t="shared" si="9"/>
        <v>17.064799999999998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si="10"/>
        <v>0166-17</v>
      </c>
      <c r="AE77" s="91" t="str">
        <f t="shared" si="11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77" s="88" t="str">
        <f t="shared" si="12"/>
        <v>"C:\Program Files (x86)\AstroGrep\AstroGrep.exe" /spath="%USERPROFILE%\AppData\Local\Temp\OnboardLogs" /stypes="app*4015*20161217*" /stext=" 20:.+((SYSTEM_STATE.+slice.+state.+changed )|(ment ac)|(multiple cpu faults)|(system.+state.+changed )|(\[timeout)|(PRM\|1\|D)|(kpr)|(kdp)|(\|lc)|(penalty))" /e /r /s</v>
      </c>
      <c r="AG77" s="1" t="str">
        <f t="shared" si="13"/>
        <v>EC</v>
      </c>
      <c r="AH77" s="92" t="str">
        <f t="shared" si="16"/>
        <v>"%USERPROFILE%\Documents\GitHub\eaglep3\Utilities\RefineRTDCRunTimes.py" --tripid 166-17 --locoid 4015 --swversion DE.1.0.8.0 --startMP 204:232775 --initTime 2016-12-17T12:37:26 --startdatetime 2016-12-17T12:38:59 --delay 1 --endMP 204:62127 --enddatetime 2016-12-17T13:11:59 --enforcementcount 0 &gt;&gt;C:\Users\stu\Documents\GitHub\eaglep3-reporting\EC\2016-12-17-refined-times.txt</v>
      </c>
      <c r="AI77" s="119" t="str">
        <f t="shared" si="17"/>
        <v>echo {"issue":{"subject":"Onboard in-route failure","project_id":79,"tracker_id":40,"status_id":1,"priority_id":2,"assigned_to_id":23,"start_date":"2016-12-17","description":"","custom_fields":[{"id":1,"name":"Subdivision","value":"EC"},{"id":4,"name":"Milepost","value":"6.2127"},{"id":17,"name":"Train ID","value":"166-17"},{"id":16,"name":"Locomotive ID","value":"4015"},{"id":130,"name":"Impact","value":""},{"id":150,"name":"Time of Event (Mountain Time)","value":"13:11:59"},{"id":151,"name":"Denver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662</v>
      </c>
      <c r="B78" s="7">
        <v>4015</v>
      </c>
      <c r="C78" s="22" t="s">
        <v>205</v>
      </c>
      <c r="D78" s="22" t="s">
        <v>812</v>
      </c>
      <c r="E78" s="13">
        <v>42721.555243055554</v>
      </c>
      <c r="F78" s="13">
        <v>42721.555844907409</v>
      </c>
      <c r="G78" s="7">
        <v>0</v>
      </c>
      <c r="H78" s="22" t="s">
        <v>277</v>
      </c>
      <c r="I78" s="13">
        <v>42721.563020833331</v>
      </c>
      <c r="J78" s="7">
        <v>0</v>
      </c>
      <c r="K78" s="109" t="str">
        <f t="shared" si="0"/>
        <v>4015/4016</v>
      </c>
      <c r="L78" s="22" t="str">
        <f>VLOOKUP(A78,'Trips&amp;Operators'!$C$1:$G$99999,5,FALSE)</f>
        <v>SHOOK JOHN</v>
      </c>
      <c r="M78" s="6">
        <f t="shared" si="1"/>
        <v>7.175925922638271E-3</v>
      </c>
      <c r="N78" s="7"/>
      <c r="O78" s="7"/>
      <c r="P78" s="7"/>
      <c r="Q78" s="23"/>
      <c r="R78" s="23"/>
      <c r="S78" s="35"/>
      <c r="T78" s="50" t="str">
        <f t="shared" si="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3</v>
      </c>
      <c r="V7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https://search-rtdc-monitor-bjffxe2xuh6vdkpspy63sjmuny.us-east-1.es.amazonaws.com/_plugin/kibana/#/discover/Steve-Slow-Train-Analysis-(2080s-and-2083s)?_g=(refreshInterval:(display:Off,section:0,value:0),time:(from:'2016-12-17 12:19:33-700',mode:absolute,to:'2016-12-17 14:30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8" s="52" t="str">
        <f t="shared" si="5"/>
        <v>Y</v>
      </c>
      <c r="X78" s="177">
        <f t="shared" si="55"/>
        <v>0</v>
      </c>
      <c r="Y78" s="67">
        <f t="shared" si="56"/>
        <v>3.6791</v>
      </c>
      <c r="Z78" s="67">
        <f t="shared" si="57"/>
        <v>1.61E-2</v>
      </c>
      <c r="AA78" s="67">
        <f t="shared" si="9"/>
        <v>3.6630000000000003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10"/>
        <v>0166-17</v>
      </c>
      <c r="AE78" s="91" t="str">
        <f t="shared" si="11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78" s="88" t="str">
        <f t="shared" si="12"/>
        <v>"C:\Program Files (x86)\AstroGrep\AstroGrep.exe" /spath="%USERPROFILE%\AppData\Local\Temp\OnboardLogs" /stypes="app*4015*20161217*" /stext=" 20:.+((SYSTEM_STATE.+slice.+state.+changed )|(ment ac)|(multiple cpu faults)|(system.+state.+changed )|(\[timeout)|(PRM\|1\|D)|(kpr)|(kdp)|(\|lc)|(penalty))" /e /r /s</v>
      </c>
      <c r="AG78" s="1" t="str">
        <f t="shared" si="13"/>
        <v>EC</v>
      </c>
      <c r="AH78" s="92" t="str">
        <f t="shared" ref="AH78:AH139" si="5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166-17 --locoid 4015 --swversion DE.1.0.8.0 --startMP 204:36791 --initTime 2016-12-17T13:19:33 --startdatetime 2016-12-17T13:20:25 --delay 0 --endMP 204:161 --enddatetime 2016-12-17T13:30:45 --enforcementcount 0 &gt;&gt;C:\Users\stu\Documents\GitHub\eaglep3-reporting\EC\2016-12-17-refined-times.txt</v>
      </c>
      <c r="AI78" s="119" t="str">
        <f t="shared" ref="AI78:AI139" si="5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{"issue":{"subject":"","project_id":79,"tracker_id":40,"status_id":1,"priority_id":2,"assigned_to_id":23,"start_date":"2016-12-17","description":"","custom_fields":[{"id":1,"name":"Subdivision","value":"EC"},{"id":4,"name":"Milepost","value":"0.0161"},{"id":17,"name":"Train ID","value":"166-17"},{"id":16,"name":"Locomotive ID","value":"4015"},{"id":130,"name":"Impact","value":""},{"id":150,"name":"Time of Event (Mountain Time)","value":"13:30:45"},{"id":151,"name":"Denver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654</v>
      </c>
      <c r="B79" s="7">
        <v>4020</v>
      </c>
      <c r="C79" s="22" t="s">
        <v>205</v>
      </c>
      <c r="D79" s="22" t="s">
        <v>512</v>
      </c>
      <c r="E79" s="13">
        <v>42721.49591435185</v>
      </c>
      <c r="F79" s="13">
        <v>42721.500185185185</v>
      </c>
      <c r="G79" s="7">
        <v>2</v>
      </c>
      <c r="H79" s="22" t="s">
        <v>284</v>
      </c>
      <c r="I79" s="13">
        <v>42721.528692129628</v>
      </c>
      <c r="J79" s="7">
        <v>0</v>
      </c>
      <c r="K79" s="109" t="str">
        <f t="shared" ref="K79:K142" si="60">IF(ISEVEN(B79),(B79-1)&amp;"/"&amp;B79,B79&amp;"/"&amp;(B79+1))</f>
        <v>4019/4020</v>
      </c>
      <c r="L79" s="22" t="str">
        <f>VLOOKUP(A79,'Trips&amp;Operators'!$C$1:$G$99999,5,FALSE)</f>
        <v>BRUDER RICHARD</v>
      </c>
      <c r="M79" s="6">
        <f t="shared" ref="M79:M142" si="61">I79-F79</f>
        <v>2.8506944443506654E-2</v>
      </c>
      <c r="N79" s="7">
        <f t="shared" ref="N79:N94" si="62">24*60*SUM($M79:$M79)</f>
        <v>41.049999998649582</v>
      </c>
      <c r="O79" s="7"/>
      <c r="P79" s="7"/>
      <c r="Q79" s="23"/>
      <c r="R79" s="23"/>
      <c r="S79" s="35">
        <f t="shared" ref="S79:S94" si="63">SUM(U79:U79)/IF(AG79="EC",12,1)</f>
        <v>1</v>
      </c>
      <c r="T79" s="50" t="str">
        <f t="shared" ref="T79:T142" si="64"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ref="V79:V142" si="65"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https://search-rtdc-monitor-bjffxe2xuh6vdkpspy63sjmuny.us-east-1.es.amazonaws.com/_plugin/kibana/#/discover/Steve-Slow-Train-Analysis-(2080s-and-2083s)?_g=(refreshInterval:(display:Off,section:0,value:0),time:(from:'2016-12-17 10:54:07-700',mode:absolute,to:'2016-12-17 13:41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52" t="str">
        <f t="shared" ref="W79:W142" si="66">IF(AA79&lt;IF(AG79="EC",23,5.65),"Y","N")</f>
        <v>N</v>
      </c>
      <c r="X79" s="177">
        <f t="shared" si="55"/>
        <v>1</v>
      </c>
      <c r="Y79" s="67">
        <f t="shared" si="56"/>
        <v>4.2599999999999999E-2</v>
      </c>
      <c r="Z79" s="67">
        <f t="shared" si="57"/>
        <v>23.331199999999999</v>
      </c>
      <c r="AA79" s="67">
        <f t="shared" ref="AA79:AA142" si="67">ABS(Z79-Y79)</f>
        <v>23.288599999999999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ref="AD79:AD142" si="68">IF(LEN(A79)=6,"0"&amp;A79,A79)</f>
        <v>0167-17</v>
      </c>
      <c r="AE79" s="91" t="str">
        <f t="shared" ref="AE79:AE142" si="69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79" s="88" t="str">
        <f t="shared" ref="AF79:AF142" si="70"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/stypes="app*4020*20161217*" /stext=" 19:.+((SYSTEM_STATE.+slice.+state.+changed )|(ment ac)|(multiple cpu faults)|(system.+state.+changed )|(\[timeout)|(PRM\|1\|D)|(kpr)|(kdp)|(\|lc)|(penalty))" /e /r /s</v>
      </c>
      <c r="AG79" s="1" t="str">
        <f t="shared" ref="AG79:AG142" si="71">IFERROR(IF(VALUE(LEFT(AD79,2))&lt;=2,"EC",IF(OR(VALUE(LEFT(AD79,2))=8,VALUE(LEFT(AD79,2))=18),"NW","Other")),"Other")</f>
        <v>EC</v>
      </c>
      <c r="AH79" s="92" t="str">
        <f t="shared" si="58"/>
        <v>"%USERPROFILE%\Documents\GitHub\eaglep3\Utilities\RefineRTDCRunTimes.py" --tripid 167-17 --locoid 4020 --swversion DE.1.0.8.0 --startMP 204:426 --initTime 2016-12-17T11:54:07 --startdatetime 2016-12-17T12:00:16 --delay 2 --endMP 204:233312 --enddatetime 2016-12-17T12:41:19 --enforcementcount 0 &gt;&gt;C:\Users\stu\Documents\GitHub\eaglep3-reporting\EC\2016-12-17-refined-times.txt</v>
      </c>
      <c r="AI79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{"issue":{"subject":"","project_id":79,"tracker_id":40,"status_id":1,"priority_id":2,"assigned_to_id":23,"start_date":"2016-12-17","description":"","custom_fields":[{"id":1,"name":"Subdivision","value":"EC"},{"id":4,"name":"Milepost","value":"23.3312"},{"id":17,"name":"Train ID","value":"167-17"},{"id":16,"name":"Locomotive ID","value":"4020"},{"id":130,"name":"Impact","value":""},{"id":150,"name":"Time of Event (Mountain Time)","value":"12:41:19"},{"id":151,"name":"Denver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666</v>
      </c>
      <c r="B80" s="7">
        <v>4019</v>
      </c>
      <c r="C80" s="22" t="s">
        <v>205</v>
      </c>
      <c r="D80" s="22" t="s">
        <v>273</v>
      </c>
      <c r="E80" s="13">
        <v>42721.534212962964</v>
      </c>
      <c r="F80" s="13">
        <v>42721.539293981485</v>
      </c>
      <c r="G80" s="7">
        <v>1</v>
      </c>
      <c r="H80" s="22" t="s">
        <v>813</v>
      </c>
      <c r="I80" s="13">
        <v>42721.567974537036</v>
      </c>
      <c r="J80" s="7">
        <v>0</v>
      </c>
      <c r="K80" s="109" t="str">
        <f t="shared" si="60"/>
        <v>4019/4020</v>
      </c>
      <c r="L80" s="22" t="str">
        <f>VLOOKUP(A80,'Trips&amp;Operators'!$C$1:$G$99999,5,FALSE)</f>
        <v>BRUDER RICHARD</v>
      </c>
      <c r="M80" s="6">
        <f t="shared" si="61"/>
        <v>2.8680555551545694E-2</v>
      </c>
      <c r="N80" s="7">
        <f t="shared" si="62"/>
        <v>41.2999999942258</v>
      </c>
      <c r="O80" s="7"/>
      <c r="P80" s="7"/>
      <c r="Q80" s="23"/>
      <c r="R80" s="23"/>
      <c r="S80" s="35">
        <f t="shared" si="63"/>
        <v>1</v>
      </c>
      <c r="T80" s="50" t="str">
        <f t="shared" si="64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11:49:16-700',mode:absolute,to:'2016-12-17 14:37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52" t="str">
        <f t="shared" si="66"/>
        <v>N</v>
      </c>
      <c r="X80" s="177">
        <f t="shared" si="55"/>
        <v>1</v>
      </c>
      <c r="Y80" s="67">
        <f t="shared" si="56"/>
        <v>23.299600000000002</v>
      </c>
      <c r="Z80" s="67">
        <f t="shared" si="57"/>
        <v>8.8800000000000004E-2</v>
      </c>
      <c r="AA80" s="67">
        <f t="shared" si="67"/>
        <v>23.210800000000003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68"/>
        <v>0168-17</v>
      </c>
      <c r="AE80" s="91" t="str">
        <f t="shared" si="69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80" s="88" t="str">
        <f t="shared" si="70"/>
        <v>"C:\Program Files (x86)\AstroGrep\AstroGrep.exe" /spath="%USERPROFILE%\AppData\Local\Temp\OnboardLogs" /stypes="app*4019*20161217*" /stext=" 20:.+((SYSTEM_STATE.+slice.+state.+changed )|(ment ac)|(multiple cpu faults)|(system.+state.+changed )|(\[timeout)|(PRM\|1\|D)|(kpr)|(kdp)|(\|lc)|(penalty))" /e /r /s</v>
      </c>
      <c r="AG80" s="1" t="str">
        <f t="shared" si="71"/>
        <v>EC</v>
      </c>
      <c r="AH80" s="92" t="str">
        <f t="shared" si="58"/>
        <v>"%USERPROFILE%\Documents\GitHub\eaglep3\Utilities\RefineRTDCRunTimes.py" --tripid 168-17 --locoid 4019 --swversion DE.1.0.8.0 --startMP 204:232996 --initTime 2016-12-17T12:49:16 --startdatetime 2016-12-17T12:56:35 --delay 1 --endMP 204:888 --enddatetime 2016-12-17T13:37:53 --enforcementcount 0 &gt;&gt;C:\Users\stu\Documents\GitHub\eaglep3-reporting\EC\2016-12-17-refined-times.txt</v>
      </c>
      <c r="AI80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{"issue":{"subject":"","project_id":79,"tracker_id":40,"status_id":1,"priority_id":2,"assigned_to_id":23,"start_date":"2016-12-17","description":"","custom_fields":[{"id":1,"name":"Subdivision","value":"EC"},{"id":4,"name":"Milepost","value":"0.0888"},{"id":17,"name":"Train ID","value":"168-17"},{"id":16,"name":"Locomotive ID","value":"4019"},{"id":130,"name":"Impact","value":""},{"id":150,"name":"Time of Event (Mountain Time)","value":"13:37:53"},{"id":151,"name":"Denver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658</v>
      </c>
      <c r="B81" s="7">
        <v>4031</v>
      </c>
      <c r="C81" s="22" t="s">
        <v>205</v>
      </c>
      <c r="D81" s="22" t="s">
        <v>814</v>
      </c>
      <c r="E81" s="13">
        <v>42721.510567129626</v>
      </c>
      <c r="F81" s="13">
        <v>42721.5158912037</v>
      </c>
      <c r="G81" s="7">
        <v>1</v>
      </c>
      <c r="H81" s="22" t="s">
        <v>295</v>
      </c>
      <c r="I81" s="13">
        <v>42721.547083333331</v>
      </c>
      <c r="J81" s="7">
        <v>0</v>
      </c>
      <c r="K81" s="109" t="str">
        <f t="shared" si="60"/>
        <v>4031/4032</v>
      </c>
      <c r="L81" s="22" t="str">
        <f>VLOOKUP(A81,'Trips&amp;Operators'!$C$1:$G$99999,5,FALSE)</f>
        <v>MOSES BRADLEY</v>
      </c>
      <c r="M81" s="6">
        <f t="shared" si="61"/>
        <v>3.1192129630653653E-2</v>
      </c>
      <c r="N81" s="7">
        <f t="shared" si="62"/>
        <v>44.916666668141261</v>
      </c>
      <c r="O81" s="7"/>
      <c r="P81" s="7"/>
      <c r="Q81" s="23"/>
      <c r="R81" s="23"/>
      <c r="S81" s="35">
        <f t="shared" si="63"/>
        <v>1</v>
      </c>
      <c r="T81" s="50" t="str">
        <f t="shared" si="64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11:15:13-700',mode:absolute,to:'2016-12-17 14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1" s="52" t="str">
        <f t="shared" si="66"/>
        <v>N</v>
      </c>
      <c r="X81" s="177">
        <f t="shared" si="55"/>
        <v>1</v>
      </c>
      <c r="Y81" s="67">
        <f t="shared" si="56"/>
        <v>4.24E-2</v>
      </c>
      <c r="Z81" s="67">
        <f t="shared" si="57"/>
        <v>23.3323</v>
      </c>
      <c r="AA81" s="67">
        <f t="shared" si="67"/>
        <v>23.289899999999999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68"/>
        <v>0169-17</v>
      </c>
      <c r="AE81" s="91" t="str">
        <f t="shared" si="69"/>
        <v>aws s3 cp s3://rtdc.mdm.uploadarchive.raw/RTDC4031/ "%USERPROFILE%\AppData\Local\Temp\OnboardLogs"\RTDC4031\2016-12-17 --exclude "*" --recursive --include "*20161217*" &amp; "%USERPROFILE%\Documents\GitHub\mrs-test-scripts\Headless Mode &amp; Sideloading\WalkAndUnGZ.bat" "%USERPROFILE%\AppData\Local\Temp\OnboardLogs"\RTDC4031\2016-12-17 &amp; 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</v>
      </c>
      <c r="AF81" s="88" t="str">
        <f t="shared" si="70"/>
        <v>"C:\Program Files (x86)\AstroGrep\AstroGrep.exe" /spath="%USERPROFILE%\AppData\Local\Temp\OnboardLogs" /stypes="app*4031*20161217*" /stext=" 20:.+((SYSTEM_STATE.+slice.+state.+changed )|(ment ac)|(multiple cpu faults)|(system.+state.+changed )|(\[timeout)|(PRM\|1\|D)|(kpr)|(kdp)|(\|lc)|(penalty))" /e /r /s</v>
      </c>
      <c r="AG81" s="1" t="str">
        <f t="shared" si="71"/>
        <v>EC</v>
      </c>
      <c r="AH81" s="92" t="str">
        <f t="shared" si="58"/>
        <v>"%USERPROFILE%\Documents\GitHub\eaglep3\Utilities\RefineRTDCRunTimes.py" --tripid 169-17 --locoid 4031 --swversion DE.1.0.8.0 --startMP 204:424 --initTime 2016-12-17T12:15:13 --startdatetime 2016-12-17T12:22:53 --delay 1 --endMP 204:233323 --enddatetime 2016-12-17T13:07:48 --enforcementcount 0 &gt;&gt;C:\Users\stu\Documents\GitHub\eaglep3-reporting\EC\2016-12-17-refined-times.txt</v>
      </c>
      <c r="AI81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{"issue":{"subject":"","project_id":79,"tracker_id":40,"status_id":1,"priority_id":2,"assigned_to_id":23,"start_date":"2016-12-17","description":"","custom_fields":[{"id":1,"name":"Subdivision","value":"EC"},{"id":4,"name":"Milepost","value":"23.3323"},{"id":17,"name":"Train ID","value":"169-17"},{"id":16,"name":"Locomotive ID","value":"4031"},{"id":130,"name":"Impact","value":""},{"id":150,"name":"Time of Event (Mountain Time)","value":"13:07:48"},{"id":151,"name":"Denver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568</v>
      </c>
      <c r="B82" s="7">
        <v>4032</v>
      </c>
      <c r="C82" s="22" t="s">
        <v>205</v>
      </c>
      <c r="D82" s="22" t="s">
        <v>294</v>
      </c>
      <c r="E82" s="13">
        <v>42721.55195601852</v>
      </c>
      <c r="F82" s="13">
        <v>42721.554016203707</v>
      </c>
      <c r="G82" s="7">
        <v>1</v>
      </c>
      <c r="H82" s="22" t="s">
        <v>815</v>
      </c>
      <c r="I82" s="13">
        <v>42721.582129629627</v>
      </c>
      <c r="J82" s="7">
        <v>0</v>
      </c>
      <c r="K82" s="109" t="str">
        <f t="shared" si="60"/>
        <v>4031/4032</v>
      </c>
      <c r="L82" s="22" t="str">
        <f>VLOOKUP(A82,'Trips&amp;Operators'!$C$1:$G$99999,5,FALSE)</f>
        <v>MOSES BRADLEY</v>
      </c>
      <c r="M82" s="6">
        <f t="shared" si="61"/>
        <v>2.8113425920309965E-2</v>
      </c>
      <c r="N82" s="7">
        <f t="shared" si="62"/>
        <v>40.483333325246349</v>
      </c>
      <c r="O82" s="7"/>
      <c r="P82" s="7"/>
      <c r="Q82" s="23"/>
      <c r="R82" s="23"/>
      <c r="S82" s="35">
        <f t="shared" si="63"/>
        <v>1</v>
      </c>
      <c r="T82" s="50" t="str">
        <f t="shared" si="64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12:14:49-700',mode:absolute,to:'2016-12-17 14:58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2" s="52" t="str">
        <f t="shared" si="66"/>
        <v>N</v>
      </c>
      <c r="X82" s="177">
        <f t="shared" si="55"/>
        <v>1</v>
      </c>
      <c r="Y82" s="67">
        <f t="shared" si="56"/>
        <v>23.301100000000002</v>
      </c>
      <c r="Z82" s="67">
        <f t="shared" si="57"/>
        <v>0.1031</v>
      </c>
      <c r="AA82" s="67">
        <f t="shared" si="67"/>
        <v>23.198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68"/>
        <v>0170-17</v>
      </c>
      <c r="AE82" s="91" t="str">
        <f t="shared" si="69"/>
        <v>aws s3 cp s3://rtdc.mdm.uploadarchive.raw/RTDC4032/ "%USERPROFILE%\AppData\Local\Temp\OnboardLogs"\RTDC4032\2016-12-17 --exclude "*" --recursive --include "*20161217*" &amp; "%USERPROFILE%\Documents\GitHub\mrs-test-scripts\Headless Mode &amp; Sideloading\WalkAndUnGZ.bat" "%USERPROFILE%\AppData\Local\Temp\OnboardLogs"\RTDC4032\2016-12-17 &amp; 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</v>
      </c>
      <c r="AF82" s="88" t="str">
        <f t="shared" si="70"/>
        <v>"C:\Program Files (x86)\AstroGrep\AstroGrep.exe" /spath="%USERPROFILE%\AppData\Local\Temp\OnboardLogs" /stypes="app*4032*20161217*" /stext=" 20:.+((SYSTEM_STATE.+slice.+state.+changed )|(ment ac)|(multiple cpu faults)|(system.+state.+changed )|(\[timeout)|(PRM\|1\|D)|(kpr)|(kdp)|(\|lc)|(penalty))" /e /r /s</v>
      </c>
      <c r="AG82" s="1" t="str">
        <f t="shared" si="71"/>
        <v>EC</v>
      </c>
      <c r="AH82" s="92" t="str">
        <f t="shared" si="58"/>
        <v>"%USERPROFILE%\Documents\GitHub\eaglep3\Utilities\RefineRTDCRunTimes.py" --tripid 170-17 --locoid 4032 --swversion DE.1.0.8.0 --startMP 204:233011 --initTime 2016-12-17T13:14:49 --startdatetime 2016-12-17T13:17:47 --delay 1 --endMP 204:1031 --enddatetime 2016-12-17T13:58:16 --enforcementcount 0 &gt;&gt;C:\Users\stu\Documents\GitHub\eaglep3-reporting\EC\2016-12-17-refined-times.txt</v>
      </c>
      <c r="AI82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{"issue":{"subject":"","project_id":79,"tracker_id":40,"status_id":1,"priority_id":2,"assigned_to_id":23,"start_date":"2016-12-17","description":"","custom_fields":[{"id":1,"name":"Subdivision","value":"EC"},{"id":4,"name":"Milepost","value":"0.1031"},{"id":17,"name":"Train ID","value":"170-17"},{"id":16,"name":"Locomotive ID","value":"4032"},{"id":130,"name":"Impact","value":""},{"id":150,"name":"Time of Event (Mountain Time)","value":"13:58:16"},{"id":151,"name":"Denver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663</v>
      </c>
      <c r="B83" s="7">
        <v>4011</v>
      </c>
      <c r="C83" s="22" t="s">
        <v>205</v>
      </c>
      <c r="D83" s="22" t="s">
        <v>336</v>
      </c>
      <c r="E83" s="13">
        <v>42721.527465277781</v>
      </c>
      <c r="F83" s="13">
        <v>42721.529606481483</v>
      </c>
      <c r="G83" s="7">
        <v>1</v>
      </c>
      <c r="H83" s="22" t="s">
        <v>816</v>
      </c>
      <c r="I83" s="13">
        <v>42721.558842592596</v>
      </c>
      <c r="J83" s="7">
        <v>0</v>
      </c>
      <c r="K83" s="109" t="str">
        <f t="shared" si="60"/>
        <v>4011/4012</v>
      </c>
      <c r="L83" s="22" t="str">
        <f>VLOOKUP(A83,'Trips&amp;Operators'!$C$1:$G$99999,5,FALSE)</f>
        <v>STORY SAMANTHA</v>
      </c>
      <c r="M83" s="6">
        <f t="shared" si="61"/>
        <v>2.923611111327773E-2</v>
      </c>
      <c r="N83" s="7">
        <f t="shared" si="62"/>
        <v>42.100000003119931</v>
      </c>
      <c r="O83" s="7"/>
      <c r="P83" s="7"/>
      <c r="Q83" s="23"/>
      <c r="R83" s="23"/>
      <c r="S83" s="35">
        <f t="shared" si="63"/>
        <v>1</v>
      </c>
      <c r="T83" s="50" t="str">
        <f t="shared" si="64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11:39:33-700',mode:absolute,to:'2016-12-17 14:24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3" s="52" t="str">
        <f t="shared" si="66"/>
        <v>N</v>
      </c>
      <c r="X83" s="177">
        <f t="shared" si="55"/>
        <v>1</v>
      </c>
      <c r="Y83" s="67">
        <f t="shared" si="56"/>
        <v>4.3999999999999997E-2</v>
      </c>
      <c r="Z83" s="67">
        <f t="shared" si="57"/>
        <v>23.311299999999999</v>
      </c>
      <c r="AA83" s="67">
        <f t="shared" si="67"/>
        <v>23.267299999999999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68"/>
        <v>0171-17</v>
      </c>
      <c r="AE83" s="91" t="str">
        <f t="shared" si="69"/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AF83" s="88" t="str">
        <f t="shared" si="70"/>
        <v>"C:\Program Files (x86)\AstroGrep\AstroGrep.exe" /spath="%USERPROFILE%\AppData\Local\Temp\OnboardLogs" /stypes="app*4011*20161217*" /stext=" 20:.+((SYSTEM_STATE.+slice.+state.+changed )|(ment ac)|(multiple cpu faults)|(system.+state.+changed )|(\[timeout)|(PRM\|1\|D)|(kpr)|(kdp)|(\|lc)|(penalty))" /e /r /s</v>
      </c>
      <c r="AG83" s="1" t="str">
        <f t="shared" si="71"/>
        <v>EC</v>
      </c>
      <c r="AH83" s="92" t="str">
        <f t="shared" si="58"/>
        <v>"%USERPROFILE%\Documents\GitHub\eaglep3\Utilities\RefineRTDCRunTimes.py" --tripid 171-17 --locoid 4011 --swversion DE.1.0.8.0 --startMP 204:440 --initTime 2016-12-17T12:39:33 --startdatetime 2016-12-17T12:42:38 --delay 1 --endMP 204:233113 --enddatetime 2016-12-17T13:24:44 --enforcementcount 0 &gt;&gt;C:\Users\stu\Documents\GitHub\eaglep3-reporting\EC\2016-12-17-refined-times.txt</v>
      </c>
      <c r="AI83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{"issue":{"subject":"","project_id":79,"tracker_id":40,"status_id":1,"priority_id":2,"assigned_to_id":23,"start_date":"2016-12-17","description":"","custom_fields":[{"id":1,"name":"Subdivision","value":"EC"},{"id":4,"name":"Milepost","value":"23.3113"},{"id":17,"name":"Train ID","value":"171-17"},{"id":16,"name":"Locomotive ID","value":"4011"},{"id":130,"name":"Impact","value":""},{"id":150,"name":"Time of Event (Mountain Time)","value":"13:24:44"},{"id":151,"name":"Denver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567</v>
      </c>
      <c r="B84" s="7">
        <v>4012</v>
      </c>
      <c r="C84" s="22" t="s">
        <v>205</v>
      </c>
      <c r="D84" s="22" t="s">
        <v>817</v>
      </c>
      <c r="E84" s="13">
        <v>42721.560162037036</v>
      </c>
      <c r="F84" s="13">
        <v>42721.561828703707</v>
      </c>
      <c r="G84" s="7">
        <v>1</v>
      </c>
      <c r="H84" s="22" t="s">
        <v>818</v>
      </c>
      <c r="I84" s="13">
        <v>42721.593472222223</v>
      </c>
      <c r="J84" s="7">
        <v>0</v>
      </c>
      <c r="K84" s="109" t="str">
        <f t="shared" si="60"/>
        <v>4011/4012</v>
      </c>
      <c r="L84" s="22" t="str">
        <f>VLOOKUP(A84,'Trips&amp;Operators'!$C$1:$G$99999,5,FALSE)</f>
        <v>STORY SAMANTHA</v>
      </c>
      <c r="M84" s="6">
        <f t="shared" si="61"/>
        <v>3.1643518515920732E-2</v>
      </c>
      <c r="N84" s="7">
        <f t="shared" si="62"/>
        <v>45.566666662925854</v>
      </c>
      <c r="O84" s="7"/>
      <c r="P84" s="7"/>
      <c r="Q84" s="23"/>
      <c r="R84" s="23"/>
      <c r="S84" s="35">
        <f t="shared" si="63"/>
        <v>1</v>
      </c>
      <c r="T84" s="50" t="str">
        <f t="shared" si="64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12:26:38-700',mode:absolute,to:'2016-12-17 15:14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4" s="52" t="str">
        <f t="shared" si="66"/>
        <v>N</v>
      </c>
      <c r="X84" s="177">
        <f t="shared" si="55"/>
        <v>1</v>
      </c>
      <c r="Y84" s="67">
        <f t="shared" si="56"/>
        <v>23.28</v>
      </c>
      <c r="Z84" s="67">
        <f t="shared" si="57"/>
        <v>4.9099999999999998E-2</v>
      </c>
      <c r="AA84" s="67">
        <f t="shared" si="67"/>
        <v>23.230900000000002</v>
      </c>
      <c r="AB84" s="64" t="str">
        <f>VLOOKUP(A84,Enforcements!$C$7:$K$19,8,0)</f>
        <v>Speed (6)</v>
      </c>
      <c r="AC84" s="60" t="str">
        <f>VLOOKUP(A84,Enforcements!$C$7:$E$19,3,0)</f>
        <v>PERMANENT SPEED RESTRICTION</v>
      </c>
      <c r="AD84" s="61" t="str">
        <f t="shared" si="68"/>
        <v>0172-17</v>
      </c>
      <c r="AE84" s="91" t="str">
        <f t="shared" si="69"/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AF84" s="88" t="str">
        <f t="shared" si="70"/>
        <v>"C:\Program Files (x86)\AstroGrep\AstroGrep.exe" /spath="%USERPROFILE%\AppData\Local\Temp\OnboardLogs" /stypes="app*4012*20161217*" /stext=" 21:.+((SYSTEM_STATE.+slice.+state.+changed )|(ment ac)|(multiple cpu faults)|(system.+state.+changed )|(\[timeout)|(PRM\|1\|D)|(kpr)|(kdp)|(\|lc)|(penalty))" /e /r /s</v>
      </c>
      <c r="AG84" s="1" t="str">
        <f t="shared" si="71"/>
        <v>EC</v>
      </c>
      <c r="AH84" s="92" t="str">
        <f t="shared" si="58"/>
        <v>"%USERPROFILE%\Documents\GitHub\eaglep3\Utilities\RefineRTDCRunTimes.py" --tripid 172-17 --locoid 4012 --swversion DE.1.0.8.0 --startMP 204:232800 --initTime 2016-12-17T13:26:38 --startdatetime 2016-12-17T13:29:02 --delay 1 --endMP 204:491 --enddatetime 2016-12-17T14:14:36 --enforcementcount 0 &gt;&gt;C:\Users\stu\Documents\GitHub\eaglep3-reporting\EC\2016-12-17-refined-times.txt</v>
      </c>
      <c r="AI84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{"issue":{"subject":"","project_id":79,"tracker_id":40,"status_id":1,"priority_id":2,"assigned_to_id":23,"start_date":"2016-12-17","description":"","custom_fields":[{"id":1,"name":"Subdivision","value":"EC"},{"id":4,"name":"Milepost","value":"0.0491"},{"id":17,"name":"Train ID","value":"172-17"},{"id":16,"name":"Locomotive ID","value":"4012"},{"id":130,"name":"Impact","value":""},{"id":150,"name":"Time of Event (Mountain Time)","value":"14:14:36"},{"id":151,"name":"Denver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566</v>
      </c>
      <c r="B85" s="7">
        <v>4046</v>
      </c>
      <c r="C85" s="22" t="s">
        <v>205</v>
      </c>
      <c r="D85" s="22" t="s">
        <v>819</v>
      </c>
      <c r="E85" s="13">
        <v>42721.531099537038</v>
      </c>
      <c r="F85" s="13">
        <v>42721.533194444448</v>
      </c>
      <c r="G85" s="7">
        <v>2</v>
      </c>
      <c r="H85" s="22" t="s">
        <v>495</v>
      </c>
      <c r="I85" s="13">
        <v>42721.56758101852</v>
      </c>
      <c r="J85" s="7">
        <v>0</v>
      </c>
      <c r="K85" s="109" t="str">
        <f t="shared" si="60"/>
        <v>4045/4046</v>
      </c>
      <c r="L85" s="22" t="str">
        <f>VLOOKUP(A85,'Trips&amp;Operators'!$C$1:$G$99999,5,FALSE)</f>
        <v>HOLCOMB KAMDEN</v>
      </c>
      <c r="M85" s="6">
        <f t="shared" si="61"/>
        <v>3.4386574072414078E-2</v>
      </c>
      <c r="N85" s="7">
        <f t="shared" si="62"/>
        <v>49.516666664276272</v>
      </c>
      <c r="O85" s="7"/>
      <c r="P85" s="7"/>
      <c r="Q85" s="23"/>
      <c r="R85" s="23"/>
      <c r="S85" s="35">
        <f t="shared" si="63"/>
        <v>1</v>
      </c>
      <c r="T85" s="50" t="str">
        <f t="shared" si="64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11:44:47-700',mode:absolute,to:'2016-12-17 14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5" s="52" t="str">
        <f t="shared" si="66"/>
        <v>N</v>
      </c>
      <c r="X85" s="177">
        <f t="shared" si="55"/>
        <v>1</v>
      </c>
      <c r="Y85" s="67">
        <f t="shared" si="56"/>
        <v>4.8000000000000001E-2</v>
      </c>
      <c r="Z85" s="67">
        <f t="shared" si="57"/>
        <v>23.331</v>
      </c>
      <c r="AA85" s="67">
        <f t="shared" si="67"/>
        <v>23.283000000000001</v>
      </c>
      <c r="AB85" s="64" t="str">
        <f>VLOOKUP(A85,Enforcements!$C$7:$K$19,8,0)</f>
        <v>Speed (6)</v>
      </c>
      <c r="AC85" s="60" t="str">
        <f>VLOOKUP(A85,Enforcements!$C$7:$E$19,3,0)</f>
        <v>PERMANENT SPEED RESTRICTION</v>
      </c>
      <c r="AD85" s="61" t="str">
        <f t="shared" si="68"/>
        <v>0173-17</v>
      </c>
      <c r="AE85" s="91" t="str">
        <f t="shared" si="69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85" s="88" t="str">
        <f t="shared" si="70"/>
        <v>"C:\Program Files (x86)\AstroGrep\AstroGrep.exe" /spath="%USERPROFILE%\AppData\Local\Temp\OnboardLogs" /stypes="app*4046*20161217*" /stext=" 20:.+((SYSTEM_STATE.+slice.+state.+changed )|(ment ac)|(multiple cpu faults)|(system.+state.+changed )|(\[timeout)|(PRM\|1\|D)|(kpr)|(kdp)|(\|lc)|(penalty))" /e /r /s</v>
      </c>
      <c r="AG85" s="1" t="str">
        <f t="shared" si="71"/>
        <v>EC</v>
      </c>
      <c r="AH85" s="92" t="str">
        <f t="shared" si="58"/>
        <v>"%USERPROFILE%\Documents\GitHub\eaglep3\Utilities\RefineRTDCRunTimes.py" --tripid 173-17 --locoid 4046 --swversion DE.1.0.8.0 --startMP 204:480 --initTime 2016-12-17T12:44:47 --startdatetime 2016-12-17T12:47:48 --delay 2 --endMP 204:233310 --enddatetime 2016-12-17T13:37:19 --enforcementcount 0 &gt;&gt;C:\Users\stu\Documents\GitHub\eaglep3-reporting\EC\2016-12-17-refined-times.txt</v>
      </c>
      <c r="AI85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{"issue":{"subject":"","project_id":79,"tracker_id":40,"status_id":1,"priority_id":2,"assigned_to_id":23,"start_date":"2016-12-17","description":"","custom_fields":[{"id":1,"name":"Subdivision","value":"EC"},{"id":4,"name":"Milepost","value":"23.331"},{"id":17,"name":"Train ID","value":"173-17"},{"id":16,"name":"Locomotive ID","value":"4046"},{"id":130,"name":"Impact","value":""},{"id":150,"name":"Time of Event (Mountain Time)","value":"13:37:19"},{"id":151,"name":"Denver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569</v>
      </c>
      <c r="B86" s="7">
        <v>4045</v>
      </c>
      <c r="C86" s="22" t="s">
        <v>205</v>
      </c>
      <c r="D86" s="22" t="s">
        <v>820</v>
      </c>
      <c r="E86" s="13">
        <v>42721.570127314815</v>
      </c>
      <c r="F86" s="13">
        <v>42721.574525462966</v>
      </c>
      <c r="G86" s="7">
        <v>1</v>
      </c>
      <c r="H86" s="22" t="s">
        <v>821</v>
      </c>
      <c r="I86" s="13">
        <v>42721.60429398148</v>
      </c>
      <c r="J86" s="7">
        <v>0</v>
      </c>
      <c r="K86" s="109" t="str">
        <f t="shared" si="60"/>
        <v>4045/4046</v>
      </c>
      <c r="L86" s="22" t="str">
        <f>VLOOKUP(A86,'Trips&amp;Operators'!$C$1:$G$99999,5,FALSE)</f>
        <v>HOLCOMB KAMDEN</v>
      </c>
      <c r="M86" s="6">
        <f t="shared" si="61"/>
        <v>2.9768518514174502E-2</v>
      </c>
      <c r="N86" s="7">
        <f t="shared" si="62"/>
        <v>42.866666660411283</v>
      </c>
      <c r="O86" s="7"/>
      <c r="P86" s="7"/>
      <c r="Q86" s="23"/>
      <c r="R86" s="23"/>
      <c r="S86" s="35">
        <f t="shared" si="63"/>
        <v>1</v>
      </c>
      <c r="T86" s="50" t="str">
        <f t="shared" si="64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12:40:59-700',mode:absolute,to:'2016-12-17 15:30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6" s="52" t="str">
        <f t="shared" si="66"/>
        <v>N</v>
      </c>
      <c r="X86" s="177">
        <f t="shared" si="55"/>
        <v>1</v>
      </c>
      <c r="Y86" s="67">
        <f t="shared" si="56"/>
        <v>23.3019</v>
      </c>
      <c r="Z86" s="67">
        <f t="shared" si="57"/>
        <v>1.72E-2</v>
      </c>
      <c r="AA86" s="67">
        <f t="shared" si="67"/>
        <v>23.284700000000001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68"/>
        <v>0174-17</v>
      </c>
      <c r="AE86" s="91" t="str">
        <f t="shared" si="69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86" s="88" t="str">
        <f t="shared" si="70"/>
        <v>"C:\Program Files (x86)\AstroGrep\AstroGrep.exe" /spath="%USERPROFILE%\AppData\Local\Temp\OnboardLogs" /stypes="app*4045*20161217*" /stext=" 21:.+((SYSTEM_STATE.+slice.+state.+changed )|(ment ac)|(multiple cpu faults)|(system.+state.+changed )|(\[timeout)|(PRM\|1\|D)|(kpr)|(kdp)|(\|lc)|(penalty))" /e /r /s</v>
      </c>
      <c r="AG86" s="1" t="str">
        <f t="shared" si="71"/>
        <v>EC</v>
      </c>
      <c r="AH86" s="92" t="str">
        <f t="shared" si="58"/>
        <v>"%USERPROFILE%\Documents\GitHub\eaglep3\Utilities\RefineRTDCRunTimes.py" --tripid 174-17 --locoid 4045 --swversion DE.1.0.8.0 --startMP 204:233019 --initTime 2016-12-17T13:40:59 --startdatetime 2016-12-17T13:47:19 --delay 1 --endMP 204:172 --enddatetime 2016-12-17T14:30:11 --enforcementcount 0 &gt;&gt;C:\Users\stu\Documents\GitHub\eaglep3-reporting\EC\2016-12-17-refined-times.txt</v>
      </c>
      <c r="AI86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{"issue":{"subject":"","project_id":79,"tracker_id":40,"status_id":1,"priority_id":2,"assigned_to_id":23,"start_date":"2016-12-17","description":"","custom_fields":[{"id":1,"name":"Subdivision","value":"EC"},{"id":4,"name":"Milepost","value":"0.0172"},{"id":17,"name":"Train ID","value":"174-17"},{"id":16,"name":"Locomotive ID","value":"4045"},{"id":130,"name":"Impact","value":""},{"id":150,"name":"Time of Event (Mountain Time)","value":"14:30:11"},{"id":151,"name":"Denver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667</v>
      </c>
      <c r="B87" s="7">
        <v>4018</v>
      </c>
      <c r="C87" s="22" t="s">
        <v>205</v>
      </c>
      <c r="D87" s="22" t="s">
        <v>822</v>
      </c>
      <c r="E87" s="13">
        <v>42721.53707175926</v>
      </c>
      <c r="F87" s="13">
        <v>42721.542013888888</v>
      </c>
      <c r="G87" s="7">
        <v>1</v>
      </c>
      <c r="H87" s="22" t="s">
        <v>823</v>
      </c>
      <c r="I87" s="13">
        <v>42721.571481481478</v>
      </c>
      <c r="J87" s="7">
        <v>0</v>
      </c>
      <c r="K87" s="109" t="str">
        <f t="shared" si="60"/>
        <v>4017/4018</v>
      </c>
      <c r="L87" s="22" t="str">
        <f>VLOOKUP(A87,'Trips&amp;Operators'!$C$1:$G$99999,5,FALSE)</f>
        <v>BARTLETT KIANDRA</v>
      </c>
      <c r="M87" s="6">
        <f t="shared" si="61"/>
        <v>2.9467592590663116E-2</v>
      </c>
      <c r="N87" s="7">
        <f t="shared" si="62"/>
        <v>42.433333330554888</v>
      </c>
      <c r="O87" s="7"/>
      <c r="P87" s="7"/>
      <c r="Q87" s="23"/>
      <c r="R87" s="23"/>
      <c r="S87" s="35">
        <f t="shared" si="63"/>
        <v>1</v>
      </c>
      <c r="T87" s="50" t="str">
        <f t="shared" si="64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11:53:23-700',mode:absolute,to:'2016-12-17 14:42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7" s="52" t="str">
        <f t="shared" si="66"/>
        <v>N</v>
      </c>
      <c r="X87" s="177">
        <f t="shared" si="55"/>
        <v>1</v>
      </c>
      <c r="Y87" s="67">
        <f t="shared" si="56"/>
        <v>0.1169</v>
      </c>
      <c r="Z87" s="67">
        <f t="shared" si="57"/>
        <v>23.310300000000002</v>
      </c>
      <c r="AA87" s="67">
        <f t="shared" si="67"/>
        <v>23.1934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68"/>
        <v>0175-17</v>
      </c>
      <c r="AE87" s="91" t="str">
        <f t="shared" si="69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87" s="88" t="str">
        <f t="shared" si="70"/>
        <v>"C:\Program Files (x86)\AstroGrep\AstroGrep.exe" /spath="%USERPROFILE%\AppData\Local\Temp\OnboardLogs" /stypes="app*4018*20161217*" /stext=" 20:.+((SYSTEM_STATE.+slice.+state.+changed )|(ment ac)|(multiple cpu faults)|(system.+state.+changed )|(\[timeout)|(PRM\|1\|D)|(kpr)|(kdp)|(\|lc)|(penalty))" /e /r /s</v>
      </c>
      <c r="AG87" s="1" t="str">
        <f t="shared" si="71"/>
        <v>EC</v>
      </c>
      <c r="AH87" s="92" t="str">
        <f t="shared" si="58"/>
        <v>"%USERPROFILE%\Documents\GitHub\eaglep3\Utilities\RefineRTDCRunTimes.py" --tripid 175-17 --locoid 4018 --swversion DE.1.0.8.0 --startMP 204:1169 --initTime 2016-12-17T12:53:23 --startdatetime 2016-12-17T13:00:30 --delay 1 --endMP 204:233103 --enddatetime 2016-12-17T13:42:56 --enforcementcount 0 &gt;&gt;C:\Users\stu\Documents\GitHub\eaglep3-reporting\EC\2016-12-17-refined-times.txt</v>
      </c>
      <c r="AI87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{"issue":{"subject":"","project_id":79,"tracker_id":40,"status_id":1,"priority_id":2,"assigned_to_id":23,"start_date":"2016-12-17","description":"","custom_fields":[{"id":1,"name":"Subdivision","value":"EC"},{"id":4,"name":"Milepost","value":"23.3103"},{"id":17,"name":"Train ID","value":"175-17"},{"id":16,"name":"Locomotive ID","value":"4018"},{"id":130,"name":"Impact","value":""},{"id":150,"name":"Time of Event (Mountain Time)","value":"13:42:56"},{"id":151,"name":"Denver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570</v>
      </c>
      <c r="B88" s="7">
        <v>4017</v>
      </c>
      <c r="C88" s="22" t="s">
        <v>205</v>
      </c>
      <c r="D88" s="22" t="s">
        <v>824</v>
      </c>
      <c r="E88" s="13">
        <v>42721.579409722224</v>
      </c>
      <c r="F88" s="13">
        <v>42721.58185185185</v>
      </c>
      <c r="G88" s="7">
        <v>2</v>
      </c>
      <c r="H88" s="22" t="s">
        <v>825</v>
      </c>
      <c r="I88" s="13">
        <v>42721.613842592589</v>
      </c>
      <c r="J88" s="7">
        <v>0</v>
      </c>
      <c r="K88" s="109" t="str">
        <f t="shared" si="60"/>
        <v>4017/4018</v>
      </c>
      <c r="L88" s="22" t="str">
        <f>VLOOKUP(A88,'Trips&amp;Operators'!$C$1:$G$99999,5,FALSE)</f>
        <v>BARTLETT KIANDRA</v>
      </c>
      <c r="M88" s="6">
        <f t="shared" si="61"/>
        <v>3.199074073927477E-2</v>
      </c>
      <c r="N88" s="7">
        <f t="shared" si="62"/>
        <v>46.066666664555669</v>
      </c>
      <c r="O88" s="7"/>
      <c r="P88" s="7"/>
      <c r="Q88" s="23"/>
      <c r="R88" s="23"/>
      <c r="S88" s="35">
        <f t="shared" si="63"/>
        <v>1</v>
      </c>
      <c r="T88" s="50" t="str">
        <f t="shared" si="64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12:54:21-700',mode:absolute,to:'2016-12-17 15:43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8" s="52" t="str">
        <f t="shared" si="66"/>
        <v>N</v>
      </c>
      <c r="X88" s="177">
        <f t="shared" si="55"/>
        <v>1</v>
      </c>
      <c r="Y88" s="67">
        <f t="shared" si="56"/>
        <v>23.277100000000001</v>
      </c>
      <c r="Z88" s="67">
        <f t="shared" si="57"/>
        <v>1.7000000000000001E-2</v>
      </c>
      <c r="AA88" s="67">
        <f t="shared" si="67"/>
        <v>23.260100000000001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68"/>
        <v>0176-17</v>
      </c>
      <c r="AE88" s="91" t="str">
        <f t="shared" si="69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88" s="88" t="str">
        <f t="shared" si="70"/>
        <v>"C:\Program Files (x86)\AstroGrep\AstroGrep.exe" /spath="%USERPROFILE%\AppData\Local\Temp\OnboardLogs" /stypes="app*4017*20161217*" /stext=" 21:.+((SYSTEM_STATE.+slice.+state.+changed )|(ment ac)|(multiple cpu faults)|(system.+state.+changed )|(\[timeout)|(PRM\|1\|D)|(kpr)|(kdp)|(\|lc)|(penalty))" /e /r /s</v>
      </c>
      <c r="AG88" s="1" t="str">
        <f t="shared" si="71"/>
        <v>EC</v>
      </c>
      <c r="AH88" s="92" t="str">
        <f t="shared" si="58"/>
        <v>"%USERPROFILE%\Documents\GitHub\eaglep3\Utilities\RefineRTDCRunTimes.py" --tripid 176-17 --locoid 4017 --swversion DE.1.0.8.0 --startMP 204:232771 --initTime 2016-12-17T13:54:21 --startdatetime 2016-12-17T13:57:52 --delay 2 --endMP 204:170 --enddatetime 2016-12-17T14:43:56 --enforcementcount 0 &gt;&gt;C:\Users\stu\Documents\GitHub\eaglep3-reporting\EC\2016-12-17-refined-times.txt</v>
      </c>
      <c r="AI88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{"issue":{"subject":"","project_id":79,"tracker_id":40,"status_id":1,"priority_id":2,"assigned_to_id":23,"start_date":"2016-12-17","description":"","custom_fields":[{"id":1,"name":"Subdivision","value":"EC"},{"id":4,"name":"Milepost","value":"0.017"},{"id":17,"name":"Train ID","value":"176-17"},{"id":16,"name":"Locomotive ID","value":"4017"},{"id":130,"name":"Impact","value":""},{"id":150,"name":"Time of Event (Mountain Time)","value":"14:43:56"},{"id":151,"name":"Denver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669</v>
      </c>
      <c r="B89" s="7">
        <v>4029</v>
      </c>
      <c r="C89" s="22" t="s">
        <v>205</v>
      </c>
      <c r="D89" s="22" t="s">
        <v>826</v>
      </c>
      <c r="E89" s="13">
        <v>42721.554606481484</v>
      </c>
      <c r="F89" s="13">
        <v>42721.557314814818</v>
      </c>
      <c r="G89" s="7">
        <v>1</v>
      </c>
      <c r="H89" s="22" t="s">
        <v>827</v>
      </c>
      <c r="I89" s="13">
        <v>42721.583784722221</v>
      </c>
      <c r="J89" s="7">
        <v>0</v>
      </c>
      <c r="K89" s="109" t="str">
        <f t="shared" si="60"/>
        <v>4029/4030</v>
      </c>
      <c r="L89" s="22" t="str">
        <f>VLOOKUP(A89,'Trips&amp;Operators'!$C$1:$G$99999,5,FALSE)</f>
        <v>MAHAN DUANE</v>
      </c>
      <c r="M89" s="6">
        <f t="shared" si="61"/>
        <v>2.6469907403225079E-2</v>
      </c>
      <c r="N89" s="7">
        <f t="shared" si="62"/>
        <v>38.116666660644114</v>
      </c>
      <c r="O89" s="7"/>
      <c r="P89" s="7"/>
      <c r="Q89" s="23"/>
      <c r="R89" s="23"/>
      <c r="S89" s="35">
        <f t="shared" si="63"/>
        <v>1</v>
      </c>
      <c r="T89" s="50" t="str">
        <f t="shared" si="64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12:18:38-700',mode:absolute,to:'2016-12-17 15:00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9" s="52" t="str">
        <f t="shared" si="66"/>
        <v>N</v>
      </c>
      <c r="X89" s="177">
        <f t="shared" si="55"/>
        <v>1</v>
      </c>
      <c r="Y89" s="67">
        <f t="shared" si="56"/>
        <v>0.1232</v>
      </c>
      <c r="Z89" s="67">
        <f t="shared" si="57"/>
        <v>23.3338</v>
      </c>
      <c r="AA89" s="67">
        <f t="shared" si="67"/>
        <v>23.210599999999999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68"/>
        <v>0177-17</v>
      </c>
      <c r="AE89" s="91" t="str">
        <f t="shared" si="69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89" s="88" t="str">
        <f t="shared" si="70"/>
        <v>"C:\Program Files (x86)\AstroGrep\AstroGrep.exe" /spath="%USERPROFILE%\AppData\Local\Temp\OnboardLogs" /stypes="app*4029*20161217*" /stext=" 21:.+((SYSTEM_STATE.+slice.+state.+changed )|(ment ac)|(multiple cpu faults)|(system.+state.+changed )|(\[timeout)|(PRM\|1\|D)|(kpr)|(kdp)|(\|lc)|(penalty))" /e /r /s</v>
      </c>
      <c r="AG89" s="1" t="str">
        <f t="shared" si="71"/>
        <v>EC</v>
      </c>
      <c r="AH89" s="92" t="str">
        <f t="shared" si="58"/>
        <v>"%USERPROFILE%\Documents\GitHub\eaglep3\Utilities\RefineRTDCRunTimes.py" --tripid 177-17 --locoid 4029 --swversion DE.1.0.8.0 --startMP 204:1232 --initTime 2016-12-17T13:18:38 --startdatetime 2016-12-17T13:22:32 --delay 1 --endMP 204:233338 --enddatetime 2016-12-17T14:00:39 --enforcementcount 0 &gt;&gt;C:\Users\stu\Documents\GitHub\eaglep3-reporting\EC\2016-12-17-refined-times.txt</v>
      </c>
      <c r="AI89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{"issue":{"subject":"","project_id":79,"tracker_id":40,"status_id":1,"priority_id":2,"assigned_to_id":23,"start_date":"2016-12-17","description":"","custom_fields":[{"id":1,"name":"Subdivision","value":"EC"},{"id":4,"name":"Milepost","value":"23.3338"},{"id":17,"name":"Train ID","value":"177-17"},{"id":16,"name":"Locomotive ID","value":"4029"},{"id":130,"name":"Impact","value":""},{"id":150,"name":"Time of Event (Mountain Time)","value":"14:00:39"},{"id":151,"name":"Denver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674</v>
      </c>
      <c r="B90" s="7">
        <v>4030</v>
      </c>
      <c r="C90" s="22" t="s">
        <v>205</v>
      </c>
      <c r="D90" s="22" t="s">
        <v>273</v>
      </c>
      <c r="E90" s="13">
        <v>42721.58699074074</v>
      </c>
      <c r="F90" s="13">
        <v>42721.591296296298</v>
      </c>
      <c r="G90" s="7">
        <v>1</v>
      </c>
      <c r="H90" s="22" t="s">
        <v>266</v>
      </c>
      <c r="I90" s="13">
        <v>42721.624027777776</v>
      </c>
      <c r="J90" s="7">
        <v>0</v>
      </c>
      <c r="K90" s="109" t="str">
        <f t="shared" si="60"/>
        <v>4029/4030</v>
      </c>
      <c r="L90" s="22" t="str">
        <f>VLOOKUP(A90,'Trips&amp;Operators'!$C$1:$G$99999,5,FALSE)</f>
        <v>MAHAN DUANE</v>
      </c>
      <c r="M90" s="6">
        <f t="shared" si="61"/>
        <v>3.273148147854954E-2</v>
      </c>
      <c r="N90" s="7">
        <f t="shared" si="62"/>
        <v>47.133333329111338</v>
      </c>
      <c r="O90" s="7"/>
      <c r="P90" s="7"/>
      <c r="Q90" s="23"/>
      <c r="R90" s="23"/>
      <c r="S90" s="35">
        <f t="shared" si="63"/>
        <v>1</v>
      </c>
      <c r="T90" s="50" t="str">
        <f t="shared" si="64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13:05:16-700',mode:absolute,to:'2016-12-17 15:58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0" s="52" t="str">
        <f t="shared" si="66"/>
        <v>N</v>
      </c>
      <c r="X90" s="177">
        <f t="shared" si="55"/>
        <v>1</v>
      </c>
      <c r="Y90" s="67">
        <f t="shared" si="56"/>
        <v>23.299600000000002</v>
      </c>
      <c r="Z90" s="67">
        <f t="shared" si="57"/>
        <v>1.47E-2</v>
      </c>
      <c r="AA90" s="67">
        <f t="shared" si="67"/>
        <v>23.2849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68"/>
        <v>0178-17</v>
      </c>
      <c r="AE90" s="91" t="str">
        <f t="shared" si="69"/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AF90" s="88" t="str">
        <f t="shared" si="70"/>
        <v>"C:\Program Files (x86)\AstroGrep\AstroGrep.exe" /spath="%USERPROFILE%\AppData\Local\Temp\OnboardLogs" /stypes="app*4030*20161217*" /stext=" 21:.+((SYSTEM_STATE.+slice.+state.+changed )|(ment ac)|(multiple cpu faults)|(system.+state.+changed )|(\[timeout)|(PRM\|1\|D)|(kpr)|(kdp)|(\|lc)|(penalty))" /e /r /s</v>
      </c>
      <c r="AG90" s="1" t="str">
        <f t="shared" si="71"/>
        <v>EC</v>
      </c>
      <c r="AH90" s="92" t="str">
        <f t="shared" si="58"/>
        <v>"%USERPROFILE%\Documents\GitHub\eaglep3\Utilities\RefineRTDCRunTimes.py" --tripid 178-17 --locoid 4030 --swversion DE.1.0.8.0 --startMP 204:232996 --initTime 2016-12-17T14:05:16 --startdatetime 2016-12-17T14:11:28 --delay 1 --endMP 204:147 --enddatetime 2016-12-17T14:58:36 --enforcementcount 0 &gt;&gt;C:\Users\stu\Documents\GitHub\eaglep3-reporting\EC\2016-12-17-refined-times.txt</v>
      </c>
      <c r="AI90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{"issue":{"subject":"","project_id":79,"tracker_id":40,"status_id":1,"priority_id":2,"assigned_to_id":23,"start_date":"2016-12-17","description":"","custom_fields":[{"id":1,"name":"Subdivision","value":"EC"},{"id":4,"name":"Milepost","value":"0.0147"},{"id":17,"name":"Train ID","value":"178-17"},{"id":16,"name":"Locomotive ID","value":"4030"},{"id":130,"name":"Impact","value":""},{"id":150,"name":"Time of Event (Mountain Time)","value":"14:58:36"},{"id":151,"name":"Denver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670</v>
      </c>
      <c r="B91" s="7">
        <v>4016</v>
      </c>
      <c r="C91" s="22" t="s">
        <v>205</v>
      </c>
      <c r="D91" s="22" t="s">
        <v>275</v>
      </c>
      <c r="E91" s="13">
        <v>42721.564247685186</v>
      </c>
      <c r="F91" s="13">
        <v>42721.565879629627</v>
      </c>
      <c r="G91" s="7">
        <v>1</v>
      </c>
      <c r="H91" s="22" t="s">
        <v>828</v>
      </c>
      <c r="I91" s="13">
        <v>42721.591990740744</v>
      </c>
      <c r="J91" s="7">
        <v>0</v>
      </c>
      <c r="K91" s="109" t="str">
        <f t="shared" si="60"/>
        <v>4015/4016</v>
      </c>
      <c r="L91" s="22" t="str">
        <f>VLOOKUP(A91,'Trips&amp;Operators'!$C$1:$G$99999,5,FALSE)</f>
        <v>SHOOK JOHN</v>
      </c>
      <c r="M91" s="6">
        <f t="shared" si="61"/>
        <v>2.6111111117643304E-2</v>
      </c>
      <c r="N91" s="7">
        <f t="shared" si="62"/>
        <v>37.600000009406358</v>
      </c>
      <c r="O91" s="7"/>
      <c r="P91" s="7"/>
      <c r="Q91" s="23"/>
      <c r="R91" s="23"/>
      <c r="S91" s="35">
        <f t="shared" si="63"/>
        <v>1</v>
      </c>
      <c r="T91" s="50" t="str">
        <f t="shared" si="64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12:32:31-700',mode:absolute,to:'2016-12-17 15:12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1" s="52" t="str">
        <f t="shared" si="66"/>
        <v>N</v>
      </c>
      <c r="X91" s="177">
        <f t="shared" si="55"/>
        <v>1</v>
      </c>
      <c r="Y91" s="67">
        <f t="shared" si="56"/>
        <v>4.6699999999999998E-2</v>
      </c>
      <c r="Z91" s="67">
        <f t="shared" si="57"/>
        <v>23.3109</v>
      </c>
      <c r="AA91" s="67">
        <f t="shared" si="67"/>
        <v>23.264199999999999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68"/>
        <v>0179-17</v>
      </c>
      <c r="AE91" s="91" t="str">
        <f t="shared" si="69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91" s="88" t="str">
        <f t="shared" si="70"/>
        <v>"C:\Program Files (x86)\AstroGrep\AstroGrep.exe" /spath="%USERPROFILE%\AppData\Local\Temp\OnboardLogs" /stypes="app*4016*20161217*" /stext=" 21:.+((SYSTEM_STATE.+slice.+state.+changed )|(ment ac)|(multiple cpu faults)|(system.+state.+changed )|(\[timeout)|(PRM\|1\|D)|(kpr)|(kdp)|(\|lc)|(penalty))" /e /r /s</v>
      </c>
      <c r="AG91" s="1" t="str">
        <f t="shared" si="71"/>
        <v>EC</v>
      </c>
      <c r="AH91" s="92" t="str">
        <f t="shared" si="58"/>
        <v>"%USERPROFILE%\Documents\GitHub\eaglep3\Utilities\RefineRTDCRunTimes.py" --tripid 179-17 --locoid 4016 --swversion DE.1.0.8.0 --startMP 204:467 --initTime 2016-12-17T13:32:31 --startdatetime 2016-12-17T13:34:52 --delay 1 --endMP 204:233109 --enddatetime 2016-12-17T14:12:28 --enforcementcount 0 &gt;&gt;C:\Users\stu\Documents\GitHub\eaglep3-reporting\EC\2016-12-17-refined-times.txt</v>
      </c>
      <c r="AI91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{"issue":{"subject":"","project_id":79,"tracker_id":40,"status_id":1,"priority_id":2,"assigned_to_id":23,"start_date":"2016-12-17","description":"","custom_fields":[{"id":1,"name":"Subdivision","value":"EC"},{"id":4,"name":"Milepost","value":"23.3109"},{"id":17,"name":"Train ID","value":"179-17"},{"id":16,"name":"Locomotive ID","value":"4016"},{"id":130,"name":"Impact","value":""},{"id":150,"name":"Time of Event (Mountain Time)","value":"14:12:28"},{"id":151,"name":"Denver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678</v>
      </c>
      <c r="B92" s="7">
        <v>4015</v>
      </c>
      <c r="C92" s="22" t="s">
        <v>205</v>
      </c>
      <c r="D92" s="22" t="s">
        <v>829</v>
      </c>
      <c r="E92" s="13">
        <v>42721.59642361111</v>
      </c>
      <c r="F92" s="13">
        <v>42721.598113425927</v>
      </c>
      <c r="G92" s="7">
        <v>0</v>
      </c>
      <c r="H92" s="22" t="s">
        <v>266</v>
      </c>
      <c r="I92" s="13">
        <v>42721.634560185186</v>
      </c>
      <c r="J92" s="7">
        <v>0</v>
      </c>
      <c r="K92" s="109" t="str">
        <f t="shared" si="60"/>
        <v>4015/4016</v>
      </c>
      <c r="L92" s="22" t="str">
        <f>VLOOKUP(A92,'Trips&amp;Operators'!$C$1:$G$99999,5,FALSE)</f>
        <v>SHOOK JOHN</v>
      </c>
      <c r="M92" s="6">
        <f t="shared" si="61"/>
        <v>3.6446759258979E-2</v>
      </c>
      <c r="N92" s="7">
        <f t="shared" si="62"/>
        <v>52.48333333292976</v>
      </c>
      <c r="O92" s="7"/>
      <c r="P92" s="7"/>
      <c r="Q92" s="23"/>
      <c r="R92" s="23" t="s">
        <v>986</v>
      </c>
      <c r="S92" s="35">
        <f t="shared" si="63"/>
        <v>1</v>
      </c>
      <c r="T92" s="50" t="str">
        <f t="shared" si="64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13:18:51-700',mode:absolute,to:'2016-12-17 16:13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2" s="52" t="str">
        <f t="shared" si="66"/>
        <v>N</v>
      </c>
      <c r="X92" s="177">
        <f t="shared" ref="X92:X100" si="72">VALUE(LEFT(AD92,4))-VALUE(LEFT(AD91,4))</f>
        <v>1</v>
      </c>
      <c r="Y92" s="67">
        <f t="shared" si="56"/>
        <v>23.279199999999999</v>
      </c>
      <c r="Z92" s="67">
        <f t="shared" si="57"/>
        <v>1.47E-2</v>
      </c>
      <c r="AA92" s="67">
        <f t="shared" si="67"/>
        <v>23.264499999999998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68"/>
        <v>0180-17</v>
      </c>
      <c r="AE92" s="91" t="str">
        <f t="shared" si="69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92" s="88" t="str">
        <f t="shared" si="70"/>
        <v>"C:\Program Files (x86)\AstroGrep\AstroGrep.exe" /spath="%USERPROFILE%\AppData\Local\Temp\OnboardLogs" /stypes="app*4015*20161217*" /stext=" 22:.+((SYSTEM_STATE.+slice.+state.+changed )|(ment ac)|(multiple cpu faults)|(system.+state.+changed )|(\[timeout)|(PRM\|1\|D)|(kpr)|(kdp)|(\|lc)|(penalty))" /e /r /s</v>
      </c>
      <c r="AG92" s="1" t="str">
        <f t="shared" si="71"/>
        <v>EC</v>
      </c>
      <c r="AH92" s="92" t="str">
        <f t="shared" si="58"/>
        <v>"%USERPROFILE%\Documents\GitHub\eaglep3\Utilities\RefineRTDCRunTimes.py" --tripid 180-17 --locoid 4015 --swversion DE.1.0.8.0 --startMP 204:232792 --initTime 2016-12-17T14:18:51 --startdatetime 2016-12-17T14:21:17 --delay 0 --endMP 204:147 --enddatetime 2016-12-17T15:13:46 --enforcementcount 0 &gt;&gt;C:\Users\stu\Documents\GitHub\eaglep3-reporting\EC\2016-12-17-refined-times.txt</v>
      </c>
      <c r="AI92" s="119" t="str">
        <f t="shared" si="59"/>
        <v>echo {"issue":{"subject":"Onboard in-route failure delayed departure","project_id":79,"tracker_id":40,"status_id":1,"priority_id":2,"assigned_to_id":23,"start_date":"2016-12-17","description":"","custom_fields":[{"id":1,"name":"Subdivision","value":"EC"},{"id":4,"name":"Milepost","value":"0.0147"},{"id":17,"name":"Train ID","value":"180-17"},{"id":16,"name":"Locomotive ID","value":"4015"},{"id":130,"name":"Impact","value":""},{"id":150,"name":"Time of Event (Mountain Time)","value":"15:13:46"},{"id":151,"name":"Denver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672</v>
      </c>
      <c r="B93" s="7">
        <v>4020</v>
      </c>
      <c r="C93" s="22" t="s">
        <v>205</v>
      </c>
      <c r="D93" s="22" t="s">
        <v>836</v>
      </c>
      <c r="E93" s="13">
        <v>42721.569525462961</v>
      </c>
      <c r="F93" s="13">
        <v>42721.573125000003</v>
      </c>
      <c r="G93" s="7">
        <v>1</v>
      </c>
      <c r="H93" s="22" t="s">
        <v>837</v>
      </c>
      <c r="I93" s="13">
        <v>42721.601469907408</v>
      </c>
      <c r="J93" s="7">
        <v>0</v>
      </c>
      <c r="K93" s="109" t="str">
        <f t="shared" si="60"/>
        <v>4019/4020</v>
      </c>
      <c r="L93" s="22" t="str">
        <f>VLOOKUP(A93,'Trips&amp;Operators'!$C$1:$G$99999,5,FALSE)</f>
        <v>BRUDER RICHARD</v>
      </c>
      <c r="M93" s="6">
        <f t="shared" si="61"/>
        <v>2.8344907404971309E-2</v>
      </c>
      <c r="N93" s="7">
        <f t="shared" si="62"/>
        <v>40.816666663158685</v>
      </c>
      <c r="O93" s="7"/>
      <c r="P93" s="7"/>
      <c r="Q93" s="23"/>
      <c r="R93" s="23"/>
      <c r="S93" s="35">
        <f t="shared" si="63"/>
        <v>1</v>
      </c>
      <c r="T93" s="50" t="str">
        <f t="shared" si="64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12:40:07-700',mode:absolute,to:'2016-12-17 15:26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 t="shared" si="66"/>
        <v>N</v>
      </c>
      <c r="X93" s="177">
        <f t="shared" si="72"/>
        <v>1</v>
      </c>
      <c r="Y93" s="67">
        <f t="shared" si="56"/>
        <v>0.11990000000000001</v>
      </c>
      <c r="Z93" s="67">
        <f t="shared" si="57"/>
        <v>23.334399999999999</v>
      </c>
      <c r="AA93" s="67">
        <f t="shared" si="67"/>
        <v>23.214499999999997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68"/>
        <v>0181-17</v>
      </c>
      <c r="AE93" s="91" t="str">
        <f t="shared" si="69"/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93" s="88" t="str">
        <f t="shared" si="70"/>
        <v>"C:\Program Files (x86)\AstroGrep\AstroGrep.exe" /spath="%USERPROFILE%\AppData\Local\Temp\OnboardLogs" /stypes="app*4020*20161217*" /stext=" 21:.+((SYSTEM_STATE.+slice.+state.+changed )|(ment ac)|(multiple cpu faults)|(system.+state.+changed )|(\[timeout)|(PRM\|1\|D)|(kpr)|(kdp)|(\|lc)|(penalty))" /e /r /s</v>
      </c>
      <c r="AG93" s="1" t="str">
        <f t="shared" si="71"/>
        <v>EC</v>
      </c>
      <c r="AH93" s="92" t="str">
        <f t="shared" si="58"/>
        <v>"%USERPROFILE%\Documents\GitHub\eaglep3\Utilities\RefineRTDCRunTimes.py" --tripid 181-17 --locoid 4020 --swversion DE.1.0.8.0 --startMP 204:1199 --initTime 2016-12-17T13:40:07 --startdatetime 2016-12-17T13:45:18 --delay 1 --endMP 204:233344 --enddatetime 2016-12-17T14:26:07 --enforcementcount 0 &gt;&gt;C:\Users\stu\Documents\GitHub\eaglep3-reporting\EC\2016-12-17-refined-times.txt</v>
      </c>
      <c r="AI93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{"issue":{"subject":"","project_id":79,"tracker_id":40,"status_id":1,"priority_id":2,"assigned_to_id":23,"start_date":"2016-12-17","description":"","custom_fields":[{"id":1,"name":"Subdivision","value":"EC"},{"id":4,"name":"Milepost","value":"23.3344"},{"id":17,"name":"Train ID","value":"181-17"},{"id":16,"name":"Locomotive ID","value":"4020"},{"id":130,"name":"Impact","value":""},{"id":150,"name":"Time of Event (Mountain Time)","value":"14:26:07"},{"id":151,"name":"Denver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679</v>
      </c>
      <c r="B94" s="7">
        <v>4019</v>
      </c>
      <c r="C94" s="22" t="s">
        <v>205</v>
      </c>
      <c r="D94" s="22" t="s">
        <v>273</v>
      </c>
      <c r="E94" s="13">
        <v>42721.607094907406</v>
      </c>
      <c r="F94" s="13">
        <v>42721.612291666665</v>
      </c>
      <c r="G94" s="7">
        <v>1</v>
      </c>
      <c r="H94" s="22" t="s">
        <v>266</v>
      </c>
      <c r="I94" s="13">
        <v>42721.640706018516</v>
      </c>
      <c r="J94" s="7">
        <v>0</v>
      </c>
      <c r="K94" s="109" t="str">
        <f t="shared" si="60"/>
        <v>4019/4020</v>
      </c>
      <c r="L94" s="22" t="str">
        <f>VLOOKUP(A94,'Trips&amp;Operators'!$C$1:$G$99999,5,FALSE)</f>
        <v>BRUDER RICHARD</v>
      </c>
      <c r="M94" s="6">
        <f t="shared" si="61"/>
        <v>2.8414351851097308E-2</v>
      </c>
      <c r="N94" s="7">
        <f t="shared" si="62"/>
        <v>40.916666665580124</v>
      </c>
      <c r="O94" s="7"/>
      <c r="P94" s="7"/>
      <c r="Q94" s="23"/>
      <c r="R94" s="23"/>
      <c r="S94" s="35">
        <f t="shared" si="63"/>
        <v>1</v>
      </c>
      <c r="T94" s="50" t="str">
        <f t="shared" si="64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13:34:13-700',mode:absolute,to:'2016-12-17 16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 t="shared" si="66"/>
        <v>N</v>
      </c>
      <c r="X94" s="177">
        <f t="shared" si="72"/>
        <v>1</v>
      </c>
      <c r="Y94" s="67">
        <f t="shared" si="56"/>
        <v>23.299600000000002</v>
      </c>
      <c r="Z94" s="67">
        <f t="shared" si="57"/>
        <v>1.47E-2</v>
      </c>
      <c r="AA94" s="67">
        <f t="shared" si="67"/>
        <v>23.2849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68"/>
        <v>0182-17</v>
      </c>
      <c r="AE94" s="91" t="str">
        <f t="shared" si="69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94" s="88" t="str">
        <f t="shared" si="70"/>
        <v>"C:\Program Files (x86)\AstroGrep\AstroGrep.exe" /spath="%USERPROFILE%\AppData\Local\Temp\OnboardLogs" /stypes="app*4019*20161217*" /stext=" 22:.+((SYSTEM_STATE.+slice.+state.+changed )|(ment ac)|(multiple cpu faults)|(system.+state.+changed )|(\[timeout)|(PRM\|1\|D)|(kpr)|(kdp)|(\|lc)|(penalty))" /e /r /s</v>
      </c>
      <c r="AG94" s="1" t="str">
        <f t="shared" si="71"/>
        <v>EC</v>
      </c>
      <c r="AH94" s="92" t="str">
        <f t="shared" si="58"/>
        <v>"%USERPROFILE%\Documents\GitHub\eaglep3\Utilities\RefineRTDCRunTimes.py" --tripid 182-17 --locoid 4019 --swversion DE.1.0.8.0 --startMP 204:232996 --initTime 2016-12-17T14:34:13 --startdatetime 2016-12-17T14:41:42 --delay 1 --endMP 204:147 --enddatetime 2016-12-17T15:22:37 --enforcementcount 0 &gt;&gt;C:\Users\stu\Documents\GitHub\eaglep3-reporting\EC\2016-12-17-refined-times.txt</v>
      </c>
      <c r="AI94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{"issue":{"subject":"","project_id":79,"tracker_id":40,"status_id":1,"priority_id":2,"assigned_to_id":23,"start_date":"2016-12-17","description":"","custom_fields":[{"id":1,"name":"Subdivision","value":"EC"},{"id":4,"name":"Milepost","value":"0.0147"},{"id":17,"name":"Train ID","value":"182-17"},{"id":16,"name":"Locomotive ID","value":"4019"},{"id":130,"name":"Impact","value":""},{"id":150,"name":"Time of Event (Mountain Time)","value":"15:22:37"},{"id":151,"name":"Denver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676</v>
      </c>
      <c r="B95" s="7">
        <v>4022</v>
      </c>
      <c r="C95" s="22" t="s">
        <v>205</v>
      </c>
      <c r="D95" s="22" t="s">
        <v>850</v>
      </c>
      <c r="E95" s="13">
        <v>42721.588784722226</v>
      </c>
      <c r="F95" s="13">
        <v>42721.590324074074</v>
      </c>
      <c r="G95" s="7">
        <v>2</v>
      </c>
      <c r="H95" s="22" t="s">
        <v>851</v>
      </c>
      <c r="I95" s="13">
        <v>42721.602858796294</v>
      </c>
      <c r="J95" s="7">
        <v>0</v>
      </c>
      <c r="K95" s="109" t="str">
        <f t="shared" si="60"/>
        <v>4021/4022</v>
      </c>
      <c r="L95" s="22" t="str">
        <f>VLOOKUP(A95,'Trips&amp;Operators'!$C$1:$G$99999,5,FALSE)</f>
        <v>MOSES BRADLEY</v>
      </c>
      <c r="M95" s="6">
        <f t="shared" si="61"/>
        <v>1.2534722220152617E-2</v>
      </c>
      <c r="N95" s="7">
        <f>24*60*SUM($M95:$M96)</f>
        <v>46.466666663764045</v>
      </c>
      <c r="O95" s="7"/>
      <c r="P95" s="7"/>
      <c r="Q95" s="23"/>
      <c r="R95" s="23" t="s">
        <v>988</v>
      </c>
      <c r="S95" s="35">
        <f>SUM(U95:U96)/IF(AG95="EC",12,1)</f>
        <v>1</v>
      </c>
      <c r="T95" s="50" t="str">
        <f t="shared" si="64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9</v>
      </c>
      <c r="V9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13:07:51-700',mode:absolute,to:'2016-12-17 15:28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52" t="str">
        <f t="shared" si="66"/>
        <v>Y</v>
      </c>
      <c r="X95" s="177">
        <f t="shared" si="72"/>
        <v>1</v>
      </c>
      <c r="Y95" s="67">
        <f t="shared" si="56"/>
        <v>4.1799999999999997E-2</v>
      </c>
      <c r="Z95" s="67">
        <f t="shared" si="57"/>
        <v>6.5114999999999998</v>
      </c>
      <c r="AA95" s="67">
        <f t="shared" si="67"/>
        <v>6.4696999999999996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68"/>
        <v>0183-17</v>
      </c>
      <c r="AE95" s="91" t="str">
        <f t="shared" si="69"/>
        <v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v>
      </c>
      <c r="AF95" s="88" t="str">
        <f t="shared" si="70"/>
        <v>"C:\Program Files (x86)\AstroGrep\AstroGrep.exe" /spath="%USERPROFILE%\AppData\Local\Temp\OnboardLogs" /stypes="app*4022*20161217*" /stext=" 21:.+((SYSTEM_STATE.+slice.+state.+changed )|(ment ac)|(multiple cpu faults)|(system.+state.+changed )|(\[timeout)|(PRM\|1\|D)|(kpr)|(kdp)|(\|lc)|(penalty))" /e /r /s</v>
      </c>
      <c r="AG95" s="1" t="str">
        <f t="shared" si="71"/>
        <v>EC</v>
      </c>
      <c r="AH95" s="92" t="str">
        <f t="shared" si="58"/>
        <v>"%USERPROFILE%\Documents\GitHub\eaglep3\Utilities\RefineRTDCRunTimes.py" --tripid 183-17 --locoid 4022 --swversion DE.1.0.8.0 --startMP 204:418 --initTime 2016-12-17T14:07:51 --startdatetime 2016-12-17T14:10:04 --delay 2 --endMP 204:65115 --enddatetime 2016-12-17T14:28:07 --enforcementcount 0 &gt;&gt;C:\Users\stu\Documents\GitHub\eaglep3-reporting\EC\2016-12-17-refined-times.txt</v>
      </c>
      <c r="AI95" s="119" t="str">
        <f t="shared" si="59"/>
        <v>echo {"issue":{"subject":"Overshot platform","project_id":79,"tracker_id":40,"status_id":1,"priority_id":2,"assigned_to_id":23,"start_date":"2016-12-17","description":"","custom_fields":[{"id":1,"name":"Subdivision","value":"EC"},{"id":4,"name":"Milepost","value":"6.5115"},{"id":17,"name":"Train ID","value":"183-17"},{"id":16,"name":"Locomotive ID","value":"4022"},{"id":130,"name":"Impact","value":""},{"id":150,"name":"Time of Event (Mountain Time)","value":"14:28:07"},{"id":151,"name":"Denver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676</v>
      </c>
      <c r="B96" s="7">
        <v>4022</v>
      </c>
      <c r="C96" s="22" t="s">
        <v>205</v>
      </c>
      <c r="D96" s="22" t="s">
        <v>852</v>
      </c>
      <c r="E96" s="13">
        <v>42721.607245370367</v>
      </c>
      <c r="F96" s="13">
        <v>42721.608113425929</v>
      </c>
      <c r="G96" s="7">
        <v>1</v>
      </c>
      <c r="H96" s="22" t="s">
        <v>500</v>
      </c>
      <c r="I96" s="13">
        <v>42721.627847222226</v>
      </c>
      <c r="J96" s="7">
        <v>0</v>
      </c>
      <c r="K96" s="109" t="str">
        <f t="shared" si="60"/>
        <v>4021/4022</v>
      </c>
      <c r="L96" s="22" t="str">
        <f>VLOOKUP(A96,'Trips&amp;Operators'!$C$1:$G$99999,5,FALSE)</f>
        <v>MOSES BRADLEY</v>
      </c>
      <c r="M96" s="6">
        <f t="shared" si="61"/>
        <v>1.9733796296350192E-2</v>
      </c>
      <c r="N96" s="7"/>
      <c r="O96" s="7"/>
      <c r="P96" s="7"/>
      <c r="Q96" s="23"/>
      <c r="R96" s="23"/>
      <c r="S96" s="35"/>
      <c r="T96" s="50" t="str">
        <f t="shared" si="64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3</v>
      </c>
      <c r="V9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13:34:26-700',mode:absolute,to:'2016-12-17 16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6" s="52" t="str">
        <f t="shared" si="66"/>
        <v>Y</v>
      </c>
      <c r="X96" s="177">
        <f t="shared" si="72"/>
        <v>0</v>
      </c>
      <c r="Y96" s="67">
        <f t="shared" si="56"/>
        <v>6.4621000000000004</v>
      </c>
      <c r="Z96" s="67">
        <f t="shared" si="57"/>
        <v>23.3308</v>
      </c>
      <c r="AA96" s="67">
        <f t="shared" si="67"/>
        <v>16.8687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68"/>
        <v>0183-17</v>
      </c>
      <c r="AE96" s="91" t="str">
        <f t="shared" si="69"/>
        <v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v>
      </c>
      <c r="AF96" s="88" t="str">
        <f t="shared" si="70"/>
        <v>"C:\Program Files (x86)\AstroGrep\AstroGrep.exe" /spath="%USERPROFILE%\AppData\Local\Temp\OnboardLogs" /stypes="app*4022*20161217*" /stext=" 22:.+((SYSTEM_STATE.+slice.+state.+changed )|(ment ac)|(multiple cpu faults)|(system.+state.+changed )|(\[timeout)|(PRM\|1\|D)|(kpr)|(kdp)|(\|lc)|(penalty))" /e /r /s</v>
      </c>
      <c r="AG96" s="1" t="str">
        <f t="shared" si="71"/>
        <v>EC</v>
      </c>
      <c r="AH96" s="92" t="str">
        <f t="shared" si="58"/>
        <v>"%USERPROFILE%\Documents\GitHub\eaglep3\Utilities\RefineRTDCRunTimes.py" --tripid 183-17 --locoid 4022 --swversion DE.1.0.8.0 --startMP 204:64621 --initTime 2016-12-17T14:34:26 --startdatetime 2016-12-17T14:35:41 --delay 1 --endMP 204:233308 --enddatetime 2016-12-17T15:04:06 --enforcementcount 0 &gt;&gt;C:\Users\stu\Documents\GitHub\eaglep3-reporting\EC\2016-12-17-refined-times.txt</v>
      </c>
      <c r="AI96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{"issue":{"subject":"","project_id":79,"tracker_id":40,"status_id":1,"priority_id":2,"assigned_to_id":23,"start_date":"2016-12-17","description":"","custom_fields":[{"id":1,"name":"Subdivision","value":"EC"},{"id":4,"name":"Milepost","value":"23.3308"},{"id":17,"name":"Train ID","value":"183-17"},{"id":16,"name":"Locomotive ID","value":"4022"},{"id":130,"name":"Impact","value":""},{"id":150,"name":"Time of Event (Mountain Time)","value":"15:04:06"},{"id":151,"name":"Denver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7" t="s">
        <v>677</v>
      </c>
      <c r="B97" s="7">
        <v>4011</v>
      </c>
      <c r="C97" s="22" t="s">
        <v>205</v>
      </c>
      <c r="D97" s="22" t="s">
        <v>856</v>
      </c>
      <c r="E97" s="13">
        <v>42721.594872685186</v>
      </c>
      <c r="F97" s="13">
        <v>42721.596273148149</v>
      </c>
      <c r="G97" s="7">
        <v>1</v>
      </c>
      <c r="H97" s="22" t="s">
        <v>857</v>
      </c>
      <c r="I97" s="13">
        <v>42721.632245370369</v>
      </c>
      <c r="J97" s="7">
        <v>0</v>
      </c>
      <c r="K97" s="109" t="str">
        <f t="shared" si="60"/>
        <v>4011/4012</v>
      </c>
      <c r="L97" s="22" t="str">
        <f>VLOOKUP(A97,'Trips&amp;Operators'!$C$1:$G$99999,5,FALSE)</f>
        <v>STORY SAMANTHA</v>
      </c>
      <c r="M97" s="6">
        <f t="shared" si="61"/>
        <v>3.5972222220152617E-2</v>
      </c>
      <c r="N97" s="7">
        <f>24*60*SUM($M97:$M97)</f>
        <v>51.799999997019768</v>
      </c>
      <c r="O97" s="7"/>
      <c r="P97" s="7"/>
      <c r="Q97" s="23"/>
      <c r="R97" s="23"/>
      <c r="S97" s="35">
        <f>SUM(U97:U97)/IF(AG97="EC",12,1)</f>
        <v>1</v>
      </c>
      <c r="T97" s="50" t="str">
        <f t="shared" si="64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13:16:37-700',mode:absolute,to:'2016-12-17 16:10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7" s="52" t="str">
        <f t="shared" si="66"/>
        <v>N</v>
      </c>
      <c r="X97" s="177">
        <f t="shared" si="72"/>
        <v>2</v>
      </c>
      <c r="Y97" s="67">
        <f t="shared" ref="Y97:Y128" si="73">RIGHT(D97,LEN(D97)-4)/10000</f>
        <v>7.8600000000000003E-2</v>
      </c>
      <c r="Z97" s="67">
        <f t="shared" ref="Z97:Z128" si="74">RIGHT(H97,LEN(H97)-4)/10000</f>
        <v>23.313800000000001</v>
      </c>
      <c r="AA97" s="67">
        <f t="shared" si="67"/>
        <v>23.235199999999999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68"/>
        <v>0185-17</v>
      </c>
      <c r="AE97" s="91" t="str">
        <f t="shared" si="69"/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AF97" s="88" t="str">
        <f t="shared" si="70"/>
        <v>"C:\Program Files (x86)\AstroGrep\AstroGrep.exe" /spath="%USERPROFILE%\AppData\Local\Temp\OnboardLogs" /stypes="app*4011*20161217*" /stext=" 22:.+((SYSTEM_STATE.+slice.+state.+changed )|(ment ac)|(multiple cpu faults)|(system.+state.+changed )|(\[timeout)|(PRM\|1\|D)|(kpr)|(kdp)|(\|lc)|(penalty))" /e /r /s</v>
      </c>
      <c r="AG97" s="1" t="str">
        <f t="shared" si="71"/>
        <v>EC</v>
      </c>
      <c r="AH97" s="92" t="str">
        <f t="shared" si="58"/>
        <v>"%USERPROFILE%\Documents\GitHub\eaglep3\Utilities\RefineRTDCRunTimes.py" --tripid 185-17 --locoid 4011 --swversion DE.1.0.8.0 --startMP 204:786 --initTime 2016-12-17T14:16:37 --startdatetime 2016-12-17T14:18:38 --delay 1 --endMP 204:233138 --enddatetime 2016-12-17T15:10:26 --enforcementcount 0 &gt;&gt;C:\Users\stu\Documents\GitHub\eaglep3-reporting\EC\2016-12-17-refined-times.txt</v>
      </c>
      <c r="AI97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{"issue":{"subject":"","project_id":79,"tracker_id":40,"status_id":1,"priority_id":2,"assigned_to_id":23,"start_date":"2016-12-17","description":"","custom_fields":[{"id":1,"name":"Subdivision","value":"EC"},{"id":4,"name":"Milepost","value":"23.3138"},{"id":17,"name":"Train ID","value":"185-17"},{"id":16,"name":"Locomotive ID","value":"4011"},{"id":130,"name":"Impact","value":""},{"id":150,"name":"Time of Event (Mountain Time)","value":"15:10:26"},{"id":151,"name":"Denver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683</v>
      </c>
      <c r="B98" s="7">
        <v>4021</v>
      </c>
      <c r="C98" s="22" t="s">
        <v>205</v>
      </c>
      <c r="D98" s="22" t="s">
        <v>294</v>
      </c>
      <c r="E98" s="13">
        <v>42721.632731481484</v>
      </c>
      <c r="F98" s="13">
        <v>42721.634328703702</v>
      </c>
      <c r="G98" s="7">
        <v>1</v>
      </c>
      <c r="H98" s="22" t="s">
        <v>858</v>
      </c>
      <c r="I98" s="13">
        <v>42721.66269675926</v>
      </c>
      <c r="J98" s="7">
        <v>0</v>
      </c>
      <c r="K98" s="109" t="str">
        <f t="shared" si="60"/>
        <v>4021/4022</v>
      </c>
      <c r="L98" s="22" t="str">
        <f>VLOOKUP(A98,'Trips&amp;Operators'!$C$1:$G$99999,5,FALSE)</f>
        <v>MOSES BRADLEY</v>
      </c>
      <c r="M98" s="6">
        <f t="shared" si="61"/>
        <v>2.8368055558530614E-2</v>
      </c>
      <c r="N98" s="7">
        <f>24*60*SUM($M98:$M98)</f>
        <v>40.850000004284084</v>
      </c>
      <c r="O98" s="7"/>
      <c r="P98" s="7"/>
      <c r="Q98" s="23"/>
      <c r="R98" s="23"/>
      <c r="S98" s="35">
        <f>SUM(U98:U98)/IF(AG98="EC",12,1)</f>
        <v>1</v>
      </c>
      <c r="T98" s="50" t="str">
        <f t="shared" si="64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14:11:08-700',mode:absolute,to:'2016-12-17 16:54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8" s="52" t="str">
        <f t="shared" si="66"/>
        <v>N</v>
      </c>
      <c r="X98" s="177">
        <f t="shared" si="72"/>
        <v>1</v>
      </c>
      <c r="Y98" s="67">
        <f t="shared" si="73"/>
        <v>23.301100000000002</v>
      </c>
      <c r="Z98" s="67">
        <f t="shared" si="74"/>
        <v>1.6899999999999998E-2</v>
      </c>
      <c r="AA98" s="67">
        <f t="shared" si="67"/>
        <v>23.284200000000002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68"/>
        <v>0186-17</v>
      </c>
      <c r="AE98" s="91" t="str">
        <f t="shared" si="69"/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AF98" s="88" t="str">
        <f t="shared" si="70"/>
        <v>"C:\Program Files (x86)\AstroGrep\AstroGrep.exe" /spath="%USERPROFILE%\AppData\Local\Temp\OnboardLogs" /stypes="app*4021*20161217*" /stext=" 22:.+((SYSTEM_STATE.+slice.+state.+changed )|(ment ac)|(multiple cpu faults)|(system.+state.+changed )|(\[timeout)|(PRM\|1\|D)|(kpr)|(kdp)|(\|lc)|(penalty))" /e /r /s</v>
      </c>
      <c r="AG98" s="1" t="str">
        <f t="shared" si="71"/>
        <v>EC</v>
      </c>
      <c r="AH98" s="92" t="str">
        <f t="shared" si="58"/>
        <v>"%USERPROFILE%\Documents\GitHub\eaglep3\Utilities\RefineRTDCRunTimes.py" --tripid 186-17 --locoid 4021 --swversion DE.1.0.8.0 --startMP 204:233011 --initTime 2016-12-17T15:11:08 --startdatetime 2016-12-17T15:13:26 --delay 1 --endMP 204:169 --enddatetime 2016-12-17T15:54:17 --enforcementcount 0 &gt;&gt;C:\Users\stu\Documents\GitHub\eaglep3-reporting\EC\2016-12-17-refined-times.txt</v>
      </c>
      <c r="AI98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{"issue":{"subject":"","project_id":79,"tracker_id":40,"status_id":1,"priority_id":2,"assigned_to_id":23,"start_date":"2016-12-17","description":"","custom_fields":[{"id":1,"name":"Subdivision","value":"EC"},{"id":4,"name":"Milepost","value":"0.0169"},{"id":17,"name":"Train ID","value":"186-17"},{"id":16,"name":"Locomotive ID","value":"4021"},{"id":130,"name":"Impact","value":""},{"id":150,"name":"Time of Event (Mountain Time)","value":"15:54:17"},{"id":151,"name":"Denver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573</v>
      </c>
      <c r="B99" s="7">
        <v>4046</v>
      </c>
      <c r="C99" s="22" t="s">
        <v>205</v>
      </c>
      <c r="D99" s="22" t="s">
        <v>859</v>
      </c>
      <c r="E99" s="13">
        <v>42721.631828703707</v>
      </c>
      <c r="F99" s="13">
        <v>42721.632418981484</v>
      </c>
      <c r="G99" s="7">
        <v>0</v>
      </c>
      <c r="H99" s="22" t="s">
        <v>860</v>
      </c>
      <c r="I99" s="13">
        <v>42721.640138888892</v>
      </c>
      <c r="J99" s="7">
        <v>2</v>
      </c>
      <c r="K99" s="109" t="str">
        <f t="shared" si="60"/>
        <v>4045/4046</v>
      </c>
      <c r="L99" s="22" t="str">
        <f>VLOOKUP(A99,'Trips&amp;Operators'!$C$1:$G$99999,5,FALSE)</f>
        <v>HOLCOMB KAMDEN</v>
      </c>
      <c r="M99" s="6">
        <f t="shared" si="61"/>
        <v>7.7199074075906537E-3</v>
      </c>
      <c r="N99" s="7"/>
      <c r="O99" s="7"/>
      <c r="P99" s="7">
        <f>24*60*SUM($M99:$M100)</f>
        <v>31.516666668467224</v>
      </c>
      <c r="Q99" s="23"/>
      <c r="R99" s="23" t="s">
        <v>979</v>
      </c>
      <c r="S99" s="35">
        <f>SUM(U99:U100)/IF(AG99="EC",12,1)</f>
        <v>0.83333333333333337</v>
      </c>
      <c r="T99" s="50" t="str">
        <f t="shared" si="64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14:09:50-700',mode:absolute,to:'2016-12-17 16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52" t="str">
        <f t="shared" si="66"/>
        <v>Y</v>
      </c>
      <c r="X99" s="177">
        <f t="shared" si="72"/>
        <v>1</v>
      </c>
      <c r="Y99" s="67">
        <f t="shared" si="73"/>
        <v>15.440200000000001</v>
      </c>
      <c r="Z99" s="67">
        <f t="shared" si="74"/>
        <v>23.325299999999999</v>
      </c>
      <c r="AA99" s="67">
        <f t="shared" si="67"/>
        <v>7.8850999999999978</v>
      </c>
      <c r="AB99" s="64" t="str">
        <f>VLOOKUP(A99,Enforcements!$C$7:$K$19,8,0)</f>
        <v>Speed (6)</v>
      </c>
      <c r="AC99" s="60" t="str">
        <f>VLOOKUP(A99,Enforcements!$C$7:$E$19,3,0)</f>
        <v>PERMANENT SPEED RESTRICTION</v>
      </c>
      <c r="AD99" s="61" t="str">
        <f t="shared" si="68"/>
        <v>0187-17</v>
      </c>
      <c r="AE99" s="91" t="str">
        <f t="shared" si="69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99" s="88" t="str">
        <f t="shared" si="70"/>
        <v>"C:\Program Files (x86)\AstroGrep\AstroGrep.exe" /spath="%USERPROFILE%\AppData\Local\Temp\OnboardLogs" /stypes="app*4046*20161217*" /stext=" 22:.+((SYSTEM_STATE.+slice.+state.+changed )|(ment ac)|(multiple cpu faults)|(system.+state.+changed )|(\[timeout)|(PRM\|1\|D)|(kpr)|(kdp)|(\|lc)|(penalty))" /e /r /s</v>
      </c>
      <c r="AG99" s="1" t="str">
        <f t="shared" si="71"/>
        <v>EC</v>
      </c>
      <c r="AH99" s="92" t="str">
        <f t="shared" si="58"/>
        <v>"%USERPROFILE%\Documents\GitHub\eaglep3\Utilities\RefineRTDCRunTimes.py" --tripid 187-17 --locoid 4046 --swversion DE.1.0.8.0 --startMP 204:154402 --initTime 2016-12-17T15:09:50 --startdatetime 2016-12-17T15:10:41 --delay 0 --endMP 204:233253 --enddatetime 2016-12-17T15:21:48 --enforcementcount 2 &gt;&gt;C:\Users\stu\Documents\GitHub\eaglep3-reporting\EC\2016-12-17-refined-times.txt</v>
      </c>
      <c r="AI99" s="119" t="str">
        <f t="shared" si="59"/>
        <v>echo {"issue":{"subject":"Sable 2N stuck at STOP. XING bit dependency?","project_id":79,"tracker_id":40,"status_id":1,"priority_id":2,"assigned_to_id":23,"start_date":"2016-12-17","description":"Starting at 14:47:20, Sable 2N was at STOP, this seem like undesired behavior. Do logs tell anything? Any XING bits not come in yet?","custom_fields":[{"id":1,"name":"Subdivision","value":"EC"},{"id":4,"name":"Milepost","value":"23.3253"},{"id":17,"name":"Train ID","value":"187-17"},{"id":16,"name":"Locomotive ID","value":"4046"},{"id":130,"name":"Impact","value":"Unexpected Cut-Out or Disengaged"},{"id":150,"name":"Time of Event (Mountain Time)","value":"15:21:48"},{"id":151,"name":"Denver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9" s="53" t="s">
        <v>989</v>
      </c>
      <c r="AK99" s="53" t="s">
        <v>131</v>
      </c>
      <c r="AL99" s="53" t="s">
        <v>130</v>
      </c>
    </row>
    <row r="100" spans="1:91" s="21" customFormat="1" x14ac:dyDescent="0.25">
      <c r="A100" s="37" t="s">
        <v>573</v>
      </c>
      <c r="B100" s="7">
        <v>4046</v>
      </c>
      <c r="C100" s="22" t="s">
        <v>205</v>
      </c>
      <c r="D100" s="22" t="s">
        <v>275</v>
      </c>
      <c r="E100" s="13">
        <v>42721.606249999997</v>
      </c>
      <c r="F100" s="13">
        <v>42721.607256944444</v>
      </c>
      <c r="G100" s="7">
        <v>1</v>
      </c>
      <c r="H100" s="22" t="s">
        <v>861</v>
      </c>
      <c r="I100" s="13">
        <v>42721.621423611112</v>
      </c>
      <c r="J100" s="7">
        <v>0</v>
      </c>
      <c r="K100" s="109" t="str">
        <f t="shared" si="60"/>
        <v>4045/4046</v>
      </c>
      <c r="L100" s="22" t="str">
        <f>VLOOKUP(A100,'Trips&amp;Operators'!$C$1:$G$99999,5,FALSE)</f>
        <v>HOLCOMB KAMDEN</v>
      </c>
      <c r="M100" s="6">
        <f t="shared" si="61"/>
        <v>1.4166666667733807E-2</v>
      </c>
      <c r="N100" s="7"/>
      <c r="O100" s="7"/>
      <c r="P100" s="7"/>
      <c r="Q100" s="23"/>
      <c r="R100" s="23"/>
      <c r="S100" s="35"/>
      <c r="T100" s="50" t="str">
        <f t="shared" si="64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10</v>
      </c>
      <c r="V10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13:33:00-700',mode:absolute,to:'2016-12-17 15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0" s="52" t="str">
        <f t="shared" si="66"/>
        <v>Y</v>
      </c>
      <c r="X100" s="177">
        <f t="shared" si="72"/>
        <v>0</v>
      </c>
      <c r="Y100" s="67">
        <f t="shared" si="73"/>
        <v>4.6699999999999998E-2</v>
      </c>
      <c r="Z100" s="67">
        <f t="shared" si="74"/>
        <v>10.052199999999999</v>
      </c>
      <c r="AA100" s="67">
        <f t="shared" si="67"/>
        <v>10.0055</v>
      </c>
      <c r="AB100" s="64" t="str">
        <f>VLOOKUP(A100,Enforcements!$C$7:$K$19,8,0)</f>
        <v>Speed (6)</v>
      </c>
      <c r="AC100" s="60" t="str">
        <f>VLOOKUP(A100,Enforcements!$C$7:$E$19,3,0)</f>
        <v>PERMANENT SPEED RESTRICTION</v>
      </c>
      <c r="AD100" s="61" t="str">
        <f t="shared" si="68"/>
        <v>0187-17</v>
      </c>
      <c r="AE100" s="91" t="str">
        <f t="shared" si="69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100" s="88" t="str">
        <f t="shared" si="70"/>
        <v>"C:\Program Files (x86)\AstroGrep\AstroGrep.exe" /spath="%USERPROFILE%\AppData\Local\Temp\OnboardLogs" /stypes="app*4046*20161217*" /stext=" 21:.+((SYSTEM_STATE.+slice.+state.+changed )|(ment ac)|(multiple cpu faults)|(system.+state.+changed )|(\[timeout)|(PRM\|1\|D)|(kpr)|(kdp)|(\|lc)|(penalty))" /e /r /s</v>
      </c>
      <c r="AG100" s="1" t="str">
        <f t="shared" si="71"/>
        <v>EC</v>
      </c>
      <c r="AH100" s="92" t="str">
        <f t="shared" si="58"/>
        <v>"%USERPROFILE%\Documents\GitHub\eaglep3\Utilities\RefineRTDCRunTimes.py" --tripid 187-17 --locoid 4046 --swversion DE.1.0.8.0 --startMP 204:467 --initTime 2016-12-17T14:33:00 --startdatetime 2016-12-17T14:34:27 --delay 1 --endMP 204:100522 --enddatetime 2016-12-17T14:54:51 --enforcementcount 0 &gt;&gt;C:\Users\stu\Documents\GitHub\eaglep3-reporting\EC\2016-12-17-refined-times.txt</v>
      </c>
      <c r="AI100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{"issue":{"subject":"","project_id":79,"tracker_id":40,"status_id":1,"priority_id":2,"assigned_to_id":23,"start_date":"2016-12-17","description":"","custom_fields":[{"id":1,"name":"Subdivision","value":"EC"},{"id":4,"name":"Milepost","value":"10.0522"},{"id":17,"name":"Train ID","value":"187-17"},{"id":16,"name":"Locomotive ID","value":"4046"},{"id":130,"name":"Impact","value":""},{"id":150,"name":"Time of Event (Mountain Time)","value":"14:54:51"},{"id":151,"name":"Denver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685</v>
      </c>
      <c r="B101" s="7">
        <v>4012</v>
      </c>
      <c r="C101" s="22" t="s">
        <v>205</v>
      </c>
      <c r="D101" s="22" t="s">
        <v>862</v>
      </c>
      <c r="E101" s="13">
        <v>42721.659699074073</v>
      </c>
      <c r="F101" s="13">
        <v>42721.660752314812</v>
      </c>
      <c r="G101" s="7">
        <v>0</v>
      </c>
      <c r="H101" s="22" t="s">
        <v>267</v>
      </c>
      <c r="I101" s="13">
        <v>42721.675821759258</v>
      </c>
      <c r="J101" s="7">
        <v>0</v>
      </c>
      <c r="K101" s="109" t="str">
        <f t="shared" si="60"/>
        <v>4011/4012</v>
      </c>
      <c r="L101" s="22" t="str">
        <f>VLOOKUP(A101,'Trips&amp;Operators'!$C$1:$G$99999,5,FALSE)</f>
        <v>STORY SAMANTHA</v>
      </c>
      <c r="M101" s="6">
        <f t="shared" si="61"/>
        <v>1.5069444445543922E-2</v>
      </c>
      <c r="N101" s="7"/>
      <c r="O101" s="7"/>
      <c r="P101" s="7">
        <f>24*60*SUM($M101:$M101)</f>
        <v>21.700000001583248</v>
      </c>
      <c r="Q101" s="23"/>
      <c r="R101" s="23" t="s">
        <v>990</v>
      </c>
      <c r="S101" s="35">
        <f t="shared" ref="S101:S128" si="75">SUM(U101:U101)/IF(AG101="EC",12,1)</f>
        <v>0.83333333333333337</v>
      </c>
      <c r="T101" s="50" t="str">
        <f t="shared" si="64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10</v>
      </c>
      <c r="V10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14:49:58-700',mode:absolute,to:'2016-12-17 17:13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1" s="52" t="str">
        <f t="shared" si="66"/>
        <v>Y</v>
      </c>
      <c r="X101" s="177">
        <f t="shared" ref="X101:X104" si="76">VALUE(LEFT(AD101,4))-VALUE(LEFT(AD100,4))</f>
        <v>1</v>
      </c>
      <c r="Y101" s="67">
        <f t="shared" si="73"/>
        <v>8.6329999999999991</v>
      </c>
      <c r="Z101" s="67">
        <f t="shared" si="74"/>
        <v>1.3899999999999999E-2</v>
      </c>
      <c r="AA101" s="67">
        <f t="shared" si="67"/>
        <v>8.6190999999999995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68"/>
        <v>0188-17</v>
      </c>
      <c r="AE101" s="91" t="str">
        <f t="shared" si="69"/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AF101" s="88" t="str">
        <f t="shared" si="70"/>
        <v>"C:\Program Files (x86)\AstroGrep\AstroGrep.exe" /spath="%USERPROFILE%\AppData\Local\Temp\OnboardLogs" /stypes="app*4012*20161217*" /stext=" 23:.+((SYSTEM_STATE.+slice.+state.+changed )|(ment ac)|(multiple cpu faults)|(system.+state.+changed )|(\[timeout)|(PRM\|1\|D)|(kpr)|(kdp)|(\|lc)|(penalty))" /e /r /s</v>
      </c>
      <c r="AG101" s="1" t="str">
        <f t="shared" si="71"/>
        <v>EC</v>
      </c>
      <c r="AH101" s="92" t="str">
        <f t="shared" si="58"/>
        <v>"%USERPROFILE%\Documents\GitHub\eaglep3\Utilities\RefineRTDCRunTimes.py" --tripid 188-17 --locoid 4012 --swversion DE.1.0.8.0 --startMP 204:86330 --initTime 2016-12-17T15:49:58 --startdatetime 2016-12-17T15:51:29 --delay 0 --endMP 204:139 --enddatetime 2016-12-17T16:13:11 --enforcementcount 0 &gt;&gt;C:\Users\stu\Documents\GitHub\eaglep3-reporting\EC\2016-12-17-refined-times.txt</v>
      </c>
      <c r="AI101" s="119" t="str">
        <f t="shared" si="59"/>
        <v>echo {"issue":{"subject":"Unable to select track - asking Onboard folks for analysis","project_id":79,"tracker_id":40,"status_id":1,"priority_id":2,"assigned_to_id":23,"start_date":"2016-12-17","description":"After initializing and loading subdiv 204.80, in the 22:21 UTC timeframe, kept getting kicked back to SELECT CURRENT TRACK screen despite selecting Main 1 multiple times. No GPS faults observed. Do onboard logs tell us anything?","custom_fields":[{"id":1,"name":"Subdivision","value":"EC"},{"id":4,"name":"Milepost","value":"0.0139"},{"id":17,"name":"Train ID","value":"188-17"},{"id":16,"name":"Locomotive ID","value":"4012"},{"id":130,"name":"Impact","value":"Others"},{"id":150,"name":"Time of Event (Mountain Time)","value":"16:13:11"},{"id":151,"name":"Denver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01" s="53" t="s">
        <v>991</v>
      </c>
      <c r="AK101" s="53" t="s">
        <v>137</v>
      </c>
      <c r="AL101" s="53" t="s">
        <v>174</v>
      </c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681</v>
      </c>
      <c r="B102" s="7">
        <v>4018</v>
      </c>
      <c r="C102" s="22" t="s">
        <v>205</v>
      </c>
      <c r="D102" s="22" t="s">
        <v>261</v>
      </c>
      <c r="E102" s="13">
        <v>42721.61509259259</v>
      </c>
      <c r="F102" s="13">
        <v>42721.616539351853</v>
      </c>
      <c r="G102" s="7">
        <v>1</v>
      </c>
      <c r="H102" s="22" t="s">
        <v>340</v>
      </c>
      <c r="I102" s="13">
        <v>42721.648680555554</v>
      </c>
      <c r="J102" s="7">
        <v>0</v>
      </c>
      <c r="K102" s="109" t="str">
        <f t="shared" si="60"/>
        <v>4017/4018</v>
      </c>
      <c r="L102" s="22" t="str">
        <f>VLOOKUP(A102,'Trips&amp;Operators'!$C$1:$G$99999,5,FALSE)</f>
        <v>BARTLETT KIANDRA</v>
      </c>
      <c r="M102" s="6">
        <f t="shared" si="61"/>
        <v>3.2141203701030463E-2</v>
      </c>
      <c r="N102" s="7">
        <f t="shared" ref="N102:N127" si="77">24*60*SUM($M102:$M102)</f>
        <v>46.283333329483867</v>
      </c>
      <c r="O102" s="7"/>
      <c r="P102" s="7"/>
      <c r="Q102" s="23"/>
      <c r="R102" s="23"/>
      <c r="S102" s="35">
        <f t="shared" si="75"/>
        <v>1</v>
      </c>
      <c r="T102" s="50" t="str">
        <f t="shared" si="64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13:45:44-700',mode:absolute,to:'2016-12-17 16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2" s="52" t="str">
        <f t="shared" si="66"/>
        <v>N</v>
      </c>
      <c r="X102" s="177">
        <f t="shared" si="76"/>
        <v>1</v>
      </c>
      <c r="Y102" s="67">
        <f t="shared" si="73"/>
        <v>4.6399999999999997E-2</v>
      </c>
      <c r="Z102" s="67">
        <f t="shared" si="74"/>
        <v>23.329899999999999</v>
      </c>
      <c r="AA102" s="67">
        <f t="shared" si="67"/>
        <v>23.2835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68"/>
        <v>0189-17</v>
      </c>
      <c r="AE102" s="91" t="str">
        <f t="shared" si="69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102" s="88" t="str">
        <f t="shared" si="70"/>
        <v>"C:\Program Files (x86)\AstroGrep\AstroGrep.exe" /spath="%USERPROFILE%\AppData\Local\Temp\OnboardLogs" /stypes="app*4018*20161217*" /stext=" 22:.+((SYSTEM_STATE.+slice.+state.+changed )|(ment ac)|(multiple cpu faults)|(system.+state.+changed )|(\[timeout)|(PRM\|1\|D)|(kpr)|(kdp)|(\|lc)|(penalty))" /e /r /s</v>
      </c>
      <c r="AG102" s="1" t="str">
        <f t="shared" si="71"/>
        <v>EC</v>
      </c>
      <c r="AH102" s="92" t="str">
        <f t="shared" si="58"/>
        <v>"%USERPROFILE%\Documents\GitHub\eaglep3\Utilities\RefineRTDCRunTimes.py" --tripid 189-17 --locoid 4018 --swversion DE.1.0.8.0 --startMP 204:464 --initTime 2016-12-17T14:45:44 --startdatetime 2016-12-17T14:47:49 --delay 1 --endMP 204:233299 --enddatetime 2016-12-17T15:34:06 --enforcementcount 0 &gt;&gt;C:\Users\stu\Documents\GitHub\eaglep3-reporting\EC\2016-12-17-refined-times.txt</v>
      </c>
      <c r="AI102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{"issue":{"subject":"","project_id":79,"tracker_id":40,"status_id":1,"priority_id":2,"assigned_to_id":23,"start_date":"2016-12-17","description":"","custom_fields":[{"id":1,"name":"Subdivision","value":"EC"},{"id":4,"name":"Milepost","value":"23.3299"},{"id":17,"name":"Train ID","value":"189-17"},{"id":16,"name":"Locomotive ID","value":"4018"},{"id":130,"name":"Impact","value":""},{"id":150,"name":"Time of Event (Mountain Time)","value":"15:34:06"},{"id":151,"name":"Denver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574</v>
      </c>
      <c r="B103" s="7">
        <v>4045</v>
      </c>
      <c r="C103" s="22" t="s">
        <v>205</v>
      </c>
      <c r="D103" s="22" t="s">
        <v>863</v>
      </c>
      <c r="E103" s="13">
        <v>42721.647592592592</v>
      </c>
      <c r="F103" s="13">
        <v>42721.653703703705</v>
      </c>
      <c r="G103" s="7">
        <v>1</v>
      </c>
      <c r="H103" s="22" t="s">
        <v>341</v>
      </c>
      <c r="I103" s="13">
        <v>42721.68246527778</v>
      </c>
      <c r="J103" s="7">
        <v>0</v>
      </c>
      <c r="K103" s="109" t="str">
        <f t="shared" si="60"/>
        <v>4045/4046</v>
      </c>
      <c r="L103" s="22" t="str">
        <f>VLOOKUP(A103,'Trips&amp;Operators'!$C$1:$G$99999,5,FALSE)</f>
        <v>HOLCOMB KAMDEN</v>
      </c>
      <c r="M103" s="6">
        <f t="shared" si="61"/>
        <v>2.8761574074451346E-2</v>
      </c>
      <c r="N103" s="7">
        <f t="shared" si="77"/>
        <v>41.416666667209938</v>
      </c>
      <c r="O103" s="7"/>
      <c r="P103" s="7"/>
      <c r="Q103" s="23"/>
      <c r="R103" s="23"/>
      <c r="S103" s="35">
        <f t="shared" si="75"/>
        <v>1</v>
      </c>
      <c r="T103" s="50" t="str">
        <f t="shared" si="64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14:32:32-700',mode:absolute,to:'2016-12-17 17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3" s="52" t="str">
        <f t="shared" si="66"/>
        <v>N</v>
      </c>
      <c r="X103" s="177">
        <f t="shared" si="76"/>
        <v>1</v>
      </c>
      <c r="Y103" s="67">
        <f t="shared" si="73"/>
        <v>23.293199999999999</v>
      </c>
      <c r="Z103" s="67">
        <f t="shared" si="74"/>
        <v>1.2500000000000001E-2</v>
      </c>
      <c r="AA103" s="67">
        <f t="shared" si="67"/>
        <v>23.2807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68"/>
        <v>0190-17</v>
      </c>
      <c r="AE103" s="91" t="str">
        <f t="shared" si="69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103" s="88" t="str">
        <f t="shared" si="70"/>
        <v>"C:\Program Files (x86)\AstroGrep\AstroGrep.exe" /spath="%USERPROFILE%\AppData\Local\Temp\OnboardLogs" /stypes="app*4045*20161217*" /stext=" 23:.+((SYSTEM_STATE.+slice.+state.+changed )|(ment ac)|(multiple cpu faults)|(system.+state.+changed )|(\[timeout)|(PRM\|1\|D)|(kpr)|(kdp)|(\|lc)|(penalty))" /e /r /s</v>
      </c>
      <c r="AG103" s="1" t="str">
        <f t="shared" si="71"/>
        <v>EC</v>
      </c>
      <c r="AH103" s="92" t="str">
        <f t="shared" si="58"/>
        <v>"%USERPROFILE%\Documents\GitHub\eaglep3\Utilities\RefineRTDCRunTimes.py" --tripid 190-17 --locoid 4045 --swversion DE.1.0.8.0 --startMP 204:232932 --initTime 2016-12-17T15:32:32 --startdatetime 2016-12-17T15:41:20 --delay 1 --endMP 204:125 --enddatetime 2016-12-17T16:22:45 --enforcementcount 0 &gt;&gt;C:\Users\stu\Documents\GitHub\eaglep3-reporting\EC\2016-12-17-refined-times.txt</v>
      </c>
      <c r="AI103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{"issue":{"subject":"","project_id":79,"tracker_id":40,"status_id":1,"priority_id":2,"assigned_to_id":23,"start_date":"2016-12-17","description":"","custom_fields":[{"id":1,"name":"Subdivision","value":"EC"},{"id":4,"name":"Milepost","value":"0.0125"},{"id":17,"name":"Train ID","value":"190-17"},{"id":16,"name":"Locomotive ID","value":"4045"},{"id":130,"name":"Impact","value":""},{"id":150,"name":"Time of Event (Mountain Time)","value":"16:22:45"},{"id":151,"name":"Denver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673</v>
      </c>
      <c r="B104" s="7">
        <v>4029</v>
      </c>
      <c r="C104" s="22" t="s">
        <v>205</v>
      </c>
      <c r="D104" s="22" t="s">
        <v>866</v>
      </c>
      <c r="E104" s="13">
        <v>42721.625555555554</v>
      </c>
      <c r="F104" s="13">
        <v>42721.627789351849</v>
      </c>
      <c r="G104" s="7">
        <v>1</v>
      </c>
      <c r="H104" s="22" t="s">
        <v>339</v>
      </c>
      <c r="I104" s="13">
        <v>42721.659930555557</v>
      </c>
      <c r="J104" s="7">
        <v>0</v>
      </c>
      <c r="K104" s="109" t="str">
        <f t="shared" si="60"/>
        <v>4029/4030</v>
      </c>
      <c r="L104" s="22" t="str">
        <f>VLOOKUP(A104,'Trips&amp;Operators'!$C$1:$G$99999,5,FALSE)</f>
        <v>MOSES BRADLEY</v>
      </c>
      <c r="M104" s="6">
        <f t="shared" si="61"/>
        <v>3.2141203708306421E-2</v>
      </c>
      <c r="N104" s="7">
        <f t="shared" si="77"/>
        <v>46.283333339961246</v>
      </c>
      <c r="O104" s="7"/>
      <c r="P104" s="7"/>
      <c r="Q104" s="23"/>
      <c r="R104" s="23"/>
      <c r="S104" s="35">
        <f t="shared" si="75"/>
        <v>1</v>
      </c>
      <c r="T104" s="50" t="str">
        <f t="shared" si="64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14:00:48-700',mode:absolute,to:'2016-12-17 16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4" s="52" t="str">
        <f t="shared" si="66"/>
        <v>N</v>
      </c>
      <c r="X104" s="177">
        <f t="shared" si="76"/>
        <v>1</v>
      </c>
      <c r="Y104" s="67">
        <f t="shared" si="73"/>
        <v>4.8800000000000003E-2</v>
      </c>
      <c r="Z104" s="67">
        <f t="shared" si="74"/>
        <v>23.3306</v>
      </c>
      <c r="AA104" s="67">
        <f t="shared" si="67"/>
        <v>23.2818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68"/>
        <v>0191-17</v>
      </c>
      <c r="AE104" s="91" t="str">
        <f t="shared" si="69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104" s="88" t="str">
        <f t="shared" si="70"/>
        <v>"C:\Program Files (x86)\AstroGrep\AstroGrep.exe" /spath="%USERPROFILE%\AppData\Local\Temp\OnboardLogs" /stypes="app*4029*20161217*" /stext=" 22:.+((SYSTEM_STATE.+slice.+state.+changed )|(ment ac)|(multiple cpu faults)|(system.+state.+changed )|(\[timeout)|(PRM\|1\|D)|(kpr)|(kdp)|(\|lc)|(penalty))" /e /r /s</v>
      </c>
      <c r="AG104" s="1" t="str">
        <f t="shared" si="71"/>
        <v>EC</v>
      </c>
      <c r="AH104" s="92" t="str">
        <f t="shared" si="58"/>
        <v>"%USERPROFILE%\Documents\GitHub\eaglep3\Utilities\RefineRTDCRunTimes.py" --tripid 191-17 --locoid 4029 --swversion DE.1.0.8.0 --startMP 204:488 --initTime 2016-12-17T15:00:48 --startdatetime 2016-12-17T15:04:01 --delay 1 --endMP 204:233306 --enddatetime 2016-12-17T15:50:18 --enforcementcount 0 &gt;&gt;C:\Users\stu\Documents\GitHub\eaglep3-reporting\EC\2016-12-17-refined-times.txt</v>
      </c>
      <c r="AI104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{"issue":{"subject":"","project_id":79,"tracker_id":40,"status_id":1,"priority_id":2,"assigned_to_id":23,"start_date":"2016-12-17","description":"","custom_fields":[{"id":1,"name":"Subdivision","value":"EC"},{"id":4,"name":"Milepost","value":"23.3306"},{"id":17,"name":"Train ID","value":"191-17"},{"id":16,"name":"Locomotive ID","value":"4029"},{"id":130,"name":"Impact","value":""},{"id":150,"name":"Time of Event (Mountain Time)","value":"15:50:18"},{"id":151,"name":"Denver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688</v>
      </c>
      <c r="B105" s="7">
        <v>4017</v>
      </c>
      <c r="C105" s="22" t="s">
        <v>205</v>
      </c>
      <c r="D105" s="22" t="s">
        <v>273</v>
      </c>
      <c r="E105" s="13">
        <v>42721.66165509259</v>
      </c>
      <c r="F105" s="13">
        <v>42721.664166666669</v>
      </c>
      <c r="G105" s="7">
        <v>1</v>
      </c>
      <c r="H105" s="22" t="s">
        <v>279</v>
      </c>
      <c r="I105" s="13">
        <v>42721.694513888891</v>
      </c>
      <c r="J105" s="7">
        <v>0</v>
      </c>
      <c r="K105" s="109" t="str">
        <f t="shared" si="60"/>
        <v>4017/4018</v>
      </c>
      <c r="L105" s="22" t="str">
        <f>VLOOKUP(A105,'Trips&amp;Operators'!$C$1:$G$99999,5,FALSE)</f>
        <v>BARTLETT KIANDRA</v>
      </c>
      <c r="M105" s="6">
        <f t="shared" si="61"/>
        <v>3.0347222222189885E-2</v>
      </c>
      <c r="N105" s="7">
        <f t="shared" si="77"/>
        <v>43.699999999953434</v>
      </c>
      <c r="O105" s="7"/>
      <c r="P105" s="7"/>
      <c r="Q105" s="23"/>
      <c r="R105" s="23"/>
      <c r="S105" s="35">
        <f t="shared" si="75"/>
        <v>1</v>
      </c>
      <c r="T105" s="50" t="str">
        <f t="shared" si="64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14:52:47-700',mode:absolute,to:'2016-12-17 17:40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5" s="52" t="str">
        <f t="shared" si="66"/>
        <v>N</v>
      </c>
      <c r="X105" s="177">
        <f t="shared" ref="X105:X136" si="78">VALUE(LEFT(AD105,4))-VALUE(LEFT(AD104,4))</f>
        <v>1</v>
      </c>
      <c r="Y105" s="67">
        <f t="shared" si="73"/>
        <v>23.299600000000002</v>
      </c>
      <c r="Z105" s="67">
        <f t="shared" si="74"/>
        <v>1.6E-2</v>
      </c>
      <c r="AA105" s="67">
        <f t="shared" si="67"/>
        <v>23.283600000000003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68"/>
        <v>0192-17</v>
      </c>
      <c r="AE105" s="91" t="str">
        <f t="shared" si="69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105" s="88" t="str">
        <f t="shared" si="70"/>
        <v>"C:\Program Files (x86)\AstroGrep\AstroGrep.exe" /spath="%USERPROFILE%\AppData\Local\Temp\OnboardLogs" /stypes="app*4017*20161217*" /stext=" 23:.+((SYSTEM_STATE.+slice.+state.+changed )|(ment ac)|(multiple cpu faults)|(system.+state.+changed )|(\[timeout)|(PRM\|1\|D)|(kpr)|(kdp)|(\|lc)|(penalty))" /e /r /s</v>
      </c>
      <c r="AG105" s="1" t="str">
        <f t="shared" si="71"/>
        <v>EC</v>
      </c>
      <c r="AH105" s="92" t="str">
        <f t="shared" si="58"/>
        <v>"%USERPROFILE%\Documents\GitHub\eaglep3\Utilities\RefineRTDCRunTimes.py" --tripid 192-17 --locoid 4017 --swversion DE.1.0.8.0 --startMP 204:232996 --initTime 2016-12-17T15:52:47 --startdatetime 2016-12-17T15:56:24 --delay 1 --endMP 204:160 --enddatetime 2016-12-17T16:40:06 --enforcementcount 0 &gt;&gt;C:\Users\stu\Documents\GitHub\eaglep3-reporting\EC\2016-12-17-refined-times.txt</v>
      </c>
      <c r="AI105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{"issue":{"subject":"","project_id":79,"tracker_id":40,"status_id":1,"priority_id":2,"assigned_to_id":23,"start_date":"2016-12-17","description":"","custom_fields":[{"id":1,"name":"Subdivision","value":"EC"},{"id":4,"name":"Milepost","value":"0.016"},{"id":17,"name":"Train ID","value":"192-17"},{"id":16,"name":"Locomotive ID","value":"4017"},{"id":130,"name":"Impact","value":""},{"id":150,"name":"Time of Event (Mountain Time)","value":"16:40:06"},{"id":151,"name":"Denver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684</v>
      </c>
      <c r="B106" s="7">
        <v>4016</v>
      </c>
      <c r="C106" s="22" t="s">
        <v>205</v>
      </c>
      <c r="D106" s="22" t="s">
        <v>867</v>
      </c>
      <c r="E106" s="13">
        <v>42721.636296296296</v>
      </c>
      <c r="F106" s="13">
        <v>42721.638599537036</v>
      </c>
      <c r="G106" s="7">
        <v>3</v>
      </c>
      <c r="H106" s="22" t="s">
        <v>509</v>
      </c>
      <c r="I106" s="13">
        <v>42721.668900462966</v>
      </c>
      <c r="J106" s="7">
        <v>0</v>
      </c>
      <c r="K106" s="109" t="str">
        <f t="shared" si="60"/>
        <v>4015/4016</v>
      </c>
      <c r="L106" s="22" t="str">
        <f>VLOOKUP(A106,'Trips&amp;Operators'!$C$1:$G$99999,5,FALSE)</f>
        <v>SHOOK JOHN</v>
      </c>
      <c r="M106" s="6">
        <f t="shared" si="61"/>
        <v>3.030092592962319E-2</v>
      </c>
      <c r="N106" s="7">
        <f t="shared" si="77"/>
        <v>43.633333338657394</v>
      </c>
      <c r="O106" s="7"/>
      <c r="P106" s="7"/>
      <c r="Q106" s="23"/>
      <c r="R106" s="23"/>
      <c r="S106" s="35">
        <f t="shared" si="75"/>
        <v>1</v>
      </c>
      <c r="T106" s="50" t="str">
        <f t="shared" si="64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14:16:16-700',mode:absolute,to:'2016-12-17 17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6" s="52" t="str">
        <f t="shared" si="66"/>
        <v>N</v>
      </c>
      <c r="X106" s="177">
        <f t="shared" si="78"/>
        <v>1</v>
      </c>
      <c r="Y106" s="67">
        <f t="shared" si="73"/>
        <v>4.3700000000000003E-2</v>
      </c>
      <c r="Z106" s="67">
        <f t="shared" si="74"/>
        <v>23.333400000000001</v>
      </c>
      <c r="AA106" s="67">
        <f t="shared" si="67"/>
        <v>23.2897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68"/>
        <v>0193-17</v>
      </c>
      <c r="AE106" s="91" t="str">
        <f t="shared" si="69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106" s="88" t="str">
        <f t="shared" si="70"/>
        <v>"C:\Program Files (x86)\AstroGrep\AstroGrep.exe" /spath="%USERPROFILE%\AppData\Local\Temp\OnboardLogs" /stypes="app*4016*20161217*" /stext=" 23:.+((SYSTEM_STATE.+slice.+state.+changed )|(ment ac)|(multiple cpu faults)|(system.+state.+changed )|(\[timeout)|(PRM\|1\|D)|(kpr)|(kdp)|(\|lc)|(penalty))" /e /r /s</v>
      </c>
      <c r="AG106" s="1" t="str">
        <f t="shared" si="71"/>
        <v>EC</v>
      </c>
      <c r="AH106" s="92" t="str">
        <f t="shared" si="58"/>
        <v>"%USERPROFILE%\Documents\GitHub\eaglep3\Utilities\RefineRTDCRunTimes.py" --tripid 193-17 --locoid 4016 --swversion DE.1.0.8.0 --startMP 204:437 --initTime 2016-12-17T15:16:16 --startdatetime 2016-12-17T15:19:35 --delay 3 --endMP 204:233334 --enddatetime 2016-12-17T16:03:13 --enforcementcount 0 &gt;&gt;C:\Users\stu\Documents\GitHub\eaglep3-reporting\EC\2016-12-17-refined-times.txt</v>
      </c>
      <c r="AI106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{"issue":{"subject":"","project_id":79,"tracker_id":40,"status_id":1,"priority_id":2,"assigned_to_id":23,"start_date":"2016-12-17","description":"","custom_fields":[{"id":1,"name":"Subdivision","value":"EC"},{"id":4,"name":"Milepost","value":"23.3334"},{"id":17,"name":"Train ID","value":"193-17"},{"id":16,"name":"Locomotive ID","value":"4016"},{"id":130,"name":"Impact","value":""},{"id":150,"name":"Time of Event (Mountain Time)","value":"16:03:13"},{"id":151,"name":"Denver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690</v>
      </c>
      <c r="B107" s="7">
        <v>4030</v>
      </c>
      <c r="C107" s="22" t="s">
        <v>205</v>
      </c>
      <c r="D107" s="22" t="s">
        <v>274</v>
      </c>
      <c r="E107" s="13">
        <v>42721.664768518516</v>
      </c>
      <c r="F107" s="13">
        <v>42721.675011574072</v>
      </c>
      <c r="G107" s="7">
        <v>2</v>
      </c>
      <c r="H107" s="22" t="s">
        <v>211</v>
      </c>
      <c r="I107" s="13">
        <v>42721.703888888886</v>
      </c>
      <c r="J107" s="7">
        <v>0</v>
      </c>
      <c r="K107" s="109" t="str">
        <f t="shared" si="60"/>
        <v>4029/4030</v>
      </c>
      <c r="L107" s="22" t="str">
        <f>VLOOKUP(A107,'Trips&amp;Operators'!$C$1:$G$99999,5,FALSE)</f>
        <v>SMITH MICHAEL</v>
      </c>
      <c r="M107" s="6">
        <f t="shared" si="61"/>
        <v>2.8877314813144039E-2</v>
      </c>
      <c r="N107" s="7">
        <f t="shared" si="77"/>
        <v>41.583333330927417</v>
      </c>
      <c r="O107" s="7"/>
      <c r="P107" s="7"/>
      <c r="Q107" s="23"/>
      <c r="R107" s="23"/>
      <c r="S107" s="35">
        <f t="shared" si="75"/>
        <v>1</v>
      </c>
      <c r="T107" s="50" t="str">
        <f t="shared" si="64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14:57:16-700',mode:absolute,to:'2016-12-17 17:53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7" s="52" t="str">
        <f t="shared" si="66"/>
        <v>N</v>
      </c>
      <c r="X107" s="177">
        <f t="shared" si="78"/>
        <v>1</v>
      </c>
      <c r="Y107" s="67">
        <f t="shared" si="73"/>
        <v>23.298300000000001</v>
      </c>
      <c r="Z107" s="67">
        <f t="shared" si="74"/>
        <v>1.4999999999999999E-2</v>
      </c>
      <c r="AA107" s="67">
        <f t="shared" si="67"/>
        <v>23.283300000000001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68"/>
        <v>0194-17</v>
      </c>
      <c r="AE107" s="91" t="str">
        <f t="shared" si="69"/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AF107" s="88" t="str">
        <f t="shared" si="70"/>
        <v>"C:\Program Files (x86)\AstroGrep\AstroGrep.exe" /spath="%USERPROFILE%\AppData\Local\Temp\OnboardLogs" /stypes="app*4030*20161217*" /stext=" 23:.+((SYSTEM_STATE.+slice.+state.+changed )|(ment ac)|(multiple cpu faults)|(system.+state.+changed )|(\[timeout)|(PRM\|1\|D)|(kpr)|(kdp)|(\|lc)|(penalty))" /e /r /s</v>
      </c>
      <c r="AG107" s="1" t="str">
        <f t="shared" si="71"/>
        <v>EC</v>
      </c>
      <c r="AH107" s="92" t="str">
        <f t="shared" si="58"/>
        <v>"%USERPROFILE%\Documents\GitHub\eaglep3\Utilities\RefineRTDCRunTimes.py" --tripid 194-17 --locoid 4030 --swversion DE.1.0.8.0 --startMP 204:232983 --initTime 2016-12-17T15:57:16 --startdatetime 2016-12-17T16:12:01 --delay 2 --endMP 204:150 --enddatetime 2016-12-17T16:53:36 --enforcementcount 0 &gt;&gt;C:\Users\stu\Documents\GitHub\eaglep3-reporting\EC\2016-12-17-refined-times.txt</v>
      </c>
      <c r="AI107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{"issue":{"subject":"","project_id":79,"tracker_id":40,"status_id":1,"priority_id":2,"assigned_to_id":23,"start_date":"2016-12-17","description":"","custom_fields":[{"id":1,"name":"Subdivision","value":"EC"},{"id":4,"name":"Milepost","value":"0.015"},{"id":17,"name":"Train ID","value":"194-17"},{"id":16,"name":"Locomotive ID","value":"4030"},{"id":130,"name":"Impact","value":""},{"id":150,"name":"Time of Event (Mountain Time)","value":"16:53:36"},{"id":151,"name":"Denver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686</v>
      </c>
      <c r="B108" s="7">
        <v>4020</v>
      </c>
      <c r="C108" s="22" t="s">
        <v>205</v>
      </c>
      <c r="D108" s="22" t="s">
        <v>230</v>
      </c>
      <c r="E108" s="13">
        <v>42721.642175925925</v>
      </c>
      <c r="F108" s="13">
        <v>42721.646018518521</v>
      </c>
      <c r="G108" s="7">
        <v>1</v>
      </c>
      <c r="H108" s="22" t="s">
        <v>330</v>
      </c>
      <c r="I108" s="13">
        <v>42721.678229166668</v>
      </c>
      <c r="J108" s="7">
        <v>0</v>
      </c>
      <c r="K108" s="109" t="str">
        <f t="shared" si="60"/>
        <v>4019/4020</v>
      </c>
      <c r="L108" s="22" t="str">
        <f>VLOOKUP(A108,'Trips&amp;Operators'!$C$1:$G$99999,5,FALSE)</f>
        <v>BRUDER RICHARD</v>
      </c>
      <c r="M108" s="6">
        <f t="shared" si="61"/>
        <v>3.2210648147156462E-2</v>
      </c>
      <c r="N108" s="7">
        <f t="shared" si="77"/>
        <v>46.383333331905305</v>
      </c>
      <c r="O108" s="7"/>
      <c r="P108" s="7"/>
      <c r="Q108" s="23"/>
      <c r="R108" s="23"/>
      <c r="S108" s="35">
        <f t="shared" si="75"/>
        <v>1</v>
      </c>
      <c r="T108" s="50" t="str">
        <f t="shared" si="64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14:24:44-700',mode:absolute,to:'2016-12-17 17:16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8" s="52" t="str">
        <f t="shared" si="66"/>
        <v>N</v>
      </c>
      <c r="X108" s="177">
        <f t="shared" si="78"/>
        <v>1</v>
      </c>
      <c r="Y108" s="67">
        <f t="shared" si="73"/>
        <v>4.5999999999999999E-2</v>
      </c>
      <c r="Z108" s="67">
        <f t="shared" si="74"/>
        <v>23.331499999999998</v>
      </c>
      <c r="AA108" s="67">
        <f t="shared" si="67"/>
        <v>23.285499999999999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68"/>
        <v>0195-17</v>
      </c>
      <c r="AE108" s="91" t="str">
        <f t="shared" si="69"/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108" s="88" t="str">
        <f t="shared" si="70"/>
        <v>"C:\Program Files (x86)\AstroGrep\AstroGrep.exe" /spath="%USERPROFILE%\AppData\Local\Temp\OnboardLogs" /stypes="app*4020*20161217*" /stext=" 23:.+((SYSTEM_STATE.+slice.+state.+changed )|(ment ac)|(multiple cpu faults)|(system.+state.+changed )|(\[timeout)|(PRM\|1\|D)|(kpr)|(kdp)|(\|lc)|(penalty))" /e /r /s</v>
      </c>
      <c r="AG108" s="1" t="str">
        <f t="shared" si="71"/>
        <v>EC</v>
      </c>
      <c r="AH108" s="92" t="str">
        <f t="shared" si="58"/>
        <v>"%USERPROFILE%\Documents\GitHub\eaglep3\Utilities\RefineRTDCRunTimes.py" --tripid 195-17 --locoid 4020 --swversion DE.1.0.8.0 --startMP 204:460 --initTime 2016-12-17T15:24:44 --startdatetime 2016-12-17T15:30:16 --delay 1 --endMP 204:233315 --enddatetime 2016-12-17T16:16:39 --enforcementcount 0 &gt;&gt;C:\Users\stu\Documents\GitHub\eaglep3-reporting\EC\2016-12-17-refined-times.txt</v>
      </c>
      <c r="AI108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{"issue":{"subject":"","project_id":79,"tracker_id":40,"status_id":1,"priority_id":2,"assigned_to_id":23,"start_date":"2016-12-17","description":"","custom_fields":[{"id":1,"name":"Subdivision","value":"EC"},{"id":4,"name":"Milepost","value":"23.3315"},{"id":17,"name":"Train ID","value":"195-17"},{"id":16,"name":"Locomotive ID","value":"4020"},{"id":130,"name":"Impact","value":""},{"id":150,"name":"Time of Event (Mountain Time)","value":"16:16:39"},{"id":151,"name":"Denver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692</v>
      </c>
      <c r="B109" s="7">
        <v>4015</v>
      </c>
      <c r="C109" s="22" t="s">
        <v>205</v>
      </c>
      <c r="D109" s="22" t="s">
        <v>333</v>
      </c>
      <c r="E109" s="13">
        <v>42721.679791666669</v>
      </c>
      <c r="F109" s="13">
        <v>42721.684907407405</v>
      </c>
      <c r="G109" s="7">
        <v>1</v>
      </c>
      <c r="H109" s="22" t="s">
        <v>283</v>
      </c>
      <c r="I109" s="13">
        <v>42721.717002314814</v>
      </c>
      <c r="J109" s="7">
        <v>0</v>
      </c>
      <c r="K109" s="109" t="str">
        <f t="shared" si="60"/>
        <v>4015/4016</v>
      </c>
      <c r="L109" s="22" t="str">
        <f>VLOOKUP(A109,'Trips&amp;Operators'!$C$1:$G$99999,5,FALSE)</f>
        <v>SHOOK JOHN</v>
      </c>
      <c r="M109" s="6">
        <f t="shared" si="61"/>
        <v>3.2094907408463769E-2</v>
      </c>
      <c r="N109" s="7">
        <f t="shared" si="77"/>
        <v>46.216666668187827</v>
      </c>
      <c r="O109" s="7"/>
      <c r="P109" s="7"/>
      <c r="Q109" s="23"/>
      <c r="R109" s="23"/>
      <c r="S109" s="35">
        <f t="shared" si="75"/>
        <v>1</v>
      </c>
      <c r="T109" s="50" t="str">
        <f t="shared" si="64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15:18:54-700',mode:absolute,to:'2016-12-17 18:12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9" s="52" t="str">
        <f t="shared" si="66"/>
        <v>N</v>
      </c>
      <c r="X109" s="177">
        <f t="shared" si="78"/>
        <v>1</v>
      </c>
      <c r="Y109" s="67">
        <f t="shared" si="73"/>
        <v>23.3</v>
      </c>
      <c r="Z109" s="67">
        <f t="shared" si="74"/>
        <v>1.5800000000000002E-2</v>
      </c>
      <c r="AA109" s="67">
        <f t="shared" si="67"/>
        <v>23.284200000000002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68"/>
        <v>0196-17</v>
      </c>
      <c r="AE109" s="91" t="str">
        <f t="shared" si="69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109" s="88" t="str">
        <f t="shared" si="70"/>
        <v>"C:\Program Files (x86)\AstroGrep\AstroGrep.exe" /spath="%USERPROFILE%\AppData\Local\Temp\OnboardLogs" /stypes="app*4015*20161218*" /stext=" 00:.+((SYSTEM_STATE.+slice.+state.+changed )|(ment ac)|(multiple cpu faults)|(system.+state.+changed )|(\[timeout)|(PRM\|1\|D)|(kpr)|(kdp)|(\|lc)|(penalty))" /e /r /s</v>
      </c>
      <c r="AG109" s="1" t="str">
        <f t="shared" si="71"/>
        <v>EC</v>
      </c>
      <c r="AH109" s="92" t="str">
        <f t="shared" si="58"/>
        <v>"%USERPROFILE%\Documents\GitHub\eaglep3\Utilities\RefineRTDCRunTimes.py" --tripid 196-17 --locoid 4015 --swversion DE.1.0.8.0 --startMP 204:233000 --initTime 2016-12-17T16:18:54 --startdatetime 2016-12-17T16:26:16 --delay 1 --endMP 204:158 --enddatetime 2016-12-17T17:12:29 --enforcementcount 0 &gt;&gt;C:\Users\stu\Documents\GitHub\eaglep3-reporting\EC\2016-12-17-refined-times.txt</v>
      </c>
      <c r="AI109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{"issue":{"subject":"","project_id":79,"tracker_id":40,"status_id":1,"priority_id":2,"assigned_to_id":23,"start_date":"2016-12-17","description":"","custom_fields":[{"id":1,"name":"Subdivision","value":"EC"},{"id":4,"name":"Milepost","value":"0.0158"},{"id":17,"name":"Train ID","value":"196-17"},{"id":16,"name":"Locomotive ID","value":"4015"},{"id":130,"name":"Impact","value":""},{"id":150,"name":"Time of Event (Mountain Time)","value":"17:12:29"},{"id":151,"name":"Denver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694</v>
      </c>
      <c r="B110" s="7">
        <v>4019</v>
      </c>
      <c r="C110" s="22" t="s">
        <v>205</v>
      </c>
      <c r="D110" s="22" t="s">
        <v>333</v>
      </c>
      <c r="E110" s="13">
        <v>42721.689085648148</v>
      </c>
      <c r="F110" s="13">
        <v>42721.695381944446</v>
      </c>
      <c r="G110" s="7">
        <v>1</v>
      </c>
      <c r="H110" s="22" t="s">
        <v>868</v>
      </c>
      <c r="I110" s="13">
        <v>42721.723958333336</v>
      </c>
      <c r="J110" s="7">
        <v>0</v>
      </c>
      <c r="K110" s="109" t="str">
        <f t="shared" si="60"/>
        <v>4019/4020</v>
      </c>
      <c r="L110" s="22" t="str">
        <f>VLOOKUP(A110,'Trips&amp;Operators'!$C$1:$G$99999,5,FALSE)</f>
        <v>BRUDER RICHARD</v>
      </c>
      <c r="M110" s="6">
        <f t="shared" si="61"/>
        <v>2.8576388889632653E-2</v>
      </c>
      <c r="N110" s="7">
        <f t="shared" si="77"/>
        <v>41.150000001071021</v>
      </c>
      <c r="O110" s="7"/>
      <c r="P110" s="7"/>
      <c r="Q110" s="23"/>
      <c r="R110" s="23"/>
      <c r="S110" s="35">
        <f t="shared" si="75"/>
        <v>1</v>
      </c>
      <c r="T110" s="50" t="str">
        <f t="shared" si="64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15:32:17-700',mode:absolute,to:'2016-12-17 18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0" s="52" t="str">
        <f t="shared" si="66"/>
        <v>N</v>
      </c>
      <c r="X110" s="177">
        <f t="shared" si="78"/>
        <v>2</v>
      </c>
      <c r="Y110" s="67">
        <f t="shared" si="73"/>
        <v>23.3</v>
      </c>
      <c r="Z110" s="67">
        <f t="shared" si="74"/>
        <v>0.1179</v>
      </c>
      <c r="AA110" s="67">
        <f t="shared" si="67"/>
        <v>23.182100000000002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68"/>
        <v>0198-17</v>
      </c>
      <c r="AE110" s="91" t="str">
        <f t="shared" si="69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110" s="88" t="str">
        <f t="shared" si="70"/>
        <v>"C:\Program Files (x86)\AstroGrep\AstroGrep.exe" /spath="%USERPROFILE%\AppData\Local\Temp\OnboardLogs" /stypes="app*4019*20161218*" /stext=" 00:.+((SYSTEM_STATE.+slice.+state.+changed )|(ment ac)|(multiple cpu faults)|(system.+state.+changed )|(\[timeout)|(PRM\|1\|D)|(kpr)|(kdp)|(\|lc)|(penalty))" /e /r /s</v>
      </c>
      <c r="AG110" s="1" t="str">
        <f t="shared" si="71"/>
        <v>EC</v>
      </c>
      <c r="AH110" s="92" t="str">
        <f t="shared" si="58"/>
        <v>"%USERPROFILE%\Documents\GitHub\eaglep3\Utilities\RefineRTDCRunTimes.py" --tripid 198-17 --locoid 4019 --swversion DE.1.0.8.0 --startMP 204:233000 --initTime 2016-12-17T16:32:17 --startdatetime 2016-12-17T16:41:21 --delay 1 --endMP 204:1179 --enddatetime 2016-12-17T17:22:30 --enforcementcount 0 &gt;&gt;C:\Users\stu\Documents\GitHub\eaglep3-reporting\EC\2016-12-17-refined-times.txt</v>
      </c>
      <c r="AI110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{"issue":{"subject":"","project_id":79,"tracker_id":40,"status_id":1,"priority_id":2,"assigned_to_id":23,"start_date":"2016-12-17","description":"","custom_fields":[{"id":1,"name":"Subdivision","value":"EC"},{"id":4,"name":"Milepost","value":"0.1179"},{"id":17,"name":"Train ID","value":"198-17"},{"id":16,"name":"Locomotive ID","value":"4019"},{"id":130,"name":"Impact","value":""},{"id":150,"name":"Time of Event (Mountain Time)","value":"17:22:30"},{"id":151,"name":"Denver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689</v>
      </c>
      <c r="B111" s="7">
        <v>4022</v>
      </c>
      <c r="C111" s="22" t="s">
        <v>205</v>
      </c>
      <c r="D111" s="22" t="s">
        <v>230</v>
      </c>
      <c r="E111" s="13">
        <v>42721.664166666669</v>
      </c>
      <c r="F111" s="13">
        <v>42721.667372685188</v>
      </c>
      <c r="G111" s="7">
        <v>1</v>
      </c>
      <c r="H111" s="22" t="s">
        <v>338</v>
      </c>
      <c r="I111" s="13">
        <v>42721.693738425929</v>
      </c>
      <c r="J111" s="7">
        <v>0</v>
      </c>
      <c r="K111" s="109" t="str">
        <f t="shared" si="60"/>
        <v>4021/4022</v>
      </c>
      <c r="L111" s="22" t="str">
        <f>VLOOKUP(A111,'Trips&amp;Operators'!$C$1:$G$99999,5,FALSE)</f>
        <v>MOSES BRADLEY</v>
      </c>
      <c r="M111" s="6">
        <f t="shared" si="61"/>
        <v>2.6365740741312038E-2</v>
      </c>
      <c r="N111" s="7">
        <f t="shared" si="77"/>
        <v>37.966666667489335</v>
      </c>
      <c r="O111" s="7"/>
      <c r="P111" s="7"/>
      <c r="Q111" s="23"/>
      <c r="R111" s="23"/>
      <c r="S111" s="35">
        <f t="shared" si="75"/>
        <v>1</v>
      </c>
      <c r="T111" s="50" t="str">
        <f t="shared" si="64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14:56:24-700',mode:absolute,to:'2016-12-17 17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1" s="52" t="str">
        <f t="shared" si="66"/>
        <v>N</v>
      </c>
      <c r="X111" s="177">
        <f t="shared" si="78"/>
        <v>1</v>
      </c>
      <c r="Y111" s="67">
        <f t="shared" si="73"/>
        <v>4.5999999999999999E-2</v>
      </c>
      <c r="Z111" s="67">
        <f t="shared" si="74"/>
        <v>23.3291</v>
      </c>
      <c r="AA111" s="67">
        <f t="shared" si="67"/>
        <v>23.283100000000001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68"/>
        <v>0199-17</v>
      </c>
      <c r="AE111" s="91" t="str">
        <f t="shared" si="69"/>
        <v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v>
      </c>
      <c r="AF111" s="88" t="str">
        <f t="shared" si="70"/>
        <v>"C:\Program Files (x86)\AstroGrep\AstroGrep.exe" /spath="%USERPROFILE%\AppData\Local\Temp\OnboardLogs" /stypes="app*4022*20161217*" /stext=" 23:.+((SYSTEM_STATE.+slice.+state.+changed )|(ment ac)|(multiple cpu faults)|(system.+state.+changed )|(\[timeout)|(PRM\|1\|D)|(kpr)|(kdp)|(\|lc)|(penalty))" /e /r /s</v>
      </c>
      <c r="AG111" s="1" t="str">
        <f t="shared" si="71"/>
        <v>EC</v>
      </c>
      <c r="AH111" s="92" t="str">
        <f t="shared" si="58"/>
        <v>"%USERPROFILE%\Documents\GitHub\eaglep3\Utilities\RefineRTDCRunTimes.py" --tripid 199-17 --locoid 4022 --swversion DE.1.0.8.0 --startMP 204:460 --initTime 2016-12-17T15:56:24 --startdatetime 2016-12-17T16:01:01 --delay 1 --endMP 204:233291 --enddatetime 2016-12-17T16:38:59 --enforcementcount 0 &gt;&gt;C:\Users\stu\Documents\GitHub\eaglep3-reporting\EC\2016-12-17-refined-times.txt</v>
      </c>
      <c r="AI111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{"issue":{"subject":"","project_id":79,"tracker_id":40,"status_id":1,"priority_id":2,"assigned_to_id":23,"start_date":"2016-12-17","description":"","custom_fields":[{"id":1,"name":"Subdivision","value":"EC"},{"id":4,"name":"Milepost","value":"23.3291"},{"id":17,"name":"Train ID","value":"199-17"},{"id":16,"name":"Locomotive ID","value":"4022"},{"id":130,"name":"Impact","value":""},{"id":150,"name":"Time of Event (Mountain Time)","value":"16:38:59"},{"id":151,"name":"Denver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577</v>
      </c>
      <c r="B112" s="7">
        <v>4021</v>
      </c>
      <c r="C112" s="22" t="s">
        <v>205</v>
      </c>
      <c r="D112" s="22" t="s">
        <v>869</v>
      </c>
      <c r="E112" s="13">
        <v>42721.698784722219</v>
      </c>
      <c r="F112" s="13">
        <v>42721.705914351849</v>
      </c>
      <c r="G112" s="7">
        <v>2</v>
      </c>
      <c r="H112" s="22" t="s">
        <v>870</v>
      </c>
      <c r="I112" s="13">
        <v>42721.738344907404</v>
      </c>
      <c r="J112" s="7">
        <v>0</v>
      </c>
      <c r="K112" s="109" t="str">
        <f t="shared" si="60"/>
        <v>4021/4022</v>
      </c>
      <c r="L112" s="22" t="str">
        <f>VLOOKUP(A112,'Trips&amp;Operators'!$C$1:$G$99999,5,FALSE)</f>
        <v>MOSES BRADLEY</v>
      </c>
      <c r="M112" s="6">
        <f t="shared" si="61"/>
        <v>3.2430555555038154E-2</v>
      </c>
      <c r="N112" s="7">
        <f t="shared" si="77"/>
        <v>46.699999999254942</v>
      </c>
      <c r="O112" s="7"/>
      <c r="P112" s="7"/>
      <c r="Q112" s="23"/>
      <c r="R112" s="23"/>
      <c r="S112" s="35">
        <f t="shared" si="75"/>
        <v>1</v>
      </c>
      <c r="T112" s="50" t="str">
        <f t="shared" si="64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15:46:15-700',mode:absolute,to:'2016-12-17 18:43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2" s="52" t="str">
        <f t="shared" si="66"/>
        <v>N</v>
      </c>
      <c r="X112" s="177">
        <f t="shared" si="78"/>
        <v>1</v>
      </c>
      <c r="Y112" s="67">
        <f t="shared" si="73"/>
        <v>23.297999999999998</v>
      </c>
      <c r="Z112" s="67">
        <f t="shared" si="74"/>
        <v>2.0299999999999999E-2</v>
      </c>
      <c r="AA112" s="67">
        <f t="shared" si="67"/>
        <v>23.277699999999999</v>
      </c>
      <c r="AB112" s="64" t="str">
        <f>VLOOKUP(A112,Enforcements!$C$7:$K$19,8,0)</f>
        <v>Bulletin (2)</v>
      </c>
      <c r="AC112" s="60" t="str">
        <f>VLOOKUP(A112,Enforcements!$C$7:$E$19,3,0)</f>
        <v>GRADE CROSSING</v>
      </c>
      <c r="AD112" s="61" t="str">
        <f t="shared" si="68"/>
        <v>0200-17</v>
      </c>
      <c r="AE112" s="91" t="str">
        <f t="shared" si="69"/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AF112" s="88" t="str">
        <f t="shared" si="70"/>
        <v>"C:\Program Files (x86)\AstroGrep\AstroGrep.exe" /spath="%USERPROFILE%\AppData\Local\Temp\OnboardLogs" /stypes="app*4021*20161218*" /stext=" 00:.+((SYSTEM_STATE.+slice.+state.+changed )|(ment ac)|(multiple cpu faults)|(system.+state.+changed )|(\[timeout)|(PRM\|1\|D)|(kpr)|(kdp)|(\|lc)|(penalty))" /e /r /s</v>
      </c>
      <c r="AG112" s="1" t="str">
        <f t="shared" si="71"/>
        <v>EC</v>
      </c>
      <c r="AH112" s="92" t="str">
        <f t="shared" si="58"/>
        <v>"%USERPROFILE%\Documents\GitHub\eaglep3\Utilities\RefineRTDCRunTimes.py" --tripid 200-17 --locoid 4021 --swversion DE.1.0.8.0 --startMP 204:232980 --initTime 2016-12-17T16:46:15 --startdatetime 2016-12-17T16:56:31 --delay 2 --endMP 204:203 --enddatetime 2016-12-17T17:43:13 --enforcementcount 0 &gt;&gt;C:\Users\stu\Documents\GitHub\eaglep3-reporting\EC\2016-12-17-refined-times.txt</v>
      </c>
      <c r="AI112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{"issue":{"subject":"","project_id":79,"tracker_id":40,"status_id":1,"priority_id":2,"assigned_to_id":23,"start_date":"2016-12-17","description":"","custom_fields":[{"id":1,"name":"Subdivision","value":"EC"},{"id":4,"name":"Milepost","value":"0.0203"},{"id":17,"name":"Train ID","value":"200-17"},{"id":16,"name":"Locomotive ID","value":"4021"},{"id":130,"name":"Impact","value":""},{"id":150,"name":"Time of Event (Mountain Time)","value":"17:43:13"},{"id":151,"name":"Denver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693</v>
      </c>
      <c r="B113" s="7">
        <v>4042</v>
      </c>
      <c r="C113" s="22" t="s">
        <v>205</v>
      </c>
      <c r="D113" s="22" t="s">
        <v>871</v>
      </c>
      <c r="E113" s="13">
        <v>42721.679976851854</v>
      </c>
      <c r="F113" s="13">
        <v>42721.68178240741</v>
      </c>
      <c r="G113" s="7">
        <v>1</v>
      </c>
      <c r="H113" s="22" t="s">
        <v>284</v>
      </c>
      <c r="I113" s="13">
        <v>42721.708738425928</v>
      </c>
      <c r="J113" s="7">
        <v>0</v>
      </c>
      <c r="K113" s="109" t="str">
        <f t="shared" si="60"/>
        <v>4041/4042</v>
      </c>
      <c r="L113" s="22" t="str">
        <f>VLOOKUP(A113,'Trips&amp;Operators'!$C$1:$G$99999,5,FALSE)</f>
        <v>STORY SAMANTHA</v>
      </c>
      <c r="M113" s="6">
        <f t="shared" si="61"/>
        <v>2.6956018518831115E-2</v>
      </c>
      <c r="N113" s="7">
        <f t="shared" si="77"/>
        <v>38.816666667116806</v>
      </c>
      <c r="O113" s="7"/>
      <c r="P113" s="7"/>
      <c r="Q113" s="23"/>
      <c r="R113" s="23"/>
      <c r="S113" s="35">
        <f t="shared" si="75"/>
        <v>1</v>
      </c>
      <c r="T113" s="50" t="str">
        <f t="shared" si="64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15:19:10-700',mode:absolute,to:'2016-12-17 18:00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52" t="str">
        <f t="shared" si="66"/>
        <v>N</v>
      </c>
      <c r="X113" s="177">
        <f t="shared" si="78"/>
        <v>1</v>
      </c>
      <c r="Y113" s="67">
        <f t="shared" si="73"/>
        <v>7.8299999999999995E-2</v>
      </c>
      <c r="Z113" s="67">
        <f t="shared" si="74"/>
        <v>23.331199999999999</v>
      </c>
      <c r="AA113" s="67">
        <f t="shared" si="67"/>
        <v>23.2529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68"/>
        <v>0201-17</v>
      </c>
      <c r="AE113" s="91" t="str">
        <f t="shared" si="69"/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AF113" s="88" t="str">
        <f t="shared" si="70"/>
        <v>"C:\Program Files (x86)\AstroGrep\AstroGrep.exe" /spath="%USERPROFILE%\AppData\Local\Temp\OnboardLogs" /stypes="app*4042*20161218*" /stext=" 00:.+((SYSTEM_STATE.+slice.+state.+changed )|(ment ac)|(multiple cpu faults)|(system.+state.+changed )|(\[timeout)|(PRM\|1\|D)|(kpr)|(kdp)|(\|lc)|(penalty))" /e /r /s</v>
      </c>
      <c r="AG113" s="1" t="str">
        <f t="shared" si="71"/>
        <v>EC</v>
      </c>
      <c r="AH113" s="92" t="str">
        <f t="shared" si="58"/>
        <v>"%USERPROFILE%\Documents\GitHub\eaglep3\Utilities\RefineRTDCRunTimes.py" --tripid 201-17 --locoid 4042 --swversion DE.1.0.8.0 --startMP 204:783 --initTime 2016-12-17T16:19:10 --startdatetime 2016-12-17T16:21:46 --delay 1 --endMP 204:233312 --enddatetime 2016-12-17T17:00:35 --enforcementcount 0 &gt;&gt;C:\Users\stu\Documents\GitHub\eaglep3-reporting\EC\2016-12-17-refined-times.txt</v>
      </c>
      <c r="AI113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{"issue":{"subject":"","project_id":79,"tracker_id":40,"status_id":1,"priority_id":2,"assigned_to_id":23,"start_date":"2016-12-17","description":"","custom_fields":[{"id":1,"name":"Subdivision","value":"EC"},{"id":4,"name":"Milepost","value":"23.3312"},{"id":17,"name":"Train ID","value":"201-17"},{"id":16,"name":"Locomotive ID","value":"4042"},{"id":130,"name":"Impact","value":""},{"id":150,"name":"Time of Event (Mountain Time)","value":"17:00:35"},{"id":151,"name":"Denver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699</v>
      </c>
      <c r="B114" s="7">
        <v>4041</v>
      </c>
      <c r="C114" s="22" t="s">
        <v>205</v>
      </c>
      <c r="D114" s="22" t="s">
        <v>273</v>
      </c>
      <c r="E114" s="13">
        <v>42721.712488425925</v>
      </c>
      <c r="F114" s="13">
        <v>42721.716273148151</v>
      </c>
      <c r="G114" s="7">
        <v>2</v>
      </c>
      <c r="H114" s="22" t="s">
        <v>341</v>
      </c>
      <c r="I114" s="13">
        <v>42721.744502314818</v>
      </c>
      <c r="J114" s="7">
        <v>0</v>
      </c>
      <c r="K114" s="109" t="str">
        <f t="shared" si="60"/>
        <v>4041/4042</v>
      </c>
      <c r="L114" s="22" t="str">
        <f>VLOOKUP(A114,'Trips&amp;Operators'!$C$1:$G$99999,5,FALSE)</f>
        <v>STORY SAMANTHA</v>
      </c>
      <c r="M114" s="6">
        <f t="shared" si="61"/>
        <v>2.8229166666278616E-2</v>
      </c>
      <c r="N114" s="7">
        <f t="shared" si="77"/>
        <v>40.649999999441206</v>
      </c>
      <c r="O114" s="7"/>
      <c r="P114" s="7"/>
      <c r="Q114" s="23"/>
      <c r="R114" s="23"/>
      <c r="S114" s="35">
        <f t="shared" si="75"/>
        <v>1</v>
      </c>
      <c r="T114" s="50" t="str">
        <f t="shared" si="64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16:05:59-700',mode:absolute,to:'2016-12-17 18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52" t="str">
        <f t="shared" si="66"/>
        <v>N</v>
      </c>
      <c r="X114" s="177">
        <f t="shared" si="78"/>
        <v>1</v>
      </c>
      <c r="Y114" s="67">
        <f t="shared" si="73"/>
        <v>23.299600000000002</v>
      </c>
      <c r="Z114" s="67">
        <f t="shared" si="74"/>
        <v>1.2500000000000001E-2</v>
      </c>
      <c r="AA114" s="67">
        <f t="shared" si="67"/>
        <v>23.287100000000002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68"/>
        <v>0202-17</v>
      </c>
      <c r="AE114" s="91" t="str">
        <f t="shared" si="69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114" s="88" t="str">
        <f t="shared" si="70"/>
        <v>"C:\Program Files (x86)\AstroGrep\AstroGrep.exe" /spath="%USERPROFILE%\AppData\Local\Temp\OnboardLogs" /stypes="app*4041*20161218*" /stext=" 00:.+((SYSTEM_STATE.+slice.+state.+changed )|(ment ac)|(multiple cpu faults)|(system.+state.+changed )|(\[timeout)|(PRM\|1\|D)|(kpr)|(kdp)|(\|lc)|(penalty))" /e /r /s</v>
      </c>
      <c r="AG114" s="1" t="str">
        <f t="shared" si="71"/>
        <v>EC</v>
      </c>
      <c r="AH114" s="92" t="str">
        <f t="shared" si="58"/>
        <v>"%USERPROFILE%\Documents\GitHub\eaglep3\Utilities\RefineRTDCRunTimes.py" --tripid 202-17 --locoid 4041 --swversion DE.1.0.8.0 --startMP 204:232996 --initTime 2016-12-17T17:05:59 --startdatetime 2016-12-17T17:11:26 --delay 2 --endMP 204:125 --enddatetime 2016-12-17T17:52:05 --enforcementcount 0 &gt;&gt;C:\Users\stu\Documents\GitHub\eaglep3-reporting\EC\2016-12-17-refined-times.txt</v>
      </c>
      <c r="AI114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{"issue":{"subject":"","project_id":79,"tracker_id":40,"status_id":1,"priority_id":2,"assigned_to_id":23,"start_date":"2016-12-17","description":"","custom_fields":[{"id":1,"name":"Subdivision","value":"EC"},{"id":4,"name":"Milepost","value":"0.0125"},{"id":17,"name":"Train ID","value":"202-17"},{"id":16,"name":"Locomotive ID","value":"4041"},{"id":130,"name":"Impact","value":""},{"id":150,"name":"Time of Event (Mountain Time)","value":"17:52:05"},{"id":151,"name":"Denver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576</v>
      </c>
      <c r="B115" s="7">
        <v>4046</v>
      </c>
      <c r="C115" s="22" t="s">
        <v>205</v>
      </c>
      <c r="D115" s="22" t="s">
        <v>497</v>
      </c>
      <c r="E115" s="13">
        <v>42721.684212962966</v>
      </c>
      <c r="F115" s="13">
        <v>42721.688067129631</v>
      </c>
      <c r="G115" s="7">
        <v>1</v>
      </c>
      <c r="H115" s="22" t="s">
        <v>778</v>
      </c>
      <c r="I115" s="13">
        <v>42721.71361111111</v>
      </c>
      <c r="J115" s="7">
        <v>0</v>
      </c>
      <c r="K115" s="109" t="str">
        <f t="shared" si="60"/>
        <v>4045/4046</v>
      </c>
      <c r="L115" s="22" t="str">
        <f>VLOOKUP(A115,'Trips&amp;Operators'!$C$1:$G$99999,5,FALSE)</f>
        <v>HOLCOMB KAMDEN</v>
      </c>
      <c r="M115" s="6">
        <f t="shared" si="61"/>
        <v>2.5543981479131617E-2</v>
      </c>
      <c r="N115" s="7">
        <f t="shared" si="77"/>
        <v>36.783333329949528</v>
      </c>
      <c r="O115" s="7"/>
      <c r="P115" s="7"/>
      <c r="Q115" s="23"/>
      <c r="R115" s="23"/>
      <c r="S115" s="35">
        <f t="shared" si="75"/>
        <v>1</v>
      </c>
      <c r="T115" s="50" t="str">
        <f t="shared" si="64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15:25:16-700',mode:absolute,to:'2016-12-17 18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5" s="52" t="str">
        <f t="shared" si="66"/>
        <v>N</v>
      </c>
      <c r="X115" s="177">
        <f t="shared" si="78"/>
        <v>1</v>
      </c>
      <c r="Y115" s="67">
        <f t="shared" si="73"/>
        <v>4.4200000000000003E-2</v>
      </c>
      <c r="Z115" s="67">
        <f t="shared" si="74"/>
        <v>23.334299999999999</v>
      </c>
      <c r="AA115" s="67">
        <f t="shared" si="67"/>
        <v>23.290099999999999</v>
      </c>
      <c r="AB115" s="64" t="str">
        <f>VLOOKUP(A115,Enforcements!$C$7:$K$19,8,0)</f>
        <v>Speed (6)</v>
      </c>
      <c r="AC115" s="60" t="str">
        <f>VLOOKUP(A115,Enforcements!$C$7:$E$19,3,0)</f>
        <v>PERMANENT SPEED RESTRICTION</v>
      </c>
      <c r="AD115" s="61" t="str">
        <f t="shared" si="68"/>
        <v>0203-17</v>
      </c>
      <c r="AE115" s="91" t="str">
        <f t="shared" si="69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115" s="88" t="str">
        <f t="shared" si="70"/>
        <v>"C:\Program Files (x86)\AstroGrep\AstroGrep.exe" /spath="%USERPROFILE%\AppData\Local\Temp\OnboardLogs" /stypes="app*4046*20161218*" /stext=" 00:.+((SYSTEM_STATE.+slice.+state.+changed )|(ment ac)|(multiple cpu faults)|(system.+state.+changed )|(\[timeout)|(PRM\|1\|D)|(kpr)|(kdp)|(\|lc)|(penalty))" /e /r /s</v>
      </c>
      <c r="AG115" s="1" t="str">
        <f t="shared" si="71"/>
        <v>EC</v>
      </c>
      <c r="AH115" s="92" t="str">
        <f t="shared" si="58"/>
        <v>"%USERPROFILE%\Documents\GitHub\eaglep3\Utilities\RefineRTDCRunTimes.py" --tripid 203-17 --locoid 4046 --swversion DE.1.0.8.0 --startMP 204:442 --initTime 2016-12-17T16:25:16 --startdatetime 2016-12-17T16:30:49 --delay 1 --endMP 204:233343 --enddatetime 2016-12-17T17:07:36 --enforcementcount 0 &gt;&gt;C:\Users\stu\Documents\GitHub\eaglep3-reporting\EC\2016-12-17-refined-times.txt</v>
      </c>
      <c r="AI115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{"issue":{"subject":"","project_id":79,"tracker_id":40,"status_id":1,"priority_id":2,"assigned_to_id":23,"start_date":"2016-12-17","description":"","custom_fields":[{"id":1,"name":"Subdivision","value":"EC"},{"id":4,"name":"Milepost","value":"23.3343"},{"id":17,"name":"Train ID","value":"203-17"},{"id":16,"name":"Locomotive ID","value":"4046"},{"id":130,"name":"Impact","value":""},{"id":150,"name":"Time of Event (Mountain Time)","value":"17:07:36"},{"id":151,"name":"Denver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7" t="s">
        <v>700</v>
      </c>
      <c r="B116" s="7">
        <v>4045</v>
      </c>
      <c r="C116" s="22" t="s">
        <v>205</v>
      </c>
      <c r="D116" s="22" t="s">
        <v>273</v>
      </c>
      <c r="E116" s="13">
        <v>42721.715358796297</v>
      </c>
      <c r="F116" s="13">
        <v>42721.727071759262</v>
      </c>
      <c r="G116" s="7">
        <v>1</v>
      </c>
      <c r="H116" s="22" t="s">
        <v>872</v>
      </c>
      <c r="I116" s="13">
        <v>42721.755335648151</v>
      </c>
      <c r="J116" s="7">
        <v>0</v>
      </c>
      <c r="K116" s="109" t="str">
        <f t="shared" si="60"/>
        <v>4045/4046</v>
      </c>
      <c r="L116" s="22" t="str">
        <f>VLOOKUP(A116,'Trips&amp;Operators'!$C$1:$G$99999,5,FALSE)</f>
        <v>HOLCOMB KAMDEN</v>
      </c>
      <c r="M116" s="6">
        <f t="shared" si="61"/>
        <v>2.8263888889341615E-2</v>
      </c>
      <c r="N116" s="7">
        <f t="shared" si="77"/>
        <v>40.700000000651926</v>
      </c>
      <c r="O116" s="7"/>
      <c r="P116" s="7"/>
      <c r="Q116" s="23"/>
      <c r="R116" s="23"/>
      <c r="S116" s="35">
        <f t="shared" si="75"/>
        <v>1</v>
      </c>
      <c r="T116" s="50" t="str">
        <f t="shared" si="64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16:10:07-700',mode:absolute,to:'2016-12-17 19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6" s="52" t="str">
        <f t="shared" si="66"/>
        <v>N</v>
      </c>
      <c r="X116" s="177">
        <f t="shared" si="78"/>
        <v>1</v>
      </c>
      <c r="Y116" s="67">
        <f t="shared" si="73"/>
        <v>23.299600000000002</v>
      </c>
      <c r="Z116" s="67">
        <f t="shared" si="74"/>
        <v>1.2999999999999999E-2</v>
      </c>
      <c r="AA116" s="67">
        <f t="shared" si="67"/>
        <v>23.2866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68"/>
        <v>0204-17</v>
      </c>
      <c r="AE116" s="91" t="str">
        <f t="shared" si="69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116" s="88" t="str">
        <f t="shared" si="70"/>
        <v>"C:\Program Files (x86)\AstroGrep\AstroGrep.exe" /spath="%USERPROFILE%\AppData\Local\Temp\OnboardLogs" /stypes="app*4045*20161218*" /stext=" 01:.+((SYSTEM_STATE.+slice.+state.+changed )|(ment ac)|(multiple cpu faults)|(system.+state.+changed )|(\[timeout)|(PRM\|1\|D)|(kpr)|(kdp)|(\|lc)|(penalty))" /e /r /s</v>
      </c>
      <c r="AG116" s="1" t="str">
        <f t="shared" si="71"/>
        <v>EC</v>
      </c>
      <c r="AH116" s="92" t="str">
        <f t="shared" si="58"/>
        <v>"%USERPROFILE%\Documents\GitHub\eaglep3\Utilities\RefineRTDCRunTimes.py" --tripid 204-17 --locoid 4045 --swversion DE.1.0.8.0 --startMP 204:232996 --initTime 2016-12-17T17:10:07 --startdatetime 2016-12-17T17:26:59 --delay 1 --endMP 204:130 --enddatetime 2016-12-17T18:07:41 --enforcementcount 0 &gt;&gt;C:\Users\stu\Documents\GitHub\eaglep3-reporting\EC\2016-12-17-refined-times.txt</v>
      </c>
      <c r="AI116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{"issue":{"subject":"","project_id":79,"tracker_id":40,"status_id":1,"priority_id":2,"assigned_to_id":23,"start_date":"2016-12-17","description":"","custom_fields":[{"id":1,"name":"Subdivision","value":"EC"},{"id":4,"name":"Milepost","value":"0.013"},{"id":17,"name":"Train ID","value":"204-17"},{"id":16,"name":"Locomotive ID","value":"4045"},{"id":130,"name":"Impact","value":""},{"id":150,"name":"Time of Event (Mountain Time)","value":"18:07:41"},{"id":151,"name":"Denver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91" s="21" customFormat="1" x14ac:dyDescent="0.25">
      <c r="A117" s="37" t="s">
        <v>696</v>
      </c>
      <c r="B117" s="7">
        <v>4018</v>
      </c>
      <c r="C117" s="22" t="s">
        <v>205</v>
      </c>
      <c r="D117" s="22" t="s">
        <v>243</v>
      </c>
      <c r="E117" s="13">
        <v>42721.696736111109</v>
      </c>
      <c r="F117" s="13">
        <v>42721.69835648148</v>
      </c>
      <c r="G117" s="7">
        <v>1</v>
      </c>
      <c r="H117" s="22" t="s">
        <v>782</v>
      </c>
      <c r="I117" s="13">
        <v>42721.724988425929</v>
      </c>
      <c r="J117" s="7">
        <v>0</v>
      </c>
      <c r="K117" s="109" t="str">
        <f t="shared" si="60"/>
        <v>4017/4018</v>
      </c>
      <c r="L117" s="22" t="str">
        <f>VLOOKUP(A117,'Trips&amp;Operators'!$C$1:$G$99999,5,FALSE)</f>
        <v>BARTLETT KIANDRA</v>
      </c>
      <c r="M117" s="6">
        <f t="shared" si="61"/>
        <v>2.6631944449036382E-2</v>
      </c>
      <c r="N117" s="7">
        <f t="shared" si="77"/>
        <v>38.35000000661239</v>
      </c>
      <c r="O117" s="7"/>
      <c r="P117" s="7"/>
      <c r="Q117" s="23"/>
      <c r="R117" s="23"/>
      <c r="S117" s="35">
        <f t="shared" si="75"/>
        <v>1</v>
      </c>
      <c r="T117" s="50" t="str">
        <f t="shared" si="64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15:43:18-700',mode:absolute,to:'2016-12-17 18:23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7" s="52" t="str">
        <f t="shared" si="66"/>
        <v>N</v>
      </c>
      <c r="X117" s="177">
        <f t="shared" si="78"/>
        <v>1</v>
      </c>
      <c r="Y117" s="67">
        <f t="shared" si="73"/>
        <v>4.58E-2</v>
      </c>
      <c r="Z117" s="67">
        <f t="shared" si="74"/>
        <v>23.334900000000001</v>
      </c>
      <c r="AA117" s="67">
        <f t="shared" si="67"/>
        <v>23.289100000000001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68"/>
        <v>0205-17</v>
      </c>
      <c r="AE117" s="91" t="str">
        <f t="shared" si="69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117" s="88" t="str">
        <f t="shared" si="70"/>
        <v>"C:\Program Files (x86)\AstroGrep\AstroGrep.exe" /spath="%USERPROFILE%\AppData\Local\Temp\OnboardLogs" /stypes="app*4018*20161218*" /stext=" 00:.+((SYSTEM_STATE.+slice.+state.+changed )|(ment ac)|(multiple cpu faults)|(system.+state.+changed )|(\[timeout)|(PRM\|1\|D)|(kpr)|(kdp)|(\|lc)|(penalty))" /e /r /s</v>
      </c>
      <c r="AG117" s="1" t="str">
        <f t="shared" si="71"/>
        <v>EC</v>
      </c>
      <c r="AH117" s="92" t="str">
        <f t="shared" si="58"/>
        <v>"%USERPROFILE%\Documents\GitHub\eaglep3\Utilities\RefineRTDCRunTimes.py" --tripid 205-17 --locoid 4018 --swversion DE.1.0.8.0 --startMP 204:458 --initTime 2016-12-17T16:43:18 --startdatetime 2016-12-17T16:45:38 --delay 1 --endMP 204:233349 --enddatetime 2016-12-17T17:23:59 --enforcementcount 0 &gt;&gt;C:\Users\stu\Documents\GitHub\eaglep3-reporting\EC\2016-12-17-refined-times.txt</v>
      </c>
      <c r="AI117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{"issue":{"subject":"","project_id":79,"tracker_id":40,"status_id":1,"priority_id":2,"assigned_to_id":23,"start_date":"2016-12-17","description":"","custom_fields":[{"id":1,"name":"Subdivision","value":"EC"},{"id":4,"name":"Milepost","value":"23.3349"},{"id":17,"name":"Train ID","value":"205-17"},{"id":16,"name":"Locomotive ID","value":"4018"},{"id":130,"name":"Impact","value":""},{"id":150,"name":"Time of Event (Mountain Time)","value":"17:23:59"},{"id":151,"name":"Denver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703</v>
      </c>
      <c r="B118" s="7">
        <v>4017</v>
      </c>
      <c r="C118" s="22" t="s">
        <v>205</v>
      </c>
      <c r="D118" s="22" t="s">
        <v>791</v>
      </c>
      <c r="E118" s="13">
        <v>42721.727754629632</v>
      </c>
      <c r="F118" s="13">
        <v>42721.737280092595</v>
      </c>
      <c r="G118" s="7">
        <v>1</v>
      </c>
      <c r="H118" s="22" t="s">
        <v>245</v>
      </c>
      <c r="I118" s="13">
        <v>42721.765752314815</v>
      </c>
      <c r="J118" s="7">
        <v>0</v>
      </c>
      <c r="K118" s="109" t="str">
        <f t="shared" si="60"/>
        <v>4017/4018</v>
      </c>
      <c r="L118" s="22" t="str">
        <f>VLOOKUP(A118,'Trips&amp;Operators'!$C$1:$G$99999,5,FALSE)</f>
        <v>BARTLETT KIANDRA</v>
      </c>
      <c r="M118" s="6">
        <f t="shared" si="61"/>
        <v>2.8472222220443655E-2</v>
      </c>
      <c r="N118" s="7">
        <f t="shared" si="77"/>
        <v>40.999999997438863</v>
      </c>
      <c r="O118" s="7"/>
      <c r="P118" s="7"/>
      <c r="Q118" s="23"/>
      <c r="R118" s="23"/>
      <c r="S118" s="35">
        <f t="shared" si="75"/>
        <v>1</v>
      </c>
      <c r="T118" s="50" t="str">
        <f t="shared" si="64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16:27:58-700',mode:absolute,to:'2016-12-17 19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8" s="52" t="str">
        <f t="shared" si="66"/>
        <v>N</v>
      </c>
      <c r="X118" s="177">
        <f t="shared" si="78"/>
        <v>1</v>
      </c>
      <c r="Y118" s="67">
        <f t="shared" si="73"/>
        <v>23.3004</v>
      </c>
      <c r="Z118" s="67">
        <f t="shared" si="74"/>
        <v>1.6299999999999999E-2</v>
      </c>
      <c r="AA118" s="67">
        <f t="shared" si="67"/>
        <v>23.284099999999999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68"/>
        <v>0206-17</v>
      </c>
      <c r="AE118" s="91" t="str">
        <f t="shared" si="69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118" s="88" t="str">
        <f t="shared" si="70"/>
        <v>"C:\Program Files (x86)\AstroGrep\AstroGrep.exe" /spath="%USERPROFILE%\AppData\Local\Temp\OnboardLogs" /stypes="app*4017*20161218*" /stext=" 01:.+((SYSTEM_STATE.+slice.+state.+changed )|(ment ac)|(multiple cpu faults)|(system.+state.+changed )|(\[timeout)|(PRM\|1\|D)|(kpr)|(kdp)|(\|lc)|(penalty))" /e /r /s</v>
      </c>
      <c r="AG118" s="1" t="str">
        <f t="shared" si="71"/>
        <v>EC</v>
      </c>
      <c r="AH118" s="92" t="str">
        <f t="shared" si="58"/>
        <v>"%USERPROFILE%\Documents\GitHub\eaglep3\Utilities\RefineRTDCRunTimes.py" --tripid 206-17 --locoid 4017 --swversion DE.1.0.8.0 --startMP 204:233004 --initTime 2016-12-17T17:27:58 --startdatetime 2016-12-17T17:41:41 --delay 1 --endMP 204:163 --enddatetime 2016-12-17T18:22:41 --enforcementcount 0 &gt;&gt;C:\Users\stu\Documents\GitHub\eaglep3-reporting\EC\2016-12-17-refined-times.txt</v>
      </c>
      <c r="AI118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{"issue":{"subject":"","project_id":79,"tracker_id":40,"status_id":1,"priority_id":2,"assigned_to_id":23,"start_date":"2016-12-17","description":"","custom_fields":[{"id":1,"name":"Subdivision","value":"EC"},{"id":4,"name":"Milepost","value":"0.0163"},{"id":17,"name":"Train ID","value":"206-17"},{"id":16,"name":"Locomotive ID","value":"4017"},{"id":130,"name":"Impact","value":""},{"id":150,"name":"Time of Event (Mountain Time)","value":"18:22:41"},{"id":151,"name":"Denver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697</v>
      </c>
      <c r="B119" s="7">
        <v>4029</v>
      </c>
      <c r="C119" s="22" t="s">
        <v>205</v>
      </c>
      <c r="D119" s="22" t="s">
        <v>331</v>
      </c>
      <c r="E119" s="13">
        <v>42721.705706018518</v>
      </c>
      <c r="F119" s="13">
        <v>42721.747453703705</v>
      </c>
      <c r="G119" s="7">
        <v>1</v>
      </c>
      <c r="H119" s="22" t="s">
        <v>873</v>
      </c>
      <c r="I119" s="13">
        <v>42721.781550925924</v>
      </c>
      <c r="J119" s="7">
        <v>0</v>
      </c>
      <c r="K119" s="109" t="str">
        <f t="shared" si="60"/>
        <v>4029/4030</v>
      </c>
      <c r="L119" s="22" t="str">
        <f>VLOOKUP(A119,'Trips&amp;Operators'!$C$1:$G$99999,5,FALSE)</f>
        <v>SMITH MICHAEL</v>
      </c>
      <c r="M119" s="6">
        <f t="shared" si="61"/>
        <v>3.4097222218406387E-2</v>
      </c>
      <c r="N119" s="7">
        <f t="shared" si="77"/>
        <v>49.099999994505197</v>
      </c>
      <c r="O119" s="7"/>
      <c r="P119" s="7"/>
      <c r="Q119" s="23"/>
      <c r="R119" s="23"/>
      <c r="S119" s="35">
        <f t="shared" si="75"/>
        <v>1</v>
      </c>
      <c r="T119" s="50" t="str">
        <f t="shared" si="64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15:56:13-700',mode:absolute,to:'2016-12-17 19:45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9" s="52" t="str">
        <f t="shared" si="66"/>
        <v>N</v>
      </c>
      <c r="X119" s="177">
        <f t="shared" si="78"/>
        <v>1</v>
      </c>
      <c r="Y119" s="67">
        <f t="shared" si="73"/>
        <v>4.5699999999999998E-2</v>
      </c>
      <c r="Z119" s="67">
        <f t="shared" si="74"/>
        <v>23.331099999999999</v>
      </c>
      <c r="AA119" s="67">
        <f t="shared" si="67"/>
        <v>23.285399999999999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68"/>
        <v>0207-17</v>
      </c>
      <c r="AE119" s="91" t="str">
        <f t="shared" si="69"/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AF119" s="88" t="str">
        <f t="shared" si="70"/>
        <v>"C:\Program Files (x86)\AstroGrep\AstroGrep.exe" /spath="%USERPROFILE%\AppData\Local\Temp\OnboardLogs" /stypes="app*4029*20161218*" /stext=" 01:.+((SYSTEM_STATE.+slice.+state.+changed )|(ment ac)|(multiple cpu faults)|(system.+state.+changed )|(\[timeout)|(PRM\|1\|D)|(kpr)|(kdp)|(\|lc)|(penalty))" /e /r /s</v>
      </c>
      <c r="AG119" s="1" t="str">
        <f t="shared" si="71"/>
        <v>EC</v>
      </c>
      <c r="AH119" s="92" t="str">
        <f t="shared" si="58"/>
        <v>"%USERPROFILE%\Documents\GitHub\eaglep3\Utilities\RefineRTDCRunTimes.py" --tripid 207-17 --locoid 4029 --swversion DE.1.0.8.0 --startMP 204:457 --initTime 2016-12-17T16:56:13 --startdatetime 2016-12-17T17:56:20 --delay 1 --endMP 204:233311 --enddatetime 2016-12-17T18:45:26 --enforcementcount 0 &gt;&gt;C:\Users\stu\Documents\GitHub\eaglep3-reporting\EC\2016-12-17-refined-times.txt</v>
      </c>
      <c r="AI119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{"issue":{"subject":"","project_id":79,"tracker_id":40,"status_id":1,"priority_id":2,"assigned_to_id":23,"start_date":"2016-12-17","description":"","custom_fields":[{"id":1,"name":"Subdivision","value":"EC"},{"id":4,"name":"Milepost","value":"23.3311"},{"id":17,"name":"Train ID","value":"207-17"},{"id":16,"name":"Locomotive ID","value":"4029"},{"id":130,"name":"Impact","value":""},{"id":150,"name":"Time of Event (Mountain Time)","value":"18:45:26"},{"id":151,"name":"Denver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705</v>
      </c>
      <c r="B120" s="7">
        <v>4030</v>
      </c>
      <c r="C120" s="22" t="s">
        <v>205</v>
      </c>
      <c r="D120" s="22" t="s">
        <v>511</v>
      </c>
      <c r="E120" s="13">
        <v>42721.738043981481</v>
      </c>
      <c r="F120" s="13">
        <v>42721.747453703705</v>
      </c>
      <c r="G120" s="7">
        <v>1</v>
      </c>
      <c r="H120" s="22" t="s">
        <v>874</v>
      </c>
      <c r="I120" s="13">
        <v>42721.781550925924</v>
      </c>
      <c r="J120" s="7">
        <v>0</v>
      </c>
      <c r="K120" s="109" t="str">
        <f t="shared" si="60"/>
        <v>4029/4030</v>
      </c>
      <c r="L120" s="22" t="str">
        <f>VLOOKUP(A120,'Trips&amp;Operators'!$C$1:$G$99999,5,FALSE)</f>
        <v>SMITH MICHAEL</v>
      </c>
      <c r="M120" s="6">
        <f t="shared" si="61"/>
        <v>3.4097222218406387E-2</v>
      </c>
      <c r="N120" s="7">
        <f t="shared" si="77"/>
        <v>49.099999994505197</v>
      </c>
      <c r="O120" s="7"/>
      <c r="P120" s="7"/>
      <c r="Q120" s="23"/>
      <c r="R120" s="23"/>
      <c r="S120" s="35">
        <f t="shared" si="75"/>
        <v>1</v>
      </c>
      <c r="T120" s="50" t="str">
        <f t="shared" si="64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16:42:47-700',mode:absolute,to:'2016-12-17 19:45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0" s="52" t="str">
        <f t="shared" si="66"/>
        <v>N</v>
      </c>
      <c r="X120" s="177">
        <f t="shared" si="78"/>
        <v>1</v>
      </c>
      <c r="Y120" s="67">
        <f t="shared" si="73"/>
        <v>23.297799999999999</v>
      </c>
      <c r="Z120" s="67">
        <f t="shared" si="74"/>
        <v>1.44E-2</v>
      </c>
      <c r="AA120" s="67">
        <f t="shared" si="67"/>
        <v>23.2834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68"/>
        <v>0208-17</v>
      </c>
      <c r="AE120" s="91" t="str">
        <f t="shared" si="69"/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AF120" s="88" t="str">
        <f t="shared" si="70"/>
        <v>"C:\Program Files (x86)\AstroGrep\AstroGrep.exe" /spath="%USERPROFILE%\AppData\Local\Temp\OnboardLogs" /stypes="app*4030*20161218*" /stext=" 01:.+((SYSTEM_STATE.+slice.+state.+changed )|(ment ac)|(multiple cpu faults)|(system.+state.+changed )|(\[timeout)|(PRM\|1\|D)|(kpr)|(kdp)|(\|lc)|(penalty))" /e /r /s</v>
      </c>
      <c r="AG120" s="1" t="str">
        <f t="shared" si="71"/>
        <v>EC</v>
      </c>
      <c r="AH120" s="92" t="str">
        <f t="shared" si="58"/>
        <v>"%USERPROFILE%\Documents\GitHub\eaglep3\Utilities\RefineRTDCRunTimes.py" --tripid 208-17 --locoid 4030 --swversion DE.1.0.8.0 --startMP 204:232978 --initTime 2016-12-17T17:42:47 --startdatetime 2016-12-17T17:56:20 --delay 1 --endMP 204:144 --enddatetime 2016-12-17T18:45:26 --enforcementcount 0 &gt;&gt;C:\Users\stu\Documents\GitHub\eaglep3-reporting\EC\2016-12-17-refined-times.txt</v>
      </c>
      <c r="AI120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{"issue":{"subject":"","project_id":79,"tracker_id":40,"status_id":1,"priority_id":2,"assigned_to_id":23,"start_date":"2016-12-17","description":"","custom_fields":[{"id":1,"name":"Subdivision","value":"EC"},{"id":4,"name":"Milepost","value":"0.0144"},{"id":17,"name":"Train ID","value":"208-17"},{"id":16,"name":"Locomotive ID","value":"4030"},{"id":130,"name":"Impact","value":""},{"id":150,"name":"Time of Event (Mountain Time)","value":"18:45:26"},{"id":151,"name":"Denver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701</v>
      </c>
      <c r="B121" s="7">
        <v>4016</v>
      </c>
      <c r="C121" s="22" t="s">
        <v>205</v>
      </c>
      <c r="D121" s="22" t="s">
        <v>193</v>
      </c>
      <c r="E121" s="13">
        <v>42721.718495370369</v>
      </c>
      <c r="F121" s="13">
        <v>42721.720243055555</v>
      </c>
      <c r="G121" s="7">
        <v>1</v>
      </c>
      <c r="H121" s="22" t="s">
        <v>288</v>
      </c>
      <c r="I121" s="13">
        <v>42721.747465277775</v>
      </c>
      <c r="J121" s="7">
        <v>0</v>
      </c>
      <c r="K121" s="109" t="str">
        <f t="shared" si="60"/>
        <v>4015/4016</v>
      </c>
      <c r="L121" s="22" t="str">
        <f>VLOOKUP(A121,'Trips&amp;Operators'!$C$1:$G$99999,5,FALSE)</f>
        <v>SHOOK JOHN</v>
      </c>
      <c r="M121" s="6">
        <f t="shared" si="61"/>
        <v>2.7222222219279502E-2</v>
      </c>
      <c r="N121" s="7">
        <f t="shared" si="77"/>
        <v>39.199999995762482</v>
      </c>
      <c r="O121" s="7"/>
      <c r="P121" s="7"/>
      <c r="Q121" s="23"/>
      <c r="R121" s="23"/>
      <c r="S121" s="35">
        <f t="shared" si="75"/>
        <v>1</v>
      </c>
      <c r="T121" s="50" t="str">
        <f t="shared" si="64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16:14:38-700',mode:absolute,to:'2016-12-17 18:56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1" s="52" t="str">
        <f t="shared" si="66"/>
        <v>N</v>
      </c>
      <c r="X121" s="177">
        <f t="shared" si="78"/>
        <v>1</v>
      </c>
      <c r="Y121" s="67">
        <f t="shared" si="73"/>
        <v>4.4699999999999997E-2</v>
      </c>
      <c r="Z121" s="67">
        <f t="shared" si="74"/>
        <v>23.331399999999999</v>
      </c>
      <c r="AA121" s="67">
        <f t="shared" si="67"/>
        <v>23.2867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68"/>
        <v>0209-17</v>
      </c>
      <c r="AE121" s="91" t="str">
        <f t="shared" si="69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121" s="88" t="str">
        <f t="shared" si="70"/>
        <v>"C:\Program Files (x86)\AstroGrep\AstroGrep.exe" /spath="%USERPROFILE%\AppData\Local\Temp\OnboardLogs" /stypes="app*4016*20161218*" /stext=" 00:.+((SYSTEM_STATE.+slice.+state.+changed )|(ment ac)|(multiple cpu faults)|(system.+state.+changed )|(\[timeout)|(PRM\|1\|D)|(kpr)|(kdp)|(\|lc)|(penalty))" /e /r /s</v>
      </c>
      <c r="AG121" s="1" t="str">
        <f t="shared" si="71"/>
        <v>EC</v>
      </c>
      <c r="AH121" s="92" t="str">
        <f t="shared" si="58"/>
        <v>"%USERPROFILE%\Documents\GitHub\eaglep3\Utilities\RefineRTDCRunTimes.py" --tripid 209-17 --locoid 4016 --swversion DE.1.0.8.0 --startMP 204:447 --initTime 2016-12-17T17:14:38 --startdatetime 2016-12-17T17:17:09 --delay 1 --endMP 204:233314 --enddatetime 2016-12-17T17:56:21 --enforcementcount 0 &gt;&gt;C:\Users\stu\Documents\GitHub\eaglep3-reporting\EC\2016-12-17-refined-times.txt</v>
      </c>
      <c r="AI121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{"issue":{"subject":"","project_id":79,"tracker_id":40,"status_id":1,"priority_id":2,"assigned_to_id":23,"start_date":"2016-12-17","description":"","custom_fields":[{"id":1,"name":"Subdivision","value":"EC"},{"id":4,"name":"Milepost","value":"23.3314"},{"id":17,"name":"Train ID","value":"209-17"},{"id":16,"name":"Locomotive ID","value":"4016"},{"id":130,"name":"Impact","value":""},{"id":150,"name":"Time of Event (Mountain Time)","value":"17:56:21"},{"id":151,"name":"Denver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709</v>
      </c>
      <c r="B122" s="7">
        <v>4015</v>
      </c>
      <c r="C122" s="22" t="s">
        <v>205</v>
      </c>
      <c r="D122" s="22" t="s">
        <v>280</v>
      </c>
      <c r="E122" s="13">
        <v>42721.753263888888</v>
      </c>
      <c r="F122" s="13">
        <v>42721.757835648146</v>
      </c>
      <c r="G122" s="7">
        <v>1</v>
      </c>
      <c r="H122" s="22" t="s">
        <v>260</v>
      </c>
      <c r="I122" s="13">
        <v>42721.786585648151</v>
      </c>
      <c r="J122" s="7">
        <v>0</v>
      </c>
      <c r="K122" s="109" t="str">
        <f t="shared" si="60"/>
        <v>4015/4016</v>
      </c>
      <c r="L122" s="22" t="str">
        <f>VLOOKUP(A122,'Trips&amp;Operators'!$C$1:$G$99999,5,FALSE)</f>
        <v>SHOOK JOHN</v>
      </c>
      <c r="M122" s="6">
        <f t="shared" si="61"/>
        <v>2.8750000004947651E-2</v>
      </c>
      <c r="N122" s="7">
        <f t="shared" si="77"/>
        <v>41.400000007124618</v>
      </c>
      <c r="O122" s="7"/>
      <c r="P122" s="7"/>
      <c r="Q122" s="23"/>
      <c r="R122" s="23"/>
      <c r="S122" s="35">
        <f t="shared" si="75"/>
        <v>1</v>
      </c>
      <c r="T122" s="50" t="str">
        <f t="shared" si="64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17:04:42-700',mode:absolute,to:'2016-12-17 19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2" s="52" t="str">
        <f t="shared" si="66"/>
        <v>N</v>
      </c>
      <c r="X122" s="177">
        <f t="shared" si="78"/>
        <v>1</v>
      </c>
      <c r="Y122" s="67">
        <f t="shared" si="73"/>
        <v>23.2987</v>
      </c>
      <c r="Z122" s="67">
        <f t="shared" si="74"/>
        <v>1.52E-2</v>
      </c>
      <c r="AA122" s="67">
        <f t="shared" si="67"/>
        <v>23.2835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68"/>
        <v>0210-17</v>
      </c>
      <c r="AE122" s="91" t="str">
        <f t="shared" si="69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122" s="88" t="str">
        <f t="shared" si="70"/>
        <v>"C:\Program Files (x86)\AstroGrep\AstroGrep.exe" /spath="%USERPROFILE%\AppData\Local\Temp\OnboardLogs" /stypes="app*4015*20161218*" /stext=" 01:.+((SYSTEM_STATE.+slice.+state.+changed )|(ment ac)|(multiple cpu faults)|(system.+state.+changed )|(\[timeout)|(PRM\|1\|D)|(kpr)|(kdp)|(\|lc)|(penalty))" /e /r /s</v>
      </c>
      <c r="AG122" s="1" t="str">
        <f t="shared" si="71"/>
        <v>EC</v>
      </c>
      <c r="AH122" s="92" t="str">
        <f t="shared" si="58"/>
        <v>"%USERPROFILE%\Documents\GitHub\eaglep3\Utilities\RefineRTDCRunTimes.py" --tripid 210-17 --locoid 4015 --swversion DE.1.0.8.0 --startMP 204:232987 --initTime 2016-12-17T18:04:42 --startdatetime 2016-12-17T18:11:17 --delay 1 --endMP 204:152 --enddatetime 2016-12-17T18:52:41 --enforcementcount 0 &gt;&gt;C:\Users\stu\Documents\GitHub\eaglep3-reporting\EC\2016-12-17-refined-times.txt</v>
      </c>
      <c r="AI122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{"issue":{"subject":"","project_id":79,"tracker_id":40,"status_id":1,"priority_id":2,"assigned_to_id":23,"start_date":"2016-12-17","description":"","custom_fields":[{"id":1,"name":"Subdivision","value":"EC"},{"id":4,"name":"Milepost","value":"0.0152"},{"id":17,"name":"Train ID","value":"210-17"},{"id":16,"name":"Locomotive ID","value":"4015"},{"id":130,"name":"Impact","value":""},{"id":150,"name":"Time of Event (Mountain Time)","value":"18:52:41"},{"id":151,"name":"Denver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702</v>
      </c>
      <c r="B123" s="7">
        <v>4011</v>
      </c>
      <c r="C123" s="22" t="s">
        <v>205</v>
      </c>
      <c r="D123" s="22" t="s">
        <v>336</v>
      </c>
      <c r="E123" s="13">
        <v>42721.726875</v>
      </c>
      <c r="F123" s="13">
        <v>42721.729398148149</v>
      </c>
      <c r="G123" s="7">
        <v>1</v>
      </c>
      <c r="H123" s="22" t="s">
        <v>875</v>
      </c>
      <c r="I123" s="13">
        <v>42721.756226851852</v>
      </c>
      <c r="J123" s="7">
        <v>0</v>
      </c>
      <c r="K123" s="109" t="str">
        <f t="shared" si="60"/>
        <v>4011/4012</v>
      </c>
      <c r="L123" s="22" t="str">
        <f>VLOOKUP(A123,'Trips&amp;Operators'!$C$1:$G$99999,5,FALSE)</f>
        <v>BRUDER RICHARD</v>
      </c>
      <c r="M123" s="6">
        <f t="shared" si="61"/>
        <v>2.6828703703358769E-2</v>
      </c>
      <c r="N123" s="7">
        <f t="shared" si="77"/>
        <v>38.633333332836628</v>
      </c>
      <c r="O123" s="7"/>
      <c r="P123" s="7"/>
      <c r="Q123" s="23"/>
      <c r="R123" s="23"/>
      <c r="S123" s="35">
        <f t="shared" si="75"/>
        <v>1</v>
      </c>
      <c r="T123" s="50" t="str">
        <f t="shared" si="64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16:26:42-700',mode:absolute,to:'2016-12-17 19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66"/>
        <v>N</v>
      </c>
      <c r="X123" s="177">
        <f t="shared" si="78"/>
        <v>1</v>
      </c>
      <c r="Y123" s="67">
        <f t="shared" si="73"/>
        <v>4.3999999999999997E-2</v>
      </c>
      <c r="Z123" s="67">
        <f t="shared" si="74"/>
        <v>23.331600000000002</v>
      </c>
      <c r="AA123" s="67">
        <f t="shared" si="67"/>
        <v>23.287600000000001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68"/>
        <v>0211-17</v>
      </c>
      <c r="AE123" s="91" t="str">
        <f t="shared" si="69"/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AF123" s="88" t="str">
        <f t="shared" si="70"/>
        <v>"C:\Program Files (x86)\AstroGrep\AstroGrep.exe" /spath="%USERPROFILE%\AppData\Local\Temp\OnboardLogs" /stypes="app*4011*20161218*" /stext=" 01:.+((SYSTEM_STATE.+slice.+state.+changed )|(ment ac)|(multiple cpu faults)|(system.+state.+changed )|(\[timeout)|(PRM\|1\|D)|(kpr)|(kdp)|(\|lc)|(penalty))" /e /r /s</v>
      </c>
      <c r="AG123" s="1" t="str">
        <f t="shared" si="71"/>
        <v>EC</v>
      </c>
      <c r="AH123" s="92" t="str">
        <f t="shared" si="58"/>
        <v>"%USERPROFILE%\Documents\GitHub\eaglep3\Utilities\RefineRTDCRunTimes.py" --tripid 211-17 --locoid 4011 --swversion DE.1.0.8.0 --startMP 204:440 --initTime 2016-12-17T17:26:42 --startdatetime 2016-12-17T17:30:20 --delay 1 --endMP 204:233316 --enddatetime 2016-12-17T18:08:58 --enforcementcount 0 &gt;&gt;C:\Users\stu\Documents\GitHub\eaglep3-reporting\EC\2016-12-17-refined-times.txt</v>
      </c>
      <c r="AI123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{"issue":{"subject":"","project_id":79,"tracker_id":40,"status_id":1,"priority_id":2,"assigned_to_id":23,"start_date":"2016-12-17","description":"","custom_fields":[{"id":1,"name":"Subdivision","value":"EC"},{"id":4,"name":"Milepost","value":"23.3316"},{"id":17,"name":"Train ID","value":"211-17"},{"id":16,"name":"Locomotive ID","value":"4011"},{"id":130,"name":"Impact","value":""},{"id":150,"name":"Time of Event (Mountain Time)","value":"18:08:58"},{"id":151,"name":"Denver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711</v>
      </c>
      <c r="B124" s="7">
        <v>4012</v>
      </c>
      <c r="C124" s="22" t="s">
        <v>205</v>
      </c>
      <c r="D124" s="22" t="s">
        <v>876</v>
      </c>
      <c r="E124" s="13">
        <v>42721.762199074074</v>
      </c>
      <c r="F124" s="13">
        <v>42721.768379629626</v>
      </c>
      <c r="G124" s="7">
        <v>1</v>
      </c>
      <c r="H124" s="22" t="s">
        <v>310</v>
      </c>
      <c r="I124" s="13">
        <v>42721.799872685187</v>
      </c>
      <c r="J124" s="7">
        <v>0</v>
      </c>
      <c r="K124" s="109" t="str">
        <f t="shared" si="60"/>
        <v>4011/4012</v>
      </c>
      <c r="L124" s="22" t="str">
        <f>VLOOKUP(A124,'Trips&amp;Operators'!$C$1:$G$99999,5,FALSE)</f>
        <v>BRUDER RICHARD</v>
      </c>
      <c r="M124" s="6">
        <f t="shared" si="61"/>
        <v>3.1493055561440997E-2</v>
      </c>
      <c r="N124" s="7">
        <f t="shared" si="77"/>
        <v>45.350000008475035</v>
      </c>
      <c r="O124" s="7"/>
      <c r="P124" s="7"/>
      <c r="Q124" s="23"/>
      <c r="R124" s="23"/>
      <c r="S124" s="35">
        <f t="shared" si="75"/>
        <v>1</v>
      </c>
      <c r="T124" s="50" t="str">
        <f t="shared" si="64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17:17:34-700',mode:absolute,to:'2016-12-17 20:11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66"/>
        <v>N</v>
      </c>
      <c r="X124" s="177">
        <f t="shared" si="78"/>
        <v>1</v>
      </c>
      <c r="Y124" s="67">
        <f t="shared" si="73"/>
        <v>23.298400000000001</v>
      </c>
      <c r="Z124" s="67">
        <f t="shared" si="74"/>
        <v>1.3599999999999999E-2</v>
      </c>
      <c r="AA124" s="67">
        <f t="shared" si="67"/>
        <v>23.284800000000001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68"/>
        <v>0212-17</v>
      </c>
      <c r="AE124" s="91" t="str">
        <f t="shared" si="69"/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AF124" s="88" t="str">
        <f t="shared" si="70"/>
        <v>"C:\Program Files (x86)\AstroGrep\AstroGrep.exe" /spath="%USERPROFILE%\AppData\Local\Temp\OnboardLogs" /stypes="app*4012*20161218*" /stext=" 02:.+((SYSTEM_STATE.+slice.+state.+changed )|(ment ac)|(multiple cpu faults)|(system.+state.+changed )|(\[timeout)|(PRM\|1\|D)|(kpr)|(kdp)|(\|lc)|(penalty))" /e /r /s</v>
      </c>
      <c r="AG124" s="1" t="str">
        <f t="shared" si="71"/>
        <v>EC</v>
      </c>
      <c r="AH124" s="92" t="str">
        <f t="shared" si="58"/>
        <v>"%USERPROFILE%\Documents\GitHub\eaglep3\Utilities\RefineRTDCRunTimes.py" --tripid 212-17 --locoid 4012 --swversion DE.1.0.8.0 --startMP 204:232984 --initTime 2016-12-17T18:17:34 --startdatetime 2016-12-17T18:26:28 --delay 1 --endMP 204:136 --enddatetime 2016-12-17T19:11:49 --enforcementcount 0 &gt;&gt;C:\Users\stu\Documents\GitHub\eaglep3-reporting\EC\2016-12-17-refined-times.txt</v>
      </c>
      <c r="AI124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{"issue":{"subject":"","project_id":79,"tracker_id":40,"status_id":1,"priority_id":2,"assigned_to_id":23,"start_date":"2016-12-17","description":"","custom_fields":[{"id":1,"name":"Subdivision","value":"EC"},{"id":4,"name":"Milepost","value":"0.0136"},{"id":17,"name":"Train ID","value":"212-17"},{"id":16,"name":"Locomotive ID","value":"4012"},{"id":130,"name":"Impact","value":""},{"id":150,"name":"Time of Event (Mountain Time)","value":"19:11:49"},{"id":151,"name":"Denver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706</v>
      </c>
      <c r="B125" s="7">
        <v>4022</v>
      </c>
      <c r="C125" s="22" t="s">
        <v>205</v>
      </c>
      <c r="D125" s="22" t="s">
        <v>514</v>
      </c>
      <c r="E125" s="13">
        <v>42721.741770833331</v>
      </c>
      <c r="F125" s="13">
        <v>42721.743460648147</v>
      </c>
      <c r="G125" s="7">
        <v>1</v>
      </c>
      <c r="H125" s="22" t="s">
        <v>877</v>
      </c>
      <c r="I125" s="13">
        <v>42721.770682870374</v>
      </c>
      <c r="J125" s="7">
        <v>0</v>
      </c>
      <c r="K125" s="109" t="str">
        <f t="shared" si="60"/>
        <v>4021/4022</v>
      </c>
      <c r="L125" s="22" t="str">
        <f>VLOOKUP(A125,'Trips&amp;Operators'!$C$1:$G$99999,5,FALSE)</f>
        <v>NEWELL JAMES</v>
      </c>
      <c r="M125" s="6">
        <f t="shared" si="61"/>
        <v>2.7222222226555459E-2</v>
      </c>
      <c r="N125" s="7">
        <f t="shared" si="77"/>
        <v>39.200000006239861</v>
      </c>
      <c r="O125" s="7"/>
      <c r="P125" s="7"/>
      <c r="Q125" s="23"/>
      <c r="R125" s="23"/>
      <c r="S125" s="35">
        <f t="shared" si="75"/>
        <v>1</v>
      </c>
      <c r="T125" s="50" t="str">
        <f t="shared" si="64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16:48:09-700',mode:absolute,to:'2016-12-17 19:29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5" s="52" t="str">
        <f t="shared" si="66"/>
        <v>N</v>
      </c>
      <c r="X125" s="177">
        <f t="shared" si="78"/>
        <v>1</v>
      </c>
      <c r="Y125" s="67">
        <f t="shared" si="73"/>
        <v>5.0599999999999999E-2</v>
      </c>
      <c r="Z125" s="67">
        <f t="shared" si="74"/>
        <v>23.33</v>
      </c>
      <c r="AA125" s="67">
        <f t="shared" si="67"/>
        <v>23.279399999999999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68"/>
        <v>0213-17</v>
      </c>
      <c r="AE125" s="91" t="str">
        <f t="shared" si="69"/>
        <v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v>
      </c>
      <c r="AF125" s="88" t="str">
        <f t="shared" si="70"/>
        <v>"C:\Program Files (x86)\AstroGrep\AstroGrep.exe" /spath="%USERPROFILE%\AppData\Local\Temp\OnboardLogs" /stypes="app*4022*20161218*" /stext=" 01:.+((SYSTEM_STATE.+slice.+state.+changed )|(ment ac)|(multiple cpu faults)|(system.+state.+changed )|(\[timeout)|(PRM\|1\|D)|(kpr)|(kdp)|(\|lc)|(penalty))" /e /r /s</v>
      </c>
      <c r="AG125" s="1" t="str">
        <f t="shared" si="71"/>
        <v>EC</v>
      </c>
      <c r="AH125" s="92" t="str">
        <f t="shared" si="58"/>
        <v>"%USERPROFILE%\Documents\GitHub\eaglep3\Utilities\RefineRTDCRunTimes.py" --tripid 213-17 --locoid 4022 --swversion DE.1.0.8.0 --startMP 204:506 --initTime 2016-12-17T17:48:09 --startdatetime 2016-12-17T17:50:35 --delay 1 --endMP 204:233300 --enddatetime 2016-12-17T18:29:47 --enforcementcount 0 &gt;&gt;C:\Users\stu\Documents\GitHub\eaglep3-reporting\EC\2016-12-17-refined-times.txt</v>
      </c>
      <c r="AI125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{"issue":{"subject":"","project_id":79,"tracker_id":40,"status_id":1,"priority_id":2,"assigned_to_id":23,"start_date":"2016-12-17","description":"","custom_fields":[{"id":1,"name":"Subdivision","value":"EC"},{"id":4,"name":"Milepost","value":"23.33"},{"id":17,"name":"Train ID","value":"213-17"},{"id":16,"name":"Locomotive ID","value":"4022"},{"id":130,"name":"Impact","value":""},{"id":150,"name":"Time of Event (Mountain Time)","value":"18:29:47"},{"id":151,"name":"Denver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713</v>
      </c>
      <c r="B126" s="7">
        <v>4021</v>
      </c>
      <c r="C126" s="22" t="s">
        <v>205</v>
      </c>
      <c r="D126" s="22" t="s">
        <v>280</v>
      </c>
      <c r="E126" s="13">
        <v>42721.773113425923</v>
      </c>
      <c r="F126" s="13">
        <v>42721.778738425928</v>
      </c>
      <c r="G126" s="7">
        <v>1</v>
      </c>
      <c r="H126" s="22" t="s">
        <v>191</v>
      </c>
      <c r="I126" s="13">
        <v>42721.806400462963</v>
      </c>
      <c r="J126" s="7">
        <v>0</v>
      </c>
      <c r="K126" s="109" t="str">
        <f t="shared" si="60"/>
        <v>4021/4022</v>
      </c>
      <c r="L126" s="22" t="str">
        <f>VLOOKUP(A126,'Trips&amp;Operators'!$C$1:$G$99999,5,FALSE)</f>
        <v>NEWELL JAMES</v>
      </c>
      <c r="M126" s="6">
        <f t="shared" si="61"/>
        <v>2.7662037035042886E-2</v>
      </c>
      <c r="N126" s="7">
        <f t="shared" si="77"/>
        <v>39.833333330461755</v>
      </c>
      <c r="O126" s="7"/>
      <c r="P126" s="7"/>
      <c r="Q126" s="23"/>
      <c r="R126" s="23"/>
      <c r="S126" s="35">
        <f t="shared" si="75"/>
        <v>1</v>
      </c>
      <c r="T126" s="50" t="str">
        <f t="shared" si="64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17:33:17-700',mode:absolute,to:'2016-12-17 20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6" s="52" t="str">
        <f t="shared" si="66"/>
        <v>N</v>
      </c>
      <c r="X126" s="177">
        <f t="shared" si="78"/>
        <v>1</v>
      </c>
      <c r="Y126" s="67">
        <f t="shared" si="73"/>
        <v>23.2987</v>
      </c>
      <c r="Z126" s="67">
        <f t="shared" si="74"/>
        <v>1.49E-2</v>
      </c>
      <c r="AA126" s="67">
        <f t="shared" si="67"/>
        <v>23.283799999999999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68"/>
        <v>0214-17</v>
      </c>
      <c r="AE126" s="91" t="str">
        <f t="shared" si="69"/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AF126" s="88" t="str">
        <f t="shared" si="70"/>
        <v>"C:\Program Files (x86)\AstroGrep\AstroGrep.exe" /spath="%USERPROFILE%\AppData\Local\Temp\OnboardLogs" /stypes="app*4021*20161218*" /stext=" 02:.+((SYSTEM_STATE.+slice.+state.+changed )|(ment ac)|(multiple cpu faults)|(system.+state.+changed )|(\[timeout)|(PRM\|1\|D)|(kpr)|(kdp)|(\|lc)|(penalty))" /e /r /s</v>
      </c>
      <c r="AG126" s="1" t="str">
        <f t="shared" si="71"/>
        <v>EC</v>
      </c>
      <c r="AH126" s="92" t="str">
        <f t="shared" si="58"/>
        <v>"%USERPROFILE%\Documents\GitHub\eaglep3\Utilities\RefineRTDCRunTimes.py" --tripid 214-17 --locoid 4021 --swversion DE.1.0.8.0 --startMP 204:232987 --initTime 2016-12-17T18:33:17 --startdatetime 2016-12-17T18:41:23 --delay 1 --endMP 204:149 --enddatetime 2016-12-17T19:21:13 --enforcementcount 0 &gt;&gt;C:\Users\stu\Documents\GitHub\eaglep3-reporting\EC\2016-12-17-refined-times.txt</v>
      </c>
      <c r="AI126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{"issue":{"subject":"","project_id":79,"tracker_id":40,"status_id":1,"priority_id":2,"assigned_to_id":23,"start_date":"2016-12-17","description":"","custom_fields":[{"id":1,"name":"Subdivision","value":"EC"},{"id":4,"name":"Milepost","value":"0.0149"},{"id":17,"name":"Train ID","value":"214-17"},{"id":16,"name":"Locomotive ID","value":"4021"},{"id":130,"name":"Impact","value":""},{"id":150,"name":"Time of Event (Mountain Time)","value":"19:21:13"},{"id":151,"name":"Denver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7" t="s">
        <v>707</v>
      </c>
      <c r="B127" s="7">
        <v>4042</v>
      </c>
      <c r="C127" s="22" t="s">
        <v>205</v>
      </c>
      <c r="D127" s="22" t="s">
        <v>878</v>
      </c>
      <c r="E127" s="13">
        <v>42721.747118055559</v>
      </c>
      <c r="F127" s="13">
        <v>42721.750787037039</v>
      </c>
      <c r="G127" s="7">
        <v>1</v>
      </c>
      <c r="H127" s="22" t="s">
        <v>288</v>
      </c>
      <c r="I127" s="13">
        <v>42721.777372685188</v>
      </c>
      <c r="J127" s="7">
        <v>0</v>
      </c>
      <c r="K127" s="109" t="str">
        <f t="shared" si="60"/>
        <v>4041/4042</v>
      </c>
      <c r="L127" s="22" t="str">
        <f>VLOOKUP(A127,'Trips&amp;Operators'!$C$1:$G$99999,5,FALSE)</f>
        <v>STORY SAMANTHA</v>
      </c>
      <c r="M127" s="6">
        <f t="shared" si="61"/>
        <v>2.658564814919373E-2</v>
      </c>
      <c r="N127" s="7">
        <f t="shared" si="77"/>
        <v>38.283333334838971</v>
      </c>
      <c r="O127" s="7"/>
      <c r="P127" s="7"/>
      <c r="Q127" s="23"/>
      <c r="R127" s="23"/>
      <c r="S127" s="35">
        <f t="shared" si="75"/>
        <v>1</v>
      </c>
      <c r="T127" s="50" t="str">
        <f t="shared" si="64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16:55:51-700',mode:absolute,to:'2016-12-17 19:39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52" t="str">
        <f t="shared" si="66"/>
        <v>N</v>
      </c>
      <c r="X127" s="177">
        <f t="shared" si="78"/>
        <v>1</v>
      </c>
      <c r="Y127" s="67">
        <f t="shared" si="73"/>
        <v>4.0899999999999999E-2</v>
      </c>
      <c r="Z127" s="67">
        <f t="shared" si="74"/>
        <v>23.331399999999999</v>
      </c>
      <c r="AA127" s="67">
        <f t="shared" si="67"/>
        <v>23.290499999999998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68"/>
        <v>0215-17</v>
      </c>
      <c r="AE127" s="91" t="str">
        <f t="shared" si="69"/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AF127" s="88" t="str">
        <f t="shared" si="70"/>
        <v>"C:\Program Files (x86)\AstroGrep\AstroGrep.exe" /spath="%USERPROFILE%\AppData\Local\Temp\OnboardLogs" /stypes="app*4042*20161218*" /stext=" 01:.+((SYSTEM_STATE.+slice.+state.+changed )|(ment ac)|(multiple cpu faults)|(system.+state.+changed )|(\[timeout)|(PRM\|1\|D)|(kpr)|(kdp)|(\|lc)|(penalty))" /e /r /s</v>
      </c>
      <c r="AG127" s="1" t="str">
        <f t="shared" si="71"/>
        <v>EC</v>
      </c>
      <c r="AH127" s="92" t="str">
        <f t="shared" si="58"/>
        <v>"%USERPROFILE%\Documents\GitHub\eaglep3\Utilities\RefineRTDCRunTimes.py" --tripid 215-17 --locoid 4042 --swversion DE.1.0.8.0 --startMP 204:409 --initTime 2016-12-17T17:55:51 --startdatetime 2016-12-17T18:01:08 --delay 1 --endMP 204:233314 --enddatetime 2016-12-17T18:39:25 --enforcementcount 0 &gt;&gt;C:\Users\stu\Documents\GitHub\eaglep3-reporting\EC\2016-12-17-refined-times.txt</v>
      </c>
      <c r="AI127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{"issue":{"subject":"","project_id":79,"tracker_id":40,"status_id":1,"priority_id":2,"assigned_to_id":23,"start_date":"2016-12-17","description":"","custom_fields":[{"id":1,"name":"Subdivision","value":"EC"},{"id":4,"name":"Milepost","value":"23.3314"},{"id":17,"name":"Train ID","value":"215-17"},{"id":16,"name":"Locomotive ID","value":"4042"},{"id":130,"name":"Impact","value":""},{"id":150,"name":"Time of Event (Mountain Time)","value":"18:39:25"},{"id":151,"name":"Denver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x14ac:dyDescent="0.25">
      <c r="A128" s="37" t="s">
        <v>579</v>
      </c>
      <c r="B128" s="7">
        <v>4041</v>
      </c>
      <c r="C128" s="22" t="s">
        <v>205</v>
      </c>
      <c r="D128" s="22" t="s">
        <v>879</v>
      </c>
      <c r="E128" s="13">
        <v>42721.82068287037</v>
      </c>
      <c r="F128" s="13">
        <v>42721.821585648147</v>
      </c>
      <c r="G128" s="7">
        <v>1</v>
      </c>
      <c r="H128" s="22" t="s">
        <v>755</v>
      </c>
      <c r="I128" s="13">
        <v>42721.845335648148</v>
      </c>
      <c r="J128" s="7">
        <v>0</v>
      </c>
      <c r="K128" s="109" t="str">
        <f t="shared" si="60"/>
        <v>4041/4042</v>
      </c>
      <c r="L128" s="22" t="str">
        <f>VLOOKUP(A128,'Trips&amp;Operators'!$C$1:$G$99999,5,FALSE)</f>
        <v>STORY SAMANTHA</v>
      </c>
      <c r="M128" s="6">
        <f t="shared" si="61"/>
        <v>2.3750000000291038E-2</v>
      </c>
      <c r="N128" s="7"/>
      <c r="O128" s="7"/>
      <c r="P128" s="7">
        <f>24*60*SUM($M128:$M128)</f>
        <v>34.200000000419095</v>
      </c>
      <c r="Q128" s="23"/>
      <c r="R128" s="23" t="s">
        <v>994</v>
      </c>
      <c r="S128" s="35">
        <f t="shared" si="75"/>
        <v>1</v>
      </c>
      <c r="T128" s="50" t="str">
        <f t="shared" si="64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18:41:47-700',mode:absolute,to:'2016-12-17 21:17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52" t="str">
        <f t="shared" si="66"/>
        <v>Y</v>
      </c>
      <c r="X128" s="177">
        <f t="shared" si="78"/>
        <v>1</v>
      </c>
      <c r="Y128" s="67">
        <f t="shared" si="73"/>
        <v>15.401300000000001</v>
      </c>
      <c r="Z128" s="67">
        <f t="shared" si="74"/>
        <v>1.6500000000000001E-2</v>
      </c>
      <c r="AA128" s="67">
        <f t="shared" si="67"/>
        <v>15.3848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68"/>
        <v>0216-17</v>
      </c>
      <c r="AE128" s="91" t="str">
        <f t="shared" si="69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128" s="88" t="str">
        <f t="shared" si="70"/>
        <v>"C:\Program Files (x86)\AstroGrep\AstroGrep.exe" /spath="%USERPROFILE%\AppData\Local\Temp\OnboardLogs" /stypes="app*4041*20161218*" /stext=" 03:.+((SYSTEM_STATE.+slice.+state.+changed )|(ment ac)|(multiple cpu faults)|(system.+state.+changed )|(\[timeout)|(PRM\|1\|D)|(kpr)|(kdp)|(\|lc)|(penalty))" /e /r /s</v>
      </c>
      <c r="AG128" s="1" t="str">
        <f t="shared" si="71"/>
        <v>EC</v>
      </c>
      <c r="AH128" s="92" t="str">
        <f t="shared" si="58"/>
        <v>"%USERPROFILE%\Documents\GitHub\eaglep3\Utilities\RefineRTDCRunTimes.py" --tripid 216-17 --locoid 4041 --swversion DE.1.0.8.0 --startMP 204:154013 --initTime 2016-12-17T19:41:47 --startdatetime 2016-12-17T19:43:05 --delay 1 --endMP 204:165 --enddatetime 2016-12-17T20:17:17 --enforcementcount 0 &gt;&gt;C:\Users\stu\Documents\GitHub\eaglep3-reporting\EC\2016-12-17-refined-times.txt</v>
      </c>
      <c r="AI128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03:27","project_id":79,"tracker_id":40,"status_id":1,"priority_id":2,"assigned_to_id":23,"start_date":"2016-12-17","description":"","custom_fields":[{"id":1,"name":"Subdivision","value":"EC"},{"id":4,"name":"Milepost","value":"0.0165"},{"id":17,"name":"Train ID","value":"216-17"},{"id":16,"name":"Locomotive ID","value":"4041"},{"id":130,"name":"Impact","value":""},{"id":150,"name":"Time of Event (Mountain Time)","value":"20:17:17"},{"id":151,"name":"Denver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s="21" customFormat="1" x14ac:dyDescent="0.25">
      <c r="A129" s="37" t="s">
        <v>579</v>
      </c>
      <c r="B129" s="7">
        <v>4041</v>
      </c>
      <c r="C129" s="22" t="s">
        <v>205</v>
      </c>
      <c r="D129" s="22" t="s">
        <v>312</v>
      </c>
      <c r="E129" s="13">
        <v>42721.785000000003</v>
      </c>
      <c r="F129" s="13">
        <v>42721.821585648147</v>
      </c>
      <c r="G129" s="7">
        <v>1</v>
      </c>
      <c r="H129" s="22" t="s">
        <v>880</v>
      </c>
      <c r="I129" s="13">
        <v>42721.845335648148</v>
      </c>
      <c r="J129" s="7">
        <v>0</v>
      </c>
      <c r="K129" s="109" t="str">
        <f t="shared" si="60"/>
        <v>4041/4042</v>
      </c>
      <c r="L129" s="22" t="str">
        <f>VLOOKUP(A129,'Trips&amp;Operators'!$C$1:$G$99999,5,FALSE)</f>
        <v>STORY SAMANTHA</v>
      </c>
      <c r="M129" s="6">
        <f t="shared" si="61"/>
        <v>2.3750000000291038E-2</v>
      </c>
      <c r="N129" s="7"/>
      <c r="O129" s="7"/>
      <c r="P129" s="7"/>
      <c r="Q129" s="23"/>
      <c r="R129" s="23"/>
      <c r="S129" s="35"/>
      <c r="T129" s="50" t="str">
        <f t="shared" si="64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0</v>
      </c>
      <c r="V12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17:50:24-700',mode:absolute,to:'2016-12-17 21:17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9" s="52" t="str">
        <f t="shared" si="66"/>
        <v>Y</v>
      </c>
      <c r="X129" s="177">
        <f t="shared" si="78"/>
        <v>0</v>
      </c>
      <c r="Y129" s="67">
        <f t="shared" ref="Y129:Y160" si="79">RIGHT(D129,LEN(D129)-4)/10000</f>
        <v>23.3017</v>
      </c>
      <c r="Z129" s="67">
        <f t="shared" ref="Z129:Z160" si="80">RIGHT(H129,LEN(H129)-4)/10000</f>
        <v>23.294799999999999</v>
      </c>
      <c r="AA129" s="67">
        <f t="shared" si="67"/>
        <v>6.9000000000016826E-3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68"/>
        <v>0216-17</v>
      </c>
      <c r="AE129" s="91" t="str">
        <f t="shared" si="69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129" s="88" t="str">
        <f t="shared" si="70"/>
        <v>"C:\Program Files (x86)\AstroGrep\AstroGrep.exe" /spath="%USERPROFILE%\AppData\Local\Temp\OnboardLogs" /stypes="app*4041*20161218*" /stext=" 03:.+((SYSTEM_STATE.+slice.+state.+changed )|(ment ac)|(multiple cpu faults)|(system.+state.+changed )|(\[timeout)|(PRM\|1\|D)|(kpr)|(kdp)|(\|lc)|(penalty))" /e /r /s</v>
      </c>
      <c r="AG129" s="1" t="str">
        <f t="shared" si="71"/>
        <v>EC</v>
      </c>
      <c r="AH129" s="92" t="str">
        <f t="shared" si="58"/>
        <v>"%USERPROFILE%\Documents\GitHub\eaglep3\Utilities\RefineRTDCRunTimes.py" --tripid 216-17 --locoid 4041 --swversion DE.1.0.8.0 --startMP 204:233017 --initTime 2016-12-17T18:50:24 --startdatetime 2016-12-17T19:43:05 --delay 1 --endMP 204:232948 --enddatetime 2016-12-17T20:17:17 --enforcementcount 0 &gt;&gt;C:\Users\stu\Documents\GitHub\eaglep3-reporting\EC\2016-12-17-refined-times.txt</v>
      </c>
      <c r="AI129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{"issue":{"subject":"","project_id":79,"tracker_id":40,"status_id":1,"priority_id":2,"assigned_to_id":23,"start_date":"2016-12-17","description":"","custom_fields":[{"id":1,"name":"Subdivision","value":"EC"},{"id":4,"name":"Milepost","value":"23.2948"},{"id":17,"name":"Train ID","value":"216-17"},{"id":16,"name":"Locomotive ID","value":"4041"},{"id":130,"name":"Impact","value":""},{"id":150,"name":"Time of Event (Mountain Time)","value":"20:17:17"},{"id":151,"name":"Denver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710</v>
      </c>
      <c r="B130" s="7">
        <v>4046</v>
      </c>
      <c r="C130" s="22" t="s">
        <v>205</v>
      </c>
      <c r="D130" s="22" t="s">
        <v>336</v>
      </c>
      <c r="E130" s="13">
        <v>42721.76048611111</v>
      </c>
      <c r="F130" s="13">
        <v>42721.761458333334</v>
      </c>
      <c r="G130" s="7">
        <v>1</v>
      </c>
      <c r="H130" s="22" t="s">
        <v>338</v>
      </c>
      <c r="I130" s="13">
        <v>42721.785115740742</v>
      </c>
      <c r="J130" s="7">
        <v>0</v>
      </c>
      <c r="K130" s="109" t="str">
        <f t="shared" si="60"/>
        <v>4045/4046</v>
      </c>
      <c r="L130" s="22" t="str">
        <f>VLOOKUP(A130,'Trips&amp;Operators'!$C$1:$G$99999,5,FALSE)</f>
        <v>CHANDLER KELVIN</v>
      </c>
      <c r="M130" s="6">
        <f t="shared" si="61"/>
        <v>2.3657407407881692E-2</v>
      </c>
      <c r="N130" s="7">
        <f>24*60*SUM($M130:$M130)</f>
        <v>34.066666667349637</v>
      </c>
      <c r="O130" s="7"/>
      <c r="P130" s="7"/>
      <c r="Q130" s="23"/>
      <c r="R130" s="23"/>
      <c r="S130" s="35">
        <f>SUM(U130:U130)/IF(AG130="EC",12,1)</f>
        <v>1</v>
      </c>
      <c r="T130" s="50" t="str">
        <f t="shared" si="64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17:15:06-700',mode:absolute,to:'2016-12-17 19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0" s="52" t="str">
        <f t="shared" si="66"/>
        <v>N</v>
      </c>
      <c r="X130" s="177">
        <f t="shared" si="78"/>
        <v>1</v>
      </c>
      <c r="Y130" s="67">
        <f t="shared" si="79"/>
        <v>4.3999999999999997E-2</v>
      </c>
      <c r="Z130" s="67">
        <f t="shared" si="80"/>
        <v>23.3291</v>
      </c>
      <c r="AA130" s="67">
        <f t="shared" si="67"/>
        <v>23.2851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68"/>
        <v>0217-17</v>
      </c>
      <c r="AE130" s="91" t="str">
        <f t="shared" si="69"/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AF130" s="88" t="str">
        <f t="shared" si="70"/>
        <v>"C:\Program Files (x86)\AstroGrep\AstroGrep.exe" /spath="%USERPROFILE%\AppData\Local\Temp\OnboardLogs" /stypes="app*4046*20161218*" /stext=" 01:.+((SYSTEM_STATE.+slice.+state.+changed )|(ment ac)|(multiple cpu faults)|(system.+state.+changed )|(\[timeout)|(PRM\|1\|D)|(kpr)|(kdp)|(\|lc)|(penalty))" /e /r /s</v>
      </c>
      <c r="AG130" s="1" t="str">
        <f t="shared" si="71"/>
        <v>EC</v>
      </c>
      <c r="AH130" s="92" t="str">
        <f t="shared" si="58"/>
        <v>"%USERPROFILE%\Documents\GitHub\eaglep3\Utilities\RefineRTDCRunTimes.py" --tripid 217-17 --locoid 4046 --swversion DE.1.0.8.0 --startMP 204:440 --initTime 2016-12-17T18:15:06 --startdatetime 2016-12-17T18:16:30 --delay 1 --endMP 204:233291 --enddatetime 2016-12-17T18:50:34 --enforcementcount 0 &gt;&gt;C:\Users\stu\Documents\GitHub\eaglep3-reporting\EC\2016-12-17-refined-times.txt</v>
      </c>
      <c r="AI130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{"issue":{"subject":"","project_id":79,"tracker_id":40,"status_id":1,"priority_id":2,"assigned_to_id":23,"start_date":"2016-12-17","description":"","custom_fields":[{"id":1,"name":"Subdivision","value":"EC"},{"id":4,"name":"Milepost","value":"23.3291"},{"id":17,"name":"Train ID","value":"217-17"},{"id":16,"name":"Locomotive ID","value":"4046"},{"id":130,"name":"Impact","value":""},{"id":150,"name":"Time of Event (Mountain Time)","value":"18:50:34"},{"id":151,"name":"Denver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581</v>
      </c>
      <c r="B131" s="7">
        <v>4045</v>
      </c>
      <c r="C131" s="22" t="s">
        <v>205</v>
      </c>
      <c r="D131" s="22" t="s">
        <v>881</v>
      </c>
      <c r="E131" s="13">
        <v>42721.831875000003</v>
      </c>
      <c r="F131" s="13">
        <v>42721.832789351851</v>
      </c>
      <c r="G131" s="7">
        <v>0</v>
      </c>
      <c r="H131" s="22" t="s">
        <v>882</v>
      </c>
      <c r="I131" s="13">
        <v>42721.855520833335</v>
      </c>
      <c r="J131" s="7">
        <v>0</v>
      </c>
      <c r="K131" s="109" t="str">
        <f t="shared" si="60"/>
        <v>4045/4046</v>
      </c>
      <c r="L131" s="22" t="str">
        <f>VLOOKUP(A131,'Trips&amp;Operators'!$C$1:$G$99999,5,FALSE)</f>
        <v>CHANDLER KELVIN</v>
      </c>
      <c r="M131" s="6">
        <f t="shared" si="61"/>
        <v>2.273148148378823E-2</v>
      </c>
      <c r="N131" s="7"/>
      <c r="O131" s="7"/>
      <c r="P131" s="7">
        <f>24*60*SUM($M131:$M131)</f>
        <v>32.733333336655051</v>
      </c>
      <c r="Q131" s="23"/>
      <c r="R131" s="23" t="s">
        <v>994</v>
      </c>
      <c r="S131" s="35">
        <f>SUM(U131:U131)/IF(AG131="EC",12,1)</f>
        <v>1</v>
      </c>
      <c r="T131" s="50" t="str">
        <f t="shared" si="64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18:57:54-700',mode:absolute,to:'2016-12-17 21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1" s="52" t="str">
        <f t="shared" si="66"/>
        <v>Y</v>
      </c>
      <c r="X131" s="177">
        <f t="shared" si="78"/>
        <v>1</v>
      </c>
      <c r="Y131" s="67">
        <f t="shared" si="79"/>
        <v>12.7843</v>
      </c>
      <c r="Z131" s="67">
        <f t="shared" si="80"/>
        <v>9.2799999999999994E-2</v>
      </c>
      <c r="AA131" s="67">
        <f t="shared" si="67"/>
        <v>12.6915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68"/>
        <v>0218-17</v>
      </c>
      <c r="AE131" s="91" t="str">
        <f t="shared" si="69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131" s="88" t="str">
        <f t="shared" si="70"/>
        <v>"C:\Program Files (x86)\AstroGrep\AstroGrep.exe" /spath="%USERPROFILE%\AppData\Local\Temp\OnboardLogs" /stypes="app*4045*20161218*" /stext=" 03:.+((SYSTEM_STATE.+slice.+state.+changed )|(ment ac)|(multiple cpu faults)|(system.+state.+changed )|(\[timeout)|(PRM\|1\|D)|(kpr)|(kdp)|(\|lc)|(penalty))" /e /r /s</v>
      </c>
      <c r="AG131" s="1" t="str">
        <f t="shared" si="71"/>
        <v>EC</v>
      </c>
      <c r="AH131" s="92" t="str">
        <f t="shared" si="58"/>
        <v>"%USERPROFILE%\Documents\GitHub\eaglep3\Utilities\RefineRTDCRunTimes.py" --tripid 218-17 --locoid 4045 --swversion DE.1.0.8.0 --startMP 204:127843 --initTime 2016-12-17T19:57:54 --startdatetime 2016-12-17T19:59:13 --delay 0 --endMP 204:928 --enddatetime 2016-12-17T20:31:57 --enforcementcount 0 &gt;&gt;C:\Users\stu\Documents\GitHub\eaglep3-reporting\EC\2016-12-17-refined-times.txt</v>
      </c>
      <c r="AI131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03:27","project_id":79,"tracker_id":40,"status_id":1,"priority_id":2,"assigned_to_id":23,"start_date":"2016-12-17","description":"","custom_fields":[{"id":1,"name":"Subdivision","value":"EC"},{"id":4,"name":"Milepost","value":"0.0928"},{"id":17,"name":"Train ID","value":"218-17"},{"id":16,"name":"Locomotive ID","value":"4045"},{"id":130,"name":"Impact","value":""},{"id":150,"name":"Time of Event (Mountain Time)","value":"20:31:57"},{"id":151,"name":"Denver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581</v>
      </c>
      <c r="B132" s="7">
        <v>4045</v>
      </c>
      <c r="C132" s="22" t="s">
        <v>205</v>
      </c>
      <c r="D132" s="22" t="s">
        <v>508</v>
      </c>
      <c r="E132" s="13">
        <v>42721.801805555559</v>
      </c>
      <c r="F132" s="13">
        <v>42721.832789351851</v>
      </c>
      <c r="G132" s="7">
        <v>1</v>
      </c>
      <c r="H132" s="22" t="s">
        <v>883</v>
      </c>
      <c r="I132" s="13">
        <v>42721.855520833335</v>
      </c>
      <c r="J132" s="7">
        <v>0</v>
      </c>
      <c r="K132" s="109" t="str">
        <f t="shared" si="60"/>
        <v>4045/4046</v>
      </c>
      <c r="L132" s="22" t="str">
        <f>VLOOKUP(A132,'Trips&amp;Operators'!$C$1:$G$99999,5,FALSE)</f>
        <v>CHANDLER KELVIN</v>
      </c>
      <c r="M132" s="6">
        <f t="shared" si="61"/>
        <v>2.273148148378823E-2</v>
      </c>
      <c r="N132" s="7"/>
      <c r="O132" s="7"/>
      <c r="P132" s="7"/>
      <c r="Q132" s="23"/>
      <c r="R132" s="23"/>
      <c r="S132" s="35"/>
      <c r="T132" s="50" t="str">
        <f t="shared" si="64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18:14:36-700',mode:absolute,to:'2016-12-17 21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2" s="52" t="str">
        <f t="shared" si="66"/>
        <v>Y</v>
      </c>
      <c r="X132" s="177">
        <f t="shared" si="78"/>
        <v>0</v>
      </c>
      <c r="Y132" s="67">
        <f t="shared" si="79"/>
        <v>23.297000000000001</v>
      </c>
      <c r="Z132" s="67">
        <f t="shared" si="80"/>
        <v>23.2957</v>
      </c>
      <c r="AA132" s="67">
        <f t="shared" si="67"/>
        <v>1.300000000000523E-3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68"/>
        <v>0218-17</v>
      </c>
      <c r="AE132" s="91" t="str">
        <f t="shared" si="69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132" s="88" t="str">
        <f t="shared" si="70"/>
        <v>"C:\Program Files (x86)\AstroGrep\AstroGrep.exe" /spath="%USERPROFILE%\AppData\Local\Temp\OnboardLogs" /stypes="app*4045*20161218*" /stext=" 03:.+((SYSTEM_STATE.+slice.+state.+changed )|(ment ac)|(multiple cpu faults)|(system.+state.+changed )|(\[timeout)|(PRM\|1\|D)|(kpr)|(kdp)|(\|lc)|(penalty))" /e /r /s</v>
      </c>
      <c r="AG132" s="1" t="str">
        <f t="shared" si="71"/>
        <v>EC</v>
      </c>
      <c r="AH132" s="92" t="str">
        <f t="shared" si="58"/>
        <v>"%USERPROFILE%\Documents\GitHub\eaglep3\Utilities\RefineRTDCRunTimes.py" --tripid 218-17 --locoid 4045 --swversion DE.1.0.8.0 --startMP 204:232970 --initTime 2016-12-17T19:14:36 --startdatetime 2016-12-17T19:59:13 --delay 1 --endMP 204:232957 --enddatetime 2016-12-17T20:31:57 --enforcementcount 0 &gt;&gt;C:\Users\stu\Documents\GitHub\eaglep3-reporting\EC\2016-12-17-refined-times.txt</v>
      </c>
      <c r="AI132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{"issue":{"subject":"","project_id":79,"tracker_id":40,"status_id":1,"priority_id":2,"assigned_to_id":23,"start_date":"2016-12-17","description":"","custom_fields":[{"id":1,"name":"Subdivision","value":"EC"},{"id":4,"name":"Milepost","value":"23.2957"},{"id":17,"name":"Train ID","value":"218-17"},{"id":16,"name":"Locomotive ID","value":"4045"},{"id":130,"name":"Impact","value":""},{"id":150,"name":"Time of Event (Mountain Time)","value":"20:31:57"},{"id":151,"name":"Denver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712</v>
      </c>
      <c r="B133" s="7">
        <v>4018</v>
      </c>
      <c r="C133" s="22" t="s">
        <v>205</v>
      </c>
      <c r="D133" s="22" t="s">
        <v>505</v>
      </c>
      <c r="E133" s="13">
        <v>42721.767974537041</v>
      </c>
      <c r="F133" s="13">
        <v>42721.771377314813</v>
      </c>
      <c r="G133" s="7">
        <v>4</v>
      </c>
      <c r="H133" s="22" t="s">
        <v>884</v>
      </c>
      <c r="I133" s="13">
        <v>42721.806342592594</v>
      </c>
      <c r="J133" s="7">
        <v>0</v>
      </c>
      <c r="K133" s="109" t="str">
        <f t="shared" si="60"/>
        <v>4017/4018</v>
      </c>
      <c r="L133" s="22" t="str">
        <f>VLOOKUP(A133,'Trips&amp;Operators'!$C$1:$G$99999,5,FALSE)</f>
        <v>STAMBAUGH JAMES</v>
      </c>
      <c r="M133" s="6">
        <f t="shared" si="61"/>
        <v>3.496527778042946E-2</v>
      </c>
      <c r="N133" s="7"/>
      <c r="O133" s="7"/>
      <c r="P133" s="7">
        <f t="shared" ref="P133:P138" si="81">24*60*SUM($M133:$M133)</f>
        <v>50.350000003818423</v>
      </c>
      <c r="Q133" s="23"/>
      <c r="R133" s="23" t="s">
        <v>994</v>
      </c>
      <c r="S133" s="35">
        <f>SUM(U133:U133)/IF(AG133="EC",12,1)</f>
        <v>1</v>
      </c>
      <c r="T133" s="50" t="str">
        <f t="shared" si="64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17:25:53-700',mode:absolute,to:'2016-12-17 20:21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3" s="52" t="str">
        <f t="shared" si="66"/>
        <v>Y</v>
      </c>
      <c r="X133" s="177">
        <f t="shared" si="78"/>
        <v>1</v>
      </c>
      <c r="Y133" s="67">
        <f t="shared" si="79"/>
        <v>5.0900000000000001E-2</v>
      </c>
      <c r="Z133" s="67">
        <f t="shared" si="80"/>
        <v>22.808</v>
      </c>
      <c r="AA133" s="67">
        <f t="shared" si="67"/>
        <v>22.757100000000001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68"/>
        <v>0219-17</v>
      </c>
      <c r="AE133" s="91" t="str">
        <f t="shared" si="69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133" s="88" t="str">
        <f t="shared" si="70"/>
        <v>"C:\Program Files (x86)\AstroGrep\AstroGrep.exe" /spath="%USERPROFILE%\AppData\Local\Temp\OnboardLogs" /stypes="app*4018*20161218*" /stext=" 02:.+((SYSTEM_STATE.+slice.+state.+changed )|(ment ac)|(multiple cpu faults)|(system.+state.+changed )|(\[timeout)|(PRM\|1\|D)|(kpr)|(kdp)|(\|lc)|(penalty))" /e /r /s</v>
      </c>
      <c r="AG133" s="1" t="str">
        <f t="shared" si="71"/>
        <v>EC</v>
      </c>
      <c r="AH133" s="92" t="str">
        <f t="shared" si="58"/>
        <v>"%USERPROFILE%\Documents\GitHub\eaglep3\Utilities\RefineRTDCRunTimes.py" --tripid 219-17 --locoid 4018 --swversion DE.1.0.8.0 --startMP 204:509 --initTime 2016-12-17T18:25:53 --startdatetime 2016-12-17T18:30:47 --delay 4 --endMP 204:228080 --enddatetime 2016-12-17T19:21:08 --enforcementcount 0 &gt;&gt;C:\Users\stu\Documents\GitHub\eaglep3-reporting\EC\2016-12-17-refined-times.txt</v>
      </c>
      <c r="AI133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03:27","project_id":79,"tracker_id":40,"status_id":1,"priority_id":2,"assigned_to_id":23,"start_date":"2016-12-17","description":"","custom_fields":[{"id":1,"name":"Subdivision","value":"EC"},{"id":4,"name":"Milepost","value":"22.808"},{"id":17,"name":"Train ID","value":"219-17"},{"id":16,"name":"Locomotive ID","value":"4018"},{"id":130,"name":"Impact","value":""},{"id":150,"name":"Time of Event (Mountain Time)","value":"19:21:08"},{"id":151,"name":"Denver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580</v>
      </c>
      <c r="B134" s="7">
        <v>4017</v>
      </c>
      <c r="C134" s="22" t="s">
        <v>205</v>
      </c>
      <c r="D134" s="22" t="s">
        <v>885</v>
      </c>
      <c r="E134" s="13">
        <v>42721.848298611112</v>
      </c>
      <c r="F134" s="13">
        <v>42721.84952546296</v>
      </c>
      <c r="G134" s="7">
        <v>1</v>
      </c>
      <c r="H134" s="22" t="s">
        <v>510</v>
      </c>
      <c r="I134" s="13">
        <v>42721.881932870368</v>
      </c>
      <c r="J134" s="7">
        <v>0</v>
      </c>
      <c r="K134" s="109" t="str">
        <f t="shared" si="60"/>
        <v>4017/4018</v>
      </c>
      <c r="L134" s="22" t="str">
        <f>VLOOKUP(A134,'Trips&amp;Operators'!$C$1:$G$99999,5,FALSE)</f>
        <v>STAMBAUGH JAMES</v>
      </c>
      <c r="M134" s="6">
        <f t="shared" si="61"/>
        <v>3.2407407408754807E-2</v>
      </c>
      <c r="N134" s="7"/>
      <c r="O134" s="7"/>
      <c r="P134" s="7">
        <f t="shared" si="81"/>
        <v>46.666666668606922</v>
      </c>
      <c r="Q134" s="23"/>
      <c r="R134" s="23" t="s">
        <v>994</v>
      </c>
      <c r="S134" s="35">
        <f>SUM(U134:U134)/IF(AG134="EC",12,1)</f>
        <v>1</v>
      </c>
      <c r="T134" s="50" t="str">
        <f t="shared" si="64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19:21:33-700',mode:absolute,to:'2016-12-17 22:09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4" s="52" t="str">
        <f t="shared" si="66"/>
        <v>Y</v>
      </c>
      <c r="X134" s="177">
        <f t="shared" si="78"/>
        <v>1</v>
      </c>
      <c r="Y134" s="67">
        <f t="shared" si="79"/>
        <v>22.515599999999999</v>
      </c>
      <c r="Z134" s="67">
        <f t="shared" si="80"/>
        <v>1.67E-2</v>
      </c>
      <c r="AA134" s="67">
        <f t="shared" si="67"/>
        <v>22.498899999999999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68"/>
        <v>0220-17</v>
      </c>
      <c r="AE134" s="91" t="str">
        <f t="shared" si="69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134" s="88" t="str">
        <f t="shared" si="70"/>
        <v>"C:\Program Files (x86)\AstroGrep\AstroGrep.exe" /spath="%USERPROFILE%\AppData\Local\Temp\OnboardLogs" /stypes="app*4017*20161218*" /stext=" 04:.+((SYSTEM_STATE.+slice.+state.+changed )|(ment ac)|(multiple cpu faults)|(system.+state.+changed )|(\[timeout)|(PRM\|1\|D)|(kpr)|(kdp)|(\|lc)|(penalty))" /e /r /s</v>
      </c>
      <c r="AG134" s="1" t="str">
        <f t="shared" si="71"/>
        <v>EC</v>
      </c>
      <c r="AH134" s="92" t="str">
        <f t="shared" si="58"/>
        <v>"%USERPROFILE%\Documents\GitHub\eaglep3\Utilities\RefineRTDCRunTimes.py" --tripid 220-17 --locoid 4017 --swversion DE.1.0.8.0 --startMP 204:225156 --initTime 2016-12-17T20:21:33 --startdatetime 2016-12-17T20:23:19 --delay 1 --endMP 204:167 --enddatetime 2016-12-17T21:09:59 --enforcementcount 0 &gt;&gt;C:\Users\stu\Documents\GitHub\eaglep3-reporting\EC\2016-12-17-refined-times.txt</v>
      </c>
      <c r="AI134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03:27","project_id":79,"tracker_id":40,"status_id":1,"priority_id":2,"assigned_to_id":23,"start_date":"2016-12-17","description":"","custom_fields":[{"id":1,"name":"Subdivision","value":"EC"},{"id":4,"name":"Milepost","value":"0.0167"},{"id":17,"name":"Train ID","value":"220-17"},{"id":16,"name":"Locomotive ID","value":"4017"},{"id":130,"name":"Impact","value":""},{"id":150,"name":"Time of Event (Mountain Time)","value":"21:09:59"},{"id":151,"name":"Denver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716</v>
      </c>
      <c r="B135" s="7">
        <v>4016</v>
      </c>
      <c r="C135" s="22" t="s">
        <v>205</v>
      </c>
      <c r="D135" s="22" t="s">
        <v>285</v>
      </c>
      <c r="E135" s="13">
        <v>42721.789050925923</v>
      </c>
      <c r="F135" s="13">
        <v>42721.791863425926</v>
      </c>
      <c r="G135" s="7">
        <v>1</v>
      </c>
      <c r="H135" s="22" t="s">
        <v>886</v>
      </c>
      <c r="I135" s="13">
        <v>42721.826620370368</v>
      </c>
      <c r="J135" s="7">
        <v>0</v>
      </c>
      <c r="K135" s="109" t="str">
        <f t="shared" si="60"/>
        <v>4015/4016</v>
      </c>
      <c r="L135" s="22" t="str">
        <f>VLOOKUP(A135,'Trips&amp;Operators'!$C$1:$G$99999,5,FALSE)</f>
        <v>LEVIN SCOTT</v>
      </c>
      <c r="M135" s="6">
        <f t="shared" si="61"/>
        <v>3.4756944442051463E-2</v>
      </c>
      <c r="N135" s="7"/>
      <c r="O135" s="7"/>
      <c r="P135" s="7">
        <f t="shared" si="81"/>
        <v>50.049999996554106</v>
      </c>
      <c r="Q135" s="23"/>
      <c r="R135" s="23" t="s">
        <v>994</v>
      </c>
      <c r="S135" s="35">
        <f>SUM(U135:U135)/IF(AG135="EC",12,1)</f>
        <v>1</v>
      </c>
      <c r="T135" s="50" t="str">
        <f t="shared" si="64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17:56:14-700',mode:absolute,to:'2016-12-17 20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5" s="52" t="str">
        <f t="shared" si="66"/>
        <v>Y</v>
      </c>
      <c r="X135" s="177">
        <f t="shared" si="78"/>
        <v>1</v>
      </c>
      <c r="Y135" s="67">
        <f t="shared" si="79"/>
        <v>4.6199999999999998E-2</v>
      </c>
      <c r="Z135" s="67">
        <f t="shared" si="80"/>
        <v>22.799499999999998</v>
      </c>
      <c r="AA135" s="67">
        <f t="shared" si="67"/>
        <v>22.753299999999999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68"/>
        <v>0221-17</v>
      </c>
      <c r="AE135" s="91" t="str">
        <f t="shared" si="69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135" s="88" t="str">
        <f t="shared" si="70"/>
        <v>"C:\Program Files (x86)\AstroGrep\AstroGrep.exe" /spath="%USERPROFILE%\AppData\Local\Temp\OnboardLogs" /stypes="app*4016*20161218*" /stext=" 02:.+((SYSTEM_STATE.+slice.+state.+changed )|(ment ac)|(multiple cpu faults)|(system.+state.+changed )|(\[timeout)|(PRM\|1\|D)|(kpr)|(kdp)|(\|lc)|(penalty))" /e /r /s</v>
      </c>
      <c r="AG135" s="1" t="str">
        <f t="shared" si="71"/>
        <v>EC</v>
      </c>
      <c r="AH135" s="92" t="str">
        <f t="shared" si="58"/>
        <v>"%USERPROFILE%\Documents\GitHub\eaglep3\Utilities\RefineRTDCRunTimes.py" --tripid 221-17 --locoid 4016 --swversion DE.1.0.8.0 --startMP 204:462 --initTime 2016-12-17T18:56:14 --startdatetime 2016-12-17T19:00:17 --delay 1 --endMP 204:227995 --enddatetime 2016-12-17T19:50:20 --enforcementcount 0 &gt;&gt;C:\Users\stu\Documents\GitHub\eaglep3-reporting\EC\2016-12-17-refined-times.txt</v>
      </c>
      <c r="AI135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03:27","project_id":79,"tracker_id":40,"status_id":1,"priority_id":2,"assigned_to_id":23,"start_date":"2016-12-17","description":"","custom_fields":[{"id":1,"name":"Subdivision","value":"EC"},{"id":4,"name":"Milepost","value":"22.7995"},{"id":17,"name":"Train ID","value":"221-17"},{"id":16,"name":"Locomotive ID","value":"4016"},{"id":130,"name":"Impact","value":""},{"id":150,"name":"Time of Event (Mountain Time)","value":"19:50:20"},{"id":151,"name":"Denver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725</v>
      </c>
      <c r="B136" s="7">
        <v>4015</v>
      </c>
      <c r="C136" s="22" t="s">
        <v>205</v>
      </c>
      <c r="D136" s="22" t="s">
        <v>887</v>
      </c>
      <c r="E136" s="13">
        <v>42721.849317129629</v>
      </c>
      <c r="F136" s="13">
        <v>42721.850486111114</v>
      </c>
      <c r="G136" s="7">
        <v>1</v>
      </c>
      <c r="H136" s="22" t="s">
        <v>283</v>
      </c>
      <c r="I136" s="13">
        <v>42721.870300925926</v>
      </c>
      <c r="J136" s="7">
        <v>0</v>
      </c>
      <c r="K136" s="109" t="str">
        <f t="shared" si="60"/>
        <v>4015/4016</v>
      </c>
      <c r="L136" s="22" t="str">
        <f>VLOOKUP(A136,'Trips&amp;Operators'!$C$1:$G$99999,5,FALSE)</f>
        <v>LEVIN SCOTT</v>
      </c>
      <c r="M136" s="6">
        <f t="shared" si="61"/>
        <v>1.9814814811979886E-2</v>
      </c>
      <c r="N136" s="7"/>
      <c r="O136" s="7"/>
      <c r="P136" s="7">
        <f t="shared" si="81"/>
        <v>28.533333329251036</v>
      </c>
      <c r="Q136" s="23"/>
      <c r="R136" s="23" t="s">
        <v>994</v>
      </c>
      <c r="S136" s="35">
        <f>SUM(U136:U136)/IF(AG136="EC",12,1)</f>
        <v>1</v>
      </c>
      <c r="T136" s="50" t="str">
        <f t="shared" si="64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19:23:01-700',mode:absolute,to:'2016-12-17 21:53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6" s="52" t="str">
        <f t="shared" si="66"/>
        <v>Y</v>
      </c>
      <c r="X136" s="177">
        <f t="shared" si="78"/>
        <v>1</v>
      </c>
      <c r="Y136" s="67">
        <f t="shared" si="79"/>
        <v>12.787100000000001</v>
      </c>
      <c r="Z136" s="67">
        <f t="shared" si="80"/>
        <v>1.5800000000000002E-2</v>
      </c>
      <c r="AA136" s="67">
        <f t="shared" si="67"/>
        <v>12.7713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68"/>
        <v>0222-17</v>
      </c>
      <c r="AE136" s="91" t="str">
        <f t="shared" si="69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136" s="88" t="str">
        <f t="shared" si="70"/>
        <v>"C:\Program Files (x86)\AstroGrep\AstroGrep.exe" /spath="%USERPROFILE%\AppData\Local\Temp\OnboardLogs" /stypes="app*4015*20161218*" /stext=" 03:.+((SYSTEM_STATE.+slice.+state.+changed )|(ment ac)|(multiple cpu faults)|(system.+state.+changed )|(\[timeout)|(PRM\|1\|D)|(kpr)|(kdp)|(\|lc)|(penalty))" /e /r /s</v>
      </c>
      <c r="AG136" s="1" t="str">
        <f t="shared" si="71"/>
        <v>EC</v>
      </c>
      <c r="AH136" s="92" t="str">
        <f t="shared" si="58"/>
        <v>"%USERPROFILE%\Documents\GitHub\eaglep3\Utilities\RefineRTDCRunTimes.py" --tripid 222-17 --locoid 4015 --swversion DE.1.0.8.0 --startMP 204:127871 --initTime 2016-12-17T20:23:01 --startdatetime 2016-12-17T20:24:42 --delay 1 --endMP 204:158 --enddatetime 2016-12-17T20:53:14 --enforcementcount 0 &gt;&gt;C:\Users\stu\Documents\GitHub\eaglep3-reporting\EC\2016-12-17-refined-times.txt</v>
      </c>
      <c r="AI136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03:27","project_id":79,"tracker_id":40,"status_id":1,"priority_id":2,"assigned_to_id":23,"start_date":"2016-12-17","description":"","custom_fields":[{"id":1,"name":"Subdivision","value":"EC"},{"id":4,"name":"Milepost","value":"0.0158"},{"id":17,"name":"Train ID","value":"222-17"},{"id":16,"name":"Locomotive ID","value":"4015"},{"id":130,"name":"Impact","value":""},{"id":150,"name":"Time of Event (Mountain Time)","value":"20:53:14"},{"id":151,"name":"Denver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717</v>
      </c>
      <c r="B137" s="7">
        <v>4011</v>
      </c>
      <c r="C137" s="22" t="s">
        <v>205</v>
      </c>
      <c r="D137" s="22" t="s">
        <v>335</v>
      </c>
      <c r="E137" s="13">
        <v>42721.810312499998</v>
      </c>
      <c r="F137" s="13">
        <v>42721.812662037039</v>
      </c>
      <c r="G137" s="7">
        <v>1</v>
      </c>
      <c r="H137" s="22" t="s">
        <v>888</v>
      </c>
      <c r="I137" s="13">
        <v>42721.844594907408</v>
      </c>
      <c r="J137" s="7">
        <v>0</v>
      </c>
      <c r="K137" s="109" t="str">
        <f t="shared" si="60"/>
        <v>4011/4012</v>
      </c>
      <c r="L137" s="22" t="str">
        <f>VLOOKUP(A137,'Trips&amp;Operators'!$C$1:$G$99999,5,FALSE)</f>
        <v>NEWELL JAMES</v>
      </c>
      <c r="M137" s="6">
        <f t="shared" si="61"/>
        <v>3.1932870369928423E-2</v>
      </c>
      <c r="N137" s="7"/>
      <c r="O137" s="7"/>
      <c r="P137" s="7">
        <f t="shared" si="81"/>
        <v>45.98333333269693</v>
      </c>
      <c r="Q137" s="23"/>
      <c r="R137" s="23" t="s">
        <v>994</v>
      </c>
      <c r="S137" s="35">
        <f>SUM(U137:U137)/IF(AG137="EC",12,1)</f>
        <v>1</v>
      </c>
      <c r="T137" s="50" t="str">
        <f t="shared" si="64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18:26:51-700',mode:absolute,to:'2016-12-17 21:16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7" s="52" t="str">
        <f t="shared" si="66"/>
        <v>Y</v>
      </c>
      <c r="X137" s="177">
        <f t="shared" ref="X137:X165" si="82">VALUE(LEFT(AD137,4))-VALUE(LEFT(AD136,4))</f>
        <v>1</v>
      </c>
      <c r="Y137" s="67">
        <f t="shared" si="79"/>
        <v>4.2200000000000001E-2</v>
      </c>
      <c r="Z137" s="67">
        <f t="shared" si="80"/>
        <v>22.839600000000001</v>
      </c>
      <c r="AA137" s="67">
        <f t="shared" si="67"/>
        <v>22.7974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68"/>
        <v>0223-17</v>
      </c>
      <c r="AE137" s="91" t="str">
        <f t="shared" si="69"/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AF137" s="88" t="str">
        <f t="shared" si="70"/>
        <v>"C:\Program Files (x86)\AstroGrep\AstroGrep.exe" /spath="%USERPROFILE%\AppData\Local\Temp\OnboardLogs" /stypes="app*4011*20161218*" /stext=" 03:.+((SYSTEM_STATE.+slice.+state.+changed )|(ment ac)|(multiple cpu faults)|(system.+state.+changed )|(\[timeout)|(PRM\|1\|D)|(kpr)|(kdp)|(\|lc)|(penalty))" /e /r /s</v>
      </c>
      <c r="AG137" s="1" t="str">
        <f t="shared" si="71"/>
        <v>EC</v>
      </c>
      <c r="AH137" s="92" t="str">
        <f t="shared" si="58"/>
        <v>"%USERPROFILE%\Documents\GitHub\eaglep3\Utilities\RefineRTDCRunTimes.py" --tripid 223-17 --locoid 4011 --swversion DE.1.0.8.0 --startMP 204:422 --initTime 2016-12-17T19:26:51 --startdatetime 2016-12-17T19:30:14 --delay 1 --endMP 204:228396 --enddatetime 2016-12-17T20:16:13 --enforcementcount 0 &gt;&gt;C:\Users\stu\Documents\GitHub\eaglep3-reporting\EC\2016-12-17-refined-times.txt</v>
      </c>
      <c r="AI137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03:27","project_id":79,"tracker_id":40,"status_id":1,"priority_id":2,"assigned_to_id":23,"start_date":"2016-12-17","description":"","custom_fields":[{"id":1,"name":"Subdivision","value":"EC"},{"id":4,"name":"Milepost","value":"22.8396"},{"id":17,"name":"Train ID","value":"223-17"},{"id":16,"name":"Locomotive ID","value":"4011"},{"id":130,"name":"Impact","value":""},{"id":150,"name":"Time of Event (Mountain Time)","value":"20:16:13"},{"id":151,"name":"Denver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726</v>
      </c>
      <c r="B138" s="7">
        <v>4012</v>
      </c>
      <c r="C138" s="22" t="s">
        <v>205</v>
      </c>
      <c r="D138" s="22" t="s">
        <v>889</v>
      </c>
      <c r="E138" s="13">
        <v>42721.875625000001</v>
      </c>
      <c r="F138" s="13">
        <v>42721.876666666663</v>
      </c>
      <c r="G138" s="7">
        <v>0</v>
      </c>
      <c r="H138" s="22" t="s">
        <v>890</v>
      </c>
      <c r="I138" s="13">
        <v>42721.879594907405</v>
      </c>
      <c r="J138" s="7">
        <v>0</v>
      </c>
      <c r="K138" s="109" t="str">
        <f t="shared" si="60"/>
        <v>4011/4012</v>
      </c>
      <c r="L138" s="22" t="str">
        <f>VLOOKUP(A138,'Trips&amp;Operators'!$C$1:$G$99999,5,FALSE)</f>
        <v>NEWELL JAMES</v>
      </c>
      <c r="M138" s="6">
        <f t="shared" si="61"/>
        <v>2.9282407413120382E-3</v>
      </c>
      <c r="N138" s="7"/>
      <c r="O138" s="7"/>
      <c r="P138" s="7">
        <f t="shared" si="81"/>
        <v>4.2166666674893349</v>
      </c>
      <c r="Q138" s="23"/>
      <c r="R138" s="23" t="s">
        <v>994</v>
      </c>
      <c r="S138" s="35">
        <f>SUM(U138:U139)/IF(AG138="EC",12,1)</f>
        <v>0</v>
      </c>
      <c r="T138" s="50" t="str">
        <f t="shared" si="64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20:00:54-700',mode:absolute,to:'2016-12-17 22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8" s="52" t="str">
        <f t="shared" si="66"/>
        <v>Y</v>
      </c>
      <c r="X138" s="177">
        <f t="shared" si="82"/>
        <v>1</v>
      </c>
      <c r="Y138" s="67">
        <f t="shared" si="79"/>
        <v>15.399900000000001</v>
      </c>
      <c r="Z138" s="67">
        <f t="shared" si="80"/>
        <v>12.784599999999999</v>
      </c>
      <c r="AA138" s="67">
        <f t="shared" si="67"/>
        <v>2.6153000000000013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68"/>
        <v>0224-17</v>
      </c>
      <c r="AE138" s="91" t="str">
        <f t="shared" si="69"/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AF138" s="88" t="str">
        <f t="shared" si="70"/>
        <v>"C:\Program Files (x86)\AstroGrep\AstroGrep.exe" /spath="%USERPROFILE%\AppData\Local\Temp\OnboardLogs" /stypes="app*4012*20161218*" /stext=" 04:.+((SYSTEM_STATE.+slice.+state.+changed )|(ment ac)|(multiple cpu faults)|(system.+state.+changed )|(\[timeout)|(PRM\|1\|D)|(kpr)|(kdp)|(\|lc)|(penalty))" /e /r /s</v>
      </c>
      <c r="AG138" s="1" t="str">
        <f t="shared" si="71"/>
        <v>EC</v>
      </c>
      <c r="AH138" s="92" t="str">
        <f t="shared" si="58"/>
        <v>"%USERPROFILE%\Documents\GitHub\eaglep3\Utilities\RefineRTDCRunTimes.py" --tripid 224-17 --locoid 4012 --swversion DE.1.0.8.0 --startMP 204:153999 --initTime 2016-12-17T21:00:54 --startdatetime 2016-12-17T21:02:24 --delay 0 --endMP 204:127846 --enddatetime 2016-12-17T21:06:37 --enforcementcount 0 &gt;&gt;C:\Users\stu\Documents\GitHub\eaglep3-reporting\EC\2016-12-17-refined-times.txt</v>
      </c>
      <c r="AI138" s="119" t="str">
        <f t="shared" si="59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03:27","project_id":79,"tracker_id":40,"status_id":1,"priority_id":2,"assigned_to_id":23,"start_date":"2016-12-17","description":"","custom_fields":[{"id":1,"name":"Subdivision","value":"EC"},{"id":4,"name":"Milepost","value":"12.7846"},{"id":17,"name":"Train ID","value":"224-17"},{"id":16,"name":"Locomotive ID","value":"4012"},{"id":130,"name":"Impact","value":""},{"id":150,"name":"Time of Event (Mountain Time)","value":"21:06:37"},{"id":151,"name":"Denver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726</v>
      </c>
      <c r="B139" s="7">
        <v>4012</v>
      </c>
      <c r="C139" s="22" t="s">
        <v>205</v>
      </c>
      <c r="D139" s="22" t="s">
        <v>262</v>
      </c>
      <c r="E139" s="13">
        <v>42721.857662037037</v>
      </c>
      <c r="F139" s="13">
        <v>42721.876666666663</v>
      </c>
      <c r="G139" s="7">
        <v>6</v>
      </c>
      <c r="H139" s="22" t="s">
        <v>292</v>
      </c>
      <c r="I139" s="13">
        <v>42721.879594907405</v>
      </c>
      <c r="J139" s="7">
        <v>0</v>
      </c>
      <c r="K139" s="109" t="str">
        <f t="shared" si="60"/>
        <v>4011/4012</v>
      </c>
      <c r="L139" s="22" t="str">
        <f>VLOOKUP(A139,'Trips&amp;Operators'!$C$1:$G$99999,5,FALSE)</f>
        <v>NEWELL JAMES</v>
      </c>
      <c r="M139" s="6">
        <f t="shared" si="61"/>
        <v>2.9282407413120382E-3</v>
      </c>
      <c r="N139" s="7"/>
      <c r="O139" s="7"/>
      <c r="P139" s="7"/>
      <c r="Q139" s="23"/>
      <c r="R139" s="23"/>
      <c r="S139" s="35"/>
      <c r="T139" s="50" t="str">
        <f t="shared" si="64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19:35:02-700',mode:absolute,to:'2016-12-17 22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9" s="52" t="str">
        <f t="shared" si="66"/>
        <v>Y</v>
      </c>
      <c r="X139" s="177">
        <f t="shared" si="82"/>
        <v>0</v>
      </c>
      <c r="Y139" s="67">
        <f t="shared" si="79"/>
        <v>23.299399999999999</v>
      </c>
      <c r="Z139" s="67">
        <f t="shared" si="80"/>
        <v>23.299800000000001</v>
      </c>
      <c r="AA139" s="67">
        <f t="shared" si="67"/>
        <v>4.0000000000262048E-4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68"/>
        <v>0224-17</v>
      </c>
      <c r="AE139" s="91" t="str">
        <f t="shared" si="69"/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AF139" s="88" t="str">
        <f t="shared" si="70"/>
        <v>"C:\Program Files (x86)\AstroGrep\AstroGrep.exe" /spath="%USERPROFILE%\AppData\Local\Temp\OnboardLogs" /stypes="app*4012*20161218*" /stext=" 04:.+((SYSTEM_STATE.+slice.+state.+changed )|(ment ac)|(multiple cpu faults)|(system.+state.+changed )|(\[timeout)|(PRM\|1\|D)|(kpr)|(kdp)|(\|lc)|(penalty))" /e /r /s</v>
      </c>
      <c r="AG139" s="1" t="str">
        <f t="shared" si="71"/>
        <v>EC</v>
      </c>
      <c r="AH139" s="92" t="str">
        <f t="shared" si="58"/>
        <v>"%USERPROFILE%\Documents\GitHub\eaglep3\Utilities\RefineRTDCRunTimes.py" --tripid 224-17 --locoid 4012 --swversion DE.1.0.8.0 --startMP 204:232994 --initTime 2016-12-17T20:35:02 --startdatetime 2016-12-17T21:02:24 --delay 6 --endMP 204:232998 --enddatetime 2016-12-17T21:06:37 --enforcementcount 0 &gt;&gt;C:\Users\stu\Documents\GitHub\eaglep3-reporting\EC\2016-12-17-refined-times.txt</v>
      </c>
      <c r="AI139" s="119" t="str">
        <f t="shared" si="59"/>
        <v>echo {"issue":{"subject":"","project_id":79,"tracker_id":40,"status_id":1,"priority_id":2,"assigned_to_id":23,"start_date":"2016-12-17","description":"","custom_fields":[{"id":1,"name":"Subdivision","value":"EC"},{"id":4,"name":"Milepost","value":"23.2998"},{"id":17,"name":"Train ID","value":"224-17"},{"id":16,"name":"Locomotive ID","value":"4012"},{"id":130,"name":"Impact","value":""},{"id":150,"name":"Time of Event (Mountain Time)","value":"21:06:37"},{"id":151,"name":"Denver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721</v>
      </c>
      <c r="B140" s="7">
        <v>4025</v>
      </c>
      <c r="C140" s="22" t="s">
        <v>205</v>
      </c>
      <c r="D140" s="22" t="s">
        <v>891</v>
      </c>
      <c r="E140" s="13">
        <v>42721.835231481484</v>
      </c>
      <c r="F140" s="13">
        <v>42721.836840277778</v>
      </c>
      <c r="G140" s="7">
        <v>1</v>
      </c>
      <c r="H140" s="22" t="s">
        <v>892</v>
      </c>
      <c r="I140" s="13">
        <v>42721.869201388887</v>
      </c>
      <c r="J140" s="7">
        <v>0</v>
      </c>
      <c r="K140" s="109" t="str">
        <f t="shared" si="60"/>
        <v>4025/4026</v>
      </c>
      <c r="L140" s="22" t="str">
        <f>VLOOKUP(A140,'Trips&amp;Operators'!$C$1:$G$99999,5,FALSE)</f>
        <v>NELSON ARIANE</v>
      </c>
      <c r="M140" s="6">
        <f t="shared" si="61"/>
        <v>3.2361111108912155E-2</v>
      </c>
      <c r="N140" s="7"/>
      <c r="O140" s="7"/>
      <c r="P140" s="7">
        <f>24*60*SUM($M140:$M140)</f>
        <v>46.599999996833503</v>
      </c>
      <c r="Q140" s="23"/>
      <c r="R140" s="23" t="s">
        <v>994</v>
      </c>
      <c r="S140" s="35">
        <f>SUM(U140:U140)/IF(AG140="EC",12,1)</f>
        <v>1</v>
      </c>
      <c r="T140" s="50" t="str">
        <f t="shared" si="64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19:02:44-700',mode:absolute,to:'2016-12-17 21:51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0" s="52" t="str">
        <f t="shared" si="66"/>
        <v>Y</v>
      </c>
      <c r="X140" s="177">
        <f t="shared" si="82"/>
        <v>1</v>
      </c>
      <c r="Y140" s="67">
        <f t="shared" si="79"/>
        <v>0.1164</v>
      </c>
      <c r="Z140" s="67">
        <f t="shared" si="80"/>
        <v>22.802</v>
      </c>
      <c r="AA140" s="67">
        <f t="shared" si="67"/>
        <v>22.685600000000001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68"/>
        <v>0225-17</v>
      </c>
      <c r="AE140" s="91" t="str">
        <f t="shared" si="69"/>
        <v>aws s3 cp s3://rtdc.mdm.uploadarchive.raw/RTDC4025/ "%USERPROFILE%\AppData\Local\Temp\OnboardLogs"\RTDC4025\2016-12-17 --exclude "*" --recursive --include "*20161217*" &amp; "%USERPROFILE%\Documents\GitHub\mrs-test-scripts\Headless Mode &amp; Sideloading\WalkAndUnGZ.bat" "%USERPROFILE%\AppData\Local\Temp\OnboardLogs"\RTDC4025\2016-12-17 &amp; aws s3 cp s3://rtdc.mdm.uploadarchive.raw/RTDC4025/ "%USERPROFILE%\AppData\Local\Temp\OnboardLogs"\RTDC4025\2016-12-18 --exclude "*" --recursive --include "*20161218*" &amp; "%USERPROFILE%\Documents\GitHub\mrs-test-scripts\Headless Mode &amp; Sideloading\WalkAndUnGZ.bat" "%USERPROFILE%\AppData\Local\Temp\OnboardLogs"\RTDC4025\2016-12-18</v>
      </c>
      <c r="AF140" s="88" t="str">
        <f t="shared" si="70"/>
        <v>"C:\Program Files (x86)\AstroGrep\AstroGrep.exe" /spath="%USERPROFILE%\AppData\Local\Temp\OnboardLogs" /stypes="app*4025*20161218*" /stext=" 03:.+((SYSTEM_STATE.+slice.+state.+changed )|(ment ac)|(multiple cpu faults)|(system.+state.+changed )|(\[timeout)|(PRM\|1\|D)|(kpr)|(kdp)|(\|lc)|(penalty))" /e /r /s</v>
      </c>
      <c r="AG140" s="1" t="str">
        <f t="shared" si="71"/>
        <v>EC</v>
      </c>
      <c r="AH140" s="92" t="str">
        <f t="shared" ref="AH140:AH203" si="83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225-17 --locoid 4025 --swversion DE.1.0.8.0 --startMP 204:1164 --initTime 2016-12-17T20:02:44 --startdatetime 2016-12-17T20:05:03 --delay 1 --endMP 204:228020 --enddatetime 2016-12-17T20:51:39 --enforcementcount 0 &gt;&gt;C:\Users\stu\Documents\GitHub\eaglep3-reporting\EC\2016-12-17-refined-times.txt</v>
      </c>
      <c r="AI140" s="119" t="str">
        <f t="shared" ref="AI140:AI203" si="84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03:27","project_id":79,"tracker_id":40,"status_id":1,"priority_id":2,"assigned_to_id":23,"start_date":"2016-12-17","description":"","custom_fields":[{"id":1,"name":"Subdivision","value":"EC"},{"id":4,"name":"Milepost","value":"22.802"},{"id":17,"name":"Train ID","value":"225-17"},{"id":16,"name":"Locomotive ID","value":"4025"},{"id":130,"name":"Impact","value":""},{"id":150,"name":"Time of Event (Mountain Time)","value":"20:51:39"},{"id":151,"name":"Denver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731</v>
      </c>
      <c r="B141" s="7">
        <v>4026</v>
      </c>
      <c r="C141" s="22" t="s">
        <v>205</v>
      </c>
      <c r="D141" s="22" t="s">
        <v>876</v>
      </c>
      <c r="E141" s="13">
        <v>42721.875671296293</v>
      </c>
      <c r="F141" s="13">
        <v>42721.906666666669</v>
      </c>
      <c r="G141" s="7">
        <v>2</v>
      </c>
      <c r="H141" s="22" t="s">
        <v>278</v>
      </c>
      <c r="I141" s="13">
        <v>42721.924305555556</v>
      </c>
      <c r="J141" s="7">
        <v>0</v>
      </c>
      <c r="K141" s="109" t="str">
        <f t="shared" si="60"/>
        <v>4025/4026</v>
      </c>
      <c r="L141" s="22" t="str">
        <f>VLOOKUP(A141,'Trips&amp;Operators'!$C$1:$G$99999,5,FALSE)</f>
        <v>NELSON ARIANE</v>
      </c>
      <c r="M141" s="6">
        <f t="shared" si="61"/>
        <v>1.763888888672227E-2</v>
      </c>
      <c r="N141" s="7"/>
      <c r="O141" s="7"/>
      <c r="P141" s="7">
        <f>24*60*SUM($M141:$M141)</f>
        <v>25.399999996880069</v>
      </c>
      <c r="Q141" s="23"/>
      <c r="R141" s="23" t="s">
        <v>994</v>
      </c>
      <c r="S141" s="35">
        <f>SUM(U141:U142)/IF(AG141="EC",12,1)</f>
        <v>0.83333333333333337</v>
      </c>
      <c r="T141" s="50" t="str">
        <f t="shared" si="64"/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0</v>
      </c>
      <c r="V141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20:00:58-700',mode:absolute,to:'2016-12-17 23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1" s="52" t="str">
        <f t="shared" si="66"/>
        <v>Y</v>
      </c>
      <c r="X141" s="177">
        <f t="shared" si="82"/>
        <v>1</v>
      </c>
      <c r="Y141" s="67">
        <f t="shared" si="79"/>
        <v>23.298400000000001</v>
      </c>
      <c r="Z141" s="67">
        <f t="shared" si="80"/>
        <v>23.298999999999999</v>
      </c>
      <c r="AA141" s="67">
        <f t="shared" si="67"/>
        <v>5.9999999999860165E-4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si="68"/>
        <v>0226-17</v>
      </c>
      <c r="AE141" s="91" t="str">
        <f t="shared" si="69"/>
        <v>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 &amp; 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</v>
      </c>
      <c r="AF141" s="88" t="str">
        <f t="shared" si="70"/>
        <v>"C:\Program Files (x86)\AstroGrep\AstroGrep.exe" /spath="%USERPROFILE%\AppData\Local\Temp\OnboardLogs" /stypes="app*4026*20161218*" /stext=" 05:.+((SYSTEM_STATE.+slice.+state.+changed )|(ment ac)|(multiple cpu faults)|(system.+state.+changed )|(\[timeout)|(PRM\|1\|D)|(kpr)|(kdp)|(\|lc)|(penalty))" /e /r /s</v>
      </c>
      <c r="AG141" s="1" t="str">
        <f t="shared" si="71"/>
        <v>EC</v>
      </c>
      <c r="AH141" s="92" t="str">
        <f t="shared" si="83"/>
        <v>"%USERPROFILE%\Documents\GitHub\eaglep3\Utilities\RefineRTDCRunTimes.py" --tripid 226-17 --locoid 4026 --swversion DE.1.0.8.0 --startMP 204:232984 --initTime 2016-12-17T21:00:58 --startdatetime 2016-12-17T21:45:36 --delay 2 --endMP 204:232990 --enddatetime 2016-12-17T22:11:00 --enforcementcount 0 &gt;&gt;C:\Users\stu\Documents\GitHub\eaglep3-reporting\EC\2016-12-17-refined-times.txt</v>
      </c>
      <c r="AI141" s="119" t="str">
        <f t="shared" si="84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03:27","project_id":79,"tracker_id":40,"status_id":1,"priority_id":2,"assigned_to_id":23,"start_date":"2016-12-17","description":"","custom_fields":[{"id":1,"name":"Subdivision","value":"EC"},{"id":4,"name":"Milepost","value":"23.299"},{"id":17,"name":"Train ID","value":"226-17"},{"id":16,"name":"Locomotive ID","value":"4026"},{"id":130,"name":"Impact","value":""},{"id":150,"name":"Time of Event (Mountain Time)","value":"22:11:00"},{"id":151,"name":"Denver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731</v>
      </c>
      <c r="B142" s="7">
        <v>4026</v>
      </c>
      <c r="C142" s="22" t="s">
        <v>205</v>
      </c>
      <c r="D142" s="22" t="s">
        <v>893</v>
      </c>
      <c r="E142" s="13">
        <v>42721.905590277776</v>
      </c>
      <c r="F142" s="13">
        <v>42721.906666666669</v>
      </c>
      <c r="G142" s="7">
        <v>1</v>
      </c>
      <c r="H142" s="22" t="s">
        <v>191</v>
      </c>
      <c r="I142" s="13">
        <v>42721.924305555556</v>
      </c>
      <c r="J142" s="7">
        <v>0</v>
      </c>
      <c r="K142" s="109" t="str">
        <f t="shared" si="60"/>
        <v>4025/4026</v>
      </c>
      <c r="L142" s="22" t="str">
        <f>VLOOKUP(A142,'Trips&amp;Operators'!$C$1:$G$99999,5,FALSE)</f>
        <v>NELSON ARIANE</v>
      </c>
      <c r="M142" s="6">
        <f t="shared" si="61"/>
        <v>1.763888888672227E-2</v>
      </c>
      <c r="N142" s="7"/>
      <c r="O142" s="7"/>
      <c r="P142" s="7"/>
      <c r="Q142" s="23"/>
      <c r="R142" s="23"/>
      <c r="S142" s="35"/>
      <c r="T142" s="50" t="str">
        <f t="shared" si="64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10</v>
      </c>
      <c r="V142" s="98" t="str">
        <f t="shared" si="65"/>
        <v>https://search-rtdc-monitor-bjffxe2xuh6vdkpspy63sjmuny.us-east-1.es.amazonaws.com/_plugin/kibana/#/discover/Steve-Slow-Train-Analysis-(2080s-and-2083s)?_g=(refreshInterval:(display:Off,section:0,value:0),time:(from:'2016-12-17 20:44:03-700',mode:absolute,to:'2016-12-17 23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2" s="52" t="str">
        <f t="shared" si="66"/>
        <v>Y</v>
      </c>
      <c r="X142" s="177">
        <f t="shared" si="82"/>
        <v>0</v>
      </c>
      <c r="Y142" s="67">
        <f t="shared" si="79"/>
        <v>8.6350999999999996</v>
      </c>
      <c r="Z142" s="67">
        <f t="shared" si="80"/>
        <v>1.49E-2</v>
      </c>
      <c r="AA142" s="67">
        <f t="shared" si="67"/>
        <v>8.6201999999999988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68"/>
        <v>0226-17</v>
      </c>
      <c r="AE142" s="91" t="str">
        <f t="shared" si="69"/>
        <v>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 &amp; 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</v>
      </c>
      <c r="AF142" s="88" t="str">
        <f t="shared" si="70"/>
        <v>"C:\Program Files (x86)\AstroGrep\AstroGrep.exe" /spath="%USERPROFILE%\AppData\Local\Temp\OnboardLogs" /stypes="app*4026*20161218*" /stext=" 05:.+((SYSTEM_STATE.+slice.+state.+changed )|(ment ac)|(multiple cpu faults)|(system.+state.+changed )|(\[timeout)|(PRM\|1\|D)|(kpr)|(kdp)|(\|lc)|(penalty))" /e /r /s</v>
      </c>
      <c r="AG142" s="1" t="str">
        <f t="shared" si="71"/>
        <v>EC</v>
      </c>
      <c r="AH142" s="92" t="str">
        <f t="shared" si="83"/>
        <v>"%USERPROFILE%\Documents\GitHub\eaglep3\Utilities\RefineRTDCRunTimes.py" --tripid 226-17 --locoid 4026 --swversion DE.1.0.8.0 --startMP 204:86351 --initTime 2016-12-17T21:44:03 --startdatetime 2016-12-17T21:45:36 --delay 1 --endMP 204:149 --enddatetime 2016-12-17T22:11:00 --enforcementcount 0 &gt;&gt;C:\Users\stu\Documents\GitHub\eaglep3-reporting\EC\2016-12-17-refined-times.txt</v>
      </c>
      <c r="AI142" s="119" t="str">
        <f t="shared" si="84"/>
        <v>echo {"issue":{"subject":"","project_id":79,"tracker_id":40,"status_id":1,"priority_id":2,"assigned_to_id":23,"start_date":"2016-12-17","description":"","custom_fields":[{"id":1,"name":"Subdivision","value":"EC"},{"id":4,"name":"Milepost","value":"0.0149"},{"id":17,"name":"Train ID","value":"226-17"},{"id":16,"name":"Locomotive ID","value":"4026"},{"id":130,"name":"Impact","value":""},{"id":150,"name":"Time of Event (Mountain Time)","value":"22:11:00"},{"id":151,"name":"Denver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728</v>
      </c>
      <c r="B143" s="7">
        <v>4042</v>
      </c>
      <c r="C143" s="22" t="s">
        <v>205</v>
      </c>
      <c r="D143" s="22" t="s">
        <v>894</v>
      </c>
      <c r="E143" s="13">
        <v>42721.861493055556</v>
      </c>
      <c r="F143" s="13">
        <v>42721.863171296296</v>
      </c>
      <c r="G143" s="7">
        <v>1</v>
      </c>
      <c r="H143" s="22" t="s">
        <v>895</v>
      </c>
      <c r="I143" s="13">
        <v>42721.897152777776</v>
      </c>
      <c r="J143" s="7">
        <v>0</v>
      </c>
      <c r="K143" s="109" t="str">
        <f t="shared" ref="K143:K207" si="85">IF(ISEVEN(B143),(B143-1)&amp;"/"&amp;B143,B143&amp;"/"&amp;(B143+1))</f>
        <v>4041/4042</v>
      </c>
      <c r="L143" s="22" t="str">
        <f>VLOOKUP(A143,'Trips&amp;Operators'!$C$1:$G$99999,5,FALSE)</f>
        <v>CHANDLER KELVIN</v>
      </c>
      <c r="M143" s="6">
        <f t="shared" ref="M143:M207" si="86">I143-F143</f>
        <v>3.3981481479713693E-2</v>
      </c>
      <c r="N143" s="7"/>
      <c r="O143" s="7"/>
      <c r="P143" s="7">
        <f>24*60*SUM($M143:$M143)</f>
        <v>48.933333330787718</v>
      </c>
      <c r="Q143" s="23"/>
      <c r="R143" s="23" t="s">
        <v>994</v>
      </c>
      <c r="S143" s="35">
        <f>SUM(U143:U143)/IF(AG143="EC",12,1)</f>
        <v>1</v>
      </c>
      <c r="T143" s="50" t="str">
        <f t="shared" ref="T143:T207" si="87">IF(ISEVEN(LEFT(AD143,4)),"Southbound","NorthBound")</f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ref="V143:V207" si="88"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https://search-rtdc-monitor-bjffxe2xuh6vdkpspy63sjmuny.us-east-1.es.amazonaws.com/_plugin/kibana/#/discover/Steve-Slow-Train-Analysis-(2080s-and-2083s)?_g=(refreshInterval:(display:Off,section:0,value:0),time:(from:'2016-12-17 19:40:33-700',mode:absolute,to:'2016-12-17 22:31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3" s="52" t="str">
        <f t="shared" ref="W143:W207" si="89">IF(AA143&lt;IF(AG143="EC",23,5.65),"Y","N")</f>
        <v>Y</v>
      </c>
      <c r="X143" s="177">
        <f t="shared" si="82"/>
        <v>1</v>
      </c>
      <c r="Y143" s="67">
        <f t="shared" si="79"/>
        <v>4.9700000000000001E-2</v>
      </c>
      <c r="Z143" s="67">
        <f t="shared" si="80"/>
        <v>22.7013</v>
      </c>
      <c r="AA143" s="67">
        <f t="shared" ref="AA143:AA207" si="90">ABS(Z143-Y143)</f>
        <v>22.651599999999998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ref="AD143:AD207" si="91">IF(LEN(A143)=6,"0"&amp;A143,A143)</f>
        <v>0227-17</v>
      </c>
      <c r="AE143" s="91" t="str">
        <f t="shared" ref="AE143:AE207" si="92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AF143" s="88" t="str">
        <f t="shared" ref="AF143:AF207" si="93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/stypes="app*4042*20161218*" /stext=" 04:.+((SYSTEM_STATE.+slice.+state.+changed )|(ment ac)|(multiple cpu faults)|(system.+state.+changed )|(\[timeout)|(PRM\|1\|D)|(kpr)|(kdp)|(\|lc)|(penalty))" /e /r /s</v>
      </c>
      <c r="AG143" s="1" t="str">
        <f t="shared" ref="AG143:AG207" si="94">IFERROR(IF(VALUE(LEFT(AD143,2))&lt;=2,"EC",IF(OR(VALUE(LEFT(AD143,2))=8,VALUE(LEFT(AD143,2))=18),"NW","Other")),"Other")</f>
        <v>EC</v>
      </c>
      <c r="AH143" s="92" t="str">
        <f t="shared" si="83"/>
        <v>"%USERPROFILE%\Documents\GitHub\eaglep3\Utilities\RefineRTDCRunTimes.py" --tripid 227-17 --locoid 4042 --swversion DE.1.0.8.0 --startMP 204:497 --initTime 2016-12-17T20:40:33 --startdatetime 2016-12-17T20:42:58 --delay 1 --endMP 204:227013 --enddatetime 2016-12-17T21:31:54 --enforcementcount 0 &gt;&gt;C:\Users\stu\Documents\GitHub\eaglep3-reporting\EC\2016-12-17-refined-times.txt</v>
      </c>
      <c r="AI143" s="119" t="str">
        <f t="shared" si="84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03:27","project_id":79,"tracker_id":40,"status_id":1,"priority_id":2,"assigned_to_id":23,"start_date":"2016-12-17","description":"","custom_fields":[{"id":1,"name":"Subdivision","value":"EC"},{"id":4,"name":"Milepost","value":"22.7013"},{"id":17,"name":"Train ID","value":"227-17"},{"id":16,"name":"Locomotive ID","value":"4042"},{"id":130,"name":"Impact","value":""},{"id":150,"name":"Time of Event (Mountain Time)","value":"21:31:54"},{"id":151,"name":"Denver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734</v>
      </c>
      <c r="B144" s="7">
        <v>4041</v>
      </c>
      <c r="C144" s="22" t="s">
        <v>205</v>
      </c>
      <c r="D144" s="22" t="s">
        <v>896</v>
      </c>
      <c r="E144" s="13">
        <v>42721.922534722224</v>
      </c>
      <c r="F144" s="13">
        <v>42721.923483796294</v>
      </c>
      <c r="G144" s="7">
        <v>0</v>
      </c>
      <c r="H144" s="22" t="s">
        <v>897</v>
      </c>
      <c r="I144" s="13">
        <v>42721.941307870373</v>
      </c>
      <c r="J144" s="7">
        <v>0</v>
      </c>
      <c r="K144" s="109" t="str">
        <f t="shared" si="85"/>
        <v>4041/4042</v>
      </c>
      <c r="L144" s="22" t="str">
        <f>VLOOKUP(A144,'Trips&amp;Operators'!$C$1:$G$99999,5,FALSE)</f>
        <v>CHANDLER KELVIN</v>
      </c>
      <c r="M144" s="6">
        <f t="shared" si="86"/>
        <v>1.7824074078816921E-2</v>
      </c>
      <c r="N144" s="7"/>
      <c r="O144" s="7"/>
      <c r="P144" s="7">
        <f>24*60*SUM($M144:$M144)</f>
        <v>25.666666673496366</v>
      </c>
      <c r="Q144" s="23"/>
      <c r="R144" s="23" t="s">
        <v>994</v>
      </c>
      <c r="S144" s="35">
        <f>SUM(U144:U144)/IF(AG144="EC",12,1)</f>
        <v>1</v>
      </c>
      <c r="T144" s="50" t="str">
        <f t="shared" si="87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21:08:27-700',mode:absolute,to:'2016-12-17 23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4" s="52" t="str">
        <f t="shared" si="89"/>
        <v>Y</v>
      </c>
      <c r="X144" s="177">
        <f t="shared" si="82"/>
        <v>1</v>
      </c>
      <c r="Y144" s="67">
        <f t="shared" si="79"/>
        <v>12.7867</v>
      </c>
      <c r="Z144" s="67">
        <f t="shared" si="80"/>
        <v>1.18E-2</v>
      </c>
      <c r="AA144" s="67">
        <f t="shared" si="90"/>
        <v>12.774900000000001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91"/>
        <v>0228-17</v>
      </c>
      <c r="AE144" s="91" t="str">
        <f t="shared" si="92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144" s="88" t="str">
        <f t="shared" si="93"/>
        <v>"C:\Program Files (x86)\AstroGrep\AstroGrep.exe" /spath="%USERPROFILE%\AppData\Local\Temp\OnboardLogs" /stypes="app*4041*20161218*" /stext=" 05:.+((SYSTEM_STATE.+slice.+state.+changed )|(ment ac)|(multiple cpu faults)|(system.+state.+changed )|(\[timeout)|(PRM\|1\|D)|(kpr)|(kdp)|(\|lc)|(penalty))" /e /r /s</v>
      </c>
      <c r="AG144" s="1" t="str">
        <f t="shared" si="94"/>
        <v>EC</v>
      </c>
      <c r="AH144" s="92" t="str">
        <f t="shared" si="83"/>
        <v>"%USERPROFILE%\Documents\GitHub\eaglep3\Utilities\RefineRTDCRunTimes.py" --tripid 228-17 --locoid 4041 --swversion DE.1.0.8.0 --startMP 204:127867 --initTime 2016-12-17T22:08:27 --startdatetime 2016-12-17T22:09:49 --delay 0 --endMP 204:118 --enddatetime 2016-12-17T22:35:29 --enforcementcount 0 &gt;&gt;C:\Users\stu\Documents\GitHub\eaglep3-reporting\EC\2016-12-17-refined-times.txt</v>
      </c>
      <c r="AI144" s="119" t="str">
        <f t="shared" si="84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03:27","project_id":79,"tracker_id":40,"status_id":1,"priority_id":2,"assigned_to_id":23,"start_date":"2016-12-17","description":"","custom_fields":[{"id":1,"name":"Subdivision","value":"EC"},{"id":4,"name":"Milepost","value":"0.0118"},{"id":17,"name":"Train ID","value":"228-17"},{"id":16,"name":"Locomotive ID","value":"4041"},{"id":130,"name":"Impact","value":""},{"id":150,"name":"Time of Event (Mountain Time)","value":"22:35:29"},{"id":151,"name":"Denver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734</v>
      </c>
      <c r="B145" s="7">
        <v>4041</v>
      </c>
      <c r="C145" s="22" t="s">
        <v>205</v>
      </c>
      <c r="D145" s="22" t="s">
        <v>274</v>
      </c>
      <c r="E145" s="13">
        <v>42721.908599537041</v>
      </c>
      <c r="F145" s="13">
        <v>42721.923483796294</v>
      </c>
      <c r="G145" s="7">
        <v>1</v>
      </c>
      <c r="H145" s="22" t="s">
        <v>274</v>
      </c>
      <c r="I145" s="13">
        <v>42721.941307870373</v>
      </c>
      <c r="J145" s="7">
        <v>0</v>
      </c>
      <c r="K145" s="109" t="str">
        <f t="shared" si="85"/>
        <v>4041/4042</v>
      </c>
      <c r="L145" s="22" t="str">
        <f>VLOOKUP(A145,'Trips&amp;Operators'!$C$1:$G$99999,5,FALSE)</f>
        <v>CHANDLER KELVIN</v>
      </c>
      <c r="M145" s="6">
        <f t="shared" si="86"/>
        <v>1.7824074078816921E-2</v>
      </c>
      <c r="N145" s="7"/>
      <c r="O145" s="7"/>
      <c r="P145" s="7"/>
      <c r="Q145" s="23"/>
      <c r="R145" s="23"/>
      <c r="S145" s="35"/>
      <c r="T145" s="50" t="str">
        <f t="shared" si="87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20:48:23-700',mode:absolute,to:'2016-12-17 23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5" s="52" t="str">
        <f t="shared" si="89"/>
        <v>Y</v>
      </c>
      <c r="X145" s="177">
        <f t="shared" si="82"/>
        <v>0</v>
      </c>
      <c r="Y145" s="67">
        <f t="shared" si="79"/>
        <v>23.298300000000001</v>
      </c>
      <c r="Z145" s="67">
        <f t="shared" si="80"/>
        <v>23.298300000000001</v>
      </c>
      <c r="AA145" s="67">
        <f t="shared" si="90"/>
        <v>0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91"/>
        <v>0228-17</v>
      </c>
      <c r="AE145" s="91" t="str">
        <f t="shared" si="92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145" s="88" t="str">
        <f t="shared" si="93"/>
        <v>"C:\Program Files (x86)\AstroGrep\AstroGrep.exe" /spath="%USERPROFILE%\AppData\Local\Temp\OnboardLogs" /stypes="app*4041*20161218*" /stext=" 05:.+((SYSTEM_STATE.+slice.+state.+changed )|(ment ac)|(multiple cpu faults)|(system.+state.+changed )|(\[timeout)|(PRM\|1\|D)|(kpr)|(kdp)|(\|lc)|(penalty))" /e /r /s</v>
      </c>
      <c r="AG145" s="1" t="str">
        <f t="shared" si="94"/>
        <v>EC</v>
      </c>
      <c r="AH145" s="92" t="str">
        <f t="shared" si="83"/>
        <v>"%USERPROFILE%\Documents\GitHub\eaglep3\Utilities\RefineRTDCRunTimes.py" --tripid 228-17 --locoid 4041 --swversion DE.1.0.8.0 --startMP 204:232983 --initTime 2016-12-17T21:48:23 --startdatetime 2016-12-17T22:09:49 --delay 1 --endMP 204:232983 --enddatetime 2016-12-17T22:35:29 --enforcementcount 0 &gt;&gt;C:\Users\stu\Documents\GitHub\eaglep3-reporting\EC\2016-12-17-refined-times.txt</v>
      </c>
      <c r="AI145" s="119" t="str">
        <f t="shared" si="84"/>
        <v>echo {"issue":{"subject":"","project_id":79,"tracker_id":40,"status_id":1,"priority_id":2,"assigned_to_id":23,"start_date":"2016-12-17","description":"","custom_fields":[{"id":1,"name":"Subdivision","value":"EC"},{"id":4,"name":"Milepost","value":"23.2983"},{"id":17,"name":"Train ID","value":"228-17"},{"id":16,"name":"Locomotive ID","value":"4041"},{"id":130,"name":"Impact","value":""},{"id":150,"name":"Time of Event (Mountain Time)","value":"22:35:29"},{"id":151,"name":"Denver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730</v>
      </c>
      <c r="B146" s="7">
        <v>4016</v>
      </c>
      <c r="C146" s="22" t="s">
        <v>205</v>
      </c>
      <c r="D146" s="22" t="s">
        <v>230</v>
      </c>
      <c r="E146" s="13">
        <v>42721.872164351851</v>
      </c>
      <c r="F146" s="13">
        <v>42721.875162037039</v>
      </c>
      <c r="G146" s="7">
        <v>1</v>
      </c>
      <c r="H146" s="22" t="s">
        <v>898</v>
      </c>
      <c r="I146" s="13">
        <v>42721.90457175926</v>
      </c>
      <c r="J146" s="7">
        <v>0</v>
      </c>
      <c r="K146" s="109" t="str">
        <f t="shared" si="85"/>
        <v>4015/4016</v>
      </c>
      <c r="L146" s="22" t="str">
        <f>VLOOKUP(A146,'Trips&amp;Operators'!$C$1:$G$99999,5,FALSE)</f>
        <v>LEVIN SCOTT</v>
      </c>
      <c r="M146" s="6">
        <f t="shared" si="86"/>
        <v>2.940972222131677E-2</v>
      </c>
      <c r="N146" s="7"/>
      <c r="O146" s="7"/>
      <c r="P146" s="7">
        <f>24*60*SUM($M146:$M146)</f>
        <v>42.349999998696148</v>
      </c>
      <c r="Q146" s="23"/>
      <c r="R146" s="23" t="s">
        <v>994</v>
      </c>
      <c r="S146" s="35">
        <f>SUM(U146:U146)/IF(AG146="EC",12,1)</f>
        <v>1</v>
      </c>
      <c r="T146" s="50" t="str">
        <f t="shared" si="87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19:55:55-700',mode:absolute,to:'2016-12-17 22:42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6" s="52" t="str">
        <f t="shared" si="89"/>
        <v>Y</v>
      </c>
      <c r="X146" s="177">
        <f t="shared" si="82"/>
        <v>1</v>
      </c>
      <c r="Y146" s="67">
        <f t="shared" si="79"/>
        <v>4.5999999999999999E-2</v>
      </c>
      <c r="Z146" s="67">
        <f t="shared" si="80"/>
        <v>22.811599999999999</v>
      </c>
      <c r="AA146" s="67">
        <f t="shared" si="90"/>
        <v>22.765599999999999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91"/>
        <v>0229-17</v>
      </c>
      <c r="AE146" s="91" t="str">
        <f t="shared" si="92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146" s="88" t="str">
        <f t="shared" si="93"/>
        <v>"C:\Program Files (x86)\AstroGrep\AstroGrep.exe" /spath="%USERPROFILE%\AppData\Local\Temp\OnboardLogs" /stypes="app*4016*20161218*" /stext=" 04:.+((SYSTEM_STATE.+slice.+state.+changed )|(ment ac)|(multiple cpu faults)|(system.+state.+changed )|(\[timeout)|(PRM\|1\|D)|(kpr)|(kdp)|(\|lc)|(penalty))" /e /r /s</v>
      </c>
      <c r="AG146" s="1" t="str">
        <f t="shared" si="94"/>
        <v>EC</v>
      </c>
      <c r="AH146" s="92" t="str">
        <f t="shared" si="83"/>
        <v>"%USERPROFILE%\Documents\GitHub\eaglep3\Utilities\RefineRTDCRunTimes.py" --tripid 229-17 --locoid 4016 --swversion DE.1.0.8.0 --startMP 204:460 --initTime 2016-12-17T20:55:55 --startdatetime 2016-12-17T21:00:14 --delay 1 --endMP 204:228116 --enddatetime 2016-12-17T21:42:35 --enforcementcount 0 &gt;&gt;C:\Users\stu\Documents\GitHub\eaglep3-reporting\EC\2016-12-17-refined-times.txt</v>
      </c>
      <c r="AI146" s="119" t="str">
        <f t="shared" si="84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03:27","project_id":79,"tracker_id":40,"status_id":1,"priority_id":2,"assigned_to_id":23,"start_date":"2016-12-17","description":"","custom_fields":[{"id":1,"name":"Subdivision","value":"EC"},{"id":4,"name":"Milepost","value":"22.8116"},{"id":17,"name":"Train ID","value":"229-17"},{"id":16,"name":"Locomotive ID","value":"4016"},{"id":130,"name":"Impact","value":""},{"id":150,"name":"Time of Event (Mountain Time)","value":"21:42:35"},{"id":151,"name":"Denver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583</v>
      </c>
      <c r="B147" s="7">
        <v>4015</v>
      </c>
      <c r="C147" s="22" t="s">
        <v>205</v>
      </c>
      <c r="D147" s="22" t="s">
        <v>899</v>
      </c>
      <c r="E147" s="13">
        <v>42721.918171296296</v>
      </c>
      <c r="F147" s="13">
        <v>42721.961712962962</v>
      </c>
      <c r="G147" s="7">
        <v>1</v>
      </c>
      <c r="H147" s="22" t="s">
        <v>900</v>
      </c>
      <c r="I147" s="13">
        <v>42721.976967592593</v>
      </c>
      <c r="J147" s="7">
        <v>0</v>
      </c>
      <c r="K147" s="109" t="str">
        <f t="shared" si="85"/>
        <v>4015/4016</v>
      </c>
      <c r="L147" s="22" t="str">
        <f>VLOOKUP(A147,'Trips&amp;Operators'!$C$1:$G$99999,5,FALSE)</f>
        <v>LEVIN SCOTT</v>
      </c>
      <c r="M147" s="6">
        <f t="shared" si="86"/>
        <v>1.5254629630362615E-2</v>
      </c>
      <c r="N147" s="7"/>
      <c r="O147" s="7"/>
      <c r="P147" s="7">
        <f>24*60*SUM($M147:$M147)</f>
        <v>21.966666667722166</v>
      </c>
      <c r="Q147" s="23"/>
      <c r="R147" s="23" t="s">
        <v>1008</v>
      </c>
      <c r="S147" s="35">
        <f>SUM(U147:U148)/IF(AG147="EC",12,1)</f>
        <v>0.83333333333333337</v>
      </c>
      <c r="T147" s="50" t="str">
        <f t="shared" si="87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21:02:10-700',mode:absolute,to:'2016-12-18 00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7" s="52" t="str">
        <f t="shared" si="89"/>
        <v>Y</v>
      </c>
      <c r="X147" s="177">
        <f t="shared" si="82"/>
        <v>1</v>
      </c>
      <c r="Y147" s="67">
        <f t="shared" si="79"/>
        <v>23.300899999999999</v>
      </c>
      <c r="Z147" s="67">
        <f t="shared" si="80"/>
        <v>23.1602</v>
      </c>
      <c r="AA147" s="67">
        <f t="shared" si="90"/>
        <v>0.14069999999999894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91"/>
        <v>0230-17</v>
      </c>
      <c r="AE147" s="91" t="str">
        <f t="shared" si="92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147" s="88" t="str">
        <f t="shared" si="93"/>
        <v>"C:\Program Files (x86)\AstroGrep\AstroGrep.exe" /spath="%USERPROFILE%\AppData\Local\Temp\OnboardLogs" /stypes="app*4015*20161218*" /stext=" 06:.+((SYSTEM_STATE.+slice.+state.+changed )|(ment ac)|(multiple cpu faults)|(system.+state.+changed )|(\[timeout)|(PRM\|1\|D)|(kpr)|(kdp)|(\|lc)|(penalty))" /e /r /s</v>
      </c>
      <c r="AG147" s="1" t="str">
        <f t="shared" si="94"/>
        <v>EC</v>
      </c>
      <c r="AH147" s="92" t="str">
        <f t="shared" si="83"/>
        <v>"%USERPROFILE%\Documents\GitHub\eaglep3\Utilities\RefineRTDCRunTimes.py" --tripid 230-17 --locoid 4015 --swversion DE.1.0.8.0 --startMP 204:233009 --initTime 2016-12-17T22:02:10 --startdatetime 2016-12-17T23:04:52 --delay 1 --endMP 204:231602 --enddatetime 2016-12-17T23:26:50 --enforcementcount 0 &gt;&gt;C:\Users\stu\Documents\GitHub\eaglep3-reporting\EC\2016-12-17-refined-times.txt</v>
      </c>
      <c r="AI147" s="119" t="str">
        <f t="shared" si="84"/>
        <v>echo {"issue":{"subject":"Onboard in-route failure &amp; DIA SW 1","project_id":79,"tracker_id":40,"status_id":1,"priority_id":2,"assigned_to_id":23,"start_date":"2016-12-17","description":"","custom_fields":[{"id":1,"name":"Subdivision","value":"EC"},{"id":4,"name":"Milepost","value":"23.1602"},{"id":17,"name":"Train ID","value":"230-17"},{"id":16,"name":"Locomotive ID","value":"4015"},{"id":130,"name":"Impact","value":""},{"id":150,"name":"Time of Event (Mountain Time)","value":"23:26:50"},{"id":151,"name":"Denver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583</v>
      </c>
      <c r="B148" s="7">
        <v>4015</v>
      </c>
      <c r="C148" s="22" t="s">
        <v>205</v>
      </c>
      <c r="D148" s="22" t="s">
        <v>901</v>
      </c>
      <c r="E148" s="13">
        <v>42721.960972222223</v>
      </c>
      <c r="F148" s="13">
        <v>42721.961712962962</v>
      </c>
      <c r="G148" s="7">
        <v>0</v>
      </c>
      <c r="H148" s="22" t="s">
        <v>260</v>
      </c>
      <c r="I148" s="13">
        <v>42721.976967592593</v>
      </c>
      <c r="J148" s="7">
        <v>0</v>
      </c>
      <c r="K148" s="109" t="str">
        <f t="shared" si="85"/>
        <v>4015/4016</v>
      </c>
      <c r="L148" s="22" t="str">
        <f>VLOOKUP(A148,'Trips&amp;Operators'!$C$1:$G$99999,5,FALSE)</f>
        <v>LEVIN SCOTT</v>
      </c>
      <c r="M148" s="6">
        <f t="shared" si="86"/>
        <v>1.5254629630362615E-2</v>
      </c>
      <c r="N148" s="7"/>
      <c r="O148" s="7"/>
      <c r="P148" s="7"/>
      <c r="Q148" s="23"/>
      <c r="R148" s="23"/>
      <c r="S148" s="35"/>
      <c r="T148" s="50" t="str">
        <f t="shared" si="87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10</v>
      </c>
      <c r="V14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22:03:48-700',mode:absolute,to:'2016-12-18 00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8" s="52" t="str">
        <f t="shared" si="89"/>
        <v>Y</v>
      </c>
      <c r="X148" s="177">
        <f t="shared" si="82"/>
        <v>0</v>
      </c>
      <c r="Y148" s="67">
        <f t="shared" si="79"/>
        <v>8.6353000000000009</v>
      </c>
      <c r="Z148" s="67">
        <f t="shared" si="80"/>
        <v>1.52E-2</v>
      </c>
      <c r="AA148" s="67">
        <f t="shared" si="90"/>
        <v>8.6201000000000008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91"/>
        <v>0230-17</v>
      </c>
      <c r="AE148" s="91" t="str">
        <f t="shared" si="92"/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AF148" s="88" t="str">
        <f t="shared" si="93"/>
        <v>"C:\Program Files (x86)\AstroGrep\AstroGrep.exe" /spath="%USERPROFILE%\AppData\Local\Temp\OnboardLogs" /stypes="app*4015*20161218*" /stext=" 06:.+((SYSTEM_STATE.+slice.+state.+changed )|(ment ac)|(multiple cpu faults)|(system.+state.+changed )|(\[timeout)|(PRM\|1\|D)|(kpr)|(kdp)|(\|lc)|(penalty))" /e /r /s</v>
      </c>
      <c r="AG148" s="1" t="str">
        <f t="shared" si="94"/>
        <v>EC</v>
      </c>
      <c r="AH148" s="92" t="str">
        <f t="shared" si="83"/>
        <v>"%USERPROFILE%\Documents\GitHub\eaglep3\Utilities\RefineRTDCRunTimes.py" --tripid 230-17 --locoid 4015 --swversion DE.1.0.8.0 --startMP 204:86353 --initTime 2016-12-17T23:03:48 --startdatetime 2016-12-17T23:04:52 --delay 0 --endMP 204:152 --enddatetime 2016-12-17T23:26:50 --enforcementcount 0 &gt;&gt;C:\Users\stu\Documents\GitHub\eaglep3-reporting\EC\2016-12-17-refined-times.txt</v>
      </c>
      <c r="AI148" s="119" t="str">
        <f t="shared" si="84"/>
        <v>echo {"issue":{"subject":"","project_id":79,"tracker_id":40,"status_id":1,"priority_id":2,"assigned_to_id":23,"start_date":"2016-12-17","description":"","custom_fields":[{"id":1,"name":"Subdivision","value":"EC"},{"id":4,"name":"Milepost","value":"0.0152"},{"id":17,"name":"Train ID","value":"230-17"},{"id":16,"name":"Locomotive ID","value":"4015"},{"id":130,"name":"Impact","value":""},{"id":150,"name":"Time of Event (Mountain Time)","value":"23:26:50"},{"id":151,"name":"Denver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733</v>
      </c>
      <c r="B149" s="7">
        <v>4018</v>
      </c>
      <c r="C149" s="22" t="s">
        <v>205</v>
      </c>
      <c r="D149" s="22" t="s">
        <v>293</v>
      </c>
      <c r="E149" s="13">
        <v>42721.887592592589</v>
      </c>
      <c r="F149" s="13">
        <v>42721.896805555552</v>
      </c>
      <c r="G149" s="7">
        <v>1</v>
      </c>
      <c r="H149" s="22" t="s">
        <v>902</v>
      </c>
      <c r="I149" s="13">
        <v>42721.92728009259</v>
      </c>
      <c r="J149" s="7">
        <v>0</v>
      </c>
      <c r="K149" s="109" t="str">
        <f t="shared" si="85"/>
        <v>4017/4018</v>
      </c>
      <c r="L149" s="22" t="str">
        <f>VLOOKUP(A149,'Trips&amp;Operators'!$C$1:$G$99999,5,FALSE)</f>
        <v>STAMBAUGH JAMES</v>
      </c>
      <c r="M149" s="6">
        <f t="shared" si="86"/>
        <v>3.047453703766223E-2</v>
      </c>
      <c r="N149" s="7"/>
      <c r="O149" s="7"/>
      <c r="P149" s="7">
        <f>24*60*SUM($M149:$M149)</f>
        <v>43.883333334233612</v>
      </c>
      <c r="Q149" s="23"/>
      <c r="R149" s="23" t="s">
        <v>994</v>
      </c>
      <c r="S149" s="35">
        <f>SUM(U149:U149)/IF(AG149="EC",12,1)</f>
        <v>1</v>
      </c>
      <c r="T149" s="50" t="str">
        <f t="shared" si="87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20:18:08-700',mode:absolute,to:'2016-12-17 23:15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9" s="52" t="str">
        <f t="shared" si="89"/>
        <v>Y</v>
      </c>
      <c r="X149" s="177">
        <f t="shared" si="82"/>
        <v>1</v>
      </c>
      <c r="Y149" s="67">
        <f t="shared" si="79"/>
        <v>4.8599999999999997E-2</v>
      </c>
      <c r="Z149" s="67">
        <f t="shared" si="80"/>
        <v>21.688500000000001</v>
      </c>
      <c r="AA149" s="67">
        <f t="shared" si="90"/>
        <v>21.639900000000001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91"/>
        <v>0231-17</v>
      </c>
      <c r="AE149" s="91" t="str">
        <f t="shared" si="92"/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AF149" s="88" t="str">
        <f t="shared" si="93"/>
        <v>"C:\Program Files (x86)\AstroGrep\AstroGrep.exe" /spath="%USERPROFILE%\AppData\Local\Temp\OnboardLogs" /stypes="app*4018*20161218*" /stext=" 05:.+((SYSTEM_STATE.+slice.+state.+changed )|(ment ac)|(multiple cpu faults)|(system.+state.+changed )|(\[timeout)|(PRM\|1\|D)|(kpr)|(kdp)|(\|lc)|(penalty))" /e /r /s</v>
      </c>
      <c r="AG149" s="1" t="str">
        <f t="shared" si="94"/>
        <v>EC</v>
      </c>
      <c r="AH149" s="92" t="str">
        <f t="shared" si="83"/>
        <v>"%USERPROFILE%\Documents\GitHub\eaglep3\Utilities\RefineRTDCRunTimes.py" --tripid 231-17 --locoid 4018 --swversion DE.1.0.8.0 --startMP 204:486 --initTime 2016-12-17T21:18:08 --startdatetime 2016-12-17T21:31:24 --delay 1 --endMP 204:216885 --enddatetime 2016-12-17T22:15:17 --enforcementcount 0 &gt;&gt;C:\Users\stu\Documents\GitHub\eaglep3-reporting\EC\2016-12-17-refined-times.txt</v>
      </c>
      <c r="AI149" s="119" t="str">
        <f t="shared" si="84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03:27","project_id":79,"tracker_id":40,"status_id":1,"priority_id":2,"assigned_to_id":23,"start_date":"2016-12-17","description":"","custom_fields":[{"id":1,"name":"Subdivision","value":"EC"},{"id":4,"name":"Milepost","value":"21.6885"},{"id":17,"name":"Train ID","value":"231-17"},{"id":16,"name":"Locomotive ID","value":"4018"},{"id":130,"name":"Impact","value":""},{"id":150,"name":"Time of Event (Mountain Time)","value":"22:15:17"},{"id":151,"name":"Denver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738</v>
      </c>
      <c r="B150" s="7">
        <v>4017</v>
      </c>
      <c r="C150" s="22" t="s">
        <v>205</v>
      </c>
      <c r="D150" s="22" t="s">
        <v>903</v>
      </c>
      <c r="E150" s="13">
        <v>42721.966192129628</v>
      </c>
      <c r="F150" s="13">
        <v>42721.971828703703</v>
      </c>
      <c r="G150" s="7">
        <v>1</v>
      </c>
      <c r="H150" s="22" t="s">
        <v>260</v>
      </c>
      <c r="I150" s="13">
        <v>42722.000590277778</v>
      </c>
      <c r="J150" s="7">
        <v>0</v>
      </c>
      <c r="K150" s="109" t="str">
        <f t="shared" si="85"/>
        <v>4017/4018</v>
      </c>
      <c r="L150" s="22" t="str">
        <f>VLOOKUP(A150,'Trips&amp;Operators'!$C$1:$G$99999,5,FALSE)</f>
        <v>STAMBAUGH JAMES</v>
      </c>
      <c r="M150" s="6">
        <f t="shared" si="86"/>
        <v>2.8761574074451346E-2</v>
      </c>
      <c r="N150" s="7"/>
      <c r="O150" s="7"/>
      <c r="P150" s="7">
        <f>24*60*SUM($M150:$M150)</f>
        <v>41.416666667209938</v>
      </c>
      <c r="Q150" s="23"/>
      <c r="R150" s="23" t="s">
        <v>994</v>
      </c>
      <c r="S150" s="35">
        <f>SUM(U150:U151)/IF(AG150="EC",12,1)</f>
        <v>1</v>
      </c>
      <c r="T150" s="50" t="str">
        <f t="shared" si="87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22:11:19-700',mode:absolute,to:'2016-12-18 01:00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0" s="52" t="str">
        <f t="shared" si="89"/>
        <v>Y</v>
      </c>
      <c r="X150" s="177">
        <f t="shared" si="82"/>
        <v>1</v>
      </c>
      <c r="Y150" s="67">
        <f t="shared" si="79"/>
        <v>19.284400000000002</v>
      </c>
      <c r="Z150" s="67">
        <f t="shared" si="80"/>
        <v>1.52E-2</v>
      </c>
      <c r="AA150" s="67">
        <f t="shared" si="90"/>
        <v>19.269200000000001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91"/>
        <v>0232-17</v>
      </c>
      <c r="AE150" s="91" t="str">
        <f t="shared" si="92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150" s="88" t="str">
        <f t="shared" si="93"/>
        <v>"C:\Program Files (x86)\AstroGrep\AstroGrep.exe" /spath="%USERPROFILE%\AppData\Local\Temp\OnboardLogs" /stypes="app*4017*20161218*" /stext=" 07:.+((SYSTEM_STATE.+slice.+state.+changed )|(ment ac)|(multiple cpu faults)|(system.+state.+changed )|(\[timeout)|(PRM\|1\|D)|(kpr)|(kdp)|(\|lc)|(penalty))" /e /r /s</v>
      </c>
      <c r="AG150" s="1" t="str">
        <f t="shared" si="94"/>
        <v>EC</v>
      </c>
      <c r="AH150" s="92" t="str">
        <f t="shared" si="83"/>
        <v>"%USERPROFILE%\Documents\GitHub\eaglep3\Utilities\RefineRTDCRunTimes.py" --tripid 232-17 --locoid 4017 --swversion DE.1.0.8.0 --startMP 204:192844 --initTime 2016-12-17T23:11:19 --startdatetime 2016-12-17T23:19:26 --delay 1 --endMP 204:152 --enddatetime 2016-12-18T00:00:51 --enforcementcount 0 &gt;&gt;C:\Users\stu\Documents\GitHub\eaglep3-reporting\EC\2016-12-17-refined-times.txt</v>
      </c>
      <c r="AI150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03:27","project_id":79,"tracker_id":40,"status_id":1,"priority_id":2,"assigned_to_id":23,"start_date":"2016-12-18","description":"","custom_fields":[{"id":1,"name":"Subdivision","value":"EC"},{"id":4,"name":"Milepost","value":"0.0152"},{"id":17,"name":"Train ID","value":"232-17"},{"id":16,"name":"Locomotive ID","value":"4017"},{"id":130,"name":"Impact","value":""},{"id":150,"name":"Time of Event (Mountain Time)","value":"00:00:51"},{"id":151,"name":"Denver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738</v>
      </c>
      <c r="B151" s="7">
        <v>4017</v>
      </c>
      <c r="C151" s="22" t="s">
        <v>205</v>
      </c>
      <c r="D151" s="22" t="s">
        <v>904</v>
      </c>
      <c r="E151" s="13">
        <v>42721.953969907408</v>
      </c>
      <c r="F151" s="13">
        <v>42721.971828703703</v>
      </c>
      <c r="G151" s="7">
        <v>0</v>
      </c>
      <c r="H151" s="22" t="s">
        <v>905</v>
      </c>
      <c r="I151" s="13">
        <v>42722.000590277778</v>
      </c>
      <c r="J151" s="7">
        <v>0</v>
      </c>
      <c r="K151" s="109" t="str">
        <f t="shared" si="85"/>
        <v>4017/4018</v>
      </c>
      <c r="L151" s="22" t="str">
        <f>VLOOKUP(A151,'Trips&amp;Operators'!$C$1:$G$99999,5,FALSE)</f>
        <v>STAMBAUGH JAMES</v>
      </c>
      <c r="M151" s="6">
        <f t="shared" si="86"/>
        <v>2.8761574074451346E-2</v>
      </c>
      <c r="N151" s="7"/>
      <c r="O151" s="7"/>
      <c r="P151" s="7"/>
      <c r="Q151" s="23"/>
      <c r="R151" s="23"/>
      <c r="S151" s="35"/>
      <c r="T151" s="50" t="str">
        <f t="shared" si="87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21:53:43-700',mode:absolute,to:'2016-12-18 01:00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1" s="52" t="str">
        <f t="shared" si="89"/>
        <v>Y</v>
      </c>
      <c r="X151" s="177">
        <f t="shared" si="82"/>
        <v>0</v>
      </c>
      <c r="Y151" s="67">
        <f t="shared" si="79"/>
        <v>23.302700000000002</v>
      </c>
      <c r="Z151" s="67">
        <f t="shared" si="80"/>
        <v>23.200900000000001</v>
      </c>
      <c r="AA151" s="67">
        <f t="shared" si="90"/>
        <v>0.10180000000000078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91"/>
        <v>0232-17</v>
      </c>
      <c r="AE151" s="91" t="str">
        <f t="shared" si="92"/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151" s="88" t="str">
        <f t="shared" si="93"/>
        <v>"C:\Program Files (x86)\AstroGrep\AstroGrep.exe" /spath="%USERPROFILE%\AppData\Local\Temp\OnboardLogs" /stypes="app*4017*20161218*" /stext=" 07:.+((SYSTEM_STATE.+slice.+state.+changed )|(ment ac)|(multiple cpu faults)|(system.+state.+changed )|(\[timeout)|(PRM\|1\|D)|(kpr)|(kdp)|(\|lc)|(penalty))" /e /r /s</v>
      </c>
      <c r="AG151" s="1" t="str">
        <f t="shared" si="94"/>
        <v>EC</v>
      </c>
      <c r="AH151" s="92" t="str">
        <f t="shared" si="83"/>
        <v>"%USERPROFILE%\Documents\GitHub\eaglep3\Utilities\RefineRTDCRunTimes.py" --tripid 232-17 --locoid 4017 --swversion DE.1.0.8.0 --startMP 204:233027 --initTime 2016-12-17T22:53:43 --startdatetime 2016-12-17T23:19:26 --delay 0 --endMP 204:232009 --enddatetime 2016-12-18T00:00:51 --enforcementcount 0 &gt;&gt;C:\Users\stu\Documents\GitHub\eaglep3-reporting\EC\2016-12-17-refined-times.txt</v>
      </c>
      <c r="AI151" s="119" t="str">
        <f t="shared" si="84"/>
        <v>echo {"issue":{"subject":"","project_id":79,"tracker_id":40,"status_id":1,"priority_id":2,"assigned_to_id":23,"start_date":"2016-12-18","description":"","custom_fields":[{"id":1,"name":"Subdivision","value":"EC"},{"id":4,"name":"Milepost","value":"23.2009"},{"id":17,"name":"Train ID","value":"232-17"},{"id":16,"name":"Locomotive ID","value":"4017"},{"id":130,"name":"Impact","value":""},{"id":150,"name":"Time of Event (Mountain Time)","value":"00:00:51"},{"id":151,"name":"Denver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735</v>
      </c>
      <c r="B152" s="7">
        <v>4011</v>
      </c>
      <c r="C152" s="22" t="s">
        <v>205</v>
      </c>
      <c r="D152" s="22" t="s">
        <v>906</v>
      </c>
      <c r="E152" s="13">
        <v>42721.950879629629</v>
      </c>
      <c r="F152" s="13">
        <v>42721.954583333332</v>
      </c>
      <c r="G152" s="7">
        <v>1</v>
      </c>
      <c r="H152" s="22" t="s">
        <v>907</v>
      </c>
      <c r="I152" s="13">
        <v>42721.979386574072</v>
      </c>
      <c r="J152" s="7">
        <v>0</v>
      </c>
      <c r="K152" s="109" t="str">
        <f t="shared" si="85"/>
        <v>4011/4012</v>
      </c>
      <c r="L152" s="22" t="str">
        <f>VLOOKUP(A152,'Trips&amp;Operators'!$C$1:$G$99999,5,FALSE)</f>
        <v>NEWELL JAMES</v>
      </c>
      <c r="M152" s="6">
        <f t="shared" si="86"/>
        <v>2.4803240739856847E-2</v>
      </c>
      <c r="N152" s="7"/>
      <c r="O152" s="7"/>
      <c r="P152" s="7">
        <f>24*60*SUM($M152:$M152)</f>
        <v>35.716666665393859</v>
      </c>
      <c r="Q152" s="23"/>
      <c r="R152" s="23" t="s">
        <v>995</v>
      </c>
      <c r="S152" s="35">
        <f>SUM(U152:U153)/IF(AG152="EC",12,1)</f>
        <v>1</v>
      </c>
      <c r="T152" s="50" t="str">
        <f t="shared" si="87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21:49:16-700',mode:absolute,to:'2016-12-18 00:30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52" t="str">
        <f t="shared" si="89"/>
        <v>Y</v>
      </c>
      <c r="X152" s="177">
        <f t="shared" si="82"/>
        <v>1</v>
      </c>
      <c r="Y152" s="67">
        <f t="shared" si="79"/>
        <v>15.443300000000001</v>
      </c>
      <c r="Z152" s="67">
        <f t="shared" si="80"/>
        <v>21.6447</v>
      </c>
      <c r="AA152" s="67">
        <f t="shared" si="90"/>
        <v>6.2013999999999996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91"/>
        <v>0233-17</v>
      </c>
      <c r="AE152" s="91" t="str">
        <f t="shared" si="92"/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AF152" s="88" t="str">
        <f t="shared" si="93"/>
        <v>"C:\Program Files (x86)\AstroGrep\AstroGrep.exe" /spath="%USERPROFILE%\AppData\Local\Temp\OnboardLogs" /stypes="app*4011*20161218*" /stext=" 06:.+((SYSTEM_STATE.+slice.+state.+changed )|(ment ac)|(multiple cpu faults)|(system.+state.+changed )|(\[timeout)|(PRM\|1\|D)|(kpr)|(kdp)|(\|lc)|(penalty))" /e /r /s</v>
      </c>
      <c r="AG152" s="1" t="str">
        <f t="shared" si="94"/>
        <v>EC</v>
      </c>
      <c r="AH152" s="92" t="str">
        <f t="shared" si="83"/>
        <v>"%USERPROFILE%\Documents\GitHub\eaglep3\Utilities\RefineRTDCRunTimes.py" --tripid 233-17 --locoid 4011 --swversion DE.1.0.8.0 --startMP 204:154433 --initTime 2016-12-17T22:49:16 --startdatetime 2016-12-17T22:54:36 --delay 1 --endMP 204:216447 --enddatetime 2016-12-17T23:30:19 --enforcementcount 0 &gt;&gt;C:\Users\stu\Documents\GitHub\eaglep3-reporting\EC\2016-12-17-refined-times.txt</v>
      </c>
      <c r="AI152" s="119" t="str">
        <f t="shared" si="84"/>
        <v>echo {"issue":{"subject":"Poor GPS at DUS &amp; ATC Issue &amp; DIA SW 1","project_id":79,"tracker_id":40,"status_id":1,"priority_id":2,"assigned_to_id":23,"start_date":"2016-12-17","description":"","custom_fields":[{"id":1,"name":"Subdivision","value":"EC"},{"id":4,"name":"Milepost","value":"21.6447"},{"id":17,"name":"Train ID","value":"233-17"},{"id":16,"name":"Locomotive ID","value":"4011"},{"id":130,"name":"Impact","value":""},{"id":150,"name":"Time of Event (Mountain Time)","value":"23:30:19"},{"id":151,"name":"Denver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735</v>
      </c>
      <c r="B153" s="7">
        <v>4011</v>
      </c>
      <c r="C153" s="22" t="s">
        <v>205</v>
      </c>
      <c r="D153" s="22" t="s">
        <v>908</v>
      </c>
      <c r="E153" s="13">
        <v>42721.909328703703</v>
      </c>
      <c r="F153" s="13">
        <v>42721.954583333332</v>
      </c>
      <c r="G153" s="7">
        <v>20</v>
      </c>
      <c r="H153" s="22" t="s">
        <v>909</v>
      </c>
      <c r="I153" s="13">
        <v>42721.979386574072</v>
      </c>
      <c r="J153" s="7">
        <v>0</v>
      </c>
      <c r="K153" s="109" t="str">
        <f t="shared" si="85"/>
        <v>4011/4012</v>
      </c>
      <c r="L153" s="22" t="str">
        <f>VLOOKUP(A153,'Trips&amp;Operators'!$C$1:$G$99999,5,FALSE)</f>
        <v>NEWELL JAMES</v>
      </c>
      <c r="M153" s="6">
        <f t="shared" si="86"/>
        <v>2.4803240739856847E-2</v>
      </c>
      <c r="N153" s="7"/>
      <c r="O153" s="7"/>
      <c r="P153" s="7"/>
      <c r="Q153" s="23"/>
      <c r="R153" s="23"/>
      <c r="S153" s="35"/>
      <c r="T153" s="50" t="str">
        <f t="shared" si="87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20:49:26-700',mode:absolute,to:'2016-12-18 00:30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3" s="52" t="str">
        <f t="shared" si="89"/>
        <v>Y</v>
      </c>
      <c r="X153" s="177">
        <f t="shared" si="82"/>
        <v>0</v>
      </c>
      <c r="Y153" s="67">
        <f t="shared" si="79"/>
        <v>1.9125000000000001</v>
      </c>
      <c r="Z153" s="67">
        <f t="shared" si="80"/>
        <v>15.4427</v>
      </c>
      <c r="AA153" s="67">
        <f t="shared" si="90"/>
        <v>13.530200000000001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91"/>
        <v>0233-17</v>
      </c>
      <c r="AE153" s="91" t="str">
        <f t="shared" si="92"/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AF153" s="88" t="str">
        <f t="shared" si="93"/>
        <v>"C:\Program Files (x86)\AstroGrep\AstroGrep.exe" /spath="%USERPROFILE%\AppData\Local\Temp\OnboardLogs" /stypes="app*4011*20161218*" /stext=" 06:.+((SYSTEM_STATE.+slice.+state.+changed )|(ment ac)|(multiple cpu faults)|(system.+state.+changed )|(\[timeout)|(PRM\|1\|D)|(kpr)|(kdp)|(\|lc)|(penalty))" /e /r /s</v>
      </c>
      <c r="AG153" s="1" t="str">
        <f t="shared" si="94"/>
        <v>EC</v>
      </c>
      <c r="AH153" s="92" t="str">
        <f t="shared" si="83"/>
        <v>"%USERPROFILE%\Documents\GitHub\eaglep3\Utilities\RefineRTDCRunTimes.py" --tripid 233-17 --locoid 4011 --swversion DE.1.0.8.0 --startMP 204:19125 --initTime 2016-12-17T21:49:26 --startdatetime 2016-12-17T22:54:36 --delay 20 --endMP 204:154427 --enddatetime 2016-12-17T23:30:19 --enforcementcount 0 &gt;&gt;C:\Users\stu\Documents\GitHub\eaglep3-reporting\EC\2016-12-17-refined-times.txt</v>
      </c>
      <c r="AI153" s="119" t="str">
        <f t="shared" si="84"/>
        <v>echo {"issue":{"subject":"","project_id":79,"tracker_id":40,"status_id":1,"priority_id":2,"assigned_to_id":23,"start_date":"2016-12-17","description":"","custom_fields":[{"id":1,"name":"Subdivision","value":"EC"},{"id":4,"name":"Milepost","value":"15.4427"},{"id":17,"name":"Train ID","value":"233-17"},{"id":16,"name":"Locomotive ID","value":"4011"},{"id":130,"name":"Impact","value":""},{"id":150,"name":"Time of Event (Mountain Time)","value":"23:30:19"},{"id":151,"name":"Denver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584</v>
      </c>
      <c r="B154" s="7">
        <v>4042</v>
      </c>
      <c r="C154" s="22" t="s">
        <v>205</v>
      </c>
      <c r="D154" s="22" t="s">
        <v>243</v>
      </c>
      <c r="E154" s="13">
        <v>42721.958877314813</v>
      </c>
      <c r="F154" s="13">
        <v>42721.962291666663</v>
      </c>
      <c r="G154" s="7">
        <v>1</v>
      </c>
      <c r="H154" s="22" t="s">
        <v>910</v>
      </c>
      <c r="I154" s="13">
        <v>42721.985011574077</v>
      </c>
      <c r="J154" s="7">
        <v>0</v>
      </c>
      <c r="K154" s="109" t="str">
        <f t="shared" si="85"/>
        <v>4041/4042</v>
      </c>
      <c r="L154" s="22" t="str">
        <f>VLOOKUP(A154,'Trips&amp;Operators'!$C$1:$G$99999,5,FALSE)</f>
        <v>CHANDLER KELVIN</v>
      </c>
      <c r="M154" s="6">
        <f t="shared" si="86"/>
        <v>2.2719907414284535E-2</v>
      </c>
      <c r="N154" s="7"/>
      <c r="O154" s="7"/>
      <c r="P154" s="7">
        <f>24*60*SUM($M154:$M154)</f>
        <v>32.71666667656973</v>
      </c>
      <c r="Q154" s="23"/>
      <c r="R154" s="23" t="s">
        <v>994</v>
      </c>
      <c r="S154" s="35">
        <f>SUM(U154:U154)/IF(AG154="EC",12,1)</f>
        <v>1</v>
      </c>
      <c r="T154" s="50" t="str">
        <f t="shared" si="87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22:00:47-700',mode:absolute,to:'2016-12-18 00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4" s="52" t="str">
        <f t="shared" si="89"/>
        <v>Y</v>
      </c>
      <c r="X154" s="177">
        <f t="shared" si="82"/>
        <v>4</v>
      </c>
      <c r="Y154" s="67">
        <f t="shared" si="79"/>
        <v>4.58E-2</v>
      </c>
      <c r="Z154" s="67">
        <f t="shared" si="80"/>
        <v>21.403300000000002</v>
      </c>
      <c r="AA154" s="67">
        <f t="shared" si="90"/>
        <v>21.357500000000002</v>
      </c>
      <c r="AB154" s="64" t="str">
        <f>VLOOKUP(A154,Enforcements!$C$7:$K$19,8,0)</f>
        <v>Speed (6)</v>
      </c>
      <c r="AC154" s="60" t="str">
        <f>VLOOKUP(A154,Enforcements!$C$7:$E$19,3,0)</f>
        <v>PERMANENT SPEED RESTRICTION</v>
      </c>
      <c r="AD154" s="61" t="str">
        <f t="shared" si="91"/>
        <v>0237-17</v>
      </c>
      <c r="AE154" s="91" t="str">
        <f t="shared" si="92"/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AF154" s="88" t="str">
        <f t="shared" si="93"/>
        <v>"C:\Program Files (x86)\AstroGrep\AstroGrep.exe" /spath="%USERPROFILE%\AppData\Local\Temp\OnboardLogs" /stypes="app*4042*20161218*" /stext=" 06:.+((SYSTEM_STATE.+slice.+state.+changed )|(ment ac)|(multiple cpu faults)|(system.+state.+changed )|(\[timeout)|(PRM\|1\|D)|(kpr)|(kdp)|(\|lc)|(penalty))" /e /r /s</v>
      </c>
      <c r="AG154" s="1" t="str">
        <f t="shared" si="94"/>
        <v>EC</v>
      </c>
      <c r="AH154" s="92" t="str">
        <f t="shared" si="83"/>
        <v>"%USERPROFILE%\Documents\GitHub\eaglep3\Utilities\RefineRTDCRunTimes.py" --tripid 237-17 --locoid 4042 --swversion DE.1.0.8.0 --startMP 204:458 --initTime 2016-12-17T23:00:47 --startdatetime 2016-12-17T23:05:42 --delay 1 --endMP 204:214033 --enddatetime 2016-12-17T23:38:25 --enforcementcount 0 &gt;&gt;C:\Users\stu\Documents\GitHub\eaglep3-reporting\EC\2016-12-17-refined-times.txt</v>
      </c>
      <c r="AI154" s="119" t="str">
        <f t="shared" si="84"/>
        <v>echo {"issue":{"subject":"DIA SW 1 Out of Correspondence from 2016-12-17 18:51 - 2016-12-18 03:27","project_id":79,"tracker_id":40,"status_id":1,"priority_id":2,"assigned_to_id":23,"start_date":"2016-12-17","description":"","custom_fields":[{"id":1,"name":"Subdivision","value":"EC"},{"id":4,"name":"Milepost","value":"21.4033"},{"id":17,"name":"Train ID","value":"237-17"},{"id":16,"name":"Locomotive ID","value":"4042"},{"id":130,"name":"Impact","value":""},{"id":150,"name":"Time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739</v>
      </c>
      <c r="B155" s="7">
        <v>4026</v>
      </c>
      <c r="C155" s="22" t="s">
        <v>205</v>
      </c>
      <c r="D155" s="22" t="s">
        <v>911</v>
      </c>
      <c r="E155" s="13">
        <v>42722.012638888889</v>
      </c>
      <c r="F155" s="13">
        <v>42722.013379629629</v>
      </c>
      <c r="G155" s="7">
        <v>1</v>
      </c>
      <c r="H155" s="22" t="s">
        <v>912</v>
      </c>
      <c r="I155" s="13">
        <v>42722.024884259263</v>
      </c>
      <c r="J155" s="7">
        <v>0</v>
      </c>
      <c r="K155" s="109" t="str">
        <f t="shared" si="85"/>
        <v>4025/4026</v>
      </c>
      <c r="L155" s="22" t="str">
        <f>VLOOKUP(A155,'Trips&amp;Operators'!$C$1:$G$99999,5,FALSE)</f>
        <v>BADERTSCHER DIANE</v>
      </c>
      <c r="M155" s="6">
        <f t="shared" si="86"/>
        <v>1.1504629634146113E-2</v>
      </c>
      <c r="N155" s="7"/>
      <c r="O155" s="7"/>
      <c r="P155" s="7">
        <f>24*60*SUM($M155:$M157)</f>
        <v>53.683333341032267</v>
      </c>
      <c r="Q155" s="23"/>
      <c r="R155" s="23" t="s">
        <v>994</v>
      </c>
      <c r="S155" s="35">
        <f>SUM(U155:U157)/IF(AG155="EC",12,1)</f>
        <v>0.91666666666666663</v>
      </c>
      <c r="T155" s="50" t="str">
        <f t="shared" si="87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23:18:12-700',mode:absolute,to:'2016-12-18 01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5" s="52" t="str">
        <f t="shared" si="89"/>
        <v>Y</v>
      </c>
      <c r="X155" s="177">
        <f t="shared" si="82"/>
        <v>1</v>
      </c>
      <c r="Y155" s="67">
        <f t="shared" si="79"/>
        <v>19.255199999999999</v>
      </c>
      <c r="Z155" s="67">
        <f t="shared" si="80"/>
        <v>10.8315</v>
      </c>
      <c r="AA155" s="67">
        <f t="shared" si="90"/>
        <v>8.4236999999999984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91"/>
        <v>0238-17</v>
      </c>
      <c r="AE155" s="91" t="str">
        <f t="shared" si="92"/>
        <v>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 &amp; aws s3 cp s3://rtdc.mdm.uploadarchive.raw/RTDC4026/ "%USERPROFILE%\AppData\Local\Temp\OnboardLogs"\RTDC4026\2016-12-19 --exclude "*" --recursive --include "*20161219*" &amp; "%USERPROFILE%\Documents\GitHub\mrs-test-scripts\Headless Mode &amp; Sideloading\WalkAndUnGZ.bat" "%USERPROFILE%\AppData\Local\Temp\OnboardLogs"\RTDC4026\2016-12-19</v>
      </c>
      <c r="AF155" s="88" t="str">
        <f t="shared" si="93"/>
        <v>"C:\Program Files (x86)\AstroGrep\AstroGrep.exe" /spath="%USERPROFILE%\AppData\Local\Temp\OnboardLogs" /stypes="app*4026*20161218*" /stext=" 07:.+((SYSTEM_STATE.+slice.+state.+changed )|(ment ac)|(multiple cpu faults)|(system.+state.+changed )|(\[timeout)|(PRM\|1\|D)|(kpr)|(kdp)|(\|lc)|(penalty))" /e /r /s</v>
      </c>
      <c r="AG155" s="1" t="str">
        <f t="shared" si="94"/>
        <v>EC</v>
      </c>
      <c r="AH155" s="92" t="str">
        <f t="shared" si="83"/>
        <v>"%USERPROFILE%\Documents\GitHub\eaglep3\Utilities\RefineRTDCRunTimes.py" --tripid 238-17 --locoid 4026 --swversion DE.1.0.8.0 --startMP 204:192552 --initTime 2016-12-18T00:18:12 --startdatetime 2016-12-18T00:19:16 --delay 1 --endMP 204:108315 --enddatetime 2016-12-18T00:35:50 --enforcementcount 0 &gt;&gt;C:\Users\stu\Documents\GitHub\eaglep3-reporting\EC\2016-12-17-refined-times.txt</v>
      </c>
      <c r="AI155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03:27","project_id":79,"tracker_id":40,"status_id":1,"priority_id":2,"assigned_to_id":23,"start_date":"2016-12-18","description":"","custom_fields":[{"id":1,"name":"Subdivision","value":"EC"},{"id":4,"name":"Milepost","value":"10.8315"},{"id":17,"name":"Train ID","value":"238-17"},{"id":16,"name":"Locomotive ID","value":"4026"},{"id":130,"name":"Impact","value":""},{"id":150,"name":"Time of Event (Mountain Time)","value":"00:35:50"},{"id":151,"name":"Denver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739</v>
      </c>
      <c r="B156" s="7">
        <v>4026</v>
      </c>
      <c r="C156" s="22" t="s">
        <v>205</v>
      </c>
      <c r="D156" s="22" t="s">
        <v>504</v>
      </c>
      <c r="E156" s="13">
        <v>42721.994074074071</v>
      </c>
      <c r="F156" s="13">
        <v>42721.995613425926</v>
      </c>
      <c r="G156" s="7">
        <v>2</v>
      </c>
      <c r="H156" s="22" t="s">
        <v>913</v>
      </c>
      <c r="I156" s="13">
        <v>42721.999907407408</v>
      </c>
      <c r="J156" s="7">
        <v>0</v>
      </c>
      <c r="K156" s="109" t="str">
        <f t="shared" si="85"/>
        <v>4025/4026</v>
      </c>
      <c r="L156" s="22" t="str">
        <f>VLOOKUP(A156,'Trips&amp;Operators'!$C$1:$G$99999,5,FALSE)</f>
        <v>BADERTSCHER DIANE</v>
      </c>
      <c r="M156" s="6">
        <f t="shared" si="86"/>
        <v>4.2939814811688848E-3</v>
      </c>
      <c r="N156" s="7"/>
      <c r="O156" s="7"/>
      <c r="P156" s="7"/>
      <c r="Q156" s="23"/>
      <c r="R156" s="23"/>
      <c r="S156" s="35"/>
      <c r="T156" s="50" t="str">
        <f t="shared" si="87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22:51:28-700',mode:absolute,to:'2016-12-18 00:59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6" s="52" t="str">
        <f t="shared" si="89"/>
        <v>Y</v>
      </c>
      <c r="X156" s="177">
        <f t="shared" si="82"/>
        <v>0</v>
      </c>
      <c r="Y156" s="67">
        <f t="shared" si="79"/>
        <v>23.296399999999998</v>
      </c>
      <c r="Z156" s="67">
        <f t="shared" si="80"/>
        <v>23.260400000000001</v>
      </c>
      <c r="AA156" s="67">
        <f t="shared" si="90"/>
        <v>3.5999999999997812E-2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91"/>
        <v>0238-17</v>
      </c>
      <c r="AE156" s="91" t="str">
        <f t="shared" si="92"/>
        <v>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 &amp; 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</v>
      </c>
      <c r="AF156" s="88" t="str">
        <f t="shared" si="93"/>
        <v>"C:\Program Files (x86)\AstroGrep\AstroGrep.exe" /spath="%USERPROFILE%\AppData\Local\Temp\OnboardLogs" /stypes="app*4026*20161218*" /stext=" 06:.+((SYSTEM_STATE.+slice.+state.+changed )|(ment ac)|(multiple cpu faults)|(system.+state.+changed )|(\[timeout)|(PRM\|1\|D)|(kpr)|(kdp)|(\|lc)|(penalty))" /e /r /s</v>
      </c>
      <c r="AG156" s="1" t="str">
        <f t="shared" si="94"/>
        <v>EC</v>
      </c>
      <c r="AH156" s="92" t="str">
        <f t="shared" si="83"/>
        <v>"%USERPROFILE%\Documents\GitHub\eaglep3\Utilities\RefineRTDCRunTimes.py" --tripid 238-17 --locoid 4026 --swversion DE.1.0.8.0 --startMP 204:232964 --initTime 2016-12-17T23:51:28 --startdatetime 2016-12-17T23:53:41 --delay 2 --endMP 204:232604 --enddatetime 2016-12-17T23:59:52 --enforcementcount 0 &gt;&gt;C:\Users\stu\Documents\GitHub\eaglep3-reporting\EC\2016-12-17-refined-times.txt</v>
      </c>
      <c r="AI156" s="119" t="str">
        <f t="shared" si="84"/>
        <v>echo {"issue":{"subject":"","project_id":79,"tracker_id":40,"status_id":1,"priority_id":2,"assigned_to_id":23,"start_date":"2016-12-17","description":"","custom_fields":[{"id":1,"name":"Subdivision","value":"EC"},{"id":4,"name":"Milepost","value":"23.2604"},{"id":17,"name":"Train ID","value":"238-17"},{"id":16,"name":"Locomotive ID","value":"4026"},{"id":130,"name":"Impact","value":""},{"id":150,"name":"Time of Event (Mountain Time)","value":"23:59:52"},{"id":151,"name":"Denver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739</v>
      </c>
      <c r="B157" s="7">
        <v>4026</v>
      </c>
      <c r="C157" s="22" t="s">
        <v>205</v>
      </c>
      <c r="D157" s="22" t="s">
        <v>901</v>
      </c>
      <c r="E157" s="13">
        <v>42722.029918981483</v>
      </c>
      <c r="F157" s="13">
        <v>42722.030706018515</v>
      </c>
      <c r="G157" s="7">
        <v>1</v>
      </c>
      <c r="H157" s="22" t="s">
        <v>341</v>
      </c>
      <c r="I157" s="13">
        <v>42722.052187499998</v>
      </c>
      <c r="J157" s="7">
        <v>0</v>
      </c>
      <c r="K157" s="109" t="str">
        <f t="shared" si="85"/>
        <v>4025/4026</v>
      </c>
      <c r="L157" s="22" t="str">
        <f>VLOOKUP(A157,'Trips&amp;Operators'!$C$1:$G$99999,5,FALSE)</f>
        <v>BADERTSCHER DIANE</v>
      </c>
      <c r="M157" s="6">
        <f t="shared" si="86"/>
        <v>2.1481481482624076E-2</v>
      </c>
      <c r="N157" s="7"/>
      <c r="O157" s="7"/>
      <c r="P157" s="7"/>
      <c r="Q157" s="23"/>
      <c r="R157" s="23"/>
      <c r="S157" s="35"/>
      <c r="T157" s="50" t="str">
        <f t="shared" si="87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10</v>
      </c>
      <c r="V15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23:43:05-700',mode:absolute,to:'2016-12-18 02:15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7" s="52" t="str">
        <f t="shared" si="89"/>
        <v>Y</v>
      </c>
      <c r="X157" s="177">
        <f t="shared" si="82"/>
        <v>0</v>
      </c>
      <c r="Y157" s="67">
        <f t="shared" si="79"/>
        <v>8.6353000000000009</v>
      </c>
      <c r="Z157" s="67">
        <f t="shared" si="80"/>
        <v>1.2500000000000001E-2</v>
      </c>
      <c r="AA157" s="67">
        <f t="shared" si="90"/>
        <v>8.6228000000000016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91"/>
        <v>0238-17</v>
      </c>
      <c r="AE157" s="91" t="str">
        <f t="shared" si="92"/>
        <v>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 &amp; aws s3 cp s3://rtdc.mdm.uploadarchive.raw/RTDC4026/ "%USERPROFILE%\AppData\Local\Temp\OnboardLogs"\RTDC4026\2016-12-19 --exclude "*" --recursive --include "*20161219*" &amp; "%USERPROFILE%\Documents\GitHub\mrs-test-scripts\Headless Mode &amp; Sideloading\WalkAndUnGZ.bat" "%USERPROFILE%\AppData\Local\Temp\OnboardLogs"\RTDC4026\2016-12-19</v>
      </c>
      <c r="AF157" s="88" t="str">
        <f t="shared" si="93"/>
        <v>"C:\Program Files (x86)\AstroGrep\AstroGrep.exe" /spath="%USERPROFILE%\AppData\Local\Temp\OnboardLogs" /stypes="app*4026*20161218*" /stext=" 08:.+((SYSTEM_STATE.+slice.+state.+changed )|(ment ac)|(multiple cpu faults)|(system.+state.+changed )|(\[timeout)|(PRM\|1\|D)|(kpr)|(kdp)|(\|lc)|(penalty))" /e /r /s</v>
      </c>
      <c r="AG157" s="1" t="str">
        <f t="shared" si="94"/>
        <v>EC</v>
      </c>
      <c r="AH157" s="92" t="str">
        <f t="shared" si="83"/>
        <v>"%USERPROFILE%\Documents\GitHub\eaglep3\Utilities\RefineRTDCRunTimes.py" --tripid 238-17 --locoid 4026 --swversion DE.1.0.8.0 --startMP 204:86353 --initTime 2016-12-18T00:43:05 --startdatetime 2016-12-18T00:44:13 --delay 1 --endMP 204:125 --enddatetime 2016-12-18T01:15:09 --enforcementcount 0 &gt;&gt;C:\Users\stu\Documents\GitHub\eaglep3-reporting\EC\2016-12-17-refined-times.txt</v>
      </c>
      <c r="AI157" s="119" t="str">
        <f t="shared" si="84"/>
        <v>echo {"issue":{"subject":"","project_id":79,"tracker_id":40,"status_id":1,"priority_id":2,"assigned_to_id":23,"start_date":"2016-12-18","description":"","custom_fields":[{"id":1,"name":"Subdivision","value":"EC"},{"id":4,"name":"Milepost","value":"0.0125"},{"id":17,"name":"Train ID","value":"238-17"},{"id":16,"name":"Locomotive ID","value":"4026"},{"id":130,"name":"Impact","value":""},{"id":150,"name":"Time of Event (Mountain Time)","value":"01:15:09"},{"id":151,"name":"Denver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585</v>
      </c>
      <c r="B158" s="7">
        <v>4016</v>
      </c>
      <c r="C158" s="22" t="s">
        <v>205</v>
      </c>
      <c r="D158" s="22" t="s">
        <v>914</v>
      </c>
      <c r="E158" s="13">
        <v>42721.984525462962</v>
      </c>
      <c r="F158" s="13">
        <v>42721.991805555554</v>
      </c>
      <c r="G158" s="7">
        <v>1</v>
      </c>
      <c r="H158" s="22" t="s">
        <v>915</v>
      </c>
      <c r="I158" s="13">
        <v>42722.022465277776</v>
      </c>
      <c r="J158" s="7">
        <v>0</v>
      </c>
      <c r="K158" s="109" t="str">
        <f t="shared" si="85"/>
        <v>4015/4016</v>
      </c>
      <c r="L158" s="22" t="str">
        <f>VLOOKUP(A158,'Trips&amp;Operators'!$C$1:$G$99999,5,FALSE)</f>
        <v>LEVIN SCOTT</v>
      </c>
      <c r="M158" s="6">
        <f t="shared" si="86"/>
        <v>3.0659722222480923E-2</v>
      </c>
      <c r="N158" s="7"/>
      <c r="O158" s="7"/>
      <c r="P158" s="7">
        <f>24*60*SUM($M158:$M158)</f>
        <v>44.150000000372529</v>
      </c>
      <c r="Q158" s="23"/>
      <c r="R158" s="23" t="s">
        <v>1008</v>
      </c>
      <c r="S158" s="35">
        <f>SUM(U158:U158)/IF(AG158="EC",12,1)</f>
        <v>1</v>
      </c>
      <c r="T158" s="50" t="str">
        <f t="shared" si="87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22:37:43-700',mode:absolute,to:'2016-12-18 01:32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8" s="52" t="str">
        <f t="shared" si="89"/>
        <v>Y</v>
      </c>
      <c r="X158" s="177">
        <f t="shared" si="82"/>
        <v>1</v>
      </c>
      <c r="Y158" s="67">
        <f t="shared" si="79"/>
        <v>1.9129</v>
      </c>
      <c r="Z158" s="67">
        <f t="shared" si="80"/>
        <v>21.456099999999999</v>
      </c>
      <c r="AA158" s="67">
        <f t="shared" si="90"/>
        <v>19.543199999999999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91"/>
        <v>0239-17</v>
      </c>
      <c r="AE158" s="91" t="str">
        <f t="shared" si="92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158" s="88" t="str">
        <f t="shared" si="93"/>
        <v>"C:\Program Files (x86)\AstroGrep\AstroGrep.exe" /spath="%USERPROFILE%\AppData\Local\Temp\OnboardLogs" /stypes="app*4016*20161218*" /stext=" 07:.+((SYSTEM_STATE.+slice.+state.+changed )|(ment ac)|(multiple cpu faults)|(system.+state.+changed )|(\[timeout)|(PRM\|1\|D)|(kpr)|(kdp)|(\|lc)|(penalty))" /e /r /s</v>
      </c>
      <c r="AG158" s="1" t="str">
        <f t="shared" si="94"/>
        <v>EC</v>
      </c>
      <c r="AH158" s="92" t="str">
        <f t="shared" si="83"/>
        <v>"%USERPROFILE%\Documents\GitHub\eaglep3\Utilities\RefineRTDCRunTimes.py" --tripid 239-17 --locoid 4016 --swversion DE.1.0.8.0 --startMP 204:19129 --initTime 2016-12-17T23:37:43 --startdatetime 2016-12-17T23:48:12 --delay 1 --endMP 204:214561 --enddatetime 2016-12-18T00:32:21 --enforcementcount 0 &gt;&gt;C:\Users\stu\Documents\GitHub\eaglep3-reporting\EC\2016-12-17-refined-times.txt</v>
      </c>
      <c r="AI158" s="119" t="str">
        <f t="shared" si="84"/>
        <v>echo {"issue":{"subject":"Onboard in-route failure &amp; DIA SW 1","project_id":79,"tracker_id":40,"status_id":1,"priority_id":2,"assigned_to_id":23,"start_date":"2016-12-18","description":"","custom_fields":[{"id":1,"name":"Subdivision","value":"EC"},{"id":4,"name":"Milepost","value":"21.4561"},{"id":17,"name":"Train ID","value":"239-17"},{"id":16,"name":"Locomotive ID","value":"4016"},{"id":130,"name":"Impact","value":""},{"id":150,"name":"Time of Event (Mountain Time)","value":"00:32:21"},{"id":151,"name":"Denver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585</v>
      </c>
      <c r="B159" s="7">
        <v>4016</v>
      </c>
      <c r="C159" s="22" t="s">
        <v>205</v>
      </c>
      <c r="D159" s="22" t="s">
        <v>193</v>
      </c>
      <c r="E159" s="13">
        <v>42721.978437500002</v>
      </c>
      <c r="F159" s="13">
        <v>42721.991805555554</v>
      </c>
      <c r="G159" s="7">
        <v>1</v>
      </c>
      <c r="H159" s="22" t="s">
        <v>916</v>
      </c>
      <c r="I159" s="13">
        <v>42722.022465277776</v>
      </c>
      <c r="J159" s="7">
        <v>0</v>
      </c>
      <c r="K159" s="109" t="str">
        <f t="shared" si="85"/>
        <v>4015/4016</v>
      </c>
      <c r="L159" s="22" t="str">
        <f>VLOOKUP(A159,'Trips&amp;Operators'!$C$1:$G$99999,5,FALSE)</f>
        <v>LEVIN SCOTT</v>
      </c>
      <c r="M159" s="6">
        <f t="shared" si="86"/>
        <v>3.0659722222480923E-2</v>
      </c>
      <c r="N159" s="7"/>
      <c r="O159" s="7"/>
      <c r="P159" s="7"/>
      <c r="Q159" s="23"/>
      <c r="R159" s="23"/>
      <c r="S159" s="35"/>
      <c r="T159" s="50" t="str">
        <f t="shared" si="87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22:28:57-700',mode:absolute,to:'2016-12-18 01:32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9" s="52" t="str">
        <f t="shared" si="89"/>
        <v>Y</v>
      </c>
      <c r="X159" s="177">
        <f t="shared" si="82"/>
        <v>0</v>
      </c>
      <c r="Y159" s="67">
        <f t="shared" si="79"/>
        <v>4.4699999999999997E-2</v>
      </c>
      <c r="Z159" s="67">
        <f t="shared" si="80"/>
        <v>0.1835</v>
      </c>
      <c r="AA159" s="67">
        <f t="shared" si="90"/>
        <v>0.13880000000000001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91"/>
        <v>0239-17</v>
      </c>
      <c r="AE159" s="91" t="str">
        <f t="shared" si="92"/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AF159" s="88" t="str">
        <f t="shared" si="93"/>
        <v>"C:\Program Files (x86)\AstroGrep\AstroGrep.exe" /spath="%USERPROFILE%\AppData\Local\Temp\OnboardLogs" /stypes="app*4016*20161218*" /stext=" 07:.+((SYSTEM_STATE.+slice.+state.+changed )|(ment ac)|(multiple cpu faults)|(system.+state.+changed )|(\[timeout)|(PRM\|1\|D)|(kpr)|(kdp)|(\|lc)|(penalty))" /e /r /s</v>
      </c>
      <c r="AG159" s="1" t="str">
        <f t="shared" si="94"/>
        <v>EC</v>
      </c>
      <c r="AH159" s="92" t="str">
        <f t="shared" si="83"/>
        <v>"%USERPROFILE%\Documents\GitHub\eaglep3\Utilities\RefineRTDCRunTimes.py" --tripid 239-17 --locoid 4016 --swversion DE.1.0.8.0 --startMP 204:447 --initTime 2016-12-17T23:28:57 --startdatetime 2016-12-17T23:48:12 --delay 1 --endMP 204:1835 --enddatetime 2016-12-18T00:32:21 --enforcementcount 0 &gt;&gt;C:\Users\stu\Documents\GitHub\eaglep3-reporting\EC\2016-12-17-refined-times.txt</v>
      </c>
      <c r="AI159" s="119" t="str">
        <f t="shared" si="84"/>
        <v>echo {"issue":{"subject":"","project_id":79,"tracker_id":40,"status_id":1,"priority_id":2,"assigned_to_id":23,"start_date":"2016-12-18","description":"","custom_fields":[{"id":1,"name":"Subdivision","value":"EC"},{"id":4,"name":"Milepost","value":"0.1835"},{"id":17,"name":"Train ID","value":"239-17"},{"id":16,"name":"Locomotive ID","value":"4016"},{"id":130,"name":"Impact","value":""},{"id":150,"name":"Time of Event (Mountain Time)","value":"00:32:21"},{"id":151,"name":"Denver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586</v>
      </c>
      <c r="B160" s="7">
        <v>4041</v>
      </c>
      <c r="C160" s="22" t="s">
        <v>205</v>
      </c>
      <c r="D160" s="22" t="s">
        <v>917</v>
      </c>
      <c r="E160" s="13">
        <v>42722.033495370371</v>
      </c>
      <c r="F160" s="13">
        <v>42722.034259259257</v>
      </c>
      <c r="G160" s="7">
        <v>0</v>
      </c>
      <c r="H160" s="22" t="s">
        <v>918</v>
      </c>
      <c r="I160" s="13">
        <v>42722.057013888887</v>
      </c>
      <c r="J160" s="7">
        <v>0</v>
      </c>
      <c r="K160" s="109" t="str">
        <f t="shared" si="85"/>
        <v>4041/4042</v>
      </c>
      <c r="L160" s="22" t="str">
        <f>VLOOKUP(A160,'Trips&amp;Operators'!$C$1:$G$99999,5,FALSE)</f>
        <v>CHANDLER KELVIN</v>
      </c>
      <c r="M160" s="6">
        <f t="shared" si="86"/>
        <v>2.2754629630071577E-2</v>
      </c>
      <c r="N160" s="7"/>
      <c r="O160" s="7"/>
      <c r="P160" s="7">
        <f>24*60*SUM($M160:$M160)</f>
        <v>32.76666666730307</v>
      </c>
      <c r="Q160" s="23"/>
      <c r="R160" s="23" t="s">
        <v>994</v>
      </c>
      <c r="S160" s="35">
        <f>SUM(U160:U161)/IF(AG160="EC",12,1)</f>
        <v>1</v>
      </c>
      <c r="T160" s="50" t="str">
        <f t="shared" si="87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23:48:14-700',mode:absolute,to:'2016-12-18 02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0" s="52" t="str">
        <f t="shared" si="89"/>
        <v>Y</v>
      </c>
      <c r="X160" s="177">
        <f t="shared" si="82"/>
        <v>1</v>
      </c>
      <c r="Y160" s="67">
        <f t="shared" si="79"/>
        <v>15.3988</v>
      </c>
      <c r="Z160" s="67">
        <f t="shared" si="80"/>
        <v>6.7999999999999996E-3</v>
      </c>
      <c r="AA160" s="67">
        <f t="shared" si="90"/>
        <v>15.391999999999999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91"/>
        <v>0240-17</v>
      </c>
      <c r="AE160" s="91" t="str">
        <f t="shared" si="92"/>
        <v>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 &amp; 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</v>
      </c>
      <c r="AF160" s="88" t="str">
        <f t="shared" si="93"/>
        <v>"C:\Program Files (x86)\AstroGrep\AstroGrep.exe" /spath="%USERPROFILE%\AppData\Local\Temp\OnboardLogs" /stypes="app*4041*20161218*" /stext=" 08:.+((SYSTEM_STATE.+slice.+state.+changed )|(ment ac)|(multiple cpu faults)|(system.+state.+changed )|(\[timeout)|(PRM\|1\|D)|(kpr)|(kdp)|(\|lc)|(penalty))" /e /r /s</v>
      </c>
      <c r="AG160" s="1" t="str">
        <f t="shared" si="94"/>
        <v>EC</v>
      </c>
      <c r="AH160" s="92" t="str">
        <f t="shared" si="83"/>
        <v>"%USERPROFILE%\Documents\GitHub\eaglep3\Utilities\RefineRTDCRunTimes.py" --tripid 240-17 --locoid 4041 --swversion DE.1.0.8.0 --startMP 204:153988 --initTime 2016-12-18T00:48:14 --startdatetime 2016-12-18T00:49:20 --delay 0 --endMP 204:68 --enddatetime 2016-12-18T01:22:06 --enforcementcount 0 &gt;&gt;C:\Users\stu\Documents\GitHub\eaglep3-reporting\EC\2016-12-17-refined-times.txt</v>
      </c>
      <c r="AI160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03:27","project_id":79,"tracker_id":40,"status_id":1,"priority_id":2,"assigned_to_id":23,"start_date":"2016-12-18","description":"","custom_fields":[{"id":1,"name":"Subdivision","value":"EC"},{"id":4,"name":"Milepost","value":"0.0068"},{"id":17,"name":"Train ID","value":"240-17"},{"id":16,"name":"Locomotive ID","value":"4041"},{"id":130,"name":"Impact","value":""},{"id":150,"name":"Time of Event (Mountain Time)","value":"01:22:06"},{"id":151,"name":"Denver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586</v>
      </c>
      <c r="B161" s="7">
        <v>4041</v>
      </c>
      <c r="C161" s="22" t="s">
        <v>205</v>
      </c>
      <c r="D161" s="22" t="s">
        <v>817</v>
      </c>
      <c r="E161" s="13">
        <v>42722.017060185186</v>
      </c>
      <c r="F161" s="13">
        <v>42722.034259259257</v>
      </c>
      <c r="G161" s="7">
        <v>1</v>
      </c>
      <c r="H161" s="22" t="s">
        <v>919</v>
      </c>
      <c r="I161" s="13">
        <v>42722.057013888887</v>
      </c>
      <c r="J161" s="7">
        <v>0</v>
      </c>
      <c r="K161" s="109" t="str">
        <f t="shared" si="85"/>
        <v>4041/4042</v>
      </c>
      <c r="L161" s="22" t="str">
        <f>VLOOKUP(A161,'Trips&amp;Operators'!$C$1:$G$99999,5,FALSE)</f>
        <v>CHANDLER KELVIN</v>
      </c>
      <c r="M161" s="6">
        <f t="shared" si="86"/>
        <v>2.2754629630071577E-2</v>
      </c>
      <c r="N161" s="7"/>
      <c r="O161" s="7"/>
      <c r="P161" s="7"/>
      <c r="Q161" s="23"/>
      <c r="R161" s="23"/>
      <c r="S161" s="35"/>
      <c r="T161" s="50" t="str">
        <f t="shared" si="87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23:24:34-700',mode:absolute,to:'2016-12-18 02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1" s="52" t="str">
        <f t="shared" si="89"/>
        <v>Y</v>
      </c>
      <c r="X161" s="177">
        <f t="shared" si="82"/>
        <v>0</v>
      </c>
      <c r="Y161" s="67">
        <f t="shared" ref="Y161:Y193" si="95">RIGHT(D161,LEN(D161)-4)/10000</f>
        <v>23.28</v>
      </c>
      <c r="Z161" s="67">
        <f t="shared" ref="Z161:Z193" si="96">RIGHT(H161,LEN(H161)-4)/10000</f>
        <v>23.245999999999999</v>
      </c>
      <c r="AA161" s="67">
        <f t="shared" si="90"/>
        <v>3.4000000000002473E-2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91"/>
        <v>0240-17</v>
      </c>
      <c r="AE161" s="91" t="str">
        <f t="shared" si="92"/>
        <v>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 &amp; 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</v>
      </c>
      <c r="AF161" s="88" t="str">
        <f t="shared" si="93"/>
        <v>"C:\Program Files (x86)\AstroGrep\AstroGrep.exe" /spath="%USERPROFILE%\AppData\Local\Temp\OnboardLogs" /stypes="app*4041*20161218*" /stext=" 08:.+((SYSTEM_STATE.+slice.+state.+changed )|(ment ac)|(multiple cpu faults)|(system.+state.+changed )|(\[timeout)|(PRM\|1\|D)|(kpr)|(kdp)|(\|lc)|(penalty))" /e /r /s</v>
      </c>
      <c r="AG161" s="1" t="str">
        <f t="shared" si="94"/>
        <v>EC</v>
      </c>
      <c r="AH161" s="92" t="str">
        <f t="shared" si="83"/>
        <v>"%USERPROFILE%\Documents\GitHub\eaglep3\Utilities\RefineRTDCRunTimes.py" --tripid 240-17 --locoid 4041 --swversion DE.1.0.8.0 --startMP 204:232800 --initTime 2016-12-18T00:24:34 --startdatetime 2016-12-18T00:49:20 --delay 1 --endMP 204:232460 --enddatetime 2016-12-18T01:22:06 --enforcementcount 0 &gt;&gt;C:\Users\stu\Documents\GitHub\eaglep3-reporting\EC\2016-12-17-refined-times.txt</v>
      </c>
      <c r="AI161" s="119" t="str">
        <f t="shared" si="84"/>
        <v>echo {"issue":{"subject":"","project_id":79,"tracker_id":40,"status_id":1,"priority_id":2,"assigned_to_id":23,"start_date":"2016-12-18","description":"","custom_fields":[{"id":1,"name":"Subdivision","value":"EC"},{"id":4,"name":"Milepost","value":"23.246"},{"id":17,"name":"Train ID","value":"240-17"},{"id":16,"name":"Locomotive ID","value":"4041"},{"id":130,"name":"Impact","value":""},{"id":150,"name":"Time of Event (Mountain Time)","value":"01:22:06"},{"id":151,"name":"Denver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740</v>
      </c>
      <c r="B162" s="7">
        <v>4018</v>
      </c>
      <c r="C162" s="22" t="s">
        <v>205</v>
      </c>
      <c r="D162" s="22" t="s">
        <v>519</v>
      </c>
      <c r="E162" s="13">
        <v>42722.004432870373</v>
      </c>
      <c r="F162" s="13">
        <v>42722.077291666668</v>
      </c>
      <c r="G162" s="7">
        <v>2</v>
      </c>
      <c r="H162" s="22" t="s">
        <v>920</v>
      </c>
      <c r="I162" s="13">
        <v>42722.097858796296</v>
      </c>
      <c r="J162" s="7">
        <v>0</v>
      </c>
      <c r="K162" s="109" t="str">
        <f t="shared" si="85"/>
        <v>4017/4018</v>
      </c>
      <c r="L162" s="22" t="str">
        <f>VLOOKUP(A162,'Trips&amp;Operators'!$C$1:$G$99999,5,FALSE)</f>
        <v>STAMBAUGH JAMES</v>
      </c>
      <c r="M162" s="6">
        <f t="shared" si="86"/>
        <v>2.0567129628034309E-2</v>
      </c>
      <c r="N162" s="7"/>
      <c r="O162" s="7"/>
      <c r="P162" s="7">
        <f>24*60*SUM($M162:$M162)</f>
        <v>29.616666664369404</v>
      </c>
      <c r="Q162" s="23"/>
      <c r="R162" s="23" t="s">
        <v>994</v>
      </c>
      <c r="S162" s="35">
        <f t="shared" ref="S162:S194" si="97">SUM(U162:U162)/IF(AG162="EC",12,1)</f>
        <v>1</v>
      </c>
      <c r="T162" s="50" t="str">
        <f t="shared" si="87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23:06:23-700',mode:absolute,to:'2016-12-18 03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2" s="52" t="str">
        <f t="shared" si="89"/>
        <v>Y</v>
      </c>
      <c r="X162" s="177">
        <f t="shared" si="82"/>
        <v>1</v>
      </c>
      <c r="Y162" s="67">
        <f t="shared" si="95"/>
        <v>7.1900000000000006E-2</v>
      </c>
      <c r="Z162" s="67">
        <f t="shared" si="96"/>
        <v>21.616900000000001</v>
      </c>
      <c r="AA162" s="67">
        <f t="shared" si="90"/>
        <v>21.545000000000002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91"/>
        <v>0241-17</v>
      </c>
      <c r="AE162" s="91" t="str">
        <f t="shared" si="92"/>
        <v>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 &amp; aws s3 cp s3://rtdc.mdm.uploadarchive.raw/RTDC4018/ "%USERPROFILE%\AppData\Local\Temp\OnboardLogs"\RTDC4018\2016-12-19 --exclude "*" --recursive --include "*20161219*" &amp; "%USERPROFILE%\Documents\GitHub\mrs-test-scripts\Headless Mode &amp; Sideloading\WalkAndUnGZ.bat" "%USERPROFILE%\AppData\Local\Temp\OnboardLogs"\RTDC4018\2016-12-19</v>
      </c>
      <c r="AF162" s="88" t="str">
        <f t="shared" si="93"/>
        <v>"C:\Program Files (x86)\AstroGrep\AstroGrep.exe" /spath="%USERPROFILE%\AppData\Local\Temp\OnboardLogs" /stypes="app*4018*20161218*" /stext=" 09:.+((SYSTEM_STATE.+slice.+state.+changed )|(ment ac)|(multiple cpu faults)|(system.+state.+changed )|(\[timeout)|(PRM\|1\|D)|(kpr)|(kdp)|(\|lc)|(penalty))" /e /r /s</v>
      </c>
      <c r="AG162" s="1" t="str">
        <f t="shared" si="94"/>
        <v>EC</v>
      </c>
      <c r="AH162" s="92" t="str">
        <f t="shared" si="83"/>
        <v>"%USERPROFILE%\Documents\GitHub\eaglep3\Utilities\RefineRTDCRunTimes.py" --tripid 241-17 --locoid 4018 --swversion DE.1.0.8.0 --startMP 204:719 --initTime 2016-12-18T00:06:23 --startdatetime 2016-12-18T01:51:18 --delay 2 --endMP 204:216169 --enddatetime 2016-12-18T02:20:55 --enforcementcount 0 &gt;&gt;C:\Users\stu\Documents\GitHub\eaglep3-reporting\EC\2016-12-17-refined-times.txt</v>
      </c>
      <c r="AI162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03:27","project_id":79,"tracker_id":40,"status_id":1,"priority_id":2,"assigned_to_id":23,"start_date":"2016-12-18","description":"","custom_fields":[{"id":1,"name":"Subdivision","value":"EC"},{"id":4,"name":"Milepost","value":"21.6169"},{"id":17,"name":"Train ID","value":"241-17"},{"id":16,"name":"Locomotive ID","value":"4018"},{"id":130,"name":"Impact","value":""},{"id":150,"name":"Time of Event (Mountain Time)","value":"02:20:55"},{"id":151,"name":"Denver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744</v>
      </c>
      <c r="B163" s="7">
        <v>4015</v>
      </c>
      <c r="C163" s="22" t="s">
        <v>205</v>
      </c>
      <c r="D163" s="22" t="s">
        <v>921</v>
      </c>
      <c r="E163" s="13">
        <v>42722.053935185184</v>
      </c>
      <c r="F163" s="13">
        <v>42722.054930555554</v>
      </c>
      <c r="G163" s="7">
        <v>1</v>
      </c>
      <c r="H163" s="22" t="s">
        <v>858</v>
      </c>
      <c r="I163" s="13">
        <v>42722.081435185188</v>
      </c>
      <c r="J163" s="7">
        <v>0</v>
      </c>
      <c r="K163" s="109" t="str">
        <f t="shared" si="85"/>
        <v>4015/4016</v>
      </c>
      <c r="L163" s="22" t="str">
        <f>VLOOKUP(A163,'Trips&amp;Operators'!$C$1:$G$99999,5,FALSE)</f>
        <v>LEVIN SCOTT</v>
      </c>
      <c r="M163" s="6">
        <f t="shared" si="86"/>
        <v>2.6504629633564036E-2</v>
      </c>
      <c r="N163" s="7"/>
      <c r="O163" s="7"/>
      <c r="P163" s="7">
        <f>24*60*SUM($M163:$M163)</f>
        <v>38.166666672332212</v>
      </c>
      <c r="Q163" s="23"/>
      <c r="R163" s="23" t="s">
        <v>994</v>
      </c>
      <c r="S163" s="35">
        <f t="shared" si="97"/>
        <v>1</v>
      </c>
      <c r="T163" s="50" t="str">
        <f t="shared" si="87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https://search-rtdc-monitor-bjffxe2xuh6vdkpspy63sjmuny.us-east-1.es.amazonaws.com/_plugin/kibana/#/discover/Steve-Slow-Train-Analysis-(2080s-and-2083s)?_g=(refreshInterval:(display:Off,section:0,value:0),time:(from:'2016-12-18 00:17:40-700',mode:absolute,to:'2016-12-18 02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3" s="52" t="str">
        <f t="shared" si="89"/>
        <v>Y</v>
      </c>
      <c r="X163" s="177">
        <f t="shared" si="82"/>
        <v>1</v>
      </c>
      <c r="Y163" s="67">
        <f t="shared" si="95"/>
        <v>15.389200000000001</v>
      </c>
      <c r="Z163" s="67">
        <f t="shared" si="96"/>
        <v>1.6899999999999998E-2</v>
      </c>
      <c r="AA163" s="67">
        <f t="shared" si="90"/>
        <v>15.372300000000001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91"/>
        <v>0242-17</v>
      </c>
      <c r="AE163" s="91" t="str">
        <f t="shared" si="92"/>
        <v>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 &amp; aws s3 cp s3://rtdc.mdm.uploadarchive.raw/RTDC4015/ "%USERPROFILE%\AppData\Local\Temp\OnboardLogs"\RTDC4015\2016-12-19 --exclude "*" --recursive --include "*20161219*" &amp; "%USERPROFILE%\Documents\GitHub\mrs-test-scripts\Headless Mode &amp; Sideloading\WalkAndUnGZ.bat" "%USERPROFILE%\AppData\Local\Temp\OnboardLogs"\RTDC4015\2016-12-19</v>
      </c>
      <c r="AF163" s="88" t="str">
        <f t="shared" si="93"/>
        <v>"C:\Program Files (x86)\AstroGrep\AstroGrep.exe" /spath="%USERPROFILE%\AppData\Local\Temp\OnboardLogs" /stypes="app*4015*20161218*" /stext=" 08:.+((SYSTEM_STATE.+slice.+state.+changed )|(ment ac)|(multiple cpu faults)|(system.+state.+changed )|(\[timeout)|(PRM\|1\|D)|(kpr)|(kdp)|(\|lc)|(penalty))" /e /r /s</v>
      </c>
      <c r="AG163" s="1" t="str">
        <f t="shared" si="94"/>
        <v>EC</v>
      </c>
      <c r="AH163" s="92" t="str">
        <f t="shared" si="83"/>
        <v>"%USERPROFILE%\Documents\GitHub\eaglep3\Utilities\RefineRTDCRunTimes.py" --tripid 242-17 --locoid 4015 --swversion DE.1.0.8.0 --startMP 204:153892 --initTime 2016-12-18T01:17:40 --startdatetime 2016-12-18T01:19:06 --delay 1 --endMP 204:169 --enddatetime 2016-12-18T01:57:16 --enforcementcount 0 &gt;&gt;C:\Users\stu\Documents\GitHub\eaglep3-reporting\EC\2016-12-17-refined-times.txt</v>
      </c>
      <c r="AI163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03:27","project_id":79,"tracker_id":40,"status_id":1,"priority_id":2,"assigned_to_id":23,"start_date":"2016-12-18","description":"","custom_fields":[{"id":1,"name":"Subdivision","value":"EC"},{"id":4,"name":"Milepost","value":"0.0169"},{"id":17,"name":"Train ID","value":"242-17"},{"id":16,"name":"Locomotive ID","value":"4015"},{"id":130,"name":"Impact","value":""},{"id":150,"name":"Time of Event (Mountain Time)","value":"01:57:16"},{"id":151,"name":"Denver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741</v>
      </c>
      <c r="B164" s="7">
        <v>4031</v>
      </c>
      <c r="C164" s="22" t="s">
        <v>205</v>
      </c>
      <c r="D164" s="22" t="s">
        <v>836</v>
      </c>
      <c r="E164" s="13">
        <v>42722.020254629628</v>
      </c>
      <c r="F164" s="13">
        <v>42722.023368055554</v>
      </c>
      <c r="G164" s="7">
        <v>3</v>
      </c>
      <c r="H164" s="22" t="s">
        <v>922</v>
      </c>
      <c r="I164" s="13">
        <v>42722.058877314812</v>
      </c>
      <c r="J164" s="7">
        <v>0</v>
      </c>
      <c r="K164" s="109" t="str">
        <f t="shared" si="85"/>
        <v>4031/4032</v>
      </c>
      <c r="L164" s="22" t="str">
        <f>VLOOKUP(A164,'Trips&amp;Operators'!$C$1:$G$99999,5,FALSE)</f>
        <v>MCREYNOLDS KYLE</v>
      </c>
      <c r="M164" s="6">
        <f t="shared" si="86"/>
        <v>3.5509259258105885E-2</v>
      </c>
      <c r="N164" s="7"/>
      <c r="O164" s="7"/>
      <c r="P164" s="7">
        <f>24*60*SUM($M164:$M164)</f>
        <v>51.133333331672475</v>
      </c>
      <c r="Q164" s="23"/>
      <c r="R164" s="23" t="s">
        <v>994</v>
      </c>
      <c r="S164" s="35">
        <f t="shared" si="97"/>
        <v>1</v>
      </c>
      <c r="T164" s="50" t="str">
        <f t="shared" si="87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23:29:10-700',mode:absolute,to:'2016-12-18 02:24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4" s="52" t="str">
        <f t="shared" si="89"/>
        <v>Y</v>
      </c>
      <c r="X164" s="177">
        <f t="shared" si="82"/>
        <v>1</v>
      </c>
      <c r="Y164" s="67">
        <f t="shared" si="95"/>
        <v>0.11990000000000001</v>
      </c>
      <c r="Z164" s="67">
        <f t="shared" si="96"/>
        <v>21.3996</v>
      </c>
      <c r="AA164" s="67">
        <f t="shared" si="90"/>
        <v>21.279699999999998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91"/>
        <v>0243-17</v>
      </c>
      <c r="AE164" s="91" t="str">
        <f t="shared" si="92"/>
        <v>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 &amp; aws s3 cp s3://rtdc.mdm.uploadarchive.raw/RTDC4031/ "%USERPROFILE%\AppData\Local\Temp\OnboardLogs"\RTDC4031\2016-12-19 --exclude "*" --recursive --include "*20161219*" &amp; "%USERPROFILE%\Documents\GitHub\mrs-test-scripts\Headless Mode &amp; Sideloading\WalkAndUnGZ.bat" "%USERPROFILE%\AppData\Local\Temp\OnboardLogs"\RTDC4031\2016-12-19</v>
      </c>
      <c r="AF164" s="88" t="str">
        <f t="shared" si="93"/>
        <v>"C:\Program Files (x86)\AstroGrep\AstroGrep.exe" /spath="%USERPROFILE%\AppData\Local\Temp\OnboardLogs" /stypes="app*4031*20161218*" /stext=" 08:.+((SYSTEM_STATE.+slice.+state.+changed )|(ment ac)|(multiple cpu faults)|(system.+state.+changed )|(\[timeout)|(PRM\|1\|D)|(kpr)|(kdp)|(\|lc)|(penalty))" /e /r /s</v>
      </c>
      <c r="AG164" s="1" t="str">
        <f t="shared" si="94"/>
        <v>EC</v>
      </c>
      <c r="AH164" s="92" t="str">
        <f t="shared" si="83"/>
        <v>"%USERPROFILE%\Documents\GitHub\eaglep3\Utilities\RefineRTDCRunTimes.py" --tripid 243-17 --locoid 4031 --swversion DE.1.0.8.0 --startMP 204:1199 --initTime 2016-12-18T00:29:10 --startdatetime 2016-12-18T00:33:39 --delay 3 --endMP 204:213996 --enddatetime 2016-12-18T01:24:47 --enforcementcount 0 &gt;&gt;C:\Users\stu\Documents\GitHub\eaglep3-reporting\EC\2016-12-17-refined-times.txt</v>
      </c>
      <c r="AI164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03:27","project_id":79,"tracker_id":40,"status_id":1,"priority_id":2,"assigned_to_id":23,"start_date":"2016-12-18","description":"","custom_fields":[{"id":1,"name":"Subdivision","value":"EC"},{"id":4,"name":"Milepost","value":"21.3996"},{"id":17,"name":"Train ID","value":"243-17"},{"id":16,"name":"Locomotive ID","value":"4031"},{"id":130,"name":"Impact","value":""},{"id":150,"name":"Time of Event (Mountain Time)","value":"01:24:47"},{"id":151,"name":"Denver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747</v>
      </c>
      <c r="B165" s="7">
        <v>4017</v>
      </c>
      <c r="C165" s="22" t="s">
        <v>205</v>
      </c>
      <c r="D165" s="22" t="s">
        <v>923</v>
      </c>
      <c r="E165" s="13">
        <v>42722.076215277775</v>
      </c>
      <c r="F165" s="13">
        <v>42722.077291666668</v>
      </c>
      <c r="G165" s="7">
        <v>1</v>
      </c>
      <c r="H165" s="22" t="s">
        <v>506</v>
      </c>
      <c r="I165" s="13">
        <v>42722.097858796296</v>
      </c>
      <c r="J165" s="7">
        <v>0</v>
      </c>
      <c r="K165" s="109" t="str">
        <f t="shared" si="85"/>
        <v>4017/4018</v>
      </c>
      <c r="L165" s="22" t="str">
        <f>VLOOKUP(A165,'Trips&amp;Operators'!$C$1:$G$99999,5,FALSE)</f>
        <v>STAMBAUGH JAMES</v>
      </c>
      <c r="M165" s="6">
        <f t="shared" si="86"/>
        <v>2.0567129628034309E-2</v>
      </c>
      <c r="N165" s="7"/>
      <c r="O165" s="7"/>
      <c r="P165" s="7">
        <f>24*60*SUM($M165:$M165)</f>
        <v>29.616666664369404</v>
      </c>
      <c r="Q165" s="23"/>
      <c r="R165" s="23" t="s">
        <v>994</v>
      </c>
      <c r="S165" s="35">
        <f t="shared" si="97"/>
        <v>1</v>
      </c>
      <c r="T165" s="50" t="str">
        <f t="shared" si="87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https://search-rtdc-monitor-bjffxe2xuh6vdkpspy63sjmuny.us-east-1.es.amazonaws.com/_plugin/kibana/#/discover/Steve-Slow-Train-Analysis-(2080s-and-2083s)?_g=(refreshInterval:(display:Off,section:0,value:0),time:(from:'2016-12-18 00:49:45-700',mode:absolute,to:'2016-12-18 03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5" s="52" t="str">
        <f t="shared" si="89"/>
        <v>Y</v>
      </c>
      <c r="X165" s="177">
        <f t="shared" si="82"/>
        <v>1</v>
      </c>
      <c r="Y165" s="67">
        <f t="shared" si="95"/>
        <v>15.398999999999999</v>
      </c>
      <c r="Z165" s="67">
        <f t="shared" si="96"/>
        <v>1.83E-2</v>
      </c>
      <c r="AA165" s="67">
        <f t="shared" si="90"/>
        <v>15.380699999999999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91"/>
        <v>0244-17</v>
      </c>
      <c r="AE165" s="91" t="str">
        <f t="shared" si="92"/>
        <v>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 &amp; aws s3 cp s3://rtdc.mdm.uploadarchive.raw/RTDC4017/ "%USERPROFILE%\AppData\Local\Temp\OnboardLogs"\RTDC4017\2016-12-19 --exclude "*" --recursive --include "*20161219*" &amp; "%USERPROFILE%\Documents\GitHub\mrs-test-scripts\Headless Mode &amp; Sideloading\WalkAndUnGZ.bat" "%USERPROFILE%\AppData\Local\Temp\OnboardLogs"\RTDC4017\2016-12-19</v>
      </c>
      <c r="AF165" s="88" t="str">
        <f t="shared" si="93"/>
        <v>"C:\Program Files (x86)\AstroGrep\AstroGrep.exe" /spath="%USERPROFILE%\AppData\Local\Temp\OnboardLogs" /stypes="app*4017*20161218*" /stext=" 09:.+((SYSTEM_STATE.+slice.+state.+changed )|(ment ac)|(multiple cpu faults)|(system.+state.+changed )|(\[timeout)|(PRM\|1\|D)|(kpr)|(kdp)|(\|lc)|(penalty))" /e /r /s</v>
      </c>
      <c r="AG165" s="1" t="str">
        <f t="shared" si="94"/>
        <v>EC</v>
      </c>
      <c r="AH165" s="92" t="str">
        <f t="shared" si="83"/>
        <v>"%USERPROFILE%\Documents\GitHub\eaglep3\Utilities\RefineRTDCRunTimes.py" --tripid 244-17 --locoid 4017 --swversion DE.1.0.8.0 --startMP 204:153990 --initTime 2016-12-18T01:49:45 --startdatetime 2016-12-18T01:51:18 --delay 1 --endMP 204:183 --enddatetime 2016-12-18T02:20:55 --enforcementcount 0 &gt;&gt;C:\Users\stu\Documents\GitHub\eaglep3-reporting\EC\2016-12-17-refined-times.txt</v>
      </c>
      <c r="AI165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03:27","project_id":79,"tracker_id":40,"status_id":1,"priority_id":2,"assigned_to_id":23,"start_date":"2016-12-18","description":"","custom_fields":[{"id":1,"name":"Subdivision","value":"EC"},{"id":4,"name":"Milepost","value":"0.0183"},{"id":17,"name":"Train ID","value":"244-17"},{"id":16,"name":"Locomotive ID","value":"4017"},{"id":130,"name":"Impact","value":""},{"id":150,"name":"Time of Event (Mountain Time)","value":"02:20:55"},{"id":151,"name":"Denver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745</v>
      </c>
      <c r="B166" s="7">
        <v>4025</v>
      </c>
      <c r="C166" s="22" t="s">
        <v>205</v>
      </c>
      <c r="D166" s="22" t="s">
        <v>194</v>
      </c>
      <c r="E166" s="13">
        <v>42722.054050925923</v>
      </c>
      <c r="F166" s="13">
        <v>42722.05709490741</v>
      </c>
      <c r="G166" s="7">
        <v>2</v>
      </c>
      <c r="H166" s="22" t="s">
        <v>924</v>
      </c>
      <c r="I166" s="13">
        <v>42722.084340277775</v>
      </c>
      <c r="J166" s="7">
        <v>0</v>
      </c>
      <c r="K166" s="109" t="str">
        <f t="shared" si="85"/>
        <v>4025/4026</v>
      </c>
      <c r="L166" s="22" t="str">
        <f>VLOOKUP(A166,'Trips&amp;Operators'!$C$1:$G$99999,5,FALSE)</f>
        <v>BADERTSCHER DIANE</v>
      </c>
      <c r="M166" s="6">
        <f t="shared" si="86"/>
        <v>2.7245370365562849E-2</v>
      </c>
      <c r="N166" s="7"/>
      <c r="O166" s="7"/>
      <c r="P166" s="7">
        <f>24*60*SUM($M166:$M166)</f>
        <v>39.233333326410502</v>
      </c>
      <c r="Q166" s="23"/>
      <c r="R166" s="23" t="s">
        <v>994</v>
      </c>
      <c r="S166" s="35">
        <f t="shared" si="97"/>
        <v>1</v>
      </c>
      <c r="T166" s="50" t="str">
        <f t="shared" si="87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https://search-rtdc-monitor-bjffxe2xuh6vdkpspy63sjmuny.us-east-1.es.amazonaws.com/_plugin/kibana/#/discover/Steve-Slow-Train-Analysis-(2080s-and-2083s)?_g=(refreshInterval:(display:Off,section:0,value:0),time:(from:'2016-12-18 00:17:50-700',mode:absolute,to:'2016-12-18 03:01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6" s="52" t="str">
        <f t="shared" si="89"/>
        <v>Y</v>
      </c>
      <c r="X166" s="177">
        <f t="shared" ref="X166:X170" si="98">VALUE(LEFT(AD166,4))-VALUE(LEFT(AD165,4))</f>
        <v>1</v>
      </c>
      <c r="Y166" s="67">
        <f t="shared" si="95"/>
        <v>4.5100000000000001E-2</v>
      </c>
      <c r="Z166" s="67">
        <f t="shared" si="96"/>
        <v>21.267499999999998</v>
      </c>
      <c r="AA166" s="67">
        <f t="shared" si="90"/>
        <v>21.222399999999997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91"/>
        <v>0245-17</v>
      </c>
      <c r="AE166" s="91" t="str">
        <f t="shared" si="92"/>
        <v>aws s3 cp s3://rtdc.mdm.uploadarchive.raw/RTDC4025/ "%USERPROFILE%\AppData\Local\Temp\OnboardLogs"\RTDC4025\2016-12-18 --exclude "*" --recursive --include "*20161218*" &amp; "%USERPROFILE%\Documents\GitHub\mrs-test-scripts\Headless Mode &amp; Sideloading\WalkAndUnGZ.bat" "%USERPROFILE%\AppData\Local\Temp\OnboardLogs"\RTDC4025\2016-12-18 &amp; aws s3 cp s3://rtdc.mdm.uploadarchive.raw/RTDC4025/ "%USERPROFILE%\AppData\Local\Temp\OnboardLogs"\RTDC4025\2016-12-19 --exclude "*" --recursive --include "*20161219*" &amp; "%USERPROFILE%\Documents\GitHub\mrs-test-scripts\Headless Mode &amp; Sideloading\WalkAndUnGZ.bat" "%USERPROFILE%\AppData\Local\Temp\OnboardLogs"\RTDC4025\2016-12-19</v>
      </c>
      <c r="AF166" s="88" t="str">
        <f t="shared" si="93"/>
        <v>"C:\Program Files (x86)\AstroGrep\AstroGrep.exe" /spath="%USERPROFILE%\AppData\Local\Temp\OnboardLogs" /stypes="app*4025*20161218*" /stext=" 09:.+((SYSTEM_STATE.+slice.+state.+changed )|(ment ac)|(multiple cpu faults)|(system.+state.+changed )|(\[timeout)|(PRM\|1\|D)|(kpr)|(kdp)|(\|lc)|(penalty))" /e /r /s</v>
      </c>
      <c r="AG166" s="1" t="str">
        <f t="shared" si="94"/>
        <v>EC</v>
      </c>
      <c r="AH166" s="92" t="str">
        <f t="shared" si="83"/>
        <v>"%USERPROFILE%\Documents\GitHub\eaglep3\Utilities\RefineRTDCRunTimes.py" --tripid 245-17 --locoid 4025 --swversion DE.1.0.8.0 --startMP 204:451 --initTime 2016-12-18T01:17:50 --startdatetime 2016-12-18T01:22:13 --delay 2 --endMP 204:212675 --enddatetime 2016-12-18T02:01:27 --enforcementcount 0 &gt;&gt;C:\Users\stu\Documents\GitHub\eaglep3-reporting\EC\2016-12-17-refined-times.txt</v>
      </c>
      <c r="AI166" s="119" t="str">
        <f t="shared" si="84"/>
        <v>echo {"issue":{"subject":"DIA SW 1 Out of Correspondence from 2016-12-17 18:51 - 2016-12-18 03:27","project_id":79,"tracker_id":40,"status_id":1,"priority_id":2,"assigned_to_id":23,"start_date":"2016-12-18","description":"","custom_fields":[{"id":1,"name":"Subdivision","value":"EC"},{"id":4,"name":"Milepost","value":"21.2675"},{"id":17,"name":"Train ID","value":"245-17"},{"id":16,"name":"Locomotive ID","value":"4025"},{"id":130,"name":"Impact","value":""},{"id":150,"name":"Time of Event (Mountain Time)","value":"02:01:27"},{"id":151,"name":"Denver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996</v>
      </c>
      <c r="B167" s="7">
        <v>4026</v>
      </c>
      <c r="C167" s="22" t="s">
        <v>205</v>
      </c>
      <c r="D167" s="22" t="s">
        <v>194</v>
      </c>
      <c r="E167" s="13">
        <v>42722.054050925923</v>
      </c>
      <c r="F167" s="13"/>
      <c r="G167" s="7">
        <v>2</v>
      </c>
      <c r="H167" s="22" t="s">
        <v>924</v>
      </c>
      <c r="I167" s="13"/>
      <c r="J167" s="7">
        <v>0</v>
      </c>
      <c r="K167" s="109" t="str">
        <f t="shared" ref="K167" si="99">IF(ISEVEN(B167),(B167-1)&amp;"/"&amp;B167,B167&amp;"/"&amp;(B167+1))</f>
        <v>4025/4026</v>
      </c>
      <c r="L167" s="22" t="e">
        <f>VLOOKUP(A167,'Trips&amp;Operators'!$C$1:$G$99999,5,FALSE)</f>
        <v>#N/A</v>
      </c>
      <c r="M167" s="6">
        <f t="shared" ref="M167" si="100">I167-F167</f>
        <v>0</v>
      </c>
      <c r="N167" s="7"/>
      <c r="O167" s="7"/>
      <c r="P167" s="7">
        <v>1</v>
      </c>
      <c r="Q167" s="23"/>
      <c r="R167" s="23" t="s">
        <v>997</v>
      </c>
      <c r="S167" s="35">
        <f t="shared" ref="S167" si="101">SUM(U167:U167)/IF(AG167="EC",12,1)</f>
        <v>0</v>
      </c>
      <c r="T167" s="50" t="str">
        <f t="shared" ref="T167" si="102">IF(ISEVEN(LEFT(AD167,4)),"Southbound","NorthBound")</f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98" t="str">
        <f t="shared" ref="V167" si="103"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https://search-rtdc-monitor-bjffxe2xuh6vdkpspy63sjmuny.us-east-1.es.amazonaws.com/_plugin/kibana/#/discover/Steve-Slow-Train-Analysis-(2080s-and-2083s)?_g=(refreshInterval:(display:Off,section:0,value:0),time:(from:'2016-12-18 00:17:50-700',mode:absolute,to:'1900-01-00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7" s="52" t="str">
        <f t="shared" ref="W167" si="104">IF(AA167&lt;IF(AG167="EC",23,5.65),"Y","N")</f>
        <v>Y</v>
      </c>
      <c r="X167" s="177">
        <f t="shared" ref="X167:X169" si="105">VALUE(LEFT(AD167,4))-VALUE(LEFT(AD166,4))</f>
        <v>1</v>
      </c>
      <c r="Y167" s="67">
        <f t="shared" ref="Y167" si="106">RIGHT(D167,LEN(D167)-4)/10000</f>
        <v>4.5100000000000001E-2</v>
      </c>
      <c r="Z167" s="67">
        <f t="shared" ref="Z167" si="107">RIGHT(H167,LEN(H167)-4)/10000</f>
        <v>21.267499999999998</v>
      </c>
      <c r="AA167" s="67">
        <f t="shared" ref="AA167" si="108">ABS(Z167-Y167)</f>
        <v>21.222399999999997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ref="AD167" si="109">IF(LEN(A167)=6,"0"&amp;A167,A167)</f>
        <v>0246-17</v>
      </c>
      <c r="AE167" s="91" t="str">
        <f t="shared" ref="AE167" si="110"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s3://rtdc.mdm.uploadarchive.raw/RTDC4026/ "%USERPROFILE%\AppData\Local\Temp\OnboardLogs"\RTDC4026\1900-01-00 --exclude "*" --recursive --include "*19000100*" &amp; "%USERPROFILE%\Documents\GitHub\mrs-test-scripts\Headless Mode &amp; Sideloading\WalkAndUnGZ.bat" "%USERPROFILE%\AppData\Local\Temp\OnboardLogs"\RTDC4026\1900-01-00 &amp; aws s3 cp s3://rtdc.mdm.uploadarchive.raw/RTDC4026/ "%USERPROFILE%\AppData\Local\Temp\OnboardLogs"\RTDC4026\1900-01-01 --exclude "*" --recursive --include "*19000101*" &amp; "%USERPROFILE%\Documents\GitHub\mrs-test-scripts\Headless Mode &amp; Sideloading\WalkAndUnGZ.bat" "%USERPROFILE%\AppData\Local\Temp\OnboardLogs"\RTDC4026\1900-01-01</v>
      </c>
      <c r="AF167" s="88" t="str">
        <f t="shared" ref="AF167" si="111"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/stypes="app*4026*19000100*" /stext=" 07:.+((SYSTEM_STATE.+slice.+state.+changed )|(ment ac)|(multiple cpu faults)|(system.+state.+changed )|(\[timeout)|(PRM\|1\|D)|(kpr)|(kdp)|(\|lc)|(penalty))" /e /r /s</v>
      </c>
      <c r="AG167" s="1" t="str">
        <f t="shared" ref="AG167" si="112">IFERROR(IF(VALUE(LEFT(AD167,2))&lt;=2,"EC",IF(OR(VALUE(LEFT(AD167,2))=8,VALUE(LEFT(AD167,2))=18),"NW","Other")),"Other")</f>
        <v>EC</v>
      </c>
      <c r="AH167" s="92" t="str">
        <f t="shared" ref="AH167" si="113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246-17 --locoid 4026 --swversion DE.1.0.8.0 --startMP 204:451 --initTime 2016-12-18T01:17:50 --startdatetime 1900-01-00T00:00:00 --delay 2 --endMP 204:212675 --enddatetime 1900-01-00T00:00:00 --enforcementcount 0 &gt;&gt;C:\Users\stu\Documents\GitHub\eaglep3-reporting\EC\2016-12-17-refined-times.txt</v>
      </c>
      <c r="AI167" s="119" t="str">
        <f t="shared" ref="AI167" si="114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init","project_id":79,"tracker_id":40,"status_id":1,"priority_id":2,"assigned_to_id":23,"start_date":"1900-01-00","description":"","custom_fields":[{"id":1,"name":"Subdivision","value":"EC"},{"id":4,"name":"Milepost","value":"21.2675"},{"id":17,"name":"Train ID","value":"246-17"},{"id":16,"name":"Locomotive ID","value":"4026"},{"id":130,"name":"Impact","value":""},{"id":150,"name":"Time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601</v>
      </c>
      <c r="B168" s="7">
        <v>4039</v>
      </c>
      <c r="C168" s="22" t="s">
        <v>205</v>
      </c>
      <c r="D168" s="22" t="s">
        <v>528</v>
      </c>
      <c r="E168" s="13">
        <v>42721.24046296296</v>
      </c>
      <c r="F168" s="13">
        <v>42721.241689814815</v>
      </c>
      <c r="G168" s="7">
        <v>1</v>
      </c>
      <c r="H168" s="22" t="s">
        <v>830</v>
      </c>
      <c r="I168" s="13">
        <v>42721.250219907408</v>
      </c>
      <c r="J168" s="7">
        <v>0</v>
      </c>
      <c r="K168" s="109" t="str">
        <f t="shared" si="85"/>
        <v>4039/4040</v>
      </c>
      <c r="L168" s="22" t="str">
        <f>VLOOKUP(A168,'Trips&amp;Operators'!$C$1:$G$99999,5,FALSE)</f>
        <v>YORK EDGAR</v>
      </c>
      <c r="M168" s="6">
        <f t="shared" si="86"/>
        <v>8.5300925929914229E-3</v>
      </c>
      <c r="N168" s="7">
        <f t="shared" ref="N168:N199" si="115">24*60*SUM($M168:$M168)</f>
        <v>12.283333333907649</v>
      </c>
      <c r="O168" s="7"/>
      <c r="P168" s="7"/>
      <c r="Q168" s="23"/>
      <c r="R168" s="23"/>
      <c r="S168" s="35">
        <f t="shared" si="97"/>
        <v>1</v>
      </c>
      <c r="T168" s="50" t="str">
        <f t="shared" si="87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04:46:16-700',mode:absolute,to:'2016-12-17 07:00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8" s="52" t="str">
        <f t="shared" si="89"/>
        <v>N</v>
      </c>
      <c r="X168" s="177">
        <f t="shared" si="105"/>
        <v>1554</v>
      </c>
      <c r="Y168" s="67">
        <f t="shared" si="95"/>
        <v>5.8630000000000004</v>
      </c>
      <c r="Z168" s="67">
        <f t="shared" si="96"/>
        <v>7.2400000000000006E-2</v>
      </c>
      <c r="AA168" s="67">
        <f t="shared" si="90"/>
        <v>5.7906000000000004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91"/>
        <v>1800-17</v>
      </c>
      <c r="AE168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68" s="88" t="str">
        <f t="shared" si="93"/>
        <v>"C:\Program Files (x86)\AstroGrep\AstroGrep.exe" /spath="%USERPROFILE%\AppData\Local\Temp\OnboardLogs" /stypes="app*4039*20161217*" /stext=" 13:.+((SYSTEM_STATE.+slice.+state.+changed )|(ment ac)|(multiple cpu faults)|(system.+state.+changed )|(\[timeout)|(PRM\|1\|D)|(kpr)|(kdp)|(\|lc)|(penalty))" /e /r /s</v>
      </c>
      <c r="AG168" s="1" t="str">
        <f t="shared" si="94"/>
        <v>NW</v>
      </c>
      <c r="AH168" s="92" t="str">
        <f t="shared" si="83"/>
        <v>"%USERPROFILE%\Documents\GitHub\eaglep3\Utilities\RefineRTDCRunTimes.py" --tripid 1800-17 --locoid 4039 --swversion DE.1.0.8.0 --startMP 300:58630 --initTime 2016-12-17T05:46:16 --startdatetime 2016-12-17T05:48:02 --delay 1 --endMP 204:724 --enddatetime 2016-12-17T06:00:19 --enforcementcount 0 &gt;&gt;C:\Users\stu\Documents\GitHub\eaglep3-reporting\EC\2016-12-17-refined-times.txt</v>
      </c>
      <c r="AI168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{"issue":{"subject":"","project_id":79,"tracker_id":40,"status_id":1,"priority_id":2,"assigned_to_id":23,"start_date":"2016-12-17","description":"","custom_fields":[{"id":1,"name":"Subdivision","value":"NW"},{"id":4,"name":"Milepost","value":"0.0724"},{"id":17,"name":"Train ID","value":"1800-17"},{"id":16,"name":"Locomotive ID","value":"4039"},{"id":130,"name":"Impact","value":""},{"id":150,"name":"Time of Event (Mountain Time)","value":"06:00:19"},{"id":151,"name":"Denver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606</v>
      </c>
      <c r="B169" s="7">
        <v>4040</v>
      </c>
      <c r="C169" s="22" t="s">
        <v>205</v>
      </c>
      <c r="D169" s="22" t="s">
        <v>521</v>
      </c>
      <c r="E169" s="13">
        <v>42721.262013888889</v>
      </c>
      <c r="F169" s="13">
        <v>42721.264756944445</v>
      </c>
      <c r="G169" s="7">
        <v>1</v>
      </c>
      <c r="H169" s="22" t="s">
        <v>346</v>
      </c>
      <c r="I169" s="13">
        <v>42721.273657407408</v>
      </c>
      <c r="J169" s="7">
        <v>0</v>
      </c>
      <c r="K169" s="109" t="str">
        <f t="shared" si="85"/>
        <v>4039/4040</v>
      </c>
      <c r="L169" s="22" t="str">
        <f>VLOOKUP(A169,'Trips&amp;Operators'!$C$1:$G$99999,5,FALSE)</f>
        <v>YORK EDGAR</v>
      </c>
      <c r="M169" s="6">
        <f t="shared" si="86"/>
        <v>8.9004629626288079E-3</v>
      </c>
      <c r="N169" s="7">
        <f t="shared" si="115"/>
        <v>12.816666666185483</v>
      </c>
      <c r="O169" s="7"/>
      <c r="P169" s="7"/>
      <c r="Q169" s="23"/>
      <c r="R169" s="23"/>
      <c r="S169" s="35">
        <f t="shared" si="97"/>
        <v>1</v>
      </c>
      <c r="T169" s="50" t="str">
        <f t="shared" si="87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05:17:18-700',mode:absolute,to:'2016-12-17 07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9" s="52" t="str">
        <f t="shared" si="89"/>
        <v>N</v>
      </c>
      <c r="X169" s="177">
        <f t="shared" si="105"/>
        <v>1</v>
      </c>
      <c r="Y169" s="67">
        <f t="shared" si="95"/>
        <v>0.1016</v>
      </c>
      <c r="Z169" s="67">
        <f t="shared" si="96"/>
        <v>5.8933</v>
      </c>
      <c r="AA169" s="67">
        <f t="shared" si="90"/>
        <v>5.7916999999999996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91"/>
        <v>1801-17</v>
      </c>
      <c r="AE169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69" s="88" t="str">
        <f t="shared" si="93"/>
        <v>"C:\Program Files (x86)\AstroGrep\AstroGrep.exe" /spath="%USERPROFILE%\AppData\Local\Temp\OnboardLogs" /stypes="app*4040*20161217*" /stext=" 13:.+((SYSTEM_STATE.+slice.+state.+changed )|(ment ac)|(multiple cpu faults)|(system.+state.+changed )|(\[timeout)|(PRM\|1\|D)|(kpr)|(kdp)|(\|lc)|(penalty))" /e /r /s</v>
      </c>
      <c r="AG169" s="1" t="str">
        <f t="shared" si="94"/>
        <v>NW</v>
      </c>
      <c r="AH169" s="92" t="str">
        <f t="shared" si="83"/>
        <v>"%USERPROFILE%\Documents\GitHub\eaglep3\Utilities\RefineRTDCRunTimes.py" --tripid 1801-17 --locoid 4040 --swversion DE.1.0.8.0 --startMP 204:1016 --initTime 2016-12-17T06:17:18 --startdatetime 2016-12-17T06:21:15 --delay 1 --endMP 300:58933 --enddatetime 2016-12-17T06:34:04 --enforcementcount 0 &gt;&gt;C:\Users\stu\Documents\GitHub\eaglep3-reporting\EC\2016-12-17-refined-times.txt</v>
      </c>
      <c r="AI169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{"issue":{"subject":"","project_id":79,"tracker_id":40,"status_id":1,"priority_id":2,"assigned_to_id":23,"start_date":"2016-12-17","description":"","custom_fields":[{"id":1,"name":"Subdivision","value":"NW"},{"id":4,"name":"Milepost","value":"5.8933"},{"id":17,"name":"Train ID","value":"1801-17"},{"id":16,"name":"Locomotive ID","value":"4040"},{"id":130,"name":"Impact","value":""},{"id":150,"name":"Time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607</v>
      </c>
      <c r="B170" s="7">
        <v>4039</v>
      </c>
      <c r="C170" s="22" t="s">
        <v>205</v>
      </c>
      <c r="D170" s="22" t="s">
        <v>527</v>
      </c>
      <c r="E170" s="13">
        <v>42721.275011574071</v>
      </c>
      <c r="F170" s="13">
        <v>42721.276238425926</v>
      </c>
      <c r="G170" s="7">
        <v>0</v>
      </c>
      <c r="H170" s="22" t="s">
        <v>831</v>
      </c>
      <c r="I170" s="13">
        <v>42721.28833333333</v>
      </c>
      <c r="J170" s="7">
        <v>0</v>
      </c>
      <c r="K170" s="109" t="str">
        <f t="shared" si="85"/>
        <v>4039/4040</v>
      </c>
      <c r="L170" s="22" t="str">
        <f>VLOOKUP(A170,'Trips&amp;Operators'!$C$1:$G$99999,5,FALSE)</f>
        <v>YORK EDGAR</v>
      </c>
      <c r="M170" s="6">
        <f t="shared" si="86"/>
        <v>1.2094907404389232E-2</v>
      </c>
      <c r="N170" s="7">
        <f t="shared" si="115"/>
        <v>17.416666662320495</v>
      </c>
      <c r="O170" s="7"/>
      <c r="P170" s="7"/>
      <c r="Q170" s="23"/>
      <c r="R170" s="23"/>
      <c r="S170" s="35">
        <f t="shared" si="97"/>
        <v>1</v>
      </c>
      <c r="T170" s="50" t="str">
        <f t="shared" si="87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05:36:01-700',mode:absolute,to:'2016-12-17 07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0" s="52" t="str">
        <f t="shared" si="89"/>
        <v>N</v>
      </c>
      <c r="X170" s="177">
        <f t="shared" si="98"/>
        <v>1</v>
      </c>
      <c r="Y170" s="67">
        <f t="shared" si="95"/>
        <v>5.8620999999999999</v>
      </c>
      <c r="Z170" s="67">
        <f t="shared" si="96"/>
        <v>7.1999999999999995E-2</v>
      </c>
      <c r="AA170" s="67">
        <f t="shared" si="90"/>
        <v>5.7900999999999998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91"/>
        <v>1802-17</v>
      </c>
      <c r="AE170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70" s="88" t="str">
        <f t="shared" si="93"/>
        <v>"C:\Program Files (x86)\AstroGrep\AstroGrep.exe" /spath="%USERPROFILE%\AppData\Local\Temp\OnboardLogs" /stypes="app*4039*20161217*" /stext=" 13:.+((SYSTEM_STATE.+slice.+state.+changed )|(ment ac)|(multiple cpu faults)|(system.+state.+changed )|(\[timeout)|(PRM\|1\|D)|(kpr)|(kdp)|(\|lc)|(penalty))" /e /r /s</v>
      </c>
      <c r="AG170" s="1" t="str">
        <f t="shared" si="94"/>
        <v>NW</v>
      </c>
      <c r="AH170" s="92" t="str">
        <f t="shared" si="83"/>
        <v>"%USERPROFILE%\Documents\GitHub\eaglep3\Utilities\RefineRTDCRunTimes.py" --tripid 1802-17 --locoid 4039 --swversion DE.1.0.8.0 --startMP 300:58621 --initTime 2016-12-17T06:36:01 --startdatetime 2016-12-17T06:37:47 --delay 0 --endMP 204:720 --enddatetime 2016-12-17T06:55:12 --enforcementcount 0 &gt;&gt;C:\Users\stu\Documents\GitHub\eaglep3-reporting\EC\2016-12-17-refined-times.txt</v>
      </c>
      <c r="AI170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{"issue":{"subject":"","project_id":79,"tracker_id":40,"status_id":1,"priority_id":2,"assigned_to_id":23,"start_date":"2016-12-17","description":"","custom_fields":[{"id":1,"name":"Subdivision","value":"NW"},{"id":4,"name":"Milepost","value":"0.072"},{"id":17,"name":"Train ID","value":"1802-17"},{"id":16,"name":"Locomotive ID","value":"4039"},{"id":130,"name":"Impact","value":""},{"id":150,"name":"Time of Event (Mountain Time)","value":"06:55:12"},{"id":151,"name":"Denver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612</v>
      </c>
      <c r="B171" s="7">
        <v>4040</v>
      </c>
      <c r="C171" s="22" t="s">
        <v>205</v>
      </c>
      <c r="D171" s="22" t="s">
        <v>832</v>
      </c>
      <c r="E171" s="13">
        <v>42721.289548611108</v>
      </c>
      <c r="F171" s="13">
        <v>42721.306504629632</v>
      </c>
      <c r="G171" s="7">
        <v>1</v>
      </c>
      <c r="H171" s="22" t="s">
        <v>518</v>
      </c>
      <c r="I171" s="13">
        <v>42721.315486111111</v>
      </c>
      <c r="J171" s="7">
        <v>0</v>
      </c>
      <c r="K171" s="109" t="str">
        <f t="shared" si="85"/>
        <v>4039/4040</v>
      </c>
      <c r="L171" s="22" t="str">
        <f>VLOOKUP(A171,'Trips&amp;Operators'!$C$1:$G$99999,5,FALSE)</f>
        <v>YORK EDGAR</v>
      </c>
      <c r="M171" s="6">
        <f t="shared" si="86"/>
        <v>8.9814814782585017E-3</v>
      </c>
      <c r="N171" s="7">
        <f t="shared" si="115"/>
        <v>12.933333328692243</v>
      </c>
      <c r="O171" s="7"/>
      <c r="P171" s="7"/>
      <c r="Q171" s="23"/>
      <c r="R171" s="23"/>
      <c r="S171" s="35">
        <f t="shared" si="97"/>
        <v>1</v>
      </c>
      <c r="T171" s="50" t="str">
        <f t="shared" si="87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05:56:57-700',mode:absolute,to:'2016-12-17 08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1" s="52" t="str">
        <f t="shared" si="89"/>
        <v>N</v>
      </c>
      <c r="X171" s="177">
        <f t="shared" ref="X171:X202" si="116">VALUE(LEFT(AD171,4))-VALUE(LEFT(AD170,4))</f>
        <v>1</v>
      </c>
      <c r="Y171" s="67">
        <f t="shared" si="95"/>
        <v>0.1011</v>
      </c>
      <c r="Z171" s="67">
        <f t="shared" si="96"/>
        <v>5.8929</v>
      </c>
      <c r="AA171" s="67">
        <f t="shared" si="90"/>
        <v>5.7918000000000003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91"/>
        <v>1803-17</v>
      </c>
      <c r="AE171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71" s="88" t="str">
        <f t="shared" si="93"/>
        <v>"C:\Program Files (x86)\AstroGrep\AstroGrep.exe" /spath="%USERPROFILE%\AppData\Local\Temp\OnboardLogs" /stypes="app*4040*20161217*" /stext=" 14:.+((SYSTEM_STATE.+slice.+state.+changed )|(ment ac)|(multiple cpu faults)|(system.+state.+changed )|(\[timeout)|(PRM\|1\|D)|(kpr)|(kdp)|(\|lc)|(penalty))" /e /r /s</v>
      </c>
      <c r="AG171" s="1" t="str">
        <f t="shared" si="94"/>
        <v>NW</v>
      </c>
      <c r="AH171" s="92" t="str">
        <f t="shared" si="83"/>
        <v>"%USERPROFILE%\Documents\GitHub\eaglep3\Utilities\RefineRTDCRunTimes.py" --tripid 1803-17 --locoid 4040 --swversion DE.1.0.8.0 --startMP 204:1011 --initTime 2016-12-17T06:56:57 --startdatetime 2016-12-17T07:21:22 --delay 1 --endMP 300:58929 --enddatetime 2016-12-17T07:34:18 --enforcementcount 0 &gt;&gt;C:\Users\stu\Documents\GitHub\eaglep3-reporting\EC\2016-12-17-refined-times.txt</v>
      </c>
      <c r="AI171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{"issue":{"subject":"","project_id":79,"tracker_id":40,"status_id":1,"priority_id":2,"assigned_to_id":23,"start_date":"2016-12-17","description":"","custom_fields":[{"id":1,"name":"Subdivision","value":"NW"},{"id":4,"name":"Milepost","value":"5.8929"},{"id":17,"name":"Train ID","value":"1803-17"},{"id":16,"name":"Locomotive ID","value":"4040"},{"id":130,"name":"Impact","value":""},{"id":150,"name":"Time of Event (Mountain Time)","value":"07:34:18"},{"id":151,"name":"Denver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548</v>
      </c>
      <c r="B172" s="7">
        <v>4039</v>
      </c>
      <c r="C172" s="22" t="s">
        <v>205</v>
      </c>
      <c r="D172" s="22" t="s">
        <v>524</v>
      </c>
      <c r="E172" s="13">
        <v>42721.317129629628</v>
      </c>
      <c r="F172" s="13">
        <v>42721.318518518521</v>
      </c>
      <c r="G172" s="7">
        <v>1</v>
      </c>
      <c r="H172" s="22" t="s">
        <v>523</v>
      </c>
      <c r="I172" s="13">
        <v>42721.331932870373</v>
      </c>
      <c r="J172" s="7">
        <v>0</v>
      </c>
      <c r="K172" s="109" t="str">
        <f t="shared" si="85"/>
        <v>4039/4040</v>
      </c>
      <c r="L172" s="22" t="str">
        <f>VLOOKUP(A172,'Trips&amp;Operators'!$C$1:$G$99999,5,FALSE)</f>
        <v>YORK EDGAR</v>
      </c>
      <c r="M172" s="6">
        <f t="shared" si="86"/>
        <v>1.3414351851679385E-2</v>
      </c>
      <c r="N172" s="7">
        <f t="shared" si="115"/>
        <v>19.316666666418314</v>
      </c>
      <c r="O172" s="7"/>
      <c r="P172" s="7"/>
      <c r="Q172" s="23"/>
      <c r="R172" s="23"/>
      <c r="S172" s="35">
        <f t="shared" si="97"/>
        <v>1</v>
      </c>
      <c r="T172" s="50" t="str">
        <f t="shared" si="87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06:36:40-700',mode:absolute,to:'2016-12-17 08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2" s="52" t="str">
        <f t="shared" si="89"/>
        <v>N</v>
      </c>
      <c r="X172" s="177">
        <f t="shared" si="116"/>
        <v>1</v>
      </c>
      <c r="Y172" s="67">
        <f t="shared" si="95"/>
        <v>5.8609</v>
      </c>
      <c r="Z172" s="67">
        <f t="shared" si="96"/>
        <v>7.2700000000000001E-2</v>
      </c>
      <c r="AA172" s="67">
        <f t="shared" si="90"/>
        <v>5.7881999999999998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91"/>
        <v>1804-17</v>
      </c>
      <c r="AE172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72" s="88" t="str">
        <f t="shared" si="93"/>
        <v>"C:\Program Files (x86)\AstroGrep\AstroGrep.exe" /spath="%USERPROFILE%\AppData\Local\Temp\OnboardLogs" /stypes="app*4039*20161217*" /stext=" 14:.+((SYSTEM_STATE.+slice.+state.+changed )|(ment ac)|(multiple cpu faults)|(system.+state.+changed )|(\[timeout)|(PRM\|1\|D)|(kpr)|(kdp)|(\|lc)|(penalty))" /e /r /s</v>
      </c>
      <c r="AG172" s="1" t="str">
        <f t="shared" si="94"/>
        <v>NW</v>
      </c>
      <c r="AH172" s="92" t="str">
        <f t="shared" si="83"/>
        <v>"%USERPROFILE%\Documents\GitHub\eaglep3\Utilities\RefineRTDCRunTimes.py" --tripid 1804-17 --locoid 4039 --swversion DE.1.0.8.0 --startMP 300:58609 --initTime 2016-12-17T07:36:40 --startdatetime 2016-12-17T07:38:40 --delay 1 --endMP 204:727 --enddatetime 2016-12-17T07:57:59 --enforcementcount 0 &gt;&gt;C:\Users\stu\Documents\GitHub\eaglep3-reporting\EC\2016-12-17-refined-times.txt</v>
      </c>
      <c r="AI172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{"issue":{"subject":"","project_id":79,"tracker_id":40,"status_id":1,"priority_id":2,"assigned_to_id":23,"start_date":"2016-12-17","description":"","custom_fields":[{"id":1,"name":"Subdivision","value":"NW"},{"id":4,"name":"Milepost","value":"0.0727"},{"id":17,"name":"Train ID","value":"1804-17"},{"id":16,"name":"Locomotive ID","value":"4039"},{"id":130,"name":"Impact","value":""},{"id":150,"name":"Time of Event (Mountain Time)","value":"07:57:59"},{"id":151,"name":"Denver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617</v>
      </c>
      <c r="B173" s="7">
        <v>4040</v>
      </c>
      <c r="C173" s="22" t="s">
        <v>205</v>
      </c>
      <c r="D173" s="22" t="s">
        <v>522</v>
      </c>
      <c r="E173" s="13">
        <v>42721.33353009259</v>
      </c>
      <c r="F173" s="13">
        <v>42721.348391203705</v>
      </c>
      <c r="G173" s="7">
        <v>1</v>
      </c>
      <c r="H173" s="22" t="s">
        <v>297</v>
      </c>
      <c r="I173" s="13">
        <v>42721.357303240744</v>
      </c>
      <c r="J173" s="7">
        <v>0</v>
      </c>
      <c r="K173" s="109" t="str">
        <f t="shared" si="85"/>
        <v>4039/4040</v>
      </c>
      <c r="L173" s="22" t="str">
        <f>VLOOKUP(A173,'Trips&amp;Operators'!$C$1:$G$99999,5,FALSE)</f>
        <v>YORK EDGAR</v>
      </c>
      <c r="M173" s="6">
        <f t="shared" si="86"/>
        <v>8.9120370394084603E-3</v>
      </c>
      <c r="N173" s="7">
        <f t="shared" si="115"/>
        <v>12.833333336748183</v>
      </c>
      <c r="O173" s="7"/>
      <c r="P173" s="7"/>
      <c r="Q173" s="23"/>
      <c r="R173" s="23"/>
      <c r="S173" s="35">
        <f t="shared" si="97"/>
        <v>1</v>
      </c>
      <c r="T173" s="50" t="str">
        <f t="shared" si="87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07:00:17-700',mode:absolute,to:'2016-12-17 09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3" s="52" t="str">
        <f t="shared" si="89"/>
        <v>N</v>
      </c>
      <c r="X173" s="177">
        <f t="shared" si="116"/>
        <v>1</v>
      </c>
      <c r="Y173" s="67">
        <f t="shared" si="95"/>
        <v>0.1021</v>
      </c>
      <c r="Z173" s="67">
        <f t="shared" si="96"/>
        <v>5.8935000000000004</v>
      </c>
      <c r="AA173" s="67">
        <f t="shared" si="90"/>
        <v>5.7914000000000003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91"/>
        <v>1805-17</v>
      </c>
      <c r="AE173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73" s="88" t="str">
        <f t="shared" si="93"/>
        <v>"C:\Program Files (x86)\AstroGrep\AstroGrep.exe" /spath="%USERPROFILE%\AppData\Local\Temp\OnboardLogs" /stypes="app*4040*20161217*" /stext=" 15:.+((SYSTEM_STATE.+slice.+state.+changed )|(ment ac)|(multiple cpu faults)|(system.+state.+changed )|(\[timeout)|(PRM\|1\|D)|(kpr)|(kdp)|(\|lc)|(penalty))" /e /r /s</v>
      </c>
      <c r="AG173" s="1" t="str">
        <f t="shared" si="94"/>
        <v>NW</v>
      </c>
      <c r="AH173" s="92" t="str">
        <f t="shared" si="83"/>
        <v>"%USERPROFILE%\Documents\GitHub\eaglep3\Utilities\RefineRTDCRunTimes.py" --tripid 1805-17 --locoid 4040 --swversion DE.1.0.8.0 --startMP 204:1021 --initTime 2016-12-17T08:00:17 --startdatetime 2016-12-17T08:21:41 --delay 1 --endMP 300:58935 --enddatetime 2016-12-17T08:34:31 --enforcementcount 0 &gt;&gt;C:\Users\stu\Documents\GitHub\eaglep3-reporting\EC\2016-12-17-refined-times.txt</v>
      </c>
      <c r="AI173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{"issue":{"subject":"","project_id":79,"tracker_id":40,"status_id":1,"priority_id":2,"assigned_to_id":23,"start_date":"2016-12-17","description":"","custom_fields":[{"id":1,"name":"Subdivision","value":"NW"},{"id":4,"name":"Milepost","value":"5.8935"},{"id":17,"name":"Train ID","value":"1805-17"},{"id":16,"name":"Locomotive ID","value":"4040"},{"id":130,"name":"Impact","value":""},{"id":150,"name":"Time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552</v>
      </c>
      <c r="B174" s="7">
        <v>4039</v>
      </c>
      <c r="C174" s="22" t="s">
        <v>205</v>
      </c>
      <c r="D174" s="22" t="s">
        <v>298</v>
      </c>
      <c r="E174" s="13">
        <v>42721.358668981484</v>
      </c>
      <c r="F174" s="13">
        <v>42721.360115740739</v>
      </c>
      <c r="G174" s="7">
        <v>1</v>
      </c>
      <c r="H174" s="22" t="s">
        <v>833</v>
      </c>
      <c r="I174" s="13">
        <v>42721.371319444443</v>
      </c>
      <c r="J174" s="7">
        <v>0</v>
      </c>
      <c r="K174" s="109" t="str">
        <f t="shared" si="85"/>
        <v>4039/4040</v>
      </c>
      <c r="L174" s="22" t="str">
        <f>VLOOKUP(A174,'Trips&amp;Operators'!$C$1:$G$99999,5,FALSE)</f>
        <v>YORK EDGAR</v>
      </c>
      <c r="M174" s="6">
        <f t="shared" si="86"/>
        <v>1.1203703703358769E-2</v>
      </c>
      <c r="N174" s="7">
        <f t="shared" si="115"/>
        <v>16.133333332836628</v>
      </c>
      <c r="O174" s="7"/>
      <c r="P174" s="7"/>
      <c r="Q174" s="23"/>
      <c r="R174" s="23"/>
      <c r="S174" s="35">
        <f t="shared" si="97"/>
        <v>1</v>
      </c>
      <c r="T174" s="50" t="str">
        <f t="shared" si="87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07:36:29-700',mode:absolute,to:'2016-12-17 09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4" s="52" t="str">
        <f t="shared" si="89"/>
        <v>N</v>
      </c>
      <c r="X174" s="177">
        <f t="shared" si="116"/>
        <v>1</v>
      </c>
      <c r="Y174" s="67">
        <f t="shared" si="95"/>
        <v>5.8613</v>
      </c>
      <c r="Z174" s="67">
        <f t="shared" si="96"/>
        <v>7.3599999999999999E-2</v>
      </c>
      <c r="AA174" s="67">
        <f t="shared" si="90"/>
        <v>5.7877000000000001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91"/>
        <v>1806-17</v>
      </c>
      <c r="AE174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74" s="88" t="str">
        <f t="shared" si="93"/>
        <v>"C:\Program Files (x86)\AstroGrep\AstroGrep.exe" /spath="%USERPROFILE%\AppData\Local\Temp\OnboardLogs" /stypes="app*4039*20161217*" /stext=" 15:.+((SYSTEM_STATE.+slice.+state.+changed )|(ment ac)|(multiple cpu faults)|(system.+state.+changed )|(\[timeout)|(PRM\|1\|D)|(kpr)|(kdp)|(\|lc)|(penalty))" /e /r /s</v>
      </c>
      <c r="AG174" s="1" t="str">
        <f t="shared" si="94"/>
        <v>NW</v>
      </c>
      <c r="AH174" s="92" t="str">
        <f t="shared" si="83"/>
        <v>"%USERPROFILE%\Documents\GitHub\eaglep3\Utilities\RefineRTDCRunTimes.py" --tripid 1806-17 --locoid 4039 --swversion DE.1.0.8.0 --startMP 300:58613 --initTime 2016-12-17T08:36:29 --startdatetime 2016-12-17T08:38:34 --delay 1 --endMP 204:736 --enddatetime 2016-12-17T08:54:42 --enforcementcount 0 &gt;&gt;C:\Users\stu\Documents\GitHub\eaglep3-reporting\EC\2016-12-17-refined-times.txt</v>
      </c>
      <c r="AI174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{"issue":{"subject":"","project_id":79,"tracker_id":40,"status_id":1,"priority_id":2,"assigned_to_id":23,"start_date":"2016-12-17","description":"","custom_fields":[{"id":1,"name":"Subdivision","value":"NW"},{"id":4,"name":"Milepost","value":"0.0736"},{"id":17,"name":"Train ID","value":"1806-17"},{"id":16,"name":"Locomotive ID","value":"4039"},{"id":130,"name":"Impact","value":""},{"id":150,"name":"Time of Event (Mountain Time)","value":"08:54:42"},{"id":151,"name":"Denver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555</v>
      </c>
      <c r="B175" s="7">
        <v>4040</v>
      </c>
      <c r="C175" s="22" t="s">
        <v>205</v>
      </c>
      <c r="D175" s="22" t="s">
        <v>834</v>
      </c>
      <c r="E175" s="13">
        <v>42721.372893518521</v>
      </c>
      <c r="F175" s="13">
        <v>42721.389837962961</v>
      </c>
      <c r="G175" s="7">
        <v>0</v>
      </c>
      <c r="H175" s="22" t="s">
        <v>835</v>
      </c>
      <c r="I175" s="13">
        <v>42721.400196759256</v>
      </c>
      <c r="J175" s="7">
        <v>0</v>
      </c>
      <c r="K175" s="109" t="str">
        <f t="shared" si="85"/>
        <v>4039/4040</v>
      </c>
      <c r="L175" s="22" t="str">
        <f>VLOOKUP(A175,'Trips&amp;Operators'!$C$1:$G$99999,5,FALSE)</f>
        <v>YORK EDGAR</v>
      </c>
      <c r="M175" s="6">
        <f t="shared" si="86"/>
        <v>1.0358796294895001E-2</v>
      </c>
      <c r="N175" s="7">
        <f t="shared" si="115"/>
        <v>14.916666664648801</v>
      </c>
      <c r="O175" s="7"/>
      <c r="P175" s="7"/>
      <c r="Q175" s="23"/>
      <c r="R175" s="23"/>
      <c r="S175" s="35">
        <f t="shared" si="97"/>
        <v>1</v>
      </c>
      <c r="T175" s="50" t="str">
        <f t="shared" si="87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07:56:58-700',mode:absolute,to:'2016-12-17 10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5" s="52" t="str">
        <f t="shared" si="89"/>
        <v>N</v>
      </c>
      <c r="X175" s="177">
        <f t="shared" si="116"/>
        <v>1</v>
      </c>
      <c r="Y175" s="67">
        <f t="shared" si="95"/>
        <v>0.1023</v>
      </c>
      <c r="Z175" s="67">
        <f t="shared" si="96"/>
        <v>5.8943000000000003</v>
      </c>
      <c r="AA175" s="67">
        <f t="shared" si="90"/>
        <v>5.7920000000000007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91"/>
        <v>1807-17</v>
      </c>
      <c r="AE175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75" s="88" t="str">
        <f t="shared" si="93"/>
        <v>"C:\Program Files (x86)\AstroGrep\AstroGrep.exe" /spath="%USERPROFILE%\AppData\Local\Temp\OnboardLogs" /stypes="app*4040*20161217*" /stext=" 16:.+((SYSTEM_STATE.+slice.+state.+changed )|(ment ac)|(multiple cpu faults)|(system.+state.+changed )|(\[timeout)|(PRM\|1\|D)|(kpr)|(kdp)|(\|lc)|(penalty))" /e /r /s</v>
      </c>
      <c r="AG175" s="1" t="str">
        <f t="shared" si="94"/>
        <v>NW</v>
      </c>
      <c r="AH175" s="92" t="str">
        <f t="shared" si="83"/>
        <v>"%USERPROFILE%\Documents\GitHub\eaglep3\Utilities\RefineRTDCRunTimes.py" --tripid 1807-17 --locoid 4040 --swversion DE.1.0.8.0 --startMP 204:1023 --initTime 2016-12-17T08:56:58 --startdatetime 2016-12-17T09:21:22 --delay 0 --endMP 300:58943 --enddatetime 2016-12-17T09:36:17 --enforcementcount 0 &gt;&gt;C:\Users\stu\Documents\GitHub\eaglep3-reporting\EC\2016-12-17-refined-times.txt</v>
      </c>
      <c r="AI175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{"issue":{"subject":"","project_id":79,"tracker_id":40,"status_id":1,"priority_id":2,"assigned_to_id":23,"start_date":"2016-12-17","description":"","custom_fields":[{"id":1,"name":"Subdivision","value":"NW"},{"id":4,"name":"Milepost","value":"5.8943"},{"id":17,"name":"Train ID","value":"1807-17"},{"id":16,"name":"Locomotive ID","value":"4040"},{"id":130,"name":"Impact","value":""},{"id":150,"name":"Time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628</v>
      </c>
      <c r="B176" s="7">
        <v>4039</v>
      </c>
      <c r="C176" s="22" t="s">
        <v>205</v>
      </c>
      <c r="D176" s="22" t="s">
        <v>343</v>
      </c>
      <c r="E176" s="13">
        <v>42721.401828703703</v>
      </c>
      <c r="F176" s="13">
        <v>42721.403113425928</v>
      </c>
      <c r="G176" s="7">
        <v>1</v>
      </c>
      <c r="H176" s="22" t="s">
        <v>523</v>
      </c>
      <c r="I176" s="13">
        <v>42721.41300925926</v>
      </c>
      <c r="J176" s="7">
        <v>0</v>
      </c>
      <c r="K176" s="109" t="str">
        <f t="shared" si="85"/>
        <v>4039/4040</v>
      </c>
      <c r="L176" s="22" t="str">
        <f>VLOOKUP(A176,'Trips&amp;Operators'!$C$1:$G$99999,5,FALSE)</f>
        <v>YORK EDGAR</v>
      </c>
      <c r="M176" s="6">
        <f t="shared" si="86"/>
        <v>9.8958333328482695E-3</v>
      </c>
      <c r="N176" s="7">
        <f t="shared" si="115"/>
        <v>14.249999999301508</v>
      </c>
      <c r="O176" s="7"/>
      <c r="P176" s="7"/>
      <c r="Q176" s="23"/>
      <c r="R176" s="23"/>
      <c r="S176" s="35">
        <f t="shared" si="97"/>
        <v>1</v>
      </c>
      <c r="T176" s="50" t="str">
        <f t="shared" si="87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08:38:38-700',mode:absolute,to:'2016-12-17 10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6" s="52" t="str">
        <f t="shared" si="89"/>
        <v>N</v>
      </c>
      <c r="X176" s="177">
        <f t="shared" si="116"/>
        <v>1</v>
      </c>
      <c r="Y176" s="67">
        <f t="shared" si="95"/>
        <v>5.8624000000000001</v>
      </c>
      <c r="Z176" s="67">
        <f t="shared" si="96"/>
        <v>7.2700000000000001E-2</v>
      </c>
      <c r="AA176" s="67">
        <f t="shared" si="90"/>
        <v>5.7896999999999998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91"/>
        <v>1808-17</v>
      </c>
      <c r="AE176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76" s="88" t="str">
        <f t="shared" si="93"/>
        <v>"C:\Program Files (x86)\AstroGrep\AstroGrep.exe" /spath="%USERPROFILE%\AppData\Local\Temp\OnboardLogs" /stypes="app*4039*20161217*" /stext=" 16:.+((SYSTEM_STATE.+slice.+state.+changed )|(ment ac)|(multiple cpu faults)|(system.+state.+changed )|(\[timeout)|(PRM\|1\|D)|(kpr)|(kdp)|(\|lc)|(penalty))" /e /r /s</v>
      </c>
      <c r="AG176" s="1" t="str">
        <f t="shared" si="94"/>
        <v>NW</v>
      </c>
      <c r="AH176" s="92" t="str">
        <f t="shared" si="83"/>
        <v>"%USERPROFILE%\Documents\GitHub\eaglep3\Utilities\RefineRTDCRunTimes.py" --tripid 1808-17 --locoid 4039 --swversion DE.1.0.8.0 --startMP 300:58624 --initTime 2016-12-17T09:38:38 --startdatetime 2016-12-17T09:40:29 --delay 1 --endMP 204:727 --enddatetime 2016-12-17T09:54:44 --enforcementcount 0 &gt;&gt;C:\Users\stu\Documents\GitHub\eaglep3-reporting\EC\2016-12-17-refined-times.txt</v>
      </c>
      <c r="AI176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{"issue":{"subject":"","project_id":79,"tracker_id":40,"status_id":1,"priority_id":2,"assigned_to_id":23,"start_date":"2016-12-17","description":"","custom_fields":[{"id":1,"name":"Subdivision","value":"NW"},{"id":4,"name":"Milepost","value":"0.0727"},{"id":17,"name":"Train ID","value":"1808-17"},{"id":16,"name":"Locomotive ID","value":"4039"},{"id":130,"name":"Impact","value":""},{"id":150,"name":"Time of Event (Mountain Time)","value":"09:54:44"},{"id":151,"name":"Denver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632</v>
      </c>
      <c r="B177" s="7">
        <v>4040</v>
      </c>
      <c r="C177" s="22" t="s">
        <v>205</v>
      </c>
      <c r="D177" s="22" t="s">
        <v>348</v>
      </c>
      <c r="E177" s="13">
        <v>42721.414143518516</v>
      </c>
      <c r="F177" s="13">
        <v>42721.431458333333</v>
      </c>
      <c r="G177" s="7">
        <v>1</v>
      </c>
      <c r="H177" s="22" t="s">
        <v>300</v>
      </c>
      <c r="I177" s="13">
        <v>42721.44059027778</v>
      </c>
      <c r="J177" s="7">
        <v>0</v>
      </c>
      <c r="K177" s="109" t="str">
        <f t="shared" si="85"/>
        <v>4039/4040</v>
      </c>
      <c r="L177" s="22" t="str">
        <f>VLOOKUP(A177,'Trips&amp;Operators'!$C$1:$G$99999,5,FALSE)</f>
        <v>YORK EDGAR</v>
      </c>
      <c r="M177" s="6">
        <f t="shared" si="86"/>
        <v>9.1319444472901523E-3</v>
      </c>
      <c r="N177" s="7">
        <f t="shared" si="115"/>
        <v>13.150000004097819</v>
      </c>
      <c r="O177" s="7"/>
      <c r="P177" s="7"/>
      <c r="Q177" s="23"/>
      <c r="R177" s="23"/>
      <c r="S177" s="35">
        <f t="shared" si="97"/>
        <v>1</v>
      </c>
      <c r="T177" s="50" t="str">
        <f t="shared" si="87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08:56:22-700',mode:absolute,to:'2016-12-17 11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7" s="52" t="str">
        <f t="shared" si="89"/>
        <v>N</v>
      </c>
      <c r="X177" s="177">
        <f t="shared" si="116"/>
        <v>1</v>
      </c>
      <c r="Y177" s="67">
        <f t="shared" si="95"/>
        <v>0.1013</v>
      </c>
      <c r="Z177" s="67">
        <f t="shared" si="96"/>
        <v>5.8936999999999999</v>
      </c>
      <c r="AA177" s="67">
        <f t="shared" si="90"/>
        <v>5.7923999999999998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91"/>
        <v>1809-17</v>
      </c>
      <c r="AE177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77" s="88" t="str">
        <f t="shared" si="93"/>
        <v>"C:\Program Files (x86)\AstroGrep\AstroGrep.exe" /spath="%USERPROFILE%\AppData\Local\Temp\OnboardLogs" /stypes="app*4040*20161217*" /stext=" 17:.+((SYSTEM_STATE.+slice.+state.+changed )|(ment ac)|(multiple cpu faults)|(system.+state.+changed )|(\[timeout)|(PRM\|1\|D)|(kpr)|(kdp)|(\|lc)|(penalty))" /e /r /s</v>
      </c>
      <c r="AG177" s="1" t="str">
        <f t="shared" si="94"/>
        <v>NW</v>
      </c>
      <c r="AH177" s="92" t="str">
        <f t="shared" si="83"/>
        <v>"%USERPROFILE%\Documents\GitHub\eaglep3\Utilities\RefineRTDCRunTimes.py" --tripid 1809-17 --locoid 4040 --swversion DE.1.0.8.0 --startMP 204:1013 --initTime 2016-12-17T09:56:22 --startdatetime 2016-12-17T10:21:18 --delay 1 --endMP 300:58937 --enddatetime 2016-12-17T10:34:27 --enforcementcount 0 &gt;&gt;C:\Users\stu\Documents\GitHub\eaglep3-reporting\EC\2016-12-17-refined-times.txt</v>
      </c>
      <c r="AI177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{"issue":{"subject":"","project_id":79,"tracker_id":40,"status_id":1,"priority_id":2,"assigned_to_id":23,"start_date":"2016-12-17","description":"","custom_fields":[{"id":1,"name":"Subdivision","value":"NW"},{"id":4,"name":"Milepost","value":"5.8937"},{"id":17,"name":"Train ID","value":"1809-17"},{"id":16,"name":"Locomotive ID","value":"4040"},{"id":130,"name":"Impact","value":""},{"id":150,"name":"Time of Event (Mountain Time)","value":"10:34:27"},{"id":151,"name":"Denver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645</v>
      </c>
      <c r="B178" s="7">
        <v>4039</v>
      </c>
      <c r="C178" s="22" t="s">
        <v>205</v>
      </c>
      <c r="D178" s="22" t="s">
        <v>270</v>
      </c>
      <c r="E178" s="13">
        <v>42721.441817129627</v>
      </c>
      <c r="F178" s="13">
        <v>42721.442893518521</v>
      </c>
      <c r="G178" s="7">
        <v>0</v>
      </c>
      <c r="H178" s="22" t="s">
        <v>523</v>
      </c>
      <c r="I178" s="13">
        <v>42721.454525462963</v>
      </c>
      <c r="J178" s="7">
        <v>0</v>
      </c>
      <c r="K178" s="109" t="str">
        <f t="shared" si="85"/>
        <v>4039/4040</v>
      </c>
      <c r="L178" s="22" t="str">
        <f>VLOOKUP(A178,'Trips&amp;Operators'!$C$1:$G$99999,5,FALSE)</f>
        <v>YORK EDGAR</v>
      </c>
      <c r="M178" s="6">
        <f t="shared" si="86"/>
        <v>1.1631944442342501E-2</v>
      </c>
      <c r="N178" s="7">
        <f t="shared" si="115"/>
        <v>16.749999996973202</v>
      </c>
      <c r="O178" s="7"/>
      <c r="P178" s="7"/>
      <c r="Q178" s="23"/>
      <c r="R178" s="23"/>
      <c r="S178" s="35">
        <f t="shared" si="97"/>
        <v>1</v>
      </c>
      <c r="T178" s="50" t="str">
        <f t="shared" si="87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09:36:13-700',mode:absolute,to:'2016-12-17 11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8" s="52" t="str">
        <f t="shared" si="89"/>
        <v>N</v>
      </c>
      <c r="X178" s="177">
        <f t="shared" si="116"/>
        <v>1</v>
      </c>
      <c r="Y178" s="67">
        <f t="shared" si="95"/>
        <v>5.8623000000000003</v>
      </c>
      <c r="Z178" s="67">
        <f t="shared" si="96"/>
        <v>7.2700000000000001E-2</v>
      </c>
      <c r="AA178" s="67">
        <f t="shared" si="90"/>
        <v>5.7896000000000001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91"/>
        <v>1810-17</v>
      </c>
      <c r="AE178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78" s="88" t="str">
        <f t="shared" si="93"/>
        <v>"C:\Program Files (x86)\AstroGrep\AstroGrep.exe" /spath="%USERPROFILE%\AppData\Local\Temp\OnboardLogs" /stypes="app*4039*20161217*" /stext=" 17:.+((SYSTEM_STATE.+slice.+state.+changed )|(ment ac)|(multiple cpu faults)|(system.+state.+changed )|(\[timeout)|(PRM\|1\|D)|(kpr)|(kdp)|(\|lc)|(penalty))" /e /r /s</v>
      </c>
      <c r="AG178" s="1" t="str">
        <f t="shared" si="94"/>
        <v>NW</v>
      </c>
      <c r="AH178" s="92" t="str">
        <f t="shared" si="83"/>
        <v>"%USERPROFILE%\Documents\GitHub\eaglep3\Utilities\RefineRTDCRunTimes.py" --tripid 1810-17 --locoid 4039 --swversion DE.1.0.8.0 --startMP 300:58623 --initTime 2016-12-17T10:36:13 --startdatetime 2016-12-17T10:37:46 --delay 0 --endMP 204:727 --enddatetime 2016-12-17T10:54:31 --enforcementcount 0 &gt;&gt;C:\Users\stu\Documents\GitHub\eaglep3-reporting\EC\2016-12-17-refined-times.txt</v>
      </c>
      <c r="AI178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{"issue":{"subject":"","project_id":79,"tracker_id":40,"status_id":1,"priority_id":2,"assigned_to_id":23,"start_date":"2016-12-17","description":"","custom_fields":[{"id":1,"name":"Subdivision","value":"NW"},{"id":4,"name":"Milepost","value":"0.0727"},{"id":17,"name":"Train ID","value":"1810-17"},{"id":16,"name":"Locomotive ID","value":"4039"},{"id":130,"name":"Impact","value":""},{"id":150,"name":"Time of Event (Mountain Time)","value":"10:54:31"},{"id":151,"name":"Denver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647</v>
      </c>
      <c r="B179" s="7">
        <v>4040</v>
      </c>
      <c r="C179" s="22" t="s">
        <v>205</v>
      </c>
      <c r="D179" s="22" t="s">
        <v>521</v>
      </c>
      <c r="E179" s="13">
        <v>42721.455775462964</v>
      </c>
      <c r="F179" s="13">
        <v>42721.47315972222</v>
      </c>
      <c r="G179" s="7">
        <v>1</v>
      </c>
      <c r="H179" s="22" t="s">
        <v>346</v>
      </c>
      <c r="I179" s="13">
        <v>42721.48196759259</v>
      </c>
      <c r="J179" s="7">
        <v>0</v>
      </c>
      <c r="K179" s="109" t="str">
        <f t="shared" si="85"/>
        <v>4039/4040</v>
      </c>
      <c r="L179" s="22" t="str">
        <f>VLOOKUP(A179,'Trips&amp;Operators'!$C$1:$G$99999,5,FALSE)</f>
        <v>YORK EDGAR</v>
      </c>
      <c r="M179" s="6">
        <f t="shared" si="86"/>
        <v>8.8078703702194616E-3</v>
      </c>
      <c r="N179" s="7">
        <f t="shared" si="115"/>
        <v>12.683333333116025</v>
      </c>
      <c r="O179" s="7"/>
      <c r="P179" s="7"/>
      <c r="Q179" s="23"/>
      <c r="R179" s="23"/>
      <c r="S179" s="35">
        <f t="shared" si="97"/>
        <v>1</v>
      </c>
      <c r="T179" s="50" t="str">
        <f t="shared" si="87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09:56:19-700',mode:absolute,to:'2016-12-17 12:34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9" s="52" t="str">
        <f t="shared" si="89"/>
        <v>N</v>
      </c>
      <c r="X179" s="177">
        <f t="shared" si="116"/>
        <v>1</v>
      </c>
      <c r="Y179" s="67">
        <f t="shared" si="95"/>
        <v>0.1016</v>
      </c>
      <c r="Z179" s="67">
        <f t="shared" si="96"/>
        <v>5.8933</v>
      </c>
      <c r="AA179" s="67">
        <f t="shared" si="90"/>
        <v>5.7916999999999996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91"/>
        <v>1811-17</v>
      </c>
      <c r="AE179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79" s="88" t="str">
        <f t="shared" si="93"/>
        <v>"C:\Program Files (x86)\AstroGrep\AstroGrep.exe" /spath="%USERPROFILE%\AppData\Local\Temp\OnboardLogs" /stypes="app*4040*20161217*" /stext=" 18:.+((SYSTEM_STATE.+slice.+state.+changed )|(ment ac)|(multiple cpu faults)|(system.+state.+changed )|(\[timeout)|(PRM\|1\|D)|(kpr)|(kdp)|(\|lc)|(penalty))" /e /r /s</v>
      </c>
      <c r="AG179" s="1" t="str">
        <f t="shared" si="94"/>
        <v>NW</v>
      </c>
      <c r="AH179" s="92" t="str">
        <f t="shared" si="83"/>
        <v>"%USERPROFILE%\Documents\GitHub\eaglep3\Utilities\RefineRTDCRunTimes.py" --tripid 1811-17 --locoid 4040 --swversion DE.1.0.8.0 --startMP 204:1016 --initTime 2016-12-17T10:56:19 --startdatetime 2016-12-17T11:21:21 --delay 1 --endMP 300:58933 --enddatetime 2016-12-17T11:34:02 --enforcementcount 0 &gt;&gt;C:\Users\stu\Documents\GitHub\eaglep3-reporting\EC\2016-12-17-refined-times.txt</v>
      </c>
      <c r="AI179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{"issue":{"subject":"","project_id":79,"tracker_id":40,"status_id":1,"priority_id":2,"assigned_to_id":23,"start_date":"2016-12-17","description":"","custom_fields":[{"id":1,"name":"Subdivision","value":"NW"},{"id":4,"name":"Milepost","value":"5.8933"},{"id":17,"name":"Train ID","value":"1811-17"},{"id":16,"name":"Locomotive ID","value":"4040"},{"id":130,"name":"Impact","value":""},{"id":150,"name":"Time of Event (Mountain Time)","value":"11:34:02"},{"id":151,"name":"Denver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651</v>
      </c>
      <c r="B180" s="7">
        <v>4039</v>
      </c>
      <c r="C180" s="22" t="s">
        <v>205</v>
      </c>
      <c r="D180" s="22" t="s">
        <v>530</v>
      </c>
      <c r="E180" s="13">
        <v>42721.483240740738</v>
      </c>
      <c r="F180" s="13">
        <v>42721.484432870369</v>
      </c>
      <c r="G180" s="7">
        <v>0</v>
      </c>
      <c r="H180" s="22" t="s">
        <v>831</v>
      </c>
      <c r="I180" s="13">
        <v>42721.49591435185</v>
      </c>
      <c r="J180" s="7">
        <v>0</v>
      </c>
      <c r="K180" s="109" t="str">
        <f t="shared" si="85"/>
        <v>4039/4040</v>
      </c>
      <c r="L180" s="22" t="str">
        <f>VLOOKUP(A180,'Trips&amp;Operators'!$C$1:$G$99999,5,FALSE)</f>
        <v>YORK EDGAR</v>
      </c>
      <c r="M180" s="6">
        <f t="shared" si="86"/>
        <v>1.1481481480586808E-2</v>
      </c>
      <c r="N180" s="7">
        <f t="shared" si="115"/>
        <v>16.533333332045004</v>
      </c>
      <c r="O180" s="7"/>
      <c r="P180" s="7"/>
      <c r="Q180" s="23"/>
      <c r="R180" s="23"/>
      <c r="S180" s="35">
        <f t="shared" si="97"/>
        <v>1</v>
      </c>
      <c r="T180" s="50" t="str">
        <f t="shared" si="87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10:35:52-700',mode:absolute,to:'2016-12-17 12:54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0" s="52" t="str">
        <f t="shared" si="89"/>
        <v>N</v>
      </c>
      <c r="X180" s="177">
        <f t="shared" si="116"/>
        <v>1</v>
      </c>
      <c r="Y180" s="67">
        <f t="shared" si="95"/>
        <v>5.8616999999999999</v>
      </c>
      <c r="Z180" s="67">
        <f t="shared" si="96"/>
        <v>7.1999999999999995E-2</v>
      </c>
      <c r="AA180" s="67">
        <f t="shared" si="90"/>
        <v>5.7896999999999998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91"/>
        <v>1812-17</v>
      </c>
      <c r="AE180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80" s="88" t="str">
        <f t="shared" si="93"/>
        <v>"C:\Program Files (x86)\AstroGrep\AstroGrep.exe" /spath="%USERPROFILE%\AppData\Local\Temp\OnboardLogs" /stypes="app*4039*20161217*" /stext=" 18:.+((SYSTEM_STATE.+slice.+state.+changed )|(ment ac)|(multiple cpu faults)|(system.+state.+changed )|(\[timeout)|(PRM\|1\|D)|(kpr)|(kdp)|(\|lc)|(penalty))" /e /r /s</v>
      </c>
      <c r="AG180" s="1" t="str">
        <f t="shared" si="94"/>
        <v>NW</v>
      </c>
      <c r="AH180" s="92" t="str">
        <f t="shared" si="83"/>
        <v>"%USERPROFILE%\Documents\GitHub\eaglep3\Utilities\RefineRTDCRunTimes.py" --tripid 1812-17 --locoid 4039 --swversion DE.1.0.8.0 --startMP 300:58617 --initTime 2016-12-17T11:35:52 --startdatetime 2016-12-17T11:37:35 --delay 0 --endMP 204:720 --enddatetime 2016-12-17T11:54:07 --enforcementcount 0 &gt;&gt;C:\Users\stu\Documents\GitHub\eaglep3-reporting\EC\2016-12-17-refined-times.txt</v>
      </c>
      <c r="AI180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{"issue":{"subject":"","project_id":79,"tracker_id":40,"status_id":1,"priority_id":2,"assigned_to_id":23,"start_date":"2016-12-17","description":"","custom_fields":[{"id":1,"name":"Subdivision","value":"NW"},{"id":4,"name":"Milepost","value":"0.072"},{"id":17,"name":"Train ID","value":"1812-17"},{"id":16,"name":"Locomotive ID","value":"4039"},{"id":130,"name":"Impact","value":""},{"id":150,"name":"Time of Event (Mountain Time)","value":"11:54:07"},{"id":151,"name":"Denver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657</v>
      </c>
      <c r="B181" s="7">
        <v>4040</v>
      </c>
      <c r="C181" s="22" t="s">
        <v>205</v>
      </c>
      <c r="D181" s="22" t="s">
        <v>520</v>
      </c>
      <c r="E181" s="13">
        <v>42721.496967592589</v>
      </c>
      <c r="F181" s="13">
        <v>42721.514745370368</v>
      </c>
      <c r="G181" s="7">
        <v>1</v>
      </c>
      <c r="H181" s="22" t="s">
        <v>300</v>
      </c>
      <c r="I181" s="13">
        <v>42721.523576388892</v>
      </c>
      <c r="J181" s="7">
        <v>0</v>
      </c>
      <c r="K181" s="109" t="str">
        <f t="shared" si="85"/>
        <v>4039/4040</v>
      </c>
      <c r="L181" s="22" t="str">
        <f>VLOOKUP(A181,'Trips&amp;Operators'!$C$1:$G$99999,5,FALSE)</f>
        <v>YORK EDGAR</v>
      </c>
      <c r="M181" s="6">
        <f t="shared" si="86"/>
        <v>8.8310185237787664E-3</v>
      </c>
      <c r="N181" s="7">
        <f t="shared" si="115"/>
        <v>12.716666674241424</v>
      </c>
      <c r="O181" s="7"/>
      <c r="P181" s="7"/>
      <c r="Q181" s="23"/>
      <c r="R181" s="23"/>
      <c r="S181" s="35">
        <f t="shared" si="97"/>
        <v>1</v>
      </c>
      <c r="T181" s="50" t="str">
        <f t="shared" si="87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10:55:38-700',mode:absolute,to:'2016-12-17 13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1" s="52" t="str">
        <f t="shared" si="89"/>
        <v>N</v>
      </c>
      <c r="X181" s="177">
        <f t="shared" si="116"/>
        <v>1</v>
      </c>
      <c r="Y181" s="67">
        <f t="shared" si="95"/>
        <v>0.1009</v>
      </c>
      <c r="Z181" s="67">
        <f t="shared" si="96"/>
        <v>5.8936999999999999</v>
      </c>
      <c r="AA181" s="67">
        <f t="shared" si="90"/>
        <v>5.7927999999999997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91"/>
        <v>1813-17</v>
      </c>
      <c r="AE181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81" s="88" t="str">
        <f t="shared" si="93"/>
        <v>"C:\Program Files (x86)\AstroGrep\AstroGrep.exe" /spath="%USERPROFILE%\AppData\Local\Temp\OnboardLogs" /stypes="app*4040*20161217*" /stext=" 19:.+((SYSTEM_STATE.+slice.+state.+changed )|(ment ac)|(multiple cpu faults)|(system.+state.+changed )|(\[timeout)|(PRM\|1\|D)|(kpr)|(kdp)|(\|lc)|(penalty))" /e /r /s</v>
      </c>
      <c r="AG181" s="1" t="str">
        <f t="shared" si="94"/>
        <v>NW</v>
      </c>
      <c r="AH181" s="92" t="str">
        <f t="shared" si="83"/>
        <v>"%USERPROFILE%\Documents\GitHub\eaglep3\Utilities\RefineRTDCRunTimes.py" --tripid 1813-17 --locoid 4040 --swversion DE.1.0.8.0 --startMP 204:1009 --initTime 2016-12-17T11:55:38 --startdatetime 2016-12-17T12:21:14 --delay 1 --endMP 300:58937 --enddatetime 2016-12-17T12:33:57 --enforcementcount 0 &gt;&gt;C:\Users\stu\Documents\GitHub\eaglep3-reporting\EC\2016-12-17-refined-times.txt</v>
      </c>
      <c r="AI181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{"issue":{"subject":"","project_id":79,"tracker_id":40,"status_id":1,"priority_id":2,"assigned_to_id":23,"start_date":"2016-12-17","description":"","custom_fields":[{"id":1,"name":"Subdivision","value":"NW"},{"id":4,"name":"Milepost","value":"5.8937"},{"id":17,"name":"Train ID","value":"1813-17"},{"id":16,"name":"Locomotive ID","value":"4040"},{"id":130,"name":"Impact","value":""},{"id":150,"name":"Time of Event (Mountain Time)","value":"12:33:57"},{"id":151,"name":"Denver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661</v>
      </c>
      <c r="B182" s="7">
        <v>4039</v>
      </c>
      <c r="C182" s="22" t="s">
        <v>205</v>
      </c>
      <c r="D182" s="22" t="s">
        <v>527</v>
      </c>
      <c r="E182" s="13">
        <v>42721.525335648148</v>
      </c>
      <c r="F182" s="13">
        <v>42721.528599537036</v>
      </c>
      <c r="G182" s="7">
        <v>1</v>
      </c>
      <c r="H182" s="22" t="s">
        <v>838</v>
      </c>
      <c r="I182" s="13">
        <v>42721.537928240738</v>
      </c>
      <c r="J182" s="7">
        <v>0</v>
      </c>
      <c r="K182" s="109" t="str">
        <f t="shared" si="85"/>
        <v>4039/4040</v>
      </c>
      <c r="L182" s="22" t="str">
        <f>VLOOKUP(A182,'Trips&amp;Operators'!$C$1:$G$99999,5,FALSE)</f>
        <v>YORK EDGAR</v>
      </c>
      <c r="M182" s="6">
        <f t="shared" si="86"/>
        <v>9.3287037016125396E-3</v>
      </c>
      <c r="N182" s="7">
        <f t="shared" si="115"/>
        <v>13.433333330322057</v>
      </c>
      <c r="O182" s="7"/>
      <c r="P182" s="7"/>
      <c r="Q182" s="23"/>
      <c r="R182" s="23"/>
      <c r="S182" s="35">
        <f t="shared" si="97"/>
        <v>1</v>
      </c>
      <c r="T182" s="50" t="str">
        <f t="shared" si="87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11:36:29-700',mode:absolute,to:'2016-12-17 13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2" s="52" t="str">
        <f t="shared" si="89"/>
        <v>N</v>
      </c>
      <c r="X182" s="177">
        <f t="shared" si="116"/>
        <v>1</v>
      </c>
      <c r="Y182" s="67">
        <f t="shared" si="95"/>
        <v>5.8620999999999999</v>
      </c>
      <c r="Z182" s="67">
        <f t="shared" si="96"/>
        <v>7.3300000000000004E-2</v>
      </c>
      <c r="AA182" s="67">
        <f t="shared" si="90"/>
        <v>5.7888000000000002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91"/>
        <v>1814-17</v>
      </c>
      <c r="AE182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82" s="88" t="str">
        <f t="shared" si="93"/>
        <v>"C:\Program Files (x86)\AstroGrep\AstroGrep.exe" /spath="%USERPROFILE%\AppData\Local\Temp\OnboardLogs" /stypes="app*4039*20161217*" /stext=" 19:.+((SYSTEM_STATE.+slice.+state.+changed )|(ment ac)|(multiple cpu faults)|(system.+state.+changed )|(\[timeout)|(PRM\|1\|D)|(kpr)|(kdp)|(\|lc)|(penalty))" /e /r /s</v>
      </c>
      <c r="AG182" s="1" t="str">
        <f t="shared" si="94"/>
        <v>NW</v>
      </c>
      <c r="AH182" s="92" t="str">
        <f t="shared" si="83"/>
        <v>"%USERPROFILE%\Documents\GitHub\eaglep3\Utilities\RefineRTDCRunTimes.py" --tripid 1814-17 --locoid 4039 --swversion DE.1.0.8.0 --startMP 300:58621 --initTime 2016-12-17T12:36:29 --startdatetime 2016-12-17T12:41:11 --delay 1 --endMP 204:733 --enddatetime 2016-12-17T12:54:37 --enforcementcount 0 &gt;&gt;C:\Users\stu\Documents\GitHub\eaglep3-reporting\EC\2016-12-17-refined-times.txt</v>
      </c>
      <c r="AI182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{"issue":{"subject":"","project_id":79,"tracker_id":40,"status_id":1,"priority_id":2,"assigned_to_id":23,"start_date":"2016-12-17","description":"","custom_fields":[{"id":1,"name":"Subdivision","value":"NW"},{"id":4,"name":"Milepost","value":"0.0733"},{"id":17,"name":"Train ID","value":"1814-17"},{"id":16,"name":"Locomotive ID","value":"4039"},{"id":130,"name":"Impact","value":""},{"id":150,"name":"Time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668</v>
      </c>
      <c r="B183" s="7">
        <v>4040</v>
      </c>
      <c r="C183" s="22" t="s">
        <v>205</v>
      </c>
      <c r="D183" s="22" t="s">
        <v>832</v>
      </c>
      <c r="E183" s="13">
        <v>42721.539386574077</v>
      </c>
      <c r="F183" s="13">
        <v>42721.556550925925</v>
      </c>
      <c r="G183" s="7">
        <v>1</v>
      </c>
      <c r="H183" s="22" t="s">
        <v>296</v>
      </c>
      <c r="I183" s="13">
        <v>42721.565416666665</v>
      </c>
      <c r="J183" s="7">
        <v>0</v>
      </c>
      <c r="K183" s="109" t="str">
        <f t="shared" si="85"/>
        <v>4039/4040</v>
      </c>
      <c r="L183" s="22" t="str">
        <f>VLOOKUP(A183,'Trips&amp;Operators'!$C$1:$G$99999,5,FALSE)</f>
        <v>YORK EDGAR</v>
      </c>
      <c r="M183" s="6">
        <f t="shared" si="86"/>
        <v>8.8657407395658083E-3</v>
      </c>
      <c r="N183" s="7">
        <f t="shared" si="115"/>
        <v>12.766666664974764</v>
      </c>
      <c r="O183" s="7"/>
      <c r="P183" s="7"/>
      <c r="Q183" s="23"/>
      <c r="R183" s="23"/>
      <c r="S183" s="35">
        <f t="shared" si="97"/>
        <v>1</v>
      </c>
      <c r="T183" s="50" t="str">
        <f t="shared" si="87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11:56:43-700',mode:absolute,to:'2016-12-17 14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3" s="52" t="str">
        <f t="shared" si="89"/>
        <v>N</v>
      </c>
      <c r="X183" s="177">
        <f t="shared" si="116"/>
        <v>1</v>
      </c>
      <c r="Y183" s="67">
        <f t="shared" si="95"/>
        <v>0.1011</v>
      </c>
      <c r="Z183" s="67">
        <f t="shared" si="96"/>
        <v>5.8930999999999996</v>
      </c>
      <c r="AA183" s="67">
        <f t="shared" si="90"/>
        <v>5.7919999999999998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91"/>
        <v>1815-17</v>
      </c>
      <c r="AE183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83" s="88" t="str">
        <f t="shared" si="93"/>
        <v>"C:\Program Files (x86)\AstroGrep\AstroGrep.exe" /spath="%USERPROFILE%\AppData\Local\Temp\OnboardLogs" /stypes="app*4040*20161217*" /stext=" 20:.+((SYSTEM_STATE.+slice.+state.+changed )|(ment ac)|(multiple cpu faults)|(system.+state.+changed )|(\[timeout)|(PRM\|1\|D)|(kpr)|(kdp)|(\|lc)|(penalty))" /e /r /s</v>
      </c>
      <c r="AG183" s="1" t="str">
        <f t="shared" si="94"/>
        <v>NW</v>
      </c>
      <c r="AH183" s="92" t="str">
        <f t="shared" si="83"/>
        <v>"%USERPROFILE%\Documents\GitHub\eaglep3\Utilities\RefineRTDCRunTimes.py" --tripid 1815-17 --locoid 4040 --swversion DE.1.0.8.0 --startMP 204:1011 --initTime 2016-12-17T12:56:43 --startdatetime 2016-12-17T13:21:26 --delay 1 --endMP 300:58931 --enddatetime 2016-12-17T13:34:12 --enforcementcount 0 &gt;&gt;C:\Users\stu\Documents\GitHub\eaglep3-reporting\EC\2016-12-17-refined-times.txt</v>
      </c>
      <c r="AI183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{"issue":{"subject":"","project_id":79,"tracker_id":40,"status_id":1,"priority_id":2,"assigned_to_id":23,"start_date":"2016-12-17","description":"","custom_fields":[{"id":1,"name":"Subdivision","value":"NW"},{"id":4,"name":"Milepost","value":"5.8931"},{"id":17,"name":"Train ID","value":"1815-17"},{"id":16,"name":"Locomotive ID","value":"4040"},{"id":130,"name":"Impact","value":""},{"id":150,"name":"Time of Event (Mountain Time)","value":"13:34:12"},{"id":151,"name":"Denver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671</v>
      </c>
      <c r="B184" s="7">
        <v>4039</v>
      </c>
      <c r="C184" s="22" t="s">
        <v>205</v>
      </c>
      <c r="D184" s="22" t="s">
        <v>270</v>
      </c>
      <c r="E184" s="13">
        <v>42721.568067129629</v>
      </c>
      <c r="F184" s="13">
        <v>42721.569930555554</v>
      </c>
      <c r="G184" s="7">
        <v>0</v>
      </c>
      <c r="H184" s="22" t="s">
        <v>839</v>
      </c>
      <c r="I184" s="13">
        <v>42721.580324074072</v>
      </c>
      <c r="J184" s="7">
        <v>0</v>
      </c>
      <c r="K184" s="109" t="str">
        <f t="shared" si="85"/>
        <v>4039/4040</v>
      </c>
      <c r="L184" s="22" t="str">
        <f>VLOOKUP(A184,'Trips&amp;Operators'!$C$1:$G$99999,5,FALSE)</f>
        <v>YORK EDGAR</v>
      </c>
      <c r="M184" s="6">
        <f t="shared" si="86"/>
        <v>1.0393518517958E-2</v>
      </c>
      <c r="N184" s="7">
        <f t="shared" si="115"/>
        <v>14.96666666585952</v>
      </c>
      <c r="O184" s="7"/>
      <c r="P184" s="7"/>
      <c r="Q184" s="23"/>
      <c r="R184" s="23"/>
      <c r="S184" s="35">
        <f t="shared" si="97"/>
        <v>1</v>
      </c>
      <c r="T184" s="50" t="str">
        <f t="shared" si="87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12:38:01-700',mode:absolute,to:'2016-12-17 14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4" s="52" t="str">
        <f t="shared" si="89"/>
        <v>N</v>
      </c>
      <c r="X184" s="177">
        <f t="shared" si="116"/>
        <v>1</v>
      </c>
      <c r="Y184" s="67">
        <f t="shared" si="95"/>
        <v>5.8623000000000003</v>
      </c>
      <c r="Z184" s="67">
        <f t="shared" si="96"/>
        <v>7.8700000000000006E-2</v>
      </c>
      <c r="AA184" s="67">
        <f t="shared" si="90"/>
        <v>5.7835999999999999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91"/>
        <v>1816-17</v>
      </c>
      <c r="AE184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84" s="88" t="str">
        <f t="shared" si="93"/>
        <v>"C:\Program Files (x86)\AstroGrep\AstroGrep.exe" /spath="%USERPROFILE%\AppData\Local\Temp\OnboardLogs" /stypes="app*4039*20161217*" /stext=" 20:.+((SYSTEM_STATE.+slice.+state.+changed )|(ment ac)|(multiple cpu faults)|(system.+state.+changed )|(\[timeout)|(PRM\|1\|D)|(kpr)|(kdp)|(\|lc)|(penalty))" /e /r /s</v>
      </c>
      <c r="AG184" s="1" t="str">
        <f t="shared" si="94"/>
        <v>NW</v>
      </c>
      <c r="AH184" s="92" t="str">
        <f t="shared" si="83"/>
        <v>"%USERPROFILE%\Documents\GitHub\eaglep3\Utilities\RefineRTDCRunTimes.py" --tripid 1816-17 --locoid 4039 --swversion DE.1.0.8.0 --startMP 300:58623 --initTime 2016-12-17T13:38:01 --startdatetime 2016-12-17T13:40:42 --delay 0 --endMP 204:787 --enddatetime 2016-12-17T13:55:40 --enforcementcount 0 &gt;&gt;C:\Users\stu\Documents\GitHub\eaglep3-reporting\EC\2016-12-17-refined-times.txt</v>
      </c>
      <c r="AI184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{"issue":{"subject":"","project_id":79,"tracker_id":40,"status_id":1,"priority_id":2,"assigned_to_id":23,"start_date":"2016-12-17","description":"","custom_fields":[{"id":1,"name":"Subdivision","value":"NW"},{"id":4,"name":"Milepost","value":"0.0787"},{"id":17,"name":"Train ID","value":"1816-17"},{"id":16,"name":"Locomotive ID","value":"4039"},{"id":130,"name":"Impact","value":""},{"id":150,"name":"Time of Event (Mountain Time)","value":"13:55:40"},{"id":151,"name":"Denver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675</v>
      </c>
      <c r="B185" s="7">
        <v>4040</v>
      </c>
      <c r="C185" s="22" t="s">
        <v>205</v>
      </c>
      <c r="D185" s="22" t="s">
        <v>840</v>
      </c>
      <c r="E185" s="13">
        <v>42721.587326388886</v>
      </c>
      <c r="F185" s="13">
        <v>42721.598217592589</v>
      </c>
      <c r="G185" s="7">
        <v>1</v>
      </c>
      <c r="H185" s="22" t="s">
        <v>296</v>
      </c>
      <c r="I185" s="13">
        <v>42721.608310185184</v>
      </c>
      <c r="J185" s="7">
        <v>0</v>
      </c>
      <c r="K185" s="109" t="str">
        <f t="shared" si="85"/>
        <v>4039/4040</v>
      </c>
      <c r="L185" s="22" t="str">
        <f>VLOOKUP(A185,'Trips&amp;Operators'!$C$1:$G$99999,5,FALSE)</f>
        <v>WHITED DUSTIN</v>
      </c>
      <c r="M185" s="6">
        <f t="shared" si="86"/>
        <v>1.0092592594446614E-2</v>
      </c>
      <c r="N185" s="7">
        <f t="shared" si="115"/>
        <v>14.533333336003125</v>
      </c>
      <c r="O185" s="7"/>
      <c r="P185" s="7"/>
      <c r="Q185" s="23"/>
      <c r="R185" s="23"/>
      <c r="S185" s="35">
        <f t="shared" si="97"/>
        <v>1</v>
      </c>
      <c r="T185" s="50" t="str">
        <f t="shared" si="87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13:05:45-700',mode:absolute,to:'2016-12-17 15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5" s="52" t="str">
        <f t="shared" si="89"/>
        <v>N</v>
      </c>
      <c r="X185" s="177">
        <f t="shared" si="116"/>
        <v>1</v>
      </c>
      <c r="Y185" s="67">
        <f t="shared" si="95"/>
        <v>0.10829999999999999</v>
      </c>
      <c r="Z185" s="67">
        <f t="shared" si="96"/>
        <v>5.8930999999999996</v>
      </c>
      <c r="AA185" s="67">
        <f t="shared" si="90"/>
        <v>5.7847999999999997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91"/>
        <v>1817-17</v>
      </c>
      <c r="AE185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85" s="88" t="str">
        <f t="shared" si="93"/>
        <v>"C:\Program Files (x86)\AstroGrep\AstroGrep.exe" /spath="%USERPROFILE%\AppData\Local\Temp\OnboardLogs" /stypes="app*4040*20161217*" /stext=" 21:.+((SYSTEM_STATE.+slice.+state.+changed )|(ment ac)|(multiple cpu faults)|(system.+state.+changed )|(\[timeout)|(PRM\|1\|D)|(kpr)|(kdp)|(\|lc)|(penalty))" /e /r /s</v>
      </c>
      <c r="AG185" s="1" t="str">
        <f t="shared" si="94"/>
        <v>NW</v>
      </c>
      <c r="AH185" s="92" t="str">
        <f t="shared" si="83"/>
        <v>"%USERPROFILE%\Documents\GitHub\eaglep3\Utilities\RefineRTDCRunTimes.py" --tripid 1817-17 --locoid 4040 --swversion DE.1.0.8.0 --startMP 204:1083 --initTime 2016-12-17T14:05:45 --startdatetime 2016-12-17T14:21:26 --delay 1 --endMP 300:58931 --enddatetime 2016-12-17T14:35:58 --enforcementcount 0 &gt;&gt;C:\Users\stu\Documents\GitHub\eaglep3-reporting\EC\2016-12-17-refined-times.txt</v>
      </c>
      <c r="AI185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{"issue":{"subject":"","project_id":79,"tracker_id":40,"status_id":1,"priority_id":2,"assigned_to_id":23,"start_date":"2016-12-17","description":"","custom_fields":[{"id":1,"name":"Subdivision","value":"NW"},{"id":4,"name":"Milepost","value":"5.8931"},{"id":17,"name":"Train ID","value":"1817-17"},{"id":16,"name":"Locomotive ID","value":"4040"},{"id":130,"name":"Impact","value":""},{"id":150,"name":"Time of Event (Mountain Time)","value":"14:35:58"},{"id":151,"name":"Denver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680</v>
      </c>
      <c r="B186" s="7">
        <v>4039</v>
      </c>
      <c r="C186" s="22" t="s">
        <v>205</v>
      </c>
      <c r="D186" s="22" t="s">
        <v>298</v>
      </c>
      <c r="E186" s="13">
        <v>42721.61</v>
      </c>
      <c r="F186" s="13">
        <v>42721.611597222225</v>
      </c>
      <c r="G186" s="7">
        <v>1</v>
      </c>
      <c r="H186" s="22" t="s">
        <v>529</v>
      </c>
      <c r="I186" s="13">
        <v>42721.622303240743</v>
      </c>
      <c r="J186" s="7">
        <v>0</v>
      </c>
      <c r="K186" s="109" t="str">
        <f t="shared" si="85"/>
        <v>4039/4040</v>
      </c>
      <c r="L186" s="22" t="str">
        <f>VLOOKUP(A186,'Trips&amp;Operators'!$C$1:$G$99999,5,FALSE)</f>
        <v>WHITED DUSTIN</v>
      </c>
      <c r="M186" s="6">
        <f t="shared" si="86"/>
        <v>1.0706018518249039E-2</v>
      </c>
      <c r="N186" s="7">
        <f t="shared" si="115"/>
        <v>15.416666666278616</v>
      </c>
      <c r="O186" s="7"/>
      <c r="P186" s="7"/>
      <c r="Q186" s="23"/>
      <c r="R186" s="23"/>
      <c r="S186" s="35">
        <f t="shared" si="97"/>
        <v>1</v>
      </c>
      <c r="T186" s="50" t="str">
        <f t="shared" si="87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13:38:24-700',mode:absolute,to:'2016-12-17 15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6" s="52" t="str">
        <f t="shared" si="89"/>
        <v>N</v>
      </c>
      <c r="X186" s="177">
        <f t="shared" si="116"/>
        <v>1</v>
      </c>
      <c r="Y186" s="67">
        <f t="shared" si="95"/>
        <v>5.8613</v>
      </c>
      <c r="Z186" s="67">
        <f t="shared" si="96"/>
        <v>6.7100000000000007E-2</v>
      </c>
      <c r="AA186" s="67">
        <f t="shared" si="90"/>
        <v>5.7942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91"/>
        <v>1818-17</v>
      </c>
      <c r="AE186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86" s="88" t="str">
        <f t="shared" si="93"/>
        <v>"C:\Program Files (x86)\AstroGrep\AstroGrep.exe" /spath="%USERPROFILE%\AppData\Local\Temp\OnboardLogs" /stypes="app*4039*20161217*" /stext=" 21:.+((SYSTEM_STATE.+slice.+state.+changed )|(ment ac)|(multiple cpu faults)|(system.+state.+changed )|(\[timeout)|(PRM\|1\|D)|(kpr)|(kdp)|(\|lc)|(penalty))" /e /r /s</v>
      </c>
      <c r="AG186" s="1" t="str">
        <f t="shared" si="94"/>
        <v>NW</v>
      </c>
      <c r="AH186" s="92" t="str">
        <f t="shared" si="83"/>
        <v>"%USERPROFILE%\Documents\GitHub\eaglep3\Utilities\RefineRTDCRunTimes.py" --tripid 1818-17 --locoid 4039 --swversion DE.1.0.8.0 --startMP 300:58613 --initTime 2016-12-17T14:38:24 --startdatetime 2016-12-17T14:40:42 --delay 1 --endMP 204:671 --enddatetime 2016-12-17T14:56:07 --enforcementcount 0 &gt;&gt;C:\Users\stu\Documents\GitHub\eaglep3-reporting\EC\2016-12-17-refined-times.txt</v>
      </c>
      <c r="AI186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{"issue":{"subject":"","project_id":79,"tracker_id":40,"status_id":1,"priority_id":2,"assigned_to_id":23,"start_date":"2016-12-17","description":"","custom_fields":[{"id":1,"name":"Subdivision","value":"NW"},{"id":4,"name":"Milepost","value":"0.0671"},{"id":17,"name":"Train ID","value":"1818-17"},{"id":16,"name":"Locomotive ID","value":"4039"},{"id":130,"name":"Impact","value":""},{"id":150,"name":"Time of Event (Mountain Time)","value":"14:56:07"},{"id":151,"name":"Denver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682</v>
      </c>
      <c r="B187" s="7">
        <v>4040</v>
      </c>
      <c r="C187" s="22" t="s">
        <v>205</v>
      </c>
      <c r="D187" s="22" t="s">
        <v>526</v>
      </c>
      <c r="E187" s="13">
        <v>42721.625381944446</v>
      </c>
      <c r="F187" s="13">
        <v>42721.639791666668</v>
      </c>
      <c r="G187" s="7">
        <v>1</v>
      </c>
      <c r="H187" s="22" t="s">
        <v>835</v>
      </c>
      <c r="I187" s="13">
        <v>42721.649699074071</v>
      </c>
      <c r="J187" s="7">
        <v>0</v>
      </c>
      <c r="K187" s="109" t="str">
        <f t="shared" si="85"/>
        <v>4039/4040</v>
      </c>
      <c r="L187" s="22" t="str">
        <f>VLOOKUP(A187,'Trips&amp;Operators'!$C$1:$G$99999,5,FALSE)</f>
        <v>WHITED DUSTIN</v>
      </c>
      <c r="M187" s="6">
        <f t="shared" si="86"/>
        <v>9.9074074023519643E-3</v>
      </c>
      <c r="N187" s="7">
        <f t="shared" si="115"/>
        <v>14.266666659386829</v>
      </c>
      <c r="O187" s="7"/>
      <c r="P187" s="7"/>
      <c r="Q187" s="23"/>
      <c r="R187" s="23"/>
      <c r="S187" s="35">
        <f t="shared" si="97"/>
        <v>1</v>
      </c>
      <c r="T187" s="50" t="str">
        <f t="shared" si="87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14:00:33-700',mode:absolute,to:'2016-12-17 16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7" s="52" t="str">
        <f t="shared" si="89"/>
        <v>N</v>
      </c>
      <c r="X187" s="177">
        <f t="shared" si="116"/>
        <v>1</v>
      </c>
      <c r="Y187" s="67">
        <f t="shared" si="95"/>
        <v>9.7100000000000006E-2</v>
      </c>
      <c r="Z187" s="67">
        <f t="shared" si="96"/>
        <v>5.8943000000000003</v>
      </c>
      <c r="AA187" s="67">
        <f t="shared" si="90"/>
        <v>5.7972000000000001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91"/>
        <v>1819-17</v>
      </c>
      <c r="AE187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87" s="88" t="str">
        <f t="shared" si="93"/>
        <v>"C:\Program Files (x86)\AstroGrep\AstroGrep.exe" /spath="%USERPROFILE%\AppData\Local\Temp\OnboardLogs" /stypes="app*4040*20161217*" /stext=" 22:.+((SYSTEM_STATE.+slice.+state.+changed )|(ment ac)|(multiple cpu faults)|(system.+state.+changed )|(\[timeout)|(PRM\|1\|D)|(kpr)|(kdp)|(\|lc)|(penalty))" /e /r /s</v>
      </c>
      <c r="AG187" s="1" t="str">
        <f t="shared" si="94"/>
        <v>NW</v>
      </c>
      <c r="AH187" s="92" t="str">
        <f t="shared" si="83"/>
        <v>"%USERPROFILE%\Documents\GitHub\eaglep3\Utilities\RefineRTDCRunTimes.py" --tripid 1819-17 --locoid 4040 --swversion DE.1.0.8.0 --startMP 204:971 --initTime 2016-12-17T15:00:33 --startdatetime 2016-12-17T15:21:18 --delay 1 --endMP 300:58943 --enddatetime 2016-12-17T15:35:34 --enforcementcount 0 &gt;&gt;C:\Users\stu\Documents\GitHub\eaglep3-reporting\EC\2016-12-17-refined-times.txt</v>
      </c>
      <c r="AI187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{"issue":{"subject":"","project_id":79,"tracker_id":40,"status_id":1,"priority_id":2,"assigned_to_id":23,"start_date":"2016-12-17","description":"","custom_fields":[{"id":1,"name":"Subdivision","value":"NW"},{"id":4,"name":"Milepost","value":"5.8943"},{"id":17,"name":"Train ID","value":"1819-17"},{"id":16,"name":"Locomotive ID","value":"4040"},{"id":130,"name":"Impact","value":""},{"id":150,"name":"Time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687</v>
      </c>
      <c r="B188" s="7">
        <v>4039</v>
      </c>
      <c r="C188" s="22" t="s">
        <v>205</v>
      </c>
      <c r="D188" s="22" t="s">
        <v>343</v>
      </c>
      <c r="E188" s="13">
        <v>42721.651562500003</v>
      </c>
      <c r="F188" s="13">
        <v>42721.653460648151</v>
      </c>
      <c r="G188" s="7">
        <v>1</v>
      </c>
      <c r="H188" s="22" t="s">
        <v>841</v>
      </c>
      <c r="I188" s="13">
        <v>42721.663923611108</v>
      </c>
      <c r="J188" s="7">
        <v>0</v>
      </c>
      <c r="K188" s="109" t="str">
        <f t="shared" si="85"/>
        <v>4039/4040</v>
      </c>
      <c r="L188" s="22" t="str">
        <f>VLOOKUP(A188,'Trips&amp;Operators'!$C$1:$G$99999,5,FALSE)</f>
        <v>WHITED DUSTIN</v>
      </c>
      <c r="M188" s="6">
        <f t="shared" si="86"/>
        <v>1.0462962956808042E-2</v>
      </c>
      <c r="N188" s="7">
        <f t="shared" si="115"/>
        <v>15.06666665780358</v>
      </c>
      <c r="O188" s="7"/>
      <c r="P188" s="7"/>
      <c r="Q188" s="23"/>
      <c r="R188" s="23"/>
      <c r="S188" s="35">
        <f t="shared" si="97"/>
        <v>1</v>
      </c>
      <c r="T188" s="50" t="str">
        <f t="shared" si="87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14:38:15-700',mode:absolute,to:'2016-12-17 16:56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8" s="52" t="str">
        <f t="shared" si="89"/>
        <v>N</v>
      </c>
      <c r="X188" s="177">
        <f t="shared" si="116"/>
        <v>1</v>
      </c>
      <c r="Y188" s="67">
        <f t="shared" si="95"/>
        <v>5.8624000000000001</v>
      </c>
      <c r="Z188" s="67">
        <f t="shared" si="96"/>
        <v>6.8400000000000002E-2</v>
      </c>
      <c r="AA188" s="67">
        <f t="shared" si="90"/>
        <v>5.7940000000000005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91"/>
        <v>1820-17</v>
      </c>
      <c r="AE188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88" s="88" t="str">
        <f t="shared" si="93"/>
        <v>"C:\Program Files (x86)\AstroGrep\AstroGrep.exe" /spath="%USERPROFILE%\AppData\Local\Temp\OnboardLogs" /stypes="app*4039*20161217*" /stext=" 22:.+((SYSTEM_STATE.+slice.+state.+changed )|(ment ac)|(multiple cpu faults)|(system.+state.+changed )|(\[timeout)|(PRM\|1\|D)|(kpr)|(kdp)|(\|lc)|(penalty))" /e /r /s</v>
      </c>
      <c r="AG188" s="1" t="str">
        <f t="shared" si="94"/>
        <v>NW</v>
      </c>
      <c r="AH188" s="92" t="str">
        <f t="shared" si="83"/>
        <v>"%USERPROFILE%\Documents\GitHub\eaglep3\Utilities\RefineRTDCRunTimes.py" --tripid 1820-17 --locoid 4039 --swversion DE.1.0.8.0 --startMP 300:58624 --initTime 2016-12-17T15:38:15 --startdatetime 2016-12-17T15:40:59 --delay 1 --endMP 204:684 --enddatetime 2016-12-17T15:56:03 --enforcementcount 0 &gt;&gt;C:\Users\stu\Documents\GitHub\eaglep3-reporting\EC\2016-12-17-refined-times.txt</v>
      </c>
      <c r="AI188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{"issue":{"subject":"","project_id":79,"tracker_id":40,"status_id":1,"priority_id":2,"assigned_to_id":23,"start_date":"2016-12-17","description":"","custom_fields":[{"id":1,"name":"Subdivision","value":"NW"},{"id":4,"name":"Milepost","value":"0.0684"},{"id":17,"name":"Train ID","value":"1820-17"},{"id":16,"name":"Locomotive ID","value":"4039"},{"id":130,"name":"Impact","value":""},{"id":150,"name":"Time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691</v>
      </c>
      <c r="B189" s="7">
        <v>4040</v>
      </c>
      <c r="C189" s="22" t="s">
        <v>205</v>
      </c>
      <c r="D189" s="22" t="s">
        <v>347</v>
      </c>
      <c r="E189" s="13">
        <v>42721.66746527778</v>
      </c>
      <c r="F189" s="13">
        <v>42721.681469907409</v>
      </c>
      <c r="G189" s="7">
        <v>1</v>
      </c>
      <c r="H189" s="22" t="s">
        <v>842</v>
      </c>
      <c r="I189" s="13">
        <v>42721.691990740743</v>
      </c>
      <c r="J189" s="7">
        <v>0</v>
      </c>
      <c r="K189" s="109" t="str">
        <f t="shared" si="85"/>
        <v>4039/4040</v>
      </c>
      <c r="L189" s="22" t="str">
        <f>VLOOKUP(A189,'Trips&amp;Operators'!$C$1:$G$99999,5,FALSE)</f>
        <v>WHITED DUSTIN</v>
      </c>
      <c r="M189" s="6">
        <f t="shared" si="86"/>
        <v>1.0520833333430346E-2</v>
      </c>
      <c r="N189" s="7">
        <f t="shared" si="115"/>
        <v>15.150000000139698</v>
      </c>
      <c r="O189" s="7"/>
      <c r="P189" s="7"/>
      <c r="Q189" s="23"/>
      <c r="R189" s="23"/>
      <c r="S189" s="35">
        <f t="shared" si="97"/>
        <v>1</v>
      </c>
      <c r="T189" s="50" t="str">
        <f t="shared" si="87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15:01:09-700',mode:absolute,to:'2016-12-17 17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9" s="52" t="str">
        <f t="shared" si="89"/>
        <v>N</v>
      </c>
      <c r="X189" s="177">
        <f t="shared" si="116"/>
        <v>1</v>
      </c>
      <c r="Y189" s="67">
        <f t="shared" si="95"/>
        <v>9.69E-2</v>
      </c>
      <c r="Z189" s="67">
        <f t="shared" si="96"/>
        <v>5.8949999999999996</v>
      </c>
      <c r="AA189" s="67">
        <f t="shared" si="90"/>
        <v>5.7980999999999998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91"/>
        <v>1821-17</v>
      </c>
      <c r="AE189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89" s="88" t="str">
        <f t="shared" si="93"/>
        <v>"C:\Program Files (x86)\AstroGrep\AstroGrep.exe" /spath="%USERPROFILE%\AppData\Local\Temp\OnboardLogs" /stypes="app*4040*20161217*" /stext=" 23:.+((SYSTEM_STATE.+slice.+state.+changed )|(ment ac)|(multiple cpu faults)|(system.+state.+changed )|(\[timeout)|(PRM\|1\|D)|(kpr)|(kdp)|(\|lc)|(penalty))" /e /r /s</v>
      </c>
      <c r="AG189" s="1" t="str">
        <f t="shared" si="94"/>
        <v>NW</v>
      </c>
      <c r="AH189" s="92" t="str">
        <f t="shared" si="83"/>
        <v>"%USERPROFILE%\Documents\GitHub\eaglep3\Utilities\RefineRTDCRunTimes.py" --tripid 1821-17 --locoid 4040 --swversion DE.1.0.8.0 --startMP 204:969 --initTime 2016-12-17T16:01:09 --startdatetime 2016-12-17T16:21:19 --delay 1 --endMP 300:58950 --enddatetime 2016-12-17T16:36:28 --enforcementcount 0 &gt;&gt;C:\Users\stu\Documents\GitHub\eaglep3-reporting\EC\2016-12-17-refined-times.txt</v>
      </c>
      <c r="AI189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{"issue":{"subject":"","project_id":79,"tracker_id":40,"status_id":1,"priority_id":2,"assigned_to_id":23,"start_date":"2016-12-17","description":"","custom_fields":[{"id":1,"name":"Subdivision","value":"NW"},{"id":4,"name":"Milepost","value":"5.895"},{"id":17,"name":"Train ID","value":"1821-17"},{"id":16,"name":"Locomotive ID","value":"4040"},{"id":130,"name":"Impact","value":""},{"id":150,"name":"Time of Event (Mountain Time)","value":"16:36:28"},{"id":151,"name":"Denver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695</v>
      </c>
      <c r="B190" s="7">
        <v>4039</v>
      </c>
      <c r="C190" s="22" t="s">
        <v>205</v>
      </c>
      <c r="D190" s="22" t="s">
        <v>843</v>
      </c>
      <c r="E190" s="13">
        <v>42721.69390046296</v>
      </c>
      <c r="F190" s="13">
        <v>42721.695659722223</v>
      </c>
      <c r="G190" s="7">
        <v>1</v>
      </c>
      <c r="H190" s="22" t="s">
        <v>529</v>
      </c>
      <c r="I190" s="13">
        <v>42721.705358796295</v>
      </c>
      <c r="J190" s="7">
        <v>0</v>
      </c>
      <c r="K190" s="109" t="str">
        <f t="shared" si="85"/>
        <v>4039/4040</v>
      </c>
      <c r="L190" s="22" t="str">
        <f>VLOOKUP(A190,'Trips&amp;Operators'!$C$1:$G$99999,5,FALSE)</f>
        <v>WHITED DUSTIN</v>
      </c>
      <c r="M190" s="6">
        <f t="shared" si="86"/>
        <v>9.6990740712499246E-3</v>
      </c>
      <c r="N190" s="7">
        <f t="shared" si="115"/>
        <v>13.966666662599891</v>
      </c>
      <c r="O190" s="7"/>
      <c r="P190" s="7"/>
      <c r="Q190" s="23"/>
      <c r="R190" s="23"/>
      <c r="S190" s="35">
        <f t="shared" si="97"/>
        <v>1</v>
      </c>
      <c r="T190" s="50" t="str">
        <f t="shared" si="87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15:39:13-700',mode:absolute,to:'2016-12-17 17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0" s="52" t="str">
        <f t="shared" si="89"/>
        <v>N</v>
      </c>
      <c r="X190" s="177">
        <f t="shared" si="116"/>
        <v>1</v>
      </c>
      <c r="Y190" s="67">
        <f t="shared" si="95"/>
        <v>5.8639999999999999</v>
      </c>
      <c r="Z190" s="67">
        <f t="shared" si="96"/>
        <v>6.7100000000000007E-2</v>
      </c>
      <c r="AA190" s="67">
        <f t="shared" si="90"/>
        <v>5.7968999999999999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91"/>
        <v>1822-17</v>
      </c>
      <c r="AE190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90" s="88" t="str">
        <f t="shared" si="93"/>
        <v>"C:\Program Files (x86)\AstroGrep\AstroGrep.exe" /spath="%USERPROFILE%\AppData\Local\Temp\OnboardLogs" /stypes="app*4039*20161217*" /stext=" 23:.+((SYSTEM_STATE.+slice.+state.+changed )|(ment ac)|(multiple cpu faults)|(system.+state.+changed )|(\[timeout)|(PRM\|1\|D)|(kpr)|(kdp)|(\|lc)|(penalty))" /e /r /s</v>
      </c>
      <c r="AG190" s="1" t="str">
        <f t="shared" si="94"/>
        <v>NW</v>
      </c>
      <c r="AH190" s="92" t="str">
        <f t="shared" si="83"/>
        <v>"%USERPROFILE%\Documents\GitHub\eaglep3\Utilities\RefineRTDCRunTimes.py" --tripid 1822-17 --locoid 4039 --swversion DE.1.0.8.0 --startMP 300:58640 --initTime 2016-12-17T16:39:13 --startdatetime 2016-12-17T16:41:45 --delay 1 --endMP 204:671 --enddatetime 2016-12-17T16:55:43 --enforcementcount 0 &gt;&gt;C:\Users\stu\Documents\GitHub\eaglep3-reporting\EC\2016-12-17-refined-times.txt</v>
      </c>
      <c r="AI190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{"issue":{"subject":"","project_id":79,"tracker_id":40,"status_id":1,"priority_id":2,"assigned_to_id":23,"start_date":"2016-12-17","description":"","custom_fields":[{"id":1,"name":"Subdivision","value":"NW"},{"id":4,"name":"Milepost","value":"0.0671"},{"id":17,"name":"Train ID","value":"1822-17"},{"id":16,"name":"Locomotive ID","value":"4039"},{"id":130,"name":"Impact","value":""},{"id":150,"name":"Time of Event (Mountain Time)","value":"16:55:43"},{"id":151,"name":"Denver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698</v>
      </c>
      <c r="B191" s="7">
        <v>4040</v>
      </c>
      <c r="C191" s="22" t="s">
        <v>205</v>
      </c>
      <c r="D191" s="22" t="s">
        <v>345</v>
      </c>
      <c r="E191" s="13">
        <v>42721.712106481478</v>
      </c>
      <c r="F191" s="13">
        <v>42721.723090277781</v>
      </c>
      <c r="G191" s="7">
        <v>1</v>
      </c>
      <c r="H191" s="22" t="s">
        <v>844</v>
      </c>
      <c r="I191" s="13">
        <v>42721.73333333333</v>
      </c>
      <c r="J191" s="7">
        <v>0</v>
      </c>
      <c r="K191" s="109" t="str">
        <f t="shared" si="85"/>
        <v>4039/4040</v>
      </c>
      <c r="L191" s="22" t="str">
        <f>VLOOKUP(A191,'Trips&amp;Operators'!$C$1:$G$99999,5,FALSE)</f>
        <v>WHITED DUSTIN</v>
      </c>
      <c r="M191" s="6">
        <f t="shared" si="86"/>
        <v>1.024305554892635E-2</v>
      </c>
      <c r="N191" s="7">
        <f t="shared" si="115"/>
        <v>14.749999990453944</v>
      </c>
      <c r="O191" s="7"/>
      <c r="P191" s="7"/>
      <c r="Q191" s="23"/>
      <c r="R191" s="23"/>
      <c r="S191" s="35">
        <f t="shared" si="97"/>
        <v>1</v>
      </c>
      <c r="T191" s="50" t="str">
        <f t="shared" si="87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16:05:26-700',mode:absolute,to:'2016-12-17 18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1" s="52" t="str">
        <f t="shared" si="89"/>
        <v>N</v>
      </c>
      <c r="X191" s="177">
        <f t="shared" si="116"/>
        <v>1</v>
      </c>
      <c r="Y191" s="67">
        <f t="shared" si="95"/>
        <v>9.6500000000000002E-2</v>
      </c>
      <c r="Z191" s="67">
        <f t="shared" si="96"/>
        <v>5.8956</v>
      </c>
      <c r="AA191" s="67">
        <f t="shared" si="90"/>
        <v>5.7991000000000001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91"/>
        <v>1823-17</v>
      </c>
      <c r="AE191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91" s="88" t="str">
        <f t="shared" si="93"/>
        <v>"C:\Program Files (x86)\AstroGrep\AstroGrep.exe" /spath="%USERPROFILE%\AppData\Local\Temp\OnboardLogs" /stypes="app*4040*20161218*" /stext=" 00:.+((SYSTEM_STATE.+slice.+state.+changed )|(ment ac)|(multiple cpu faults)|(system.+state.+changed )|(\[timeout)|(PRM\|1\|D)|(kpr)|(kdp)|(\|lc)|(penalty))" /e /r /s</v>
      </c>
      <c r="AG191" s="1" t="str">
        <f t="shared" si="94"/>
        <v>NW</v>
      </c>
      <c r="AH191" s="92" t="str">
        <f t="shared" si="83"/>
        <v>"%USERPROFILE%\Documents\GitHub\eaglep3\Utilities\RefineRTDCRunTimes.py" --tripid 1823-17 --locoid 4040 --swversion DE.1.0.8.0 --startMP 204:965 --initTime 2016-12-17T17:05:26 --startdatetime 2016-12-17T17:21:15 --delay 1 --endMP 300:58956 --enddatetime 2016-12-17T17:36:00 --enforcementcount 0 &gt;&gt;C:\Users\stu\Documents\GitHub\eaglep3-reporting\EC\2016-12-17-refined-times.txt</v>
      </c>
      <c r="AI191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{"issue":{"subject":"","project_id":79,"tracker_id":40,"status_id":1,"priority_id":2,"assigned_to_id":23,"start_date":"2016-12-17","description":"","custom_fields":[{"id":1,"name":"Subdivision","value":"NW"},{"id":4,"name":"Milepost","value":"5.8956"},{"id":17,"name":"Train ID","value":"1823-17"},{"id":16,"name":"Locomotive ID","value":"4040"},{"id":130,"name":"Impact","value":""},{"id":150,"name":"Time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704</v>
      </c>
      <c r="B192" s="7">
        <v>4039</v>
      </c>
      <c r="C192" s="22" t="s">
        <v>205</v>
      </c>
      <c r="D192" s="22" t="s">
        <v>528</v>
      </c>
      <c r="E192" s="13">
        <v>42721.734513888892</v>
      </c>
      <c r="F192" s="13">
        <v>42721.736215277779</v>
      </c>
      <c r="G192" s="7">
        <v>1</v>
      </c>
      <c r="H192" s="22" t="s">
        <v>845</v>
      </c>
      <c r="I192" s="13">
        <v>42721.747881944444</v>
      </c>
      <c r="J192" s="7">
        <v>0</v>
      </c>
      <c r="K192" s="109" t="str">
        <f t="shared" si="85"/>
        <v>4039/4040</v>
      </c>
      <c r="L192" s="22" t="str">
        <f>VLOOKUP(A192,'Trips&amp;Operators'!$C$1:$G$99999,5,FALSE)</f>
        <v>WHITED DUSTIN</v>
      </c>
      <c r="M192" s="6">
        <f t="shared" si="86"/>
        <v>1.1666666665405501E-2</v>
      </c>
      <c r="N192" s="7">
        <f t="shared" si="115"/>
        <v>16.799999998183921</v>
      </c>
      <c r="O192" s="7"/>
      <c r="P192" s="7"/>
      <c r="Q192" s="23"/>
      <c r="R192" s="23"/>
      <c r="S192" s="35">
        <f t="shared" si="97"/>
        <v>1</v>
      </c>
      <c r="T192" s="50" t="str">
        <f t="shared" si="87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16:37:42-700',mode:absolute,to:'2016-12-17 18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2" s="52" t="str">
        <f t="shared" si="89"/>
        <v>N</v>
      </c>
      <c r="X192" s="177">
        <f t="shared" si="116"/>
        <v>1</v>
      </c>
      <c r="Y192" s="67">
        <f t="shared" si="95"/>
        <v>5.8630000000000004</v>
      </c>
      <c r="Z192" s="67">
        <f t="shared" si="96"/>
        <v>6.6600000000000006E-2</v>
      </c>
      <c r="AA192" s="67">
        <f t="shared" si="90"/>
        <v>5.7964000000000002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91"/>
        <v>1824-17</v>
      </c>
      <c r="AE192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92" s="88" t="str">
        <f t="shared" si="93"/>
        <v>"C:\Program Files (x86)\AstroGrep\AstroGrep.exe" /spath="%USERPROFILE%\AppData\Local\Temp\OnboardLogs" /stypes="app*4039*20161218*" /stext=" 00:.+((SYSTEM_STATE.+slice.+state.+changed )|(ment ac)|(multiple cpu faults)|(system.+state.+changed )|(\[timeout)|(PRM\|1\|D)|(kpr)|(kdp)|(\|lc)|(penalty))" /e /r /s</v>
      </c>
      <c r="AG192" s="1" t="str">
        <f t="shared" si="94"/>
        <v>NW</v>
      </c>
      <c r="AH192" s="92" t="str">
        <f t="shared" si="83"/>
        <v>"%USERPROFILE%\Documents\GitHub\eaglep3\Utilities\RefineRTDCRunTimes.py" --tripid 1824-17 --locoid 4039 --swversion DE.1.0.8.0 --startMP 300:58630 --initTime 2016-12-17T17:37:42 --startdatetime 2016-12-17T17:40:09 --delay 1 --endMP 204:666 --enddatetime 2016-12-17T17:56:57 --enforcementcount 0 &gt;&gt;C:\Users\stu\Documents\GitHub\eaglep3-reporting\EC\2016-12-17-refined-times.txt</v>
      </c>
      <c r="AI192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{"issue":{"subject":"","project_id":79,"tracker_id":40,"status_id":1,"priority_id":2,"assigned_to_id":23,"start_date":"2016-12-17","description":"","custom_fields":[{"id":1,"name":"Subdivision","value":"NW"},{"id":4,"name":"Milepost","value":"0.0666"},{"id":17,"name":"Train ID","value":"1824-17"},{"id":16,"name":"Locomotive ID","value":"4039"},{"id":130,"name":"Impact","value":""},{"id":150,"name":"Time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708</v>
      </c>
      <c r="B193" s="7">
        <v>4040</v>
      </c>
      <c r="C193" s="22" t="s">
        <v>205</v>
      </c>
      <c r="D193" s="22" t="s">
        <v>347</v>
      </c>
      <c r="E193" s="13">
        <v>42721.750810185185</v>
      </c>
      <c r="F193" s="13">
        <v>42721.764988425923</v>
      </c>
      <c r="G193" s="7">
        <v>1</v>
      </c>
      <c r="H193" s="22" t="s">
        <v>846</v>
      </c>
      <c r="I193" s="13">
        <v>42721.774965277778</v>
      </c>
      <c r="J193" s="7">
        <v>0</v>
      </c>
      <c r="K193" s="109" t="str">
        <f t="shared" si="85"/>
        <v>4039/4040</v>
      </c>
      <c r="L193" s="22" t="str">
        <f>VLOOKUP(A193,'Trips&amp;Operators'!$C$1:$G$99999,5,FALSE)</f>
        <v>WHITED DUSTIN</v>
      </c>
      <c r="M193" s="6">
        <f t="shared" si="86"/>
        <v>9.976851855753921E-3</v>
      </c>
      <c r="N193" s="7">
        <f t="shared" si="115"/>
        <v>14.366666672285646</v>
      </c>
      <c r="O193" s="7"/>
      <c r="P193" s="7"/>
      <c r="Q193" s="23"/>
      <c r="R193" s="23"/>
      <c r="S193" s="35">
        <f t="shared" si="97"/>
        <v>1</v>
      </c>
      <c r="T193" s="50" t="str">
        <f t="shared" si="87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17:01:10-700',mode:absolute,to:'2016-12-17 19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3" s="52" t="str">
        <f t="shared" si="89"/>
        <v>N</v>
      </c>
      <c r="X193" s="177">
        <f t="shared" si="116"/>
        <v>1</v>
      </c>
      <c r="Y193" s="67">
        <f t="shared" si="95"/>
        <v>9.69E-2</v>
      </c>
      <c r="Z193" s="67">
        <f t="shared" si="96"/>
        <v>5.8963000000000001</v>
      </c>
      <c r="AA193" s="67">
        <f t="shared" si="90"/>
        <v>5.7994000000000003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91"/>
        <v>1825-17</v>
      </c>
      <c r="AE193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93" s="88" t="str">
        <f t="shared" si="93"/>
        <v>"C:\Program Files (x86)\AstroGrep\AstroGrep.exe" /spath="%USERPROFILE%\AppData\Local\Temp\OnboardLogs" /stypes="app*4040*20161218*" /stext=" 01:.+((SYSTEM_STATE.+slice.+state.+changed )|(ment ac)|(multiple cpu faults)|(system.+state.+changed )|(\[timeout)|(PRM\|1\|D)|(kpr)|(kdp)|(\|lc)|(penalty))" /e /r /s</v>
      </c>
      <c r="AG193" s="1" t="str">
        <f t="shared" si="94"/>
        <v>NW</v>
      </c>
      <c r="AH193" s="92" t="str">
        <f t="shared" si="83"/>
        <v>"%USERPROFILE%\Documents\GitHub\eaglep3\Utilities\RefineRTDCRunTimes.py" --tripid 1825-17 --locoid 4040 --swversion DE.1.0.8.0 --startMP 204:969 --initTime 2016-12-17T18:01:10 --startdatetime 2016-12-17T18:21:35 --delay 1 --endMP 300:58963 --enddatetime 2016-12-17T18:35:57 --enforcementcount 0 &gt;&gt;C:\Users\stu\Documents\GitHub\eaglep3-reporting\EC\2016-12-17-refined-times.txt</v>
      </c>
      <c r="AI193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{"issue":{"subject":"","project_id":79,"tracker_id":40,"status_id":1,"priority_id":2,"assigned_to_id":23,"start_date":"2016-12-17","description":"","custom_fields":[{"id":1,"name":"Subdivision","value":"NW"},{"id":4,"name":"Milepost","value":"5.8963"},{"id":17,"name":"Train ID","value":"1825-17"},{"id":16,"name":"Locomotive ID","value":"4040"},{"id":130,"name":"Impact","value":""},{"id":150,"name":"Time of Event (Mountain Time)","value":"18:35:57"},{"id":151,"name":"Denver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714</v>
      </c>
      <c r="B194" s="7">
        <v>4039</v>
      </c>
      <c r="C194" s="22" t="s">
        <v>205</v>
      </c>
      <c r="D194" s="22" t="s">
        <v>847</v>
      </c>
      <c r="E194" s="13">
        <v>42721.776377314818</v>
      </c>
      <c r="F194" s="13">
        <v>42721.777939814812</v>
      </c>
      <c r="G194" s="7">
        <v>1</v>
      </c>
      <c r="H194" s="22" t="s">
        <v>349</v>
      </c>
      <c r="I194" s="13">
        <v>42721.788518518515</v>
      </c>
      <c r="J194" s="7">
        <v>0</v>
      </c>
      <c r="K194" s="109" t="str">
        <f t="shared" si="85"/>
        <v>4039/4040</v>
      </c>
      <c r="L194" s="22" t="str">
        <f>VLOOKUP(A194,'Trips&amp;Operators'!$C$1:$G$99999,5,FALSE)</f>
        <v>WHITED DUSTIN</v>
      </c>
      <c r="M194" s="6">
        <f t="shared" si="86"/>
        <v>1.0578703702776693E-2</v>
      </c>
      <c r="N194" s="7">
        <f t="shared" si="115"/>
        <v>15.233333331998438</v>
      </c>
      <c r="O194" s="7"/>
      <c r="P194" s="7"/>
      <c r="Q194" s="23"/>
      <c r="R194" s="23"/>
      <c r="S194" s="35">
        <f t="shared" si="97"/>
        <v>1</v>
      </c>
      <c r="T194" s="50" t="str">
        <f t="shared" si="87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17:37:59-700',mode:absolute,to:'2016-12-17 19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4" s="52" t="str">
        <f t="shared" si="89"/>
        <v>N</v>
      </c>
      <c r="X194" s="177">
        <f t="shared" si="116"/>
        <v>1</v>
      </c>
      <c r="Y194" s="67">
        <f t="shared" ref="Y194:Y220" si="117">RIGHT(D194,LEN(D194)-4)/10000</f>
        <v>5.8644999999999996</v>
      </c>
      <c r="Z194" s="67">
        <f t="shared" ref="Z194:Z220" si="118">RIGHT(H194,LEN(H194)-4)/10000</f>
        <v>6.9400000000000003E-2</v>
      </c>
      <c r="AA194" s="67">
        <f t="shared" si="90"/>
        <v>5.7950999999999997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91"/>
        <v>1826-17</v>
      </c>
      <c r="AE194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94" s="88" t="str">
        <f t="shared" si="93"/>
        <v>"C:\Program Files (x86)\AstroGrep\AstroGrep.exe" /spath="%USERPROFILE%\AppData\Local\Temp\OnboardLogs" /stypes="app*4039*20161218*" /stext=" 01:.+((SYSTEM_STATE.+slice.+state.+changed )|(ment ac)|(multiple cpu faults)|(system.+state.+changed )|(\[timeout)|(PRM\|1\|D)|(kpr)|(kdp)|(\|lc)|(penalty))" /e /r /s</v>
      </c>
      <c r="AG194" s="1" t="str">
        <f t="shared" si="94"/>
        <v>NW</v>
      </c>
      <c r="AH194" s="92" t="str">
        <f t="shared" si="83"/>
        <v>"%USERPROFILE%\Documents\GitHub\eaglep3\Utilities\RefineRTDCRunTimes.py" --tripid 1826-17 --locoid 4039 --swversion DE.1.0.8.0 --startMP 300:58645 --initTime 2016-12-17T18:37:59 --startdatetime 2016-12-17T18:40:14 --delay 1 --endMP 204:694 --enddatetime 2016-12-17T18:55:28 --enforcementcount 0 &gt;&gt;C:\Users\stu\Documents\GitHub\eaglep3-reporting\EC\2016-12-17-refined-times.txt</v>
      </c>
      <c r="AI194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{"issue":{"subject":"","project_id":79,"tracker_id":40,"status_id":1,"priority_id":2,"assigned_to_id":23,"start_date":"2016-12-17","description":"","custom_fields":[{"id":1,"name":"Subdivision","value":"NW"},{"id":4,"name":"Milepost","value":"0.0694"},{"id":17,"name":"Train ID","value":"1826-17"},{"id":16,"name":"Locomotive ID","value":"4039"},{"id":130,"name":"Impact","value":""},{"id":150,"name":"Time of Event (Mountain Time)","value":"18:55:28"},{"id":151,"name":"Denver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578</v>
      </c>
      <c r="B195" s="7">
        <v>4040</v>
      </c>
      <c r="C195" s="22" t="s">
        <v>205</v>
      </c>
      <c r="D195" s="22" t="s">
        <v>526</v>
      </c>
      <c r="E195" s="13">
        <v>42721.791284722225</v>
      </c>
      <c r="F195" s="13">
        <v>42721.806608796294</v>
      </c>
      <c r="G195" s="7">
        <v>1</v>
      </c>
      <c r="H195" s="22" t="s">
        <v>848</v>
      </c>
      <c r="I195" s="13">
        <v>42721.818645833337</v>
      </c>
      <c r="J195" s="7">
        <v>0</v>
      </c>
      <c r="K195" s="109" t="str">
        <f t="shared" si="85"/>
        <v>4039/4040</v>
      </c>
      <c r="L195" s="22" t="str">
        <f>VLOOKUP(A195,'Trips&amp;Operators'!$C$1:$G$99999,5,FALSE)</f>
        <v>WHITED DUSTIN</v>
      </c>
      <c r="M195" s="6">
        <f t="shared" si="86"/>
        <v>1.2037037042318843E-2</v>
      </c>
      <c r="N195" s="7">
        <f t="shared" si="115"/>
        <v>17.333333340939134</v>
      </c>
      <c r="O195" s="7"/>
      <c r="P195" s="7"/>
      <c r="Q195" s="23"/>
      <c r="R195" s="23"/>
      <c r="S195" s="35">
        <f t="shared" ref="S195:S220" si="119">SUM(U195:U195)/IF(AG195="EC",12,1)</f>
        <v>1</v>
      </c>
      <c r="T195" s="50" t="str">
        <f t="shared" si="87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17:59:27-700',mode:absolute,to:'2016-12-17 20:38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5" s="52" t="str">
        <f t="shared" si="89"/>
        <v>N</v>
      </c>
      <c r="X195" s="177">
        <f t="shared" si="116"/>
        <v>1</v>
      </c>
      <c r="Y195" s="67">
        <f t="shared" si="117"/>
        <v>9.7100000000000006E-2</v>
      </c>
      <c r="Z195" s="67">
        <f t="shared" si="118"/>
        <v>5.8973000000000004</v>
      </c>
      <c r="AA195" s="67">
        <f t="shared" si="90"/>
        <v>5.8002000000000002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91"/>
        <v>1827-17</v>
      </c>
      <c r="AE195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95" s="88" t="str">
        <f t="shared" si="93"/>
        <v>"C:\Program Files (x86)\AstroGrep\AstroGrep.exe" /spath="%USERPROFILE%\AppData\Local\Temp\OnboardLogs" /stypes="app*4040*20161218*" /stext=" 02:.+((SYSTEM_STATE.+slice.+state.+changed )|(ment ac)|(multiple cpu faults)|(system.+state.+changed )|(\[timeout)|(PRM\|1\|D)|(kpr)|(kdp)|(\|lc)|(penalty))" /e /r /s</v>
      </c>
      <c r="AG195" s="1" t="str">
        <f t="shared" si="94"/>
        <v>NW</v>
      </c>
      <c r="AH195" s="92" t="str">
        <f t="shared" si="83"/>
        <v>"%USERPROFILE%\Documents\GitHub\eaglep3\Utilities\RefineRTDCRunTimes.py" --tripid 1827-17 --locoid 4040 --swversion DE.1.0.8.0 --startMP 204:971 --initTime 2016-12-17T18:59:27 --startdatetime 2016-12-17T19:21:31 --delay 1 --endMP 300:58973 --enddatetime 2016-12-17T19:38:51 --enforcementcount 0 &gt;&gt;C:\Users\stu\Documents\GitHub\eaglep3-reporting\EC\2016-12-17-refined-times.txt</v>
      </c>
      <c r="AI195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{"issue":{"subject":"","project_id":79,"tracker_id":40,"status_id":1,"priority_id":2,"assigned_to_id":23,"start_date":"2016-12-17","description":"","custom_fields":[{"id":1,"name":"Subdivision","value":"NW"},{"id":4,"name":"Milepost","value":"5.8973"},{"id":17,"name":"Train ID","value":"1827-17"},{"id":16,"name":"Locomotive ID","value":"4040"},{"id":130,"name":"Impact","value":""},{"id":150,"name":"Time of Event (Mountain Time)","value":"19:38:51"},{"id":151,"name":"Denver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719</v>
      </c>
      <c r="B196" s="7">
        <v>4039</v>
      </c>
      <c r="C196" s="22" t="s">
        <v>205</v>
      </c>
      <c r="D196" s="22" t="s">
        <v>849</v>
      </c>
      <c r="E196" s="13">
        <v>42721.820254629631</v>
      </c>
      <c r="F196" s="13">
        <v>42721.821828703702</v>
      </c>
      <c r="G196" s="7">
        <v>1</v>
      </c>
      <c r="H196" s="22" t="s">
        <v>525</v>
      </c>
      <c r="I196" s="13">
        <v>42721.835115740738</v>
      </c>
      <c r="J196" s="7">
        <v>0</v>
      </c>
      <c r="K196" s="109" t="str">
        <f t="shared" si="85"/>
        <v>4039/4040</v>
      </c>
      <c r="L196" s="22" t="str">
        <f>VLOOKUP(A196,'Trips&amp;Operators'!$C$1:$G$99999,5,FALSE)</f>
        <v>WHITED DUSTIN</v>
      </c>
      <c r="M196" s="6">
        <f t="shared" si="86"/>
        <v>1.3287037036207039E-2</v>
      </c>
      <c r="N196" s="7">
        <f t="shared" si="115"/>
        <v>19.133333332138136</v>
      </c>
      <c r="O196" s="7"/>
      <c r="P196" s="7"/>
      <c r="Q196" s="23"/>
      <c r="R196" s="23"/>
      <c r="S196" s="35">
        <f t="shared" si="119"/>
        <v>1</v>
      </c>
      <c r="T196" s="50" t="str">
        <f t="shared" si="87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18:41:10-700',mode:absolute,to:'2016-12-17 21:02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6" s="52" t="str">
        <f t="shared" si="89"/>
        <v>N</v>
      </c>
      <c r="X196" s="177">
        <f t="shared" si="116"/>
        <v>1</v>
      </c>
      <c r="Y196" s="67">
        <f t="shared" si="117"/>
        <v>5.8651</v>
      </c>
      <c r="Z196" s="67">
        <f t="shared" si="118"/>
        <v>6.8000000000000005E-2</v>
      </c>
      <c r="AA196" s="67">
        <f t="shared" si="90"/>
        <v>5.7971000000000004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91"/>
        <v>1828-17</v>
      </c>
      <c r="AE196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96" s="88" t="str">
        <f t="shared" si="93"/>
        <v>"C:\Program Files (x86)\AstroGrep\AstroGrep.exe" /spath="%USERPROFILE%\AppData\Local\Temp\OnboardLogs" /stypes="app*4039*20161218*" /stext=" 03:.+((SYSTEM_STATE.+slice.+state.+changed )|(ment ac)|(multiple cpu faults)|(system.+state.+changed )|(\[timeout)|(PRM\|1\|D)|(kpr)|(kdp)|(\|lc)|(penalty))" /e /r /s</v>
      </c>
      <c r="AG196" s="1" t="str">
        <f t="shared" si="94"/>
        <v>NW</v>
      </c>
      <c r="AH196" s="92" t="str">
        <f t="shared" si="83"/>
        <v>"%USERPROFILE%\Documents\GitHub\eaglep3\Utilities\RefineRTDCRunTimes.py" --tripid 1828-17 --locoid 4039 --swversion DE.1.0.8.0 --startMP 300:58651 --initTime 2016-12-17T19:41:10 --startdatetime 2016-12-17T19:43:26 --delay 1 --endMP 204:680 --enddatetime 2016-12-17T20:02:34 --enforcementcount 0 &gt;&gt;C:\Users\stu\Documents\GitHub\eaglep3-reporting\EC\2016-12-17-refined-times.txt</v>
      </c>
      <c r="AI196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{"issue":{"subject":"","project_id":79,"tracker_id":40,"status_id":1,"priority_id":2,"assigned_to_id":23,"start_date":"2016-12-17","description":"","custom_fields":[{"id":1,"name":"Subdivision","value":"NW"},{"id":4,"name":"Milepost","value":"0.068"},{"id":17,"name":"Train ID","value":"1828-17"},{"id":16,"name":"Locomotive ID","value":"4039"},{"id":130,"name":"Impact","value":""},{"id":150,"name":"Time of Event (Mountain Time)","value":"20:02:34"},{"id":151,"name":"Denver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724</v>
      </c>
      <c r="B197" s="7">
        <v>4040</v>
      </c>
      <c r="C197" s="22" t="s">
        <v>205</v>
      </c>
      <c r="D197" s="22" t="s">
        <v>289</v>
      </c>
      <c r="E197" s="13">
        <v>42721.843599537038</v>
      </c>
      <c r="F197" s="13">
        <v>42721.848124999997</v>
      </c>
      <c r="G197" s="7">
        <v>1</v>
      </c>
      <c r="H197" s="22" t="s">
        <v>299</v>
      </c>
      <c r="I197" s="13">
        <v>42721.861030092594</v>
      </c>
      <c r="J197" s="7">
        <v>0</v>
      </c>
      <c r="K197" s="109" t="str">
        <f t="shared" si="85"/>
        <v>4039/4040</v>
      </c>
      <c r="L197" s="22" t="str">
        <f>VLOOKUP(A197,'Trips&amp;Operators'!$C$1:$G$99999,5,FALSE)</f>
        <v>WHITED DUSTIN</v>
      </c>
      <c r="M197" s="6">
        <f t="shared" si="86"/>
        <v>1.2905092597065959E-2</v>
      </c>
      <c r="N197" s="7">
        <f t="shared" si="115"/>
        <v>18.583333339774981</v>
      </c>
      <c r="O197" s="7"/>
      <c r="P197" s="7"/>
      <c r="Q197" s="23"/>
      <c r="R197" s="23"/>
      <c r="S197" s="35">
        <f t="shared" si="119"/>
        <v>1</v>
      </c>
      <c r="T197" s="50" t="str">
        <f t="shared" si="87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19:14:47-700',mode:absolute,to:'2016-12-17 21:39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7" s="52" t="str">
        <f t="shared" si="89"/>
        <v>N</v>
      </c>
      <c r="X197" s="177">
        <f t="shared" si="116"/>
        <v>1</v>
      </c>
      <c r="Y197" s="67">
        <f t="shared" si="117"/>
        <v>9.74E-2</v>
      </c>
      <c r="Z197" s="67">
        <f t="shared" si="118"/>
        <v>5.8944000000000001</v>
      </c>
      <c r="AA197" s="67">
        <f t="shared" si="90"/>
        <v>5.7969999999999997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91"/>
        <v>1829-17</v>
      </c>
      <c r="AE197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97" s="88" t="str">
        <f t="shared" si="93"/>
        <v>"C:\Program Files (x86)\AstroGrep\AstroGrep.exe" /spath="%USERPROFILE%\AppData\Local\Temp\OnboardLogs" /stypes="app*4040*20161218*" /stext=" 03:.+((SYSTEM_STATE.+slice.+state.+changed )|(ment ac)|(multiple cpu faults)|(system.+state.+changed )|(\[timeout)|(PRM\|1\|D)|(kpr)|(kdp)|(\|lc)|(penalty))" /e /r /s</v>
      </c>
      <c r="AG197" s="1" t="str">
        <f t="shared" si="94"/>
        <v>NW</v>
      </c>
      <c r="AH197" s="92" t="str">
        <f t="shared" si="83"/>
        <v>"%USERPROFILE%\Documents\GitHub\eaglep3\Utilities\RefineRTDCRunTimes.py" --tripid 1829-17 --locoid 4040 --swversion DE.1.0.8.0 --startMP 204:974 --initTime 2016-12-17T20:14:47 --startdatetime 2016-12-17T20:21:18 --delay 1 --endMP 300:58944 --enddatetime 2016-12-17T20:39:53 --enforcementcount 0 &gt;&gt;C:\Users\stu\Documents\GitHub\eaglep3-reporting\EC\2016-12-17-refined-times.txt</v>
      </c>
      <c r="AI197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{"issue":{"subject":"","project_id":79,"tracker_id":40,"status_id":1,"priority_id":2,"assigned_to_id":23,"start_date":"2016-12-17","description":"","custom_fields":[{"id":1,"name":"Subdivision","value":"NW"},{"id":4,"name":"Milepost","value":"5.8944"},{"id":17,"name":"Train ID","value":"1829-17"},{"id":16,"name":"Locomotive ID","value":"4040"},{"id":130,"name":"Impact","value":""},{"id":150,"name":"Time of Event (Mountain Time)","value":"20:39:53"},{"id":151,"name":"Denver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729</v>
      </c>
      <c r="B198" s="7">
        <v>4039</v>
      </c>
      <c r="C198" s="22" t="s">
        <v>205</v>
      </c>
      <c r="D198" s="22" t="s">
        <v>528</v>
      </c>
      <c r="E198" s="13">
        <v>42721.862638888888</v>
      </c>
      <c r="F198" s="13">
        <v>42721.863912037035</v>
      </c>
      <c r="G198" s="7">
        <v>1</v>
      </c>
      <c r="H198" s="22" t="s">
        <v>493</v>
      </c>
      <c r="I198" s="13">
        <v>42721.874282407407</v>
      </c>
      <c r="J198" s="7">
        <v>0</v>
      </c>
      <c r="K198" s="109" t="str">
        <f t="shared" si="85"/>
        <v>4039/4040</v>
      </c>
      <c r="L198" s="22" t="str">
        <f>VLOOKUP(A198,'Trips&amp;Operators'!$C$1:$G$99999,5,FALSE)</f>
        <v>WHITED DUSTIN</v>
      </c>
      <c r="M198" s="6">
        <f t="shared" si="86"/>
        <v>1.0370370371674653E-2</v>
      </c>
      <c r="N198" s="7">
        <f t="shared" si="115"/>
        <v>14.933333335211501</v>
      </c>
      <c r="O198" s="7"/>
      <c r="P198" s="7"/>
      <c r="Q198" s="23"/>
      <c r="R198" s="23"/>
      <c r="S198" s="35">
        <f t="shared" si="119"/>
        <v>1</v>
      </c>
      <c r="T198" s="50" t="str">
        <f t="shared" si="87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19:42:12-700',mode:absolute,to:'2016-12-17 21:58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8" s="52" t="str">
        <f t="shared" si="89"/>
        <v>N</v>
      </c>
      <c r="X198" s="177">
        <f t="shared" si="116"/>
        <v>1</v>
      </c>
      <c r="Y198" s="67">
        <f t="shared" si="117"/>
        <v>5.8630000000000004</v>
      </c>
      <c r="Z198" s="67">
        <f t="shared" si="118"/>
        <v>6.9199999999999998E-2</v>
      </c>
      <c r="AA198" s="67">
        <f t="shared" si="90"/>
        <v>5.7938000000000001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91"/>
        <v>1830-17</v>
      </c>
      <c r="AE198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198" s="88" t="str">
        <f t="shared" si="93"/>
        <v>"C:\Program Files (x86)\AstroGrep\AstroGrep.exe" /spath="%USERPROFILE%\AppData\Local\Temp\OnboardLogs" /stypes="app*4039*20161218*" /stext=" 03:.+((SYSTEM_STATE.+slice.+state.+changed )|(ment ac)|(multiple cpu faults)|(system.+state.+changed )|(\[timeout)|(PRM\|1\|D)|(kpr)|(kdp)|(\|lc)|(penalty))" /e /r /s</v>
      </c>
      <c r="AG198" s="1" t="str">
        <f t="shared" si="94"/>
        <v>NW</v>
      </c>
      <c r="AH198" s="92" t="str">
        <f t="shared" si="83"/>
        <v>"%USERPROFILE%\Documents\GitHub\eaglep3\Utilities\RefineRTDCRunTimes.py" --tripid 1830-17 --locoid 4039 --swversion DE.1.0.8.0 --startMP 300:58630 --initTime 2016-12-17T20:42:12 --startdatetime 2016-12-17T20:44:02 --delay 1 --endMP 204:692 --enddatetime 2016-12-17T20:58:58 --enforcementcount 0 &gt;&gt;C:\Users\stu\Documents\GitHub\eaglep3-reporting\EC\2016-12-17-refined-times.txt</v>
      </c>
      <c r="AI198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{"issue":{"subject":"","project_id":79,"tracker_id":40,"status_id":1,"priority_id":2,"assigned_to_id":23,"start_date":"2016-12-17","description":"","custom_fields":[{"id":1,"name":"Subdivision","value":"NW"},{"id":4,"name":"Milepost","value":"0.0692"},{"id":17,"name":"Train ID","value":"1830-17"},{"id":16,"name":"Locomotive ID","value":"4039"},{"id":130,"name":"Impact","value":""},{"id":150,"name":"Time of Event (Mountain Time)","value":"20:58:58"},{"id":151,"name":"Denver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732</v>
      </c>
      <c r="B199" s="7">
        <v>4040</v>
      </c>
      <c r="C199" s="22" t="s">
        <v>205</v>
      </c>
      <c r="D199" s="22" t="s">
        <v>853</v>
      </c>
      <c r="E199" s="13">
        <v>42721.882106481484</v>
      </c>
      <c r="F199" s="13">
        <v>42721.889826388891</v>
      </c>
      <c r="G199" s="7">
        <v>1</v>
      </c>
      <c r="H199" s="22" t="s">
        <v>314</v>
      </c>
      <c r="I199" s="13">
        <v>42721.902557870373</v>
      </c>
      <c r="J199" s="7">
        <v>0</v>
      </c>
      <c r="K199" s="109" t="str">
        <f t="shared" si="85"/>
        <v>4039/4040</v>
      </c>
      <c r="L199" s="22" t="str">
        <f>VLOOKUP(A199,'Trips&amp;Operators'!$C$1:$G$99999,5,FALSE)</f>
        <v>WHITED DUSTIN</v>
      </c>
      <c r="M199" s="6">
        <f t="shared" si="86"/>
        <v>1.2731481481750961E-2</v>
      </c>
      <c r="N199" s="7">
        <f t="shared" si="115"/>
        <v>18.333333333721384</v>
      </c>
      <c r="O199" s="7"/>
      <c r="P199" s="7"/>
      <c r="Q199" s="23"/>
      <c r="R199" s="23"/>
      <c r="S199" s="35">
        <f t="shared" si="119"/>
        <v>1</v>
      </c>
      <c r="T199" s="50" t="str">
        <f t="shared" si="87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20:10:14-700',mode:absolute,to:'2016-12-17 22:39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9" s="52" t="str">
        <f t="shared" si="89"/>
        <v>N</v>
      </c>
      <c r="X199" s="177">
        <f t="shared" si="116"/>
        <v>1</v>
      </c>
      <c r="Y199" s="67">
        <f t="shared" si="117"/>
        <v>9.8100000000000007E-2</v>
      </c>
      <c r="Z199" s="67">
        <f t="shared" si="118"/>
        <v>5.8959999999999999</v>
      </c>
      <c r="AA199" s="67">
        <f t="shared" si="90"/>
        <v>5.7979000000000003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91"/>
        <v>1831-17</v>
      </c>
      <c r="AE199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199" s="88" t="str">
        <f t="shared" si="93"/>
        <v>"C:\Program Files (x86)\AstroGrep\AstroGrep.exe" /spath="%USERPROFILE%\AppData\Local\Temp\OnboardLogs" /stypes="app*4040*20161218*" /stext=" 04:.+((SYSTEM_STATE.+slice.+state.+changed )|(ment ac)|(multiple cpu faults)|(system.+state.+changed )|(\[timeout)|(PRM\|1\|D)|(kpr)|(kdp)|(\|lc)|(penalty))" /e /r /s</v>
      </c>
      <c r="AG199" s="1" t="str">
        <f t="shared" si="94"/>
        <v>NW</v>
      </c>
      <c r="AH199" s="92" t="str">
        <f t="shared" si="83"/>
        <v>"%USERPROFILE%\Documents\GitHub\eaglep3\Utilities\RefineRTDCRunTimes.py" --tripid 1831-17 --locoid 4040 --swversion DE.1.0.8.0 --startMP 204:981 --initTime 2016-12-17T21:10:14 --startdatetime 2016-12-17T21:21:21 --delay 1 --endMP 300:58960 --enddatetime 2016-12-17T21:39:41 --enforcementcount 0 &gt;&gt;C:\Users\stu\Documents\GitHub\eaglep3-reporting\EC\2016-12-17-refined-times.txt</v>
      </c>
      <c r="AI199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{"issue":{"subject":"","project_id":79,"tracker_id":40,"status_id":1,"priority_id":2,"assigned_to_id":23,"start_date":"2016-12-17","description":"","custom_fields":[{"id":1,"name":"Subdivision","value":"NW"},{"id":4,"name":"Milepost","value":"5.896"},{"id":17,"name":"Train ID","value":"1831-17"},{"id":16,"name":"Locomotive ID","value":"4040"},{"id":130,"name":"Impact","value":""},{"id":150,"name":"Time of Event (Mountain Time)","value":"21:39:41"},{"id":151,"name":"Denver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582</v>
      </c>
      <c r="B200" s="7">
        <v>4039</v>
      </c>
      <c r="C200" s="22" t="s">
        <v>205</v>
      </c>
      <c r="D200" s="22" t="s">
        <v>843</v>
      </c>
      <c r="E200" s="13">
        <v>42721.904027777775</v>
      </c>
      <c r="F200" s="13">
        <v>42721.905717592592</v>
      </c>
      <c r="G200" s="7">
        <v>1</v>
      </c>
      <c r="H200" s="22" t="s">
        <v>344</v>
      </c>
      <c r="I200" s="13">
        <v>42721.915960648148</v>
      </c>
      <c r="J200" s="7">
        <v>0</v>
      </c>
      <c r="K200" s="109" t="str">
        <f t="shared" si="85"/>
        <v>4039/4040</v>
      </c>
      <c r="L200" s="22" t="str">
        <f>VLOOKUP(A200,'Trips&amp;Operators'!$C$1:$G$99999,5,FALSE)</f>
        <v>WHITED DUSTIN</v>
      </c>
      <c r="M200" s="6">
        <f t="shared" si="86"/>
        <v>1.0243055556202307E-2</v>
      </c>
      <c r="N200" s="7">
        <f t="shared" ref="N200:N220" si="120">24*60*SUM($M200:$M200)</f>
        <v>14.750000000931323</v>
      </c>
      <c r="O200" s="7"/>
      <c r="P200" s="7"/>
      <c r="Q200" s="23"/>
      <c r="R200" s="23"/>
      <c r="S200" s="35">
        <f t="shared" si="119"/>
        <v>1</v>
      </c>
      <c r="T200" s="50" t="str">
        <f t="shared" si="87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20:41:48-700',mode:absolute,to:'2016-12-17 22:58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89"/>
        <v>N</v>
      </c>
      <c r="X200" s="177">
        <f t="shared" si="116"/>
        <v>1</v>
      </c>
      <c r="Y200" s="67">
        <f t="shared" si="117"/>
        <v>5.8639999999999999</v>
      </c>
      <c r="Z200" s="67">
        <f t="shared" si="118"/>
        <v>6.8900000000000003E-2</v>
      </c>
      <c r="AA200" s="67">
        <f t="shared" si="90"/>
        <v>5.7950999999999997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91"/>
        <v>1832-17</v>
      </c>
      <c r="AE200" s="91" t="str">
        <f t="shared" si="92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200" s="88" t="str">
        <f t="shared" si="93"/>
        <v>"C:\Program Files (x86)\AstroGrep\AstroGrep.exe" /spath="%USERPROFILE%\AppData\Local\Temp\OnboardLogs" /stypes="app*4039*20161218*" /stext=" 04:.+((SYSTEM_STATE.+slice.+state.+changed )|(ment ac)|(multiple cpu faults)|(system.+state.+changed )|(\[timeout)|(PRM\|1\|D)|(kpr)|(kdp)|(\|lc)|(penalty))" /e /r /s</v>
      </c>
      <c r="AG200" s="1" t="str">
        <f t="shared" si="94"/>
        <v>NW</v>
      </c>
      <c r="AH200" s="92" t="str">
        <f t="shared" si="83"/>
        <v>"%USERPROFILE%\Documents\GitHub\eaglep3\Utilities\RefineRTDCRunTimes.py" --tripid 1832-17 --locoid 4039 --swversion DE.1.0.8.0 --startMP 300:58640 --initTime 2016-12-17T21:41:48 --startdatetime 2016-12-17T21:44:14 --delay 1 --endMP 204:689 --enddatetime 2016-12-17T21:58:59 --enforcementcount 0 &gt;&gt;C:\Users\stu\Documents\GitHub\eaglep3-reporting\EC\2016-12-17-refined-times.txt</v>
      </c>
      <c r="AI200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{"issue":{"subject":"","project_id":79,"tracker_id":40,"status_id":1,"priority_id":2,"assigned_to_id":23,"start_date":"2016-12-17","description":"","custom_fields":[{"id":1,"name":"Subdivision","value":"NW"},{"id":4,"name":"Milepost","value":"0.0689"},{"id":17,"name":"Train ID","value":"1832-17"},{"id":16,"name":"Locomotive ID","value":"4039"},{"id":130,"name":"Impact","value":""},{"id":150,"name":"Time of Event (Mountain Time)","value":"21:58:59"},{"id":151,"name":"Denver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736</v>
      </c>
      <c r="B201" s="7">
        <v>4040</v>
      </c>
      <c r="C201" s="22" t="s">
        <v>205</v>
      </c>
      <c r="D201" s="22" t="s">
        <v>854</v>
      </c>
      <c r="E201" s="13">
        <v>42721.92528935185</v>
      </c>
      <c r="F201" s="13">
        <v>42721.931446759256</v>
      </c>
      <c r="G201" s="7">
        <v>1</v>
      </c>
      <c r="H201" s="22" t="s">
        <v>855</v>
      </c>
      <c r="I201" s="13">
        <v>42721.943993055553</v>
      </c>
      <c r="J201" s="7">
        <v>0</v>
      </c>
      <c r="K201" s="109" t="str">
        <f t="shared" si="85"/>
        <v>4039/4040</v>
      </c>
      <c r="L201" s="22" t="str">
        <f>VLOOKUP(A201,'Trips&amp;Operators'!$C$1:$G$99999,5,FALSE)</f>
        <v>WHITED DUSTIN</v>
      </c>
      <c r="M201" s="6">
        <f t="shared" si="86"/>
        <v>1.2546296296932269E-2</v>
      </c>
      <c r="N201" s="7">
        <f t="shared" si="120"/>
        <v>18.066666667582467</v>
      </c>
      <c r="O201" s="7"/>
      <c r="P201" s="7"/>
      <c r="Q201" s="23"/>
      <c r="R201" s="23"/>
      <c r="S201" s="35">
        <f t="shared" si="119"/>
        <v>1</v>
      </c>
      <c r="T201" s="50" t="str">
        <f t="shared" si="87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21:12:25-700',mode:absolute,to:'2016-12-17 23:39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 t="shared" si="89"/>
        <v>N</v>
      </c>
      <c r="X201" s="177">
        <f t="shared" si="116"/>
        <v>1</v>
      </c>
      <c r="Y201" s="67">
        <f t="shared" si="117"/>
        <v>9.8599999999999993E-2</v>
      </c>
      <c r="Z201" s="67">
        <f t="shared" si="118"/>
        <v>5.8968999999999996</v>
      </c>
      <c r="AA201" s="67">
        <f t="shared" si="90"/>
        <v>5.7982999999999993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91"/>
        <v>1833-17</v>
      </c>
      <c r="AE201" s="91" t="str">
        <f t="shared" si="92"/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AF201" s="88" t="str">
        <f t="shared" si="93"/>
        <v>"C:\Program Files (x86)\AstroGrep\AstroGrep.exe" /spath="%USERPROFILE%\AppData\Local\Temp\OnboardLogs" /stypes="app*4040*20161218*" /stext=" 05:.+((SYSTEM_STATE.+slice.+state.+changed )|(ment ac)|(multiple cpu faults)|(system.+state.+changed )|(\[timeout)|(PRM\|1\|D)|(kpr)|(kdp)|(\|lc)|(penalty))" /e /r /s</v>
      </c>
      <c r="AG201" s="1" t="str">
        <f t="shared" si="94"/>
        <v>NW</v>
      </c>
      <c r="AH201" s="92" t="str">
        <f t="shared" si="83"/>
        <v>"%USERPROFILE%\Documents\GitHub\eaglep3\Utilities\RefineRTDCRunTimes.py" --tripid 1833-17 --locoid 4040 --swversion DE.1.0.8.0 --startMP 204:986 --initTime 2016-12-17T22:12:25 --startdatetime 2016-12-17T22:21:17 --delay 1 --endMP 300:58969 --enddatetime 2016-12-17T22:39:21 --enforcementcount 0 &gt;&gt;C:\Users\stu\Documents\GitHub\eaglep3-reporting\EC\2016-12-17-refined-times.txt</v>
      </c>
      <c r="AI201" s="119" t="str">
        <f t="shared" si="84"/>
        <v>echo {"issue":{"subject":"","project_id":79,"tracker_id":40,"status_id":1,"priority_id":2,"assigned_to_id":23,"start_date":"2016-12-17","description":"","custom_fields":[{"id":1,"name":"Subdivision","value":"NW"},{"id":4,"name":"Milepost","value":"5.8969"},{"id":17,"name":"Train ID","value":"1833-17"},{"id":16,"name":"Locomotive ID","value":"4040"},{"id":130,"name":"Impact","value":""},{"id":150,"name":"Time of Event (Mountain Time)","value":"22:39:21"},{"id":151,"name":"Denver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ht="16.5" customHeight="1" x14ac:dyDescent="0.25">
      <c r="A202" s="37" t="s">
        <v>587</v>
      </c>
      <c r="B202" s="7">
        <v>4013</v>
      </c>
      <c r="C202" s="22" t="s">
        <v>205</v>
      </c>
      <c r="D202" s="22" t="s">
        <v>925</v>
      </c>
      <c r="E202" s="13">
        <v>42721.115127314813</v>
      </c>
      <c r="F202" s="13">
        <v>42721.119606481479</v>
      </c>
      <c r="G202" s="7">
        <v>6</v>
      </c>
      <c r="H202" s="22" t="s">
        <v>501</v>
      </c>
      <c r="I202" s="13">
        <v>42721.125324074077</v>
      </c>
      <c r="J202" s="7">
        <v>0</v>
      </c>
      <c r="K202" s="109" t="str">
        <f t="shared" si="85"/>
        <v>4013/4014</v>
      </c>
      <c r="L202" s="22" t="str">
        <f>VLOOKUP(A202,'Trips&amp;Operators'!$C$1:$G$99999,5,FALSE)</f>
        <v>MAELZER KURT</v>
      </c>
      <c r="M202" s="6">
        <f t="shared" si="86"/>
        <v>5.7175925976480357E-3</v>
      </c>
      <c r="N202" s="7">
        <f t="shared" si="120"/>
        <v>8.2333333406131715</v>
      </c>
      <c r="O202" s="7"/>
      <c r="P202" s="7"/>
      <c r="Q202" s="23"/>
      <c r="R202" s="23"/>
      <c r="S202" s="35">
        <f t="shared" si="119"/>
        <v>1</v>
      </c>
      <c r="T202" s="50" t="str">
        <f t="shared" si="87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01:45:47-700',mode:absolute,to:'2016-12-17 04:00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2" s="52" t="str">
        <f t="shared" si="89"/>
        <v>Y</v>
      </c>
      <c r="X202" s="177">
        <f t="shared" si="116"/>
        <v>-1531</v>
      </c>
      <c r="Y202" s="67">
        <f t="shared" si="117"/>
        <v>2.0146000000000002</v>
      </c>
      <c r="Z202" s="67">
        <f t="shared" si="118"/>
        <v>1.2699999999999999E-2</v>
      </c>
      <c r="AA202" s="67">
        <f t="shared" si="90"/>
        <v>2.0019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91"/>
        <v>0302-17</v>
      </c>
      <c r="AE202" s="91" t="str">
        <f t="shared" si="92"/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AF202" s="88" t="str">
        <f t="shared" si="93"/>
        <v>"C:\Program Files (x86)\AstroGrep\AstroGrep.exe" /spath="%USERPROFILE%\AppData\Local\Temp\OnboardLogs" /stypes="app*4013*20161217*" /stext=" 10:.+((SYSTEM_STATE.+slice.+state.+changed )|(ment ac)|(multiple cpu faults)|(system.+state.+changed )|(\[timeout)|(PRM\|1\|D)|(kpr)|(kdp)|(\|lc)|(penalty))" /e /r /s</v>
      </c>
      <c r="AG202" s="1" t="str">
        <f t="shared" si="94"/>
        <v>Other</v>
      </c>
      <c r="AH202" s="92" t="str">
        <f t="shared" si="83"/>
        <v>"%USERPROFILE%\Documents\GitHub\eaglep3\Utilities\RefineRTDCRunTimes.py" --tripid 302-17 --locoid 4013 --swversion DE.1.0.8.0 --startMP 300:20146 --initTime 2016-12-17T02:45:47 --startdatetime 2016-12-17T02:52:14 --delay 6 --endMP 204:127 --enddatetime 2016-12-17T03:00:28 --enforcementcount 0 &gt;&gt;C:\Users\stu\Documents\GitHub\eaglep3-reporting\EC\2016-12-17-refined-times.txt</v>
      </c>
      <c r="AI202" s="119" t="str">
        <f t="shared" si="84"/>
        <v>echo {"issue":{"subject":"","project_id":79,"tracker_id":40,"status_id":1,"priority_id":2,"assigned_to_id":23,"start_date":"2016-12-17","description":"","custom_fields":[{"id":1,"name":"Subdivision","value":"Other"},{"id":4,"name":"Milepost","value":"0.0127"},{"id":17,"name":"Train ID","value":"302-17"},{"id":16,"name":"Locomotive ID","value":"4013"},{"id":130,"name":"Impact","value":""},{"id":150,"name":"Time of Event (Mountain Time)","value":"03:00:28"},{"id":151,"name":"Denver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715</v>
      </c>
      <c r="B203" s="7">
        <v>4029</v>
      </c>
      <c r="C203" s="22" t="s">
        <v>205</v>
      </c>
      <c r="D203" s="22" t="s">
        <v>228</v>
      </c>
      <c r="E203" s="13">
        <v>42721.783576388887</v>
      </c>
      <c r="F203" s="13">
        <v>25568.708333333332</v>
      </c>
      <c r="G203" s="7">
        <v>1</v>
      </c>
      <c r="H203" s="22" t="s">
        <v>926</v>
      </c>
      <c r="I203" s="13">
        <v>25568.708333333332</v>
      </c>
      <c r="J203" s="7">
        <v>0</v>
      </c>
      <c r="K203" s="109" t="str">
        <f t="shared" si="85"/>
        <v>4029/4030</v>
      </c>
      <c r="L203" s="22" t="str">
        <f>VLOOKUP(A203,'Trips&amp;Operators'!$C$1:$G$99999,5,FALSE)</f>
        <v>SMITH MICHAEL</v>
      </c>
      <c r="M203" s="6">
        <f t="shared" si="86"/>
        <v>0</v>
      </c>
      <c r="N203" s="7">
        <f t="shared" si="120"/>
        <v>0</v>
      </c>
      <c r="O203" s="7"/>
      <c r="P203" s="7"/>
      <c r="Q203" s="23"/>
      <c r="R203" s="23"/>
      <c r="S203" s="35">
        <f t="shared" si="119"/>
        <v>1</v>
      </c>
      <c r="T203" s="50" t="str">
        <f t="shared" si="87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17:48:21-700',mode:absolute,to:'1969-12-31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3" s="52" t="str">
        <f t="shared" si="89"/>
        <v>Y</v>
      </c>
      <c r="X203" s="177">
        <f t="shared" ref="X203:X220" si="121">VALUE(LEFT(AD203,4))-VALUE(LEFT(AD202,4))</f>
        <v>1</v>
      </c>
      <c r="Y203" s="67">
        <f t="shared" si="117"/>
        <v>4.5499999999999999E-2</v>
      </c>
      <c r="Z203" s="67">
        <f t="shared" si="118"/>
        <v>2.3300999999999998</v>
      </c>
      <c r="AA203" s="67">
        <f t="shared" si="90"/>
        <v>2.2845999999999997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91"/>
        <v>0303-17</v>
      </c>
      <c r="AE203" s="91" t="str">
        <f t="shared" si="92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3" s="88" t="str">
        <f t="shared" si="93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3" s="1" t="str">
        <f t="shared" si="94"/>
        <v>Other</v>
      </c>
      <c r="AH203" s="92" t="str">
        <f t="shared" si="83"/>
        <v>"%USERPROFILE%\Documents\GitHub\eaglep3\Utilities\RefineRTDCRunTimes.py" --tripid 303-17 --locoid 4029 --swversion DE.1.0.8.0 --startMP 204:455 --initTime 2016-12-17T18:48:21 --startdatetime 1969-12-31T17:00:00 --delay 1 --endMP 300:23301 --enddatetime 1969-12-31T17:00:00 --enforcementcount 0 &gt;&gt;C:\Users\stu\Documents\GitHub\eaglep3-reporting\EC\2016-12-17-refined-times.txt</v>
      </c>
      <c r="AI203" s="119" t="str">
        <f t="shared" si="84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ID","value":"303-17"},{"id":16,"name":"Locomotive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589</v>
      </c>
      <c r="B204" s="7">
        <v>4041</v>
      </c>
      <c r="C204" s="22" t="s">
        <v>205</v>
      </c>
      <c r="D204" s="22" t="s">
        <v>927</v>
      </c>
      <c r="E204" s="13">
        <v>42721.136145833334</v>
      </c>
      <c r="F204" s="13">
        <v>42721.137476851851</v>
      </c>
      <c r="G204" s="7">
        <v>1</v>
      </c>
      <c r="H204" s="22" t="s">
        <v>759</v>
      </c>
      <c r="I204" s="13">
        <v>42721.204652777778</v>
      </c>
      <c r="J204" s="7">
        <v>0</v>
      </c>
      <c r="K204" s="109" t="str">
        <f t="shared" si="85"/>
        <v>4041/4042</v>
      </c>
      <c r="L204" s="22" t="str">
        <f>VLOOKUP(A204,'Trips&amp;Operators'!$C$1:$G$99999,5,FALSE)</f>
        <v>ROBINSON KADDIBA</v>
      </c>
      <c r="M204" s="6">
        <f t="shared" si="86"/>
        <v>6.7175925927585922E-2</v>
      </c>
      <c r="N204" s="7">
        <f t="shared" si="120"/>
        <v>96.733333335723728</v>
      </c>
      <c r="O204" s="7"/>
      <c r="P204" s="7"/>
      <c r="Q204" s="23"/>
      <c r="R204" s="23"/>
      <c r="S204" s="35">
        <f t="shared" si="119"/>
        <v>0</v>
      </c>
      <c r="T204" s="50" t="str">
        <f t="shared" si="87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02:16:03-700',mode:absolute,to:'2016-12-17 05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4" s="52" t="str">
        <f t="shared" si="89"/>
        <v>Y</v>
      </c>
      <c r="X204" s="177">
        <f t="shared" si="121"/>
        <v>1</v>
      </c>
      <c r="Y204" s="67">
        <f t="shared" si="117"/>
        <v>2.3144</v>
      </c>
      <c r="Z204" s="67">
        <f t="shared" si="118"/>
        <v>5.8846999999999996</v>
      </c>
      <c r="AA204" s="67">
        <f t="shared" si="90"/>
        <v>3.5702999999999996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91"/>
        <v>0304-17</v>
      </c>
      <c r="AE204" s="91" t="str">
        <f t="shared" si="92"/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AF204" s="88" t="str">
        <f t="shared" si="93"/>
        <v>"C:\Program Files (x86)\AstroGrep\AstroGrep.exe" /spath="%USERPROFILE%\AppData\Local\Temp\OnboardLogs" /stypes="app*4041*20161217*" /stext=" 11:.+((SYSTEM_STATE.+slice.+state.+changed )|(ment ac)|(multiple cpu faults)|(system.+state.+changed )|(\[timeout)|(PRM\|1\|D)|(kpr)|(kdp)|(\|lc)|(penalty))" /e /r /s</v>
      </c>
      <c r="AG204" s="1" t="str">
        <f t="shared" si="94"/>
        <v>Other</v>
      </c>
      <c r="AH204" s="92" t="str">
        <f t="shared" ref="AH204:AH220" si="12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304-17 --locoid 4041 --swversion DE.1.0.8.0 --startMP 300:23144 --initTime 2016-12-17T03:16:03 --startdatetime 2016-12-17T03:17:58 --delay 1 --endMP 204:58847 --enddatetime 2016-12-17T04:54:42 --enforcementcount 0 &gt;&gt;C:\Users\stu\Documents\GitHub\eaglep3-reporting\EC\2016-12-17-refined-times.txt</v>
      </c>
      <c r="AI204" s="119" t="str">
        <f t="shared" ref="AI204:AI220" si="12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{"issue":{"subject":"","project_id":79,"tracker_id":40,"status_id":1,"priority_id":2,"assigned_to_id":23,"start_date":"2016-12-17","description":"","custom_fields":[{"id":1,"name":"Subdivision","value":"Other"},{"id":4,"name":"Milepost","value":"5.8847"},{"id":17,"name":"Train ID","value":"304-17"},{"id":16,"name":"Locomotive ID","value":"4041"},{"id":130,"name":"Impact","value":""},{"id":150,"name":"Time of Event (Mountain Time)","value":"04:54:42"},{"id":151,"name":"Denver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534</v>
      </c>
      <c r="B205" s="7">
        <v>4045</v>
      </c>
      <c r="C205" s="22" t="s">
        <v>205</v>
      </c>
      <c r="D205" s="22" t="s">
        <v>928</v>
      </c>
      <c r="E205" s="13">
        <v>42721.161921296298</v>
      </c>
      <c r="F205" s="13">
        <v>42721.163263888891</v>
      </c>
      <c r="G205" s="7">
        <v>1</v>
      </c>
      <c r="H205" s="22" t="s">
        <v>929</v>
      </c>
      <c r="I205" s="13">
        <v>42721.170046296298</v>
      </c>
      <c r="J205" s="7">
        <v>0</v>
      </c>
      <c r="K205" s="109" t="str">
        <f t="shared" si="85"/>
        <v>4045/4046</v>
      </c>
      <c r="L205" s="22" t="str">
        <f>VLOOKUP(A205,'Trips&amp;Operators'!$C$1:$G$99999,5,FALSE)</f>
        <v>ACKERMAN JARED</v>
      </c>
      <c r="M205" s="6">
        <f t="shared" si="86"/>
        <v>6.7824074067175388E-3</v>
      </c>
      <c r="N205" s="7">
        <f t="shared" si="120"/>
        <v>9.7666666656732559</v>
      </c>
      <c r="O205" s="7"/>
      <c r="P205" s="7"/>
      <c r="Q205" s="23"/>
      <c r="R205" s="23"/>
      <c r="S205" s="35">
        <f t="shared" si="119"/>
        <v>1</v>
      </c>
      <c r="T205" s="50" t="str">
        <f t="shared" si="87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02:53:10-700',mode:absolute,to:'2016-12-17 05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5" s="52" t="str">
        <f t="shared" si="89"/>
        <v>Y</v>
      </c>
      <c r="X205" s="177">
        <f t="shared" si="121"/>
        <v>2</v>
      </c>
      <c r="Y205" s="67">
        <f t="shared" si="117"/>
        <v>2.2313999999999998</v>
      </c>
      <c r="Z205" s="67">
        <f t="shared" si="118"/>
        <v>8.3000000000000001E-3</v>
      </c>
      <c r="AA205" s="67">
        <f t="shared" si="90"/>
        <v>2.2230999999999996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91"/>
        <v>0306-17</v>
      </c>
      <c r="AE205" s="91" t="str">
        <f t="shared" si="92"/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AF205" s="88" t="str">
        <f t="shared" si="93"/>
        <v>"C:\Program Files (x86)\AstroGrep\AstroGrep.exe" /spath="%USERPROFILE%\AppData\Local\Temp\OnboardLogs" /stypes="app*4045*20161217*" /stext=" 11:.+((SYSTEM_STATE.+slice.+state.+changed )|(ment ac)|(multiple cpu faults)|(system.+state.+changed )|(\[timeout)|(PRM\|1\|D)|(kpr)|(kdp)|(\|lc)|(penalty))" /e /r /s</v>
      </c>
      <c r="AG205" s="1" t="str">
        <f t="shared" si="94"/>
        <v>Other</v>
      </c>
      <c r="AH205" s="92" t="str">
        <f t="shared" si="122"/>
        <v>"%USERPROFILE%\Documents\GitHub\eaglep3\Utilities\RefineRTDCRunTimes.py" --tripid 306-17 --locoid 4045 --swversion DE.1.0.8.0 --startMP 300:22314 --initTime 2016-12-17T03:53:10 --startdatetime 2016-12-17T03:55:06 --delay 1 --endMP 204:83 --enddatetime 2016-12-17T04:04:52 --enforcementcount 0 &gt;&gt;C:\Users\stu\Documents\GitHub\eaglep3-reporting\EC\2016-12-17-refined-times.txt</v>
      </c>
      <c r="AI205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{"issue":{"subject":"","project_id":79,"tracker_id":40,"status_id":1,"priority_id":2,"assigned_to_id":23,"start_date":"2016-12-17","description":"","custom_fields":[{"id":1,"name":"Subdivision","value":"Other"},{"id":4,"name":"Milepost","value":"0.0083"},{"id":17,"name":"Train ID","value":"306-17"},{"id":16,"name":"Locomotive ID","value":"4045"},{"id":130,"name":"Impact","value":""},{"id":150,"name":"Time of Event (Mountain Time)","value":"04:04:52"},{"id":151,"name":"Denver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594</v>
      </c>
      <c r="B206" s="7">
        <v>4019</v>
      </c>
      <c r="C206" s="22" t="s">
        <v>205</v>
      </c>
      <c r="D206" s="22" t="s">
        <v>930</v>
      </c>
      <c r="E206" s="13">
        <v>42721.178877314815</v>
      </c>
      <c r="F206" s="13">
        <v>42721.180150462962</v>
      </c>
      <c r="G206" s="7">
        <v>1</v>
      </c>
      <c r="H206" s="22" t="s">
        <v>501</v>
      </c>
      <c r="I206" s="13">
        <v>42721.186226851853</v>
      </c>
      <c r="J206" s="7">
        <v>0</v>
      </c>
      <c r="K206" s="109" t="str">
        <f t="shared" si="85"/>
        <v>4019/4020</v>
      </c>
      <c r="L206" s="22" t="str">
        <f>VLOOKUP(A206,'Trips&amp;Operators'!$C$1:$G$99999,5,FALSE)</f>
        <v>DAVIS WENDY</v>
      </c>
      <c r="M206" s="6">
        <f t="shared" si="86"/>
        <v>6.0763888905057684E-3</v>
      </c>
      <c r="N206" s="7">
        <f t="shared" si="120"/>
        <v>8.7500000023283064</v>
      </c>
      <c r="O206" s="7"/>
      <c r="P206" s="7"/>
      <c r="Q206" s="23"/>
      <c r="R206" s="23"/>
      <c r="S206" s="35">
        <f t="shared" si="119"/>
        <v>1</v>
      </c>
      <c r="T206" s="50" t="str">
        <f t="shared" si="87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https://search-rtdc-monitor-bjffxe2xuh6vdkpspy63sjmuny.us-east-1.es.amazonaws.com/_plugin/kibana/#/discover/Steve-Slow-Train-Analysis-(2080s-and-2083s)?_g=(refreshInterval:(display:Off,section:0,value:0),time:(from:'2016-12-17 03:17:35-700',mode:absolute,to:'2016-12-17 05:28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6" s="52" t="str">
        <f t="shared" si="89"/>
        <v>Y</v>
      </c>
      <c r="X206" s="177">
        <f t="shared" si="121"/>
        <v>2</v>
      </c>
      <c r="Y206" s="67">
        <f t="shared" si="117"/>
        <v>2.3372000000000002</v>
      </c>
      <c r="Z206" s="67">
        <f t="shared" si="118"/>
        <v>1.2699999999999999E-2</v>
      </c>
      <c r="AA206" s="67">
        <f t="shared" si="90"/>
        <v>2.3245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91"/>
        <v>0308-17</v>
      </c>
      <c r="AE206" s="91" t="str">
        <f t="shared" si="92"/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AF206" s="88" t="str">
        <f t="shared" si="93"/>
        <v>"C:\Program Files (x86)\AstroGrep\AstroGrep.exe" /spath="%USERPROFILE%\AppData\Local\Temp\OnboardLogs" /stypes="app*4019*20161217*" /stext=" 11:.+((SYSTEM_STATE.+slice.+state.+changed )|(ment ac)|(multiple cpu faults)|(system.+state.+changed )|(\[timeout)|(PRM\|1\|D)|(kpr)|(kdp)|(\|lc)|(penalty))" /e /r /s</v>
      </c>
      <c r="AG206" s="1" t="str">
        <f t="shared" si="94"/>
        <v>Other</v>
      </c>
      <c r="AH206" s="92" t="str">
        <f t="shared" si="122"/>
        <v>"%USERPROFILE%\Documents\GitHub\eaglep3\Utilities\RefineRTDCRunTimes.py" --tripid 308-17 --locoid 4019 --swversion DE.1.0.8.0 --startMP 300:23372 --initTime 2016-12-17T04:17:35 --startdatetime 2016-12-17T04:19:25 --delay 1 --endMP 204:127 --enddatetime 2016-12-17T04:28:10 --enforcementcount 0 &gt;&gt;C:\Users\stu\Documents\GitHub\eaglep3-reporting\EC\2016-12-17-refined-times.txt</v>
      </c>
      <c r="AI206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{"issue":{"subject":"","project_id":79,"tracker_id":40,"status_id":1,"priority_id":2,"assigned_to_id":23,"start_date":"2016-12-17","description":"","custom_fields":[{"id":1,"name":"Subdivision","value":"Other"},{"id":4,"name":"Milepost","value":"0.0127"},{"id":17,"name":"Train ID","value":"308-17"},{"id":16,"name":"Locomotive ID","value":"4019"},{"id":130,"name":"Impact","value":""},{"id":150,"name":"Time of Event (Mountain Time)","value":"04:28:10"},{"id":151,"name":"Denver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746</v>
      </c>
      <c r="B207" s="7">
        <v>4042</v>
      </c>
      <c r="C207" s="22" t="s">
        <v>205</v>
      </c>
      <c r="D207" s="22" t="s">
        <v>931</v>
      </c>
      <c r="E207" s="13">
        <v>42722.060381944444</v>
      </c>
      <c r="F207" s="13">
        <v>42722.063425925924</v>
      </c>
      <c r="G207" s="7">
        <v>1</v>
      </c>
      <c r="H207" s="22" t="s">
        <v>932</v>
      </c>
      <c r="I207" s="13">
        <v>42722.068344907406</v>
      </c>
      <c r="J207" s="7">
        <v>0</v>
      </c>
      <c r="K207" s="109" t="str">
        <f t="shared" si="85"/>
        <v>4041/4042</v>
      </c>
      <c r="L207" s="22" t="str">
        <f>VLOOKUP(A207,'Trips&amp;Operators'!$C$1:$G$99999,5,FALSE)</f>
        <v>CHANDLER KELVIN</v>
      </c>
      <c r="M207" s="6">
        <f t="shared" si="86"/>
        <v>4.9189814817509614E-3</v>
      </c>
      <c r="N207" s="7">
        <f t="shared" si="120"/>
        <v>7.0833333337213844</v>
      </c>
      <c r="O207" s="7"/>
      <c r="P207" s="7"/>
      <c r="Q207" s="23"/>
      <c r="R207" s="23"/>
      <c r="S207" s="35">
        <f t="shared" si="119"/>
        <v>1</v>
      </c>
      <c r="T207" s="50" t="str">
        <f t="shared" si="8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https://search-rtdc-monitor-bjffxe2xuh6vdkpspy63sjmuny.us-east-1.es.amazonaws.com/_plugin/kibana/#/discover/Steve-Slow-Train-Analysis-(2080s-and-2083s)?_g=(refreshInterval:(display:Off,section:0,value:0),time:(from:'2016-12-18 00:26:57-700',mode:absolute,to:'2016-12-18 02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7" s="52" t="str">
        <f t="shared" si="89"/>
        <v>Y</v>
      </c>
      <c r="X207" s="177">
        <f t="shared" si="121"/>
        <v>1</v>
      </c>
      <c r="Y207" s="67">
        <f t="shared" si="117"/>
        <v>3.8600000000000002E-2</v>
      </c>
      <c r="Z207" s="67">
        <f t="shared" si="118"/>
        <v>2.2216</v>
      </c>
      <c r="AA207" s="67">
        <f t="shared" si="90"/>
        <v>2.1829999999999998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91"/>
        <v>0309-17</v>
      </c>
      <c r="AE207" s="91" t="str">
        <f t="shared" si="92"/>
        <v>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 &amp; aws s3 cp s3://rtdc.mdm.uploadarchive.raw/RTDC4042/ "%USERPROFILE%\AppData\Local\Temp\OnboardLogs"\RTDC4042\2016-12-19 --exclude "*" --recursive --include "*20161219*" &amp; "%USERPROFILE%\Documents\GitHub\mrs-test-scripts\Headless Mode &amp; Sideloading\WalkAndUnGZ.bat" "%USERPROFILE%\AppData\Local\Temp\OnboardLogs"\RTDC4042\2016-12-19</v>
      </c>
      <c r="AF207" s="88" t="str">
        <f t="shared" si="93"/>
        <v>"C:\Program Files (x86)\AstroGrep\AstroGrep.exe" /spath="%USERPROFILE%\AppData\Local\Temp\OnboardLogs" /stypes="app*4042*20161218*" /stext=" 08:.+((SYSTEM_STATE.+slice.+state.+changed )|(ment ac)|(multiple cpu faults)|(system.+state.+changed )|(\[timeout)|(PRM\|1\|D)|(kpr)|(kdp)|(\|lc)|(penalty))" /e /r /s</v>
      </c>
      <c r="AG207" s="1" t="str">
        <f t="shared" si="94"/>
        <v>Other</v>
      </c>
      <c r="AH207" s="92" t="str">
        <f t="shared" si="122"/>
        <v>"%USERPROFILE%\Documents\GitHub\eaglep3\Utilities\RefineRTDCRunTimes.py" --tripid 309-17 --locoid 4042 --swversion DE.1.0.8.0 --startMP 204:386 --initTime 2016-12-18T01:26:57 --startdatetime 2016-12-18T01:31:20 --delay 1 --endMP 300:22216 --enddatetime 2016-12-18T01:38:25 --enforcementcount 0 &gt;&gt;C:\Users\stu\Documents\GitHub\eaglep3-reporting\EC\2016-12-17-refined-times.txt</v>
      </c>
      <c r="AI207" s="119" t="str">
        <f t="shared" si="123"/>
        <v>echo {"issue":{"subject":"","project_id":79,"tracker_id":40,"status_id":1,"priority_id":2,"assigned_to_id":23,"start_date":"2016-12-18","description":"","custom_fields":[{"id":1,"name":"Subdivision","value":"Other"},{"id":4,"name":"Milepost","value":"2.2216"},{"id":17,"name":"Train ID","value":"309-17"},{"id":16,"name":"Locomotive ID","value":"4042"},{"id":130,"name":"Impact","value":""},{"id":150,"name":"Time of Event (Mountain Time)","value":"01:38:25"},{"id":151,"name":"Denver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535</v>
      </c>
      <c r="B208" s="7">
        <v>4017</v>
      </c>
      <c r="C208" s="22" t="s">
        <v>205</v>
      </c>
      <c r="D208" s="22" t="s">
        <v>933</v>
      </c>
      <c r="E208" s="13">
        <v>42721.186041666668</v>
      </c>
      <c r="F208" s="13">
        <v>42721.187256944446</v>
      </c>
      <c r="G208" s="7">
        <v>1</v>
      </c>
      <c r="H208" s="22" t="s">
        <v>260</v>
      </c>
      <c r="I208" s="13">
        <v>42721.194456018522</v>
      </c>
      <c r="J208" s="7">
        <v>0</v>
      </c>
      <c r="K208" s="109" t="str">
        <f t="shared" ref="K208:K220" si="124">IF(ISEVEN(B208),(B208-1)&amp;"/"&amp;B208,B208&amp;"/"&amp;(B208+1))</f>
        <v>4017/4018</v>
      </c>
      <c r="L208" s="22" t="str">
        <f>VLOOKUP(A208,'Trips&amp;Operators'!$C$1:$G$99999,5,FALSE)</f>
        <v>KILLION DAVID</v>
      </c>
      <c r="M208" s="6">
        <f t="shared" ref="M208:M220" si="125">I208-F208</f>
        <v>7.1990740761975758E-3</v>
      </c>
      <c r="N208" s="7">
        <f t="shared" si="120"/>
        <v>10.366666669724509</v>
      </c>
      <c r="O208" s="7"/>
      <c r="P208" s="7"/>
      <c r="Q208" s="23"/>
      <c r="R208" s="23"/>
      <c r="S208" s="35">
        <f t="shared" si="119"/>
        <v>1</v>
      </c>
      <c r="T208" s="50" t="str">
        <f t="shared" ref="T208:T220" si="126">IF(ISEVEN(LEFT(AD208,4)),"Southbound","NorthBound")</f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ref="V208:V220" si="127"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https://search-rtdc-monitor-bjffxe2xuh6vdkpspy63sjmuny.us-east-1.es.amazonaws.com/_plugin/kibana/#/discover/Steve-Slow-Train-Analysis-(2080s-and-2083s)?_g=(refreshInterval:(display:Off,section:0,value:0),time:(from:'2016-12-17 03:27:54-700',mode:absolute,to:'2016-12-17 05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2" t="str">
        <f t="shared" ref="W208:W220" si="128">IF(AA208&lt;IF(AG208="EC",23,5.65),"Y","N")</f>
        <v>Y</v>
      </c>
      <c r="X208" s="177">
        <f t="shared" si="121"/>
        <v>1</v>
      </c>
      <c r="Y208" s="67">
        <f t="shared" si="117"/>
        <v>2.2867999999999999</v>
      </c>
      <c r="Z208" s="67">
        <f t="shared" si="118"/>
        <v>1.52E-2</v>
      </c>
      <c r="AA208" s="67">
        <f t="shared" ref="AA208:AA220" si="129">ABS(Z208-Y208)</f>
        <v>2.2715999999999998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ref="AD208:AD220" si="130">IF(LEN(A208)=6,"0"&amp;A208,A208)</f>
        <v>0310-17</v>
      </c>
      <c r="AE208" s="91" t="str">
        <f t="shared" ref="AE208:AE220" si="131"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AF208" s="88" t="str">
        <f t="shared" ref="AF208:AF220" si="132"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/stypes="app*4017*20161217*" /stext=" 11:.+((SYSTEM_STATE.+slice.+state.+changed )|(ment ac)|(multiple cpu faults)|(system.+state.+changed )|(\[timeout)|(PRM\|1\|D)|(kpr)|(kdp)|(\|lc)|(penalty))" /e /r /s</v>
      </c>
      <c r="AG208" s="1" t="str">
        <f t="shared" ref="AG208:AG220" si="133">IFERROR(IF(VALUE(LEFT(AD208,2))&lt;=2,"EC",IF(OR(VALUE(LEFT(AD208,2))=8,VALUE(LEFT(AD208,2))=18),"NW","Other")),"Other")</f>
        <v>Other</v>
      </c>
      <c r="AH208" s="92" t="str">
        <f t="shared" si="122"/>
        <v>"%USERPROFILE%\Documents\GitHub\eaglep3\Utilities\RefineRTDCRunTimes.py" --tripid 310-17 --locoid 4017 --swversion DE.1.0.8.0 --startMP 300:22868 --initTime 2016-12-17T04:27:54 --startdatetime 2016-12-17T04:29:39 --delay 1 --endMP 204:152 --enddatetime 2016-12-17T04:40:01 --enforcementcount 0 &gt;&gt;C:\Users\stu\Documents\GitHub\eaglep3-reporting\EC\2016-12-17-refined-times.txt</v>
      </c>
      <c r="AI208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{"issue":{"subject":"","project_id":79,"tracker_id":40,"status_id":1,"priority_id":2,"assigned_to_id":23,"start_date":"2016-12-17","description":"","custom_fields":[{"id":1,"name":"Subdivision","value":"Other"},{"id":4,"name":"Milepost","value":"0.0152"},{"id":17,"name":"Train ID","value":"310-17"},{"id":16,"name":"Locomotive ID","value":"4017"},{"id":130,"name":"Impact","value":""},{"id":150,"name":"Time of Event (Mountain Time)","value":"04:40:01"},{"id":151,"name":"Denver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486</v>
      </c>
      <c r="B209" s="7">
        <v>4022</v>
      </c>
      <c r="C209" s="22" t="s">
        <v>205</v>
      </c>
      <c r="D209" s="22" t="s">
        <v>287</v>
      </c>
      <c r="E209" s="13">
        <v>42721.083321759259</v>
      </c>
      <c r="F209" s="13">
        <v>42721.089050925926</v>
      </c>
      <c r="G209" s="7">
        <v>1</v>
      </c>
      <c r="H209" s="22" t="s">
        <v>315</v>
      </c>
      <c r="I209" s="13">
        <v>42721.089537037034</v>
      </c>
      <c r="J209" s="7">
        <v>0</v>
      </c>
      <c r="K209" s="109" t="str">
        <f t="shared" si="124"/>
        <v>4021/4022</v>
      </c>
      <c r="L209" s="22" t="str">
        <f>VLOOKUP(A209,'Trips&amp;Operators'!$C$1:$G$99999,5,FALSE)</f>
        <v>CHANDLER KELVIN</v>
      </c>
      <c r="M209" s="6">
        <f t="shared" si="125"/>
        <v>4.8611110833007842E-4</v>
      </c>
      <c r="N209" s="7">
        <f t="shared" si="120"/>
        <v>0.69999999599531293</v>
      </c>
      <c r="O209" s="7"/>
      <c r="P209" s="7"/>
      <c r="Q209" s="23"/>
      <c r="R209" s="23"/>
      <c r="S209" s="35">
        <f t="shared" si="119"/>
        <v>0</v>
      </c>
      <c r="T209" s="50" t="str">
        <f t="shared" si="126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00:59:59-700',mode:absolute,to:'2016-12-17 03:08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9" s="52" t="str">
        <f t="shared" si="128"/>
        <v>Y</v>
      </c>
      <c r="X209" s="177">
        <f t="shared" si="121"/>
        <v>1</v>
      </c>
      <c r="Y209" s="67">
        <f t="shared" si="117"/>
        <v>4.3499999999999997E-2</v>
      </c>
      <c r="Z209" s="67">
        <f t="shared" si="118"/>
        <v>9.7799999999999998E-2</v>
      </c>
      <c r="AA209" s="67">
        <f t="shared" si="129"/>
        <v>5.4300000000000001E-2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130"/>
        <v>0311-16</v>
      </c>
      <c r="AE209" s="91" t="str">
        <f t="shared" si="131"/>
        <v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v>
      </c>
      <c r="AF209" s="88" t="str">
        <f t="shared" si="132"/>
        <v>"C:\Program Files (x86)\AstroGrep\AstroGrep.exe" /spath="%USERPROFILE%\AppData\Local\Temp\OnboardLogs" /stypes="app*4022*20161217*" /stext=" 09:.+((SYSTEM_STATE.+slice.+state.+changed )|(ment ac)|(multiple cpu faults)|(system.+state.+changed )|(\[timeout)|(PRM\|1\|D)|(kpr)|(kdp)|(\|lc)|(penalty))" /e /r /s</v>
      </c>
      <c r="AG209" s="1" t="str">
        <f t="shared" si="133"/>
        <v>Other</v>
      </c>
      <c r="AH209" s="92" t="str">
        <f t="shared" si="122"/>
        <v>"%USERPROFILE%\Documents\GitHub\eaglep3\Utilities\RefineRTDCRunTimes.py" --tripid 311-16 --locoid 4022 --swversion DE.1.0.8.0 --startMP 204:435 --initTime 2016-12-17T01:59:59 --startdatetime 2016-12-17T02:08:14 --delay 1 --endMP 204:978 --enddatetime 2016-12-17T02:08:56 --enforcementcount 0 &gt;&gt;C:\Users\stu\Documents\GitHub\eaglep3-reporting\EC\2016-12-17-refined-times.txt</v>
      </c>
      <c r="AI209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{"issue":{"subject":"","project_id":79,"tracker_id":40,"status_id":1,"priority_id":2,"assigned_to_id":23,"start_date":"2016-12-17","description":"","custom_fields":[{"id":1,"name":"Subdivision","value":"Other"},{"id":4,"name":"Milepost","value":"0.0978"},{"id":17,"name":"Train ID","value":"311-16"},{"id":16,"name":"Locomotive ID","value":"4022"},{"id":130,"name":"Impact","value":""},{"id":150,"name":"Time of Event (Mountain Time)","value":"02:08:56"},{"id":151,"name":"Denver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748</v>
      </c>
      <c r="B210" s="7">
        <v>4016</v>
      </c>
      <c r="C210" s="22" t="s">
        <v>205</v>
      </c>
      <c r="D210" s="22" t="s">
        <v>496</v>
      </c>
      <c r="E210" s="13">
        <v>42722.083055555559</v>
      </c>
      <c r="F210" s="13">
        <v>25568.708333333332</v>
      </c>
      <c r="G210" s="7">
        <v>1</v>
      </c>
      <c r="H210" s="22" t="s">
        <v>934</v>
      </c>
      <c r="I210" s="13">
        <v>25568.708333333332</v>
      </c>
      <c r="J210" s="7">
        <v>0</v>
      </c>
      <c r="K210" s="109" t="str">
        <f t="shared" si="124"/>
        <v>4015/4016</v>
      </c>
      <c r="L210" s="22" t="str">
        <f>VLOOKUP(A210,'Trips&amp;Operators'!$C$1:$G$99999,5,FALSE)</f>
        <v>LEVIN SCOTT</v>
      </c>
      <c r="M210" s="6">
        <f t="shared" si="125"/>
        <v>0</v>
      </c>
      <c r="N210" s="7">
        <f t="shared" si="120"/>
        <v>0</v>
      </c>
      <c r="O210" s="7"/>
      <c r="P210" s="7"/>
      <c r="Q210" s="23"/>
      <c r="R210" s="23"/>
      <c r="S210" s="35">
        <f t="shared" si="119"/>
        <v>1</v>
      </c>
      <c r="T210" s="50" t="str">
        <f t="shared" si="126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https://search-rtdc-monitor-bjffxe2xuh6vdkpspy63sjmuny.us-east-1.es.amazonaws.com/_plugin/kibana/#/discover/Steve-Slow-Train-Analysis-(2080s-and-2083s)?_g=(refreshInterval:(display:Off,section:0,value:0),time:(from:'2016-12-18 00:59:36-700',mode:absolute,to:'1969-12-31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0" s="52" t="str">
        <f t="shared" si="128"/>
        <v>Y</v>
      </c>
      <c r="X210" s="177">
        <f t="shared" si="121"/>
        <v>0</v>
      </c>
      <c r="Y210" s="67">
        <f t="shared" si="117"/>
        <v>4.6899999999999997E-2</v>
      </c>
      <c r="Z210" s="67">
        <f t="shared" si="118"/>
        <v>2.3315999999999999</v>
      </c>
      <c r="AA210" s="67">
        <f t="shared" si="129"/>
        <v>2.2847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130"/>
        <v>0311-17</v>
      </c>
      <c r="AE210" s="91" t="str">
        <f t="shared" si="13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0" s="88" t="str">
        <f t="shared" si="13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0" s="1" t="str">
        <f t="shared" si="133"/>
        <v>Other</v>
      </c>
      <c r="AH210" s="92" t="str">
        <f t="shared" si="122"/>
        <v>"%USERPROFILE%\Documents\GitHub\eaglep3\Utilities\RefineRTDCRunTimes.py" --tripid 311-17 --locoid 4016 --swversion DE.1.0.8.0 --startMP 204:469 --initTime 2016-12-18T01:59:36 --startdatetime 1969-12-31T17:00:00 --delay 1 --endMP 300:23316 --enddatetime 1969-12-31T17:00:00 --enforcementcount 0 &gt;&gt;C:\Users\stu\Documents\GitHub\eaglep3-reporting\EC\2016-12-17-refined-times.txt</v>
      </c>
      <c r="AI210" s="119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ID","value":"311-17"},{"id":16,"name":"Locomotive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487</v>
      </c>
      <c r="B211" s="7">
        <v>4009</v>
      </c>
      <c r="C211" s="22" t="s">
        <v>205</v>
      </c>
      <c r="D211" s="22" t="s">
        <v>230</v>
      </c>
      <c r="E211" s="13">
        <v>42721.093981481485</v>
      </c>
      <c r="F211" s="13">
        <v>42721.095601851855</v>
      </c>
      <c r="G211" s="7">
        <v>1</v>
      </c>
      <c r="H211" s="22" t="s">
        <v>515</v>
      </c>
      <c r="I211" s="13">
        <v>42721.096678240741</v>
      </c>
      <c r="J211" s="7">
        <v>0</v>
      </c>
      <c r="K211" s="109" t="str">
        <f t="shared" si="124"/>
        <v>4009/4010</v>
      </c>
      <c r="L211" s="22" t="str">
        <f>VLOOKUP(A211,'Trips&amp;Operators'!$C$1:$G$99999,5,FALSE)</f>
        <v>STAMBAUGH JAMES</v>
      </c>
      <c r="M211" s="6">
        <f t="shared" si="125"/>
        <v>1.0763888858491555E-3</v>
      </c>
      <c r="N211" s="7">
        <f t="shared" si="120"/>
        <v>1.5499999956227839</v>
      </c>
      <c r="O211" s="7"/>
      <c r="P211" s="7"/>
      <c r="Q211" s="23"/>
      <c r="R211" s="23"/>
      <c r="S211" s="35">
        <f t="shared" si="119"/>
        <v>0</v>
      </c>
      <c r="T211" s="50" t="str">
        <f t="shared" si="126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01:15:20-700',mode:absolute,to:'2016-12-17 03:19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1" s="52" t="str">
        <f t="shared" si="128"/>
        <v>Y</v>
      </c>
      <c r="X211" s="177">
        <f t="shared" si="121"/>
        <v>2</v>
      </c>
      <c r="Y211" s="67">
        <f t="shared" si="117"/>
        <v>4.5999999999999999E-2</v>
      </c>
      <c r="Z211" s="67">
        <f t="shared" si="118"/>
        <v>0.33379999999999999</v>
      </c>
      <c r="AA211" s="67">
        <f t="shared" si="129"/>
        <v>0.2878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130"/>
        <v>0313-16</v>
      </c>
      <c r="AE211" s="91" t="str">
        <f t="shared" si="131"/>
        <v>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 &amp; 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</v>
      </c>
      <c r="AF211" s="88" t="str">
        <f t="shared" si="132"/>
        <v>"C:\Program Files (x86)\AstroGrep\AstroGrep.exe" /spath="%USERPROFILE%\AppData\Local\Temp\OnboardLogs" /stypes="app*4009*20161217*" /stext=" 09:.+((SYSTEM_STATE.+slice.+state.+changed )|(ment ac)|(multiple cpu faults)|(system.+state.+changed )|(\[timeout)|(PRM\|1\|D)|(kpr)|(kdp)|(\|lc)|(penalty))" /e /r /s</v>
      </c>
      <c r="AG211" s="1" t="str">
        <f t="shared" si="133"/>
        <v>Other</v>
      </c>
      <c r="AH211" s="92" t="str">
        <f t="shared" si="122"/>
        <v>"%USERPROFILE%\Documents\GitHub\eaglep3\Utilities\RefineRTDCRunTimes.py" --tripid 313-16 --locoid 4009 --swversion DE.1.0.8.0 --startMP 204:460 --initTime 2016-12-17T02:15:20 --startdatetime 2016-12-17T02:17:40 --delay 1 --endMP 204:3338 --enddatetime 2016-12-17T02:19:13 --enforcementcount 0 &gt;&gt;C:\Users\stu\Documents\GitHub\eaglep3-reporting\EC\2016-12-17-refined-times.txt</v>
      </c>
      <c r="AI211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{"issue":{"subject":"","project_id":79,"tracker_id":40,"status_id":1,"priority_id":2,"assigned_to_id":23,"start_date":"2016-12-17","description":"","custom_fields":[{"id":1,"name":"Subdivision","value":"Other"},{"id":4,"name":"Milepost","value":"0.3338"},{"id":17,"name":"Train ID","value":"313-16"},{"id":16,"name":"Locomotive ID","value":"4009"},{"id":130,"name":"Impact","value":""},{"id":150,"name":"Time of Event (Mountain Time)","value":"02:19:13"},{"id":151,"name":"Denver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749</v>
      </c>
      <c r="B212" s="7">
        <v>4018</v>
      </c>
      <c r="C212" s="22" t="s">
        <v>205</v>
      </c>
      <c r="D212" s="22" t="s">
        <v>309</v>
      </c>
      <c r="E212" s="13">
        <v>42722.100370370368</v>
      </c>
      <c r="F212" s="13">
        <v>25568.708333333332</v>
      </c>
      <c r="G212" s="7">
        <v>1</v>
      </c>
      <c r="H212" s="22" t="s">
        <v>513</v>
      </c>
      <c r="I212" s="13">
        <v>25568.708333333332</v>
      </c>
      <c r="J212" s="7">
        <v>0</v>
      </c>
      <c r="K212" s="109" t="str">
        <f t="shared" si="124"/>
        <v>4017/4018</v>
      </c>
      <c r="L212" s="22" t="str">
        <f>VLOOKUP(A212,'Trips&amp;Operators'!$C$1:$G$99999,5,FALSE)</f>
        <v>STAMBAUGH JAMES</v>
      </c>
      <c r="M212" s="6">
        <f t="shared" si="125"/>
        <v>0</v>
      </c>
      <c r="N212" s="7">
        <f t="shared" si="120"/>
        <v>0</v>
      </c>
      <c r="O212" s="7"/>
      <c r="P212" s="7"/>
      <c r="Q212" s="23"/>
      <c r="R212" s="23"/>
      <c r="S212" s="35">
        <f t="shared" si="119"/>
        <v>1</v>
      </c>
      <c r="T212" s="50" t="str">
        <f t="shared" si="126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https://search-rtdc-monitor-bjffxe2xuh6vdkpspy63sjmuny.us-east-1.es.amazonaws.com/_plugin/kibana/#/discover/Steve-Slow-Train-Analysis-(2080s-and-2083s)?_g=(refreshInterval:(display:Off,section:0,value:0),time:(from:'2016-12-18 01:24:32-700',mode:absolute,to:'1969-12-31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2" s="52" t="str">
        <f t="shared" si="128"/>
        <v>Y</v>
      </c>
      <c r="X212" s="177">
        <f t="shared" si="121"/>
        <v>0</v>
      </c>
      <c r="Y212" s="67">
        <f t="shared" si="117"/>
        <v>4.7699999999999999E-2</v>
      </c>
      <c r="Z212" s="67">
        <f t="shared" si="118"/>
        <v>2.3311999999999999</v>
      </c>
      <c r="AA212" s="67">
        <f t="shared" si="129"/>
        <v>2.2835000000000001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130"/>
        <v>0313-17</v>
      </c>
      <c r="AE212" s="91" t="str">
        <f t="shared" si="13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2" s="88" t="str">
        <f t="shared" si="13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2" s="1" t="str">
        <f t="shared" si="133"/>
        <v>Other</v>
      </c>
      <c r="AH212" s="92" t="str">
        <f t="shared" si="122"/>
        <v>"%USERPROFILE%\Documents\GitHub\eaglep3\Utilities\RefineRTDCRunTimes.py" --tripid 313-17 --locoid 4018 --swversion DE.1.0.8.0 --startMP 204:477 --initTime 2016-12-18T02:24:32 --startdatetime 1969-12-31T17:00:00 --delay 1 --endMP 300:23312 --enddatetime 1969-12-31T17:00:00 --enforcementcount 0 &gt;&gt;C:\Users\stu\Documents\GitHub\eaglep3-reporting\EC\2016-12-17-refined-times.txt</v>
      </c>
      <c r="AI212" s="119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ID","value":"313-17"},{"id":16,"name":"Locomotive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488</v>
      </c>
      <c r="B213" s="7">
        <v>4051</v>
      </c>
      <c r="C213" s="22" t="s">
        <v>205</v>
      </c>
      <c r="D213" s="22" t="s">
        <v>336</v>
      </c>
      <c r="E213" s="13">
        <v>42721.109837962962</v>
      </c>
      <c r="F213" s="13">
        <v>25568.708333333332</v>
      </c>
      <c r="G213" s="7">
        <v>1</v>
      </c>
      <c r="H213" s="22" t="s">
        <v>516</v>
      </c>
      <c r="I213" s="13">
        <v>25568.708333333332</v>
      </c>
      <c r="J213" s="7">
        <v>0</v>
      </c>
      <c r="K213" s="109" t="str">
        <f t="shared" si="124"/>
        <v>4051/4052</v>
      </c>
      <c r="L213" s="22" t="str">
        <f>VLOOKUP(A213,'Trips&amp;Operators'!$C$1:$G$99999,5,FALSE)</f>
        <v>LEVIN SCOTT</v>
      </c>
      <c r="M213" s="6">
        <f t="shared" si="125"/>
        <v>0</v>
      </c>
      <c r="N213" s="7">
        <f t="shared" si="120"/>
        <v>0</v>
      </c>
      <c r="O213" s="7"/>
      <c r="P213" s="7"/>
      <c r="Q213" s="23"/>
      <c r="R213" s="23"/>
      <c r="S213" s="35">
        <f t="shared" si="119"/>
        <v>1</v>
      </c>
      <c r="T213" s="50" t="str">
        <f t="shared" si="126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01:38:10-700',mode:absolute,to:'1969-12-31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3" s="52" t="str">
        <f t="shared" si="128"/>
        <v>Y</v>
      </c>
      <c r="X213" s="177">
        <f t="shared" si="121"/>
        <v>2</v>
      </c>
      <c r="Y213" s="67">
        <f t="shared" si="117"/>
        <v>4.3999999999999997E-2</v>
      </c>
      <c r="Z213" s="67">
        <f t="shared" si="118"/>
        <v>2.3306</v>
      </c>
      <c r="AA213" s="67">
        <f t="shared" si="129"/>
        <v>2.2866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130"/>
        <v>0315-16</v>
      </c>
      <c r="AE213" s="91" t="str">
        <f t="shared" si="13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3" s="88" t="str">
        <f t="shared" si="13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3" s="1" t="str">
        <f t="shared" si="133"/>
        <v>Other</v>
      </c>
      <c r="AH213" s="92" t="str">
        <f t="shared" si="122"/>
        <v>"%USERPROFILE%\Documents\GitHub\eaglep3\Utilities\RefineRTDCRunTimes.py" --tripid 315-16 --locoid 4051 --swversion DE.1.0.8.0 --startMP 204:440 --initTime 2016-12-17T02:38:10 --startdatetime 1969-12-31T17:00:00 --delay 1 --endMP 300:23306 --enddatetime 1969-12-31T17:00:00 --enforcementcount 0 &gt;&gt;C:\Users\stu\Documents\GitHub\eaglep3-reporting\EC\2016-12-17-refined-times.txt</v>
      </c>
      <c r="AI213" s="119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ID","value":"315-16"},{"id":16,"name":"Locomotive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737</v>
      </c>
      <c r="B214" s="7">
        <v>4039</v>
      </c>
      <c r="C214" s="22" t="s">
        <v>205</v>
      </c>
      <c r="D214" s="22" t="s">
        <v>864</v>
      </c>
      <c r="E214" s="13">
        <v>42721.945821759262</v>
      </c>
      <c r="F214" s="13">
        <v>42721.947615740741</v>
      </c>
      <c r="G214" s="7">
        <v>1</v>
      </c>
      <c r="H214" s="22" t="s">
        <v>865</v>
      </c>
      <c r="I214" s="13">
        <v>42721.953043981484</v>
      </c>
      <c r="J214" s="7">
        <v>0</v>
      </c>
      <c r="K214" s="109" t="str">
        <f t="shared" si="124"/>
        <v>4039/4040</v>
      </c>
      <c r="L214" s="22" t="str">
        <f>VLOOKUP(A214,'Trips&amp;Operators'!$C$1:$G$99999,5,FALSE)</f>
        <v>WHITED DUSTIN</v>
      </c>
      <c r="M214" s="6">
        <f t="shared" si="125"/>
        <v>5.4282407436403446E-3</v>
      </c>
      <c r="N214" s="7">
        <f t="shared" si="120"/>
        <v>7.8166666708420962</v>
      </c>
      <c r="O214" s="7"/>
      <c r="P214" s="7"/>
      <c r="Q214" s="23"/>
      <c r="R214" s="23"/>
      <c r="S214" s="35">
        <f t="shared" si="119"/>
        <v>0</v>
      </c>
      <c r="T214" s="50" t="str">
        <f t="shared" si="126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21:41:59-700',mode:absolute,to:'2016-12-17 23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4" s="52" t="str">
        <f t="shared" si="128"/>
        <v>Y</v>
      </c>
      <c r="X214" s="177">
        <f t="shared" si="121"/>
        <v>1587</v>
      </c>
      <c r="Y214" s="67">
        <f t="shared" si="117"/>
        <v>5.8643000000000001</v>
      </c>
      <c r="Z214" s="67">
        <f t="shared" si="118"/>
        <v>2.1661000000000001</v>
      </c>
      <c r="AA214" s="67">
        <f t="shared" si="129"/>
        <v>3.6981999999999999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130"/>
        <v>1902-17</v>
      </c>
      <c r="AE214" s="91" t="str">
        <f t="shared" si="131"/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AF214" s="88" t="str">
        <f t="shared" si="132"/>
        <v>"C:\Program Files (x86)\AstroGrep\AstroGrep.exe" /spath="%USERPROFILE%\AppData\Local\Temp\OnboardLogs" /stypes="app*4039*20161218*" /stext=" 05:.+((SYSTEM_STATE.+slice.+state.+changed )|(ment ac)|(multiple cpu faults)|(system.+state.+changed )|(\[timeout)|(PRM\|1\|D)|(kpr)|(kdp)|(\|lc)|(penalty))" /e /r /s</v>
      </c>
      <c r="AG214" s="1" t="str">
        <f t="shared" si="133"/>
        <v>Other</v>
      </c>
      <c r="AH214" s="92" t="str">
        <f t="shared" si="122"/>
        <v>"%USERPROFILE%\Documents\GitHub\eaglep3\Utilities\RefineRTDCRunTimes.py" --tripid 1902-17 --locoid 4039 --swversion DE.1.0.8.0 --startMP 300:58643 --initTime 2016-12-17T22:41:59 --startdatetime 2016-12-17T22:44:34 --delay 1 --endMP 300:21661 --enddatetime 2016-12-17T22:52:23 --enforcementcount 0 &gt;&gt;C:\Users\stu\Documents\GitHub\eaglep3-reporting\EC\2016-12-17-refined-times.txt</v>
      </c>
      <c r="AI214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{"issue":{"subject":"","project_id":79,"tracker_id":40,"status_id":1,"priority_id":2,"assigned_to_id":23,"start_date":"2016-12-17","description":"","custom_fields":[{"id":1,"name":"Subdivision","value":"Other"},{"id":4,"name":"Milepost","value":"2.1661"},{"id":17,"name":"Train ID","value":"1902-17"},{"id":16,"name":"Locomotive ID","value":"4039"},{"id":130,"name":"Impact","value":""},{"id":150,"name":"Time of Event (Mountain Time)","value":"22:52:23"},{"id":151,"name":"Denver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557</v>
      </c>
      <c r="B215" s="7">
        <v>4021</v>
      </c>
      <c r="C215" s="22" t="s">
        <v>205</v>
      </c>
      <c r="D215" s="22" t="s">
        <v>935</v>
      </c>
      <c r="E215" s="13">
        <v>42721.415821759256</v>
      </c>
      <c r="F215" s="13">
        <v>42721.417175925926</v>
      </c>
      <c r="G215" s="7">
        <v>1</v>
      </c>
      <c r="H215" s="22" t="s">
        <v>936</v>
      </c>
      <c r="I215" s="13">
        <v>42721.42496527778</v>
      </c>
      <c r="J215" s="7">
        <v>0</v>
      </c>
      <c r="K215" s="109" t="str">
        <f t="shared" si="124"/>
        <v>4021/4022</v>
      </c>
      <c r="L215" s="22" t="str">
        <f>VLOOKUP(A215,'Trips&amp;Operators'!$C$1:$G$99999,5,FALSE)</f>
        <v>MAHAN DUANE</v>
      </c>
      <c r="M215" s="6">
        <f t="shared" si="125"/>
        <v>7.7893518537166528E-3</v>
      </c>
      <c r="N215" s="7">
        <f t="shared" si="120"/>
        <v>11.21666666935198</v>
      </c>
      <c r="O215" s="7"/>
      <c r="P215" s="7"/>
      <c r="Q215" s="23"/>
      <c r="R215" s="23"/>
      <c r="S215" s="35">
        <f t="shared" si="119"/>
        <v>0</v>
      </c>
      <c r="T215" s="50" t="e">
        <f t="shared" si="126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08:58:47-700',mode:absolute,to:'2016-12-17 11:11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5" s="52" t="str">
        <f t="shared" si="128"/>
        <v>Y</v>
      </c>
      <c r="X215" s="177" t="e">
        <f t="shared" si="121"/>
        <v>#VALUE!</v>
      </c>
      <c r="Y215" s="67">
        <f t="shared" si="117"/>
        <v>2.1410999999999998</v>
      </c>
      <c r="Z215" s="67">
        <f t="shared" si="118"/>
        <v>7.3000000000000001E-3</v>
      </c>
      <c r="AA215" s="67">
        <f t="shared" si="129"/>
        <v>2.1337999999999999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130"/>
        <v>52-17</v>
      </c>
      <c r="AE215" s="91" t="str">
        <f t="shared" si="131"/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AF215" s="88" t="str">
        <f t="shared" si="132"/>
        <v>"C:\Program Files (x86)\AstroGrep\AstroGrep.exe" /spath="%USERPROFILE%\AppData\Local\Temp\OnboardLogs" /stypes="app*4021*20161217*" /stext=" 17:.+((SYSTEM_STATE.+slice.+state.+changed )|(ment ac)|(multiple cpu faults)|(system.+state.+changed )|(\[timeout)|(PRM\|1\|D)|(kpr)|(kdp)|(\|lc)|(penalty))" /e /r /s</v>
      </c>
      <c r="AG215" s="1" t="str">
        <f t="shared" si="133"/>
        <v>Other</v>
      </c>
      <c r="AH215" s="92" t="str">
        <f t="shared" si="122"/>
        <v>"%USERPROFILE%\Documents\GitHub\eaglep3\Utilities\RefineRTDCRunTimes.py" --tripid 52-17 --locoid 4021 --swversion DE.1.0.8.0 --startMP 300:21411 --initTime 2016-12-17T09:58:47 --startdatetime 2016-12-17T10:00:44 --delay 1 --endMP 204:73 --enddatetime 2016-12-17T10:11:57 --enforcementcount 0 &gt;&gt;C:\Users\stu\Documents\GitHub\eaglep3-reporting\EC\2016-12-17-refined-times.txt</v>
      </c>
      <c r="AI215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{"issue":{"subject":"","project_id":79,"tracker_id":40,"status_id":1,"priority_id":2,"assigned_to_id":23,"start_date":"2016-12-17","description":"","custom_fields":[{"id":1,"name":"Subdivision","value":"Other"},{"id":4,"name":"Milepost","value":"0.0073"},{"id":17,"name":"Train ID","value":"52-17"},{"id":16,"name":"Locomotive ID","value":"4021"},{"id":130,"name":"Impact","value":""},{"id":150,"name":"Time of Event (Mountain Time)","value":"10:11:57"},{"id":151,"name":"Denver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558</v>
      </c>
      <c r="B216" s="7">
        <v>4012</v>
      </c>
      <c r="C216" s="22" t="s">
        <v>205</v>
      </c>
      <c r="D216" s="22" t="s">
        <v>937</v>
      </c>
      <c r="E216" s="13">
        <v>42721.416932870372</v>
      </c>
      <c r="F216" s="13">
        <v>42721.419525462959</v>
      </c>
      <c r="G216" s="7">
        <v>3</v>
      </c>
      <c r="H216" s="22" t="s">
        <v>938</v>
      </c>
      <c r="I216" s="13">
        <v>42721.426979166667</v>
      </c>
      <c r="J216" s="7">
        <v>0</v>
      </c>
      <c r="K216" s="109" t="str">
        <f t="shared" si="124"/>
        <v>4011/4012</v>
      </c>
      <c r="L216" s="22" t="str">
        <f>VLOOKUP(A216,'Trips&amp;Operators'!$C$1:$G$99999,5,FALSE)</f>
        <v>BROWN JACOB</v>
      </c>
      <c r="M216" s="6">
        <f t="shared" si="125"/>
        <v>7.4537037071422674E-3</v>
      </c>
      <c r="N216" s="7">
        <f t="shared" si="120"/>
        <v>10.733333338284865</v>
      </c>
      <c r="O216" s="7"/>
      <c r="P216" s="7"/>
      <c r="Q216" s="23"/>
      <c r="R216" s="23"/>
      <c r="S216" s="35">
        <f t="shared" si="119"/>
        <v>0</v>
      </c>
      <c r="T216" s="50" t="e">
        <f t="shared" si="126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09:00:23-700',mode:absolute,to:'2016-12-17 11:14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6" s="52" t="str">
        <f t="shared" si="128"/>
        <v>Y</v>
      </c>
      <c r="X216" s="177" t="e">
        <f t="shared" si="121"/>
        <v>#VALUE!</v>
      </c>
      <c r="Y216" s="67">
        <f t="shared" si="117"/>
        <v>2.2086999999999999</v>
      </c>
      <c r="Z216" s="67">
        <f t="shared" si="118"/>
        <v>9.6199999999999994E-2</v>
      </c>
      <c r="AA216" s="67">
        <f t="shared" si="129"/>
        <v>2.1124999999999998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130"/>
        <v>54-17</v>
      </c>
      <c r="AE216" s="91" t="str">
        <f t="shared" si="131"/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AF216" s="88" t="str">
        <f t="shared" si="132"/>
        <v>"C:\Program Files (x86)\AstroGrep\AstroGrep.exe" /spath="%USERPROFILE%\AppData\Local\Temp\OnboardLogs" /stypes="app*4012*20161217*" /stext=" 17:.+((SYSTEM_STATE.+slice.+state.+changed )|(ment ac)|(multiple cpu faults)|(system.+state.+changed )|(\[timeout)|(PRM\|1\|D)|(kpr)|(kdp)|(\|lc)|(penalty))" /e /r /s</v>
      </c>
      <c r="AG216" s="1" t="str">
        <f t="shared" si="133"/>
        <v>Other</v>
      </c>
      <c r="AH216" s="92" t="str">
        <f t="shared" si="122"/>
        <v>"%USERPROFILE%\Documents\GitHub\eaglep3\Utilities\RefineRTDCRunTimes.py" --tripid 54-17 --locoid 4012 --swversion DE.1.0.8.0 --startMP 300:22087 --initTime 2016-12-17T10:00:23 --startdatetime 2016-12-17T10:04:07 --delay 3 --endMP 204:962 --enddatetime 2016-12-17T10:14:51 --enforcementcount 0 &gt;&gt;C:\Users\stu\Documents\GitHub\eaglep3-reporting\EC\2016-12-17-refined-times.txt</v>
      </c>
      <c r="AI216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{"issue":{"subject":"","project_id":79,"tracker_id":40,"status_id":1,"priority_id":2,"assigned_to_id":23,"start_date":"2016-12-17","description":"","custom_fields":[{"id":1,"name":"Subdivision","value":"Other"},{"id":4,"name":"Milepost","value":"0.0962"},{"id":17,"name":"Train ID","value":"54-17"},{"id":16,"name":"Locomotive ID","value":"4012"},{"id":130,"name":"Impact","value":""},{"id":150,"name":"Time of Event (Mountain Time)","value":"10:14:51"},{"id":151,"name":"Denver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649</v>
      </c>
      <c r="B217" s="7">
        <v>4003</v>
      </c>
      <c r="C217" s="22" t="s">
        <v>205</v>
      </c>
      <c r="D217" s="22" t="s">
        <v>939</v>
      </c>
      <c r="E217" s="13">
        <v>42721.467800925922</v>
      </c>
      <c r="F217" s="13">
        <v>42721.469039351854</v>
      </c>
      <c r="G217" s="7">
        <v>1</v>
      </c>
      <c r="H217" s="22" t="s">
        <v>940</v>
      </c>
      <c r="I217" s="13">
        <v>42721.475254629629</v>
      </c>
      <c r="J217" s="7">
        <v>0</v>
      </c>
      <c r="K217" s="109" t="str">
        <f t="shared" si="124"/>
        <v>4003/4004</v>
      </c>
      <c r="L217" s="22" t="str">
        <f>VLOOKUP(A217,'Trips&amp;Operators'!$C$1:$G$99999,5,FALSE)</f>
        <v>SANTIZO D. EDY</v>
      </c>
      <c r="M217" s="6">
        <f t="shared" si="125"/>
        <v>6.2152777754818089E-3</v>
      </c>
      <c r="N217" s="7">
        <f t="shared" si="120"/>
        <v>8.9499999966938049</v>
      </c>
      <c r="O217" s="7"/>
      <c r="P217" s="7"/>
      <c r="Q217" s="23"/>
      <c r="R217" s="23"/>
      <c r="S217" s="35">
        <f t="shared" si="119"/>
        <v>0</v>
      </c>
      <c r="T217" s="50" t="e">
        <f t="shared" si="126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10:13:38-700',mode:absolute,to:'2016-12-17 12:24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7" s="52" t="str">
        <f t="shared" si="128"/>
        <v>Y</v>
      </c>
      <c r="X217" s="177" t="e">
        <f t="shared" si="121"/>
        <v>#VALUE!</v>
      </c>
      <c r="Y217" s="67">
        <f t="shared" si="117"/>
        <v>6.88E-2</v>
      </c>
      <c r="Z217" s="67">
        <f t="shared" si="118"/>
        <v>2.4197000000000002</v>
      </c>
      <c r="AA217" s="67">
        <f t="shared" si="129"/>
        <v>2.3509000000000002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130"/>
        <v>57-17</v>
      </c>
      <c r="AE217" s="91" t="str">
        <f t="shared" si="131"/>
        <v>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 &amp; aws s3 cp s3://rtdc.mdm.uploadarchive.raw/RTDC4003/ "%USERPROFILE%\AppData\Local\Temp\OnboardLogs"\RTDC4003\2016-12-18 --exclude "*" --recursive --include "*20161218*" &amp; "%USERPROFILE%\Documents\GitHub\mrs-test-scripts\Headless Mode &amp; Sideloading\WalkAndUnGZ.bat" "%USERPROFILE%\AppData\Local\Temp\OnboardLogs"\RTDC4003\2016-12-18</v>
      </c>
      <c r="AF217" s="88" t="str">
        <f t="shared" si="132"/>
        <v>"C:\Program Files (x86)\AstroGrep\AstroGrep.exe" /spath="%USERPROFILE%\AppData\Local\Temp\OnboardLogs" /stypes="app*4003*20161217*" /stext=" 18:.+((SYSTEM_STATE.+slice.+state.+changed )|(ment ac)|(multiple cpu faults)|(system.+state.+changed )|(\[timeout)|(PRM\|1\|D)|(kpr)|(kdp)|(\|lc)|(penalty))" /e /r /s</v>
      </c>
      <c r="AG217" s="1" t="str">
        <f t="shared" si="133"/>
        <v>Other</v>
      </c>
      <c r="AH217" s="92" t="str">
        <f t="shared" si="122"/>
        <v>"%USERPROFILE%\Documents\GitHub\eaglep3\Utilities\RefineRTDCRunTimes.py" --tripid 57-17 --locoid 4003 --swversion DE.1.0.8.0 --startMP 204:688 --initTime 2016-12-17T11:13:38 --startdatetime 2016-12-17T11:15:25 --delay 1 --endMP 300:24197 --enddatetime 2016-12-17T11:24:22 --enforcementcount 0 &gt;&gt;C:\Users\stu\Documents\GitHub\eaglep3-reporting\EC\2016-12-17-refined-times.txt</v>
      </c>
      <c r="AI217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{"issue":{"subject":"","project_id":79,"tracker_id":40,"status_id":1,"priority_id":2,"assigned_to_id":23,"start_date":"2016-12-17","description":"","custom_fields":[{"id":1,"name":"Subdivision","value":"Other"},{"id":4,"name":"Milepost","value":"2.4197"},{"id":17,"name":"Train ID","value":"57-17"},{"id":16,"name":"Locomotive ID","value":"4003"},{"id":130,"name":"Impact","value":""},{"id":150,"name":"Time of Event (Mountain Time)","value":"11:24:22"},{"id":151,"name":"Denver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572</v>
      </c>
      <c r="B218" s="7">
        <v>4031</v>
      </c>
      <c r="C218" s="22" t="s">
        <v>205</v>
      </c>
      <c r="D218" s="22" t="s">
        <v>941</v>
      </c>
      <c r="E218" s="13">
        <v>42721.631956018522</v>
      </c>
      <c r="F218" s="13">
        <v>42721.634143518517</v>
      </c>
      <c r="G218" s="7">
        <v>1</v>
      </c>
      <c r="H218" s="22" t="s">
        <v>942</v>
      </c>
      <c r="I218" s="13">
        <v>42721.640092592592</v>
      </c>
      <c r="J218" s="7">
        <v>0</v>
      </c>
      <c r="K218" s="109" t="str">
        <f t="shared" si="124"/>
        <v>4031/4032</v>
      </c>
      <c r="L218" s="22" t="str">
        <f>VLOOKUP(A218,'Trips&amp;Operators'!$C$1:$G$99999,5,FALSE)</f>
        <v>MAHAN DUANE</v>
      </c>
      <c r="M218" s="6">
        <f t="shared" si="125"/>
        <v>5.9490740750334226E-3</v>
      </c>
      <c r="N218" s="7">
        <f t="shared" si="120"/>
        <v>8.5666666680481285</v>
      </c>
      <c r="O218" s="7"/>
      <c r="P218" s="7"/>
      <c r="Q218" s="23"/>
      <c r="R218" s="23"/>
      <c r="S218" s="35">
        <f t="shared" si="119"/>
        <v>0</v>
      </c>
      <c r="T218" s="50" t="e">
        <f t="shared" si="126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14:10:01-700',mode:absolute,to:'2016-12-17 16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8" s="52" t="str">
        <f t="shared" si="128"/>
        <v>Y</v>
      </c>
      <c r="X218" s="177" t="e">
        <f t="shared" si="121"/>
        <v>#VALUE!</v>
      </c>
      <c r="Y218" s="67">
        <f t="shared" si="117"/>
        <v>8.1000000000000003E-2</v>
      </c>
      <c r="Z218" s="67">
        <f t="shared" si="118"/>
        <v>2.3290999999999999</v>
      </c>
      <c r="AA218" s="67">
        <f t="shared" si="129"/>
        <v>2.2481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130"/>
        <v>67-17</v>
      </c>
      <c r="AE218" s="91" t="str">
        <f t="shared" si="131"/>
        <v>aws s3 cp s3://rtdc.mdm.uploadarchive.raw/RTDC4031/ "%USERPROFILE%\AppData\Local\Temp\OnboardLogs"\RTDC4031\2016-12-17 --exclude "*" --recursive --include "*20161217*" &amp; "%USERPROFILE%\Documents\GitHub\mrs-test-scripts\Headless Mode &amp; Sideloading\WalkAndUnGZ.bat" "%USERPROFILE%\AppData\Local\Temp\OnboardLogs"\RTDC4031\2016-12-17 &amp; 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</v>
      </c>
      <c r="AF218" s="88" t="str">
        <f t="shared" si="132"/>
        <v>"C:\Program Files (x86)\AstroGrep\AstroGrep.exe" /spath="%USERPROFILE%\AppData\Local\Temp\OnboardLogs" /stypes="app*4031*20161217*" /stext=" 22:.+((SYSTEM_STATE.+slice.+state.+changed )|(ment ac)|(multiple cpu faults)|(system.+state.+changed )|(\[timeout)|(PRM\|1\|D)|(kpr)|(kdp)|(\|lc)|(penalty))" /e /r /s</v>
      </c>
      <c r="AG218" s="1" t="str">
        <f t="shared" si="133"/>
        <v>Other</v>
      </c>
      <c r="AH218" s="92" t="str">
        <f t="shared" si="122"/>
        <v>"%USERPROFILE%\Documents\GitHub\eaglep3\Utilities\RefineRTDCRunTimes.py" --tripid 67-17 --locoid 4031 --swversion DE.1.0.8.0 --startMP 204:810 --initTime 2016-12-17T15:10:01 --startdatetime 2016-12-17T15:13:10 --delay 1 --endMP 300:23291 --enddatetime 2016-12-17T15:21:44 --enforcementcount 0 &gt;&gt;C:\Users\stu\Documents\GitHub\eaglep3-reporting\EC\2016-12-17-refined-times.txt</v>
      </c>
      <c r="AI218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{"issue":{"subject":"","project_id":79,"tracker_id":40,"status_id":1,"priority_id":2,"assigned_to_id":23,"start_date":"2016-12-17","description":"","custom_fields":[{"id":1,"name":"Subdivision","value":"Other"},{"id":4,"name":"Milepost","value":"2.3291"},{"id":17,"name":"Train ID","value":"67-17"},{"id":16,"name":"Locomotive ID","value":"4031"},{"id":130,"name":"Impact","value":""},{"id":150,"name":"Time of Event (Mountain Time)","value":"15:21:44"},{"id":151,"name":"Denver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575</v>
      </c>
      <c r="B219" s="7">
        <v>4026</v>
      </c>
      <c r="C219" s="22" t="s">
        <v>205</v>
      </c>
      <c r="D219" s="22" t="s">
        <v>943</v>
      </c>
      <c r="E219" s="13">
        <v>42721.663240740738</v>
      </c>
      <c r="F219" s="13">
        <v>42721.664872685185</v>
      </c>
      <c r="G219" s="7">
        <v>1</v>
      </c>
      <c r="H219" s="22" t="s">
        <v>944</v>
      </c>
      <c r="I219" s="13">
        <v>42721.673402777778</v>
      </c>
      <c r="J219" s="7">
        <v>0</v>
      </c>
      <c r="K219" s="109" t="str">
        <f t="shared" si="124"/>
        <v>4025/4026</v>
      </c>
      <c r="L219" s="22" t="str">
        <f>VLOOKUP(A219,'Trips&amp;Operators'!$C$1:$G$99999,5,FALSE)</f>
        <v>MAHAN DUANE</v>
      </c>
      <c r="M219" s="6">
        <f t="shared" si="125"/>
        <v>8.5300925929914229E-3</v>
      </c>
      <c r="N219" s="7">
        <f t="shared" si="120"/>
        <v>12.283333333907649</v>
      </c>
      <c r="O219" s="7"/>
      <c r="P219" s="7"/>
      <c r="Q219" s="23"/>
      <c r="R219" s="23"/>
      <c r="S219" s="35">
        <f t="shared" si="119"/>
        <v>0</v>
      </c>
      <c r="T219" s="50" t="e">
        <f t="shared" si="126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14:55:04-700',mode:absolute,to:'2016-12-17 17:09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9" s="52" t="str">
        <f t="shared" si="128"/>
        <v>Y</v>
      </c>
      <c r="X219" s="177" t="e">
        <f t="shared" si="121"/>
        <v>#VALUE!</v>
      </c>
      <c r="Y219" s="67">
        <f t="shared" si="117"/>
        <v>2.1930999999999998</v>
      </c>
      <c r="Z219" s="67">
        <f t="shared" si="118"/>
        <v>0.15540000000000001</v>
      </c>
      <c r="AA219" s="67">
        <f t="shared" si="129"/>
        <v>2.0376999999999996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130"/>
        <v>68-17</v>
      </c>
      <c r="AE219" s="91" t="str">
        <f t="shared" si="131"/>
        <v>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 &amp; 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</v>
      </c>
      <c r="AF219" s="88" t="str">
        <f t="shared" si="132"/>
        <v>"C:\Program Files (x86)\AstroGrep\AstroGrep.exe" /spath="%USERPROFILE%\AppData\Local\Temp\OnboardLogs" /stypes="app*4026*20161217*" /stext=" 23:.+((SYSTEM_STATE.+slice.+state.+changed )|(ment ac)|(multiple cpu faults)|(system.+state.+changed )|(\[timeout)|(PRM\|1\|D)|(kpr)|(kdp)|(\|lc)|(penalty))" /e /r /s</v>
      </c>
      <c r="AG219" s="1" t="str">
        <f t="shared" si="133"/>
        <v>Other</v>
      </c>
      <c r="AH219" s="92" t="str">
        <f t="shared" si="122"/>
        <v>"%USERPROFILE%\Documents\GitHub\eaglep3\Utilities\RefineRTDCRunTimes.py" --tripid 68-17 --locoid 4026 --swversion DE.1.0.8.0 --startMP 300:21931 --initTime 2016-12-17T15:55:04 --startdatetime 2016-12-17T15:57:25 --delay 1 --endMP 204:1554 --enddatetime 2016-12-17T16:09:42 --enforcementcount 0 &gt;&gt;C:\Users\stu\Documents\GitHub\eaglep3-reporting\EC\2016-12-17-refined-times.txt</v>
      </c>
      <c r="AI219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{"issue":{"subject":"","project_id":79,"tracker_id":40,"status_id":1,"priority_id":2,"assigned_to_id":23,"start_date":"2016-12-17","description":"","custom_fields":[{"id":1,"name":"Subdivision","value":"Other"},{"id":4,"name":"Milepost","value":"0.1554"},{"id":17,"name":"Train ID","value":"68-17"},{"id":16,"name":"Locomotive ID","value":"4026"},{"id":130,"name":"Impact","value":""},{"id":150,"name":"Time of Event (Mountain Time)","value":"16:09:42"},{"id":151,"name":"Denver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718</v>
      </c>
      <c r="B220" s="7">
        <v>4020</v>
      </c>
      <c r="C220" s="22" t="s">
        <v>205</v>
      </c>
      <c r="D220" s="22" t="s">
        <v>945</v>
      </c>
      <c r="E220" s="13">
        <v>42721.813923611109</v>
      </c>
      <c r="F220" s="13">
        <v>42721.816018518519</v>
      </c>
      <c r="G220" s="7">
        <v>1</v>
      </c>
      <c r="H220" s="22" t="s">
        <v>946</v>
      </c>
      <c r="I220" s="13">
        <v>42721.821412037039</v>
      </c>
      <c r="J220" s="7">
        <v>0</v>
      </c>
      <c r="K220" s="109" t="str">
        <f t="shared" si="124"/>
        <v>4019/4020</v>
      </c>
      <c r="L220" s="22" t="str">
        <f>VLOOKUP(A220,'Trips&amp;Operators'!$C$1:$G$99999,5,FALSE)</f>
        <v>BADERTSCHER DIANE</v>
      </c>
      <c r="M220" s="6">
        <f t="shared" si="125"/>
        <v>5.393518520577345E-3</v>
      </c>
      <c r="N220" s="7">
        <f t="shared" si="120"/>
        <v>7.7666666696313769</v>
      </c>
      <c r="O220" s="7"/>
      <c r="P220" s="7"/>
      <c r="Q220" s="23"/>
      <c r="R220" s="23"/>
      <c r="S220" s="35">
        <f t="shared" si="119"/>
        <v>0</v>
      </c>
      <c r="T220" s="50" t="e">
        <f t="shared" si="126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127"/>
        <v>https://search-rtdc-monitor-bjffxe2xuh6vdkpspy63sjmuny.us-east-1.es.amazonaws.com/_plugin/kibana/#/discover/Steve-Slow-Train-Analysis-(2080s-and-2083s)?_g=(refreshInterval:(display:Off,section:0,value:0),time:(from:'2016-12-17 18:32:03-700',mode:absolute,to:'2016-12-17 20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0" s="52" t="str">
        <f t="shared" si="128"/>
        <v>Y</v>
      </c>
      <c r="X220" s="177" t="e">
        <f t="shared" si="121"/>
        <v>#VALUE!</v>
      </c>
      <c r="Y220" s="67">
        <f t="shared" si="117"/>
        <v>0.15670000000000001</v>
      </c>
      <c r="Z220" s="67">
        <f t="shared" si="118"/>
        <v>2.3313999999999999</v>
      </c>
      <c r="AA220" s="67">
        <f t="shared" si="129"/>
        <v>2.1747000000000001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130"/>
        <v>79-17</v>
      </c>
      <c r="AE220" s="91" t="str">
        <f t="shared" si="131"/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AF220" s="88" t="str">
        <f t="shared" si="132"/>
        <v>"C:\Program Files (x86)\AstroGrep\AstroGrep.exe" /spath="%USERPROFILE%\AppData\Local\Temp\OnboardLogs" /stypes="app*4020*20161218*" /stext=" 02:.+((SYSTEM_STATE.+slice.+state.+changed )|(ment ac)|(multiple cpu faults)|(system.+state.+changed )|(\[timeout)|(PRM\|1\|D)|(kpr)|(kdp)|(\|lc)|(penalty))" /e /r /s</v>
      </c>
      <c r="AG220" s="1" t="str">
        <f t="shared" si="133"/>
        <v>Other</v>
      </c>
      <c r="AH220" s="92" t="str">
        <f t="shared" si="122"/>
        <v>"%USERPROFILE%\Documents\GitHub\eaglep3\Utilities\RefineRTDCRunTimes.py" --tripid 79-17 --locoid 4020 --swversion DE.1.0.8.0 --startMP 204:1567 --initTime 2016-12-17T19:32:03 --startdatetime 2016-12-17T19:35:04 --delay 1 --endMP 300:23314 --enddatetime 2016-12-17T19:42:50 --enforcementcount 0 &gt;&gt;C:\Users\stu\Documents\GitHub\eaglep3-reporting\EC\2016-12-17-refined-times.txt</v>
      </c>
      <c r="AI220" s="119" t="str">
        <f t="shared" si="123"/>
        <v>echo {"issue":{"subject":"","project_id":79,"tracker_id":40,"status_id":1,"priority_id":2,"assigned_to_id":23,"start_date":"2016-12-17","description":"","custom_fields":[{"id":1,"name":"Subdivision","value":"Other"},{"id":4,"name":"Milepost","value":"2.3314"},{"id":17,"name":"Train ID","value":"79-17"},{"id":16,"name":"Locomotive ID","value":"4020"},{"id":130,"name":"Impact","value":""},{"id":150,"name":"Time of Event (Mountain Time)","value":"19:42:50"},{"id":151,"name":"Denver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</sheetData>
  <autoFilter ref="A12:AG226">
    <sortState ref="A13:AG228">
      <sortCondition ref="AG13:AG222"/>
      <sortCondition ref="AD13:AD222"/>
    </sortState>
  </autoFilter>
  <sortState ref="A13:AH200">
    <sortCondition ref="AG13:AG200"/>
    <sortCondition ref="AD13:AD200"/>
  </sortState>
  <mergeCells count="1">
    <mergeCell ref="A11:P11"/>
  </mergeCells>
  <conditionalFormatting sqref="W11:W12 W240:X1048576 W13:X220">
    <cfRule type="cellIs" dxfId="10" priority="344" operator="equal">
      <formula>"Y"</formula>
    </cfRule>
  </conditionalFormatting>
  <conditionalFormatting sqref="X240:X1048576 X13:X220">
    <cfRule type="cellIs" dxfId="9" priority="327" operator="greaterThan">
      <formula>1</formula>
    </cfRule>
  </conditionalFormatting>
  <conditionalFormatting sqref="X240:X1048576 X12:X220">
    <cfRule type="cellIs" dxfId="8" priority="324" operator="equal">
      <formula>0</formula>
    </cfRule>
  </conditionalFormatting>
  <conditionalFormatting sqref="A13:S220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COUNTIF($O$7:$O$332,"=Y")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COUNTA($O$7:$O$332)-O2</f>
        <v>56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- 2016-12-17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42721.720914351848</v>
      </c>
      <c r="B7" s="31" t="s">
        <v>302</v>
      </c>
      <c r="C7" s="31" t="s">
        <v>577</v>
      </c>
      <c r="D7" s="31" t="s">
        <v>49</v>
      </c>
      <c r="E7" s="31" t="s">
        <v>248</v>
      </c>
      <c r="F7" s="47">
        <v>0</v>
      </c>
      <c r="G7" s="47">
        <v>690</v>
      </c>
      <c r="H7" s="47">
        <v>103899</v>
      </c>
      <c r="I7" s="47">
        <v>99964</v>
      </c>
      <c r="J7" s="31" t="s">
        <v>249</v>
      </c>
      <c r="K7" s="47">
        <v>103800</v>
      </c>
      <c r="L7" s="154" t="s">
        <v>51</v>
      </c>
      <c r="M7" s="155">
        <f t="shared" ref="M7:M38" si="0">CONVERT((I7-K7)/10000,"mi","ft")*IF(L7="Increasing Mileposts (1)",-1,1)</f>
        <v>-2025.4079999999999</v>
      </c>
      <c r="N7" s="156" t="str">
        <f>VLOOKUP(C7,'Trips&amp;Operators'!$C$1:$G$99999,5,FALSE)</f>
        <v>MOSES BRADLEY</v>
      </c>
      <c r="O7" s="182" t="s">
        <v>195</v>
      </c>
      <c r="P7" s="157" t="s">
        <v>992</v>
      </c>
      <c r="Q7" s="31"/>
      <c r="R7" s="100" t="str">
        <f>VLOOKUP(C7,'Train Runs'!$A$13:$AE$9970,31,0)</f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S7" s="103" t="str">
        <f>VLOOKUP(C7,'Train Runs'!$A$13:$AE$9970,22,0)</f>
        <v>https://search-rtdc-monitor-bjffxe2xuh6vdkpspy63sjmuny.us-east-1.es.amazonaws.com/_plugin/kibana/#/discover/Steve-Slow-Train-Analysis-(2080s-and-2083s)?_g=(refreshInterval:(display:Off,section:0,value:0),time:(from:'2016-12-17 15:46:15-700',mode:absolute,to:'2016-12-17 18:43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/stypes="*4021*201612180*" /stext=" 00:.+((SYSTEM_STATE.+slice.+state.+changed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4021</v>
      </c>
      <c r="V7" s="36">
        <f t="shared" ref="V7:V38" si="3">A7-utc_offset/24</f>
        <v>42722.012581018513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arrival","project_id":79,"tracker_id":40,"status_id":1,"priority_id":2,"assigned_to_id":23,"start_date":"2016-12-17","description":"","custom_fields":[{"id":1,"name":"Subdivision","value":"EC"},{"id":4,"name":"Milepost","value":"10.38"},{"id":17,"name":"Train ID","value":"200-17"},{"id":16,"name":"Locomotive ID","value":"4021"},{"id":130,"name":"Impact","value":""},{"id":150,"name":"Time of Event (Mountain Time)","value":"17:18:07"},{"id":151,"name":"Denver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"%USERPROFILE%\AppData\Local\Temp\OnboardLogs"\RTDC4021\*4021*201612180*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"%USERPROFILE%\AppData\Local\Temp\OnboardLogs"\RTDC4021\*4021*201612180* &gt;&gt; 42721-slicedisagreementcheck.txt</v>
      </c>
    </row>
    <row r="8" spans="1:30" s="1" customFormat="1" x14ac:dyDescent="0.25">
      <c r="A8" s="36">
        <v>42721.23296296296</v>
      </c>
      <c r="B8" s="31" t="s">
        <v>532</v>
      </c>
      <c r="C8" s="31" t="s">
        <v>538</v>
      </c>
      <c r="D8" s="31" t="s">
        <v>98</v>
      </c>
      <c r="E8" s="31" t="s">
        <v>196</v>
      </c>
      <c r="F8" s="47">
        <v>150</v>
      </c>
      <c r="G8" s="47">
        <v>202</v>
      </c>
      <c r="H8" s="47">
        <v>2963</v>
      </c>
      <c r="I8" s="47">
        <v>3368</v>
      </c>
      <c r="J8" s="31" t="s">
        <v>197</v>
      </c>
      <c r="K8" s="47">
        <v>0</v>
      </c>
      <c r="L8" s="154" t="s">
        <v>50</v>
      </c>
      <c r="M8" s="155">
        <f t="shared" si="0"/>
        <v>-1778.3040000000001</v>
      </c>
      <c r="N8" s="156" t="str">
        <f>VLOOKUP(C8,'Trips&amp;Operators'!$C$1:$G$99999,5,FALSE)</f>
        <v>STRICKLAND EVAN</v>
      </c>
      <c r="O8" s="182" t="s">
        <v>195</v>
      </c>
      <c r="P8" s="157"/>
      <c r="Q8" s="31"/>
      <c r="R8" s="100" t="str">
        <f>VLOOKUP(C8,'Train Runs'!$A$13:$AE$9970,31,0)</f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S8" s="103" t="str">
        <f>VLOOKUP(C8,'Train Runs'!$A$13:$AE$9970,22,0)</f>
        <v>https://search-rtdc-monitor-bjffxe2xuh6vdkpspy63sjmuny.us-east-1.es.amazonaws.com/_plugin/kibana/#/discover/Steve-Slow-Train-Analysis-(2080s-and-2083s)?_g=(refreshInterval:(display:Off,section:0,value:0),time:(from:'2016-12-17 04:31:46-700',mode:absolute,to:'2016-12-17 07:11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8" s="105" t="str">
        <f t="shared" si="1"/>
        <v>"C:\Program Files (x86)\AstroGrep\AstroGrep.exe" /spath="%USERPROFILE%\AppData\Local\Temp\OnboardLogs" /stypes="*4029*201612171*" /stext=" 12:.+((SYSTEM_STATE.+slice.+state.+changed )|(ment ac)|(multiple cpu faults)|(system.+state.+changed )|(\[timeout)|(PRM\|1\|D)|(kpr)|(kdp)|(\|lc)|(penalty))" /e /r /s</v>
      </c>
      <c r="U8" s="9" t="str">
        <f t="shared" si="2"/>
        <v>4029</v>
      </c>
      <c r="V8" s="36">
        <f t="shared" si="3"/>
        <v>42721.524629629625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{"issue":{"subject":"","project_id":79,"tracker_id":40,"status_id":1,"priority_id":2,"assigned_to_id":23,"start_date":"2016-12-17","description":"","custom_fields":[{"id":1,"name":"Subdivision","value":"EC"},{"id":4,"name":"Milepost","value":"0"},{"id":17,"name":"Train ID","value":"115-17"},{"id":16,"name":"Locomotive ID","value":"4029"},{"id":130,"name":"Impact","value":""},{"id":150,"name":"Time of Event (Mountain Time)","value":"05:35:28"},{"id":151,"name":"Denver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"%USERPROFILE%\AppData\Local\Temp\OnboardLogs"\RTDC4029\*4029*201612171*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"%USERPROFILE%\AppData\Local\Temp\OnboardLogs"\RTDC4029\*4029*201612171* &gt;&gt; 42721-slicedisagreementcheck.txt</v>
      </c>
    </row>
    <row r="9" spans="1:30" s="1" customFormat="1" x14ac:dyDescent="0.25">
      <c r="A9" s="36">
        <v>42721.688935185186</v>
      </c>
      <c r="B9" s="31" t="s">
        <v>229</v>
      </c>
      <c r="C9" s="31" t="s">
        <v>576</v>
      </c>
      <c r="D9" s="31" t="s">
        <v>98</v>
      </c>
      <c r="E9" s="31" t="s">
        <v>196</v>
      </c>
      <c r="F9" s="47">
        <v>150</v>
      </c>
      <c r="G9" s="47">
        <v>200</v>
      </c>
      <c r="H9" s="47">
        <v>2335</v>
      </c>
      <c r="I9" s="47">
        <v>2720</v>
      </c>
      <c r="J9" s="31" t="s">
        <v>197</v>
      </c>
      <c r="K9" s="47">
        <v>0</v>
      </c>
      <c r="L9" s="154" t="s">
        <v>50</v>
      </c>
      <c r="M9" s="155">
        <f t="shared" si="0"/>
        <v>-1436.16</v>
      </c>
      <c r="N9" s="156" t="str">
        <f>VLOOKUP(C9,'Trips&amp;Operators'!$C$1:$G$99999,5,FALSE)</f>
        <v>HOLCOMB KAMDEN</v>
      </c>
      <c r="O9" s="182" t="s">
        <v>195</v>
      </c>
      <c r="P9" s="157"/>
      <c r="Q9" s="31"/>
      <c r="R9" s="100" t="str">
        <f>VLOOKUP(C9,'Train Runs'!$A$13:$AE$9970,31,0)</f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S9" s="103" t="str">
        <f>VLOOKUP(C9,'Train Runs'!$A$13:$AE$9970,22,0)</f>
        <v>https://search-rtdc-monitor-bjffxe2xuh6vdkpspy63sjmuny.us-east-1.es.amazonaws.com/_plugin/kibana/#/discover/Steve-Slow-Train-Analysis-(2080s-and-2083s)?_g=(refreshInterval:(display:Off,section:0,value:0),time:(from:'2016-12-17 15:25:16-700',mode:absolute,to:'2016-12-17 18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9" s="105" t="str">
        <f t="shared" si="1"/>
        <v>"C:\Program Files (x86)\AstroGrep\AstroGrep.exe" /spath="%USERPROFILE%\AppData\Local\Temp\OnboardLogs" /stypes="*4046*201612172*" /stext=" 23:.+((SYSTEM_STATE.+slice.+state.+changed )|(ment ac)|(multiple cpu faults)|(system.+state.+changed )|(\[timeout)|(PRM\|1\|D)|(kpr)|(kdp)|(\|lc)|(penalty))" /e /r /s</v>
      </c>
      <c r="U9" s="9" t="str">
        <f t="shared" si="2"/>
        <v>4046</v>
      </c>
      <c r="V9" s="36">
        <f t="shared" si="3"/>
        <v>42721.98060185185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{"issue":{"subject":"","project_id":79,"tracker_id":40,"status_id":1,"priority_id":2,"assigned_to_id":23,"start_date":"2016-12-17","description":"","custom_fields":[{"id":1,"name":"Subdivision","value":"EC"},{"id":4,"name":"Milepost","value":"0"},{"id":17,"name":"Train ID","value":"203-17"},{"id":16,"name":"Locomotive ID","value":"4046"},{"id":130,"name":"Impact","value":""},{"id":150,"name":"Time of Event (Mountain Time)","value":"16:32:04"},{"id":151,"name":"Denver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"%USERPROFILE%\AppData\Local\Temp\OnboardLogs"\RTDC4046\*4046*201612172*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"%USERPROFILE%\AppData\Local\Temp\OnboardLogs"\RTDC4046\*4046*201612172* &gt;&gt; 42721-slicedisagreementcheck.txt</v>
      </c>
    </row>
    <row r="10" spans="1:30" s="1" customFormat="1" x14ac:dyDescent="0.25">
      <c r="A10" s="36">
        <v>42721.533472222225</v>
      </c>
      <c r="B10" s="31" t="s">
        <v>290</v>
      </c>
      <c r="C10" s="31" t="s">
        <v>565</v>
      </c>
      <c r="D10" s="31" t="s">
        <v>49</v>
      </c>
      <c r="E10" s="31" t="s">
        <v>196</v>
      </c>
      <c r="F10" s="47">
        <v>200</v>
      </c>
      <c r="G10" s="47">
        <v>279</v>
      </c>
      <c r="H10" s="47">
        <v>6276</v>
      </c>
      <c r="I10" s="47">
        <v>5584</v>
      </c>
      <c r="J10" s="31" t="s">
        <v>197</v>
      </c>
      <c r="K10" s="47">
        <v>5457</v>
      </c>
      <c r="L10" s="154" t="s">
        <v>51</v>
      </c>
      <c r="M10" s="155">
        <f t="shared" si="0"/>
        <v>67.055999999999997</v>
      </c>
      <c r="N10" s="156" t="str">
        <f>VLOOKUP(C10,'Trips&amp;Operators'!$C$1:$G$99999,5,FALSE)</f>
        <v>BARTLETT KIANDRA</v>
      </c>
      <c r="O10" s="182" t="s">
        <v>195</v>
      </c>
      <c r="P10" s="157"/>
      <c r="Q10" s="31"/>
      <c r="R10" s="100" t="str">
        <f>VLOOKUP(C10,'Train Runs'!$A$13:$AE$9970,31,0)</f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S10" s="103" t="str">
        <f>VLOOKUP(C10,'Train Runs'!$A$13:$AE$9970,22,0)</f>
        <v>https://search-rtdc-monitor-bjffxe2xuh6vdkpspy63sjmuny.us-east-1.es.amazonaws.com/_plugin/kibana/#/discover/Steve-Slow-Train-Analysis-(2080s-and-2083s)?_g=(refreshInterval:(display:Off,section:0,value:0),time:(from:'2016-12-17 11:06:17-700',mode:absolute,to:'2016-12-17 13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0" s="105" t="str">
        <f t="shared" si="1"/>
        <v>"C:\Program Files (x86)\AstroGrep\AstroGrep.exe" /spath="%USERPROFILE%\AppData\Local\Temp\OnboardLogs" /stypes="*4013*201612171*" /stext=" 19:.+((SYSTEM_STATE.+slice.+state.+changed )|(ment ac)|(multiple cpu faults)|(system.+state.+changed )|(\[timeout)|(PRM\|1\|D)|(kpr)|(kdp)|(\|lc)|(penalty))" /e /r /s</v>
      </c>
      <c r="U10" s="9" t="str">
        <f t="shared" si="2"/>
        <v>4013</v>
      </c>
      <c r="V10" s="36">
        <f t="shared" si="3"/>
        <v>42721.825138888889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{"issue":{"subject":"","project_id":79,"tracker_id":40,"status_id":1,"priority_id":2,"assigned_to_id":23,"start_date":"2016-12-17","description":"","custom_fields":[{"id":1,"name":"Subdivision","value":"EC"},{"id":4,"name":"Milepost","value":"0.5457"},{"id":17,"name":"Train ID","value":"162-17"},{"id":16,"name":"Locomotive ID","value":"4013"},{"id":130,"name":"Impact","value":""},{"id":150,"name":"Time of Event (Mountain Time)","value":"12:48:12"},{"id":151,"name":"Denver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"%USERPROFILE%\AppData\Local\Temp\OnboardLogs"\RTDC4013\*4013*201612171*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"%USERPROFILE%\AppData\Local\Temp\OnboardLogs"\RTDC4013\*4013*201612171* &gt;&gt; 42721-slicedisagreementcheck.txt</v>
      </c>
    </row>
    <row r="11" spans="1:30" s="1" customFormat="1" x14ac:dyDescent="0.25">
      <c r="A11" s="36">
        <v>42721.965092592596</v>
      </c>
      <c r="B11" s="31" t="s">
        <v>232</v>
      </c>
      <c r="C11" s="31" t="s">
        <v>584</v>
      </c>
      <c r="D11" s="31" t="s">
        <v>49</v>
      </c>
      <c r="E11" s="31" t="s">
        <v>196</v>
      </c>
      <c r="F11" s="47">
        <v>400</v>
      </c>
      <c r="G11" s="47">
        <v>460</v>
      </c>
      <c r="H11" s="47">
        <v>17503</v>
      </c>
      <c r="I11" s="47">
        <v>18308</v>
      </c>
      <c r="J11" s="31" t="s">
        <v>197</v>
      </c>
      <c r="K11" s="47">
        <v>17867</v>
      </c>
      <c r="L11" s="154" t="s">
        <v>50</v>
      </c>
      <c r="M11" s="155">
        <f t="shared" si="0"/>
        <v>-232.84800000000001</v>
      </c>
      <c r="N11" s="156" t="str">
        <f>VLOOKUP(C11,'Trips&amp;Operators'!$C$1:$G$99999,5,FALSE)</f>
        <v>CHANDLER KELVIN</v>
      </c>
      <c r="O11" s="182" t="s">
        <v>195</v>
      </c>
      <c r="P11" s="157"/>
      <c r="Q11" s="31"/>
      <c r="R11" s="100" t="str">
        <f>VLOOKUP(C11,'Train Runs'!$A$13:$AE$9970,31,0)</f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S11" s="103" t="str">
        <f>VLOOKUP(C11,'Train Runs'!$A$13:$AE$9970,22,0)</f>
        <v>https://search-rtdc-monitor-bjffxe2xuh6vdkpspy63sjmuny.us-east-1.es.amazonaws.com/_plugin/kibana/#/discover/Steve-Slow-Train-Analysis-(2080s-and-2083s)?_g=(refreshInterval:(display:Off,section:0,value:0),time:(from:'2016-12-17 22:00:47-700',mode:absolute,to:'2016-12-18 00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1" s="105" t="str">
        <f t="shared" si="1"/>
        <v>"C:\Program Files (x86)\AstroGrep\AstroGrep.exe" /spath="%USERPROFILE%\AppData\Local\Temp\OnboardLogs" /stypes="*4042*201612180*" /stext=" 06:.+((SYSTEM_STATE.+slice.+state.+changed )|(ment ac)|(multiple cpu faults)|(system.+state.+changed )|(\[timeout)|(PRM\|1\|D)|(kpr)|(kdp)|(\|lc)|(penalty))" /e /r /s</v>
      </c>
      <c r="U11" s="9" t="str">
        <f t="shared" si="2"/>
        <v>4042</v>
      </c>
      <c r="V11" s="36">
        <f t="shared" si="3"/>
        <v>42722.25675925926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{"issue":{"subject":"","project_id":79,"tracker_id":40,"status_id":1,"priority_id":2,"assigned_to_id":23,"start_date":"2016-12-17","description":"","custom_fields":[{"id":1,"name":"Subdivision","value":"EC"},{"id":4,"name":"Milepost","value":"1.7867"},{"id":17,"name":"Train ID","value":"237-17"},{"id":16,"name":"Locomotive ID","value":"4042"},{"id":130,"name":"Impact","value":""},{"id":150,"name":"Time of Event (Mountain Time)","value":"23:09:44"},{"id":151,"name":"Denver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"%USERPROFILE%\AppData\Local\Temp\OnboardLogs"\RTDC4042\*4042*201612180*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"%USERPROFILE%\AppData\Local\Temp\OnboardLogs"\RTDC4042\*4042*201612180* &gt;&gt; 42721-slicedisagreementcheck.txt</v>
      </c>
    </row>
    <row r="12" spans="1:30" s="1" customFormat="1" x14ac:dyDescent="0.25">
      <c r="A12" s="36">
        <v>42721.586956018517</v>
      </c>
      <c r="B12" s="31" t="s">
        <v>210</v>
      </c>
      <c r="C12" s="31" t="s">
        <v>567</v>
      </c>
      <c r="D12" s="31" t="s">
        <v>49</v>
      </c>
      <c r="E12" s="31" t="s">
        <v>196</v>
      </c>
      <c r="F12" s="47">
        <v>300</v>
      </c>
      <c r="G12" s="47">
        <v>500</v>
      </c>
      <c r="H12" s="47">
        <v>24606</v>
      </c>
      <c r="I12" s="47">
        <v>22995</v>
      </c>
      <c r="J12" s="31" t="s">
        <v>197</v>
      </c>
      <c r="K12" s="47">
        <v>21848</v>
      </c>
      <c r="L12" s="154" t="s">
        <v>51</v>
      </c>
      <c r="M12" s="155">
        <f t="shared" si="0"/>
        <v>605.61599999999999</v>
      </c>
      <c r="N12" s="156" t="str">
        <f>VLOOKUP(C12,'Trips&amp;Operators'!$C$1:$G$99999,5,FALSE)</f>
        <v>STORY SAMANTHA</v>
      </c>
      <c r="O12" s="182" t="s">
        <v>195</v>
      </c>
      <c r="P12" s="157"/>
      <c r="Q12" s="31"/>
      <c r="R12" s="100" t="str">
        <f>VLOOKUP(C12,'Train Runs'!$A$13:$AE$9970,31,0)</f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S12" s="103" t="str">
        <f>VLOOKUP(C12,'Train Runs'!$A$13:$AE$9970,22,0)</f>
        <v>https://search-rtdc-monitor-bjffxe2xuh6vdkpspy63sjmuny.us-east-1.es.amazonaws.com/_plugin/kibana/#/discover/Steve-Slow-Train-Analysis-(2080s-and-2083s)?_g=(refreshInterval:(display:Off,section:0,value:0),time:(from:'2016-12-17 12:26:38-700',mode:absolute,to:'2016-12-17 15:14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5" t="str">
        <f t="shared" si="1"/>
        <v>"C:\Program Files (x86)\AstroGrep\AstroGrep.exe" /spath="%USERPROFILE%\AppData\Local\Temp\OnboardLogs" /stypes="*4012*201612172*" /stext=" 21:.+((SYSTEM_STATE.+slice.+state.+changed )|(ment ac)|(multiple cpu faults)|(system.+state.+changed )|(\[timeout)|(PRM\|1\|D)|(kpr)|(kdp)|(\|lc)|(penalty))" /e /r /s</v>
      </c>
      <c r="U12" s="9" t="str">
        <f t="shared" si="2"/>
        <v>4012</v>
      </c>
      <c r="V12" s="36">
        <f t="shared" si="3"/>
        <v>42721.878622685181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{"issue":{"subject":"","project_id":79,"tracker_id":40,"status_id":1,"priority_id":2,"assigned_to_id":23,"start_date":"2016-12-17","description":"","custom_fields":[{"id":1,"name":"Subdivision","value":"EC"},{"id":4,"name":"Milepost","value":"2.1848"},{"id":17,"name":"Train ID","value":"172-17"},{"id":16,"name":"Locomotive ID","value":"4012"},{"id":130,"name":"Impact","value":""},{"id":150,"name":"Time of Event (Mountain Time)","value":"14:05:13"},{"id":151,"name":"Denver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"%USERPROFILE%\AppData\Local\Temp\OnboardLogs"\RTDC4012\*4012*201612172*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"%USERPROFILE%\AppData\Local\Temp\OnboardLogs"\RTDC4012\*4012*201612172* &gt;&gt; 42721-slicedisagreementcheck.txt</v>
      </c>
    </row>
    <row r="13" spans="1:30" s="1" customFormat="1" x14ac:dyDescent="0.25">
      <c r="A13" s="36">
        <v>42721.253263888888</v>
      </c>
      <c r="B13" s="31" t="s">
        <v>256</v>
      </c>
      <c r="C13" s="31" t="s">
        <v>537</v>
      </c>
      <c r="D13" s="31" t="s">
        <v>98</v>
      </c>
      <c r="E13" s="31" t="s">
        <v>196</v>
      </c>
      <c r="F13" s="47">
        <v>200</v>
      </c>
      <c r="G13" s="47">
        <v>254</v>
      </c>
      <c r="H13" s="47">
        <v>30283</v>
      </c>
      <c r="I13" s="47">
        <v>29684</v>
      </c>
      <c r="J13" s="31" t="s">
        <v>197</v>
      </c>
      <c r="K13" s="47">
        <v>30562</v>
      </c>
      <c r="L13" s="154" t="s">
        <v>51</v>
      </c>
      <c r="M13" s="155">
        <f t="shared" si="0"/>
        <v>-463.584</v>
      </c>
      <c r="N13" s="156" t="str">
        <f>VLOOKUP(C13,'Trips&amp;Operators'!$C$1:$G$99999,5,FALSE)</f>
        <v>DAVIS WENDY</v>
      </c>
      <c r="O13" s="182" t="s">
        <v>195</v>
      </c>
      <c r="P13" s="157"/>
      <c r="Q13" s="31"/>
      <c r="R13" s="100" t="str">
        <f>VLOOKUP(C13,'Train Runs'!$A$13:$AE$9970,31,0)</f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S13" s="103" t="str">
        <f>VLOOKUP(C13,'Train Runs'!$A$13:$AE$9970,22,0)</f>
        <v>https://search-rtdc-monitor-bjffxe2xuh6vdkpspy63sjmuny.us-east-1.es.amazonaws.com/_plugin/kibana/#/discover/Steve-Slow-Train-Analysis-(2080s-and-2083s)?_g=(refreshInterval:(display:Off,section:0,value:0),time:(from:'2016-12-17 04:22:36-700',mode:absolute,to:'2016-12-17 07:13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3" s="105" t="str">
        <f t="shared" si="1"/>
        <v>"C:\Program Files (x86)\AstroGrep\AstroGrep.exe" /spath="%USERPROFILE%\AppData\Local\Temp\OnboardLogs" /stypes="*4019*201612171*" /stext=" 13:.+((SYSTEM_STATE.+slice.+state.+changed )|(ment ac)|(multiple cpu faults)|(system.+state.+changed )|(\[timeout)|(PRM\|1\|D)|(kpr)|(kdp)|(\|lc)|(penalty))" /e /r /s</v>
      </c>
      <c r="U13" s="9" t="str">
        <f t="shared" si="2"/>
        <v>4019</v>
      </c>
      <c r="V13" s="36">
        <f t="shared" si="3"/>
        <v>42721.544930555552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{"issue":{"subject":"","project_id":79,"tracker_id":40,"status_id":1,"priority_id":2,"assigned_to_id":23,"start_date":"2016-12-17","description":"","custom_fields":[{"id":1,"name":"Subdivision","value":"EC"},{"id":4,"name":"Milepost","value":"3.0562"},{"id":17,"name":"Train ID","value":"108-17"},{"id":16,"name":"Locomotive ID","value":"4019"},{"id":130,"name":"Impact","value":""},{"id":150,"name":"Time of Event (Mountain Time)","value":"06:04:42"},{"id":151,"name":"Denver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"%USERPROFILE%\AppData\Local\Temp\OnboardLogs"\RTDC4019\*4019*201612171*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"%USERPROFILE%\AppData\Local\Temp\OnboardLogs"\RTDC4019\*4019*201612171* &gt;&gt; 42721-slicedisagreementcheck.txt</v>
      </c>
    </row>
    <row r="14" spans="1:30" s="1" customFormat="1" x14ac:dyDescent="0.25">
      <c r="A14" s="36">
        <v>42721.304097222222</v>
      </c>
      <c r="B14" s="31" t="s">
        <v>545</v>
      </c>
      <c r="C14" s="31" t="s">
        <v>546</v>
      </c>
      <c r="D14" s="31" t="s">
        <v>49</v>
      </c>
      <c r="E14" s="31" t="s">
        <v>196</v>
      </c>
      <c r="F14" s="47">
        <v>400</v>
      </c>
      <c r="G14" s="47">
        <v>596</v>
      </c>
      <c r="H14" s="47">
        <v>114329</v>
      </c>
      <c r="I14" s="47">
        <v>116679</v>
      </c>
      <c r="J14" s="31" t="s">
        <v>197</v>
      </c>
      <c r="K14" s="47">
        <v>116838</v>
      </c>
      <c r="L14" s="154" t="s">
        <v>50</v>
      </c>
      <c r="M14" s="155">
        <f t="shared" si="0"/>
        <v>83.951999999999998</v>
      </c>
      <c r="N14" s="156" t="str">
        <f>VLOOKUP(C14,'Trips&amp;Operators'!$C$1:$G$99999,5,FALSE)</f>
        <v>GEBRETEKLE DAGNEW</v>
      </c>
      <c r="O14" s="182" t="s">
        <v>195</v>
      </c>
      <c r="P14" s="157"/>
      <c r="Q14" s="31"/>
      <c r="R14" s="100" t="str">
        <f>VLOOKUP(C14,'Train Runs'!$A$13:$AE$9970,31,0)</f>
        <v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v>
      </c>
      <c r="S14" s="103" t="str">
        <f>VLOOKUP(C14,'Train Runs'!$A$13:$AE$9970,22,0)</f>
        <v>https://search-rtdc-monitor-bjffxe2xuh6vdkpspy63sjmuny.us-east-1.es.amazonaws.com/_plugin/kibana/#/discover/Steve-Slow-Train-Analysis-(2080s-and-2083s)?_g=(refreshInterval:(display:Off,section:0,value:0),time:(from:'2016-12-17 05:43:40-700',mode:absolute,to:'2016-12-17 09:01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4" s="105" t="str">
        <f t="shared" si="1"/>
        <v>"C:\Program Files (x86)\AstroGrep\AstroGrep.exe" /spath="%USERPROFILE%\AppData\Local\Temp\OnboardLogs" /stypes="*4044*201612171*" /stext=" 14:.+((SYSTEM_STATE.+slice.+state.+changed )|(ment ac)|(multiple cpu faults)|(system.+state.+changed )|(\[timeout)|(PRM\|1\|D)|(kpr)|(kdp)|(\|lc)|(penalty))" /e /r /s</v>
      </c>
      <c r="U14" s="9" t="str">
        <f t="shared" si="2"/>
        <v>4044</v>
      </c>
      <c r="V14" s="36">
        <f t="shared" si="3"/>
        <v>42721.595763888887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{"issue":{"subject":"","project_id":79,"tracker_id":40,"status_id":1,"priority_id":2,"assigned_to_id":23,"start_date":"2016-12-17","description":"","custom_fields":[{"id":1,"name":"Subdivision","value":"EC"},{"id":4,"name":"Milepost","value":"11.6838"},{"id":17,"name":"Train ID","value":"125-17"},{"id":16,"name":"Locomotive ID","value":"4044"},{"id":130,"name":"Impact","value":""},{"id":150,"name":"Time of Event (Mountain Time)","value":"07:17:54"},{"id":151,"name":"Denver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"%USERPROFILE%\AppData\Local\Temp\OnboardLogs"\RTDC4044\*4044*201612171*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"%USERPROFILE%\AppData\Local\Temp\OnboardLogs"\RTDC4044\*4044*201612171* &gt;&gt; 42721-slicedisagreementcheck.txt</v>
      </c>
    </row>
    <row r="15" spans="1:30" s="1" customFormat="1" x14ac:dyDescent="0.25">
      <c r="A15" s="36">
        <v>42721.565810185188</v>
      </c>
      <c r="B15" s="31" t="s">
        <v>229</v>
      </c>
      <c r="C15" s="31" t="s">
        <v>566</v>
      </c>
      <c r="D15" s="31" t="s">
        <v>49</v>
      </c>
      <c r="E15" s="31" t="s">
        <v>196</v>
      </c>
      <c r="F15" s="47">
        <v>350</v>
      </c>
      <c r="G15" s="47">
        <v>464</v>
      </c>
      <c r="H15" s="47">
        <v>223500</v>
      </c>
      <c r="I15" s="47">
        <v>224752</v>
      </c>
      <c r="J15" s="31" t="s">
        <v>197</v>
      </c>
      <c r="K15" s="47">
        <v>224581</v>
      </c>
      <c r="L15" s="154" t="s">
        <v>50</v>
      </c>
      <c r="M15" s="155">
        <f t="shared" si="0"/>
        <v>-90.287999999999997</v>
      </c>
      <c r="N15" s="156" t="str">
        <f>VLOOKUP(C15,'Trips&amp;Operators'!$C$1:$G$99999,5,FALSE)</f>
        <v>HOLCOMB KAMDEN</v>
      </c>
      <c r="O15" s="182" t="s">
        <v>195</v>
      </c>
      <c r="P15" s="157"/>
      <c r="Q15" s="31"/>
      <c r="R15" s="100" t="str">
        <f>VLOOKUP(C15,'Train Runs'!$A$13:$AE$9970,31,0)</f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S15" s="103" t="str">
        <f>VLOOKUP(C15,'Train Runs'!$A$13:$AE$9970,22,0)</f>
        <v>https://search-rtdc-monitor-bjffxe2xuh6vdkpspy63sjmuny.us-east-1.es.amazonaws.com/_plugin/kibana/#/discover/Steve-Slow-Train-Analysis-(2080s-and-2083s)?_g=(refreshInterval:(display:Off,section:0,value:0),time:(from:'2016-12-17 11:44:47-700',mode:absolute,to:'2016-12-17 14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5" t="str">
        <f t="shared" si="1"/>
        <v>"C:\Program Files (x86)\AstroGrep\AstroGrep.exe" /spath="%USERPROFILE%\AppData\Local\Temp\OnboardLogs" /stypes="*4046*201612172*" /stext=" 20:.+((SYSTEM_STATE.+slice.+state.+changed )|(ment ac)|(multiple cpu faults)|(system.+state.+changed )|(\[timeout)|(PRM\|1\|D)|(kpr)|(kdp)|(\|lc)|(penalty))" /e /r /s</v>
      </c>
      <c r="U15" s="9" t="str">
        <f t="shared" si="2"/>
        <v>4046</v>
      </c>
      <c r="V15" s="36">
        <f t="shared" si="3"/>
        <v>42721.857476851852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{"issue":{"subject":"","project_id":79,"tracker_id":40,"status_id":1,"priority_id":2,"assigned_to_id":23,"start_date":"2016-12-17","description":"","custom_fields":[{"id":1,"name":"Subdivision","value":"EC"},{"id":4,"name":"Milepost","value":"22.4581"},{"id":17,"name":"Train ID","value":"173-17"},{"id":16,"name":"Locomotive ID","value":"4046"},{"id":130,"name":"Impact","value":""},{"id":150,"name":"Time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"%USERPROFILE%\AppData\Local\Temp\OnboardLogs"\RTDC4046\*4046*201612172*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"%USERPROFILE%\AppData\Local\Temp\OnboardLogs"\RTDC4046\*4046*201612172* &gt;&gt; 42721-slicedisagreementcheck.txt</v>
      </c>
    </row>
    <row r="16" spans="1:30" s="1" customFormat="1" x14ac:dyDescent="0.25">
      <c r="A16" s="36">
        <v>42721.227719907409</v>
      </c>
      <c r="B16" s="31" t="s">
        <v>256</v>
      </c>
      <c r="C16" s="31" t="s">
        <v>537</v>
      </c>
      <c r="D16" s="31" t="s">
        <v>49</v>
      </c>
      <c r="E16" s="31" t="s">
        <v>196</v>
      </c>
      <c r="F16" s="47">
        <v>150</v>
      </c>
      <c r="G16" s="47">
        <v>203</v>
      </c>
      <c r="H16" s="47">
        <v>229377</v>
      </c>
      <c r="I16" s="47">
        <v>228985</v>
      </c>
      <c r="J16" s="31" t="s">
        <v>197</v>
      </c>
      <c r="K16" s="47">
        <v>229055</v>
      </c>
      <c r="L16" s="154" t="s">
        <v>51</v>
      </c>
      <c r="M16" s="155">
        <f t="shared" si="0"/>
        <v>-36.96</v>
      </c>
      <c r="N16" s="156" t="str">
        <f>VLOOKUP(C16,'Trips&amp;Operators'!$C$1:$G$99999,5,FALSE)</f>
        <v>DAVIS WENDY</v>
      </c>
      <c r="O16" s="182" t="s">
        <v>195</v>
      </c>
      <c r="P16" s="157"/>
      <c r="Q16" s="31"/>
      <c r="R16" s="100" t="str">
        <f>VLOOKUP(C16,'Train Runs'!$A$13:$AE$9970,31,0)</f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S16" s="103" t="str">
        <f>VLOOKUP(C16,'Train Runs'!$A$13:$AE$9970,22,0)</f>
        <v>https://search-rtdc-monitor-bjffxe2xuh6vdkpspy63sjmuny.us-east-1.es.amazonaws.com/_plugin/kibana/#/discover/Steve-Slow-Train-Analysis-(2080s-and-2083s)?_g=(refreshInterval:(display:Off,section:0,value:0),time:(from:'2016-12-17 04:22:36-700',mode:absolute,to:'2016-12-17 07:13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6" s="105" t="str">
        <f t="shared" si="1"/>
        <v>"C:\Program Files (x86)\AstroGrep\AstroGrep.exe" /spath="%USERPROFILE%\AppData\Local\Temp\OnboardLogs" /stypes="*4019*201612171*" /stext=" 12:.+((SYSTEM_STATE.+slice.+state.+changed )|(ment ac)|(multiple cpu faults)|(system.+state.+changed )|(\[timeout)|(PRM\|1\|D)|(kpr)|(kdp)|(\|lc)|(penalty))" /e /r /s</v>
      </c>
      <c r="U16" s="9" t="str">
        <f t="shared" si="2"/>
        <v>4019</v>
      </c>
      <c r="V16" s="36">
        <f t="shared" si="3"/>
        <v>42721.519386574073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{"issue":{"subject":"","project_id":79,"tracker_id":40,"status_id":1,"priority_id":2,"assigned_to_id":23,"start_date":"2016-12-17","description":"","custom_fields":[{"id":1,"name":"Subdivision","value":"EC"},{"id":4,"name":"Milepost","value":"22.9055"},{"id":17,"name":"Train ID","value":"108-17"},{"id":16,"name":"Locomotive ID","value":"4019"},{"id":130,"name":"Impact","value":""},{"id":150,"name":"Time of Event (Mountain Time)","value":"05:27:55"},{"id":151,"name":"Denver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"%USERPROFILE%\AppData\Local\Temp\OnboardLogs"\RTDC4019\*4019*201612171*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"%USERPROFILE%\AppData\Local\Temp\OnboardLogs"\RTDC4019\*4019*201612171* &gt;&gt; 42721-slicedisagreementcheck.txt</v>
      </c>
    </row>
    <row r="17" spans="1:30" s="1" customFormat="1" x14ac:dyDescent="0.25">
      <c r="A17" s="36">
        <v>42721.36996527778</v>
      </c>
      <c r="B17" s="31" t="s">
        <v>257</v>
      </c>
      <c r="C17" s="31" t="s">
        <v>553</v>
      </c>
      <c r="D17" s="31" t="s">
        <v>49</v>
      </c>
      <c r="E17" s="31" t="s">
        <v>196</v>
      </c>
      <c r="F17" s="47">
        <v>150</v>
      </c>
      <c r="G17" s="47">
        <v>259</v>
      </c>
      <c r="H17" s="47">
        <v>229324</v>
      </c>
      <c r="I17" s="47">
        <v>229925</v>
      </c>
      <c r="J17" s="31" t="s">
        <v>197</v>
      </c>
      <c r="K17" s="47">
        <v>230436</v>
      </c>
      <c r="L17" s="154" t="s">
        <v>50</v>
      </c>
      <c r="M17" s="155">
        <f t="shared" si="0"/>
        <v>269.80799999999999</v>
      </c>
      <c r="N17" s="156" t="str">
        <f>VLOOKUP(C17,'Trips&amp;Operators'!$C$1:$G$99999,5,FALSE)</f>
        <v>DAVIS WENDY</v>
      </c>
      <c r="O17" s="182" t="s">
        <v>195</v>
      </c>
      <c r="P17" s="157"/>
      <c r="Q17" s="31"/>
      <c r="R17" s="100" t="str">
        <f>VLOOKUP(C17,'Train Runs'!$A$13:$AE$9970,31,0)</f>
        <v>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 &amp; aws s3 cp s3://rtdc.mdm.uploadarchive.raw/RTDC4020/ "%USERPROFILE%\AppData\Local\Temp\OnboardLogs"\RTDC4020\2016-12-18 --exclude "*" --recursive --include "*20161218*" &amp; "%USERPROFILE%\Documents\GitHub\mrs-test-scripts\Headless Mode &amp; Sideloading\WalkAndUnGZ.bat" "%USERPROFILE%\AppData\Local\Temp\OnboardLogs"\RTDC4020\2016-12-18</v>
      </c>
      <c r="S17" s="103" t="str">
        <f>VLOOKUP(C17,'Train Runs'!$A$13:$AE$9970,22,0)</f>
        <v>https://search-rtdc-monitor-bjffxe2xuh6vdkpspy63sjmuny.us-east-1.es.amazonaws.com/_plugin/kibana/#/discover/Steve-Slow-Train-Analysis-(2080s-and-2083s)?_g=(refreshInterval:(display:Off,section:0,value:0),time:(from:'2016-12-17 07:11:46-700',mode:absolute,to:'2016-12-17 09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7" s="105" t="str">
        <f t="shared" si="1"/>
        <v>"C:\Program Files (x86)\AstroGrep\AstroGrep.exe" /spath="%USERPROFILE%\AppData\Local\Temp\OnboardLogs" /stypes="*4020*201612171*" /stext=" 15:.+((SYSTEM_STATE.+slice.+state.+changed )|(ment ac)|(multiple cpu faults)|(system.+state.+changed )|(\[timeout)|(PRM\|1\|D)|(kpr)|(kdp)|(\|lc)|(penalty))" /e /r /s</v>
      </c>
      <c r="U17" s="9" t="str">
        <f t="shared" si="2"/>
        <v>4020</v>
      </c>
      <c r="V17" s="36">
        <f t="shared" si="3"/>
        <v>42721.661631944444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{"issue":{"subject":"","project_id":79,"tracker_id":40,"status_id":1,"priority_id":2,"assigned_to_id":23,"start_date":"2016-12-17","description":"","custom_fields":[{"id":1,"name":"Subdivision","value":"EC"},{"id":4,"name":"Milepost","value":"23.0436"},{"id":17,"name":"Train ID","value":"137-17"},{"id":16,"name":"Locomotive ID","value":"4020"},{"id":130,"name":"Impact","value":""},{"id":150,"name":"Time of Event (Mountain Time)","value":"08:52:45"},{"id":151,"name":"Denver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"%USERPROFILE%\AppData\Local\Temp\OnboardLogs"\RTDC4020\*4020*201612171*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"%USERPROFILE%\AppData\Local\Temp\OnboardLogs"\RTDC4020\*4020*201612171* &gt;&gt; 42721-slicedisagreementcheck.txt</v>
      </c>
    </row>
    <row r="18" spans="1:30" s="1" customFormat="1" x14ac:dyDescent="0.25">
      <c r="A18" s="36">
        <v>42721.63857638889</v>
      </c>
      <c r="B18" s="31" t="s">
        <v>229</v>
      </c>
      <c r="C18" s="31" t="s">
        <v>573</v>
      </c>
      <c r="D18" s="31" t="s">
        <v>49</v>
      </c>
      <c r="E18" s="31" t="s">
        <v>196</v>
      </c>
      <c r="F18" s="47">
        <v>150</v>
      </c>
      <c r="G18" s="47">
        <v>285</v>
      </c>
      <c r="H18" s="47">
        <v>229532</v>
      </c>
      <c r="I18" s="47">
        <v>230293</v>
      </c>
      <c r="J18" s="31" t="s">
        <v>197</v>
      </c>
      <c r="K18" s="47">
        <v>230436</v>
      </c>
      <c r="L18" s="154" t="s">
        <v>50</v>
      </c>
      <c r="M18" s="155">
        <f t="shared" si="0"/>
        <v>75.504000000000005</v>
      </c>
      <c r="N18" s="156" t="str">
        <f>VLOOKUP(C18,'Trips&amp;Operators'!$C$1:$G$99999,5,FALSE)</f>
        <v>HOLCOMB KAMDEN</v>
      </c>
      <c r="O18" s="182" t="s">
        <v>195</v>
      </c>
      <c r="P18" s="157"/>
      <c r="Q18" s="31"/>
      <c r="R18" s="100" t="str">
        <f>VLOOKUP(C18,'Train Runs'!$A$13:$AE$9970,31,0)</f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S18" s="103" t="str">
        <f>VLOOKUP(C18,'Train Runs'!$A$13:$AE$9970,22,0)</f>
        <v>https://search-rtdc-monitor-bjffxe2xuh6vdkpspy63sjmuny.us-east-1.es.amazonaws.com/_plugin/kibana/#/discover/Steve-Slow-Train-Analysis-(2080s-and-2083s)?_g=(refreshInterval:(display:Off,section:0,value:0),time:(from:'2016-12-17 14:09:50-700',mode:absolute,to:'2016-12-17 16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8" s="105" t="str">
        <f t="shared" si="1"/>
        <v>"C:\Program Files (x86)\AstroGrep\AstroGrep.exe" /spath="%USERPROFILE%\AppData\Local\Temp\OnboardLogs" /stypes="*4046*201612172*" /stext=" 22:.+((SYSTEM_STATE.+slice.+state.+changed )|(ment ac)|(multiple cpu faults)|(system.+state.+changed )|(\[timeout)|(PRM\|1\|D)|(kpr)|(kdp)|(\|lc)|(penalty))" /e /r /s</v>
      </c>
      <c r="U18" s="9" t="str">
        <f t="shared" si="2"/>
        <v>4046</v>
      </c>
      <c r="V18" s="36">
        <f t="shared" si="3"/>
        <v>42721.930243055554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{"issue":{"subject":"","project_id":79,"tracker_id":40,"status_id":1,"priority_id":2,"assigned_to_id":23,"start_date":"2016-12-17","description":"","custom_fields":[{"id":1,"name":"Subdivision","value":"EC"},{"id":4,"name":"Milepost","value":"23.0436"},{"id":17,"name":"Train ID","value":"187-17"},{"id":16,"name":"Locomotive ID","value":"4046"},{"id":130,"name":"Impact","value":""},{"id":150,"name":"Time of Event (Mountain Time)","value":"15:19:33"},{"id":151,"name":"Denver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"%USERPROFILE%\AppData\Local\Temp\OnboardLogs"\RTDC4046\*4046*201612172*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"%USERPROFILE%\AppData\Local\Temp\OnboardLogs"\RTDC4046\*4046*201612172* &gt;&gt; 42721-slicedisagreementcheck.txt</v>
      </c>
    </row>
    <row r="19" spans="1:30" s="1" customFormat="1" x14ac:dyDescent="0.25">
      <c r="A19" s="36">
        <v>42721.48646990741</v>
      </c>
      <c r="B19" s="31" t="s">
        <v>317</v>
      </c>
      <c r="C19" s="31" t="s">
        <v>561</v>
      </c>
      <c r="D19" s="31" t="s">
        <v>98</v>
      </c>
      <c r="E19" s="31" t="s">
        <v>196</v>
      </c>
      <c r="F19" s="47">
        <v>350</v>
      </c>
      <c r="G19" s="47">
        <v>401</v>
      </c>
      <c r="H19" s="47">
        <v>224563</v>
      </c>
      <c r="I19" s="47">
        <v>222991</v>
      </c>
      <c r="J19" s="31" t="s">
        <v>197</v>
      </c>
      <c r="K19" s="47">
        <v>232107</v>
      </c>
      <c r="L19" s="154" t="s">
        <v>51</v>
      </c>
      <c r="M19" s="155">
        <f t="shared" si="0"/>
        <v>-4813.2479999999996</v>
      </c>
      <c r="N19" s="156" t="str">
        <f>VLOOKUP(C19,'Trips&amp;Operators'!$C$1:$G$99999,5,FALSE)</f>
        <v>KILLION DAVID</v>
      </c>
      <c r="O19" s="182" t="s">
        <v>195</v>
      </c>
      <c r="P19" s="157"/>
      <c r="Q19" s="31"/>
      <c r="R19" s="100" t="str">
        <f>VLOOKUP(C19,'Train Runs'!$A$13:$AE$9970,31,0)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S19" s="103" t="str">
        <f>VLOOKUP(C19,'Train Runs'!$A$13:$AE$9970,22,0)</f>
        <v>https://search-rtdc-monitor-bjffxe2xuh6vdkpspy63sjmuny.us-east-1.es.amazonaws.com/_plugin/kibana/#/discover/Steve-Slow-Train-Analysis-(2080s-and-2083s)?_g=(refreshInterval:(display:Off,section:0,value:0),time:(from:'2016-12-17 10:32:42-700',mode:absolute,to:'2016-12-17 13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 t="shared" si="1"/>
        <v>"C:\Program Files (x86)\AstroGrep\AstroGrep.exe" /spath="%USERPROFILE%\AppData\Local\Temp\OnboardLogs" /stypes="*4017*201612171*" /stext=" 18:.+((SYSTEM_STATE.+slice.+state.+changed )|(ment ac)|(multiple cpu faults)|(system.+state.+changed )|(\[timeout)|(PRM\|1\|D)|(kpr)|(kdp)|(\|lc)|(penalty))" /e /r /s</v>
      </c>
      <c r="U19" s="9" t="str">
        <f t="shared" si="2"/>
        <v>4017</v>
      </c>
      <c r="V19" s="36">
        <f t="shared" si="3"/>
        <v>42721.778136574074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{"issue":{"subject":"","project_id":79,"tracker_id":40,"status_id":1,"priority_id":2,"assigned_to_id":23,"start_date":"2016-12-17","description":"","custom_fields":[{"id":1,"name":"Subdivision","value":"EC"},{"id":4,"name":"Milepost","value":"23.2107"},{"id":17,"name":"Train ID","value":"154-17"},{"id":16,"name":"Locomotive ID","value":"4017"},{"id":130,"name":"Impact","value":""},{"id":150,"name":"Time of Event (Mountain Time)","value":"11:40:31"},{"id":151,"name":"Denver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"%USERPROFILE%\AppData\Local\Temp\OnboardLogs"\RTDC4017\*4017*201612171*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"%USERPROFILE%\AppData\Local\Temp\OnboardLogs"\RTDC4017\*4017*201612171* &gt;&gt; 42721-slicedisagreementcheck.txt</v>
      </c>
    </row>
    <row r="20" spans="1:30" x14ac:dyDescent="0.25">
      <c r="A20" s="36">
        <v>42721.655092592591</v>
      </c>
      <c r="B20" s="31" t="s">
        <v>265</v>
      </c>
      <c r="C20" s="31" t="s">
        <v>574</v>
      </c>
      <c r="D20" s="31" t="s">
        <v>98</v>
      </c>
      <c r="E20" s="31" t="s">
        <v>196</v>
      </c>
      <c r="F20" s="47">
        <v>350</v>
      </c>
      <c r="G20" s="47">
        <v>403</v>
      </c>
      <c r="H20" s="47">
        <v>224926</v>
      </c>
      <c r="I20" s="47">
        <v>223329</v>
      </c>
      <c r="J20" s="31" t="s">
        <v>197</v>
      </c>
      <c r="K20" s="47">
        <v>232107</v>
      </c>
      <c r="L20" s="154" t="s">
        <v>51</v>
      </c>
      <c r="M20" s="155">
        <f t="shared" si="0"/>
        <v>-4634.7839999999997</v>
      </c>
      <c r="N20" s="156" t="str">
        <f>VLOOKUP(C20,'Trips&amp;Operators'!$C$1:$G$99999,5,FALSE)</f>
        <v>HOLCOMB KAMDEN</v>
      </c>
      <c r="O20" s="182" t="s">
        <v>195</v>
      </c>
      <c r="P20" s="157"/>
      <c r="Q20" s="31"/>
      <c r="R20" s="100" t="str">
        <f>VLOOKUP(C20,'Train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20" s="103" t="str">
        <f>VLOOKUP(C20,'Train Runs'!$A$13:$AE$9970,22,0)</f>
        <v>https://search-rtdc-monitor-bjffxe2xuh6vdkpspy63sjmuny.us-east-1.es.amazonaws.com/_plugin/kibana/#/discover/Steve-Slow-Train-Analysis-(2080s-and-2083s)?_g=(refreshInterval:(display:Off,section:0,value:0),time:(from:'2016-12-17 14:32:32-700',mode:absolute,to:'2016-12-17 17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 t="shared" si="1"/>
        <v>"C:\Program Files (x86)\AstroGrep\AstroGrep.exe" /spath="%USERPROFILE%\AppData\Local\Temp\OnboardLogs" /stypes="*4045*201612172*" /stext=" 22:.+((SYSTEM_STATE.+slice.+state.+changed )|(ment ac)|(multiple cpu faults)|(system.+state.+changed )|(\[timeout)|(PRM\|1\|D)|(kpr)|(kdp)|(\|lc)|(penalty))" /e /r /s</v>
      </c>
      <c r="U20" s="9" t="str">
        <f t="shared" si="2"/>
        <v>4045</v>
      </c>
      <c r="V20" s="36">
        <f t="shared" si="3"/>
        <v>42721.946759259255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{"issue":{"subject":"","project_id":79,"tracker_id":40,"status_id":1,"priority_id":2,"assigned_to_id":23,"start_date":"2016-12-17","description":"","custom_fields":[{"id":1,"name":"Subdivision","value":"EC"},{"id":4,"name":"Milepost","value":"23.2107"},{"id":17,"name":"Train ID","value":"190-17"},{"id":16,"name":"Locomotive ID","value":"4045"},{"id":130,"name":"Impact","value":""},{"id":150,"name":"Time of Event (Mountain Time)","value":"15:43:20"},{"id":151,"name":"Denver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"%USERPROFILE%\AppData\Local\Temp\OnboardLogs"\RTDC4045\*4045*201612172*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"%USERPROFILE%\AppData\Local\Temp\OnboardLogs"\RTDC4045\*4045*201612172* &gt;&gt; 42721-slicedisagreementcheck.txt</v>
      </c>
    </row>
    <row r="21" spans="1:30" x14ac:dyDescent="0.25">
      <c r="A21" s="36">
        <v>42721.519247685188</v>
      </c>
      <c r="B21" s="31" t="s">
        <v>563</v>
      </c>
      <c r="C21" s="31" t="s">
        <v>564</v>
      </c>
      <c r="D21" s="31" t="s">
        <v>98</v>
      </c>
      <c r="E21" s="31" t="s">
        <v>196</v>
      </c>
      <c r="F21" s="47">
        <v>150</v>
      </c>
      <c r="G21" s="47">
        <v>208</v>
      </c>
      <c r="H21" s="47">
        <v>232048</v>
      </c>
      <c r="I21" s="47">
        <v>231709</v>
      </c>
      <c r="J21" s="31" t="s">
        <v>197</v>
      </c>
      <c r="K21" s="47">
        <v>233492</v>
      </c>
      <c r="L21" s="154" t="s">
        <v>51</v>
      </c>
      <c r="M21" s="155">
        <f t="shared" si="0"/>
        <v>-941.42399999999998</v>
      </c>
      <c r="N21" s="156" t="str">
        <f>VLOOKUP(C21,'Trips&amp;Operators'!$C$1:$G$99999,5,FALSE)</f>
        <v>MAHAN DUANE</v>
      </c>
      <c r="O21" s="182" t="s">
        <v>195</v>
      </c>
      <c r="P21" s="157"/>
      <c r="Q21" s="31"/>
      <c r="R21" s="100" t="str">
        <f>VLOOKUP(C21,'Train Runs'!$A$13:$AE$9970,31,0)</f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S21" s="103" t="str">
        <f>VLOOKUP(C21,'Train Runs'!$A$13:$AE$9970,22,0)</f>
        <v>https://search-rtdc-monitor-bjffxe2xuh6vdkpspy63sjmuny.us-east-1.es.amazonaws.com/_plugin/kibana/#/discover/Steve-Slow-Train-Analysis-(2080s-and-2083s)?_g=(refreshInterval:(display:Off,section:0,value:0),time:(from:'2016-12-17 11:19:24-700',mode:absolute,to:'2016-12-17 14:14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1" s="105" t="str">
        <f t="shared" si="1"/>
        <v>"C:\Program Files (x86)\AstroGrep\AstroGrep.exe" /spath="%USERPROFILE%\AppData\Local\Temp\OnboardLogs" /stypes="*4030*201612171*" /stext=" 19:.+((SYSTEM_STATE.+slice.+state.+changed )|(ment ac)|(multiple cpu faults)|(system.+state.+changed )|(\[timeout)|(PRM\|1\|D)|(kpr)|(kdp)|(\|lc)|(penalty))" /e /r /s</v>
      </c>
      <c r="U21" s="9" t="str">
        <f t="shared" si="2"/>
        <v>4030</v>
      </c>
      <c r="V21" s="36">
        <f t="shared" si="3"/>
        <v>42721.810914351852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{"issue":{"subject":"","project_id":79,"tracker_id":40,"status_id":1,"priority_id":2,"assigned_to_id":23,"start_date":"2016-12-17","description":"","custom_fields":[{"id":1,"name":"Subdivision","value":"EC"},{"id":4,"name":"Milepost","value":"23.3492"},{"id":17,"name":"Train ID","value":"164-17"},{"id":16,"name":"Locomotive ID","value":"4030"},{"id":130,"name":"Impact","value":""},{"id":150,"name":"Time of Event (Mountain Time)","value":"12:27:43"},{"id":151,"name":"Denver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"%USERPROFILE%\AppData\Local\Temp\OnboardLogs"\RTDC4030\*4030*201612171*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"%USERPROFILE%\AppData\Local\Temp\OnboardLogs"\RTDC4030\*4030*201612171* &gt;&gt; 42721-slicedisagreementcheck.txt</v>
      </c>
    </row>
    <row r="22" spans="1:30" ht="15" customHeight="1" x14ac:dyDescent="0.25">
      <c r="A22" s="36">
        <v>42721.376828703702</v>
      </c>
      <c r="B22" s="31" t="s">
        <v>290</v>
      </c>
      <c r="C22" s="31" t="s">
        <v>554</v>
      </c>
      <c r="D22" s="31" t="s">
        <v>49</v>
      </c>
      <c r="E22" s="31" t="s">
        <v>198</v>
      </c>
      <c r="F22" s="47">
        <v>0</v>
      </c>
      <c r="G22" s="47">
        <v>261</v>
      </c>
      <c r="H22" s="47">
        <v>18423</v>
      </c>
      <c r="I22" s="47">
        <v>18167</v>
      </c>
      <c r="J22" s="31" t="s">
        <v>199</v>
      </c>
      <c r="K22" s="47">
        <v>17100</v>
      </c>
      <c r="L22" s="154" t="s">
        <v>51</v>
      </c>
      <c r="M22" s="155">
        <f t="shared" si="0"/>
        <v>563.37599999999998</v>
      </c>
      <c r="N22" s="156" t="str">
        <f>VLOOKUP(C22,'Trips&amp;Operators'!$C$1:$G$99999,5,FALSE)</f>
        <v>MAELZER KURT</v>
      </c>
      <c r="O22" s="182" t="s">
        <v>227</v>
      </c>
      <c r="P22" s="157" t="s">
        <v>978</v>
      </c>
      <c r="Q22" s="31"/>
      <c r="R22" s="100" t="str">
        <f>VLOOKUP(C22,'Train Runs'!$A$13:$AE$9970,31,0)</f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S22" s="103" t="str">
        <f>VLOOKUP(C22,'Train Runs'!$A$13:$AE$9970,22,0)</f>
        <v>https://search-rtdc-monitor-bjffxe2xuh6vdkpspy63sjmuny.us-east-1.es.amazonaws.com/_plugin/kibana/#/discover/Steve-Slow-Train-Analysis-(2080s-and-2083s)?_g=(refreshInterval:(display:Off,section:0,value:0),time:(from:'2016-12-17 07:22:39-700',mode:absolute,to:'2016-12-17 10:11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5" t="str">
        <f t="shared" si="1"/>
        <v>"C:\Program Files (x86)\AstroGrep\AstroGrep.exe" /spath="%USERPROFILE%\AppData\Local\Temp\OnboardLogs" /stypes="*4013*201612171*" /stext=" 16:.+((SYSTEM_STATE.+slice.+state.+changed )|(ment ac)|(multiple cpu faults)|(system.+state.+changed )|(\[timeout)|(PRM\|1\|D)|(kpr)|(kdp)|(\|lc)|(penalty))" /e /r /s</v>
      </c>
      <c r="U22" s="9" t="str">
        <f t="shared" si="2"/>
        <v>4013</v>
      </c>
      <c r="V22" s="36">
        <f t="shared" si="3"/>
        <v>42721.668495370366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{"issue":{"subject":"Wi-MAX data drop","project_id":79,"tracker_id":40,"status_id":1,"priority_id":2,"assigned_to_id":23,"start_date":"2016-12-17","description":"","custom_fields":[{"id":1,"name":"Subdivision","value":"EC"},{"id":4,"name":"Milepost","value":"1.71"},{"id":17,"name":"Train ID","value":"132-17"},{"id":16,"name":"Locomotive ID","value":"4013"},{"id":130,"name":"Impact","value":""},{"id":150,"name":"Time of Event (Mountain Time)","value":"09:02:38"},{"id":151,"name":"Denver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"%USERPROFILE%\AppData\Local\Temp\OnboardLogs"\RTDC4013\*4013*201612171*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"%USERPROFILE%\AppData\Local\Temp\OnboardLogs"\RTDC4013\*4013*201612171* &gt;&gt; 42721-slicedisagreementcheck.txt</v>
      </c>
    </row>
    <row r="23" spans="1:30" x14ac:dyDescent="0.25">
      <c r="A23" s="36">
        <v>42721.168391203704</v>
      </c>
      <c r="B23" s="31" t="s">
        <v>532</v>
      </c>
      <c r="C23" s="31" t="s">
        <v>533</v>
      </c>
      <c r="D23" s="31" t="s">
        <v>49</v>
      </c>
      <c r="E23" s="31" t="s">
        <v>198</v>
      </c>
      <c r="F23" s="47">
        <v>0</v>
      </c>
      <c r="G23" s="47">
        <v>767</v>
      </c>
      <c r="H23" s="47">
        <v>76374</v>
      </c>
      <c r="I23" s="47">
        <v>81547</v>
      </c>
      <c r="J23" s="31" t="s">
        <v>199</v>
      </c>
      <c r="K23" s="47">
        <v>81738</v>
      </c>
      <c r="L23" s="154" t="s">
        <v>50</v>
      </c>
      <c r="M23" s="155">
        <f t="shared" si="0"/>
        <v>100.848</v>
      </c>
      <c r="N23" s="156" t="str">
        <f>VLOOKUP(C23,'Trips&amp;Operators'!$C$1:$G$99999,5,FALSE)</f>
        <v>ROBINSON KADDIBA</v>
      </c>
      <c r="O23" s="182" t="s">
        <v>227</v>
      </c>
      <c r="P23" s="157" t="s">
        <v>978</v>
      </c>
      <c r="Q23" s="31"/>
      <c r="R23" s="100" t="str">
        <f>VLOOKUP(C23,'Train Runs'!$A$13:$AE$9970,31,0)</f>
        <v>aws s3 cp s3://rtdc.mdm.uploadarchive.raw/RTDC4029/ "%USERPROFILE%\AppData\Local\Temp\OnboardLogs"\RTDC4029\2016-12-17 --exclude "*" --recursive --include "*20161217*" &amp; "%USERPROFILE%\Documents\GitHub\mrs-test-scripts\Headless Mode &amp; Sideloading\WalkAndUnGZ.bat" "%USERPROFILE%\AppData\Local\Temp\OnboardLogs"\RTDC4029\2016-12-17 &amp; aws s3 cp s3://rtdc.mdm.uploadarchive.raw/RTDC4029/ "%USERPROFILE%\AppData\Local\Temp\OnboardLogs"\RTDC4029\2016-12-18 --exclude "*" --recursive --include "*20161218*" &amp; "%USERPROFILE%\Documents\GitHub\mrs-test-scripts\Headless Mode &amp; Sideloading\WalkAndUnGZ.bat" "%USERPROFILE%\AppData\Local\Temp\OnboardLogs"\RTDC4029\2016-12-18</v>
      </c>
      <c r="S23" s="103" t="str">
        <f>VLOOKUP(C23,'Train Runs'!$A$13:$AE$9970,22,0)</f>
        <v>https://search-rtdc-monitor-bjffxe2xuh6vdkpspy63sjmuny.us-east-1.es.amazonaws.com/_plugin/kibana/#/discover/Steve-Slow-Train-Analysis-(2080s-and-2083s)?_g=(refreshInterval:(display:Off,section:0,value:0),time:(from:'2016-12-17 02:37:24-700',mode:absolute,to:'2016-12-17 06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3" s="105" t="str">
        <f t="shared" si="1"/>
        <v>"C:\Program Files (x86)\AstroGrep\AstroGrep.exe" /spath="%USERPROFILE%\AppData\Local\Temp\OnboardLogs" /stypes="*4029*201612171*" /stext=" 11:.+((SYSTEM_STATE.+slice.+state.+changed )|(ment ac)|(multiple cpu faults)|(system.+state.+changed )|(\[timeout)|(PRM\|1\|D)|(kpr)|(kdp)|(\|lc)|(penalty))" /e /r /s</v>
      </c>
      <c r="U23" s="9" t="str">
        <f t="shared" si="2"/>
        <v>4029</v>
      </c>
      <c r="V23" s="36">
        <f t="shared" si="3"/>
        <v>42721.460057870368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{"issue":{"subject":"Wi-MAX data drop","project_id":79,"tracker_id":40,"status_id":1,"priority_id":2,"assigned_to_id":23,"start_date":"2016-12-17","description":"","custom_fields":[{"id":1,"name":"Subdivision","value":"EC"},{"id":4,"name":"Milepost","value":"8.1738"},{"id":17,"name":"Train ID","value":"103-17"},{"id":16,"name":"Locomotive ID","value":"4029"},{"id":130,"name":"Impact","value":""},{"id":150,"name":"Time of Event (Mountain Time)","value":"04:02:29"},{"id":151,"name":"Denver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"%USERPROFILE%\AppData\Local\Temp\OnboardLogs"\RTDC4029\*4029*201612171*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"%USERPROFILE%\AppData\Local\Temp\OnboardLogs"\RTDC4029\*4029*201612171* &gt;&gt; 42721-slicedisagreementcheck.txt</v>
      </c>
    </row>
    <row r="24" spans="1:30" x14ac:dyDescent="0.25">
      <c r="A24" s="36">
        <v>42721.96193287037</v>
      </c>
      <c r="B24" s="31" t="s">
        <v>263</v>
      </c>
      <c r="C24" s="31" t="s">
        <v>583</v>
      </c>
      <c r="D24" s="31" t="s">
        <v>98</v>
      </c>
      <c r="E24" s="31" t="s">
        <v>198</v>
      </c>
      <c r="F24" s="47">
        <v>200</v>
      </c>
      <c r="G24" s="47">
        <v>251</v>
      </c>
      <c r="H24" s="47">
        <v>85764</v>
      </c>
      <c r="I24" s="47">
        <v>85165</v>
      </c>
      <c r="J24" s="31" t="s">
        <v>199</v>
      </c>
      <c r="K24" s="47">
        <v>87902</v>
      </c>
      <c r="L24" s="154" t="s">
        <v>51</v>
      </c>
      <c r="M24" s="155">
        <f t="shared" si="0"/>
        <v>-1445.136</v>
      </c>
      <c r="N24" s="156" t="str">
        <f>VLOOKUP(C24,'Trips&amp;Operators'!$C$1:$G$99999,5,FALSE)</f>
        <v>LEVIN SCOTT</v>
      </c>
      <c r="O24" s="182" t="s">
        <v>195</v>
      </c>
      <c r="P24" s="157" t="s">
        <v>1002</v>
      </c>
      <c r="Q24" s="31"/>
      <c r="R24" s="100" t="str">
        <f>VLOOKUP(C24,'Train Runs'!$A$13:$AE$9970,31,0)</f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S24" s="103" t="str">
        <f>VLOOKUP(C24,'Train Runs'!$A$13:$AE$9970,22,0)</f>
        <v>https://search-rtdc-monitor-bjffxe2xuh6vdkpspy63sjmuny.us-east-1.es.amazonaws.com/_plugin/kibana/#/discover/Steve-Slow-Train-Analysis-(2080s-and-2083s)?_g=(refreshInterval:(display:Off,section:0,value:0),time:(from:'2016-12-17 21:02:10-700',mode:absolute,to:'2016-12-18 00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4" s="105" t="str">
        <f t="shared" si="1"/>
        <v>"C:\Program Files (x86)\AstroGrep\AstroGrep.exe" /spath="%USERPROFILE%\AppData\Local\Temp\OnboardLogs" /stypes="*4015*201612180*" /stext=" 06:.+((SYSTEM_STATE.+slice.+state.+changed )|(ment ac)|(multiple cpu faults)|(system.+state.+changed )|(\[timeout)|(PRM\|1\|D)|(kpr)|(kdp)|(\|lc)|(penalty))" /e /r /s</v>
      </c>
      <c r="U24" s="9" t="str">
        <f t="shared" si="2"/>
        <v>4015</v>
      </c>
      <c r="V24" s="36">
        <f t="shared" si="3"/>
        <v>42722.253599537034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Overspeed","project_id":79,"tracker_id":40,"status_id":1,"priority_id":2,"assigned_to_id":23,"start_date":"2016-12-17","description":"","custom_fields":[{"id":1,"name":"Subdivision","value":"EC"},{"id":4,"name":"Milepost","value":"8.7902"},{"id":17,"name":"Train ID","value":"230-17"},{"id":16,"name":"Locomotive ID","value":"4015"},{"id":130,"name":"Impact","value":""},{"id":150,"name":"Time of Event (Mountain Time)","value":"23:05:11"},{"id":151,"name":"Denver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"%USERPROFILE%\AppData\Local\Temp\OnboardLogs"\RTDC4015\*4015*201612180*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"%USERPROFILE%\AppData\Local\Temp\OnboardLogs"\RTDC4015\*4015*201612180* &gt;&gt; 42721-slicedisagreementcheck.txt</v>
      </c>
    </row>
    <row r="25" spans="1:30" x14ac:dyDescent="0.25">
      <c r="A25" s="36">
        <v>42721.327662037038</v>
      </c>
      <c r="B25" s="31" t="s">
        <v>229</v>
      </c>
      <c r="C25" s="31" t="s">
        <v>547</v>
      </c>
      <c r="D25" s="31" t="s">
        <v>49</v>
      </c>
      <c r="E25" s="31" t="s">
        <v>198</v>
      </c>
      <c r="F25" s="47">
        <v>0</v>
      </c>
      <c r="G25" s="47">
        <v>26</v>
      </c>
      <c r="H25" s="47">
        <v>126405</v>
      </c>
      <c r="I25" s="47">
        <v>126445</v>
      </c>
      <c r="J25" s="31" t="s">
        <v>199</v>
      </c>
      <c r="K25" s="47">
        <v>126585</v>
      </c>
      <c r="L25" s="154" t="s">
        <v>50</v>
      </c>
      <c r="M25" s="155">
        <f t="shared" si="0"/>
        <v>73.92</v>
      </c>
      <c r="N25" s="156" t="str">
        <f>VLOOKUP(C25,'Trips&amp;Operators'!$C$1:$G$99999,5,FALSE)</f>
        <v>BEAM ROSS</v>
      </c>
      <c r="O25" s="182" t="s">
        <v>195</v>
      </c>
      <c r="P25" s="157" t="s">
        <v>1003</v>
      </c>
      <c r="Q25" s="31"/>
      <c r="R25" s="100" t="str">
        <f>VLOOKUP(C25,'Train Runs'!$A$13:$AE$9970,31,0)</f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S25" s="103" t="str">
        <f>VLOOKUP(C25,'Train Runs'!$A$13:$AE$9970,22,0)</f>
        <v>https://search-rtdc-monitor-bjffxe2xuh6vdkpspy63sjmuny.us-east-1.es.amazonaws.com/_plugin/kibana/#/discover/Steve-Slow-Train-Analysis-(2080s-and-2083s)?_g=(refreshInterval:(display:Off,section:0,value:0),time:(from:'2016-12-17 05:45:10-700',mode:absolute,to:'2016-12-17 09:11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5" s="105" t="str">
        <f t="shared" si="1"/>
        <v>"C:\Program Files (x86)\AstroGrep\AstroGrep.exe" /spath="%USERPROFILE%\AppData\Local\Temp\OnboardLogs" /stypes="*4046*201612171*" /stext=" 14:.+((SYSTEM_STATE.+slice.+state.+changed )|(ment ac)|(multiple cpu faults)|(system.+state.+changed )|(\[timeout)|(PRM\|1\|D)|(kpr)|(kdp)|(\|lc)|(penalty))" /e /r /s</v>
      </c>
      <c r="U25" s="9" t="str">
        <f t="shared" si="2"/>
        <v>4046</v>
      </c>
      <c r="V25" s="36">
        <f t="shared" si="3"/>
        <v>42721.619328703702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{"issue":{"subject":"40th 2N STOP","project_id":79,"tracker_id":40,"status_id":1,"priority_id":2,"assigned_to_id":23,"start_date":"2016-12-17","description":"","custom_fields":[{"id":1,"name":"Subdivision","value":"EC"},{"id":4,"name":"Milepost","value":"12.6585"},{"id":17,"name":"Train ID","value":"127-17"},{"id":16,"name":"Locomotive ID","value":"4046"},{"id":130,"name":"Impact","value":""},{"id":150,"name":"Time of Event (Mountain Time)","value":"07:51:50"},{"id":151,"name":"Denver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"%USERPROFILE%\AppData\Local\Temp\OnboardLogs"\RTDC4046\*4046*201612171*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"%USERPROFILE%\AppData\Local\Temp\OnboardLogs"\RTDC4046\*4046*201612171* &gt;&gt; 42721-slicedisagreementcheck.txt</v>
      </c>
    </row>
    <row r="26" spans="1:30" x14ac:dyDescent="0.25">
      <c r="A26" s="36">
        <v>42721.571932870371</v>
      </c>
      <c r="B26" s="31" t="s">
        <v>210</v>
      </c>
      <c r="C26" s="31" t="s">
        <v>567</v>
      </c>
      <c r="D26" s="31" t="s">
        <v>49</v>
      </c>
      <c r="E26" s="31" t="s">
        <v>198</v>
      </c>
      <c r="F26" s="47">
        <v>0</v>
      </c>
      <c r="G26" s="47">
        <v>60</v>
      </c>
      <c r="H26" s="47">
        <v>127883</v>
      </c>
      <c r="I26" s="47">
        <v>127832</v>
      </c>
      <c r="J26" s="31" t="s">
        <v>199</v>
      </c>
      <c r="K26" s="47">
        <v>127587</v>
      </c>
      <c r="L26" s="154" t="s">
        <v>51</v>
      </c>
      <c r="M26" s="155">
        <f t="shared" si="0"/>
        <v>129.36000000000001</v>
      </c>
      <c r="N26" s="156" t="str">
        <f>VLOOKUP(C26,'Trips&amp;Operators'!$C$1:$G$99999,5,FALSE)</f>
        <v>STORY SAMANTHA</v>
      </c>
      <c r="O26" s="182" t="s">
        <v>195</v>
      </c>
      <c r="P26" s="157" t="s">
        <v>1004</v>
      </c>
      <c r="Q26" s="31"/>
      <c r="R26" s="100" t="str">
        <f>VLOOKUP(C26,'Train Runs'!$A$13:$AE$9970,31,0)</f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S26" s="103" t="str">
        <f>VLOOKUP(C26,'Train Runs'!$A$13:$AE$9970,22,0)</f>
        <v>https://search-rtdc-monitor-bjffxe2xuh6vdkpspy63sjmuny.us-east-1.es.amazonaws.com/_plugin/kibana/#/discover/Steve-Slow-Train-Analysis-(2080s-and-2083s)?_g=(refreshInterval:(display:Off,section:0,value:0),time:(from:'2016-12-17 12:26:38-700',mode:absolute,to:'2016-12-17 15:14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6" s="105" t="str">
        <f t="shared" si="1"/>
        <v>"C:\Program Files (x86)\AstroGrep\AstroGrep.exe" /spath="%USERPROFILE%\AppData\Local\Temp\OnboardLogs" /stypes="*4012*201612172*" /stext=" 20:.+((SYSTEM_STATE.+slice.+state.+changed )|(ment ac)|(multiple cpu faults)|(system.+state.+changed )|(\[timeout)|(PRM\|1\|D)|(kpr)|(kdp)|(\|lc)|(penalty))" /e /r /s</v>
      </c>
      <c r="U26" s="9" t="str">
        <f t="shared" si="2"/>
        <v>4012</v>
      </c>
      <c r="V26" s="36">
        <f t="shared" si="3"/>
        <v>42721.863599537035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{"issue":{"subject":"40th 4S STOP","project_id":79,"tracker_id":40,"status_id":1,"priority_id":2,"assigned_to_id":23,"start_date":"2016-12-17","description":"","custom_fields":[{"id":1,"name":"Subdivision","value":"EC"},{"id":4,"name":"Milepost","value":"12.7587"},{"id":17,"name":"Train ID","value":"172-17"},{"id":16,"name":"Locomotive ID","value":"4012"},{"id":130,"name":"Impact","value":""},{"id":150,"name":"Time of Event (Mountain Time)","value":"13:43:35"},{"id":151,"name":"Denver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"%USERPROFILE%\AppData\Local\Temp\OnboardLogs"\RTDC4012\*4012*201612172*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"%USERPROFILE%\AppData\Local\Temp\OnboardLogs"\RTDC4012\*4012*201612172* &gt;&gt; 42721-slicedisagreementcheck.txt</v>
      </c>
    </row>
    <row r="27" spans="1:30" x14ac:dyDescent="0.25">
      <c r="A27" s="36">
        <v>42721.663252314815</v>
      </c>
      <c r="B27" s="31" t="s">
        <v>265</v>
      </c>
      <c r="C27" s="31" t="s">
        <v>574</v>
      </c>
      <c r="D27" s="31" t="s">
        <v>49</v>
      </c>
      <c r="E27" s="31" t="s">
        <v>198</v>
      </c>
      <c r="F27" s="47">
        <v>0</v>
      </c>
      <c r="G27" s="47">
        <v>52</v>
      </c>
      <c r="H27" s="47">
        <v>127918</v>
      </c>
      <c r="I27" s="47">
        <v>127871</v>
      </c>
      <c r="J27" s="31" t="s">
        <v>199</v>
      </c>
      <c r="K27" s="47">
        <v>127587</v>
      </c>
      <c r="L27" s="154" t="s">
        <v>51</v>
      </c>
      <c r="M27" s="155">
        <f t="shared" si="0"/>
        <v>149.952</v>
      </c>
      <c r="N27" s="156" t="str">
        <f>VLOOKUP(C27,'Trips&amp;Operators'!$C$1:$G$99999,5,FALSE)</f>
        <v>HOLCOMB KAMDEN</v>
      </c>
      <c r="O27" s="182" t="s">
        <v>195</v>
      </c>
      <c r="P27" s="157" t="s">
        <v>1004</v>
      </c>
      <c r="Q27" s="31"/>
      <c r="R27" s="100" t="str">
        <f>VLOOKUP(C27,'Train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27" s="103" t="str">
        <f>VLOOKUP(C27,'Train Runs'!$A$13:$AE$9970,22,0)</f>
        <v>https://search-rtdc-monitor-bjffxe2xuh6vdkpspy63sjmuny.us-east-1.es.amazonaws.com/_plugin/kibana/#/discover/Steve-Slow-Train-Analysis-(2080s-and-2083s)?_g=(refreshInterval:(display:Off,section:0,value:0),time:(from:'2016-12-17 14:32:32-700',mode:absolute,to:'2016-12-17 17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7" s="105" t="str">
        <f t="shared" si="1"/>
        <v>"C:\Program Files (x86)\AstroGrep\AstroGrep.exe" /spath="%USERPROFILE%\AppData\Local\Temp\OnboardLogs" /stypes="*4045*201612172*" /stext=" 22:.+((SYSTEM_STATE.+slice.+state.+changed )|(ment ac)|(multiple cpu faults)|(system.+state.+changed )|(\[timeout)|(PRM\|1\|D)|(kpr)|(kdp)|(\|lc)|(penalty))" /e /r /s</v>
      </c>
      <c r="U27" s="9" t="str">
        <f t="shared" si="2"/>
        <v>4045</v>
      </c>
      <c r="V27" s="36">
        <f t="shared" si="3"/>
        <v>42721.954918981479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{"issue":{"subject":"40th 4S STOP","project_id":79,"tracker_id":40,"status_id":1,"priority_id":2,"assigned_to_id":23,"start_date":"2016-12-17","description":"","custom_fields":[{"id":1,"name":"Subdivision","value":"EC"},{"id":4,"name":"Milepost","value":"12.7587"},{"id":17,"name":"Train ID","value":"190-17"},{"id":16,"name":"Locomotive ID","value":"4045"},{"id":130,"name":"Impact","value":""},{"id":150,"name":"Time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"%USERPROFILE%\AppData\Local\Temp\OnboardLogs"\RTDC4045\*4045*201612172*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"%USERPROFILE%\AppData\Local\Temp\OnboardLogs"\RTDC4045\*4045*201612172* &gt;&gt; 42721-slicedisagreementcheck.txt</v>
      </c>
    </row>
    <row r="28" spans="1:30" ht="15" customHeight="1" x14ac:dyDescent="0.25">
      <c r="A28" s="36">
        <v>42721.295486111114</v>
      </c>
      <c r="B28" s="31" t="s">
        <v>316</v>
      </c>
      <c r="C28" s="31" t="s">
        <v>543</v>
      </c>
      <c r="D28" s="31" t="s">
        <v>49</v>
      </c>
      <c r="E28" s="31" t="s">
        <v>198</v>
      </c>
      <c r="F28" s="47">
        <v>0</v>
      </c>
      <c r="G28" s="47">
        <v>460</v>
      </c>
      <c r="H28" s="47">
        <v>130394</v>
      </c>
      <c r="I28" s="47">
        <v>132251</v>
      </c>
      <c r="J28" s="31" t="s">
        <v>199</v>
      </c>
      <c r="K28" s="47">
        <v>133155</v>
      </c>
      <c r="L28" s="154" t="s">
        <v>50</v>
      </c>
      <c r="M28" s="155">
        <f t="shared" si="0"/>
        <v>477.31200000000001</v>
      </c>
      <c r="N28" s="156" t="str">
        <f>VLOOKUP(C28,'Trips&amp;Operators'!$C$1:$G$99999,5,FALSE)</f>
        <v>KILLION DAVID</v>
      </c>
      <c r="O28" s="182" t="s">
        <v>227</v>
      </c>
      <c r="P28" s="157" t="s">
        <v>981</v>
      </c>
      <c r="Q28" s="31"/>
      <c r="R28" s="100" t="str">
        <f>VLOOKUP(C28,'Train Runs'!$A$13:$AE$9970,31,0)</f>
        <v>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 &amp; aws s3 cp s3://rtdc.mdm.uploadarchive.raw/RTDC4018/ "%USERPROFILE%\AppData\Local\Temp\OnboardLogs"\RTDC4018\2016-12-18 --exclude "*" --recursive --include "*20161218*" &amp; "%USERPROFILE%\Documents\GitHub\mrs-test-scripts\Headless Mode &amp; Sideloading\WalkAndUnGZ.bat" "%USERPROFILE%\AppData\Local\Temp\OnboardLogs"\RTDC4018\2016-12-18</v>
      </c>
      <c r="S28" s="103" t="str">
        <f>VLOOKUP(C28,'Train Runs'!$A$13:$AE$9970,22,0)</f>
        <v>https://search-rtdc-monitor-bjffxe2xuh6vdkpspy63sjmuny.us-east-1.es.amazonaws.com/_plugin/kibana/#/discover/Steve-Slow-Train-Analysis-(2080s-and-2083s)?_g=(refreshInterval:(display:Off,section:0,value:0),time:(from:'2016-12-17 06:22:30-700',mode:absolute,to:'2016-12-17 08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8" s="105" t="str">
        <f t="shared" si="1"/>
        <v>"C:\Program Files (x86)\AstroGrep\AstroGrep.exe" /spath="%USERPROFILE%\AppData\Local\Temp\OnboardLogs" /stypes="*4018*201612171*" /stext=" 14:.+((SYSTEM_STATE.+slice.+state.+changed )|(ment ac)|(multiple cpu faults)|(system.+state.+changed )|(\[timeout)|(PRM\|1\|D)|(kpr)|(kdp)|(\|lc)|(penalty))" /e /r /s</v>
      </c>
      <c r="U28" s="9" t="str">
        <f t="shared" si="2"/>
        <v>4018</v>
      </c>
      <c r="V28" s="36">
        <f t="shared" si="3"/>
        <v>42721.587152777778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{"issue":{"subject":"EC1332RH 127-1T 1N and EC1388RH 133-1T 1N dropped to STOP &amp; PROCEED","project_id":79,"tracker_id":40,"status_id":1,"priority_id":2,"assigned_to_id":23,"start_date":"2016-12-17","description":"","custom_fields":[{"id":1,"name":"Subdivision","value":"EC"},{"id":4,"name":"Milepost","value":"13.3155"},{"id":17,"name":"Train ID","value":"123-17"},{"id":16,"name":"Locomotive ID","value":"4018"},{"id":130,"name":"Impact","value":""},{"id":150,"name":"Time of Event (Mountain Time)","value":"07:05:30"},{"id":151,"name":"Denver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"%USERPROFILE%\AppData\Local\Temp\OnboardLogs"\RTDC4018\*4018*201612171*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"%USERPROFILE%\AppData\Local\Temp\OnboardLogs"\RTDC4018\*4018*201612171* &gt;&gt; 42721-slicedisagreementcheck.txt</v>
      </c>
    </row>
    <row r="29" spans="1:30" ht="15" customHeight="1" x14ac:dyDescent="0.25">
      <c r="A29" s="36">
        <v>42721.334016203706</v>
      </c>
      <c r="B29" s="31" t="s">
        <v>225</v>
      </c>
      <c r="C29" s="31" t="s">
        <v>549</v>
      </c>
      <c r="D29" s="31" t="s">
        <v>49</v>
      </c>
      <c r="E29" s="31" t="s">
        <v>198</v>
      </c>
      <c r="F29" s="47">
        <v>0</v>
      </c>
      <c r="G29" s="47">
        <v>405</v>
      </c>
      <c r="H29" s="47">
        <v>147676</v>
      </c>
      <c r="I29" s="47">
        <v>148850</v>
      </c>
      <c r="J29" s="31" t="s">
        <v>199</v>
      </c>
      <c r="K29" s="47">
        <v>149694</v>
      </c>
      <c r="L29" s="154" t="s">
        <v>50</v>
      </c>
      <c r="M29" s="155">
        <f t="shared" si="0"/>
        <v>445.63200000000001</v>
      </c>
      <c r="N29" s="156" t="str">
        <f>VLOOKUP(C29,'Trips&amp;Operators'!$C$1:$G$99999,5,FALSE)</f>
        <v>MAELZER KURT</v>
      </c>
      <c r="O29" s="182" t="s">
        <v>195</v>
      </c>
      <c r="P29" s="157" t="s">
        <v>1005</v>
      </c>
      <c r="Q29" s="31"/>
      <c r="R29" s="100" t="str">
        <f>VLOOKUP(C29,'Train Runs'!$A$13:$AE$9970,31,0)</f>
        <v>aws s3 cp s3://rtdc.mdm.uploadarchive.raw/RTDC4014/ "%USERPROFILE%\AppData\Local\Temp\OnboardLogs"\RTDC4014\2016-12-17 --exclude "*" --recursive --include "*20161217*" &amp; "%USERPROFILE%\Documents\GitHub\mrs-test-scripts\Headless Mode &amp; Sideloading\WalkAndUnGZ.bat" "%USERPROFILE%\AppData\Local\Temp\OnboardLogs"\RTDC4014\2016-12-17 &amp; 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</v>
      </c>
      <c r="S29" s="103" t="str">
        <f>VLOOKUP(C29,'Train Runs'!$A$13:$AE$9970,22,0)</f>
        <v>https://search-rtdc-monitor-bjffxe2xuh6vdkpspy63sjmuny.us-east-1.es.amazonaws.com/_plugin/kibana/#/discover/Steve-Slow-Train-Analysis-(2080s-and-2083s)?_g=(refreshInterval:(display:Off,section:0,value:0),time:(from:'2016-12-17 07:03:14-700',mode:absolute,to:'2016-12-17 09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9" s="105" t="str">
        <f t="shared" si="1"/>
        <v>"C:\Program Files (x86)\AstroGrep\AstroGrep.exe" /spath="%USERPROFILE%\AppData\Local\Temp\OnboardLogs" /stypes="*4014*201612171*" /stext=" 15:.+((SYSTEM_STATE.+slice.+state.+changed )|(ment ac)|(multiple cpu faults)|(system.+state.+changed )|(\[timeout)|(PRM\|1\|D)|(kpr)|(kdp)|(\|lc)|(penalty))" /e /r /s</v>
      </c>
      <c r="U29" s="9" t="str">
        <f t="shared" si="2"/>
        <v>4014</v>
      </c>
      <c r="V29" s="36">
        <f t="shared" si="3"/>
        <v>42721.62568287037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{"issue":{"subject":"EC1497RH 143-1T 1N STOP","project_id":79,"tracker_id":40,"status_id":1,"priority_id":2,"assigned_to_id":23,"start_date":"2016-12-17","description":"","custom_fields":[{"id":1,"name":"Subdivision","value":"EC"},{"id":4,"name":"Milepost","value":"14.9694"},{"id":17,"name":"Train ID","value":"129-17"},{"id":16,"name":"Locomotive ID","value":"4014"},{"id":130,"name":"Impact","value":""},{"id":150,"name":"Time of Event (Mountain Time)","value":"08:00:59"},{"id":151,"name":"Denver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"%USERPROFILE%\AppData\Local\Temp\OnboardLogs"\RTDC4014\*4014*201612171*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"%USERPROFILE%\AppData\Local\Temp\OnboardLogs"\RTDC4014\*4014*201612171* &gt;&gt; 42721-slicedisagreementcheck.txt</v>
      </c>
    </row>
    <row r="30" spans="1:30" x14ac:dyDescent="0.25">
      <c r="A30" s="36">
        <v>42721.483483796299</v>
      </c>
      <c r="B30" s="31" t="s">
        <v>229</v>
      </c>
      <c r="C30" s="31" t="s">
        <v>560</v>
      </c>
      <c r="D30" s="31" t="s">
        <v>49</v>
      </c>
      <c r="E30" s="31" t="s">
        <v>198</v>
      </c>
      <c r="F30" s="47">
        <v>0</v>
      </c>
      <c r="G30" s="47">
        <v>541</v>
      </c>
      <c r="H30" s="47">
        <v>221287</v>
      </c>
      <c r="I30" s="47">
        <v>223256</v>
      </c>
      <c r="J30" s="31" t="s">
        <v>199</v>
      </c>
      <c r="K30" s="47">
        <v>224231</v>
      </c>
      <c r="L30" s="154" t="s">
        <v>50</v>
      </c>
      <c r="M30" s="155">
        <f t="shared" si="0"/>
        <v>514.79999999999995</v>
      </c>
      <c r="N30" s="156" t="str">
        <f>VLOOKUP(C30,'Trips&amp;Operators'!$C$1:$G$99999,5,FALSE)</f>
        <v>HOLCOMB KAMDEN</v>
      </c>
      <c r="O30" s="182" t="s">
        <v>195</v>
      </c>
      <c r="P30" s="157" t="s">
        <v>1006</v>
      </c>
      <c r="Q30" s="31"/>
      <c r="R30" s="100" t="str">
        <f>VLOOKUP(C30,'Train Runs'!$A$13:$AE$9970,31,0)</f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S30" s="103" t="str">
        <f>VLOOKUP(C30,'Train Runs'!$A$13:$AE$9970,22,0)</f>
        <v>https://search-rtdc-monitor-bjffxe2xuh6vdkpspy63sjmuny.us-east-1.es.amazonaws.com/_plugin/kibana/#/discover/Steve-Slow-Train-Analysis-(2080s-and-2083s)?_g=(refreshInterval:(display:Off,section:0,value:0),time:(from:'2016-12-17 09:53:15-700',mode:absolute,to:'2016-12-17 12:42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0" s="105" t="str">
        <f t="shared" si="1"/>
        <v>"C:\Program Files (x86)\AstroGrep\AstroGrep.exe" /spath="%USERPROFILE%\AppData\Local\Temp\OnboardLogs" /stypes="*4046*201612171*" /stext=" 18:.+((SYSTEM_STATE.+slice.+state.+changed )|(ment ac)|(multiple cpu faults)|(system.+state.+changed )|(\[timeout)|(PRM\|1\|D)|(kpr)|(kdp)|(\|lc)|(penalty))" /e /r /s</v>
      </c>
      <c r="U30" s="9" t="str">
        <f t="shared" si="2"/>
        <v>4046</v>
      </c>
      <c r="V30" s="36">
        <f t="shared" si="3"/>
        <v>42721.775150462963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{"issue":{"subject":"EC2241RH 219-1T 1N STOP","project_id":79,"tracker_id":40,"status_id":1,"priority_id":2,"assigned_to_id":23,"start_date":"2016-12-17","description":"","custom_fields":[{"id":1,"name":"Subdivision","value":"EC"},{"id":4,"name":"Milepost","value":"22.4231"},{"id":17,"name":"Train ID","value":"159-17"},{"id":16,"name":"Locomotive ID","value":"4046"},{"id":130,"name":"Impact","value":""},{"id":150,"name":"Time of Event (Mountain Time)","value":"11:36:13"},{"id":151,"name":"Denver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"%USERPROFILE%\AppData\Local\Temp\OnboardLogs"\RTDC4046\*4046*201612171*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"%USERPROFILE%\AppData\Local\Temp\OnboardLogs"\RTDC4046\*4046*201612171* &gt;&gt; 42721-slicedisagreementcheck.txt</v>
      </c>
    </row>
    <row r="31" spans="1:30" x14ac:dyDescent="0.25">
      <c r="A31" s="36">
        <v>42721.849733796298</v>
      </c>
      <c r="B31" s="31" t="s">
        <v>317</v>
      </c>
      <c r="C31" s="31" t="s">
        <v>580</v>
      </c>
      <c r="D31" s="31" t="s">
        <v>49</v>
      </c>
      <c r="E31" s="31" t="s">
        <v>198</v>
      </c>
      <c r="F31" s="47">
        <v>0</v>
      </c>
      <c r="G31" s="47">
        <v>165</v>
      </c>
      <c r="H31" s="47">
        <v>224680</v>
      </c>
      <c r="I31" s="47">
        <v>224417</v>
      </c>
      <c r="J31" s="31" t="s">
        <v>199</v>
      </c>
      <c r="K31" s="47">
        <v>224244</v>
      </c>
      <c r="L31" s="154" t="s">
        <v>51</v>
      </c>
      <c r="M31" s="155">
        <f t="shared" si="0"/>
        <v>91.343999999999994</v>
      </c>
      <c r="N31" s="156" t="str">
        <f>VLOOKUP(C31,'Trips&amp;Operators'!$C$1:$G$99999,5,FALSE)</f>
        <v>STAMBAUGH JAMES</v>
      </c>
      <c r="O31" s="182" t="s">
        <v>195</v>
      </c>
      <c r="P31" s="157" t="s">
        <v>1007</v>
      </c>
      <c r="Q31" s="31"/>
      <c r="R31" s="100" t="str">
        <f>VLOOKUP(C31,'Train Runs'!$A$13:$AE$9970,31,0)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S31" s="103" t="str">
        <f>VLOOKUP(C31,'Train Runs'!$A$13:$AE$9970,22,0)</f>
        <v>https://search-rtdc-monitor-bjffxe2xuh6vdkpspy63sjmuny.us-east-1.es.amazonaws.com/_plugin/kibana/#/discover/Steve-Slow-Train-Analysis-(2080s-and-2083s)?_g=(refreshInterval:(display:Off,section:0,value:0),time:(from:'2016-12-17 19:21:33-700',mode:absolute,to:'2016-12-17 22:09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1" s="105" t="str">
        <f t="shared" si="1"/>
        <v>"C:\Program Files (x86)\AstroGrep\AstroGrep.exe" /spath="%USERPROFILE%\AppData\Local\Temp\OnboardLogs" /stypes="*4017*201612180*" /stext=" 03:.+((SYSTEM_STATE.+slice.+state.+changed )|(ment ac)|(multiple cpu faults)|(system.+state.+changed )|(\[timeout)|(PRM\|1\|D)|(kpr)|(kdp)|(\|lc)|(penalty))" /e /r /s</v>
      </c>
      <c r="U31" s="9" t="str">
        <f t="shared" si="2"/>
        <v>4017</v>
      </c>
      <c r="V31" s="36">
        <f t="shared" si="3"/>
        <v>42722.141400462962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{"issue":{"subject":"EC2241RH 225-1T 1S STOP","project_id":79,"tracker_id":40,"status_id":1,"priority_id":2,"assigned_to_id":23,"start_date":"2016-12-17","description":"","custom_fields":[{"id":1,"name":"Subdivision","value":"EC"},{"id":4,"name":"Milepost","value":"22.4244"},{"id":17,"name":"Train ID","value":"220-17"},{"id":16,"name":"Locomotive ID","value":"4017"},{"id":130,"name":"Impact","value":""},{"id":150,"name":"Time of Event (Mountain Time)","value":"20:23:37"},{"id":151,"name":"Denver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"%USERPROFILE%\AppData\Local\Temp\OnboardLogs"\RTDC4017\*4017*201612180*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"%USERPROFILE%\AppData\Local\Temp\OnboardLogs"\RTDC4017\*4017*201612180* &gt;&gt; 42721-slicedisagreementcheck.txt</v>
      </c>
    </row>
    <row r="32" spans="1:30" x14ac:dyDescent="0.25">
      <c r="A32" s="36">
        <v>42721.980578703704</v>
      </c>
      <c r="B32" s="31" t="s">
        <v>244</v>
      </c>
      <c r="C32" s="31" t="s">
        <v>585</v>
      </c>
      <c r="D32" s="31" t="s">
        <v>49</v>
      </c>
      <c r="E32" s="31" t="s">
        <v>462</v>
      </c>
      <c r="F32" s="47">
        <v>0</v>
      </c>
      <c r="G32" s="47">
        <v>145</v>
      </c>
      <c r="H32" s="47">
        <v>1614</v>
      </c>
      <c r="I32" s="47">
        <v>1865</v>
      </c>
      <c r="J32" s="31" t="s">
        <v>463</v>
      </c>
      <c r="K32" s="47">
        <v>1692</v>
      </c>
      <c r="L32" s="154" t="s">
        <v>50</v>
      </c>
      <c r="M32" s="155">
        <f t="shared" si="0"/>
        <v>-91.343999999999994</v>
      </c>
      <c r="N32" s="156" t="str">
        <f>VLOOKUP(C32,'Trips&amp;Operators'!$C$1:$G$99999,5,FALSE)</f>
        <v>LEVIN SCOTT</v>
      </c>
      <c r="O32" s="182" t="s">
        <v>227</v>
      </c>
      <c r="P32" s="157" t="s">
        <v>985</v>
      </c>
      <c r="Q32" s="31"/>
      <c r="R32" s="100" t="str">
        <f>VLOOKUP(C32,'Train Runs'!$A$13:$AE$9970,31,0)</f>
        <v>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 &amp; aws s3 cp s3://rtdc.mdm.uploadarchive.raw/RTDC4016/ "%USERPROFILE%\AppData\Local\Temp\OnboardLogs"\RTDC4016\2016-12-18 --exclude "*" --recursive --include "*20161218*" &amp; "%USERPROFILE%\Documents\GitHub\mrs-test-scripts\Headless Mode &amp; Sideloading\WalkAndUnGZ.bat" "%USERPROFILE%\AppData\Local\Temp\OnboardLogs"\RTDC4016\2016-12-18</v>
      </c>
      <c r="S32" s="103" t="str">
        <f>VLOOKUP(C32,'Train Runs'!$A$13:$AE$9970,22,0)</f>
        <v>https://search-rtdc-monitor-bjffxe2xuh6vdkpspy63sjmuny.us-east-1.es.amazonaws.com/_plugin/kibana/#/discover/Steve-Slow-Train-Analysis-(2080s-and-2083s)?_g=(refreshInterval:(display:Off,section:0,value:0),time:(from:'2016-12-17 22:37:43-700',mode:absolute,to:'2016-12-18 01:32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2" s="105" t="str">
        <f t="shared" si="1"/>
        <v>"C:\Program Files (x86)\AstroGrep\AstroGrep.exe" /spath="%USERPROFILE%\AppData\Local\Temp\OnboardLogs" /stypes="*4016*201612180*" /stext=" 06:.+((SYSTEM_STATE.+slice.+state.+changed )|(ment ac)|(multiple cpu faults)|(system.+state.+changed )|(\[timeout)|(PRM\|1\|D)|(kpr)|(kdp)|(\|lc)|(penalty))" /e /r /s</v>
      </c>
      <c r="U32" s="9" t="str">
        <f t="shared" si="2"/>
        <v>4016</v>
      </c>
      <c r="V32" s="36">
        <f t="shared" si="3"/>
        <v>42722.272245370368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{"issue":{"subject":"Onboard in-route failure","project_id":79,"tracker_id":40,"status_id":1,"priority_id":2,"assigned_to_id":23,"start_date":"2016-12-17","description":"","custom_fields":[{"id":1,"name":"Subdivision","value":"EC"},{"id":4,"name":"Milepost","value":"0.1692"},{"id":17,"name":"Train ID","value":"239-17"},{"id":16,"name":"Locomotive ID","value":"4016"},{"id":130,"name":"Impact","value":""},{"id":150,"name":"Time of Event (Mountain Time)","value":"23:32:02"},{"id":151,"name":"Denver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"%USERPROFILE%\AppData\Local\Temp\OnboardLogs"\RTDC4016\*4016*201612180*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"%USERPROFILE%\AppData\Local\Temp\OnboardLogs"\RTDC4016\*4016*201612180* &gt;&gt; 42721-slicedisagreementcheck.txt</v>
      </c>
    </row>
    <row r="33" spans="1:30" x14ac:dyDescent="0.25">
      <c r="A33" s="36">
        <v>42721.973587962966</v>
      </c>
      <c r="B33" s="31" t="s">
        <v>263</v>
      </c>
      <c r="C33" s="31" t="s">
        <v>583</v>
      </c>
      <c r="D33" s="31" t="s">
        <v>98</v>
      </c>
      <c r="E33" s="31" t="s">
        <v>462</v>
      </c>
      <c r="F33" s="47">
        <v>0</v>
      </c>
      <c r="G33" s="47">
        <v>353</v>
      </c>
      <c r="H33" s="47">
        <v>15070</v>
      </c>
      <c r="I33" s="47">
        <v>14109</v>
      </c>
      <c r="J33" s="31" t="s">
        <v>463</v>
      </c>
      <c r="K33" s="47">
        <v>17100</v>
      </c>
      <c r="L33" s="154" t="s">
        <v>51</v>
      </c>
      <c r="M33" s="155">
        <f t="shared" si="0"/>
        <v>-1579.248</v>
      </c>
      <c r="N33" s="156" t="str">
        <f>VLOOKUP(C33,'Trips&amp;Operators'!$C$1:$G$99999,5,FALSE)</f>
        <v>LEVIN SCOTT</v>
      </c>
      <c r="O33" s="182" t="s">
        <v>227</v>
      </c>
      <c r="P33" s="157" t="s">
        <v>985</v>
      </c>
      <c r="Q33" s="31"/>
      <c r="R33" s="100" t="str">
        <f>VLOOKUP(C33,'Train Runs'!$A$13:$AE$9970,31,0)</f>
        <v>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 &amp; aws s3 cp s3://rtdc.mdm.uploadarchive.raw/RTDC4015/ "%USERPROFILE%\AppData\Local\Temp\OnboardLogs"\RTDC4015\2016-12-18 --exclude "*" --recursive --include "*20161218*" &amp; "%USERPROFILE%\Documents\GitHub\mrs-test-scripts\Headless Mode &amp; Sideloading\WalkAndUnGZ.bat" "%USERPROFILE%\AppData\Local\Temp\OnboardLogs"\RTDC4015\2016-12-18</v>
      </c>
      <c r="S33" s="103" t="str">
        <f>VLOOKUP(C33,'Train Runs'!$A$13:$AE$9970,22,0)</f>
        <v>https://search-rtdc-monitor-bjffxe2xuh6vdkpspy63sjmuny.us-east-1.es.amazonaws.com/_plugin/kibana/#/discover/Steve-Slow-Train-Analysis-(2080s-and-2083s)?_g=(refreshInterval:(display:Off,section:0,value:0),time:(from:'2016-12-17 21:02:10-700',mode:absolute,to:'2016-12-18 00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3" s="105" t="str">
        <f t="shared" si="1"/>
        <v>"C:\Program Files (x86)\AstroGrep\AstroGrep.exe" /spath="%USERPROFILE%\AppData\Local\Temp\OnboardLogs" /stypes="*4015*201612180*" /stext=" 06:.+((SYSTEM_STATE.+slice.+state.+changed )|(ment ac)|(multiple cpu faults)|(system.+state.+changed )|(\[timeout)|(PRM\|1\|D)|(kpr)|(kdp)|(\|lc)|(penalty))" /e /r /s</v>
      </c>
      <c r="U33" s="9" t="str">
        <f t="shared" si="2"/>
        <v>4015</v>
      </c>
      <c r="V33" s="36">
        <f t="shared" si="3"/>
        <v>42722.26525462963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{"issue":{"subject":"Onboard in-route failure","project_id":79,"tracker_id":40,"status_id":1,"priority_id":2,"assigned_to_id":23,"start_date":"2016-12-17","description":"","custom_fields":[{"id":1,"name":"Subdivision","value":"EC"},{"id":4,"name":"Milepost","value":"1.71"},{"id":17,"name":"Train ID","value":"230-17"},{"id":16,"name":"Locomotive ID","value":"4015"},{"id":130,"name":"Impact","value":""},{"id":150,"name":"Time of Event (Mountain Time)","value":"23:21:58"},{"id":151,"name":"Denver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"%USERPROFILE%\AppData\Local\Temp\OnboardLogs"\RTDC4015\*4015*201612180*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"%USERPROFILE%\AppData\Local\Temp\OnboardLogs"\RTDC4015\*4015*201612180* &gt;&gt; 42721-slicedisagreementcheck.txt</v>
      </c>
    </row>
    <row r="34" spans="1:30" x14ac:dyDescent="0.25">
      <c r="A34" s="36">
        <v>42721.217037037037</v>
      </c>
      <c r="B34" s="31" t="s">
        <v>233</v>
      </c>
      <c r="C34" s="31" t="s">
        <v>536</v>
      </c>
      <c r="D34" s="31" t="s">
        <v>49</v>
      </c>
      <c r="E34" s="31" t="s">
        <v>462</v>
      </c>
      <c r="F34" s="47">
        <v>0</v>
      </c>
      <c r="G34" s="47">
        <v>400</v>
      </c>
      <c r="H34" s="47">
        <v>60122</v>
      </c>
      <c r="I34" s="47">
        <v>58835</v>
      </c>
      <c r="J34" s="31" t="s">
        <v>463</v>
      </c>
      <c r="K34" s="47">
        <v>57801</v>
      </c>
      <c r="L34" s="154" t="s">
        <v>51</v>
      </c>
      <c r="M34" s="155">
        <f t="shared" si="0"/>
        <v>545.952</v>
      </c>
      <c r="N34" s="156" t="str">
        <f>VLOOKUP(C34,'Trips&amp;Operators'!$C$1:$G$99999,5,FALSE)</f>
        <v>ROBINSON KADDIBA</v>
      </c>
      <c r="O34" s="182" t="s">
        <v>227</v>
      </c>
      <c r="P34" s="157" t="s">
        <v>978</v>
      </c>
      <c r="Q34" s="31"/>
      <c r="R34" s="100" t="str">
        <f>VLOOKUP(C34,'Train Runs'!$A$13:$AE$9970,31,0)</f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S34" s="103" t="str">
        <f>VLOOKUP(C34,'Train Runs'!$A$13:$AE$9970,22,0)</f>
        <v>https://search-rtdc-monitor-bjffxe2xuh6vdkpspy63sjmuny.us-east-1.es.amazonaws.com/_plugin/kibana/#/discover/Steve-Slow-Train-Analysis-(2080s-and-2083s)?_g=(refreshInterval:(display:Off,section:0,value:0),time:(from:'2016-12-17 03:41:03-700',mode:absolute,to:'2016-12-17 06:12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4" s="105" t="str">
        <f t="shared" si="1"/>
        <v>"C:\Program Files (x86)\AstroGrep\AstroGrep.exe" /spath="%USERPROFILE%\AppData\Local\Temp\OnboardLogs" /stypes="*4041*201612171*" /stext=" 12:.+((SYSTEM_STATE.+slice.+state.+changed )|(ment ac)|(multiple cpu faults)|(system.+state.+changed )|(\[timeout)|(PRM\|1\|D)|(kpr)|(kdp)|(\|lc)|(penalty))" /e /r /s</v>
      </c>
      <c r="U34" s="9" t="str">
        <f t="shared" si="2"/>
        <v>4041</v>
      </c>
      <c r="V34" s="36">
        <f t="shared" si="3"/>
        <v>42721.508703703701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{"issue":{"subject":"Wi-MAX data drop","project_id":79,"tracker_id":40,"status_id":1,"priority_id":2,"assigned_to_id":23,"start_date":"2016-12-17","description":"","custom_fields":[{"id":1,"name":"Subdivision","value":"EC"},{"id":4,"name":"Milepost","value":"5.7801"},{"id":17,"name":"Train ID","value":"104-17"},{"id":16,"name":"Locomotive ID","value":"4041"},{"id":130,"name":"Impact","value":""},{"id":150,"name":"Time of Event (Mountain Time)","value":"05:12:32"},{"id":151,"name":"Denver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"%USERPROFILE%\AppData\Local\Temp\OnboardLogs"\RTDC4041\*4041*201612171*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"%USERPROFILE%\AppData\Local\Temp\OnboardLogs"\RTDC4041\*4041*201612171* &gt;&gt; 42721-slicedisagreementcheck.txt</v>
      </c>
    </row>
    <row r="35" spans="1:30" x14ac:dyDescent="0.25">
      <c r="A35" s="36">
        <v>42721.502303240741</v>
      </c>
      <c r="B35" s="31" t="s">
        <v>317</v>
      </c>
      <c r="C35" s="31" t="s">
        <v>561</v>
      </c>
      <c r="D35" s="31" t="s">
        <v>49</v>
      </c>
      <c r="E35" s="31" t="s">
        <v>264</v>
      </c>
      <c r="F35" s="47">
        <v>100</v>
      </c>
      <c r="G35" s="47">
        <v>212</v>
      </c>
      <c r="H35" s="47">
        <v>66954</v>
      </c>
      <c r="I35" s="47">
        <v>66596</v>
      </c>
      <c r="J35" s="31" t="s">
        <v>249</v>
      </c>
      <c r="K35" s="47">
        <v>66500</v>
      </c>
      <c r="L35" s="154" t="s">
        <v>51</v>
      </c>
      <c r="M35" s="155">
        <f t="shared" si="0"/>
        <v>50.688000000000002</v>
      </c>
      <c r="N35" s="156" t="str">
        <f>VLOOKUP(C35,'Trips&amp;Operators'!$C$1:$G$99999,5,FALSE)</f>
        <v>KILLION DAVID</v>
      </c>
      <c r="O35" s="182" t="s">
        <v>195</v>
      </c>
      <c r="P35" s="157"/>
      <c r="Q35" s="31"/>
      <c r="R35" s="100" t="str">
        <f>VLOOKUP(C35,'Train Runs'!$A$13:$AE$9970,31,0)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S35" s="103" t="str">
        <f>VLOOKUP(C35,'Train Runs'!$A$13:$AE$9970,22,0)</f>
        <v>https://search-rtdc-monitor-bjffxe2xuh6vdkpspy63sjmuny.us-east-1.es.amazonaws.com/_plugin/kibana/#/discover/Steve-Slow-Train-Analysis-(2080s-and-2083s)?_g=(refreshInterval:(display:Off,section:0,value:0),time:(from:'2016-12-17 10:32:42-700',mode:absolute,to:'2016-12-17 13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5" s="105" t="str">
        <f t="shared" si="1"/>
        <v>"C:\Program Files (x86)\AstroGrep\AstroGrep.exe" /spath="%USERPROFILE%\AppData\Local\Temp\OnboardLogs" /stypes="*4017*201612171*" /stext=" 19:.+((SYSTEM_STATE.+slice.+state.+changed )|(ment ac)|(multiple cpu faults)|(system.+state.+changed )|(\[timeout)|(PRM\|1\|D)|(kpr)|(kdp)|(\|lc)|(penalty))" /e /r /s</v>
      </c>
      <c r="U35" s="9" t="str">
        <f t="shared" si="2"/>
        <v>4017</v>
      </c>
      <c r="V35" s="36">
        <f t="shared" si="3"/>
        <v>42721.793969907405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{"issue":{"subject":"","project_id":79,"tracker_id":40,"status_id":1,"priority_id":2,"assigned_to_id":23,"start_date":"2016-12-17","description":"","custom_fields":[{"id":1,"name":"Subdivision","value":"EC"},{"id":4,"name":"Milepost","value":"6.65"},{"id":17,"name":"Train ID","value":"154-17"},{"id":16,"name":"Locomotive ID","value":"4017"},{"id":130,"name":"Impact","value":""},{"id":150,"name":"Time of Event (Mountain Time)","value":"12:03:19"},{"id":151,"name":"Denver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"%USERPROFILE%\AppData\Local\Temp\OnboardLogs"\RTDC4017\*4017*201612171*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"%USERPROFILE%\AppData\Local\Temp\OnboardLogs"\RTDC4017\*4017*201612171* &gt;&gt; 42721-slicedisagreementcheck.txt</v>
      </c>
    </row>
    <row r="36" spans="1:30" x14ac:dyDescent="0.25">
      <c r="A36" s="36">
        <v>42721.516087962962</v>
      </c>
      <c r="B36" s="31" t="s">
        <v>265</v>
      </c>
      <c r="C36" s="31" t="s">
        <v>562</v>
      </c>
      <c r="D36" s="31" t="s">
        <v>49</v>
      </c>
      <c r="E36" s="31" t="s">
        <v>264</v>
      </c>
      <c r="F36" s="47">
        <v>100</v>
      </c>
      <c r="G36" s="47">
        <v>270</v>
      </c>
      <c r="H36" s="47">
        <v>67338</v>
      </c>
      <c r="I36" s="47">
        <v>66782</v>
      </c>
      <c r="J36" s="31" t="s">
        <v>249</v>
      </c>
      <c r="K36" s="47">
        <v>66500</v>
      </c>
      <c r="L36" s="154" t="s">
        <v>51</v>
      </c>
      <c r="M36" s="155">
        <f t="shared" si="0"/>
        <v>148.89599999999999</v>
      </c>
      <c r="N36" s="156" t="str">
        <f>VLOOKUP(C36,'Trips&amp;Operators'!$C$1:$G$99999,5,FALSE)</f>
        <v>HOLCOMB KAMDEN</v>
      </c>
      <c r="O36" s="182" t="s">
        <v>195</v>
      </c>
      <c r="P36" s="157"/>
      <c r="Q36" s="31"/>
      <c r="R36" s="100" t="str">
        <f>VLOOKUP(C36,'Train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36" s="103" t="str">
        <f>VLOOKUP(C36,'Train Runs'!$A$13:$AE$9970,22,0)</f>
        <v>https://search-rtdc-monitor-bjffxe2xuh6vdkpspy63sjmuny.us-east-1.es.amazonaws.com/_plugin/kibana/#/discover/Steve-Slow-Train-Analysis-(2080s-and-2083s)?_g=(refreshInterval:(display:Off,section:0,value:0),time:(from:'2016-12-17 10:51:34-700',mode:absolute,to:'2016-12-17 13:41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6" s="105" t="str">
        <f t="shared" si="1"/>
        <v>"C:\Program Files (x86)\AstroGrep\AstroGrep.exe" /spath="%USERPROFILE%\AppData\Local\Temp\OnboardLogs" /stypes="*4045*201612171*" /stext=" 19:.+((SYSTEM_STATE.+slice.+state.+changed )|(ment ac)|(multiple cpu faults)|(system.+state.+changed )|(\[timeout)|(PRM\|1\|D)|(kpr)|(kdp)|(\|lc)|(penalty))" /e /r /s</v>
      </c>
      <c r="U36" s="9" t="str">
        <f t="shared" si="2"/>
        <v>4045</v>
      </c>
      <c r="V36" s="36">
        <f t="shared" si="3"/>
        <v>42721.807754629626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{"issue":{"subject":"","project_id":79,"tracker_id":40,"status_id":1,"priority_id":2,"assigned_to_id":23,"start_date":"2016-12-17","description":"","custom_fields":[{"id":1,"name":"Subdivision","value":"EC"},{"id":4,"name":"Milepost","value":"6.65"},{"id":17,"name":"Train ID","value":"160-17"},{"id":16,"name":"Locomotive ID","value":"4045"},{"id":130,"name":"Impact","value":""},{"id":150,"name":"Time of Event (Mountain Time)","value":"12:23:10"},{"id":151,"name":"Denver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"%USERPROFILE%\AppData\Local\Temp\OnboardLogs"\RTDC4045\*4045*201612171*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"%USERPROFILE%\AppData\Local\Temp\OnboardLogs"\RTDC4045\*4045*201612171* &gt;&gt; 42721-slicedisagreementcheck.txt</v>
      </c>
    </row>
    <row r="37" spans="1:30" x14ac:dyDescent="0.25">
      <c r="A37" s="36">
        <v>42721.592199074075</v>
      </c>
      <c r="B37" s="31" t="s">
        <v>265</v>
      </c>
      <c r="C37" s="31" t="s">
        <v>569</v>
      </c>
      <c r="D37" s="31" t="s">
        <v>49</v>
      </c>
      <c r="E37" s="31" t="s">
        <v>264</v>
      </c>
      <c r="F37" s="47">
        <v>100</v>
      </c>
      <c r="G37" s="47">
        <v>151</v>
      </c>
      <c r="H37" s="47">
        <v>66877</v>
      </c>
      <c r="I37" s="47">
        <v>66623</v>
      </c>
      <c r="J37" s="31" t="s">
        <v>249</v>
      </c>
      <c r="K37" s="47">
        <v>66500</v>
      </c>
      <c r="L37" s="154" t="s">
        <v>51</v>
      </c>
      <c r="M37" s="155">
        <f t="shared" si="0"/>
        <v>64.944000000000003</v>
      </c>
      <c r="N37" s="156" t="str">
        <f>VLOOKUP(C37,'Trips&amp;Operators'!$C$1:$G$99999,5,FALSE)</f>
        <v>HOLCOMB KAMDEN</v>
      </c>
      <c r="O37" s="182" t="s">
        <v>195</v>
      </c>
      <c r="P37" s="157"/>
      <c r="Q37" s="31"/>
      <c r="R37" s="100" t="str">
        <f>VLOOKUP(C37,'Train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37" s="103" t="str">
        <f>VLOOKUP(C37,'Train Runs'!$A$13:$AE$9970,22,0)</f>
        <v>https://search-rtdc-monitor-bjffxe2xuh6vdkpspy63sjmuny.us-east-1.es.amazonaws.com/_plugin/kibana/#/discover/Steve-Slow-Train-Analysis-(2080s-and-2083s)?_g=(refreshInterval:(display:Off,section:0,value:0),time:(from:'2016-12-17 12:40:59-700',mode:absolute,to:'2016-12-17 15:30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7" s="105" t="str">
        <f t="shared" si="1"/>
        <v>"C:\Program Files (x86)\AstroGrep\AstroGrep.exe" /spath="%USERPROFILE%\AppData\Local\Temp\OnboardLogs" /stypes="*4045*201612172*" /stext=" 21:.+((SYSTEM_STATE.+slice.+state.+changed )|(ment ac)|(multiple cpu faults)|(system.+state.+changed )|(\[timeout)|(PRM\|1\|D)|(kpr)|(kdp)|(\|lc)|(penalty))" /e /r /s</v>
      </c>
      <c r="U37" s="9" t="str">
        <f t="shared" si="2"/>
        <v>4045</v>
      </c>
      <c r="V37" s="36">
        <f t="shared" si="3"/>
        <v>42721.88386574074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{"issue":{"subject":"","project_id":79,"tracker_id":40,"status_id":1,"priority_id":2,"assigned_to_id":23,"start_date":"2016-12-17","description":"","custom_fields":[{"id":1,"name":"Subdivision","value":"EC"},{"id":4,"name":"Milepost","value":"6.65"},{"id":17,"name":"Train ID","value":"174-17"},{"id":16,"name":"Locomotive ID","value":"4045"},{"id":130,"name":"Impact","value":""},{"id":150,"name":"Time of Event (Mountain Time)","value":"14:12:46"},{"id":151,"name":"Denver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"%USERPROFILE%\AppData\Local\Temp\OnboardLogs"\RTDC4045\*4045*201612172*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"%USERPROFILE%\AppData\Local\Temp\OnboardLogs"\RTDC4045\*4045*201612172* &gt;&gt; 42721-slicedisagreementcheck.txt</v>
      </c>
    </row>
    <row r="38" spans="1:30" x14ac:dyDescent="0.25">
      <c r="A38" s="36">
        <v>42721.592893518522</v>
      </c>
      <c r="B38" s="31" t="s">
        <v>265</v>
      </c>
      <c r="C38" s="31" t="s">
        <v>569</v>
      </c>
      <c r="D38" s="31" t="s">
        <v>49</v>
      </c>
      <c r="E38" s="31" t="s">
        <v>264</v>
      </c>
      <c r="F38" s="47">
        <v>100</v>
      </c>
      <c r="G38" s="47">
        <v>151</v>
      </c>
      <c r="H38" s="47">
        <v>66877</v>
      </c>
      <c r="I38" s="47">
        <v>65965</v>
      </c>
      <c r="J38" s="31" t="s">
        <v>249</v>
      </c>
      <c r="K38" s="47">
        <v>66500</v>
      </c>
      <c r="L38" s="154" t="s">
        <v>51</v>
      </c>
      <c r="M38" s="155">
        <f t="shared" si="0"/>
        <v>-282.48</v>
      </c>
      <c r="N38" s="156" t="str">
        <f>VLOOKUP(C38,'Trips&amp;Operators'!$C$1:$G$99999,5,FALSE)</f>
        <v>HOLCOMB KAMDEN</v>
      </c>
      <c r="O38" s="182" t="s">
        <v>195</v>
      </c>
      <c r="P38" s="157"/>
      <c r="Q38" s="31"/>
      <c r="R38" s="100" t="str">
        <f>VLOOKUP(C38,'Train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38" s="103" t="str">
        <f>VLOOKUP(C38,'Train Runs'!$A$13:$AE$9970,22,0)</f>
        <v>https://search-rtdc-monitor-bjffxe2xuh6vdkpspy63sjmuny.us-east-1.es.amazonaws.com/_plugin/kibana/#/discover/Steve-Slow-Train-Analysis-(2080s-and-2083s)?_g=(refreshInterval:(display:Off,section:0,value:0),time:(from:'2016-12-17 12:40:59-700',mode:absolute,to:'2016-12-17 15:30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8" s="105" t="str">
        <f t="shared" si="1"/>
        <v>"C:\Program Files (x86)\AstroGrep\AstroGrep.exe" /spath="%USERPROFILE%\AppData\Local\Temp\OnboardLogs" /stypes="*4045*201612172*" /stext=" 21:.+((SYSTEM_STATE.+slice.+state.+changed )|(ment ac)|(multiple cpu faults)|(system.+state.+changed )|(\[timeout)|(PRM\|1\|D)|(kpr)|(kdp)|(\|lc)|(penalty))" /e /r /s</v>
      </c>
      <c r="U38" s="9" t="str">
        <f t="shared" si="2"/>
        <v>4045</v>
      </c>
      <c r="V38" s="36">
        <f t="shared" si="3"/>
        <v>42721.884560185186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{"issue":{"subject":"","project_id":79,"tracker_id":40,"status_id":1,"priority_id":2,"assigned_to_id":23,"start_date":"2016-12-17","description":"","custom_fields":[{"id":1,"name":"Subdivision","value":"EC"},{"id":4,"name":"Milepost","value":"6.65"},{"id":17,"name":"Train ID","value":"174-17"},{"id":16,"name":"Locomotive ID","value":"4045"},{"id":130,"name":"Impact","value":""},{"id":150,"name":"Time of Event (Mountain Time)","value":"14:13:46"},{"id":151,"name":"Denver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"%USERPROFILE%\AppData\Local\Temp\OnboardLogs"\RTDC4045\*4045*201612172*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"%USERPROFILE%\AppData\Local\Temp\OnboardLogs"\RTDC4045\*4045*201612172* &gt;&gt; 42721-slicedisagreementcheck.txt</v>
      </c>
    </row>
    <row r="39" spans="1:30" x14ac:dyDescent="0.25">
      <c r="A39" s="36">
        <v>42721.599016203705</v>
      </c>
      <c r="B39" s="31" t="s">
        <v>317</v>
      </c>
      <c r="C39" s="31" t="s">
        <v>570</v>
      </c>
      <c r="D39" s="31" t="s">
        <v>49</v>
      </c>
      <c r="E39" s="31" t="s">
        <v>264</v>
      </c>
      <c r="F39" s="47">
        <v>100</v>
      </c>
      <c r="G39" s="47">
        <v>291</v>
      </c>
      <c r="H39" s="47">
        <v>67444</v>
      </c>
      <c r="I39" s="47">
        <v>66756</v>
      </c>
      <c r="J39" s="31" t="s">
        <v>249</v>
      </c>
      <c r="K39" s="47">
        <v>66500</v>
      </c>
      <c r="L39" s="154" t="s">
        <v>51</v>
      </c>
      <c r="M39" s="155">
        <f t="shared" ref="M39:M70" si="8">CONVERT((I39-K39)/10000,"mi","ft")*IF(L39="Increasing Mileposts (1)",-1,1)</f>
        <v>135.16800000000001</v>
      </c>
      <c r="N39" s="156" t="str">
        <f>VLOOKUP(C39,'Trips&amp;Operators'!$C$1:$G$99999,5,FALSE)</f>
        <v>BARTLETT KIANDRA</v>
      </c>
      <c r="O39" s="182" t="s">
        <v>195</v>
      </c>
      <c r="P39" s="157"/>
      <c r="Q39" s="31"/>
      <c r="R39" s="100" t="str">
        <f>VLOOKUP(C39,'Train Runs'!$A$13:$AE$9970,31,0)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S39" s="103" t="str">
        <f>VLOOKUP(C39,'Train Runs'!$A$13:$AE$9970,22,0)</f>
        <v>https://search-rtdc-monitor-bjffxe2xuh6vdkpspy63sjmuny.us-east-1.es.amazonaws.com/_plugin/kibana/#/discover/Steve-Slow-Train-Analysis-(2080s-and-2083s)?_g=(refreshInterval:(display:Off,section:0,value:0),time:(from:'2016-12-17 12:54:21-700',mode:absolute,to:'2016-12-17 15:43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/stypes="*4017*201612172*" /stext=" 21:.+((SYSTEM_STATE.+slice.+state.+changed )|(ment ac)|(multiple cpu faults)|(system.+state.+changed )|(\[timeout)|(PRM\|1\|D)|(kpr)|(kdp)|(\|lc)|(penalty))" /e /r /s</v>
      </c>
      <c r="U39" s="9" t="str">
        <f t="shared" ref="U39:U70" si="10">MID(B39,13,4)</f>
        <v>4017</v>
      </c>
      <c r="V39" s="36">
        <f t="shared" ref="V39:V70" si="11">A39-utc_offset/24</f>
        <v>42721.890682870369</v>
      </c>
      <c r="W39" s="50" t="str">
        <f t="shared" ref="W39:W70" si="12">IF(VALUE(LEFT(IF(LEN(C39)=6,"0"&amp;C39,C39),2))&lt;=2,"EC",IF(OR(VALUE(LEFT(IF(LEN(C39)=6,"0"&amp;C39,C39),2))=8,VALUE(LEFT(IF(LEN(C39)=6,"0"&amp;C39,C39),2))=18),"NW","Other"))</f>
        <v>EC</v>
      </c>
      <c r="X39" s="50" t="str">
        <f t="shared" ref="X39:X70" si="13">IF(AND(E39="TRACK WARRANT AUTHORITY",G39&lt;10),"OMIT","KEEP")</f>
        <v>KEEP</v>
      </c>
      <c r="Y39" s="11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{"issue":{"subject":"","project_id":79,"tracker_id":40,"status_id":1,"priority_id":2,"assigned_to_id":23,"start_date":"2016-12-17","description":"","custom_fields":[{"id":1,"name":"Subdivision","value":"EC"},{"id":4,"name":"Milepost","value":"6.65"},{"id":17,"name":"Train ID","value":"176-17"},{"id":16,"name":"Locomotive ID","value":"4017"},{"id":130,"name":"Impact","value":""},{"id":150,"name":"Time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ref="AC39:AC70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"%USERPROFILE%\AppData\Local\Temp\OnboardLogs"\RTDC4017\*4017*201612172*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"%USERPROFILE%\AppData\Local\Temp\OnboardLogs"\RTDC4017\*4017*201612172* &gt;&gt; 42721-slicedisagreementcheck.txt</v>
      </c>
    </row>
    <row r="40" spans="1:30" x14ac:dyDescent="0.25">
      <c r="A40" s="36">
        <v>42721.269363425927</v>
      </c>
      <c r="B40" s="31" t="s">
        <v>317</v>
      </c>
      <c r="C40" s="31" t="s">
        <v>540</v>
      </c>
      <c r="D40" s="31" t="s">
        <v>49</v>
      </c>
      <c r="E40" s="31" t="s">
        <v>200</v>
      </c>
      <c r="F40" s="47">
        <v>0</v>
      </c>
      <c r="G40" s="47">
        <v>50</v>
      </c>
      <c r="H40" s="47">
        <v>189</v>
      </c>
      <c r="I40" s="47">
        <v>107</v>
      </c>
      <c r="J40" s="31" t="s">
        <v>201</v>
      </c>
      <c r="K40" s="47">
        <v>1</v>
      </c>
      <c r="L40" s="154" t="s">
        <v>51</v>
      </c>
      <c r="M40" s="155">
        <f t="shared" si="8"/>
        <v>55.968000000000004</v>
      </c>
      <c r="N40" s="156" t="str">
        <f>VLOOKUP(C40,'Trips&amp;Operators'!$C$1:$G$99999,5,FALSE)</f>
        <v>KILLION DAVID</v>
      </c>
      <c r="O40" s="182" t="s">
        <v>195</v>
      </c>
      <c r="P40" s="157"/>
      <c r="Q40" s="31"/>
      <c r="R40" s="100" t="str">
        <f>VLOOKUP(C40,'Train Runs'!$A$13:$AE$9970,31,0)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S40" s="103" t="str">
        <f>VLOOKUP(C40,'Train Runs'!$A$13:$AE$9970,22,0)</f>
        <v>https://search-rtdc-monitor-bjffxe2xuh6vdkpspy63sjmuny.us-east-1.es.amazonaws.com/_plugin/kibana/#/discover/Steve-Slow-Train-Analysis-(2080s-and-2083s)?_g=(refreshInterval:(display:Off,section:0,value:0),time:(from:'2016-12-17 04:34:37-700',mode:absolute,to:'2016-12-17 07:27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0" s="105" t="str">
        <f t="shared" si="9"/>
        <v>"C:\Program Files (x86)\AstroGrep\AstroGrep.exe" /spath="%USERPROFILE%\AppData\Local\Temp\OnboardLogs" /stypes="*4017*201612171*" /stext=" 13:.+((SYSTEM_STATE.+slice.+state.+changed )|(ment ac)|(multiple cpu faults)|(system.+state.+changed )|(\[timeout)|(PRM\|1\|D)|(kpr)|(kdp)|(\|lc)|(penalty))" /e /r /s</v>
      </c>
      <c r="U40" s="9" t="str">
        <f t="shared" si="10"/>
        <v>4017</v>
      </c>
      <c r="V40" s="36">
        <f t="shared" si="11"/>
        <v>42721.561030092591</v>
      </c>
      <c r="W40" s="50" t="str">
        <f t="shared" si="12"/>
        <v>EC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ID","value":"110-17"},{"id":16,"name":"Locomotive ID","value":"4017"},{"id":130,"name":"Impact","value":""},{"id":150,"name":"Time of Event (Mountain Time)","value":"06:27:53"},{"id":151,"name":"Denver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"%USERPROFILE%\AppData\Local\Temp\OnboardLogs"\RTDC4017\*4017*201612171*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"%USERPROFILE%\AppData\Local\Temp\OnboardLogs"\RTDC4017\*4017*201612171* &gt;&gt; 42721-slicedisagreementcheck.txt</v>
      </c>
    </row>
    <row r="41" spans="1:30" x14ac:dyDescent="0.25">
      <c r="A41" s="36">
        <v>42721.279189814813</v>
      </c>
      <c r="B41" s="31" t="s">
        <v>541</v>
      </c>
      <c r="C41" s="31" t="s">
        <v>542</v>
      </c>
      <c r="D41" s="31" t="s">
        <v>49</v>
      </c>
      <c r="E41" s="31" t="s">
        <v>200</v>
      </c>
      <c r="F41" s="47">
        <v>0</v>
      </c>
      <c r="G41" s="47">
        <v>61</v>
      </c>
      <c r="H41" s="47">
        <v>205</v>
      </c>
      <c r="I41" s="47">
        <v>109</v>
      </c>
      <c r="J41" s="31" t="s">
        <v>201</v>
      </c>
      <c r="K41" s="47">
        <v>1</v>
      </c>
      <c r="L41" s="154" t="s">
        <v>51</v>
      </c>
      <c r="M41" s="155">
        <f t="shared" si="8"/>
        <v>57.024000000000001</v>
      </c>
      <c r="N41" s="156" t="str">
        <f>VLOOKUP(C41,'Trips&amp;Operators'!$C$1:$G$99999,5,FALSE)</f>
        <v>GEBRETEKLE DAGNEW</v>
      </c>
      <c r="O41" s="182" t="s">
        <v>195</v>
      </c>
      <c r="P41" s="157"/>
      <c r="Q41" s="31"/>
      <c r="R41" s="100" t="str">
        <f>VLOOKUP(C41,'Train Runs'!$A$13:$AE$9970,31,0)</f>
        <v>aws s3 cp s3://rtdc.mdm.uploadarchive.raw/RTDC4043/ "%USERPROFILE%\AppData\Local\Temp\OnboardLogs"\RTDC4043\2016-12-17 --exclude "*" --recursive --include "*20161217*" &amp; "%USERPROFILE%\Documents\GitHub\mrs-test-scripts\Headless Mode &amp; Sideloading\WalkAndUnGZ.bat" "%USERPROFILE%\AppData\Local\Temp\OnboardLogs"\RTDC4043\2016-12-17 &amp; aws s3 cp s3://rtdc.mdm.uploadarchive.raw/RTDC4043/ "%USERPROFILE%\AppData\Local\Temp\OnboardLogs"\RTDC4043\2016-12-18 --exclude "*" --recursive --include "*20161218*" &amp; "%USERPROFILE%\Documents\GitHub\mrs-test-scripts\Headless Mode &amp; Sideloading\WalkAndUnGZ.bat" "%USERPROFILE%\AppData\Local\Temp\OnboardLogs"\RTDC4043\2016-12-18</v>
      </c>
      <c r="S41" s="103" t="str">
        <f>VLOOKUP(C41,'Train Runs'!$A$13:$AE$9970,22,0)</f>
        <v>https://search-rtdc-monitor-bjffxe2xuh6vdkpspy63sjmuny.us-east-1.es.amazonaws.com/_plugin/kibana/#/discover/Steve-Slow-Train-Analysis-(2080s-and-2083s)?_g=(refreshInterval:(display:Off,section:0,value:0),time:(from:'2016-12-17 04:50:49-700',mode:absolute,to:'2016-12-17 07:42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1" s="105" t="str">
        <f t="shared" si="9"/>
        <v>"C:\Program Files (x86)\AstroGrep\AstroGrep.exe" /spath="%USERPROFILE%\AppData\Local\Temp\OnboardLogs" /stypes="*4043*201612171*" /stext=" 13:.+((SYSTEM_STATE.+slice.+state.+changed )|(ment ac)|(multiple cpu faults)|(system.+state.+changed )|(\[timeout)|(PRM\|1\|D)|(kpr)|(kdp)|(\|lc)|(penalty))" /e /r /s</v>
      </c>
      <c r="U41" s="9" t="str">
        <f t="shared" si="10"/>
        <v>4043</v>
      </c>
      <c r="V41" s="36">
        <f t="shared" si="11"/>
        <v>42721.570856481478</v>
      </c>
      <c r="W41" s="50" t="str">
        <f t="shared" si="12"/>
        <v>EC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ID","value":"112-17"},{"id":16,"name":"Locomotive ID","value":"4043"},{"id":130,"name":"Impact","value":""},{"id":150,"name":"Time of Event (Mountain Time)","value":"06:42:02"},{"id":151,"name":"Denver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"%USERPROFILE%\AppData\Local\Temp\OnboardLogs"\RTDC4043\*4043*201612171*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"%USERPROFILE%\AppData\Local\Temp\OnboardLogs"\RTDC4043\*4043*201612171* &gt;&gt; 42721-slicedisagreementcheck.txt</v>
      </c>
    </row>
    <row r="42" spans="1:30" x14ac:dyDescent="0.25">
      <c r="A42" s="36">
        <v>42721.296319444446</v>
      </c>
      <c r="B42" s="31" t="s">
        <v>290</v>
      </c>
      <c r="C42" s="31" t="s">
        <v>544</v>
      </c>
      <c r="D42" s="31" t="s">
        <v>49</v>
      </c>
      <c r="E42" s="31" t="s">
        <v>200</v>
      </c>
      <c r="F42" s="47">
        <v>0</v>
      </c>
      <c r="G42" s="47">
        <v>43</v>
      </c>
      <c r="H42" s="47">
        <v>149</v>
      </c>
      <c r="I42" s="47">
        <v>109</v>
      </c>
      <c r="J42" s="31" t="s">
        <v>201</v>
      </c>
      <c r="K42" s="47">
        <v>1</v>
      </c>
      <c r="L42" s="154" t="s">
        <v>51</v>
      </c>
      <c r="M42" s="155">
        <f t="shared" si="8"/>
        <v>57.024000000000001</v>
      </c>
      <c r="N42" s="156" t="str">
        <f>VLOOKUP(C42,'Trips&amp;Operators'!$C$1:$G$99999,5,FALSE)</f>
        <v>MAELZER KURT</v>
      </c>
      <c r="O42" s="182" t="s">
        <v>195</v>
      </c>
      <c r="P42" s="157"/>
      <c r="Q42" s="31"/>
      <c r="R42" s="100" t="str">
        <f>VLOOKUP(C42,'Train Runs'!$A$13:$AE$9970,31,0)</f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S42" s="103" t="str">
        <f>VLOOKUP(C42,'Train Runs'!$A$13:$AE$9970,22,0)</f>
        <v>https://search-rtdc-monitor-bjffxe2xuh6vdkpspy63sjmuny.us-east-1.es.amazonaws.com/_plugin/kibana/#/discover/Steve-Slow-Train-Analysis-(2080s-and-2083s)?_g=(refreshInterval:(display:Off,section:0,value:0),time:(from:'2016-12-17 05:06:35-700',mode:absolute,to:'2016-12-17 08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2" s="105" t="str">
        <f t="shared" si="9"/>
        <v>"C:\Program Files (x86)\AstroGrep\AstroGrep.exe" /spath="%USERPROFILE%\AppData\Local\Temp\OnboardLogs" /stypes="*4013*201612171*" /stext=" 14:.+((SYSTEM_STATE.+slice.+state.+changed )|(ment ac)|(multiple cpu faults)|(system.+state.+changed )|(\[timeout)|(PRM\|1\|D)|(kpr)|(kdp)|(\|lc)|(penalty))" /e /r /s</v>
      </c>
      <c r="U42" s="9" t="str">
        <f t="shared" si="10"/>
        <v>4013</v>
      </c>
      <c r="V42" s="36">
        <f t="shared" si="11"/>
        <v>42721.58798611111</v>
      </c>
      <c r="W42" s="50" t="str">
        <f t="shared" si="12"/>
        <v>EC</v>
      </c>
      <c r="X42" s="50" t="str">
        <f t="shared" si="13"/>
        <v>KEEP</v>
      </c>
      <c r="Y42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ID","value":"114-17"},{"id":16,"name":"Locomotive ID","value":"4013"},{"id":130,"name":"Impact","value":""},{"id":150,"name":"Time of Event (Mountain Time)","value":"07:06:42"},{"id":151,"name":"Denver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"%USERPROFILE%\AppData\Local\Temp\OnboardLogs"\RTDC4013\*4013*201612171*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"%USERPROFILE%\AppData\Local\Temp\OnboardLogs"\RTDC4013\*4013*201612171* &gt;&gt; 42721-slicedisagreementcheck.txt</v>
      </c>
    </row>
    <row r="43" spans="1:30" x14ac:dyDescent="0.25">
      <c r="A43" s="36">
        <v>42721.340092592596</v>
      </c>
      <c r="B43" s="31" t="s">
        <v>256</v>
      </c>
      <c r="C43" s="31" t="s">
        <v>550</v>
      </c>
      <c r="D43" s="31" t="s">
        <v>49</v>
      </c>
      <c r="E43" s="31" t="s">
        <v>200</v>
      </c>
      <c r="F43" s="47">
        <v>0</v>
      </c>
      <c r="G43" s="47">
        <v>59</v>
      </c>
      <c r="H43" s="47">
        <v>187</v>
      </c>
      <c r="I43" s="47">
        <v>98</v>
      </c>
      <c r="J43" s="31" t="s">
        <v>201</v>
      </c>
      <c r="K43" s="47">
        <v>1</v>
      </c>
      <c r="L43" s="154" t="s">
        <v>51</v>
      </c>
      <c r="M43" s="155">
        <f t="shared" si="8"/>
        <v>51.216000000000001</v>
      </c>
      <c r="N43" s="156" t="str">
        <f>VLOOKUP(C43,'Trips&amp;Operators'!$C$1:$G$99999,5,FALSE)</f>
        <v>DAVIS WENDY</v>
      </c>
      <c r="O43" s="182" t="s">
        <v>195</v>
      </c>
      <c r="P43" s="157"/>
      <c r="Q43" s="31"/>
      <c r="R43" s="100" t="str">
        <f>VLOOKUP(C43,'Train Runs'!$A$13:$AE$9970,31,0)</f>
        <v>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 &amp; aws s3 cp s3://rtdc.mdm.uploadarchive.raw/RTDC4019/ "%USERPROFILE%\AppData\Local\Temp\OnboardLogs"\RTDC4019\2016-12-18 --exclude "*" --recursive --include "*20161218*" &amp; "%USERPROFILE%\Documents\GitHub\mrs-test-scripts\Headless Mode &amp; Sideloading\WalkAndUnGZ.bat" "%USERPROFILE%\AppData\Local\Temp\OnboardLogs"\RTDC4019\2016-12-18</v>
      </c>
      <c r="S43" s="103" t="str">
        <f>VLOOKUP(C43,'Train Runs'!$A$13:$AE$9970,22,0)</f>
        <v>https://search-rtdc-monitor-bjffxe2xuh6vdkpspy63sjmuny.us-east-1.es.amazonaws.com/_plugin/kibana/#/discover/Steve-Slow-Train-Analysis-(2080s-and-2083s)?_g=(refreshInterval:(display:Off,section:0,value:0),time:(from:'2016-12-17 06:10:55-700',mode:absolute,to:'2016-12-17 09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3" s="105" t="str">
        <f t="shared" si="9"/>
        <v>"C:\Program Files (x86)\AstroGrep\AstroGrep.exe" /spath="%USERPROFILE%\AppData\Local\Temp\OnboardLogs" /stypes="*4019*201612171*" /stext=" 15:.+((SYSTEM_STATE.+slice.+state.+changed )|(ment ac)|(multiple cpu faults)|(system.+state.+changed )|(\[timeout)|(PRM\|1\|D)|(kpr)|(kdp)|(\|lc)|(penalty))" /e /r /s</v>
      </c>
      <c r="U43" s="9" t="str">
        <f t="shared" si="10"/>
        <v>4019</v>
      </c>
      <c r="V43" s="36">
        <f t="shared" si="11"/>
        <v>42721.63175925926</v>
      </c>
      <c r="W43" s="50" t="str">
        <f t="shared" si="12"/>
        <v>EC</v>
      </c>
      <c r="X43" s="50" t="str">
        <f t="shared" si="13"/>
        <v>KEEP</v>
      </c>
      <c r="Y43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ID","value":"122-17"},{"id":16,"name":"Locomotive ID","value":"4019"},{"id":130,"name":"Impact","value":""},{"id":150,"name":"Time of Event (Mountain Time)","value":"08:09:44"},{"id":151,"name":"Denver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"%USERPROFILE%\AppData\Local\Temp\OnboardLogs"\RTDC4019\*4019*201612171*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"%USERPROFILE%\AppData\Local\Temp\OnboardLogs"\RTDC4019\*4019*201612171* &gt;&gt; 42721-slicedisagreementcheck.txt</v>
      </c>
    </row>
    <row r="44" spans="1:30" x14ac:dyDescent="0.25">
      <c r="A44" s="36">
        <v>42721.462777777779</v>
      </c>
      <c r="B44" s="31" t="s">
        <v>290</v>
      </c>
      <c r="C44" s="31" t="s">
        <v>559</v>
      </c>
      <c r="D44" s="31" t="s">
        <v>49</v>
      </c>
      <c r="E44" s="31" t="s">
        <v>200</v>
      </c>
      <c r="F44" s="47">
        <v>0</v>
      </c>
      <c r="G44" s="47">
        <v>41</v>
      </c>
      <c r="H44" s="47">
        <v>156</v>
      </c>
      <c r="I44" s="47">
        <v>114</v>
      </c>
      <c r="J44" s="31" t="s">
        <v>201</v>
      </c>
      <c r="K44" s="47">
        <v>1</v>
      </c>
      <c r="L44" s="154" t="s">
        <v>51</v>
      </c>
      <c r="M44" s="155">
        <f t="shared" si="8"/>
        <v>59.664000000000001</v>
      </c>
      <c r="N44" s="156" t="str">
        <f>VLOOKUP(C44,'Trips&amp;Operators'!$C$1:$G$99999,5,FALSE)</f>
        <v>MAELZER KURT</v>
      </c>
      <c r="O44" s="182" t="s">
        <v>195</v>
      </c>
      <c r="P44" s="157"/>
      <c r="Q44" s="31"/>
      <c r="R44" s="100" t="str">
        <f>VLOOKUP(C44,'Train Runs'!$A$13:$AE$9970,31,0)</f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S44" s="103" t="str">
        <f>VLOOKUP(C44,'Train Runs'!$A$13:$AE$9970,22,0)</f>
        <v>https://search-rtdc-monitor-bjffxe2xuh6vdkpspy63sjmuny.us-east-1.es.amazonaws.com/_plugin/kibana/#/discover/Steve-Slow-Train-Analysis-(2080s-and-2083s)?_g=(refreshInterval:(display:Off,section:0,value:0),time:(from:'2016-12-17 09:12:02-700',mode:absolute,to:'2016-12-17 12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4" s="105" t="str">
        <f t="shared" si="9"/>
        <v>"C:\Program Files (x86)\AstroGrep\AstroGrep.exe" /spath="%USERPROFILE%\AppData\Local\Temp\OnboardLogs" /stypes="*4013*201612171*" /stext=" 18:.+((SYSTEM_STATE.+slice.+state.+changed )|(ment ac)|(multiple cpu faults)|(system.+state.+changed )|(\[timeout)|(PRM\|1\|D)|(kpr)|(kdp)|(\|lc)|(penalty))" /e /r /s</v>
      </c>
      <c r="U44" s="9" t="str">
        <f t="shared" si="10"/>
        <v>4013</v>
      </c>
      <c r="V44" s="36">
        <f t="shared" si="11"/>
        <v>42721.754444444443</v>
      </c>
      <c r="W44" s="50" t="str">
        <f t="shared" si="12"/>
        <v>EC</v>
      </c>
      <c r="X44" s="50" t="str">
        <f t="shared" si="13"/>
        <v>KEEP</v>
      </c>
      <c r="Y44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ID","value":"146-17"},{"id":16,"name":"Locomotive ID","value":"4013"},{"id":130,"name":"Impact","value":""},{"id":150,"name":"Time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"%USERPROFILE%\AppData\Local\Temp\OnboardLogs"\RTDC4013\*4013*201612171*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"%USERPROFILE%\AppData\Local\Temp\OnboardLogs"\RTDC4013\*4013*201612171* &gt;&gt; 42721-slicedisagreementcheck.txt</v>
      </c>
    </row>
    <row r="45" spans="1:30" x14ac:dyDescent="0.25">
      <c r="A45" s="36">
        <v>42721.528680555559</v>
      </c>
      <c r="B45" s="31" t="s">
        <v>265</v>
      </c>
      <c r="C45" s="31" t="s">
        <v>562</v>
      </c>
      <c r="D45" s="31" t="s">
        <v>49</v>
      </c>
      <c r="E45" s="31" t="s">
        <v>200</v>
      </c>
      <c r="F45" s="47">
        <v>0</v>
      </c>
      <c r="G45" s="47">
        <v>61</v>
      </c>
      <c r="H45" s="47">
        <v>221</v>
      </c>
      <c r="I45" s="47">
        <v>145</v>
      </c>
      <c r="J45" s="31" t="s">
        <v>201</v>
      </c>
      <c r="K45" s="47">
        <v>1</v>
      </c>
      <c r="L45" s="154" t="s">
        <v>51</v>
      </c>
      <c r="M45" s="155">
        <f t="shared" si="8"/>
        <v>76.031999999999996</v>
      </c>
      <c r="N45" s="156" t="str">
        <f>VLOOKUP(C45,'Trips&amp;Operators'!$C$1:$G$99999,5,FALSE)</f>
        <v>HOLCOMB KAMDEN</v>
      </c>
      <c r="O45" s="182" t="s">
        <v>195</v>
      </c>
      <c r="P45" s="157"/>
      <c r="Q45" s="31"/>
      <c r="R45" s="100" t="str">
        <f>VLOOKUP(C45,'Train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45" s="103" t="str">
        <f>VLOOKUP(C45,'Train Runs'!$A$13:$AE$9970,22,0)</f>
        <v>https://search-rtdc-monitor-bjffxe2xuh6vdkpspy63sjmuny.us-east-1.es.amazonaws.com/_plugin/kibana/#/discover/Steve-Slow-Train-Analysis-(2080s-and-2083s)?_g=(refreshInterval:(display:Off,section:0,value:0),time:(from:'2016-12-17 10:51:34-700',mode:absolute,to:'2016-12-17 13:41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5" s="105" t="str">
        <f t="shared" si="9"/>
        <v>"C:\Program Files (x86)\AstroGrep\AstroGrep.exe" /spath="%USERPROFILE%\AppData\Local\Temp\OnboardLogs" /stypes="*4045*201612171*" /stext=" 19:.+((SYSTEM_STATE.+slice.+state.+changed )|(ment ac)|(multiple cpu faults)|(system.+state.+changed )|(\[timeout)|(PRM\|1\|D)|(kpr)|(kdp)|(\|lc)|(penalty))" /e /r /s</v>
      </c>
      <c r="U45" s="9" t="str">
        <f t="shared" si="10"/>
        <v>4045</v>
      </c>
      <c r="V45" s="36">
        <f t="shared" si="11"/>
        <v>42721.820347222223</v>
      </c>
      <c r="W45" s="50" t="str">
        <f t="shared" si="12"/>
        <v>EC</v>
      </c>
      <c r="X45" s="50" t="str">
        <f t="shared" si="13"/>
        <v>KEEP</v>
      </c>
      <c r="Y45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ID","value":"160-17"},{"id":16,"name":"Locomotive ID","value":"4045"},{"id":130,"name":"Impact","value":""},{"id":150,"name":"Time of Event (Mountain Time)","value":"12:41:18"},{"id":151,"name":"Denver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"%USERPROFILE%\AppData\Local\Temp\OnboardLogs"\RTDC4045\*4045*201612171*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"%USERPROFILE%\AppData\Local\Temp\OnboardLogs"\RTDC4045\*4045*201612171* &gt;&gt; 42721-slicedisagreementcheck.txt</v>
      </c>
    </row>
    <row r="46" spans="1:30" x14ac:dyDescent="0.25">
      <c r="A46" s="36">
        <v>42721.535416666666</v>
      </c>
      <c r="B46" s="31" t="s">
        <v>290</v>
      </c>
      <c r="C46" s="31" t="s">
        <v>565</v>
      </c>
      <c r="D46" s="31" t="s">
        <v>49</v>
      </c>
      <c r="E46" s="31" t="s">
        <v>200</v>
      </c>
      <c r="F46" s="47">
        <v>0</v>
      </c>
      <c r="G46" s="47">
        <v>72</v>
      </c>
      <c r="H46" s="47">
        <v>220</v>
      </c>
      <c r="I46" s="47">
        <v>154</v>
      </c>
      <c r="J46" s="31" t="s">
        <v>201</v>
      </c>
      <c r="K46" s="47">
        <v>1</v>
      </c>
      <c r="L46" s="154" t="s">
        <v>51</v>
      </c>
      <c r="M46" s="155">
        <f t="shared" si="8"/>
        <v>80.784000000000006</v>
      </c>
      <c r="N46" s="156" t="str">
        <f>VLOOKUP(C46,'Trips&amp;Operators'!$C$1:$G$99999,5,FALSE)</f>
        <v>BARTLETT KIANDRA</v>
      </c>
      <c r="O46" s="182" t="s">
        <v>195</v>
      </c>
      <c r="P46" s="157"/>
      <c r="Q46" s="31"/>
      <c r="R46" s="100" t="str">
        <f>VLOOKUP(C46,'Train Runs'!$A$13:$AE$9970,31,0)</f>
        <v>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 &amp; aws s3 cp s3://rtdc.mdm.uploadarchive.raw/RTDC4013/ "%USERPROFILE%\AppData\Local\Temp\OnboardLogs"\RTDC4013\2016-12-18 --exclude "*" --recursive --include "*20161218*" &amp; "%USERPROFILE%\Documents\GitHub\mrs-test-scripts\Headless Mode &amp; Sideloading\WalkAndUnGZ.bat" "%USERPROFILE%\AppData\Local\Temp\OnboardLogs"\RTDC4013\2016-12-18</v>
      </c>
      <c r="S46" s="103" t="str">
        <f>VLOOKUP(C46,'Train Runs'!$A$13:$AE$9970,22,0)</f>
        <v>https://search-rtdc-monitor-bjffxe2xuh6vdkpspy63sjmuny.us-east-1.es.amazonaws.com/_plugin/kibana/#/discover/Steve-Slow-Train-Analysis-(2080s-and-2083s)?_g=(refreshInterval:(display:Off,section:0,value:0),time:(from:'2016-12-17 11:06:17-700',mode:absolute,to:'2016-12-17 13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6" s="105" t="str">
        <f t="shared" si="9"/>
        <v>"C:\Program Files (x86)\AstroGrep\AstroGrep.exe" /spath="%USERPROFILE%\AppData\Local\Temp\OnboardLogs" /stypes="*4013*201612171*" /stext=" 19:.+((SYSTEM_STATE.+slice.+state.+changed )|(ment ac)|(multiple cpu faults)|(system.+state.+changed )|(\[timeout)|(PRM\|1\|D)|(kpr)|(kdp)|(\|lc)|(penalty))" /e /r /s</v>
      </c>
      <c r="U46" s="9" t="str">
        <f t="shared" si="10"/>
        <v>4013</v>
      </c>
      <c r="V46" s="36">
        <f t="shared" si="11"/>
        <v>42721.82708333333</v>
      </c>
      <c r="W46" s="50" t="str">
        <f t="shared" si="12"/>
        <v>EC</v>
      </c>
      <c r="X46" s="50" t="str">
        <f t="shared" si="13"/>
        <v>KEEP</v>
      </c>
      <c r="Y46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ID","value":"162-17"},{"id":16,"name":"Locomotive ID","value":"4013"},{"id":130,"name":"Impact","value":""},{"id":150,"name":"Time of Event (Mountain Time)","value":"12:51:00"},{"id":151,"name":"Denver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"%USERPROFILE%\AppData\Local\Temp\OnboardLogs"\RTDC4013\*4013*201612171*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"%USERPROFILE%\AppData\Local\Temp\OnboardLogs"\RTDC4013\*4013*201612171* &gt;&gt; 42721-slicedisagreementcheck.txt</v>
      </c>
    </row>
    <row r="47" spans="1:30" x14ac:dyDescent="0.25">
      <c r="A47" s="36">
        <v>42721.738344907404</v>
      </c>
      <c r="B47" s="31" t="s">
        <v>302</v>
      </c>
      <c r="C47" s="31" t="s">
        <v>577</v>
      </c>
      <c r="D47" s="31" t="s">
        <v>49</v>
      </c>
      <c r="E47" s="31" t="s">
        <v>200</v>
      </c>
      <c r="F47" s="47">
        <v>0</v>
      </c>
      <c r="G47" s="47">
        <v>71</v>
      </c>
      <c r="H47" s="47">
        <v>249</v>
      </c>
      <c r="I47" s="47">
        <v>174</v>
      </c>
      <c r="J47" s="31" t="s">
        <v>201</v>
      </c>
      <c r="K47" s="47">
        <v>1</v>
      </c>
      <c r="L47" s="154" t="s">
        <v>51</v>
      </c>
      <c r="M47" s="155">
        <f t="shared" si="8"/>
        <v>91.343999999999994</v>
      </c>
      <c r="N47" s="156" t="str">
        <f>VLOOKUP(C47,'Trips&amp;Operators'!$C$1:$G$99999,5,FALSE)</f>
        <v>MOSES BRADLEY</v>
      </c>
      <c r="O47" s="182" t="s">
        <v>195</v>
      </c>
      <c r="P47" s="157"/>
      <c r="Q47" s="31"/>
      <c r="R47" s="100" t="str">
        <f>VLOOKUP(C47,'Train Runs'!$A$13:$AE$9970,31,0)</f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S47" s="103" t="str">
        <f>VLOOKUP(C47,'Train Runs'!$A$13:$AE$9970,22,0)</f>
        <v>https://search-rtdc-monitor-bjffxe2xuh6vdkpspy63sjmuny.us-east-1.es.amazonaws.com/_plugin/kibana/#/discover/Steve-Slow-Train-Analysis-(2080s-and-2083s)?_g=(refreshInterval:(display:Off,section:0,value:0),time:(from:'2016-12-17 15:46:15-700',mode:absolute,to:'2016-12-17 18:43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7" s="105" t="str">
        <f t="shared" si="9"/>
        <v>"C:\Program Files (x86)\AstroGrep\AstroGrep.exe" /spath="%USERPROFILE%\AppData\Local\Temp\OnboardLogs" /stypes="*4021*201612180*" /stext=" 00:.+((SYSTEM_STATE.+slice.+state.+changed )|(ment ac)|(multiple cpu faults)|(system.+state.+changed )|(\[timeout)|(PRM\|1\|D)|(kpr)|(kdp)|(\|lc)|(penalty))" /e /r /s</v>
      </c>
      <c r="U47" s="9" t="str">
        <f t="shared" si="10"/>
        <v>4021</v>
      </c>
      <c r="V47" s="36">
        <f t="shared" si="11"/>
        <v>42722.030011574068</v>
      </c>
      <c r="W47" s="50" t="str">
        <f t="shared" si="12"/>
        <v>EC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ID","value":"200-17"},{"id":16,"name":"Locomotive ID","value":"4021"},{"id":130,"name":"Impact","value":""},{"id":150,"name":"Time of Event (Mountain Time)","value":"17:43:13"},{"id":151,"name":"Denver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"%USERPROFILE%\AppData\Local\Temp\OnboardLogs"\RTDC4021\*4021*201612180*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"%USERPROFILE%\AppData\Local\Temp\OnboardLogs"\RTDC4021\*4021*201612180* &gt;&gt; 42721-slicedisagreementcheck.txt</v>
      </c>
    </row>
    <row r="48" spans="1:30" x14ac:dyDescent="0.25">
      <c r="A48" s="36">
        <v>42721.845335648148</v>
      </c>
      <c r="B48" s="31" t="s">
        <v>233</v>
      </c>
      <c r="C48" s="31" t="s">
        <v>579</v>
      </c>
      <c r="D48" s="31" t="s">
        <v>49</v>
      </c>
      <c r="E48" s="31" t="s">
        <v>200</v>
      </c>
      <c r="F48" s="47">
        <v>0</v>
      </c>
      <c r="G48" s="47">
        <v>67</v>
      </c>
      <c r="H48" s="47">
        <v>203</v>
      </c>
      <c r="I48" s="47">
        <v>136</v>
      </c>
      <c r="J48" s="31" t="s">
        <v>201</v>
      </c>
      <c r="K48" s="47">
        <v>1</v>
      </c>
      <c r="L48" s="154" t="s">
        <v>51</v>
      </c>
      <c r="M48" s="155">
        <f t="shared" si="8"/>
        <v>71.28</v>
      </c>
      <c r="N48" s="156" t="str">
        <f>VLOOKUP(C48,'Trips&amp;Operators'!$C$1:$G$99999,5,FALSE)</f>
        <v>STORY SAMANTHA</v>
      </c>
      <c r="O48" s="182" t="s">
        <v>195</v>
      </c>
      <c r="P48" s="157"/>
      <c r="Q48" s="31"/>
      <c r="R48" s="100" t="str">
        <f>VLOOKUP(C48,'Train Runs'!$A$13:$AE$9970,31,0)</f>
        <v>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 &amp; 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</v>
      </c>
      <c r="S48" s="103" t="str">
        <f>VLOOKUP(C48,'Train Runs'!$A$13:$AE$9970,22,0)</f>
        <v>https://search-rtdc-monitor-bjffxe2xuh6vdkpspy63sjmuny.us-east-1.es.amazonaws.com/_plugin/kibana/#/discover/Steve-Slow-Train-Analysis-(2080s-and-2083s)?_g=(refreshInterval:(display:Off,section:0,value:0),time:(from:'2016-12-17 18:41:47-700',mode:absolute,to:'2016-12-17 21:17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8" s="105" t="str">
        <f t="shared" si="9"/>
        <v>"C:\Program Files (x86)\AstroGrep\AstroGrep.exe" /spath="%USERPROFILE%\AppData\Local\Temp\OnboardLogs" /stypes="*4041*201612180*" /stext=" 03:.+((SYSTEM_STATE.+slice.+state.+changed )|(ment ac)|(multiple cpu faults)|(system.+state.+changed )|(\[timeout)|(PRM\|1\|D)|(kpr)|(kdp)|(\|lc)|(penalty))" /e /r /s</v>
      </c>
      <c r="U48" s="9" t="str">
        <f t="shared" si="10"/>
        <v>4041</v>
      </c>
      <c r="V48" s="36">
        <f t="shared" si="11"/>
        <v>42722.137002314812</v>
      </c>
      <c r="W48" s="50" t="str">
        <f t="shared" si="12"/>
        <v>EC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{"issue":{"subject":"","project_id":79,"tracker_id":40,"status_id":1,"priority_id":2,"assigned_to_id":23,"start_date":"2016-12-17","description":"","custom_fields":[{"id":1,"name":"Subdivision","value":"EC"},{"id":4,"name":"Milepost","value":"0.0001"},{"id":17,"name":"Train ID","value":"216-17"},{"id":16,"name":"Locomotive ID","value":"4041"},{"id":130,"name":"Impact","value":""},{"id":150,"name":"Time of Event (Mountain Time)","value":"20:17:17"},{"id":151,"name":"Denver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"%USERPROFILE%\AppData\Local\Temp\OnboardLogs"\RTDC4041\*4041*201612180*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"%USERPROFILE%\AppData\Local\Temp\OnboardLogs"\RTDC4041\*4041*201612180* &gt;&gt; 42721-slicedisagreementcheck.txt</v>
      </c>
    </row>
    <row r="49" spans="1:30" x14ac:dyDescent="0.25">
      <c r="A49" s="36">
        <v>42722.057013888887</v>
      </c>
      <c r="B49" s="31" t="s">
        <v>233</v>
      </c>
      <c r="C49" s="31" t="s">
        <v>586</v>
      </c>
      <c r="D49" s="31" t="s">
        <v>49</v>
      </c>
      <c r="E49" s="31" t="s">
        <v>200</v>
      </c>
      <c r="F49" s="47">
        <v>0</v>
      </c>
      <c r="G49" s="47">
        <v>27</v>
      </c>
      <c r="H49" s="47">
        <v>73</v>
      </c>
      <c r="I49" s="47">
        <v>46</v>
      </c>
      <c r="J49" s="31" t="s">
        <v>201</v>
      </c>
      <c r="K49" s="47">
        <v>1</v>
      </c>
      <c r="L49" s="154" t="s">
        <v>51</v>
      </c>
      <c r="M49" s="155">
        <f t="shared" si="8"/>
        <v>23.76</v>
      </c>
      <c r="N49" s="156" t="str">
        <f>VLOOKUP(C49,'Trips&amp;Operators'!$C$1:$G$99999,5,FALSE)</f>
        <v>CHANDLER KELVIN</v>
      </c>
      <c r="O49" s="182" t="s">
        <v>195</v>
      </c>
      <c r="P49" s="157"/>
      <c r="Q49" s="31"/>
      <c r="R49" s="100" t="str">
        <f>VLOOKUP(C49,'Train Runs'!$A$13:$AE$9970,31,0)</f>
        <v>aws s3 cp s3://rtdc.mdm.uploadarchive.raw/RTDC4041/ "%USERPROFILE%\AppData\Local\Temp\OnboardLogs"\RTDC4041\2016-12-18 --exclude "*" --recursive --include "*20161218*" &amp; "%USERPROFILE%\Documents\GitHub\mrs-test-scripts\Headless Mode &amp; Sideloading\WalkAndUnGZ.bat" "%USERPROFILE%\AppData\Local\Temp\OnboardLogs"\RTDC4041\2016-12-18 &amp; aws s3 cp s3://rtdc.mdm.uploadarchive.raw/RTDC4041/ "%USERPROFILE%\AppData\Local\Temp\OnboardLogs"\RTDC4041\2016-12-19 --exclude "*" --recursive --include "*20161219*" &amp; "%USERPROFILE%\Documents\GitHub\mrs-test-scripts\Headless Mode &amp; Sideloading\WalkAndUnGZ.bat" "%USERPROFILE%\AppData\Local\Temp\OnboardLogs"\RTDC4041\2016-12-19</v>
      </c>
      <c r="S49" s="103" t="str">
        <f>VLOOKUP(C49,'Train Runs'!$A$13:$AE$9970,22,0)</f>
        <v>https://search-rtdc-monitor-bjffxe2xuh6vdkpspy63sjmuny.us-east-1.es.amazonaws.com/_plugin/kibana/#/discover/Steve-Slow-Train-Analysis-(2080s-and-2083s)?_g=(refreshInterval:(display:Off,section:0,value:0),time:(from:'2016-12-17 23:48:14-700',mode:absolute,to:'2016-12-18 02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9" s="105" t="str">
        <f t="shared" si="9"/>
        <v>"C:\Program Files (x86)\AstroGrep\AstroGrep.exe" /spath="%USERPROFILE%\AppData\Local\Temp\OnboardLogs" /stypes="*4041*201612180*" /stext=" 08:.+((SYSTEM_STATE.+slice.+state.+changed )|(ment ac)|(multiple cpu faults)|(system.+state.+changed )|(\[timeout)|(PRM\|1\|D)|(kpr)|(kdp)|(\|lc)|(penalty))" /e /r /s</v>
      </c>
      <c r="U49" s="9" t="str">
        <f t="shared" si="10"/>
        <v>4041</v>
      </c>
      <c r="V49" s="36">
        <f t="shared" si="11"/>
        <v>42722.348680555551</v>
      </c>
      <c r="W49" s="50" t="str">
        <f t="shared" si="12"/>
        <v>EC</v>
      </c>
      <c r="X49" s="50" t="str">
        <f t="shared" si="13"/>
        <v>KEEP</v>
      </c>
      <c r="Y49" s="119" t="str">
        <f t="shared" si="14"/>
        <v>echo {"issue":{"subject":"","project_id":79,"tracker_id":40,"status_id":1,"priority_id":2,"assigned_to_id":23,"start_date":"2016-12-18","description":"","custom_fields":[{"id":1,"name":"Subdivision","value":"EC"},{"id":4,"name":"Milepost","value":"0.0001"},{"id":17,"name":"Train ID","value":"240-17"},{"id":16,"name":"Locomotive ID","value":"4041"},{"id":130,"name":"Impact","value":""},{"id":150,"name":"Time of Event (Mountain Time)","value":"01:22:06"},{"id":151,"name":"Denver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"%USERPROFILE%\AppData\Local\Temp\OnboardLogs"\RTDC4041\*4041*201612180*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"%USERPROFILE%\AppData\Local\Temp\OnboardLogs"\RTDC4041\*4041*201612180* &gt;&gt; 42721-slicedisagreementcheck.txt</v>
      </c>
    </row>
    <row r="50" spans="1:30" x14ac:dyDescent="0.25">
      <c r="A50" s="36">
        <v>42721.5153587963</v>
      </c>
      <c r="B50" s="31" t="s">
        <v>317</v>
      </c>
      <c r="C50" s="31" t="s">
        <v>561</v>
      </c>
      <c r="D50" s="31" t="s">
        <v>49</v>
      </c>
      <c r="E50" s="31" t="s">
        <v>200</v>
      </c>
      <c r="F50" s="47">
        <v>0</v>
      </c>
      <c r="G50" s="47">
        <v>72</v>
      </c>
      <c r="H50" s="47">
        <v>1118</v>
      </c>
      <c r="I50" s="47">
        <v>1026</v>
      </c>
      <c r="J50" s="31" t="s">
        <v>201</v>
      </c>
      <c r="K50" s="47">
        <v>839</v>
      </c>
      <c r="L50" s="154" t="s">
        <v>51</v>
      </c>
      <c r="M50" s="155">
        <f t="shared" si="8"/>
        <v>98.736000000000004</v>
      </c>
      <c r="N50" s="156" t="str">
        <f>VLOOKUP(C50,'Trips&amp;Operators'!$C$1:$G$99999,5,FALSE)</f>
        <v>KILLION DAVID</v>
      </c>
      <c r="O50" s="182" t="s">
        <v>195</v>
      </c>
      <c r="P50" s="157"/>
      <c r="Q50" s="31"/>
      <c r="R50" s="100" t="str">
        <f>VLOOKUP(C50,'Train Runs'!$A$13:$AE$9970,31,0)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S50" s="103" t="str">
        <f>VLOOKUP(C50,'Train Runs'!$A$13:$AE$9970,22,0)</f>
        <v>https://search-rtdc-monitor-bjffxe2xuh6vdkpspy63sjmuny.us-east-1.es.amazonaws.com/_plugin/kibana/#/discover/Steve-Slow-Train-Analysis-(2080s-and-2083s)?_g=(refreshInterval:(display:Off,section:0,value:0),time:(from:'2016-12-17 10:32:42-700',mode:absolute,to:'2016-12-17 13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50" s="105" t="str">
        <f t="shared" si="9"/>
        <v>"C:\Program Files (x86)\AstroGrep\AstroGrep.exe" /spath="%USERPROFILE%\AppData\Local\Temp\OnboardLogs" /stypes="*4017*201612171*" /stext=" 19:.+((SYSTEM_STATE.+slice.+state.+changed )|(ment ac)|(multiple cpu faults)|(system.+state.+changed )|(\[timeout)|(PRM\|1\|D)|(kpr)|(kdp)|(\|lc)|(penalty))" /e /r /s</v>
      </c>
      <c r="U50" s="9" t="str">
        <f t="shared" si="10"/>
        <v>4017</v>
      </c>
      <c r="V50" s="36">
        <f t="shared" si="11"/>
        <v>42721.807025462964</v>
      </c>
      <c r="W50" s="50" t="str">
        <f t="shared" si="12"/>
        <v>EC</v>
      </c>
      <c r="X50" s="50" t="str">
        <f t="shared" si="13"/>
        <v>KEEP</v>
      </c>
      <c r="Y50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{"issue":{"subject":"","project_id":79,"tracker_id":40,"status_id":1,"priority_id":2,"assigned_to_id":23,"start_date":"2016-12-17","description":"","custom_fields":[{"id":1,"name":"Subdivision","value":"EC"},{"id":4,"name":"Milepost","value":"0.0839"},{"id":17,"name":"Train ID","value":"154-17"},{"id":16,"name":"Locomotive ID","value":"4017"},{"id":130,"name":"Impact","value":""},{"id":150,"name":"Time of Event (Mountain Time)","value":"12:22:07"},{"id":151,"name":"Denver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"%USERPROFILE%\AppData\Local\Temp\OnboardLogs"\RTDC4017\*4017*201612171*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"%USERPROFILE%\AppData\Local\Temp\OnboardLogs"\RTDC4017\*4017*201612171* &gt;&gt; 42721-slicedisagreementcheck.txt</v>
      </c>
    </row>
    <row r="51" spans="1:30" x14ac:dyDescent="0.25">
      <c r="A51" s="36">
        <v>42721.552002314813</v>
      </c>
      <c r="B51" s="31" t="s">
        <v>563</v>
      </c>
      <c r="C51" s="31" t="s">
        <v>564</v>
      </c>
      <c r="D51" s="31" t="s">
        <v>49</v>
      </c>
      <c r="E51" s="31" t="s">
        <v>200</v>
      </c>
      <c r="F51" s="47">
        <v>0</v>
      </c>
      <c r="G51" s="47">
        <v>17</v>
      </c>
      <c r="H51" s="47">
        <v>899</v>
      </c>
      <c r="I51" s="47">
        <v>882</v>
      </c>
      <c r="J51" s="31" t="s">
        <v>201</v>
      </c>
      <c r="K51" s="47">
        <v>839</v>
      </c>
      <c r="L51" s="154" t="s">
        <v>51</v>
      </c>
      <c r="M51" s="155">
        <f t="shared" si="8"/>
        <v>22.704000000000001</v>
      </c>
      <c r="N51" s="156" t="str">
        <f>VLOOKUP(C51,'Trips&amp;Operators'!$C$1:$G$99999,5,FALSE)</f>
        <v>MAHAN DUANE</v>
      </c>
      <c r="O51" s="182" t="s">
        <v>195</v>
      </c>
      <c r="P51" s="157"/>
      <c r="Q51" s="31"/>
      <c r="R51" s="100" t="str">
        <f>VLOOKUP(C51,'Train Runs'!$A$13:$AE$9970,31,0)</f>
        <v>aws s3 cp s3://rtdc.mdm.uploadarchive.raw/RTDC4030/ "%USERPROFILE%\AppData\Local\Temp\OnboardLogs"\RTDC4030\2016-12-17 --exclude "*" --recursive --include "*20161217*" &amp; "%USERPROFILE%\Documents\GitHub\mrs-test-scripts\Headless Mode &amp; Sideloading\WalkAndUnGZ.bat" "%USERPROFILE%\AppData\Local\Temp\OnboardLogs"\RTDC4030\2016-12-17 &amp; aws s3 cp s3://rtdc.mdm.uploadarchive.raw/RTDC4030/ "%USERPROFILE%\AppData\Local\Temp\OnboardLogs"\RTDC4030\2016-12-18 --exclude "*" --recursive --include "*20161218*" &amp; "%USERPROFILE%\Documents\GitHub\mrs-test-scripts\Headless Mode &amp; Sideloading\WalkAndUnGZ.bat" "%USERPROFILE%\AppData\Local\Temp\OnboardLogs"\RTDC4030\2016-12-18</v>
      </c>
      <c r="S51" s="103" t="str">
        <f>VLOOKUP(C51,'Train Runs'!$A$13:$AE$9970,22,0)</f>
        <v>https://search-rtdc-monitor-bjffxe2xuh6vdkpspy63sjmuny.us-east-1.es.amazonaws.com/_plugin/kibana/#/discover/Steve-Slow-Train-Analysis-(2080s-and-2083s)?_g=(refreshInterval:(display:Off,section:0,value:0),time:(from:'2016-12-17 11:19:24-700',mode:absolute,to:'2016-12-17 14:14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1" s="105" t="str">
        <f t="shared" si="9"/>
        <v>"C:\Program Files (x86)\AstroGrep\AstroGrep.exe" /spath="%USERPROFILE%\AppData\Local\Temp\OnboardLogs" /stypes="*4030*201612172*" /stext=" 20:.+((SYSTEM_STATE.+slice.+state.+changed )|(ment ac)|(multiple cpu faults)|(system.+state.+changed )|(\[timeout)|(PRM\|1\|D)|(kpr)|(kdp)|(\|lc)|(penalty))" /e /r /s</v>
      </c>
      <c r="U51" s="9" t="str">
        <f t="shared" si="10"/>
        <v>4030</v>
      </c>
      <c r="V51" s="36">
        <f t="shared" si="11"/>
        <v>42721.843668981477</v>
      </c>
      <c r="W51" s="50" t="str">
        <f t="shared" si="12"/>
        <v>EC</v>
      </c>
      <c r="X51" s="50" t="str">
        <f t="shared" si="13"/>
        <v>KEEP</v>
      </c>
      <c r="Y51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{"issue":{"subject":"","project_id":79,"tracker_id":40,"status_id":1,"priority_id":2,"assigned_to_id":23,"start_date":"2016-12-17","description":"","custom_fields":[{"id":1,"name":"Subdivision","value":"EC"},{"id":4,"name":"Milepost","value":"0.0839"},{"id":17,"name":"Train ID","value":"164-17"},{"id":16,"name":"Locomotive ID","value":"4030"},{"id":130,"name":"Impact","value":""},{"id":150,"name":"Time of Event (Mountain Time)","value":"13:14:53"},{"id":151,"name":"Denver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"%USERPROFILE%\AppData\Local\Temp\OnboardLogs"\RTDC4030\*4030*201612172*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"%USERPROFILE%\AppData\Local\Temp\OnboardLogs"\RTDC4030\*4030*201612172* &gt;&gt; 42721-slicedisagreementcheck.txt</v>
      </c>
    </row>
    <row r="52" spans="1:30" x14ac:dyDescent="0.25">
      <c r="A52" s="36">
        <v>42721.582129629627</v>
      </c>
      <c r="B52" s="31" t="s">
        <v>235</v>
      </c>
      <c r="C52" s="31" t="s">
        <v>568</v>
      </c>
      <c r="D52" s="31" t="s">
        <v>49</v>
      </c>
      <c r="E52" s="31" t="s">
        <v>200</v>
      </c>
      <c r="F52" s="47">
        <v>0</v>
      </c>
      <c r="G52" s="47">
        <v>50</v>
      </c>
      <c r="H52" s="47">
        <v>1071</v>
      </c>
      <c r="I52" s="47">
        <v>998</v>
      </c>
      <c r="J52" s="31" t="s">
        <v>201</v>
      </c>
      <c r="K52" s="47">
        <v>839</v>
      </c>
      <c r="L52" s="154" t="s">
        <v>51</v>
      </c>
      <c r="M52" s="155">
        <f t="shared" si="8"/>
        <v>83.951999999999998</v>
      </c>
      <c r="N52" s="156" t="str">
        <f>VLOOKUP(C52,'Trips&amp;Operators'!$C$1:$G$99999,5,FALSE)</f>
        <v>MOSES BRADLEY</v>
      </c>
      <c r="O52" s="182" t="s">
        <v>195</v>
      </c>
      <c r="P52" s="157"/>
      <c r="Q52" s="31"/>
      <c r="R52" s="100" t="str">
        <f>VLOOKUP(C52,'Train Runs'!$A$13:$AE$9970,31,0)</f>
        <v>aws s3 cp s3://rtdc.mdm.uploadarchive.raw/RTDC4032/ "%USERPROFILE%\AppData\Local\Temp\OnboardLogs"\RTDC4032\2016-12-17 --exclude "*" --recursive --include "*20161217*" &amp; "%USERPROFILE%\Documents\GitHub\mrs-test-scripts\Headless Mode &amp; Sideloading\WalkAndUnGZ.bat" "%USERPROFILE%\AppData\Local\Temp\OnboardLogs"\RTDC4032\2016-12-17 &amp; aws s3 cp s3://rtdc.mdm.uploadarchive.raw/RTDC4032/ "%USERPROFILE%\AppData\Local\Temp\OnboardLogs"\RTDC4032\2016-12-18 --exclude "*" --recursive --include "*20161218*" &amp; "%USERPROFILE%\Documents\GitHub\mrs-test-scripts\Headless Mode &amp; Sideloading\WalkAndUnGZ.bat" "%USERPROFILE%\AppData\Local\Temp\OnboardLogs"\RTDC4032\2016-12-18</v>
      </c>
      <c r="S52" s="103" t="str">
        <f>VLOOKUP(C52,'Train Runs'!$A$13:$AE$9970,22,0)</f>
        <v>https://search-rtdc-monitor-bjffxe2xuh6vdkpspy63sjmuny.us-east-1.es.amazonaws.com/_plugin/kibana/#/discover/Steve-Slow-Train-Analysis-(2080s-and-2083s)?_g=(refreshInterval:(display:Off,section:0,value:0),time:(from:'2016-12-17 12:14:49-700',mode:absolute,to:'2016-12-17 14:58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52" s="105" t="str">
        <f t="shared" si="9"/>
        <v>"C:\Program Files (x86)\AstroGrep\AstroGrep.exe" /spath="%USERPROFILE%\AppData\Local\Temp\OnboardLogs" /stypes="*4032*201612172*" /stext=" 20:.+((SYSTEM_STATE.+slice.+state.+changed )|(ment ac)|(multiple cpu faults)|(system.+state.+changed )|(\[timeout)|(PRM\|1\|D)|(kpr)|(kdp)|(\|lc)|(penalty))" /e /r /s</v>
      </c>
      <c r="U52" s="9" t="str">
        <f t="shared" si="10"/>
        <v>4032</v>
      </c>
      <c r="V52" s="36">
        <f t="shared" si="11"/>
        <v>42721.873796296291</v>
      </c>
      <c r="W52" s="50" t="str">
        <f t="shared" si="12"/>
        <v>EC</v>
      </c>
      <c r="X52" s="50" t="str">
        <f t="shared" si="13"/>
        <v>KEEP</v>
      </c>
      <c r="Y52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{"issue":{"subject":"","project_id":79,"tracker_id":40,"status_id":1,"priority_id":2,"assigned_to_id":23,"start_date":"2016-12-17","description":"","custom_fields":[{"id":1,"name":"Subdivision","value":"EC"},{"id":4,"name":"Milepost","value":"0.0839"},{"id":17,"name":"Train ID","value":"170-17"},{"id":16,"name":"Locomotive ID","value":"4032"},{"id":130,"name":"Impact","value":""},{"id":150,"name":"Time of Event (Mountain Time)","value":"13:58:16"},{"id":151,"name":"Denver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"%USERPROFILE%\AppData\Local\Temp\OnboardLogs"\RTDC4032\*4032*201612172*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"%USERPROFILE%\AppData\Local\Temp\OnboardLogs"\RTDC4032\*4032*201612172* &gt;&gt; 42721-slicedisagreementcheck.txt</v>
      </c>
    </row>
    <row r="53" spans="1:30" x14ac:dyDescent="0.25">
      <c r="A53" s="36">
        <v>42721.855520833335</v>
      </c>
      <c r="B53" s="31" t="s">
        <v>265</v>
      </c>
      <c r="C53" s="31" t="s">
        <v>581</v>
      </c>
      <c r="D53" s="31" t="s">
        <v>49</v>
      </c>
      <c r="E53" s="31" t="s">
        <v>200</v>
      </c>
      <c r="F53" s="47">
        <v>0</v>
      </c>
      <c r="G53" s="47">
        <v>48</v>
      </c>
      <c r="H53" s="47">
        <v>943</v>
      </c>
      <c r="I53" s="47">
        <v>890</v>
      </c>
      <c r="J53" s="31" t="s">
        <v>201</v>
      </c>
      <c r="K53" s="47">
        <v>839</v>
      </c>
      <c r="L53" s="154" t="s">
        <v>51</v>
      </c>
      <c r="M53" s="155">
        <f t="shared" si="8"/>
        <v>26.928000000000001</v>
      </c>
      <c r="N53" s="156" t="str">
        <f>VLOOKUP(C53,'Trips&amp;Operators'!$C$1:$G$99999,5,FALSE)</f>
        <v>CHANDLER KELVIN</v>
      </c>
      <c r="O53" s="182" t="s">
        <v>195</v>
      </c>
      <c r="P53" s="157"/>
      <c r="Q53" s="31"/>
      <c r="R53" s="100" t="str">
        <f>VLOOKUP(C53,'Train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53" s="103" t="str">
        <f>VLOOKUP(C53,'Train Runs'!$A$13:$AE$9970,22,0)</f>
        <v>https://search-rtdc-monitor-bjffxe2xuh6vdkpspy63sjmuny.us-east-1.es.amazonaws.com/_plugin/kibana/#/discover/Steve-Slow-Train-Analysis-(2080s-and-2083s)?_g=(refreshInterval:(display:Off,section:0,value:0),time:(from:'2016-12-17 18:57:54-700',mode:absolute,to:'2016-12-17 21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53" s="105" t="str">
        <f t="shared" si="9"/>
        <v>"C:\Program Files (x86)\AstroGrep\AstroGrep.exe" /spath="%USERPROFILE%\AppData\Local\Temp\OnboardLogs" /stypes="*4045*201612180*" /stext=" 03:.+((SYSTEM_STATE.+slice.+state.+changed )|(ment ac)|(multiple cpu faults)|(system.+state.+changed )|(\[timeout)|(PRM\|1\|D)|(kpr)|(kdp)|(\|lc)|(penalty))" /e /r /s</v>
      </c>
      <c r="U53" s="9" t="str">
        <f t="shared" si="10"/>
        <v>4045</v>
      </c>
      <c r="V53" s="36">
        <f t="shared" si="11"/>
        <v>42722.147187499999</v>
      </c>
      <c r="W53" s="50" t="str">
        <f t="shared" si="12"/>
        <v>EC</v>
      </c>
      <c r="X53" s="50" t="str">
        <f t="shared" si="13"/>
        <v>KEEP</v>
      </c>
      <c r="Y53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{"issue":{"subject":"","project_id":79,"tracker_id":40,"status_id":1,"priority_id":2,"assigned_to_id":23,"start_date":"2016-12-17","description":"","custom_fields":[{"id":1,"name":"Subdivision","value":"EC"},{"id":4,"name":"Milepost","value":"0.0839"},{"id":17,"name":"Train ID","value":"218-17"},{"id":16,"name":"Locomotive ID","value":"4045"},{"id":130,"name":"Impact","value":""},{"id":150,"name":"Time of Event (Mountain Time)","value":"20:31:57"},{"id":151,"name":"Denver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"%USERPROFILE%\AppData\Local\Temp\OnboardLogs"\RTDC4045\*4045*201612180*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"%USERPROFILE%\AppData\Local\Temp\OnboardLogs"\RTDC4045\*4045*201612180* &gt;&gt; 42721-slicedisagreementcheck.txt</v>
      </c>
    </row>
    <row r="54" spans="1:30" x14ac:dyDescent="0.25">
      <c r="A54" s="36">
        <v>42721.248402777775</v>
      </c>
      <c r="B54" s="31" t="s">
        <v>225</v>
      </c>
      <c r="C54" s="31" t="s">
        <v>539</v>
      </c>
      <c r="D54" s="31" t="s">
        <v>49</v>
      </c>
      <c r="E54" s="31" t="s">
        <v>200</v>
      </c>
      <c r="F54" s="47">
        <v>0</v>
      </c>
      <c r="G54" s="47">
        <v>136</v>
      </c>
      <c r="H54" s="47">
        <v>232762</v>
      </c>
      <c r="I54" s="47">
        <v>232957</v>
      </c>
      <c r="J54" s="31" t="s">
        <v>201</v>
      </c>
      <c r="K54" s="47">
        <v>233491</v>
      </c>
      <c r="L54" s="154" t="s">
        <v>50</v>
      </c>
      <c r="M54" s="155">
        <f t="shared" si="8"/>
        <v>281.952</v>
      </c>
      <c r="N54" s="156" t="str">
        <f>VLOOKUP(C54,'Trips&amp;Operators'!$C$1:$G$99999,5,FALSE)</f>
        <v>MAELZER KURT</v>
      </c>
      <c r="O54" s="182" t="s">
        <v>195</v>
      </c>
      <c r="P54" s="157"/>
      <c r="Q54" s="31"/>
      <c r="R54" s="100" t="str">
        <f>VLOOKUP(C54,'Train Runs'!$A$13:$AE$9970,31,0)</f>
        <v>aws s3 cp s3://rtdc.mdm.uploadarchive.raw/RTDC4014/ "%USERPROFILE%\AppData\Local\Temp\OnboardLogs"\RTDC4014\2016-12-17 --exclude "*" --recursive --include "*20161217*" &amp; "%USERPROFILE%\Documents\GitHub\mrs-test-scripts\Headless Mode &amp; Sideloading\WalkAndUnGZ.bat" "%USERPROFILE%\AppData\Local\Temp\OnboardLogs"\RTDC4014\2016-12-17 &amp; aws s3 cp s3://rtdc.mdm.uploadarchive.raw/RTDC4014/ "%USERPROFILE%\AppData\Local\Temp\OnboardLogs"\RTDC4014\2016-12-18 --exclude "*" --recursive --include "*20161218*" &amp; "%USERPROFILE%\Documents\GitHub\mrs-test-scripts\Headless Mode &amp; Sideloading\WalkAndUnGZ.bat" "%USERPROFILE%\AppData\Local\Temp\OnboardLogs"\RTDC4014\2016-12-18</v>
      </c>
      <c r="S54" s="103" t="str">
        <f>VLOOKUP(C54,'Train Runs'!$A$13:$AE$9970,22,0)</f>
        <v>https://search-rtdc-monitor-bjffxe2xuh6vdkpspy63sjmuny.us-east-1.es.amazonaws.com/_plugin/kibana/#/discover/Steve-Slow-Train-Analysis-(2080s-and-2083s)?_g=(refreshInterval:(display:Off,section:0,value:0),time:(from:'2016-12-17 04:09:11-700',mode:absolute,to:'2016-12-17 06:57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54" s="105" t="str">
        <f t="shared" si="9"/>
        <v>"C:\Program Files (x86)\AstroGrep\AstroGrep.exe" /spath="%USERPROFILE%\AppData\Local\Temp\OnboardLogs" /stypes="*4014*201612171*" /stext=" 12:.+((SYSTEM_STATE.+slice.+state.+changed )|(ment ac)|(multiple cpu faults)|(system.+state.+changed )|(\[timeout)|(PRM\|1\|D)|(kpr)|(kdp)|(\|lc)|(penalty))" /e /r /s</v>
      </c>
      <c r="U54" s="9" t="str">
        <f t="shared" si="10"/>
        <v>4014</v>
      </c>
      <c r="V54" s="36">
        <f t="shared" si="11"/>
        <v>42721.54006944444</v>
      </c>
      <c r="W54" s="50" t="str">
        <f t="shared" si="12"/>
        <v>EC</v>
      </c>
      <c r="X54" s="50" t="str">
        <f t="shared" si="13"/>
        <v>KEEP</v>
      </c>
      <c r="Y54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{"issue":{"subject":"","project_id":79,"tracker_id":40,"status_id":1,"priority_id":2,"assigned_to_id":23,"start_date":"2016-12-17","description":"","custom_fields":[{"id":1,"name":"Subdivision","value":"EC"},{"id":4,"name":"Milepost","value":"23.3491"},{"id":17,"name":"Train ID","value":"113-17"},{"id":16,"name":"Locomotive ID","value":"4014"},{"id":130,"name":"Impact","value":""},{"id":150,"name":"Time of Event (Mountain Time)","value":"05:57:42"},{"id":151,"name":"Denver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"%USERPROFILE%\AppData\Local\Temp\OnboardLogs"\RTDC4014\*4014*201612171*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"%USERPROFILE%\AppData\Local\Temp\OnboardLogs"\RTDC4014\*4014*201612171* &gt;&gt; 42721-slicedisagreementcheck.txt</v>
      </c>
    </row>
    <row r="55" spans="1:30" x14ac:dyDescent="0.25">
      <c r="A55" s="36">
        <v>42721.358599537038</v>
      </c>
      <c r="B55" s="31" t="s">
        <v>232</v>
      </c>
      <c r="C55" s="31" t="s">
        <v>551</v>
      </c>
      <c r="D55" s="31" t="s">
        <v>98</v>
      </c>
      <c r="E55" s="31" t="s">
        <v>200</v>
      </c>
      <c r="F55" s="47">
        <v>0</v>
      </c>
      <c r="G55" s="47">
        <v>4</v>
      </c>
      <c r="H55" s="47">
        <v>233491</v>
      </c>
      <c r="I55" s="47">
        <v>0</v>
      </c>
      <c r="J55" s="31" t="s">
        <v>201</v>
      </c>
      <c r="K55" s="47">
        <v>233491</v>
      </c>
      <c r="L55" s="154" t="s">
        <v>50</v>
      </c>
      <c r="M55" s="155">
        <f t="shared" si="8"/>
        <v>123283.24800000001</v>
      </c>
      <c r="N55" s="156" t="str">
        <f>VLOOKUP(C55,'Trips&amp;Operators'!$C$1:$G$99999,5,FALSE)</f>
        <v>ROBINSON KADDIBA</v>
      </c>
      <c r="O55" s="182" t="s">
        <v>195</v>
      </c>
      <c r="P55" s="157"/>
      <c r="Q55" s="31"/>
      <c r="R55" s="100" t="str">
        <f>VLOOKUP(C55,'Train Runs'!$A$13:$AE$9970,31,0)</f>
        <v>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 &amp; aws s3 cp s3://rtdc.mdm.uploadarchive.raw/RTDC4042/ "%USERPROFILE%\AppData\Local\Temp\OnboardLogs"\RTDC4042\2016-12-18 --exclude "*" --recursive --include "*20161218*" &amp; "%USERPROFILE%\Documents\GitHub\mrs-test-scripts\Headless Mode &amp; Sideloading\WalkAndUnGZ.bat" "%USERPROFILE%\AppData\Local\Temp\OnboardLogs"\RTDC4042\2016-12-18</v>
      </c>
      <c r="S55" s="103" t="str">
        <f>VLOOKUP(C55,'Train Runs'!$A$13:$AE$9970,22,0)</f>
        <v>https://search-rtdc-monitor-bjffxe2xuh6vdkpspy63sjmuny.us-east-1.es.amazonaws.com/_plugin/kibana/#/discover/Steve-Slow-Train-Analysis-(2080s-and-2083s)?_g=(refreshInterval:(display:Off,section:0,value:0),time:(from:'2016-12-17 06:39:15-700',mode:absolute,to:'2016-12-17 09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55" s="105" t="str">
        <f t="shared" si="9"/>
        <v>"C:\Program Files (x86)\AstroGrep\AstroGrep.exe" /spath="%USERPROFILE%\AppData\Local\Temp\OnboardLogs" /stypes="*4042*201612171*" /stext=" 15:.+((SYSTEM_STATE.+slice.+state.+changed )|(ment ac)|(multiple cpu faults)|(system.+state.+changed )|(\[timeout)|(PRM\|1\|D)|(kpr)|(kdp)|(\|lc)|(penalty))" /e /r /s</v>
      </c>
      <c r="U55" s="9" t="str">
        <f t="shared" si="10"/>
        <v>4042</v>
      </c>
      <c r="V55" s="36">
        <f t="shared" si="11"/>
        <v>42721.650266203702</v>
      </c>
      <c r="W55" s="50" t="str">
        <f t="shared" si="12"/>
        <v>EC</v>
      </c>
      <c r="X55" s="50" t="str">
        <f t="shared" si="13"/>
        <v>OMIT</v>
      </c>
      <c r="Y55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{"issue":{"subject":"","project_id":79,"tracker_id":40,"status_id":1,"priority_id":2,"assigned_to_id":23,"start_date":"2016-12-17","description":"","custom_fields":[{"id":1,"name":"Subdivision","value":"EC"},{"id":4,"name":"Milepost","value":"23.3491"},{"id":17,"name":"Train ID","value":"133-17"},{"id":16,"name":"Locomotive ID","value":"4042"},{"id":130,"name":"Impact","value":""},{"id":150,"name":"Time of Event (Mountain Time)","value":"08:36:23"},{"id":151,"name":"Denver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"%USERPROFILE%\AppData\Local\Temp\OnboardLogs"\RTDC4042\*4042*201612171*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"%USERPROFILE%\AppData\Local\Temp\OnboardLogs"\RTDC4042\*4042*201612171* &gt;&gt; 42721-slicedisagreementcheck.txt</v>
      </c>
    </row>
    <row r="56" spans="1:30" x14ac:dyDescent="0.25">
      <c r="A56" s="36">
        <v>42721.397615740738</v>
      </c>
      <c r="B56" s="31" t="s">
        <v>545</v>
      </c>
      <c r="C56" s="31" t="s">
        <v>556</v>
      </c>
      <c r="D56" s="31" t="s">
        <v>49</v>
      </c>
      <c r="E56" s="31" t="s">
        <v>200</v>
      </c>
      <c r="F56" s="47">
        <v>0</v>
      </c>
      <c r="G56" s="47">
        <v>148</v>
      </c>
      <c r="H56" s="47">
        <v>232451</v>
      </c>
      <c r="I56" s="47">
        <v>232675</v>
      </c>
      <c r="J56" s="31" t="s">
        <v>201</v>
      </c>
      <c r="K56" s="47">
        <v>233491</v>
      </c>
      <c r="L56" s="154" t="s">
        <v>50</v>
      </c>
      <c r="M56" s="155">
        <f t="shared" si="8"/>
        <v>430.84800000000001</v>
      </c>
      <c r="N56" s="156" t="str">
        <f>VLOOKUP(C56,'Trips&amp;Operators'!$C$1:$G$99999,5,FALSE)</f>
        <v>GEBRETEKLE DAGNEW</v>
      </c>
      <c r="O56" s="182" t="s">
        <v>195</v>
      </c>
      <c r="P56" s="157"/>
      <c r="Q56" s="31"/>
      <c r="R56" s="100" t="str">
        <f>VLOOKUP(C56,'Train Runs'!$A$13:$AE$9970,31,0)</f>
        <v>aws s3 cp s3://rtdc.mdm.uploadarchive.raw/RTDC4044/ "%USERPROFILE%\AppData\Local\Temp\OnboardLogs"\RTDC4044\2016-12-17 --exclude "*" --recursive --include "*20161217*" &amp; "%USERPROFILE%\Documents\GitHub\mrs-test-scripts\Headless Mode &amp; Sideloading\WalkAndUnGZ.bat" "%USERPROFILE%\AppData\Local\Temp\OnboardLogs"\RTDC4044\2016-12-17 &amp; aws s3 cp s3://rtdc.mdm.uploadarchive.raw/RTDC4044/ "%USERPROFILE%\AppData\Local\Temp\OnboardLogs"\RTDC4044\2016-12-18 --exclude "*" --recursive --include "*20161218*" &amp; "%USERPROFILE%\Documents\GitHub\mrs-test-scripts\Headless Mode &amp; Sideloading\WalkAndUnGZ.bat" "%USERPROFILE%\AppData\Local\Temp\OnboardLogs"\RTDC4044\2016-12-18</v>
      </c>
      <c r="S56" s="103" t="str">
        <f>VLOOKUP(C56,'Train Runs'!$A$13:$AE$9970,22,0)</f>
        <v>https://search-rtdc-monitor-bjffxe2xuh6vdkpspy63sjmuny.us-east-1.es.amazonaws.com/_plugin/kibana/#/discover/Steve-Slow-Train-Analysis-(2080s-and-2083s)?_g=(refreshInterval:(display:Off,section:0,value:0),time:(from:'2016-12-17 07:51:27-700',mode:absolute,to:'2016-12-17 10:32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6" s="105" t="str">
        <f t="shared" si="9"/>
        <v>"C:\Program Files (x86)\AstroGrep\AstroGrep.exe" /spath="%USERPROFILE%\AppData\Local\Temp\OnboardLogs" /stypes="*4044*201612171*" /stext=" 16:.+((SYSTEM_STATE.+slice.+state.+changed )|(ment ac)|(multiple cpu faults)|(system.+state.+changed )|(\[timeout)|(PRM\|1\|D)|(kpr)|(kdp)|(\|lc)|(penalty))" /e /r /s</v>
      </c>
      <c r="U56" s="9" t="str">
        <f t="shared" si="10"/>
        <v>4044</v>
      </c>
      <c r="V56" s="36">
        <f t="shared" si="11"/>
        <v>42721.689282407402</v>
      </c>
      <c r="W56" s="50" t="str">
        <f t="shared" si="12"/>
        <v>EC</v>
      </c>
      <c r="X56" s="50" t="str">
        <f t="shared" si="13"/>
        <v>KEEP</v>
      </c>
      <c r="Y56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{"issue":{"subject":"","project_id":79,"tracker_id":40,"status_id":1,"priority_id":2,"assigned_to_id":23,"start_date":"2016-12-17","description":"","custom_fields":[{"id":1,"name":"Subdivision","value":"EC"},{"id":4,"name":"Milepost","value":"23.3491"},{"id":17,"name":"Train ID","value":"141-17"},{"id":16,"name":"Locomotive ID","value":"4044"},{"id":130,"name":"Impact","value":""},{"id":150,"name":"Time of Event (Mountain Time)","value":"09:32:34"},{"id":151,"name":"Denver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"%USERPROFILE%\AppData\Local\Temp\OnboardLogs"\RTDC4044\*4044*201612171*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"%USERPROFILE%\AppData\Local\Temp\OnboardLogs"\RTDC4044\*4044*201612171* &gt;&gt; 42721-slicedisagreementcheck.txt</v>
      </c>
    </row>
    <row r="57" spans="1:30" x14ac:dyDescent="0.25">
      <c r="A57" s="36">
        <v>42721.488518518519</v>
      </c>
      <c r="B57" s="31" t="s">
        <v>229</v>
      </c>
      <c r="C57" s="31" t="s">
        <v>560</v>
      </c>
      <c r="D57" s="31" t="s">
        <v>49</v>
      </c>
      <c r="E57" s="31" t="s">
        <v>200</v>
      </c>
      <c r="F57" s="47">
        <v>0</v>
      </c>
      <c r="G57" s="47">
        <v>57</v>
      </c>
      <c r="H57" s="47">
        <v>233310</v>
      </c>
      <c r="I57" s="47">
        <v>233359</v>
      </c>
      <c r="J57" s="31" t="s">
        <v>201</v>
      </c>
      <c r="K57" s="47">
        <v>233491</v>
      </c>
      <c r="L57" s="154" t="s">
        <v>50</v>
      </c>
      <c r="M57" s="155">
        <f t="shared" si="8"/>
        <v>69.695999999999998</v>
      </c>
      <c r="N57" s="156" t="str">
        <f>VLOOKUP(C57,'Trips&amp;Operators'!$C$1:$G$99999,5,FALSE)</f>
        <v>HOLCOMB KAMDEN</v>
      </c>
      <c r="O57" s="182" t="s">
        <v>195</v>
      </c>
      <c r="P57" s="157"/>
      <c r="Q57" s="31"/>
      <c r="R57" s="100" t="str">
        <f>VLOOKUP(C57,'Train Runs'!$A$13:$AE$9970,31,0)</f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S57" s="103" t="str">
        <f>VLOOKUP(C57,'Train Runs'!$A$13:$AE$9970,22,0)</f>
        <v>https://search-rtdc-monitor-bjffxe2xuh6vdkpspy63sjmuny.us-east-1.es.amazonaws.com/_plugin/kibana/#/discover/Steve-Slow-Train-Analysis-(2080s-and-2083s)?_g=(refreshInterval:(display:Off,section:0,value:0),time:(from:'2016-12-17 09:53:15-700',mode:absolute,to:'2016-12-17 12:42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7" s="105" t="str">
        <f t="shared" si="9"/>
        <v>"C:\Program Files (x86)\AstroGrep\AstroGrep.exe" /spath="%USERPROFILE%\AppData\Local\Temp\OnboardLogs" /stypes="*4046*201612171*" /stext=" 18:.+((SYSTEM_STATE.+slice.+state.+changed )|(ment ac)|(multiple cpu faults)|(system.+state.+changed )|(\[timeout)|(PRM\|1\|D)|(kpr)|(kdp)|(\|lc)|(penalty))" /e /r /s</v>
      </c>
      <c r="U57" s="9" t="str">
        <f t="shared" si="10"/>
        <v>4046</v>
      </c>
      <c r="V57" s="36">
        <f t="shared" si="11"/>
        <v>42721.780185185184</v>
      </c>
      <c r="W57" s="50" t="str">
        <f t="shared" si="12"/>
        <v>EC</v>
      </c>
      <c r="X57" s="50" t="str">
        <f t="shared" si="13"/>
        <v>KEEP</v>
      </c>
      <c r="Y57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{"issue":{"subject":"","project_id":79,"tracker_id":40,"status_id":1,"priority_id":2,"assigned_to_id":23,"start_date":"2016-12-17","description":"","custom_fields":[{"id":1,"name":"Subdivision","value":"EC"},{"id":4,"name":"Milepost","value":"23.3491"},{"id":17,"name":"Train ID","value":"159-17"},{"id":16,"name":"Locomotive ID","value":"4046"},{"id":130,"name":"Impact","value":""},{"id":150,"name":"Time of Event (Mountain Time)","value":"11:43:28"},{"id":151,"name":"Denver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38" t="str">
        <f t="shared" si="15"/>
        <v>grep -hSE -A100 "Enforcement Action" "%USERPROFILE%\AppData\Local\Temp\OnboardLogs"\RTDC4046\*4046*201612171*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"&amp;Variables!$A$2&amp;"-slicedisagreementcheck.txt"</f>
        <v>grep -hSE "Enforcement Action" "%USERPROFILE%\AppData\Local\Temp\OnboardLogs"\RTDC4046\*4046*201612171* &gt;&gt; 42721-slicedisagreementcheck.txt</v>
      </c>
    </row>
    <row r="58" spans="1:30" x14ac:dyDescent="0.25">
      <c r="A58" s="36">
        <v>42721.640046296299</v>
      </c>
      <c r="B58" s="31" t="s">
        <v>229</v>
      </c>
      <c r="C58" s="31" t="s">
        <v>573</v>
      </c>
      <c r="D58" s="31" t="s">
        <v>49</v>
      </c>
      <c r="E58" s="31" t="s">
        <v>200</v>
      </c>
      <c r="F58" s="47">
        <v>0</v>
      </c>
      <c r="G58" s="47">
        <v>102</v>
      </c>
      <c r="H58" s="47">
        <v>233108</v>
      </c>
      <c r="I58" s="47">
        <v>233285</v>
      </c>
      <c r="J58" s="31" t="s">
        <v>201</v>
      </c>
      <c r="K58" s="47">
        <v>233491</v>
      </c>
      <c r="L58" s="154" t="s">
        <v>50</v>
      </c>
      <c r="M58" s="155">
        <f t="shared" si="8"/>
        <v>108.768</v>
      </c>
      <c r="N58" s="156" t="str">
        <f>VLOOKUP(C58,'Trips&amp;Operators'!$C$1:$G$99999,5,FALSE)</f>
        <v>HOLCOMB KAMDEN</v>
      </c>
      <c r="O58" s="182" t="s">
        <v>195</v>
      </c>
      <c r="P58" s="157"/>
      <c r="Q58" s="31"/>
      <c r="R58" s="100" t="str">
        <f>VLOOKUP(C58,'Train Runs'!$A$13:$AE$9970,31,0)</f>
        <v>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 &amp; aws s3 cp s3://rtdc.mdm.uploadarchive.raw/RTDC4046/ "%USERPROFILE%\AppData\Local\Temp\OnboardLogs"\RTDC4046\2016-12-18 --exclude "*" --recursive --include "*20161218*" &amp; "%USERPROFILE%\Documents\GitHub\mrs-test-scripts\Headless Mode &amp; Sideloading\WalkAndUnGZ.bat" "%USERPROFILE%\AppData\Local\Temp\OnboardLogs"\RTDC4046\2016-12-18</v>
      </c>
      <c r="S58" s="103" t="str">
        <f>VLOOKUP(C58,'Train Runs'!$A$13:$AE$9970,22,0)</f>
        <v>https://search-rtdc-monitor-bjffxe2xuh6vdkpspy63sjmuny.us-east-1.es.amazonaws.com/_plugin/kibana/#/discover/Steve-Slow-Train-Analysis-(2080s-and-2083s)?_g=(refreshInterval:(display:Off,section:0,value:0),time:(from:'2016-12-17 14:09:50-700',mode:absolute,to:'2016-12-17 16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8" s="105" t="str">
        <f t="shared" si="9"/>
        <v>"C:\Program Files (x86)\AstroGrep\AstroGrep.exe" /spath="%USERPROFILE%\AppData\Local\Temp\OnboardLogs" /stypes="*4046*201612172*" /stext=" 22:.+((SYSTEM_STATE.+slice.+state.+changed )|(ment ac)|(multiple cpu faults)|(system.+state.+changed )|(\[timeout)|(PRM\|1\|D)|(kpr)|(kdp)|(\|lc)|(penalty))" /e /r /s</v>
      </c>
      <c r="U58" s="9" t="str">
        <f t="shared" si="10"/>
        <v>4046</v>
      </c>
      <c r="V58" s="36">
        <f t="shared" si="11"/>
        <v>42721.931712962964</v>
      </c>
      <c r="W58" s="50" t="str">
        <f t="shared" si="12"/>
        <v>EC</v>
      </c>
      <c r="X58" s="50" t="str">
        <f t="shared" si="13"/>
        <v>KEEP</v>
      </c>
      <c r="Y58" s="119" t="str">
        <f t="shared" si="14"/>
        <v>echo {"issue":{"subject":"","project_id":79,"tracker_id":40,"status_id":1,"priority_id":2,"assigned_to_id":23,"start_date":"2016-12-17","description":"","custom_fields":[{"id":1,"name":"Subdivision","value":"EC"},{"id":4,"name":"Milepost","value":"23.3491"},{"id":17,"name":"Train ID","value":"187-17"},{"id":16,"name":"Locomotive ID","value":"4046"},{"id":130,"name":"Impact","value":""},{"id":150,"name":"Time of Event (Mountain Time)","value":"15:21:40"},{"id":151,"name":"Denver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8" t="str">
        <f t="shared" si="15"/>
        <v>grep -hSE -A100 "Enforcement Action" "%USERPROFILE%\AppData\Local\Temp\OnboardLogs"\RTDC4046\*4046*201612172*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"&amp;Variables!$A$2&amp;"-slicedisagreementcheck.txt"</f>
        <v>grep -hSE "Enforcement Action" "%USERPROFILE%\AppData\Local\Temp\OnboardLogs"\RTDC4046\*4046*201612172* &gt;&gt; 42721-slicedisagreementcheck.txt</v>
      </c>
    </row>
    <row r="59" spans="1:30" x14ac:dyDescent="0.25">
      <c r="A59" s="36">
        <v>42721.328182870369</v>
      </c>
      <c r="B59" s="31" t="s">
        <v>207</v>
      </c>
      <c r="C59" s="31" t="s">
        <v>548</v>
      </c>
      <c r="D59" s="31" t="s">
        <v>49</v>
      </c>
      <c r="E59" s="31" t="s">
        <v>248</v>
      </c>
      <c r="F59" s="47">
        <v>320</v>
      </c>
      <c r="G59" s="47">
        <v>462</v>
      </c>
      <c r="H59" s="47">
        <v>17658</v>
      </c>
      <c r="I59" s="47">
        <v>14899</v>
      </c>
      <c r="J59" s="31" t="s">
        <v>249</v>
      </c>
      <c r="K59" s="47">
        <v>15777</v>
      </c>
      <c r="L59" s="154" t="s">
        <v>51</v>
      </c>
      <c r="M59" s="155">
        <f t="shared" si="8"/>
        <v>-463.584</v>
      </c>
      <c r="N59" s="156" t="str">
        <f>VLOOKUP(C59,'Trips&amp;Operators'!$C$1:$G$99999,5,FALSE)</f>
        <v>YORK EDGAR</v>
      </c>
      <c r="O59" s="182" t="s">
        <v>227</v>
      </c>
      <c r="P59" s="157" t="s">
        <v>993</v>
      </c>
      <c r="Q59" s="31"/>
      <c r="R59" s="100" t="str">
        <f>VLOOKUP(C59,'Train Runs'!$A$13:$AE$9970,31,0)</f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S59" s="103" t="str">
        <f>VLOOKUP(C59,'Train Runs'!$A$13:$AE$9970,22,0)</f>
        <v>https://search-rtdc-monitor-bjffxe2xuh6vdkpspy63sjmuny.us-east-1.es.amazonaws.com/_plugin/kibana/#/discover/Steve-Slow-Train-Analysis-(2080s-and-2083s)?_g=(refreshInterval:(display:Off,section:0,value:0),time:(from:'2016-12-17 06:36:40-700',mode:absolute,to:'2016-12-17 08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59" s="105" t="str">
        <f t="shared" si="9"/>
        <v>"C:\Program Files (x86)\AstroGrep\AstroGrep.exe" /spath="%USERPROFILE%\AppData\Local\Temp\OnboardLogs" /stypes="*4039*201612171*" /stext=" 14:.+((SYSTEM_STATE.+slice.+state.+changed )|(ment ac)|(multiple cpu faults)|(system.+state.+changed )|(\[timeout)|(PRM\|1\|D)|(kpr)|(kdp)|(\|lc)|(penalty))" /e /r /s</v>
      </c>
      <c r="U59" s="9" t="str">
        <f t="shared" si="10"/>
        <v>4039</v>
      </c>
      <c r="V59" s="36">
        <f t="shared" si="11"/>
        <v>42721.619849537034</v>
      </c>
      <c r="W59" s="50" t="str">
        <f t="shared" si="12"/>
        <v>NW</v>
      </c>
      <c r="X59" s="50" t="str">
        <f t="shared" si="13"/>
        <v>KEEP</v>
      </c>
      <c r="Y59" s="119" t="str">
        <f t="shared" si="14"/>
        <v>echo {"issue":{"subject":"Early arrival (41st)","project_id":79,"tracker_id":40,"status_id":1,"priority_id":2,"assigned_to_id":23,"start_date":"2016-12-17","description":"","custom_fields":[{"id":1,"name":"Subdivision","value":"NW"},{"id":4,"name":"Milepost","value":"1.5777"},{"id":17,"name":"Train ID","value":"1804-17"},{"id":16,"name":"Locomotive ID","value":"4039"},{"id":130,"name":"Impact","value":""},{"id":150,"name":"Time of Event (Mountain Time)","value":"07:52:35"},{"id":151,"name":"Denver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 t="shared" si="15"/>
        <v>grep -hSE -A100 "Enforcement Action" "%USERPROFILE%\AppData\Local\Temp\OnboardLogs"\RTDC4039\*4039*201612171*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"&amp;Variables!$A$2&amp;"-slicedisagreementcheck.txt"</f>
        <v>grep -hSE "Enforcement Action" "%USERPROFILE%\AppData\Local\Temp\OnboardLogs"\RTDC4039\*4039*201612171* &gt;&gt; 42721-slicedisagreementcheck.txt</v>
      </c>
    </row>
    <row r="60" spans="1:30" x14ac:dyDescent="0.25">
      <c r="A60" s="36">
        <v>42721.369467592594</v>
      </c>
      <c r="B60" s="31" t="s">
        <v>207</v>
      </c>
      <c r="C60" s="31" t="s">
        <v>552</v>
      </c>
      <c r="D60" s="31" t="s">
        <v>49</v>
      </c>
      <c r="E60" s="31" t="s">
        <v>196</v>
      </c>
      <c r="F60" s="47">
        <v>200</v>
      </c>
      <c r="G60" s="47">
        <v>255</v>
      </c>
      <c r="H60" s="47">
        <v>6291</v>
      </c>
      <c r="I60" s="47">
        <v>5726</v>
      </c>
      <c r="J60" s="31" t="s">
        <v>197</v>
      </c>
      <c r="K60" s="47">
        <v>5782</v>
      </c>
      <c r="L60" s="154" t="s">
        <v>51</v>
      </c>
      <c r="M60" s="155">
        <f t="shared" si="8"/>
        <v>-29.568000000000001</v>
      </c>
      <c r="N60" s="156" t="str">
        <f>VLOOKUP(C60,'Trips&amp;Operators'!$C$1:$G$99999,5,FALSE)</f>
        <v>YORK EDGAR</v>
      </c>
      <c r="O60" s="182" t="s">
        <v>195</v>
      </c>
      <c r="P60" s="157"/>
      <c r="Q60" s="31"/>
      <c r="R60" s="100" t="str">
        <f>VLOOKUP(C60,'Train Runs'!$A$13:$AE$9970,31,0)</f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S60" s="103" t="str">
        <f>VLOOKUP(C60,'Train Runs'!$A$13:$AE$9970,22,0)</f>
        <v>https://search-rtdc-monitor-bjffxe2xuh6vdkpspy63sjmuny.us-east-1.es.amazonaws.com/_plugin/kibana/#/discover/Steve-Slow-Train-Analysis-(2080s-and-2083s)?_g=(refreshInterval:(display:Off,section:0,value:0),time:(from:'2016-12-17 07:36:29-700',mode:absolute,to:'2016-12-17 09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60" s="105" t="str">
        <f t="shared" si="9"/>
        <v>"C:\Program Files (x86)\AstroGrep\AstroGrep.exe" /spath="%USERPROFILE%\AppData\Local\Temp\OnboardLogs" /stypes="*4039*201612171*" /stext=" 15:.+((SYSTEM_STATE.+slice.+state.+changed )|(ment ac)|(multiple cpu faults)|(system.+state.+changed )|(\[timeout)|(PRM\|1\|D)|(kpr)|(kdp)|(\|lc)|(penalty))" /e /r /s</v>
      </c>
      <c r="U60" s="9" t="str">
        <f t="shared" si="10"/>
        <v>4039</v>
      </c>
      <c r="V60" s="36">
        <f t="shared" si="11"/>
        <v>42721.661134259259</v>
      </c>
      <c r="W60" s="50" t="str">
        <f t="shared" si="12"/>
        <v>NW</v>
      </c>
      <c r="X60" s="50" t="str">
        <f t="shared" si="13"/>
        <v>KEEP</v>
      </c>
      <c r="Y60" s="119" t="str">
        <f t="shared" si="14"/>
        <v>echo {"issue":{"subject":"","project_id":79,"tracker_id":40,"status_id":1,"priority_id":2,"assigned_to_id":23,"start_date":"2016-12-17","description":"","custom_fields":[{"id":1,"name":"Subdivision","value":"NW"},{"id":4,"name":"Milepost","value":"0.5782"},{"id":17,"name":"Train ID","value":"1806-17"},{"id":16,"name":"Locomotive ID","value":"4039"},{"id":130,"name":"Impact","value":""},{"id":150,"name":"Time of Event (Mountain Time)","value":"08:52:02"},{"id":151,"name":"Denver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38" t="str">
        <f t="shared" si="15"/>
        <v>grep -hSE -A100 "Enforcement Action" "%USERPROFILE%\AppData\Local\Temp\OnboardLogs"\RTDC4039\*4039*201612171*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"&amp;Variables!$A$2&amp;"-slicedisagreementcheck.txt"</f>
        <v>grep -hSE "Enforcement Action" "%USERPROFILE%\AppData\Local\Temp\OnboardLogs"\RTDC4039\*4039*201612171* &gt;&gt; 42721-slicedisagreementcheck.txt</v>
      </c>
    </row>
    <row r="61" spans="1:30" x14ac:dyDescent="0.25">
      <c r="A61" s="36">
        <v>42721.812106481484</v>
      </c>
      <c r="B61" s="31" t="s">
        <v>206</v>
      </c>
      <c r="C61" s="31" t="s">
        <v>578</v>
      </c>
      <c r="D61" s="31" t="s">
        <v>49</v>
      </c>
      <c r="E61" s="31" t="s">
        <v>198</v>
      </c>
      <c r="F61" s="47">
        <v>0</v>
      </c>
      <c r="G61" s="47">
        <v>325</v>
      </c>
      <c r="H61" s="47">
        <v>32980</v>
      </c>
      <c r="I61" s="47">
        <v>33838</v>
      </c>
      <c r="J61" s="31" t="s">
        <v>199</v>
      </c>
      <c r="K61" s="47">
        <v>34583</v>
      </c>
      <c r="L61" s="154" t="s">
        <v>50</v>
      </c>
      <c r="M61" s="155">
        <f t="shared" si="8"/>
        <v>393.36</v>
      </c>
      <c r="N61" s="156" t="str">
        <f>VLOOKUP(C61,'Trips&amp;Operators'!$C$1:$G$99999,5,FALSE)</f>
        <v>WHITED DUSTIN</v>
      </c>
      <c r="O61" s="182" t="s">
        <v>195</v>
      </c>
      <c r="P61" s="157" t="s">
        <v>1000</v>
      </c>
      <c r="Q61" s="31"/>
      <c r="R61" s="100" t="str">
        <f>VLOOKUP(C61,'Train Runs'!$A$13:$AE$9970,31,0)</f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S61" s="103" t="str">
        <f>VLOOKUP(C61,'Train Runs'!$A$13:$AE$9970,22,0)</f>
        <v>https://search-rtdc-monitor-bjffxe2xuh6vdkpspy63sjmuny.us-east-1.es.amazonaws.com/_plugin/kibana/#/discover/Steve-Slow-Train-Analysis-(2080s-and-2083s)?_g=(refreshInterval:(display:Off,section:0,value:0),time:(from:'2016-12-17 17:59:27-700',mode:absolute,to:'2016-12-17 20:38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61" s="105" t="str">
        <f t="shared" si="9"/>
        <v>"C:\Program Files (x86)\AstroGrep\AstroGrep.exe" /spath="%USERPROFILE%\AppData\Local\Temp\OnboardLogs" /stypes="*4040*201612180*" /stext=" 02:.+((SYSTEM_STATE.+slice.+state.+changed )|(ment ac)|(multiple cpu faults)|(system.+state.+changed )|(\[timeout)|(PRM\|1\|D)|(kpr)|(kdp)|(\|lc)|(penalty))" /e /r /s</v>
      </c>
      <c r="U61" s="9" t="str">
        <f t="shared" si="10"/>
        <v>4040</v>
      </c>
      <c r="V61" s="36">
        <f t="shared" si="11"/>
        <v>42722.103773148148</v>
      </c>
      <c r="W61" s="50" t="str">
        <f t="shared" si="12"/>
        <v>NW</v>
      </c>
      <c r="X61" s="50" t="str">
        <f t="shared" si="13"/>
        <v>KEEP</v>
      </c>
      <c r="Y61" s="119" t="str">
        <f t="shared" si="14"/>
        <v>echo {"issue":{"subject":"RESTRICTED aspect","project_id":79,"tracker_id":40,"status_id":1,"priority_id":2,"assigned_to_id":23,"start_date":"2016-12-17","description":"","custom_fields":[{"id":1,"name":"Subdivision","value":"NW"},{"id":4,"name":"Milepost","value":"3.4583"},{"id":17,"name":"Train ID","value":"1827-17"},{"id":16,"name":"Locomotive ID","value":"4040"},{"id":130,"name":"Impact","value":""},{"id":150,"name":"Time of Event (Mountain Time)","value":"19:29:26"},{"id":151,"name":"Denver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38" t="str">
        <f t="shared" si="15"/>
        <v>grep -hSE -A100 "Enforcement Action" "%USERPROFILE%\AppData\Local\Temp\OnboardLogs"\RTDC4040\*4040*201612180*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"&amp;Variables!$A$2&amp;"-slicedisagreementcheck.txt"</f>
        <v>grep -hSE "Enforcement Action" "%USERPROFILE%\AppData\Local\Temp\OnboardLogs"\RTDC4040\*4040*201612180* &gt;&gt; 42721-slicedisagreementcheck.txt</v>
      </c>
    </row>
    <row r="62" spans="1:30" x14ac:dyDescent="0.25">
      <c r="A62" s="36">
        <v>42721.395486111112</v>
      </c>
      <c r="B62" s="31" t="s">
        <v>206</v>
      </c>
      <c r="C62" s="31" t="s">
        <v>555</v>
      </c>
      <c r="D62" s="31" t="s">
        <v>49</v>
      </c>
      <c r="E62" s="31" t="s">
        <v>198</v>
      </c>
      <c r="F62" s="47">
        <v>0</v>
      </c>
      <c r="G62" s="47">
        <v>454</v>
      </c>
      <c r="H62" s="47">
        <v>35102</v>
      </c>
      <c r="I62" s="47">
        <v>36970</v>
      </c>
      <c r="J62" s="31" t="s">
        <v>199</v>
      </c>
      <c r="K62" s="47">
        <v>37602</v>
      </c>
      <c r="L62" s="154" t="s">
        <v>50</v>
      </c>
      <c r="M62" s="155">
        <f t="shared" si="8"/>
        <v>333.69600000000003</v>
      </c>
      <c r="N62" s="156" t="str">
        <f>VLOOKUP(C62,'Trips&amp;Operators'!$C$1:$G$99999,5,FALSE)</f>
        <v>YORK EDGAR</v>
      </c>
      <c r="O62" s="182" t="s">
        <v>227</v>
      </c>
      <c r="P62" s="157" t="s">
        <v>978</v>
      </c>
      <c r="Q62" s="31"/>
      <c r="R62" s="100" t="str">
        <f>VLOOKUP(C62,'Train Runs'!$A$13:$AE$9970,31,0)</f>
        <v>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 &amp; aws s3 cp s3://rtdc.mdm.uploadarchive.raw/RTDC4040/ "%USERPROFILE%\AppData\Local\Temp\OnboardLogs"\RTDC4040\2016-12-18 --exclude "*" --recursive --include "*20161218*" &amp; "%USERPROFILE%\Documents\GitHub\mrs-test-scripts\Headless Mode &amp; Sideloading\WalkAndUnGZ.bat" "%USERPROFILE%\AppData\Local\Temp\OnboardLogs"\RTDC4040\2016-12-18</v>
      </c>
      <c r="S62" s="103" t="str">
        <f>VLOOKUP(C62,'Train Runs'!$A$13:$AE$9970,22,0)</f>
        <v>https://search-rtdc-monitor-bjffxe2xuh6vdkpspy63sjmuny.us-east-1.es.amazonaws.com/_plugin/kibana/#/discover/Steve-Slow-Train-Analysis-(2080s-and-2083s)?_g=(refreshInterval:(display:Off,section:0,value:0),time:(from:'2016-12-17 07:56:58-700',mode:absolute,to:'2016-12-17 10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62" s="105" t="str">
        <f t="shared" si="9"/>
        <v>"C:\Program Files (x86)\AstroGrep\AstroGrep.exe" /spath="%USERPROFILE%\AppData\Local\Temp\OnboardLogs" /stypes="*4040*201612171*" /stext=" 16:.+((SYSTEM_STATE.+slice.+state.+changed )|(ment ac)|(multiple cpu faults)|(system.+state.+changed )|(\[timeout)|(PRM\|1\|D)|(kpr)|(kdp)|(\|lc)|(penalty))" /e /r /s</v>
      </c>
      <c r="U62" s="9" t="str">
        <f t="shared" si="10"/>
        <v>4040</v>
      </c>
      <c r="V62" s="36">
        <f t="shared" si="11"/>
        <v>42721.687152777777</v>
      </c>
      <c r="W62" s="50" t="str">
        <f t="shared" si="12"/>
        <v>NW</v>
      </c>
      <c r="X62" s="50" t="str">
        <f t="shared" si="13"/>
        <v>KEEP</v>
      </c>
      <c r="Y62" s="119" t="str">
        <f t="shared" si="14"/>
        <v>echo {"issue":{"subject":"Wi-MAX data drop","project_id":79,"tracker_id":40,"status_id":1,"priority_id":2,"assigned_to_id":23,"start_date":"2016-12-17","description":"http://stevetu21.github.io/eaglep3/load_kml.html?kml=http://rtdc.gmaps-snips.s3.amazonaws.com/6571c4c5-93f8-442b-a0ec-99b757ed96ed.kml","custom_fields":[{"id":1,"name":"Subdivision","value":"NW"},{"id":4,"name":"Milepost","value":"3.7602"},{"id":17,"name":"Train ID","value":"1807-17"},{"id":16,"name":"Locomotive ID","value":"4040"},{"id":130,"name":"Impact","value":"Enforcement"},{"id":150,"name":"Time of Event (Mountain Time)","value":"09:29:30"},{"id":151,"name":"Denver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62" s="183" t="s">
        <v>1001</v>
      </c>
      <c r="AA62" s="53" t="s">
        <v>125</v>
      </c>
      <c r="AB62" s="53" t="s">
        <v>138</v>
      </c>
      <c r="AC62" s="138" t="str">
        <f t="shared" si="15"/>
        <v>grep -hSE -A100 "Enforcement Action" "%USERPROFILE%\AppData\Local\Temp\OnboardLogs"\RTDC4040\*4040*201612171*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"&amp;Variables!$A$2&amp;"-slicedisagreementcheck.txt"</f>
        <v>grep -hSE "Enforcement Action" "%USERPROFILE%\AppData\Local\Temp\OnboardLogs"\RTDC4040\*4040*201612171* &gt;&gt; 42721-slicedisagreementcheck.txt</v>
      </c>
    </row>
    <row r="63" spans="1:30" x14ac:dyDescent="0.25">
      <c r="A63" s="36">
        <v>42721.915960648148</v>
      </c>
      <c r="B63" s="31" t="s">
        <v>207</v>
      </c>
      <c r="C63" s="31" t="s">
        <v>582</v>
      </c>
      <c r="D63" s="31" t="s">
        <v>49</v>
      </c>
      <c r="E63" s="31" t="s">
        <v>200</v>
      </c>
      <c r="F63" s="47">
        <v>0</v>
      </c>
      <c r="G63" s="47">
        <v>32</v>
      </c>
      <c r="H63" s="47">
        <v>684</v>
      </c>
      <c r="I63" s="47">
        <v>663</v>
      </c>
      <c r="J63" s="31" t="s">
        <v>201</v>
      </c>
      <c r="K63" s="47">
        <v>575</v>
      </c>
      <c r="L63" s="154" t="s">
        <v>51</v>
      </c>
      <c r="M63" s="155">
        <f t="shared" si="8"/>
        <v>46.463999999999999</v>
      </c>
      <c r="N63" s="156" t="str">
        <f>VLOOKUP(C63,'Trips&amp;Operators'!$C$1:$G$99999,5,FALSE)</f>
        <v>WHITED DUSTIN</v>
      </c>
      <c r="O63" s="182" t="s">
        <v>195</v>
      </c>
      <c r="P63" s="157"/>
      <c r="Q63" s="31"/>
      <c r="R63" s="100" t="str">
        <f>VLOOKUP(C63,'Train Runs'!$A$13:$AE$9970,31,0)</f>
        <v>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 &amp; aws s3 cp s3://rtdc.mdm.uploadarchive.raw/RTDC4039/ "%USERPROFILE%\AppData\Local\Temp\OnboardLogs"\RTDC4039\2016-12-18 --exclude "*" --recursive --include "*20161218*" &amp; "%USERPROFILE%\Documents\GitHub\mrs-test-scripts\Headless Mode &amp; Sideloading\WalkAndUnGZ.bat" "%USERPROFILE%\AppData\Local\Temp\OnboardLogs"\RTDC4039\2016-12-18</v>
      </c>
      <c r="S63" s="103" t="str">
        <f>VLOOKUP(C63,'Train Runs'!$A$13:$AE$9970,22,0)</f>
        <v>https://search-rtdc-monitor-bjffxe2xuh6vdkpspy63sjmuny.us-east-1.es.amazonaws.com/_plugin/kibana/#/discover/Steve-Slow-Train-Analysis-(2080s-and-2083s)?_g=(refreshInterval:(display:Off,section:0,value:0),time:(from:'2016-12-17 20:41:48-700',mode:absolute,to:'2016-12-17 22:58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63" s="105" t="str">
        <f t="shared" si="9"/>
        <v>"C:\Program Files (x86)\AstroGrep\AstroGrep.exe" /spath="%USERPROFILE%\AppData\Local\Temp\OnboardLogs" /stypes="*4039*201612180*" /stext=" 04:.+((SYSTEM_STATE.+slice.+state.+changed )|(ment ac)|(multiple cpu faults)|(system.+state.+changed )|(\[timeout)|(PRM\|1\|D)|(kpr)|(kdp)|(\|lc)|(penalty))" /e /r /s</v>
      </c>
      <c r="U63" s="9" t="str">
        <f t="shared" si="10"/>
        <v>4039</v>
      </c>
      <c r="V63" s="36">
        <f t="shared" si="11"/>
        <v>42722.207627314812</v>
      </c>
      <c r="W63" s="50" t="str">
        <f t="shared" si="12"/>
        <v>NW</v>
      </c>
      <c r="X63" s="50" t="str">
        <f t="shared" si="13"/>
        <v>KEEP</v>
      </c>
      <c r="Y63" s="119" t="str">
        <f t="shared" si="14"/>
        <v>echo {"issue":{"subject":"","project_id":79,"tracker_id":40,"status_id":1,"priority_id":2,"assigned_to_id":23,"start_date":"2016-12-17","description":"","custom_fields":[{"id":1,"name":"Subdivision","value":"NW"},{"id":4,"name":"Milepost","value":"0.0575"},{"id":17,"name":"Train ID","value":"1832-17"},{"id":16,"name":"Locomotive ID","value":"4039"},{"id":130,"name":"Impact","value":""},{"id":150,"name":"Time of Event (Mountain Time)","value":"21:58:59"},{"id":151,"name":"Denver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38" t="str">
        <f t="shared" si="15"/>
        <v>grep -hSE -A100 "Enforcement Action" "%USERPROFILE%\AppData\Local\Temp\OnboardLogs"\RTDC4039\*4039*201612180*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"&amp;Variables!$A$2&amp;"-slicedisagreementcheck.txt"</f>
        <v>grep -hSE "Enforcement Action" "%USERPROFILE%\AppData\Local\Temp\OnboardLogs"\RTDC4039\*4039*201612180* &gt;&gt; 42721-slicedisagreementcheck.txt</v>
      </c>
    </row>
    <row r="64" spans="1:30" x14ac:dyDescent="0.25">
      <c r="A64" s="36">
        <v>42721.636828703704</v>
      </c>
      <c r="B64" s="31" t="s">
        <v>571</v>
      </c>
      <c r="C64" s="31" t="s">
        <v>572</v>
      </c>
      <c r="D64" s="31" t="s">
        <v>49</v>
      </c>
      <c r="E64" s="31" t="s">
        <v>248</v>
      </c>
      <c r="F64" s="47">
        <v>90</v>
      </c>
      <c r="G64" s="47">
        <v>141</v>
      </c>
      <c r="H64" s="47">
        <v>10215</v>
      </c>
      <c r="I64" s="47">
        <v>10462</v>
      </c>
      <c r="J64" s="31" t="s">
        <v>249</v>
      </c>
      <c r="K64" s="47">
        <v>10716</v>
      </c>
      <c r="L64" s="154" t="s">
        <v>50</v>
      </c>
      <c r="M64" s="155">
        <f t="shared" si="8"/>
        <v>134.11199999999999</v>
      </c>
      <c r="N64" s="156" t="str">
        <f>VLOOKUP(C64,'Trips&amp;Operators'!$C$1:$G$99999,5,FALSE)</f>
        <v>MAHAN DUANE</v>
      </c>
      <c r="O64" s="182" t="s">
        <v>195</v>
      </c>
      <c r="P64" s="157"/>
      <c r="Q64" s="31"/>
      <c r="R64" s="100" t="str">
        <f>VLOOKUP(C64,'Train Runs'!$A$13:$AE$9970,31,0)</f>
        <v>aws s3 cp s3://rtdc.mdm.uploadarchive.raw/RTDC4031/ "%USERPROFILE%\AppData\Local\Temp\OnboardLogs"\RTDC4031\2016-12-17 --exclude "*" --recursive --include "*20161217*" &amp; "%USERPROFILE%\Documents\GitHub\mrs-test-scripts\Headless Mode &amp; Sideloading\WalkAndUnGZ.bat" "%USERPROFILE%\AppData\Local\Temp\OnboardLogs"\RTDC4031\2016-12-17 &amp; aws s3 cp s3://rtdc.mdm.uploadarchive.raw/RTDC4031/ "%USERPROFILE%\AppData\Local\Temp\OnboardLogs"\RTDC4031\2016-12-18 --exclude "*" --recursive --include "*20161218*" &amp; "%USERPROFILE%\Documents\GitHub\mrs-test-scripts\Headless Mode &amp; Sideloading\WalkAndUnGZ.bat" "%USERPROFILE%\AppData\Local\Temp\OnboardLogs"\RTDC4031\2016-12-18</v>
      </c>
      <c r="S64" s="103" t="str">
        <f>VLOOKUP(C64,'Train Runs'!$A$13:$AE$9970,22,0)</f>
        <v>https://search-rtdc-monitor-bjffxe2xuh6vdkpspy63sjmuny.us-east-1.es.amazonaws.com/_plugin/kibana/#/discover/Steve-Slow-Train-Analysis-(2080s-and-2083s)?_g=(refreshInterval:(display:Off,section:0,value:0),time:(from:'2016-12-17 14:10:01-700',mode:absolute,to:'2016-12-17 16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64" s="105" t="str">
        <f t="shared" si="9"/>
        <v>"C:\Program Files (x86)\AstroGrep\AstroGrep.exe" /spath="%USERPROFILE%\AppData\Local\Temp\OnboardLogs" /stypes="*4031*201612172*" /stext=" 22:.+((SYSTEM_STATE.+slice.+state.+changed )|(ment ac)|(multiple cpu faults)|(system.+state.+changed )|(\[timeout)|(PRM\|1\|D)|(kpr)|(kdp)|(\|lc)|(penalty))" /e /r /s</v>
      </c>
      <c r="U64" s="9" t="str">
        <f t="shared" si="10"/>
        <v>4031</v>
      </c>
      <c r="V64" s="36">
        <f t="shared" si="11"/>
        <v>42721.928495370368</v>
      </c>
      <c r="W64" s="50" t="str">
        <f t="shared" si="12"/>
        <v>Other</v>
      </c>
      <c r="X64" s="50" t="str">
        <f t="shared" si="13"/>
        <v>KEEP</v>
      </c>
      <c r="Y64" s="119" t="str">
        <f t="shared" si="14"/>
        <v>echo {"issue":{"subject":"","project_id":79,"tracker_id":40,"status_id":1,"priority_id":2,"assigned_to_id":23,"start_date":"2016-12-17","description":"","custom_fields":[{"id":1,"name":"Subdivision","value":"Other"},{"id":4,"name":"Milepost","value":"1.0716"},{"id":17,"name":"Train ID","value":"67-17"},{"id":16,"name":"Locomotive ID","value":"4031"},{"id":130,"name":"Impact","value":""},{"id":150,"name":"Time of Event (Mountain Time)","value":"15:17:02"},{"id":151,"name":"Denver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38" t="str">
        <f t="shared" si="15"/>
        <v>grep -hSE -A100 "Enforcement Action" "%USERPROFILE%\AppData\Local\Temp\OnboardLogs"\RTDC4031\*4031*201612172*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"&amp;Variables!$A$2&amp;"-slicedisagreementcheck.txt"</f>
        <v>grep -hSE "Enforcement Action" "%USERPROFILE%\AppData\Local\Temp\OnboardLogs"\RTDC4031\*4031*201612172* &gt;&gt; 42721-slicedisagreementcheck.txt</v>
      </c>
    </row>
    <row r="65" spans="1:30" x14ac:dyDescent="0.25">
      <c r="A65" s="36">
        <v>42721.190057870372</v>
      </c>
      <c r="B65" s="31" t="s">
        <v>317</v>
      </c>
      <c r="C65" s="31" t="s">
        <v>535</v>
      </c>
      <c r="D65" s="31" t="s">
        <v>49</v>
      </c>
      <c r="E65" s="31" t="s">
        <v>198</v>
      </c>
      <c r="F65" s="47">
        <v>0</v>
      </c>
      <c r="G65" s="47">
        <v>58</v>
      </c>
      <c r="H65" s="47">
        <v>11038</v>
      </c>
      <c r="I65" s="47">
        <v>10774</v>
      </c>
      <c r="J65" s="31" t="s">
        <v>199</v>
      </c>
      <c r="K65" s="47">
        <v>11016</v>
      </c>
      <c r="L65" s="154" t="s">
        <v>51</v>
      </c>
      <c r="M65" s="155">
        <f t="shared" si="8"/>
        <v>-127.776</v>
      </c>
      <c r="N65" s="156" t="str">
        <f>VLOOKUP(C65,'Trips&amp;Operators'!$C$1:$G$99999,5,FALSE)</f>
        <v>KILLION DAVID</v>
      </c>
      <c r="O65" s="182" t="s">
        <v>195</v>
      </c>
      <c r="P65" s="157"/>
      <c r="Q65" s="31"/>
      <c r="R65" s="100" t="str">
        <f>VLOOKUP(C65,'Train Runs'!$A$13:$AE$9970,31,0)</f>
        <v>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 &amp; aws s3 cp s3://rtdc.mdm.uploadarchive.raw/RTDC4017/ "%USERPROFILE%\AppData\Local\Temp\OnboardLogs"\RTDC4017\2016-12-18 --exclude "*" --recursive --include "*20161218*" &amp; "%USERPROFILE%\Documents\GitHub\mrs-test-scripts\Headless Mode &amp; Sideloading\WalkAndUnGZ.bat" "%USERPROFILE%\AppData\Local\Temp\OnboardLogs"\RTDC4017\2016-12-18</v>
      </c>
      <c r="S65" s="103" t="str">
        <f>VLOOKUP(C65,'Train Runs'!$A$13:$AE$9970,22,0)</f>
        <v>https://search-rtdc-monitor-bjffxe2xuh6vdkpspy63sjmuny.us-east-1.es.amazonaws.com/_plugin/kibana/#/discover/Steve-Slow-Train-Analysis-(2080s-and-2083s)?_g=(refreshInterval:(display:Off,section:0,value:0),time:(from:'2016-12-17 03:27:54-700',mode:absolute,to:'2016-12-17 05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65" s="105" t="str">
        <f t="shared" si="9"/>
        <v>"C:\Program Files (x86)\AstroGrep\AstroGrep.exe" /spath="%USERPROFILE%\AppData\Local\Temp\OnboardLogs" /stypes="*4017*201612171*" /stext=" 11:.+((SYSTEM_STATE.+slice.+state.+changed )|(ment ac)|(multiple cpu faults)|(system.+state.+changed )|(\[timeout)|(PRM\|1\|D)|(kpr)|(kdp)|(\|lc)|(penalty))" /e /r /s</v>
      </c>
      <c r="U65" s="9" t="str">
        <f t="shared" si="10"/>
        <v>4017</v>
      </c>
      <c r="V65" s="36">
        <f t="shared" si="11"/>
        <v>42721.481724537036</v>
      </c>
      <c r="W65" s="50" t="str">
        <f t="shared" si="12"/>
        <v>Other</v>
      </c>
      <c r="X65" s="50" t="str">
        <f t="shared" si="13"/>
        <v>KEEP</v>
      </c>
      <c r="Y65" s="119" t="str">
        <f t="shared" si="14"/>
        <v>echo {"issue":{"subject":"","project_id":79,"tracker_id":40,"status_id":1,"priority_id":2,"assigned_to_id":23,"start_date":"2016-12-17","description":"","custom_fields":[{"id":1,"name":"Subdivision","value":"Other"},{"id":4,"name":"Milepost","value":"1.1016"},{"id":17,"name":"Train ID","value":"310-17"},{"id":16,"name":"Locomotive ID","value":"4017"},{"id":130,"name":"Impact","value":""},{"id":150,"name":"Time of Event (Mountain Time)","value":"04:33:41"},{"id":151,"name":"Denver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3"/>
      <c r="AA65" s="53"/>
      <c r="AB65" s="53"/>
      <c r="AC65" s="138" t="str">
        <f t="shared" si="15"/>
        <v>grep -hSE -A100 "Enforcement Action" "%USERPROFILE%\AppData\Local\Temp\OnboardLogs"\RTDC4017\*4017*201612171*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"&amp;Variables!$A$2&amp;"-slicedisagreementcheck.txt"</f>
        <v>grep -hSE "Enforcement Action" "%USERPROFILE%\AppData\Local\Temp\OnboardLogs"\RTDC4017\*4017*201612171* &gt;&gt; 42721-slicedisagreementcheck.txt</v>
      </c>
    </row>
    <row r="66" spans="1:30" x14ac:dyDescent="0.25">
      <c r="A66" s="36">
        <v>42721.170057870368</v>
      </c>
      <c r="B66" s="31" t="s">
        <v>265</v>
      </c>
      <c r="C66" s="31" t="s">
        <v>534</v>
      </c>
      <c r="D66" s="31" t="s">
        <v>49</v>
      </c>
      <c r="E66" s="31" t="s">
        <v>200</v>
      </c>
      <c r="F66" s="47">
        <v>0</v>
      </c>
      <c r="G66" s="47">
        <v>37</v>
      </c>
      <c r="H66" s="47">
        <v>99</v>
      </c>
      <c r="I66" s="47">
        <v>52</v>
      </c>
      <c r="J66" s="31" t="s">
        <v>201</v>
      </c>
      <c r="K66" s="47">
        <v>1</v>
      </c>
      <c r="L66" s="154" t="s">
        <v>51</v>
      </c>
      <c r="M66" s="155">
        <f t="shared" si="8"/>
        <v>26.928000000000001</v>
      </c>
      <c r="N66" s="156" t="str">
        <f>VLOOKUP(C66,'Trips&amp;Operators'!$C$1:$G$99999,5,FALSE)</f>
        <v>ACKERMAN JARED</v>
      </c>
      <c r="O66" s="182" t="s">
        <v>195</v>
      </c>
      <c r="P66" s="157"/>
      <c r="Q66" s="31"/>
      <c r="R66" s="100" t="str">
        <f>VLOOKUP(C66,'Train Runs'!$A$13:$AE$9970,31,0)</f>
        <v>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 &amp; aws s3 cp s3://rtdc.mdm.uploadarchive.raw/RTDC4045/ "%USERPROFILE%\AppData\Local\Temp\OnboardLogs"\RTDC4045\2016-12-18 --exclude "*" --recursive --include "*20161218*" &amp; "%USERPROFILE%\Documents\GitHub\mrs-test-scripts\Headless Mode &amp; Sideloading\WalkAndUnGZ.bat" "%USERPROFILE%\AppData\Local\Temp\OnboardLogs"\RTDC4045\2016-12-18</v>
      </c>
      <c r="S66" s="103" t="str">
        <f>VLOOKUP(C66,'Train Runs'!$A$13:$AE$9970,22,0)</f>
        <v>https://search-rtdc-monitor-bjffxe2xuh6vdkpspy63sjmuny.us-east-1.es.amazonaws.com/_plugin/kibana/#/discover/Steve-Slow-Train-Analysis-(2080s-and-2083s)?_g=(refreshInterval:(display:Off,section:0,value:0),time:(from:'2016-12-17 02:53:10-700',mode:absolute,to:'2016-12-17 05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66" s="105" t="str">
        <f t="shared" si="9"/>
        <v>"C:\Program Files (x86)\AstroGrep\AstroGrep.exe" /spath="%USERPROFILE%\AppData\Local\Temp\OnboardLogs" /stypes="*4045*201612171*" /stext=" 11:.+((SYSTEM_STATE.+slice.+state.+changed )|(ment ac)|(multiple cpu faults)|(system.+state.+changed )|(\[timeout)|(PRM\|1\|D)|(kpr)|(kdp)|(\|lc)|(penalty))" /e /r /s</v>
      </c>
      <c r="U66" s="9" t="str">
        <f t="shared" si="10"/>
        <v>4045</v>
      </c>
      <c r="V66" s="36">
        <f t="shared" si="11"/>
        <v>42721.461724537032</v>
      </c>
      <c r="W66" s="50" t="str">
        <f t="shared" si="12"/>
        <v>Other</v>
      </c>
      <c r="X66" s="50" t="str">
        <f t="shared" si="13"/>
        <v>KEEP</v>
      </c>
      <c r="Y66" s="119" t="str">
        <f t="shared" si="14"/>
        <v>echo {"issue":{"subject":"","project_id":79,"tracker_id":40,"status_id":1,"priority_id":2,"assigned_to_id":23,"start_date":"2016-12-17","description":"","custom_fields":[{"id":1,"name":"Subdivision","value":"Other"},{"id":4,"name":"Milepost","value":"0.0001"},{"id":17,"name":"Train ID","value":"306-17"},{"id":16,"name":"Locomotive ID","value":"4045"},{"id":130,"name":"Impact","value":""},{"id":150,"name":"Time of Event (Mountain Time)","value":"04:04:53"},{"id":151,"name":"Denver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3"/>
      <c r="AA66" s="53"/>
      <c r="AB66" s="53"/>
      <c r="AC66" s="138" t="str">
        <f t="shared" si="15"/>
        <v>grep -hSE -A100 "Enforcement Action" "%USERPROFILE%\AppData\Local\Temp\OnboardLogs"\RTDC4045\*4045*201612171*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"&amp;Variables!$A$2&amp;"-slicedisagreementcheck.txt"</f>
        <v>grep -hSE "Enforcement Action" "%USERPROFILE%\AppData\Local\Temp\OnboardLogs"\RTDC4045\*4045*201612171* &gt;&gt; 42721-slicedisagreementcheck.txt</v>
      </c>
    </row>
    <row r="67" spans="1:30" x14ac:dyDescent="0.25">
      <c r="A67" s="36">
        <v>42721.42496527778</v>
      </c>
      <c r="B67" s="31" t="s">
        <v>302</v>
      </c>
      <c r="C67" s="31" t="s">
        <v>557</v>
      </c>
      <c r="D67" s="31" t="s">
        <v>49</v>
      </c>
      <c r="E67" s="31" t="s">
        <v>200</v>
      </c>
      <c r="F67" s="47">
        <v>0</v>
      </c>
      <c r="G67" s="47">
        <v>19</v>
      </c>
      <c r="H67" s="47">
        <v>53</v>
      </c>
      <c r="I67" s="47">
        <v>39</v>
      </c>
      <c r="J67" s="31" t="s">
        <v>201</v>
      </c>
      <c r="K67" s="47">
        <v>1</v>
      </c>
      <c r="L67" s="154" t="s">
        <v>51</v>
      </c>
      <c r="M67" s="155">
        <f t="shared" si="8"/>
        <v>20.064</v>
      </c>
      <c r="N67" s="156" t="str">
        <f>VLOOKUP(C67,'Trips&amp;Operators'!$C$1:$G$99999,5,FALSE)</f>
        <v>MAHAN DUANE</v>
      </c>
      <c r="O67" s="182" t="s">
        <v>195</v>
      </c>
      <c r="P67" s="157"/>
      <c r="Q67" s="31"/>
      <c r="R67" s="100" t="str">
        <f>VLOOKUP(C67,'Train Runs'!$A$13:$AE$9970,31,0)</f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S67" s="103" t="str">
        <f>VLOOKUP(C67,'Train Runs'!$A$13:$AE$9970,22,0)</f>
        <v>https://search-rtdc-monitor-bjffxe2xuh6vdkpspy63sjmuny.us-east-1.es.amazonaws.com/_plugin/kibana/#/discover/Steve-Slow-Train-Analysis-(2080s-and-2083s)?_g=(refreshInterval:(display:Off,section:0,value:0),time:(from:'2016-12-17 08:58:47-700',mode:absolute,to:'2016-12-17 11:11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67" s="105" t="str">
        <f t="shared" si="9"/>
        <v>"C:\Program Files (x86)\AstroGrep\AstroGrep.exe" /spath="%USERPROFILE%\AppData\Local\Temp\OnboardLogs" /stypes="*4021*201612171*" /stext=" 17:.+((SYSTEM_STATE.+slice.+state.+changed )|(ment ac)|(multiple cpu faults)|(system.+state.+changed )|(\[timeout)|(PRM\|1\|D)|(kpr)|(kdp)|(\|lc)|(penalty))" /e /r /s</v>
      </c>
      <c r="U67" s="9" t="str">
        <f t="shared" si="10"/>
        <v>4021</v>
      </c>
      <c r="V67" s="36">
        <f t="shared" si="11"/>
        <v>42721.716631944444</v>
      </c>
      <c r="W67" s="50" t="str">
        <f t="shared" si="12"/>
        <v>Other</v>
      </c>
      <c r="X67" s="50" t="str">
        <f t="shared" si="13"/>
        <v>KEEP</v>
      </c>
      <c r="Y67" s="119" t="str">
        <f t="shared" si="14"/>
        <v>echo {"issue":{"subject":"","project_id":79,"tracker_id":40,"status_id":1,"priority_id":2,"assigned_to_id":23,"start_date":"2016-12-17","description":"","custom_fields":[{"id":1,"name":"Subdivision","value":"Other"},{"id":4,"name":"Milepost","value":"0.0001"},{"id":17,"name":"Train ID","value":"52-17"},{"id":16,"name":"Locomotive ID","value":"4021"},{"id":130,"name":"Impact","value":""},{"id":150,"name":"Time of Event (Mountain Time)","value":"10:11:57"},{"id":151,"name":"Denver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3"/>
      <c r="AA67" s="53"/>
      <c r="AB67" s="53"/>
      <c r="AC67" s="138" t="str">
        <f t="shared" si="15"/>
        <v>grep -hSE -A100 "Enforcement Action" "%USERPROFILE%\AppData\Local\Temp\OnboardLogs"\RTDC4021\*4021*201612171*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"&amp;Variables!$A$2&amp;"-slicedisagreementcheck.txt"</f>
        <v>grep -hSE "Enforcement Action" "%USERPROFILE%\AppData\Local\Temp\OnboardLogs"\RTDC4021\*4021*201612171* &gt;&gt; 42721-slicedisagreementcheck.txt</v>
      </c>
    </row>
    <row r="68" spans="1:30" x14ac:dyDescent="0.25">
      <c r="A68" s="36">
        <v>42721.42696759259</v>
      </c>
      <c r="B68" s="31" t="s">
        <v>210</v>
      </c>
      <c r="C68" s="31" t="s">
        <v>558</v>
      </c>
      <c r="D68" s="31" t="s">
        <v>49</v>
      </c>
      <c r="E68" s="31" t="s">
        <v>200</v>
      </c>
      <c r="F68" s="47">
        <v>0</v>
      </c>
      <c r="G68" s="47">
        <v>43</v>
      </c>
      <c r="H68" s="47">
        <v>982</v>
      </c>
      <c r="I68" s="47">
        <v>930</v>
      </c>
      <c r="J68" s="31" t="s">
        <v>201</v>
      </c>
      <c r="K68" s="47">
        <v>826</v>
      </c>
      <c r="L68" s="154" t="s">
        <v>51</v>
      </c>
      <c r="M68" s="155">
        <f t="shared" si="8"/>
        <v>54.911999999999999</v>
      </c>
      <c r="N68" s="156" t="str">
        <f>VLOOKUP(C68,'Trips&amp;Operators'!$C$1:$G$99999,5,FALSE)</f>
        <v>BROWN JACOB</v>
      </c>
      <c r="O68" s="182" t="s">
        <v>195</v>
      </c>
      <c r="P68" s="157"/>
      <c r="Q68" s="31"/>
      <c r="R68" s="100" t="str">
        <f>VLOOKUP(C68,'Train Runs'!$A$13:$AE$9970,31,0)</f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S68" s="103" t="str">
        <f>VLOOKUP(C68,'Train Runs'!$A$13:$AE$9970,22,0)</f>
        <v>https://search-rtdc-monitor-bjffxe2xuh6vdkpspy63sjmuny.us-east-1.es.amazonaws.com/_plugin/kibana/#/discover/Steve-Slow-Train-Analysis-(2080s-and-2083s)?_g=(refreshInterval:(display:Off,section:0,value:0),time:(from:'2016-12-17 09:00:23-700',mode:absolute,to:'2016-12-17 11:14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68" s="105" t="str">
        <f t="shared" si="9"/>
        <v>"C:\Program Files (x86)\AstroGrep\AstroGrep.exe" /spath="%USERPROFILE%\AppData\Local\Temp\OnboardLogs" /stypes="*4012*201612171*" /stext=" 17:.+((SYSTEM_STATE.+slice.+state.+changed )|(ment ac)|(multiple cpu faults)|(system.+state.+changed )|(\[timeout)|(PRM\|1\|D)|(kpr)|(kdp)|(\|lc)|(penalty))" /e /r /s</v>
      </c>
      <c r="U68" s="9" t="str">
        <f t="shared" si="10"/>
        <v>4012</v>
      </c>
      <c r="V68" s="36">
        <f t="shared" si="11"/>
        <v>42721.718634259254</v>
      </c>
      <c r="W68" s="50" t="str">
        <f t="shared" si="12"/>
        <v>Other</v>
      </c>
      <c r="X68" s="50" t="str">
        <f t="shared" si="13"/>
        <v>KEEP</v>
      </c>
      <c r="Y68" s="119" t="str">
        <f t="shared" si="14"/>
        <v>echo {"issue":{"subject":"","project_id":79,"tracker_id":40,"status_id":1,"priority_id":2,"assigned_to_id":23,"start_date":"2016-12-17","description":"","custom_fields":[{"id":1,"name":"Subdivision","value":"Other"},{"id":4,"name":"Milepost","value":"0.0826"},{"id":17,"name":"Train ID","value":"54-17"},{"id":16,"name":"Locomotive ID","value":"4012"},{"id":130,"name":"Impact","value":""},{"id":150,"name":"Time of Event (Mountain Time)","value":"10:14:50"},{"id":151,"name":"Denver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53"/>
      <c r="AA68" s="53"/>
      <c r="AB68" s="53"/>
      <c r="AC68" s="138" t="str">
        <f t="shared" si="15"/>
        <v>grep -hSE -A100 "Enforcement Action" "%USERPROFILE%\AppData\Local\Temp\OnboardLogs"\RTDC4012\*4012*201612171*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"&amp;Variables!$A$2&amp;"-slicedisagreementcheck.txt"</f>
        <v>grep -hSE "Enforcement Action" "%USERPROFILE%\AppData\Local\Temp\OnboardLogs"\RTDC4012\*4012*201612171* &gt;&gt; 42721-slicedisagreementcheck.txt</v>
      </c>
    </row>
    <row r="69" spans="1:30" x14ac:dyDescent="0.25">
      <c r="A69" s="36">
        <v>42721.672071759262</v>
      </c>
      <c r="B69" s="31" t="s">
        <v>472</v>
      </c>
      <c r="C69" s="31" t="s">
        <v>575</v>
      </c>
      <c r="D69" s="31" t="s">
        <v>49</v>
      </c>
      <c r="E69" s="31" t="s">
        <v>200</v>
      </c>
      <c r="F69" s="47">
        <v>0</v>
      </c>
      <c r="G69" s="47">
        <v>111</v>
      </c>
      <c r="H69" s="47">
        <v>1613</v>
      </c>
      <c r="I69" s="47">
        <v>1522</v>
      </c>
      <c r="J69" s="31" t="s">
        <v>201</v>
      </c>
      <c r="K69" s="47">
        <v>839</v>
      </c>
      <c r="L69" s="154" t="s">
        <v>51</v>
      </c>
      <c r="M69" s="155">
        <f t="shared" si="8"/>
        <v>360.62400000000002</v>
      </c>
      <c r="N69" s="156" t="str">
        <f>VLOOKUP(C69,'Trips&amp;Operators'!$C$1:$G$99999,5,FALSE)</f>
        <v>MAHAN DUANE</v>
      </c>
      <c r="O69" s="182" t="s">
        <v>195</v>
      </c>
      <c r="P69" s="157"/>
      <c r="Q69" s="31"/>
      <c r="R69" s="100" t="str">
        <f>VLOOKUP(C69,'Train Runs'!$A$13:$AE$9970,31,0)</f>
        <v>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 &amp; 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</v>
      </c>
      <c r="S69" s="103" t="str">
        <f>VLOOKUP(C69,'Train Runs'!$A$13:$AE$9970,22,0)</f>
        <v>https://search-rtdc-monitor-bjffxe2xuh6vdkpspy63sjmuny.us-east-1.es.amazonaws.com/_plugin/kibana/#/discover/Steve-Slow-Train-Analysis-(2080s-and-2083s)?_g=(refreshInterval:(display:Off,section:0,value:0),time:(from:'2016-12-17 14:55:04-700',mode:absolute,to:'2016-12-17 17:09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69" s="105" t="str">
        <f t="shared" si="9"/>
        <v>"C:\Program Files (x86)\AstroGrep\AstroGrep.exe" /spath="%USERPROFILE%\AppData\Local\Temp\OnboardLogs" /stypes="*4026*201612172*" /stext=" 23:.+((SYSTEM_STATE.+slice.+state.+changed )|(ment ac)|(multiple cpu faults)|(system.+state.+changed )|(\[timeout)|(PRM\|1\|D)|(kpr)|(kdp)|(\|lc)|(penalty))" /e /r /s</v>
      </c>
      <c r="U69" s="9" t="str">
        <f t="shared" si="10"/>
        <v>4026</v>
      </c>
      <c r="V69" s="36">
        <f t="shared" si="11"/>
        <v>42721.963738425926</v>
      </c>
      <c r="W69" s="50" t="str">
        <f t="shared" si="12"/>
        <v>Other</v>
      </c>
      <c r="X69" s="50" t="str">
        <f t="shared" si="13"/>
        <v>KEEP</v>
      </c>
      <c r="Y69" s="119" t="str">
        <f t="shared" si="14"/>
        <v>echo {"issue":{"subject":"","project_id":79,"tracker_id":40,"status_id":1,"priority_id":2,"assigned_to_id":23,"start_date":"2016-12-17","description":"","custom_fields":[{"id":1,"name":"Subdivision","value":"Other"},{"id":4,"name":"Milepost","value":"0.0839"},{"id":17,"name":"Train ID","value":"68-17"},{"id":16,"name":"Locomotive ID","value":"4026"},{"id":130,"name":"Impact","value":""},{"id":150,"name":"Time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53"/>
      <c r="AA69" s="53"/>
      <c r="AB69" s="53"/>
      <c r="AC69" s="138" t="str">
        <f t="shared" si="15"/>
        <v>grep -hSE -A100 "Enforcement Action" "%USERPROFILE%\AppData\Local\Temp\OnboardLogs"\RTDC4026\*4026*201612172* | grep -SE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"&amp;Variables!$A$2&amp;"-slicedisagreementcheck.txt"</f>
        <v>grep -hSE "Enforcement Action" "%USERPROFILE%\AppData\Local\Temp\OnboardLogs"\RTDC4026\*4026*201612172* &gt;&gt; 42721-slicedisagreementcheck.txt</v>
      </c>
    </row>
    <row r="70" spans="1:30" x14ac:dyDescent="0.25">
      <c r="A70" s="36">
        <v>42721.673391203702</v>
      </c>
      <c r="B70" s="31" t="s">
        <v>472</v>
      </c>
      <c r="C70" s="31" t="s">
        <v>575</v>
      </c>
      <c r="D70" s="31" t="s">
        <v>98</v>
      </c>
      <c r="E70" s="31" t="s">
        <v>200</v>
      </c>
      <c r="F70" s="47">
        <v>0</v>
      </c>
      <c r="G70" s="47">
        <v>7</v>
      </c>
      <c r="H70" s="47">
        <v>839</v>
      </c>
      <c r="I70" s="47">
        <v>0</v>
      </c>
      <c r="J70" s="31" t="s">
        <v>201</v>
      </c>
      <c r="K70" s="47">
        <v>839</v>
      </c>
      <c r="L70" s="154" t="s">
        <v>51</v>
      </c>
      <c r="M70" s="155">
        <f t="shared" si="8"/>
        <v>-442.99200000000002</v>
      </c>
      <c r="N70" s="156" t="str">
        <f>VLOOKUP(C70,'Trips&amp;Operators'!$C$1:$G$99999,5,FALSE)</f>
        <v>MAHAN DUANE</v>
      </c>
      <c r="O70" s="182" t="s">
        <v>195</v>
      </c>
      <c r="P70" s="157"/>
      <c r="Q70" s="31"/>
      <c r="R70" s="100" t="str">
        <f>VLOOKUP(C70,'Train Runs'!$A$13:$AE$9970,31,0)</f>
        <v>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 &amp; aws s3 cp s3://rtdc.mdm.uploadarchive.raw/RTDC4026/ "%USERPROFILE%\AppData\Local\Temp\OnboardLogs"\RTDC4026\2016-12-18 --exclude "*" --recursive --include "*20161218*" &amp; "%USERPROFILE%\Documents\GitHub\mrs-test-scripts\Headless Mode &amp; Sideloading\WalkAndUnGZ.bat" "%USERPROFILE%\AppData\Local\Temp\OnboardLogs"\RTDC4026\2016-12-18</v>
      </c>
      <c r="S70" s="103" t="str">
        <f>VLOOKUP(C70,'Train Runs'!$A$13:$AE$9970,22,0)</f>
        <v>https://search-rtdc-monitor-bjffxe2xuh6vdkpspy63sjmuny.us-east-1.es.amazonaws.com/_plugin/kibana/#/discover/Steve-Slow-Train-Analysis-(2080s-and-2083s)?_g=(refreshInterval:(display:Off,section:0,value:0),time:(from:'2016-12-17 14:55:04-700',mode:absolute,to:'2016-12-17 17:09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70" s="105" t="str">
        <f t="shared" si="9"/>
        <v>"C:\Program Files (x86)\AstroGrep\AstroGrep.exe" /spath="%USERPROFILE%\AppData\Local\Temp\OnboardLogs" /stypes="*4026*201612172*" /stext=" 23:.+((SYSTEM_STATE.+slice.+state.+changed )|(ment ac)|(multiple cpu faults)|(system.+state.+changed )|(\[timeout)|(PRM\|1\|D)|(kpr)|(kdp)|(\|lc)|(penalty))" /e /r /s</v>
      </c>
      <c r="U70" s="9" t="str">
        <f t="shared" si="10"/>
        <v>4026</v>
      </c>
      <c r="V70" s="36">
        <f t="shared" si="11"/>
        <v>42721.965057870366</v>
      </c>
      <c r="W70" s="50" t="str">
        <f t="shared" si="12"/>
        <v>Other</v>
      </c>
      <c r="X70" s="50" t="str">
        <f t="shared" si="13"/>
        <v>OMIT</v>
      </c>
      <c r="Y70" s="119" t="str">
        <f t="shared" si="14"/>
        <v>echo {"issue":{"subject":"","project_id":79,"tracker_id":40,"status_id":1,"priority_id":2,"assigned_to_id":23,"start_date":"2016-12-17","description":"","custom_fields":[{"id":1,"name":"Subdivision","value":"Other"},{"id":4,"name":"Milepost","value":"0.0839"},{"id":17,"name":"Train ID","value":"68-17"},{"id":16,"name":"Locomotive ID","value":"4026"},{"id":130,"name":"Impact","value":""},{"id":150,"name":"Time of Event (Mountain Time)","value":"16:09:41"},{"id":151,"name":"Denver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53"/>
      <c r="AA70" s="53"/>
      <c r="AB70" s="53"/>
      <c r="AC70" s="138" t="str">
        <f t="shared" si="15"/>
        <v>grep -hSE -A100 "Enforcement Action" "%USERPROFILE%\AppData\Local\Temp\OnboardLogs"\RTDC4026\*4026*201612172* | grep -SE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"&amp;Variables!$A$2&amp;"-slicedisagreementcheck.txt"</f>
        <v>grep -hSE "Enforcement Action" "%USERPROFILE%\AppData\Local\Temp\OnboardLogs"\RTDC4026\*4026*201612172* &gt;&gt; 42721-slicedisagreementcheck.txt</v>
      </c>
    </row>
    <row r="71" spans="1:30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30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30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70">
      <sortCondition ref="W7:W70"/>
      <sortCondition ref="E7:E70"/>
      <sortCondition ref="K7:K70"/>
      <sortCondition ref="F7:F70"/>
    </sortState>
  </autoFilter>
  <sortState ref="A7:AD48">
    <sortCondition ref="W7:W48"/>
    <sortCondition ref="E7:E48"/>
    <sortCondition ref="K7:K48"/>
    <sortCondition ref="C7:C48"/>
    <sortCondition ref="F7:F48"/>
  </sortState>
  <mergeCells count="1">
    <mergeCell ref="A5:O5"/>
  </mergeCells>
  <conditionalFormatting sqref="O6:P6 R6 O74:O1048576 O7:O7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0">
    <cfRule type="expression" dxfId="1" priority="20">
      <formula>$O7="Y"</formula>
    </cfRule>
  </conditionalFormatting>
  <hyperlinks>
    <hyperlink ref="Z6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AA7:AA70</xm:sqref>
        </x14:dataValidation>
        <x14:dataValidation type="list" allowBlank="1" showInputMessage="1" showErrorMessage="1">
          <x14:formula1>
            <xm:f>'Redmine List Values'!$C$2:$C$15</xm:f>
          </x14:formula1>
          <xm:sqref>AB7:AB70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6"/>
  <sheetViews>
    <sheetView workbookViewId="0">
      <selection activeCell="E7" sqref="E7:E10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2016-12-17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157</v>
      </c>
      <c r="B3" s="47" t="str">
        <f>A3&amp;"-"&amp;IF(DAY(Variables!$A$2)&lt;10,0,"")&amp;DAY(Variables!$A$2)</f>
        <v>157-17</v>
      </c>
      <c r="C3" s="158"/>
      <c r="D3" s="163"/>
      <c r="E3" s="31" t="s">
        <v>999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22157-17%22)),sort:!(Time,asc))</v>
      </c>
      <c r="J3" s="31" t="e">
        <f>VLOOKUP(B3,'Train Runs'!$A$13:$A$99967,1,FALSE)</f>
        <v>#N/A</v>
      </c>
      <c r="K3" s="31" t="e">
        <f>IF(VLOOKUP(A3,$K$24:$K$47,1,FALSE),"Cancelled")</f>
        <v>#N/A</v>
      </c>
    </row>
    <row r="4" spans="1:11" x14ac:dyDescent="0.25">
      <c r="A4" s="171">
        <v>158</v>
      </c>
      <c r="B4" s="47" t="str">
        <f>A4&amp;"-"&amp;IF(DAY(Variables!$A$2)&lt;10,0,"")&amp;DAY(Variables!$A$2)</f>
        <v>158-17</v>
      </c>
      <c r="C4" s="158"/>
      <c r="D4" s="163"/>
      <c r="E4" s="31" t="s">
        <v>999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:I16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22158-17%22)),sort:!(Time,asc))</v>
      </c>
      <c r="J4" s="31" t="e">
        <f>VLOOKUP(B4,'Train Runs'!$A$13:$A$99967,1,FALSE)</f>
        <v>#N/A</v>
      </c>
      <c r="K4" s="31" t="e">
        <f>IF(VLOOKUP(A4,$K$24:$K$47,1,FALSE),"Cancelled")</f>
        <v>#N/A</v>
      </c>
    </row>
    <row r="5" spans="1:11" x14ac:dyDescent="0.25">
      <c r="A5" s="171">
        <v>184</v>
      </c>
      <c r="B5" s="47" t="str">
        <f>A5&amp;"-"&amp;IF(DAY(Variables!$A$2)&lt;10,0,"")&amp;DAY(Variables!$A$2)</f>
        <v>184-17</v>
      </c>
      <c r="C5" s="158"/>
      <c r="D5" s="163"/>
      <c r="E5" s="31" t="s">
        <v>987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22184-17%22)),sort:!(Time,asc))</v>
      </c>
      <c r="J5" s="31" t="e">
        <f>VLOOKUP(B5,'Train Runs'!$A$13:$A$99967,1,FALSE)</f>
        <v>#N/A</v>
      </c>
      <c r="K5" s="31" t="e">
        <f t="shared" ref="K5" si="2">IF(VLOOKUP(A5,$K$24:$K$47,1,FALSE),"Cancelled")</f>
        <v>#N/A</v>
      </c>
    </row>
    <row r="6" spans="1:11" x14ac:dyDescent="0.25">
      <c r="A6" s="171">
        <v>197</v>
      </c>
      <c r="B6" s="47" t="str">
        <f>A6&amp;"-"&amp;IF(DAY(Variables!$A$2)&lt;10,0,"")&amp;DAY(Variables!$A$2)</f>
        <v>197-17</v>
      </c>
      <c r="C6" s="158"/>
      <c r="D6" s="163"/>
      <c r="E6" s="31" t="s">
        <v>987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22197-17%22)),sort:!(Time,asc))</v>
      </c>
      <c r="J6" s="31" t="e">
        <f>VLOOKUP(B6,'Train Runs'!$A$13:$A$99967,1,FALSE)</f>
        <v>#N/A</v>
      </c>
      <c r="K6" s="31" t="e">
        <f t="shared" ref="K6:K16" si="3">IF(VLOOKUP(A6,$K$24:$K$47,1,FALSE),"Cancelled")</f>
        <v>#N/A</v>
      </c>
    </row>
    <row r="7" spans="1:11" x14ac:dyDescent="0.25">
      <c r="A7" s="171">
        <v>234</v>
      </c>
      <c r="B7" s="47" t="str">
        <f>A7&amp;"-"&amp;IF(DAY(Variables!$A$2)&lt;10,0,"")&amp;DAY(Variables!$A$2)</f>
        <v>234-17</v>
      </c>
      <c r="C7" s="158"/>
      <c r="D7" s="163"/>
      <c r="E7" s="31" t="s">
        <v>999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22234-17%22)),sort:!(Time,asc))</v>
      </c>
      <c r="J7" s="31" t="e">
        <f>VLOOKUP(B7,'Train Runs'!$A$13:$A$99967,1,FALSE)</f>
        <v>#N/A</v>
      </c>
      <c r="K7" s="31" t="e">
        <f t="shared" si="3"/>
        <v>#N/A</v>
      </c>
    </row>
    <row r="8" spans="1:11" x14ac:dyDescent="0.25">
      <c r="A8" s="171">
        <v>235</v>
      </c>
      <c r="B8" s="47" t="str">
        <f>A8&amp;"-"&amp;IF(DAY(Variables!$A$2)&lt;10,0,"")&amp;DAY(Variables!$A$2)</f>
        <v>235-17</v>
      </c>
      <c r="C8" s="158"/>
      <c r="D8" s="163"/>
      <c r="E8" s="31" t="s">
        <v>999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22235-17%22)),sort:!(Time,asc))</v>
      </c>
      <c r="J8" s="31" t="e">
        <f>VLOOKUP(B8,'Train Runs'!$A$13:$A$99967,1,FALSE)</f>
        <v>#N/A</v>
      </c>
      <c r="K8" s="31" t="e">
        <f t="shared" si="3"/>
        <v>#N/A</v>
      </c>
    </row>
    <row r="9" spans="1:11" x14ac:dyDescent="0.25">
      <c r="A9" s="171">
        <v>236</v>
      </c>
      <c r="B9" s="47" t="str">
        <f>A9&amp;"-"&amp;IF(DAY(Variables!$A$2)&lt;10,0,"")&amp;DAY(Variables!$A$2)</f>
        <v>236-17</v>
      </c>
      <c r="C9" s="158"/>
      <c r="D9" s="163"/>
      <c r="E9" s="31" t="s">
        <v>999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22236-17%22)),sort:!(Time,asc))</v>
      </c>
      <c r="J9" s="31" t="e">
        <f>VLOOKUP(B9,'Train Runs'!$A$13:$A$99967,1,FALSE)</f>
        <v>#N/A</v>
      </c>
      <c r="K9" s="31" t="e">
        <f t="shared" si="3"/>
        <v>#N/A</v>
      </c>
    </row>
    <row r="10" spans="1:11" x14ac:dyDescent="0.25">
      <c r="A10" s="171">
        <v>246</v>
      </c>
      <c r="B10" s="47" t="str">
        <f>A10&amp;"-"&amp;IF(DAY(Variables!$A$2)&lt;10,0,"")&amp;DAY(Variables!$A$2)</f>
        <v>246-17</v>
      </c>
      <c r="C10" s="158"/>
      <c r="D10" s="163"/>
      <c r="E10" s="31" t="s">
        <v>999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22246-17%22)),sort:!(Time,asc))</v>
      </c>
      <c r="J10" s="31" t="str">
        <f>VLOOKUP(B10,'Train Runs'!$A$13:$A$99967,1,FALSE)</f>
        <v>246-17</v>
      </c>
      <c r="K10" s="31" t="e">
        <f t="shared" si="3"/>
        <v>#N/A</v>
      </c>
    </row>
    <row r="11" spans="1:11" x14ac:dyDescent="0.25">
      <c r="A11" s="171"/>
      <c r="B11" s="47" t="str">
        <f>A11&amp;"-"&amp;IF(DAY(Variables!$A$2)&lt;10,0,"")&amp;DAY(Variables!$A$2)</f>
        <v>-17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1" s="31" t="e">
        <f>VLOOKUP(B11,'Train Runs'!$A$13:$A$99967,1,FALSE)</f>
        <v>#N/A</v>
      </c>
      <c r="K11" s="31" t="e">
        <f t="shared" si="3"/>
        <v>#N/A</v>
      </c>
    </row>
    <row r="12" spans="1:11" x14ac:dyDescent="0.25">
      <c r="A12" s="171"/>
      <c r="B12" s="47" t="str">
        <f>A12&amp;"-"&amp;IF(DAY(Variables!$A$2)&lt;10,0,"")&amp;DAY(Variables!$A$2)</f>
        <v>-17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2" s="31" t="e">
        <f>VLOOKUP(B12,'Train Runs'!$A$13:$A$99967,1,FALSE)</f>
        <v>#N/A</v>
      </c>
      <c r="K12" s="31" t="e">
        <f t="shared" si="3"/>
        <v>#N/A</v>
      </c>
    </row>
    <row r="13" spans="1:11" x14ac:dyDescent="0.25">
      <c r="A13" s="171"/>
      <c r="B13" s="47" t="str">
        <f>A13&amp;"-"&amp;IF(DAY(Variables!$A$2)&lt;10,0,"")&amp;DAY(Variables!$A$2)</f>
        <v>-17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3" s="31" t="e">
        <f>VLOOKUP(B13,'Train Runs'!$A$13:$A$99967,1,FALSE)</f>
        <v>#N/A</v>
      </c>
      <c r="K13" s="31" t="e">
        <f t="shared" si="3"/>
        <v>#N/A</v>
      </c>
    </row>
    <row r="14" spans="1:11" x14ac:dyDescent="0.25">
      <c r="A14" s="171"/>
      <c r="B14" s="47" t="str">
        <f>A14&amp;"-"&amp;IF(DAY(Variables!$A$2)&lt;10,0,"")&amp;DAY(Variables!$A$2)</f>
        <v>-17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4" s="31" t="e">
        <f>VLOOKUP(B14,'Train Runs'!$A$13:$A$99967,1,FALSE)</f>
        <v>#N/A</v>
      </c>
      <c r="K14" s="31" t="e">
        <f t="shared" si="3"/>
        <v>#N/A</v>
      </c>
    </row>
    <row r="15" spans="1:11" x14ac:dyDescent="0.25">
      <c r="A15" s="171"/>
      <c r="B15" s="47" t="str">
        <f>A15&amp;"-"&amp;IF(DAY(Variables!$A$2)&lt;10,0,"")&amp;DAY(Variables!$A$2)</f>
        <v>-17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5" s="31" t="e">
        <f>VLOOKUP(B15,'Train Runs'!$A$13:$A$99967,1,FALSE)</f>
        <v>#N/A</v>
      </c>
      <c r="K15" s="31" t="e">
        <f t="shared" si="3"/>
        <v>#N/A</v>
      </c>
    </row>
    <row r="16" spans="1:11" x14ac:dyDescent="0.25">
      <c r="A16" s="171"/>
      <c r="B16" s="47" t="str">
        <f>A16&amp;"-"&amp;IF(DAY(Variables!$A$2)&lt;10,0,"")&amp;DAY(Variables!$A$2)</f>
        <v>-17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6" s="31" t="e">
        <f>VLOOKUP(B16,'Train Runs'!$A$13:$A$99967,1,FALSE)</f>
        <v>#N/A</v>
      </c>
      <c r="K16" s="31" t="e">
        <f t="shared" si="3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255</v>
      </c>
      <c r="G1" s="8" t="s">
        <v>254</v>
      </c>
    </row>
    <row r="2" spans="1:7" x14ac:dyDescent="0.25">
      <c r="A2" s="8">
        <v>42721.037534722222</v>
      </c>
      <c r="B2" s="21" t="s">
        <v>154</v>
      </c>
      <c r="C2" s="21" t="s">
        <v>482</v>
      </c>
      <c r="D2" s="165">
        <v>1300000</v>
      </c>
      <c r="E2" s="21" t="s">
        <v>113</v>
      </c>
      <c r="F2" s="21" t="s">
        <v>303</v>
      </c>
      <c r="G2" s="8" t="str">
        <f>E2&amp;" "&amp;F2</f>
        <v>LEVIN SCOTT</v>
      </c>
    </row>
    <row r="3" spans="1:7" x14ac:dyDescent="0.25">
      <c r="A3" s="8">
        <v>42721.03769675926</v>
      </c>
      <c r="B3" s="21" t="s">
        <v>302</v>
      </c>
      <c r="C3" s="21" t="s">
        <v>483</v>
      </c>
      <c r="D3" s="165">
        <v>1800000</v>
      </c>
      <c r="E3" s="21" t="s">
        <v>236</v>
      </c>
      <c r="F3" s="21" t="s">
        <v>258</v>
      </c>
      <c r="G3" s="8" t="str">
        <f t="shared" ref="G3:G66" si="0">E3&amp;" "&amp;F3</f>
        <v>CHANDLER KELVIN</v>
      </c>
    </row>
    <row r="4" spans="1:7" x14ac:dyDescent="0.25">
      <c r="A4" s="8">
        <v>42721.0549537037</v>
      </c>
      <c r="B4" s="21" t="s">
        <v>204</v>
      </c>
      <c r="C4" s="21" t="s">
        <v>465</v>
      </c>
      <c r="D4" s="165">
        <v>2560000</v>
      </c>
      <c r="E4" s="21" t="s">
        <v>478</v>
      </c>
      <c r="F4" s="21" t="s">
        <v>479</v>
      </c>
      <c r="G4" s="8" t="str">
        <f t="shared" si="0"/>
        <v>MACDONALD THOMAS</v>
      </c>
    </row>
    <row r="5" spans="1:7" x14ac:dyDescent="0.25">
      <c r="A5" s="8">
        <v>42721.057696759257</v>
      </c>
      <c r="B5" s="21" t="s">
        <v>461</v>
      </c>
      <c r="C5" s="21" t="s">
        <v>484</v>
      </c>
      <c r="D5" s="165">
        <v>2000000</v>
      </c>
      <c r="E5" s="21" t="s">
        <v>209</v>
      </c>
      <c r="F5" s="21" t="s">
        <v>253</v>
      </c>
      <c r="G5" s="8" t="str">
        <f t="shared" si="0"/>
        <v>STAMBAUGH JAMES</v>
      </c>
    </row>
    <row r="6" spans="1:7" x14ac:dyDescent="0.25">
      <c r="A6" s="8">
        <v>42721.067361111112</v>
      </c>
      <c r="B6" s="21" t="s">
        <v>214</v>
      </c>
      <c r="C6" s="21" t="s">
        <v>483</v>
      </c>
      <c r="D6" s="165">
        <v>1800000</v>
      </c>
      <c r="E6" s="21" t="s">
        <v>236</v>
      </c>
      <c r="F6" s="21" t="s">
        <v>258</v>
      </c>
      <c r="G6" s="8" t="str">
        <f t="shared" si="0"/>
        <v>CHANDLER KELVIN</v>
      </c>
    </row>
    <row r="7" spans="1:7" x14ac:dyDescent="0.25">
      <c r="A7" s="8">
        <v>42721.071215277778</v>
      </c>
      <c r="B7" s="21" t="s">
        <v>302</v>
      </c>
      <c r="C7" s="21" t="s">
        <v>483</v>
      </c>
      <c r="D7" s="165">
        <v>1800000</v>
      </c>
      <c r="E7" s="21" t="s">
        <v>236</v>
      </c>
      <c r="F7" s="21" t="s">
        <v>258</v>
      </c>
      <c r="G7" s="8" t="str">
        <f t="shared" si="0"/>
        <v>CHANDLER KELVIN</v>
      </c>
    </row>
    <row r="8" spans="1:7" x14ac:dyDescent="0.25">
      <c r="A8" s="8">
        <v>42721.07402777778</v>
      </c>
      <c r="B8" s="21" t="s">
        <v>155</v>
      </c>
      <c r="C8" s="21" t="s">
        <v>485</v>
      </c>
      <c r="D8" s="165">
        <v>1300000</v>
      </c>
      <c r="E8" s="21" t="s">
        <v>113</v>
      </c>
      <c r="F8" s="21" t="s">
        <v>303</v>
      </c>
      <c r="G8" s="8" t="str">
        <f t="shared" si="0"/>
        <v>LEVIN SCOTT</v>
      </c>
    </row>
    <row r="9" spans="1:7" ht="15.75" thickBot="1" x14ac:dyDescent="0.3">
      <c r="A9" s="25">
        <v>42721.083611111113</v>
      </c>
      <c r="B9" s="21" t="s">
        <v>214</v>
      </c>
      <c r="C9" s="21" t="s">
        <v>486</v>
      </c>
      <c r="D9" s="165">
        <v>1800000</v>
      </c>
      <c r="E9" s="21" t="s">
        <v>236</v>
      </c>
      <c r="F9" s="21" t="s">
        <v>258</v>
      </c>
      <c r="G9" s="8" t="str">
        <f t="shared" si="0"/>
        <v>CHANDLER KELVIN</v>
      </c>
    </row>
    <row r="10" spans="1:7" x14ac:dyDescent="0.25">
      <c r="A10" s="8">
        <v>42721.094317129631</v>
      </c>
      <c r="B10" s="21" t="s">
        <v>183</v>
      </c>
      <c r="C10" s="21" t="s">
        <v>487</v>
      </c>
      <c r="D10" s="165">
        <v>2000000</v>
      </c>
      <c r="E10" s="21" t="s">
        <v>209</v>
      </c>
      <c r="F10" s="21" t="s">
        <v>253</v>
      </c>
      <c r="G10" s="8" t="str">
        <f t="shared" si="0"/>
        <v>STAMBAUGH JAMES</v>
      </c>
    </row>
    <row r="11" spans="1:7" x14ac:dyDescent="0.25">
      <c r="A11" s="8">
        <v>42721.110185185185</v>
      </c>
      <c r="B11" s="21" t="s">
        <v>154</v>
      </c>
      <c r="C11" s="21" t="s">
        <v>488</v>
      </c>
      <c r="D11" s="165">
        <v>1300000</v>
      </c>
      <c r="E11" s="21" t="s">
        <v>113</v>
      </c>
      <c r="F11" s="21" t="s">
        <v>303</v>
      </c>
      <c r="G11" s="8" t="str">
        <f t="shared" si="0"/>
        <v>LEVIN SCOTT</v>
      </c>
    </row>
    <row r="12" spans="1:7" x14ac:dyDescent="0.25">
      <c r="A12" s="8">
        <v>42721.116307870368</v>
      </c>
      <c r="B12" s="21" t="s">
        <v>290</v>
      </c>
      <c r="C12" s="21" t="s">
        <v>587</v>
      </c>
      <c r="D12" s="165">
        <v>2010000</v>
      </c>
      <c r="E12" s="21" t="s">
        <v>320</v>
      </c>
      <c r="F12" s="21" t="s">
        <v>321</v>
      </c>
      <c r="G12" s="8" t="str">
        <f t="shared" si="0"/>
        <v>MAELZER KURT</v>
      </c>
    </row>
    <row r="13" spans="1:7" x14ac:dyDescent="0.25">
      <c r="A13" s="8">
        <v>42721.130509259259</v>
      </c>
      <c r="B13" s="21" t="s">
        <v>545</v>
      </c>
      <c r="C13" s="21" t="s">
        <v>588</v>
      </c>
      <c r="D13" s="165">
        <v>2010000</v>
      </c>
      <c r="E13" s="21" t="s">
        <v>320</v>
      </c>
      <c r="F13" s="21" t="s">
        <v>321</v>
      </c>
      <c r="G13" s="8" t="str">
        <f t="shared" si="0"/>
        <v>MAELZER KURT</v>
      </c>
    </row>
    <row r="14" spans="1:7" x14ac:dyDescent="0.25">
      <c r="A14" s="8">
        <v>42721.136678240742</v>
      </c>
      <c r="B14" s="21" t="s">
        <v>233</v>
      </c>
      <c r="C14" s="21" t="s">
        <v>589</v>
      </c>
      <c r="D14" s="165">
        <v>2140000</v>
      </c>
      <c r="E14" s="21" t="s">
        <v>467</v>
      </c>
      <c r="F14" s="21" t="s">
        <v>468</v>
      </c>
      <c r="G14" s="8" t="str">
        <f t="shared" si="0"/>
        <v>ROBINSON KADDIBA</v>
      </c>
    </row>
    <row r="15" spans="1:7" x14ac:dyDescent="0.25">
      <c r="A15" s="8">
        <v>42721.151574074072</v>
      </c>
      <c r="B15" s="21" t="s">
        <v>532</v>
      </c>
      <c r="C15" s="21" t="s">
        <v>533</v>
      </c>
      <c r="D15" s="165">
        <v>2140000</v>
      </c>
      <c r="E15" s="21" t="s">
        <v>467</v>
      </c>
      <c r="F15" s="21" t="s">
        <v>468</v>
      </c>
      <c r="G15" s="8" t="str">
        <f t="shared" si="0"/>
        <v>ROBINSON KADDIBA</v>
      </c>
    </row>
    <row r="16" spans="1:7" x14ac:dyDescent="0.25">
      <c r="A16" s="8">
        <v>42721.161608796298</v>
      </c>
      <c r="B16" s="21" t="s">
        <v>265</v>
      </c>
      <c r="C16" s="21" t="s">
        <v>534</v>
      </c>
      <c r="D16" s="165">
        <v>1260000</v>
      </c>
      <c r="E16" s="21" t="s">
        <v>590</v>
      </c>
      <c r="F16" s="21" t="s">
        <v>591</v>
      </c>
      <c r="G16" s="8" t="str">
        <f t="shared" si="0"/>
        <v>ACKERMAN JARED</v>
      </c>
    </row>
    <row r="17" spans="1:7" x14ac:dyDescent="0.25">
      <c r="A17" s="8">
        <v>42721.162465277775</v>
      </c>
      <c r="B17" s="21" t="s">
        <v>265</v>
      </c>
      <c r="C17" s="21" t="s">
        <v>534</v>
      </c>
      <c r="D17" s="165">
        <v>1260000</v>
      </c>
      <c r="E17" s="21" t="s">
        <v>590</v>
      </c>
      <c r="F17" s="21" t="s">
        <v>591</v>
      </c>
      <c r="G17" s="8" t="str">
        <f t="shared" si="0"/>
        <v>ACKERMAN JARED</v>
      </c>
    </row>
    <row r="18" spans="1:7" x14ac:dyDescent="0.25">
      <c r="A18" s="8">
        <v>42721.171423611115</v>
      </c>
      <c r="B18" s="21" t="s">
        <v>290</v>
      </c>
      <c r="C18" s="21" t="s">
        <v>592</v>
      </c>
      <c r="D18" s="165">
        <v>2010000</v>
      </c>
      <c r="E18" s="21" t="s">
        <v>320</v>
      </c>
      <c r="F18" s="21" t="s">
        <v>321</v>
      </c>
      <c r="G18" s="8" t="str">
        <f t="shared" si="0"/>
        <v>MAELZER KURT</v>
      </c>
    </row>
    <row r="19" spans="1:7" x14ac:dyDescent="0.25">
      <c r="A19" s="8">
        <v>42721.173750000002</v>
      </c>
      <c r="B19" s="21" t="s">
        <v>244</v>
      </c>
      <c r="C19" s="21" t="s">
        <v>593</v>
      </c>
      <c r="D19" s="165">
        <v>1260000</v>
      </c>
      <c r="E19" s="21" t="s">
        <v>590</v>
      </c>
      <c r="F19" s="21" t="s">
        <v>591</v>
      </c>
      <c r="G19" s="8" t="str">
        <f t="shared" si="0"/>
        <v>ACKERMAN JARED</v>
      </c>
    </row>
    <row r="20" spans="1:7" x14ac:dyDescent="0.25">
      <c r="A20" s="8">
        <v>42721.174525462964</v>
      </c>
      <c r="B20" s="21" t="s">
        <v>532</v>
      </c>
      <c r="C20" s="21" t="s">
        <v>533</v>
      </c>
      <c r="D20" s="165">
        <v>2140000</v>
      </c>
      <c r="E20" s="21" t="s">
        <v>467</v>
      </c>
      <c r="F20" s="21" t="s">
        <v>468</v>
      </c>
      <c r="G20" s="8" t="str">
        <f t="shared" si="0"/>
        <v>ROBINSON KADDIBA</v>
      </c>
    </row>
    <row r="21" spans="1:7" x14ac:dyDescent="0.25">
      <c r="A21" s="8">
        <v>42721.179386574076</v>
      </c>
      <c r="B21" s="21" t="s">
        <v>256</v>
      </c>
      <c r="C21" s="21" t="s">
        <v>594</v>
      </c>
      <c r="D21" s="165">
        <v>1990000</v>
      </c>
      <c r="E21" s="21" t="s">
        <v>269</v>
      </c>
      <c r="F21" s="21" t="s">
        <v>466</v>
      </c>
      <c r="G21" s="8" t="str">
        <f t="shared" si="0"/>
        <v>DAVIS WENDY</v>
      </c>
    </row>
    <row r="22" spans="1:7" x14ac:dyDescent="0.25">
      <c r="A22" s="27">
        <v>42721.186527777776</v>
      </c>
      <c r="B22" s="21" t="s">
        <v>317</v>
      </c>
      <c r="C22" s="21" t="s">
        <v>535</v>
      </c>
      <c r="D22" s="165">
        <v>2030000</v>
      </c>
      <c r="E22" s="21" t="s">
        <v>595</v>
      </c>
      <c r="F22" s="21" t="s">
        <v>252</v>
      </c>
      <c r="G22" s="8" t="str">
        <f t="shared" si="0"/>
        <v>KILLION DAVID</v>
      </c>
    </row>
    <row r="23" spans="1:7" x14ac:dyDescent="0.25">
      <c r="A23" s="8">
        <v>42721.1877662037</v>
      </c>
      <c r="B23" s="21" t="s">
        <v>257</v>
      </c>
      <c r="C23" s="21" t="s">
        <v>596</v>
      </c>
      <c r="D23" s="165">
        <v>1990000</v>
      </c>
      <c r="E23" s="21" t="s">
        <v>269</v>
      </c>
      <c r="F23" s="21" t="s">
        <v>466</v>
      </c>
      <c r="G23" s="8" t="str">
        <f t="shared" si="0"/>
        <v>DAVIS WENDY</v>
      </c>
    </row>
    <row r="24" spans="1:7" x14ac:dyDescent="0.25">
      <c r="A24" s="8">
        <v>42721.195520833331</v>
      </c>
      <c r="B24" s="21" t="s">
        <v>233</v>
      </c>
      <c r="C24" s="21" t="s">
        <v>536</v>
      </c>
      <c r="D24" s="165">
        <v>2140000</v>
      </c>
      <c r="E24" s="21" t="s">
        <v>467</v>
      </c>
      <c r="F24" s="21" t="s">
        <v>468</v>
      </c>
      <c r="G24" s="8" t="str">
        <f t="shared" si="0"/>
        <v>ROBINSON KADDIBA</v>
      </c>
    </row>
    <row r="25" spans="1:7" x14ac:dyDescent="0.25">
      <c r="A25" s="8">
        <v>42721.196967592594</v>
      </c>
      <c r="B25" s="21" t="s">
        <v>316</v>
      </c>
      <c r="C25" s="21" t="s">
        <v>597</v>
      </c>
      <c r="D25" s="165">
        <v>2030000</v>
      </c>
      <c r="E25" s="21" t="s">
        <v>595</v>
      </c>
      <c r="F25" s="21" t="s">
        <v>252</v>
      </c>
      <c r="G25" s="8" t="str">
        <f t="shared" si="0"/>
        <v>KILLION DAVID</v>
      </c>
    </row>
    <row r="26" spans="1:7" x14ac:dyDescent="0.25">
      <c r="A26" s="8">
        <v>42721.209421296298</v>
      </c>
      <c r="B26" s="21" t="s">
        <v>545</v>
      </c>
      <c r="C26" s="21" t="s">
        <v>598</v>
      </c>
      <c r="D26" s="165">
        <v>1100000</v>
      </c>
      <c r="E26" s="21" t="s">
        <v>318</v>
      </c>
      <c r="F26" s="21" t="s">
        <v>319</v>
      </c>
      <c r="G26" s="8" t="str">
        <f t="shared" si="0"/>
        <v>GEBRETEKLE DAGNEW</v>
      </c>
    </row>
    <row r="27" spans="1:7" x14ac:dyDescent="0.25">
      <c r="A27" s="8">
        <v>42721.210960648146</v>
      </c>
      <c r="B27" s="21" t="s">
        <v>265</v>
      </c>
      <c r="C27" s="21" t="s">
        <v>599</v>
      </c>
      <c r="D27" s="165">
        <v>1260000</v>
      </c>
      <c r="E27" s="21" t="s">
        <v>590</v>
      </c>
      <c r="F27" s="21" t="s">
        <v>591</v>
      </c>
      <c r="G27" s="8" t="str">
        <f t="shared" si="0"/>
        <v>ACKERMAN JARED</v>
      </c>
    </row>
    <row r="28" spans="1:7" x14ac:dyDescent="0.25">
      <c r="A28" s="8">
        <v>42721.215231481481</v>
      </c>
      <c r="B28" s="21" t="s">
        <v>225</v>
      </c>
      <c r="C28" s="21" t="s">
        <v>539</v>
      </c>
      <c r="D28" s="165">
        <v>2010000</v>
      </c>
      <c r="E28" s="21" t="s">
        <v>320</v>
      </c>
      <c r="F28" s="21" t="s">
        <v>321</v>
      </c>
      <c r="G28" s="8" t="str">
        <f t="shared" si="0"/>
        <v>MAELZER KURT</v>
      </c>
    </row>
    <row r="29" spans="1:7" x14ac:dyDescent="0.25">
      <c r="A29" s="8">
        <v>42721.224340277775</v>
      </c>
      <c r="B29" s="21" t="s">
        <v>256</v>
      </c>
      <c r="C29" s="21" t="s">
        <v>537</v>
      </c>
      <c r="D29" s="165">
        <v>1990000</v>
      </c>
      <c r="E29" s="21" t="s">
        <v>269</v>
      </c>
      <c r="F29" s="21" t="s">
        <v>466</v>
      </c>
      <c r="G29" s="8" t="str">
        <f t="shared" si="0"/>
        <v>DAVIS WENDY</v>
      </c>
    </row>
    <row r="30" spans="1:7" x14ac:dyDescent="0.25">
      <c r="A30" s="8">
        <v>42721.229756944442</v>
      </c>
      <c r="B30" s="21" t="s">
        <v>532</v>
      </c>
      <c r="C30" s="21" t="s">
        <v>538</v>
      </c>
      <c r="D30" s="165">
        <v>1760000</v>
      </c>
      <c r="E30" s="21" t="s">
        <v>469</v>
      </c>
      <c r="F30" s="21" t="s">
        <v>470</v>
      </c>
      <c r="G30" s="8" t="str">
        <f t="shared" si="0"/>
        <v>STRICKLAND EVAN</v>
      </c>
    </row>
    <row r="31" spans="1:7" x14ac:dyDescent="0.25">
      <c r="A31" s="8">
        <v>42721.230706018519</v>
      </c>
      <c r="B31" s="21" t="s">
        <v>532</v>
      </c>
      <c r="C31" s="21" t="s">
        <v>538</v>
      </c>
      <c r="D31" s="165">
        <v>1760000</v>
      </c>
      <c r="E31" s="21" t="s">
        <v>469</v>
      </c>
      <c r="F31" s="21" t="s">
        <v>470</v>
      </c>
      <c r="G31" s="8" t="str">
        <f t="shared" si="0"/>
        <v>STRICKLAND EVAN</v>
      </c>
    </row>
    <row r="32" spans="1:7" x14ac:dyDescent="0.25">
      <c r="A32" s="8">
        <v>42721.23269675926</v>
      </c>
      <c r="B32" s="21" t="s">
        <v>317</v>
      </c>
      <c r="C32" s="21" t="s">
        <v>540</v>
      </c>
      <c r="D32" s="165">
        <v>2030000</v>
      </c>
      <c r="E32" s="21" t="s">
        <v>595</v>
      </c>
      <c r="F32" s="21" t="s">
        <v>252</v>
      </c>
      <c r="G32" s="8" t="str">
        <f t="shared" si="0"/>
        <v>KILLION DAVID</v>
      </c>
    </row>
    <row r="33" spans="1:7" x14ac:dyDescent="0.25">
      <c r="A33" s="8">
        <v>42721.23578703704</v>
      </c>
      <c r="B33" s="21" t="s">
        <v>232</v>
      </c>
      <c r="C33" s="21" t="s">
        <v>600</v>
      </c>
      <c r="D33" s="165">
        <v>2140000</v>
      </c>
      <c r="E33" s="21" t="s">
        <v>467</v>
      </c>
      <c r="F33" s="21" t="s">
        <v>468</v>
      </c>
      <c r="G33" s="8" t="str">
        <f t="shared" si="0"/>
        <v>ROBINSON KADDIBA</v>
      </c>
    </row>
    <row r="34" spans="1:7" x14ac:dyDescent="0.25">
      <c r="A34" s="8">
        <v>42721.240868055553</v>
      </c>
      <c r="B34" s="21" t="s">
        <v>207</v>
      </c>
      <c r="C34" s="21" t="s">
        <v>601</v>
      </c>
      <c r="D34" s="165">
        <v>1830000</v>
      </c>
      <c r="E34" s="21" t="s">
        <v>602</v>
      </c>
      <c r="F34" s="21" t="s">
        <v>603</v>
      </c>
      <c r="G34" s="8" t="str">
        <f t="shared" si="0"/>
        <v>YORK EDGAR</v>
      </c>
    </row>
    <row r="35" spans="1:7" x14ac:dyDescent="0.25">
      <c r="A35" s="8">
        <v>42721.244756944441</v>
      </c>
      <c r="B35" s="21" t="s">
        <v>541</v>
      </c>
      <c r="C35" s="21" t="s">
        <v>542</v>
      </c>
      <c r="D35" s="165">
        <v>1100000</v>
      </c>
      <c r="E35" s="21" t="s">
        <v>318</v>
      </c>
      <c r="F35" s="21" t="s">
        <v>319</v>
      </c>
      <c r="G35" s="8" t="str">
        <f t="shared" si="0"/>
        <v>GEBRETEKLE DAGNEW</v>
      </c>
    </row>
    <row r="36" spans="1:7" x14ac:dyDescent="0.25">
      <c r="A36" s="8">
        <v>42721.250636574077</v>
      </c>
      <c r="B36" s="21" t="s">
        <v>244</v>
      </c>
      <c r="C36" s="21" t="s">
        <v>604</v>
      </c>
      <c r="D36" s="165">
        <v>1260000</v>
      </c>
      <c r="E36" s="21" t="s">
        <v>590</v>
      </c>
      <c r="F36" s="21" t="s">
        <v>591</v>
      </c>
      <c r="G36" s="8" t="str">
        <f t="shared" si="0"/>
        <v>ACKERMAN JARED</v>
      </c>
    </row>
    <row r="37" spans="1:7" x14ac:dyDescent="0.25">
      <c r="A37" s="8">
        <v>42721.254965277774</v>
      </c>
      <c r="B37" s="21" t="s">
        <v>290</v>
      </c>
      <c r="C37" s="21" t="s">
        <v>544</v>
      </c>
      <c r="D37" s="165">
        <v>2010000</v>
      </c>
      <c r="E37" s="21" t="s">
        <v>320</v>
      </c>
      <c r="F37" s="21" t="s">
        <v>321</v>
      </c>
      <c r="G37" s="8" t="str">
        <f t="shared" si="0"/>
        <v>MAELZER KURT</v>
      </c>
    </row>
    <row r="38" spans="1:7" x14ac:dyDescent="0.25">
      <c r="A38" s="8">
        <v>42721.260648148149</v>
      </c>
      <c r="B38" s="21" t="s">
        <v>257</v>
      </c>
      <c r="C38" s="21" t="s">
        <v>605</v>
      </c>
      <c r="D38" s="165">
        <v>1990000</v>
      </c>
      <c r="E38" s="21" t="s">
        <v>269</v>
      </c>
      <c r="F38" s="21" t="s">
        <v>466</v>
      </c>
      <c r="G38" s="8" t="str">
        <f t="shared" si="0"/>
        <v>DAVIS WENDY</v>
      </c>
    </row>
    <row r="39" spans="1:7" x14ac:dyDescent="0.25">
      <c r="A39" s="8">
        <v>42721.262546296297</v>
      </c>
      <c r="B39" s="21" t="s">
        <v>206</v>
      </c>
      <c r="C39" s="21" t="s">
        <v>606</v>
      </c>
      <c r="D39" s="165">
        <v>1830000</v>
      </c>
      <c r="E39" s="21" t="s">
        <v>602</v>
      </c>
      <c r="F39" s="21" t="s">
        <v>603</v>
      </c>
      <c r="G39" s="8" t="str">
        <f t="shared" si="0"/>
        <v>YORK EDGAR</v>
      </c>
    </row>
    <row r="40" spans="1:7" x14ac:dyDescent="0.25">
      <c r="A40" s="8">
        <v>42721.271249999998</v>
      </c>
      <c r="B40" s="26" t="s">
        <v>316</v>
      </c>
      <c r="C40" s="21" t="s">
        <v>543</v>
      </c>
      <c r="D40" s="165">
        <v>2030000</v>
      </c>
      <c r="E40" s="21" t="s">
        <v>595</v>
      </c>
      <c r="F40" s="21" t="s">
        <v>252</v>
      </c>
      <c r="G40" s="8" t="str">
        <f t="shared" si="0"/>
        <v>KILLION DAVID</v>
      </c>
    </row>
    <row r="41" spans="1:7" x14ac:dyDescent="0.25">
      <c r="A41" s="8">
        <v>42721.275289351855</v>
      </c>
      <c r="B41" s="21" t="s">
        <v>207</v>
      </c>
      <c r="C41" s="21" t="s">
        <v>607</v>
      </c>
      <c r="D41" s="165">
        <v>1830000</v>
      </c>
      <c r="E41" s="21" t="s">
        <v>602</v>
      </c>
      <c r="F41" s="21" t="s">
        <v>603</v>
      </c>
      <c r="G41" s="8" t="str">
        <f t="shared" si="0"/>
        <v>YORK EDGAR</v>
      </c>
    </row>
    <row r="42" spans="1:7" x14ac:dyDescent="0.25">
      <c r="A42" s="8">
        <v>42721.276226851849</v>
      </c>
      <c r="B42" s="21" t="s">
        <v>244</v>
      </c>
      <c r="C42" s="21" t="s">
        <v>604</v>
      </c>
      <c r="D42" s="165">
        <v>1260000</v>
      </c>
      <c r="E42" s="21" t="s">
        <v>590</v>
      </c>
      <c r="F42" s="21" t="s">
        <v>591</v>
      </c>
      <c r="G42" s="8" t="str">
        <f t="shared" si="0"/>
        <v>ACKERMAN JARED</v>
      </c>
    </row>
    <row r="43" spans="1:7" x14ac:dyDescent="0.25">
      <c r="A43" s="8">
        <v>42721.280636574076</v>
      </c>
      <c r="B43" s="21" t="s">
        <v>545</v>
      </c>
      <c r="C43" s="21" t="s">
        <v>546</v>
      </c>
      <c r="D43" s="165">
        <v>1100000</v>
      </c>
      <c r="E43" s="21" t="s">
        <v>318</v>
      </c>
      <c r="F43" s="21" t="s">
        <v>319</v>
      </c>
      <c r="G43" s="8" t="str">
        <f t="shared" si="0"/>
        <v>GEBRETEKLE DAGNEW</v>
      </c>
    </row>
    <row r="44" spans="1:7" x14ac:dyDescent="0.25">
      <c r="A44" s="8">
        <v>42721.282094907408</v>
      </c>
      <c r="B44" s="21" t="s">
        <v>229</v>
      </c>
      <c r="C44" s="21" t="s">
        <v>547</v>
      </c>
      <c r="D44" s="165">
        <v>1340000</v>
      </c>
      <c r="E44" s="21" t="s">
        <v>608</v>
      </c>
      <c r="F44" s="21" t="s">
        <v>609</v>
      </c>
      <c r="G44" s="8" t="str">
        <f t="shared" si="0"/>
        <v>BEAM ROSS</v>
      </c>
    </row>
    <row r="45" spans="1:7" x14ac:dyDescent="0.25">
      <c r="A45" s="8">
        <v>42721.282418981478</v>
      </c>
      <c r="B45" s="21" t="s">
        <v>233</v>
      </c>
      <c r="C45" s="21" t="s">
        <v>610</v>
      </c>
      <c r="D45" s="165">
        <v>2140000</v>
      </c>
      <c r="E45" s="21" t="s">
        <v>467</v>
      </c>
      <c r="F45" s="21" t="s">
        <v>468</v>
      </c>
      <c r="G45" s="8" t="str">
        <f t="shared" si="0"/>
        <v>ROBINSON KADDIBA</v>
      </c>
    </row>
    <row r="46" spans="1:7" x14ac:dyDescent="0.25">
      <c r="A46" s="8">
        <v>42721.283877314818</v>
      </c>
      <c r="B46" s="21" t="s">
        <v>233</v>
      </c>
      <c r="C46" s="21" t="s">
        <v>610</v>
      </c>
      <c r="D46" s="165">
        <v>2140000</v>
      </c>
      <c r="E46" s="21" t="s">
        <v>467</v>
      </c>
      <c r="F46" s="21" t="s">
        <v>468</v>
      </c>
      <c r="G46" s="8" t="str">
        <f t="shared" si="0"/>
        <v>ROBINSON KADDIBA</v>
      </c>
    </row>
    <row r="47" spans="1:7" x14ac:dyDescent="0.25">
      <c r="A47" s="8">
        <v>42721.289317129631</v>
      </c>
      <c r="B47" s="21" t="s">
        <v>263</v>
      </c>
      <c r="C47" s="21" t="s">
        <v>611</v>
      </c>
      <c r="D47" s="165">
        <v>1260000</v>
      </c>
      <c r="E47" s="21" t="s">
        <v>590</v>
      </c>
      <c r="F47" s="21" t="s">
        <v>591</v>
      </c>
      <c r="G47" s="8" t="str">
        <f t="shared" si="0"/>
        <v>ACKERMAN JARED</v>
      </c>
    </row>
    <row r="48" spans="1:7" x14ac:dyDescent="0.25">
      <c r="A48" s="8">
        <v>42721.289826388886</v>
      </c>
      <c r="B48" s="21" t="s">
        <v>206</v>
      </c>
      <c r="C48" s="21" t="s">
        <v>612</v>
      </c>
      <c r="D48" s="165">
        <v>1830000</v>
      </c>
      <c r="E48" s="21" t="s">
        <v>602</v>
      </c>
      <c r="F48" s="21" t="s">
        <v>603</v>
      </c>
      <c r="G48" s="8" t="str">
        <f t="shared" si="0"/>
        <v>YORK EDGAR</v>
      </c>
    </row>
    <row r="49" spans="1:7" x14ac:dyDescent="0.25">
      <c r="A49" s="8">
        <v>42721.298692129632</v>
      </c>
      <c r="B49" s="21" t="s">
        <v>225</v>
      </c>
      <c r="C49" s="21" t="s">
        <v>549</v>
      </c>
      <c r="D49" s="165">
        <v>2010000</v>
      </c>
      <c r="E49" s="21" t="s">
        <v>320</v>
      </c>
      <c r="F49" s="21" t="s">
        <v>321</v>
      </c>
      <c r="G49" s="8" t="str">
        <f t="shared" si="0"/>
        <v>MAELZER KURT</v>
      </c>
    </row>
    <row r="50" spans="1:7" x14ac:dyDescent="0.25">
      <c r="A50" s="8">
        <v>42721.299560185187</v>
      </c>
      <c r="B50" s="21" t="s">
        <v>256</v>
      </c>
      <c r="C50" s="21" t="s">
        <v>550</v>
      </c>
      <c r="D50" s="165">
        <v>1990000</v>
      </c>
      <c r="E50" s="21" t="s">
        <v>269</v>
      </c>
      <c r="F50" s="21" t="s">
        <v>466</v>
      </c>
      <c r="G50" s="8" t="str">
        <f t="shared" si="0"/>
        <v>DAVIS WENDY</v>
      </c>
    </row>
    <row r="51" spans="1:7" x14ac:dyDescent="0.25">
      <c r="A51" s="8">
        <v>42721.307337962964</v>
      </c>
      <c r="B51" s="21" t="s">
        <v>532</v>
      </c>
      <c r="C51" s="21" t="s">
        <v>613</v>
      </c>
      <c r="D51" s="165">
        <v>1760000</v>
      </c>
      <c r="E51" s="21" t="s">
        <v>469</v>
      </c>
      <c r="F51" s="21" t="s">
        <v>470</v>
      </c>
      <c r="G51" s="8" t="str">
        <f t="shared" si="0"/>
        <v>STRICKLAND EVAN</v>
      </c>
    </row>
    <row r="52" spans="1:7" x14ac:dyDescent="0.25">
      <c r="A52" s="8">
        <v>42721.30746527778</v>
      </c>
      <c r="B52" s="21" t="s">
        <v>316</v>
      </c>
      <c r="C52" s="21" t="s">
        <v>543</v>
      </c>
      <c r="D52" s="165">
        <v>2030000</v>
      </c>
      <c r="E52" s="21" t="s">
        <v>595</v>
      </c>
      <c r="F52" s="21" t="s">
        <v>252</v>
      </c>
      <c r="G52" s="8" t="str">
        <f t="shared" si="0"/>
        <v>KILLION DAVID</v>
      </c>
    </row>
    <row r="53" spans="1:7" x14ac:dyDescent="0.25">
      <c r="A53" s="8">
        <v>42721.310787037037</v>
      </c>
      <c r="B53" s="21" t="s">
        <v>263</v>
      </c>
      <c r="C53" s="21" t="s">
        <v>611</v>
      </c>
      <c r="D53" s="165">
        <v>1260000</v>
      </c>
      <c r="E53" s="21" t="s">
        <v>590</v>
      </c>
      <c r="F53" s="21" t="s">
        <v>591</v>
      </c>
      <c r="G53" s="8" t="str">
        <f t="shared" si="0"/>
        <v>ACKERMAN JARED</v>
      </c>
    </row>
    <row r="54" spans="1:7" x14ac:dyDescent="0.25">
      <c r="A54" s="8">
        <v>42721.317418981482</v>
      </c>
      <c r="B54" s="21" t="s">
        <v>207</v>
      </c>
      <c r="C54" s="21" t="s">
        <v>548</v>
      </c>
      <c r="D54" s="165">
        <v>1830000</v>
      </c>
      <c r="E54" s="21" t="s">
        <v>602</v>
      </c>
      <c r="F54" s="21" t="s">
        <v>603</v>
      </c>
      <c r="G54" s="8" t="str">
        <f t="shared" si="0"/>
        <v>YORK EDGAR</v>
      </c>
    </row>
    <row r="55" spans="1:7" x14ac:dyDescent="0.25">
      <c r="A55" s="8">
        <v>42721.318055555559</v>
      </c>
      <c r="B55" s="21" t="s">
        <v>232</v>
      </c>
      <c r="C55" s="21" t="s">
        <v>551</v>
      </c>
      <c r="D55" s="165">
        <v>2140000</v>
      </c>
      <c r="E55" s="21" t="s">
        <v>467</v>
      </c>
      <c r="F55" s="21" t="s">
        <v>468</v>
      </c>
      <c r="G55" s="8" t="str">
        <f t="shared" si="0"/>
        <v>ROBINSON KADDIBA</v>
      </c>
    </row>
    <row r="56" spans="1:7" x14ac:dyDescent="0.25">
      <c r="A56" s="8">
        <v>42721.318692129629</v>
      </c>
      <c r="B56" s="21" t="s">
        <v>232</v>
      </c>
      <c r="C56" s="21" t="s">
        <v>551</v>
      </c>
      <c r="D56" s="165">
        <v>2140000</v>
      </c>
      <c r="E56" s="21" t="s">
        <v>467</v>
      </c>
      <c r="F56" s="21" t="s">
        <v>468</v>
      </c>
      <c r="G56" s="8" t="str">
        <f t="shared" si="0"/>
        <v>ROBINSON KADDIBA</v>
      </c>
    </row>
    <row r="57" spans="1:7" x14ac:dyDescent="0.25">
      <c r="A57" s="8">
        <v>42721.31925925926</v>
      </c>
      <c r="B57" s="21" t="s">
        <v>232</v>
      </c>
      <c r="C57" s="21" t="s">
        <v>551</v>
      </c>
      <c r="D57" s="165">
        <v>2140000</v>
      </c>
      <c r="E57" s="21" t="s">
        <v>467</v>
      </c>
      <c r="F57" s="21" t="s">
        <v>468</v>
      </c>
      <c r="G57" s="8" t="str">
        <f t="shared" si="0"/>
        <v>ROBINSON KADDIBA</v>
      </c>
    </row>
    <row r="58" spans="1:7" x14ac:dyDescent="0.25">
      <c r="A58" s="8">
        <v>42721.320543981485</v>
      </c>
      <c r="B58" s="21" t="s">
        <v>317</v>
      </c>
      <c r="C58" s="21" t="s">
        <v>614</v>
      </c>
      <c r="D58" s="165">
        <v>2030000</v>
      </c>
      <c r="E58" s="21" t="s">
        <v>595</v>
      </c>
      <c r="F58" s="21" t="s">
        <v>252</v>
      </c>
      <c r="G58" s="8" t="str">
        <f t="shared" si="0"/>
        <v>KILLION DAVID</v>
      </c>
    </row>
    <row r="59" spans="1:7" x14ac:dyDescent="0.25">
      <c r="A59" s="8">
        <v>42721.322627314818</v>
      </c>
      <c r="B59" s="21" t="s">
        <v>317</v>
      </c>
      <c r="C59" s="21" t="s">
        <v>615</v>
      </c>
      <c r="D59" s="165">
        <v>2030000</v>
      </c>
      <c r="E59" s="21" t="s">
        <v>595</v>
      </c>
      <c r="F59" s="21" t="s">
        <v>252</v>
      </c>
      <c r="G59" s="8" t="str">
        <f t="shared" si="0"/>
        <v>KILLION DAVID</v>
      </c>
    </row>
    <row r="60" spans="1:7" x14ac:dyDescent="0.25">
      <c r="A60" s="8">
        <v>42721.332013888888</v>
      </c>
      <c r="B60" s="21" t="s">
        <v>244</v>
      </c>
      <c r="C60" s="21" t="s">
        <v>616</v>
      </c>
      <c r="D60" s="165">
        <v>1260000</v>
      </c>
      <c r="E60" s="21" t="s">
        <v>590</v>
      </c>
      <c r="F60" s="21" t="s">
        <v>591</v>
      </c>
      <c r="G60" s="8" t="str">
        <f t="shared" si="0"/>
        <v>ACKERMAN JARED</v>
      </c>
    </row>
    <row r="61" spans="1:7" x14ac:dyDescent="0.25">
      <c r="A61" s="8">
        <v>42721.333807870367</v>
      </c>
      <c r="B61" s="21" t="s">
        <v>206</v>
      </c>
      <c r="C61" s="21" t="s">
        <v>617</v>
      </c>
      <c r="D61" s="165">
        <v>1830000</v>
      </c>
      <c r="E61" s="21" t="s">
        <v>602</v>
      </c>
      <c r="F61" s="21" t="s">
        <v>603</v>
      </c>
      <c r="G61" s="8" t="str">
        <f t="shared" si="0"/>
        <v>YORK EDGAR</v>
      </c>
    </row>
    <row r="62" spans="1:7" x14ac:dyDescent="0.25">
      <c r="A62" s="8">
        <v>42721.3359837963</v>
      </c>
      <c r="B62" s="21" t="s">
        <v>541</v>
      </c>
      <c r="C62" s="21" t="s">
        <v>618</v>
      </c>
      <c r="D62" s="165">
        <v>1100000</v>
      </c>
      <c r="E62" s="21" t="s">
        <v>318</v>
      </c>
      <c r="F62" s="21" t="s">
        <v>319</v>
      </c>
      <c r="G62" s="8" t="str">
        <f t="shared" si="0"/>
        <v>GEBRETEKLE DAGNEW</v>
      </c>
    </row>
    <row r="63" spans="1:7" x14ac:dyDescent="0.25">
      <c r="A63" s="8">
        <v>42721.342141203706</v>
      </c>
      <c r="B63" s="21" t="s">
        <v>257</v>
      </c>
      <c r="C63" s="21" t="s">
        <v>553</v>
      </c>
      <c r="D63" s="165">
        <v>1990000</v>
      </c>
      <c r="E63" s="21" t="s">
        <v>269</v>
      </c>
      <c r="F63" s="21" t="s">
        <v>466</v>
      </c>
      <c r="G63" s="8" t="str">
        <f t="shared" si="0"/>
        <v>DAVIS WENDY</v>
      </c>
    </row>
    <row r="64" spans="1:7" x14ac:dyDescent="0.25">
      <c r="A64" s="27">
        <v>42721.343935185185</v>
      </c>
      <c r="B64" s="21" t="s">
        <v>265</v>
      </c>
      <c r="C64" s="21" t="s">
        <v>619</v>
      </c>
      <c r="D64" s="165">
        <v>1340000</v>
      </c>
      <c r="E64" s="21" t="s">
        <v>608</v>
      </c>
      <c r="F64" s="21" t="s">
        <v>609</v>
      </c>
      <c r="G64" s="8" t="str">
        <f t="shared" si="0"/>
        <v>BEAM ROSS</v>
      </c>
    </row>
    <row r="65" spans="1:7" x14ac:dyDescent="0.25">
      <c r="A65" s="8">
        <v>42721.349409722221</v>
      </c>
      <c r="B65" s="21" t="s">
        <v>290</v>
      </c>
      <c r="C65" s="21" t="s">
        <v>554</v>
      </c>
      <c r="D65" s="165">
        <v>2010000</v>
      </c>
      <c r="E65" s="21" t="s">
        <v>320</v>
      </c>
      <c r="F65" s="21" t="s">
        <v>321</v>
      </c>
      <c r="G65" s="8" t="str">
        <f t="shared" si="0"/>
        <v>MAELZER KURT</v>
      </c>
    </row>
    <row r="66" spans="1:7" x14ac:dyDescent="0.25">
      <c r="A66" s="8">
        <v>42721.358206018522</v>
      </c>
      <c r="B66" s="21" t="s">
        <v>563</v>
      </c>
      <c r="C66" s="21" t="s">
        <v>620</v>
      </c>
      <c r="D66" s="165">
        <v>1760000</v>
      </c>
      <c r="E66" s="21" t="s">
        <v>469</v>
      </c>
      <c r="F66" s="21" t="s">
        <v>470</v>
      </c>
      <c r="G66" s="8" t="str">
        <f t="shared" si="0"/>
        <v>STRICKLAND EVAN</v>
      </c>
    </row>
    <row r="67" spans="1:7" x14ac:dyDescent="0.25">
      <c r="A67" s="8">
        <v>42721.358252314814</v>
      </c>
      <c r="B67" s="21" t="s">
        <v>316</v>
      </c>
      <c r="C67" s="21" t="s">
        <v>621</v>
      </c>
      <c r="D67" s="165">
        <v>2030000</v>
      </c>
      <c r="E67" s="21" t="s">
        <v>595</v>
      </c>
      <c r="F67" s="21" t="s">
        <v>252</v>
      </c>
      <c r="G67" s="8" t="str">
        <f t="shared" ref="G67:G130" si="1">E67&amp;" "&amp;F67</f>
        <v>KILLION DAVID</v>
      </c>
    </row>
    <row r="68" spans="1:7" x14ac:dyDescent="0.25">
      <c r="A68" s="8">
        <v>42721.359155092592</v>
      </c>
      <c r="B68" s="21" t="s">
        <v>207</v>
      </c>
      <c r="C68" s="21" t="s">
        <v>552</v>
      </c>
      <c r="D68" s="165">
        <v>1830000</v>
      </c>
      <c r="E68" s="21" t="s">
        <v>602</v>
      </c>
      <c r="F68" s="21" t="s">
        <v>603</v>
      </c>
      <c r="G68" s="8" t="str">
        <f t="shared" si="1"/>
        <v>YORK EDGAR</v>
      </c>
    </row>
    <row r="69" spans="1:7" x14ac:dyDescent="0.25">
      <c r="A69" s="8">
        <v>42721.369317129633</v>
      </c>
      <c r="B69" s="21" t="s">
        <v>263</v>
      </c>
      <c r="C69" s="21" t="s">
        <v>622</v>
      </c>
      <c r="D69" s="165">
        <v>1260000</v>
      </c>
      <c r="E69" s="21" t="s">
        <v>590</v>
      </c>
      <c r="F69" s="21" t="s">
        <v>591</v>
      </c>
      <c r="G69" s="8" t="str">
        <f t="shared" si="1"/>
        <v>ACKERMAN JARED</v>
      </c>
    </row>
    <row r="70" spans="1:7" x14ac:dyDescent="0.25">
      <c r="A70" s="8">
        <v>42721.369456018518</v>
      </c>
      <c r="B70" s="21" t="s">
        <v>545</v>
      </c>
      <c r="C70" s="21" t="s">
        <v>556</v>
      </c>
      <c r="D70" s="165">
        <v>1100000</v>
      </c>
      <c r="E70" s="21" t="s">
        <v>318</v>
      </c>
      <c r="F70" s="21" t="s">
        <v>319</v>
      </c>
      <c r="G70" s="8" t="str">
        <f t="shared" si="1"/>
        <v>GEBRETEKLE DAGNEW</v>
      </c>
    </row>
    <row r="71" spans="1:7" x14ac:dyDescent="0.25">
      <c r="A71" s="8">
        <v>42721.373240740744</v>
      </c>
      <c r="B71" s="21" t="s">
        <v>206</v>
      </c>
      <c r="C71" s="21" t="s">
        <v>555</v>
      </c>
      <c r="D71" s="165">
        <v>1830000</v>
      </c>
      <c r="E71" s="21" t="s">
        <v>602</v>
      </c>
      <c r="F71" s="21" t="s">
        <v>603</v>
      </c>
      <c r="G71" s="8" t="str">
        <f t="shared" si="1"/>
        <v>YORK EDGAR</v>
      </c>
    </row>
    <row r="72" spans="1:7" x14ac:dyDescent="0.25">
      <c r="A72" s="8">
        <v>42721.376180555555</v>
      </c>
      <c r="B72" s="21" t="s">
        <v>229</v>
      </c>
      <c r="C72" s="21" t="s">
        <v>623</v>
      </c>
      <c r="D72" s="165">
        <v>1340000</v>
      </c>
      <c r="E72" s="21" t="s">
        <v>608</v>
      </c>
      <c r="F72" s="21" t="s">
        <v>609</v>
      </c>
      <c r="G72" s="8" t="str">
        <f t="shared" si="1"/>
        <v>BEAM ROSS</v>
      </c>
    </row>
    <row r="73" spans="1:7" x14ac:dyDescent="0.25">
      <c r="A73" s="8">
        <v>42721.380844907406</v>
      </c>
      <c r="B73" s="21" t="s">
        <v>256</v>
      </c>
      <c r="C73" s="21" t="s">
        <v>624</v>
      </c>
      <c r="D73" s="165">
        <v>1990000</v>
      </c>
      <c r="E73" s="21" t="s">
        <v>269</v>
      </c>
      <c r="F73" s="21" t="s">
        <v>466</v>
      </c>
      <c r="G73" s="8" t="str">
        <f t="shared" si="1"/>
        <v>DAVIS WENDY</v>
      </c>
    </row>
    <row r="74" spans="1:7" x14ac:dyDescent="0.25">
      <c r="A74" s="8">
        <v>42721.387719907405</v>
      </c>
      <c r="B74" s="21" t="s">
        <v>225</v>
      </c>
      <c r="C74" s="21" t="s">
        <v>625</v>
      </c>
      <c r="D74" s="165">
        <v>2010000</v>
      </c>
      <c r="E74" s="21" t="s">
        <v>320</v>
      </c>
      <c r="F74" s="21" t="s">
        <v>321</v>
      </c>
      <c r="G74" s="8" t="str">
        <f t="shared" si="1"/>
        <v>MAELZER KURT</v>
      </c>
    </row>
    <row r="75" spans="1:7" x14ac:dyDescent="0.25">
      <c r="A75" s="8">
        <v>42721.395833333336</v>
      </c>
      <c r="B75" s="21" t="s">
        <v>532</v>
      </c>
      <c r="C75" s="21" t="s">
        <v>626</v>
      </c>
      <c r="D75" s="165">
        <v>1760000</v>
      </c>
      <c r="E75" s="21" t="s">
        <v>469</v>
      </c>
      <c r="F75" s="21" t="s">
        <v>470</v>
      </c>
      <c r="G75" s="8" t="str">
        <f t="shared" si="1"/>
        <v>STRICKLAND EVAN</v>
      </c>
    </row>
    <row r="76" spans="1:7" x14ac:dyDescent="0.25">
      <c r="A76" s="8">
        <v>42721.396319444444</v>
      </c>
      <c r="B76" s="21" t="s">
        <v>317</v>
      </c>
      <c r="C76" s="21" t="s">
        <v>627</v>
      </c>
      <c r="D76" s="165">
        <v>2030000</v>
      </c>
      <c r="E76" s="21" t="s">
        <v>595</v>
      </c>
      <c r="F76" s="21" t="s">
        <v>252</v>
      </c>
      <c r="G76" s="8" t="str">
        <f t="shared" si="1"/>
        <v>KILLION DAVID</v>
      </c>
    </row>
    <row r="77" spans="1:7" x14ac:dyDescent="0.25">
      <c r="A77" s="8">
        <v>42721.402118055557</v>
      </c>
      <c r="B77" s="21" t="s">
        <v>207</v>
      </c>
      <c r="C77" s="21" t="s">
        <v>628</v>
      </c>
      <c r="D77" s="165">
        <v>1830000</v>
      </c>
      <c r="E77" s="21" t="s">
        <v>602</v>
      </c>
      <c r="F77" s="21" t="s">
        <v>603</v>
      </c>
      <c r="G77" s="8" t="str">
        <f t="shared" si="1"/>
        <v>YORK EDGAR</v>
      </c>
    </row>
    <row r="78" spans="1:7" x14ac:dyDescent="0.25">
      <c r="A78" s="8">
        <v>42721.402418981481</v>
      </c>
      <c r="B78" s="21" t="s">
        <v>541</v>
      </c>
      <c r="C78" s="21" t="s">
        <v>629</v>
      </c>
      <c r="D78" s="165">
        <v>1100000</v>
      </c>
      <c r="E78" s="21" t="s">
        <v>318</v>
      </c>
      <c r="F78" s="21" t="s">
        <v>319</v>
      </c>
      <c r="G78" s="8" t="str">
        <f t="shared" si="1"/>
        <v>GEBRETEKLE DAGNEW</v>
      </c>
    </row>
    <row r="79" spans="1:7" x14ac:dyDescent="0.25">
      <c r="A79" s="8">
        <v>42721.406851851854</v>
      </c>
      <c r="B79" s="21" t="s">
        <v>244</v>
      </c>
      <c r="C79" s="21" t="s">
        <v>630</v>
      </c>
      <c r="D79" s="165">
        <v>1260000</v>
      </c>
      <c r="E79" s="21" t="s">
        <v>590</v>
      </c>
      <c r="F79" s="21" t="s">
        <v>591</v>
      </c>
      <c r="G79" s="8" t="str">
        <f t="shared" si="1"/>
        <v>ACKERMAN JARED</v>
      </c>
    </row>
    <row r="80" spans="1:7" x14ac:dyDescent="0.25">
      <c r="A80" s="8">
        <v>42721.414236111108</v>
      </c>
      <c r="B80" s="21" t="s">
        <v>257</v>
      </c>
      <c r="C80" s="21" t="s">
        <v>631</v>
      </c>
      <c r="D80" s="165">
        <v>1990000</v>
      </c>
      <c r="E80" s="21" t="s">
        <v>269</v>
      </c>
      <c r="F80" s="21" t="s">
        <v>466</v>
      </c>
      <c r="G80" s="8" t="str">
        <f t="shared" si="1"/>
        <v>DAVIS WENDY</v>
      </c>
    </row>
    <row r="81" spans="1:7" x14ac:dyDescent="0.25">
      <c r="A81" s="8">
        <v>42721.414398148147</v>
      </c>
      <c r="B81" s="21" t="s">
        <v>206</v>
      </c>
      <c r="C81" s="21" t="s">
        <v>632</v>
      </c>
      <c r="D81" s="165">
        <v>1830000</v>
      </c>
      <c r="E81" s="21" t="s">
        <v>602</v>
      </c>
      <c r="F81" s="21" t="s">
        <v>603</v>
      </c>
      <c r="G81" s="8" t="str">
        <f t="shared" si="1"/>
        <v>YORK EDGAR</v>
      </c>
    </row>
    <row r="82" spans="1:7" x14ac:dyDescent="0.25">
      <c r="A82" s="8">
        <v>42721.41511574074</v>
      </c>
      <c r="B82" s="21" t="s">
        <v>265</v>
      </c>
      <c r="C82" s="21" t="s">
        <v>633</v>
      </c>
      <c r="D82" s="165">
        <v>1340000</v>
      </c>
      <c r="E82" s="21" t="s">
        <v>608</v>
      </c>
      <c r="F82" s="21" t="s">
        <v>609</v>
      </c>
      <c r="G82" s="8" t="str">
        <f t="shared" si="1"/>
        <v>BEAM ROSS</v>
      </c>
    </row>
    <row r="83" spans="1:7" x14ac:dyDescent="0.25">
      <c r="A83" s="8">
        <v>42721.416342592594</v>
      </c>
      <c r="B83" s="21" t="s">
        <v>302</v>
      </c>
      <c r="C83" s="21" t="s">
        <v>557</v>
      </c>
      <c r="D83" s="165">
        <v>2280000</v>
      </c>
      <c r="E83" s="21" t="s">
        <v>634</v>
      </c>
      <c r="F83" s="21" t="s">
        <v>635</v>
      </c>
      <c r="G83" s="8" t="str">
        <f t="shared" si="1"/>
        <v>MAHAN DUANE</v>
      </c>
    </row>
    <row r="84" spans="1:7" x14ac:dyDescent="0.25">
      <c r="A84" s="8">
        <v>42721.41746527778</v>
      </c>
      <c r="B84" s="21" t="s">
        <v>210</v>
      </c>
      <c r="C84" s="21" t="s">
        <v>558</v>
      </c>
      <c r="D84" s="165">
        <v>2270000</v>
      </c>
      <c r="E84" s="21" t="s">
        <v>636</v>
      </c>
      <c r="F84" s="21" t="s">
        <v>637</v>
      </c>
      <c r="G84" s="8" t="str">
        <f t="shared" si="1"/>
        <v>BROWN JACOB</v>
      </c>
    </row>
    <row r="85" spans="1:7" x14ac:dyDescent="0.25">
      <c r="A85" s="8">
        <v>42721.425347222219</v>
      </c>
      <c r="B85" s="21" t="s">
        <v>290</v>
      </c>
      <c r="C85" s="21" t="s">
        <v>559</v>
      </c>
      <c r="D85" s="165">
        <v>2010000</v>
      </c>
      <c r="E85" s="21" t="s">
        <v>320</v>
      </c>
      <c r="F85" s="21" t="s">
        <v>321</v>
      </c>
      <c r="G85" s="8" t="str">
        <f t="shared" si="1"/>
        <v>MAELZER KURT</v>
      </c>
    </row>
    <row r="86" spans="1:7" x14ac:dyDescent="0.25">
      <c r="A86" s="8">
        <v>42721.430081018516</v>
      </c>
      <c r="B86" s="21" t="s">
        <v>563</v>
      </c>
      <c r="C86" s="21" t="s">
        <v>638</v>
      </c>
      <c r="D86" s="165">
        <v>1760000</v>
      </c>
      <c r="E86" s="21" t="s">
        <v>469</v>
      </c>
      <c r="F86" s="21" t="s">
        <v>470</v>
      </c>
      <c r="G86" s="8" t="str">
        <f t="shared" si="1"/>
        <v>STRICKLAND EVAN</v>
      </c>
    </row>
    <row r="87" spans="1:7" x14ac:dyDescent="0.25">
      <c r="A87" s="8">
        <v>42721.430856481478</v>
      </c>
      <c r="B87" s="21" t="s">
        <v>316</v>
      </c>
      <c r="C87" s="21" t="s">
        <v>639</v>
      </c>
      <c r="D87" s="165">
        <v>2030000</v>
      </c>
      <c r="E87" s="21" t="s">
        <v>595</v>
      </c>
      <c r="F87" s="21" t="s">
        <v>252</v>
      </c>
      <c r="G87" s="8" t="str">
        <f t="shared" si="1"/>
        <v>KILLION DAVID</v>
      </c>
    </row>
    <row r="88" spans="1:7" x14ac:dyDescent="0.25">
      <c r="A88" s="8">
        <v>42721.433738425927</v>
      </c>
      <c r="B88" s="21" t="s">
        <v>301</v>
      </c>
      <c r="C88" s="21" t="s">
        <v>640</v>
      </c>
      <c r="D88" s="165">
        <v>1280000</v>
      </c>
      <c r="E88" s="21" t="s">
        <v>641</v>
      </c>
      <c r="F88" s="21" t="s">
        <v>642</v>
      </c>
      <c r="G88" s="8" t="str">
        <f t="shared" si="1"/>
        <v>BARTLETT KIANDRA</v>
      </c>
    </row>
    <row r="89" spans="1:7" x14ac:dyDescent="0.25">
      <c r="A89" s="8">
        <v>42721.434479166666</v>
      </c>
      <c r="B89" s="21" t="s">
        <v>301</v>
      </c>
      <c r="C89" s="21" t="s">
        <v>640</v>
      </c>
      <c r="D89" s="165">
        <v>1280000</v>
      </c>
      <c r="E89" s="21" t="s">
        <v>641</v>
      </c>
      <c r="F89" s="21" t="s">
        <v>642</v>
      </c>
      <c r="G89" s="8" t="str">
        <f t="shared" si="1"/>
        <v>BARTLETT KIANDRA</v>
      </c>
    </row>
    <row r="90" spans="1:7" x14ac:dyDescent="0.25">
      <c r="A90" s="8">
        <v>42721.435590277775</v>
      </c>
      <c r="B90" s="21" t="s">
        <v>301</v>
      </c>
      <c r="C90" s="21" t="s">
        <v>640</v>
      </c>
      <c r="D90" s="165">
        <v>1280000</v>
      </c>
      <c r="E90" s="21" t="s">
        <v>641</v>
      </c>
      <c r="F90" s="21" t="s">
        <v>642</v>
      </c>
      <c r="G90" s="8" t="str">
        <f t="shared" si="1"/>
        <v>BARTLETT KIANDRA</v>
      </c>
    </row>
    <row r="91" spans="1:7" x14ac:dyDescent="0.25">
      <c r="A91" s="8">
        <v>42721.437488425923</v>
      </c>
      <c r="B91" s="21" t="s">
        <v>545</v>
      </c>
      <c r="C91" s="21" t="s">
        <v>643</v>
      </c>
      <c r="D91" s="165">
        <v>2230000</v>
      </c>
      <c r="E91" s="21" t="s">
        <v>471</v>
      </c>
      <c r="F91" s="21" t="s">
        <v>268</v>
      </c>
      <c r="G91" s="8" t="str">
        <f t="shared" si="1"/>
        <v>SMITH MICHAEL</v>
      </c>
    </row>
    <row r="92" spans="1:7" x14ac:dyDescent="0.25">
      <c r="A92" s="8">
        <v>42721.440925925926</v>
      </c>
      <c r="B92" s="21" t="s">
        <v>263</v>
      </c>
      <c r="C92" s="21" t="s">
        <v>644</v>
      </c>
      <c r="D92" s="165">
        <v>1260000</v>
      </c>
      <c r="E92" s="21" t="s">
        <v>590</v>
      </c>
      <c r="F92" s="21" t="s">
        <v>591</v>
      </c>
      <c r="G92" s="8" t="str">
        <f t="shared" si="1"/>
        <v>ACKERMAN JARED</v>
      </c>
    </row>
    <row r="93" spans="1:7" x14ac:dyDescent="0.25">
      <c r="A93" s="8">
        <v>42721.442106481481</v>
      </c>
      <c r="B93" s="21" t="s">
        <v>207</v>
      </c>
      <c r="C93" s="21" t="s">
        <v>645</v>
      </c>
      <c r="D93" s="165">
        <v>1830000</v>
      </c>
      <c r="E93" s="21" t="s">
        <v>602</v>
      </c>
      <c r="F93" s="21" t="s">
        <v>603</v>
      </c>
      <c r="G93" s="8" t="str">
        <f t="shared" si="1"/>
        <v>YORK EDGAR</v>
      </c>
    </row>
    <row r="94" spans="1:7" x14ac:dyDescent="0.25">
      <c r="A94" s="8">
        <v>42721.450266203705</v>
      </c>
      <c r="B94" s="21" t="s">
        <v>256</v>
      </c>
      <c r="C94" s="21" t="s">
        <v>646</v>
      </c>
      <c r="D94" s="165">
        <v>1990000</v>
      </c>
      <c r="E94" s="21" t="s">
        <v>269</v>
      </c>
      <c r="F94" s="21" t="s">
        <v>466</v>
      </c>
      <c r="G94" s="8" t="str">
        <f t="shared" si="1"/>
        <v>DAVIS WENDY</v>
      </c>
    </row>
    <row r="95" spans="1:7" x14ac:dyDescent="0.25">
      <c r="A95" s="8">
        <v>42721.453009259261</v>
      </c>
      <c r="B95" s="21" t="s">
        <v>229</v>
      </c>
      <c r="C95" s="21" t="s">
        <v>560</v>
      </c>
      <c r="D95" s="165">
        <v>2420000</v>
      </c>
      <c r="E95" s="21" t="s">
        <v>215</v>
      </c>
      <c r="F95" s="21" t="s">
        <v>477</v>
      </c>
      <c r="G95" s="8" t="str">
        <f t="shared" si="1"/>
        <v>HOLCOMB KAMDEN</v>
      </c>
    </row>
    <row r="96" spans="1:7" x14ac:dyDescent="0.25">
      <c r="A96" s="8">
        <v>42721.454467592594</v>
      </c>
      <c r="B96" s="21" t="s">
        <v>229</v>
      </c>
      <c r="C96" s="21" t="s">
        <v>560</v>
      </c>
      <c r="D96" s="165">
        <v>2420000</v>
      </c>
      <c r="E96" s="21" t="s">
        <v>215</v>
      </c>
      <c r="F96" s="21" t="s">
        <v>477</v>
      </c>
      <c r="G96" s="8" t="str">
        <f t="shared" si="1"/>
        <v>HOLCOMB KAMDEN</v>
      </c>
    </row>
    <row r="97" spans="1:7" x14ac:dyDescent="0.25">
      <c r="A97" s="8">
        <v>42721.456087962964</v>
      </c>
      <c r="B97" s="21" t="s">
        <v>206</v>
      </c>
      <c r="C97" s="21" t="s">
        <v>647</v>
      </c>
      <c r="D97" s="165">
        <v>1830000</v>
      </c>
      <c r="E97" s="21" t="s">
        <v>602</v>
      </c>
      <c r="F97" s="21" t="s">
        <v>603</v>
      </c>
      <c r="G97" s="8" t="str">
        <f t="shared" si="1"/>
        <v>YORK EDGAR</v>
      </c>
    </row>
    <row r="98" spans="1:7" x14ac:dyDescent="0.25">
      <c r="A98" s="8">
        <v>42721.466597222221</v>
      </c>
      <c r="B98" s="21" t="s">
        <v>225</v>
      </c>
      <c r="C98" s="21" t="s">
        <v>648</v>
      </c>
      <c r="D98" s="165">
        <v>1280000</v>
      </c>
      <c r="E98" s="21" t="s">
        <v>641</v>
      </c>
      <c r="F98" s="21" t="s">
        <v>642</v>
      </c>
      <c r="G98" s="8" t="str">
        <f t="shared" si="1"/>
        <v>BARTLETT KIANDRA</v>
      </c>
    </row>
    <row r="99" spans="1:7" x14ac:dyDescent="0.25">
      <c r="A99" s="8">
        <v>42721.468298611115</v>
      </c>
      <c r="B99" s="21" t="s">
        <v>304</v>
      </c>
      <c r="C99" s="21" t="s">
        <v>649</v>
      </c>
      <c r="D99" s="165">
        <v>1360000</v>
      </c>
      <c r="E99" s="21" t="s">
        <v>322</v>
      </c>
      <c r="F99" s="21" t="s">
        <v>323</v>
      </c>
      <c r="G99" s="8" t="str">
        <f t="shared" si="1"/>
        <v>SANTIZO D. EDY</v>
      </c>
    </row>
    <row r="100" spans="1:7" x14ac:dyDescent="0.25">
      <c r="A100" s="8">
        <v>42721.475300925929</v>
      </c>
      <c r="B100" s="21" t="s">
        <v>532</v>
      </c>
      <c r="C100" s="21" t="s">
        <v>650</v>
      </c>
      <c r="D100" s="165">
        <v>2280000</v>
      </c>
      <c r="E100" s="21" t="s">
        <v>634</v>
      </c>
      <c r="F100" s="21" t="s">
        <v>635</v>
      </c>
      <c r="G100" s="8" t="str">
        <f t="shared" si="1"/>
        <v>MAHAN DUANE</v>
      </c>
    </row>
    <row r="101" spans="1:7" x14ac:dyDescent="0.25">
      <c r="A101" s="8">
        <v>42721.481400462966</v>
      </c>
      <c r="B101" s="21" t="s">
        <v>317</v>
      </c>
      <c r="C101" s="21" t="s">
        <v>561</v>
      </c>
      <c r="D101" s="165">
        <v>2030000</v>
      </c>
      <c r="E101" s="21" t="s">
        <v>595</v>
      </c>
      <c r="F101" s="21" t="s">
        <v>252</v>
      </c>
      <c r="G101" s="8" t="str">
        <f t="shared" si="1"/>
        <v>KILLION DAVID</v>
      </c>
    </row>
    <row r="102" spans="1:7" x14ac:dyDescent="0.25">
      <c r="A102" s="8">
        <v>42721.483506944445</v>
      </c>
      <c r="B102" s="21" t="s">
        <v>207</v>
      </c>
      <c r="C102" s="21" t="s">
        <v>651</v>
      </c>
      <c r="D102" s="165">
        <v>1830000</v>
      </c>
      <c r="E102" s="21" t="s">
        <v>602</v>
      </c>
      <c r="F102" s="21" t="s">
        <v>603</v>
      </c>
      <c r="G102" s="8" t="str">
        <f t="shared" si="1"/>
        <v>YORK EDGAR</v>
      </c>
    </row>
    <row r="103" spans="1:7" x14ac:dyDescent="0.25">
      <c r="A103" s="8">
        <v>42721.489189814813</v>
      </c>
      <c r="B103" s="21" t="s">
        <v>541</v>
      </c>
      <c r="C103" s="21" t="s">
        <v>652</v>
      </c>
      <c r="D103" s="165">
        <v>2230000</v>
      </c>
      <c r="E103" s="21" t="s">
        <v>471</v>
      </c>
      <c r="F103" s="21" t="s">
        <v>268</v>
      </c>
      <c r="G103" s="8" t="str">
        <f t="shared" si="1"/>
        <v>SMITH MICHAEL</v>
      </c>
    </row>
    <row r="104" spans="1:7" x14ac:dyDescent="0.25">
      <c r="A104" s="8">
        <v>42721.490057870367</v>
      </c>
      <c r="B104" s="21" t="s">
        <v>244</v>
      </c>
      <c r="C104" s="21" t="s">
        <v>653</v>
      </c>
      <c r="D104" s="165">
        <v>2020000</v>
      </c>
      <c r="E104" s="21" t="s">
        <v>474</v>
      </c>
      <c r="F104" s="21" t="s">
        <v>251</v>
      </c>
      <c r="G104" s="8" t="str">
        <f t="shared" si="1"/>
        <v>SHOOK JOHN</v>
      </c>
    </row>
    <row r="105" spans="1:7" x14ac:dyDescent="0.25">
      <c r="A105" s="8">
        <v>42721.495034722226</v>
      </c>
      <c r="B105" s="21" t="s">
        <v>265</v>
      </c>
      <c r="C105" s="21" t="s">
        <v>562</v>
      </c>
      <c r="D105" s="165">
        <v>2420000</v>
      </c>
      <c r="E105" s="21" t="s">
        <v>215</v>
      </c>
      <c r="F105" s="21" t="s">
        <v>477</v>
      </c>
      <c r="G105" s="8" t="str">
        <f t="shared" si="1"/>
        <v>HOLCOMB KAMDEN</v>
      </c>
    </row>
    <row r="106" spans="1:7" x14ac:dyDescent="0.25">
      <c r="A106" s="8">
        <v>42721.496782407405</v>
      </c>
      <c r="B106" s="21" t="s">
        <v>257</v>
      </c>
      <c r="C106" s="21" t="s">
        <v>654</v>
      </c>
      <c r="D106" s="165">
        <v>1770000</v>
      </c>
      <c r="E106" s="21" t="s">
        <v>655</v>
      </c>
      <c r="F106" s="21" t="s">
        <v>656</v>
      </c>
      <c r="G106" s="8" t="str">
        <f t="shared" si="1"/>
        <v>BRUDER RICHARD</v>
      </c>
    </row>
    <row r="107" spans="1:7" x14ac:dyDescent="0.25">
      <c r="A107" s="8">
        <v>42721.497673611113</v>
      </c>
      <c r="B107" s="21" t="s">
        <v>206</v>
      </c>
      <c r="C107" s="21" t="s">
        <v>657</v>
      </c>
      <c r="D107" s="165">
        <v>1830000</v>
      </c>
      <c r="E107" s="21" t="s">
        <v>602</v>
      </c>
      <c r="F107" s="21" t="s">
        <v>603</v>
      </c>
      <c r="G107" s="8" t="str">
        <f t="shared" si="1"/>
        <v>YORK EDGAR</v>
      </c>
    </row>
    <row r="108" spans="1:7" x14ac:dyDescent="0.25">
      <c r="A108" s="8">
        <v>42721.50503472222</v>
      </c>
      <c r="B108" s="21" t="s">
        <v>290</v>
      </c>
      <c r="C108" s="21" t="s">
        <v>565</v>
      </c>
      <c r="D108" s="165">
        <v>1280000</v>
      </c>
      <c r="E108" s="21" t="s">
        <v>641</v>
      </c>
      <c r="F108" s="21" t="s">
        <v>642</v>
      </c>
      <c r="G108" s="8" t="str">
        <f t="shared" si="1"/>
        <v>BARTLETT KIANDRA</v>
      </c>
    </row>
    <row r="109" spans="1:7" x14ac:dyDescent="0.25">
      <c r="A109" s="8">
        <v>42721.511319444442</v>
      </c>
      <c r="B109" s="21" t="s">
        <v>571</v>
      </c>
      <c r="C109" s="21" t="s">
        <v>658</v>
      </c>
      <c r="D109" s="165">
        <v>2040000</v>
      </c>
      <c r="E109" s="21" t="s">
        <v>659</v>
      </c>
      <c r="F109" s="21" t="s">
        <v>660</v>
      </c>
      <c r="G109" s="8" t="str">
        <f t="shared" si="1"/>
        <v>MOSES BRADLEY</v>
      </c>
    </row>
    <row r="110" spans="1:7" x14ac:dyDescent="0.25">
      <c r="A110" s="8">
        <v>42721.514201388891</v>
      </c>
      <c r="B110" s="21" t="s">
        <v>563</v>
      </c>
      <c r="C110" s="21" t="s">
        <v>564</v>
      </c>
      <c r="D110" s="165">
        <v>2280000</v>
      </c>
      <c r="E110" s="21" t="s">
        <v>634</v>
      </c>
      <c r="F110" s="21" t="s">
        <v>635</v>
      </c>
      <c r="G110" s="8" t="str">
        <f t="shared" si="1"/>
        <v>MAHAN DUANE</v>
      </c>
    </row>
    <row r="111" spans="1:7" x14ac:dyDescent="0.25">
      <c r="A111" s="8">
        <v>42721.526087962964</v>
      </c>
      <c r="B111" s="21" t="s">
        <v>207</v>
      </c>
      <c r="C111" s="21" t="s">
        <v>661</v>
      </c>
      <c r="D111" s="165">
        <v>1830000</v>
      </c>
      <c r="E111" s="21" t="s">
        <v>602</v>
      </c>
      <c r="F111" s="21" t="s">
        <v>603</v>
      </c>
      <c r="G111" s="8" t="str">
        <f t="shared" si="1"/>
        <v>YORK EDGAR</v>
      </c>
    </row>
    <row r="112" spans="1:7" x14ac:dyDescent="0.25">
      <c r="A112" s="8">
        <v>42721.526620370372</v>
      </c>
      <c r="B112" s="21" t="s">
        <v>263</v>
      </c>
      <c r="C112" s="21" t="s">
        <v>662</v>
      </c>
      <c r="D112" s="165">
        <v>2020000</v>
      </c>
      <c r="E112" s="21" t="s">
        <v>474</v>
      </c>
      <c r="F112" s="21" t="s">
        <v>251</v>
      </c>
      <c r="G112" s="8" t="str">
        <f t="shared" si="1"/>
        <v>SHOOK JOHN</v>
      </c>
    </row>
    <row r="113" spans="1:7" x14ac:dyDescent="0.25">
      <c r="A113" s="8">
        <v>42721.527905092589</v>
      </c>
      <c r="B113" s="21" t="s">
        <v>204</v>
      </c>
      <c r="C113" s="21" t="s">
        <v>663</v>
      </c>
      <c r="D113" s="165">
        <v>1740000</v>
      </c>
      <c r="E113" s="21" t="s">
        <v>664</v>
      </c>
      <c r="F113" s="21" t="s">
        <v>665</v>
      </c>
      <c r="G113" s="8" t="str">
        <f t="shared" si="1"/>
        <v>STORY SAMANTHA</v>
      </c>
    </row>
    <row r="114" spans="1:7" x14ac:dyDescent="0.25">
      <c r="A114" s="8">
        <v>42721.532013888886</v>
      </c>
      <c r="B114" s="21" t="s">
        <v>229</v>
      </c>
      <c r="C114" s="21" t="s">
        <v>566</v>
      </c>
      <c r="D114" s="165">
        <v>2420000</v>
      </c>
      <c r="E114" s="21" t="s">
        <v>215</v>
      </c>
      <c r="F114" s="21" t="s">
        <v>477</v>
      </c>
      <c r="G114" s="8" t="str">
        <f t="shared" si="1"/>
        <v>HOLCOMB KAMDEN</v>
      </c>
    </row>
    <row r="115" spans="1:7" x14ac:dyDescent="0.25">
      <c r="A115" s="8">
        <v>42721.534837962965</v>
      </c>
      <c r="B115" s="21" t="s">
        <v>256</v>
      </c>
      <c r="C115" s="21" t="s">
        <v>666</v>
      </c>
      <c r="D115" s="165">
        <v>1770000</v>
      </c>
      <c r="E115" s="21" t="s">
        <v>655</v>
      </c>
      <c r="F115" s="21" t="s">
        <v>656</v>
      </c>
      <c r="G115" s="8" t="str">
        <f t="shared" si="1"/>
        <v>BRUDER RICHARD</v>
      </c>
    </row>
    <row r="116" spans="1:7" x14ac:dyDescent="0.25">
      <c r="A116" s="8">
        <v>42721.537754629629</v>
      </c>
      <c r="B116" s="21" t="s">
        <v>316</v>
      </c>
      <c r="C116" s="21" t="s">
        <v>667</v>
      </c>
      <c r="D116" s="165">
        <v>1280000</v>
      </c>
      <c r="E116" s="21" t="s">
        <v>641</v>
      </c>
      <c r="F116" s="21" t="s">
        <v>642</v>
      </c>
      <c r="G116" s="8" t="str">
        <f t="shared" si="1"/>
        <v>BARTLETT KIANDRA</v>
      </c>
    </row>
    <row r="117" spans="1:7" x14ac:dyDescent="0.25">
      <c r="A117" s="8">
        <v>42721.539675925924</v>
      </c>
      <c r="B117" s="21" t="s">
        <v>206</v>
      </c>
      <c r="C117" s="21" t="s">
        <v>668</v>
      </c>
      <c r="D117" s="165">
        <v>1830000</v>
      </c>
      <c r="E117" s="21" t="s">
        <v>602</v>
      </c>
      <c r="F117" s="21" t="s">
        <v>603</v>
      </c>
      <c r="G117" s="8" t="str">
        <f t="shared" si="1"/>
        <v>YORK EDGAR</v>
      </c>
    </row>
    <row r="118" spans="1:7" x14ac:dyDescent="0.25">
      <c r="A118" s="8">
        <v>42721.552719907406</v>
      </c>
      <c r="B118" s="21" t="s">
        <v>235</v>
      </c>
      <c r="C118" s="21" t="s">
        <v>568</v>
      </c>
      <c r="D118" s="165">
        <v>2040000</v>
      </c>
      <c r="E118" s="21" t="s">
        <v>659</v>
      </c>
      <c r="F118" s="21" t="s">
        <v>660</v>
      </c>
      <c r="G118" s="8" t="str">
        <f t="shared" si="1"/>
        <v>MOSES BRADLEY</v>
      </c>
    </row>
    <row r="119" spans="1:7" x14ac:dyDescent="0.25">
      <c r="A119" s="8">
        <v>42721.555185185185</v>
      </c>
      <c r="B119" s="21" t="s">
        <v>532</v>
      </c>
      <c r="C119" s="21" t="s">
        <v>669</v>
      </c>
      <c r="D119" s="165">
        <v>2280000</v>
      </c>
      <c r="E119" s="21" t="s">
        <v>634</v>
      </c>
      <c r="F119" s="21" t="s">
        <v>635</v>
      </c>
      <c r="G119" s="8" t="str">
        <f t="shared" si="1"/>
        <v>MAHAN DUANE</v>
      </c>
    </row>
    <row r="120" spans="1:7" x14ac:dyDescent="0.25">
      <c r="A120" s="8">
        <v>42721.55541666667</v>
      </c>
      <c r="B120" s="21" t="s">
        <v>263</v>
      </c>
      <c r="C120" s="21" t="s">
        <v>662</v>
      </c>
      <c r="D120" s="165">
        <v>2020000</v>
      </c>
      <c r="E120" s="21" t="s">
        <v>474</v>
      </c>
      <c r="F120" s="21" t="s">
        <v>251</v>
      </c>
      <c r="G120" s="8" t="str">
        <f t="shared" si="1"/>
        <v>SHOOK JOHN</v>
      </c>
    </row>
    <row r="121" spans="1:7" x14ac:dyDescent="0.25">
      <c r="A121" s="8">
        <v>42721.560810185183</v>
      </c>
      <c r="B121" s="21" t="s">
        <v>210</v>
      </c>
      <c r="C121" s="21" t="s">
        <v>567</v>
      </c>
      <c r="D121" s="165">
        <v>1740000</v>
      </c>
      <c r="E121" s="21" t="s">
        <v>664</v>
      </c>
      <c r="F121" s="21" t="s">
        <v>665</v>
      </c>
      <c r="G121" s="8" t="str">
        <f t="shared" si="1"/>
        <v>STORY SAMANTHA</v>
      </c>
    </row>
    <row r="122" spans="1:7" x14ac:dyDescent="0.25">
      <c r="A122" s="8">
        <v>42721.564687500002</v>
      </c>
      <c r="B122" s="26" t="s">
        <v>244</v>
      </c>
      <c r="C122" s="21" t="s">
        <v>670</v>
      </c>
      <c r="D122" s="165">
        <v>2020000</v>
      </c>
      <c r="E122" s="21" t="s">
        <v>474</v>
      </c>
      <c r="F122" s="21" t="s">
        <v>251</v>
      </c>
      <c r="G122" s="8" t="str">
        <f t="shared" si="1"/>
        <v>SHOOK JOHN</v>
      </c>
    </row>
    <row r="123" spans="1:7" x14ac:dyDescent="0.25">
      <c r="A123" s="8">
        <v>42721.568425925929</v>
      </c>
      <c r="B123" s="21" t="s">
        <v>207</v>
      </c>
      <c r="C123" s="21" t="s">
        <v>671</v>
      </c>
      <c r="D123" s="165">
        <v>1830000</v>
      </c>
      <c r="E123" s="21" t="s">
        <v>602</v>
      </c>
      <c r="F123" s="21" t="s">
        <v>603</v>
      </c>
      <c r="G123" s="8" t="str">
        <f t="shared" si="1"/>
        <v>YORK EDGAR</v>
      </c>
    </row>
    <row r="124" spans="1:7" x14ac:dyDescent="0.25">
      <c r="A124" s="8">
        <v>42721.569884259261</v>
      </c>
      <c r="B124" s="21" t="s">
        <v>257</v>
      </c>
      <c r="C124" s="21" t="s">
        <v>672</v>
      </c>
      <c r="D124" s="165">
        <v>1770000</v>
      </c>
      <c r="E124" s="21" t="s">
        <v>655</v>
      </c>
      <c r="F124" s="21" t="s">
        <v>656</v>
      </c>
      <c r="G124" s="8" t="str">
        <f t="shared" si="1"/>
        <v>BRUDER RICHARD</v>
      </c>
    </row>
    <row r="125" spans="1:7" x14ac:dyDescent="0.25">
      <c r="A125" s="8">
        <v>42721.570497685185</v>
      </c>
      <c r="B125" s="21" t="s">
        <v>265</v>
      </c>
      <c r="C125" s="21" t="s">
        <v>569</v>
      </c>
      <c r="D125" s="165">
        <v>2420000</v>
      </c>
      <c r="E125" s="21" t="s">
        <v>215</v>
      </c>
      <c r="F125" s="21" t="s">
        <v>477</v>
      </c>
      <c r="G125" s="8" t="str">
        <f t="shared" si="1"/>
        <v>HOLCOMB KAMDEN</v>
      </c>
    </row>
    <row r="126" spans="1:7" x14ac:dyDescent="0.25">
      <c r="A126" s="8">
        <v>42721.580208333333</v>
      </c>
      <c r="B126" s="21" t="s">
        <v>317</v>
      </c>
      <c r="C126" s="21" t="s">
        <v>570</v>
      </c>
      <c r="D126" s="165">
        <v>1280000</v>
      </c>
      <c r="E126" s="21" t="s">
        <v>641</v>
      </c>
      <c r="F126" s="21" t="s">
        <v>642</v>
      </c>
      <c r="G126" s="8" t="str">
        <f t="shared" si="1"/>
        <v>BARTLETT KIANDRA</v>
      </c>
    </row>
    <row r="127" spans="1:7" x14ac:dyDescent="0.25">
      <c r="A127" s="8">
        <v>42721.585266203707</v>
      </c>
      <c r="B127" s="21" t="s">
        <v>214</v>
      </c>
      <c r="C127" s="21" t="s">
        <v>673</v>
      </c>
      <c r="D127" s="165">
        <v>2040000</v>
      </c>
      <c r="E127" s="21" t="s">
        <v>659</v>
      </c>
      <c r="F127" s="21" t="s">
        <v>660</v>
      </c>
      <c r="G127" s="8" t="str">
        <f t="shared" si="1"/>
        <v>MOSES BRADLEY</v>
      </c>
    </row>
    <row r="128" spans="1:7" x14ac:dyDescent="0.25">
      <c r="A128" s="8">
        <v>42721.586400462962</v>
      </c>
      <c r="B128" s="21" t="s">
        <v>214</v>
      </c>
      <c r="C128" s="21" t="s">
        <v>673</v>
      </c>
      <c r="D128" s="165">
        <v>2040000</v>
      </c>
      <c r="E128" s="21" t="s">
        <v>659</v>
      </c>
      <c r="F128" s="21" t="s">
        <v>660</v>
      </c>
      <c r="G128" s="8" t="str">
        <f t="shared" si="1"/>
        <v>MOSES BRADLEY</v>
      </c>
    </row>
    <row r="129" spans="1:7" x14ac:dyDescent="0.25">
      <c r="A129" s="8">
        <v>42721.587696759256</v>
      </c>
      <c r="B129" s="21" t="s">
        <v>563</v>
      </c>
      <c r="C129" s="21" t="s">
        <v>674</v>
      </c>
      <c r="D129" s="165">
        <v>2280000</v>
      </c>
      <c r="E129" s="21" t="s">
        <v>634</v>
      </c>
      <c r="F129" s="21" t="s">
        <v>635</v>
      </c>
      <c r="G129" s="8" t="str">
        <f t="shared" si="1"/>
        <v>MAHAN DUANE</v>
      </c>
    </row>
    <row r="130" spans="1:7" x14ac:dyDescent="0.25">
      <c r="A130" s="8">
        <v>42721.588043981479</v>
      </c>
      <c r="B130" s="21" t="s">
        <v>206</v>
      </c>
      <c r="C130" s="21" t="s">
        <v>675</v>
      </c>
      <c r="D130" s="165">
        <v>2480000</v>
      </c>
      <c r="E130" s="21" t="s">
        <v>475</v>
      </c>
      <c r="F130" s="21" t="s">
        <v>305</v>
      </c>
      <c r="G130" s="8" t="str">
        <f t="shared" si="1"/>
        <v>WHITED DUSTIN</v>
      </c>
    </row>
    <row r="131" spans="1:7" x14ac:dyDescent="0.25">
      <c r="A131" s="8">
        <v>42721.589884259258</v>
      </c>
      <c r="B131" s="21" t="s">
        <v>214</v>
      </c>
      <c r="C131" s="21" t="s">
        <v>676</v>
      </c>
      <c r="D131" s="165">
        <v>2040000</v>
      </c>
      <c r="E131" s="21" t="s">
        <v>659</v>
      </c>
      <c r="F131" s="21" t="s">
        <v>660</v>
      </c>
      <c r="G131" s="8" t="str">
        <f t="shared" ref="G131:G194" si="2">E131&amp;" "&amp;F131</f>
        <v>MOSES BRADLEY</v>
      </c>
    </row>
    <row r="132" spans="1:7" x14ac:dyDescent="0.25">
      <c r="A132" s="8">
        <v>42721.595266203702</v>
      </c>
      <c r="B132" s="21" t="s">
        <v>204</v>
      </c>
      <c r="C132" s="21" t="s">
        <v>677</v>
      </c>
      <c r="D132" s="165">
        <v>1740000</v>
      </c>
      <c r="E132" s="21" t="s">
        <v>664</v>
      </c>
      <c r="F132" s="21" t="s">
        <v>665</v>
      </c>
      <c r="G132" s="8" t="str">
        <f t="shared" si="2"/>
        <v>STORY SAMANTHA</v>
      </c>
    </row>
    <row r="133" spans="1:7" x14ac:dyDescent="0.25">
      <c r="A133" s="8">
        <v>42721.596782407411</v>
      </c>
      <c r="B133" s="21" t="s">
        <v>263</v>
      </c>
      <c r="C133" s="21" t="s">
        <v>678</v>
      </c>
      <c r="D133" s="165">
        <v>2020000</v>
      </c>
      <c r="E133" s="21" t="s">
        <v>474</v>
      </c>
      <c r="F133" s="21" t="s">
        <v>251</v>
      </c>
      <c r="G133" s="8" t="str">
        <f t="shared" si="2"/>
        <v>SHOOK JOHN</v>
      </c>
    </row>
    <row r="134" spans="1:7" x14ac:dyDescent="0.25">
      <c r="A134" s="8">
        <v>42721.604722222219</v>
      </c>
      <c r="B134" s="21" t="s">
        <v>263</v>
      </c>
      <c r="C134" s="21" t="s">
        <v>678</v>
      </c>
      <c r="D134" s="165">
        <v>2020000</v>
      </c>
      <c r="E134" s="21" t="s">
        <v>474</v>
      </c>
      <c r="F134" s="21" t="s">
        <v>251</v>
      </c>
      <c r="G134" s="8" t="str">
        <f t="shared" si="2"/>
        <v>SHOOK JOHN</v>
      </c>
    </row>
    <row r="135" spans="1:7" x14ac:dyDescent="0.25">
      <c r="A135" s="8">
        <v>42721.606678240743</v>
      </c>
      <c r="B135" s="21" t="s">
        <v>229</v>
      </c>
      <c r="C135" s="21" t="s">
        <v>573</v>
      </c>
      <c r="D135" s="165">
        <v>2420000</v>
      </c>
      <c r="E135" s="21" t="s">
        <v>215</v>
      </c>
      <c r="F135" s="21" t="s">
        <v>477</v>
      </c>
      <c r="G135" s="8" t="str">
        <f t="shared" si="2"/>
        <v>HOLCOMB KAMDEN</v>
      </c>
    </row>
    <row r="136" spans="1:7" x14ac:dyDescent="0.25">
      <c r="A136" s="8">
        <v>42721.607418981483</v>
      </c>
      <c r="B136" s="21" t="s">
        <v>214</v>
      </c>
      <c r="C136" s="21" t="s">
        <v>676</v>
      </c>
      <c r="D136" s="165">
        <v>2040000</v>
      </c>
      <c r="E136" s="21" t="s">
        <v>659</v>
      </c>
      <c r="F136" s="21" t="s">
        <v>660</v>
      </c>
      <c r="G136" s="8" t="str">
        <f t="shared" si="2"/>
        <v>MOSES BRADLEY</v>
      </c>
    </row>
    <row r="137" spans="1:7" x14ac:dyDescent="0.25">
      <c r="A137" s="8">
        <v>42721.607442129629</v>
      </c>
      <c r="B137" s="21" t="s">
        <v>256</v>
      </c>
      <c r="C137" s="21" t="s">
        <v>679</v>
      </c>
      <c r="D137" s="165">
        <v>1770000</v>
      </c>
      <c r="E137" s="21" t="s">
        <v>655</v>
      </c>
      <c r="F137" s="21" t="s">
        <v>656</v>
      </c>
      <c r="G137" s="8" t="str">
        <f t="shared" si="2"/>
        <v>BRUDER RICHARD</v>
      </c>
    </row>
    <row r="138" spans="1:7" x14ac:dyDescent="0.25">
      <c r="A138" s="8">
        <v>42721.610636574071</v>
      </c>
      <c r="B138" s="21" t="s">
        <v>207</v>
      </c>
      <c r="C138" s="21" t="s">
        <v>680</v>
      </c>
      <c r="D138" s="165">
        <v>2480000</v>
      </c>
      <c r="E138" s="21" t="s">
        <v>475</v>
      </c>
      <c r="F138" s="21" t="s">
        <v>305</v>
      </c>
      <c r="G138" s="8" t="str">
        <f t="shared" si="2"/>
        <v>WHITED DUSTIN</v>
      </c>
    </row>
    <row r="139" spans="1:7" x14ac:dyDescent="0.25">
      <c r="A139" s="8">
        <v>42721.615428240744</v>
      </c>
      <c r="B139" s="21" t="s">
        <v>316</v>
      </c>
      <c r="C139" s="21" t="s">
        <v>681</v>
      </c>
      <c r="D139" s="165">
        <v>1280000</v>
      </c>
      <c r="E139" s="21" t="s">
        <v>641</v>
      </c>
      <c r="F139" s="21" t="s">
        <v>642</v>
      </c>
      <c r="G139" s="8" t="str">
        <f t="shared" si="2"/>
        <v>BARTLETT KIANDRA</v>
      </c>
    </row>
    <row r="140" spans="1:7" x14ac:dyDescent="0.25">
      <c r="A140" s="8">
        <v>42721.625775462962</v>
      </c>
      <c r="B140" s="21" t="s">
        <v>206</v>
      </c>
      <c r="C140" s="21" t="s">
        <v>682</v>
      </c>
      <c r="D140" s="165">
        <v>2480000</v>
      </c>
      <c r="E140" s="21" t="s">
        <v>475</v>
      </c>
      <c r="F140" s="21" t="s">
        <v>305</v>
      </c>
      <c r="G140" s="8" t="str">
        <f t="shared" si="2"/>
        <v>WHITED DUSTIN</v>
      </c>
    </row>
    <row r="141" spans="1:7" x14ac:dyDescent="0.25">
      <c r="A141" s="8">
        <v>42721.626134259262</v>
      </c>
      <c r="B141" s="21" t="s">
        <v>532</v>
      </c>
      <c r="C141" s="21" t="s">
        <v>673</v>
      </c>
      <c r="D141" s="165">
        <v>2230000</v>
      </c>
      <c r="E141" s="21" t="s">
        <v>471</v>
      </c>
      <c r="F141" s="21" t="s">
        <v>268</v>
      </c>
      <c r="G141" s="8" t="str">
        <f t="shared" si="2"/>
        <v>SMITH MICHAEL</v>
      </c>
    </row>
    <row r="142" spans="1:7" x14ac:dyDescent="0.25">
      <c r="A142" s="8">
        <v>42721.632013888891</v>
      </c>
      <c r="B142" s="21" t="s">
        <v>229</v>
      </c>
      <c r="C142" s="21" t="s">
        <v>573</v>
      </c>
      <c r="D142" s="165">
        <v>2420000</v>
      </c>
      <c r="E142" s="21" t="s">
        <v>215</v>
      </c>
      <c r="F142" s="21" t="s">
        <v>477</v>
      </c>
      <c r="G142" s="8" t="str">
        <f t="shared" si="2"/>
        <v>HOLCOMB KAMDEN</v>
      </c>
    </row>
    <row r="143" spans="1:7" x14ac:dyDescent="0.25">
      <c r="A143" s="8">
        <v>42721.632569444446</v>
      </c>
      <c r="B143" s="21" t="s">
        <v>571</v>
      </c>
      <c r="C143" s="21" t="s">
        <v>572</v>
      </c>
      <c r="D143" s="165">
        <v>2280000</v>
      </c>
      <c r="E143" s="21" t="s">
        <v>634</v>
      </c>
      <c r="F143" s="21" t="s">
        <v>635</v>
      </c>
      <c r="G143" s="8" t="str">
        <f t="shared" si="2"/>
        <v>MAHAN DUANE</v>
      </c>
    </row>
    <row r="144" spans="1:7" x14ac:dyDescent="0.25">
      <c r="A144" s="8">
        <v>42721.633252314816</v>
      </c>
      <c r="B144" s="21" t="s">
        <v>302</v>
      </c>
      <c r="C144" s="21" t="s">
        <v>683</v>
      </c>
      <c r="D144" s="165">
        <v>2040000</v>
      </c>
      <c r="E144" s="21" t="s">
        <v>659</v>
      </c>
      <c r="F144" s="21" t="s">
        <v>660</v>
      </c>
      <c r="G144" s="8" t="str">
        <f t="shared" si="2"/>
        <v>MOSES BRADLEY</v>
      </c>
    </row>
    <row r="145" spans="1:7" x14ac:dyDescent="0.25">
      <c r="A145" s="8">
        <v>42721.637002314812</v>
      </c>
      <c r="B145" s="21" t="s">
        <v>244</v>
      </c>
      <c r="C145" s="21" t="s">
        <v>684</v>
      </c>
      <c r="D145" s="165">
        <v>2020000</v>
      </c>
      <c r="E145" s="21" t="s">
        <v>474</v>
      </c>
      <c r="F145" s="21" t="s">
        <v>251</v>
      </c>
      <c r="G145" s="8" t="str">
        <f t="shared" si="2"/>
        <v>SHOOK JOHN</v>
      </c>
    </row>
    <row r="146" spans="1:7" x14ac:dyDescent="0.25">
      <c r="A146" s="8">
        <v>42721.639386574076</v>
      </c>
      <c r="B146" s="21" t="s">
        <v>210</v>
      </c>
      <c r="C146" s="21" t="s">
        <v>685</v>
      </c>
      <c r="D146" s="165">
        <v>1740000</v>
      </c>
      <c r="E146" s="21" t="s">
        <v>664</v>
      </c>
      <c r="F146" s="21" t="s">
        <v>665</v>
      </c>
      <c r="G146" s="8" t="str">
        <f t="shared" si="2"/>
        <v>STORY SAMANTHA</v>
      </c>
    </row>
    <row r="147" spans="1:7" x14ac:dyDescent="0.25">
      <c r="A147" s="8">
        <v>42721.642754629633</v>
      </c>
      <c r="B147" s="21" t="s">
        <v>257</v>
      </c>
      <c r="C147" s="21" t="s">
        <v>686</v>
      </c>
      <c r="D147" s="165">
        <v>1770000</v>
      </c>
      <c r="E147" s="21" t="s">
        <v>655</v>
      </c>
      <c r="F147" s="21" t="s">
        <v>656</v>
      </c>
      <c r="G147" s="8" t="str">
        <f t="shared" si="2"/>
        <v>BRUDER RICHARD</v>
      </c>
    </row>
    <row r="148" spans="1:7" x14ac:dyDescent="0.25">
      <c r="A148" s="8">
        <v>42721.648020833331</v>
      </c>
      <c r="B148" s="21" t="s">
        <v>265</v>
      </c>
      <c r="C148" s="21" t="s">
        <v>574</v>
      </c>
      <c r="D148" s="165">
        <v>2420000</v>
      </c>
      <c r="E148" s="21" t="s">
        <v>215</v>
      </c>
      <c r="F148" s="21" t="s">
        <v>477</v>
      </c>
      <c r="G148" s="8" t="str">
        <f t="shared" si="2"/>
        <v>HOLCOMB KAMDEN</v>
      </c>
    </row>
    <row r="149" spans="1:7" x14ac:dyDescent="0.25">
      <c r="A149" s="8">
        <v>42721.651967592596</v>
      </c>
      <c r="B149" s="21" t="s">
        <v>207</v>
      </c>
      <c r="C149" s="21" t="s">
        <v>687</v>
      </c>
      <c r="D149" s="165">
        <v>2480000</v>
      </c>
      <c r="E149" s="21" t="s">
        <v>475</v>
      </c>
      <c r="F149" s="21" t="s">
        <v>305</v>
      </c>
      <c r="G149" s="8" t="str">
        <f t="shared" si="2"/>
        <v>WHITED DUSTIN</v>
      </c>
    </row>
    <row r="150" spans="1:7" x14ac:dyDescent="0.25">
      <c r="A150" s="8">
        <v>42721.65997685185</v>
      </c>
      <c r="B150" s="21" t="s">
        <v>210</v>
      </c>
      <c r="C150" s="21" t="s">
        <v>685</v>
      </c>
      <c r="D150" s="165">
        <v>1740000</v>
      </c>
      <c r="E150" s="21" t="s">
        <v>664</v>
      </c>
      <c r="F150" s="21" t="s">
        <v>665</v>
      </c>
      <c r="G150" s="8" t="str">
        <f t="shared" si="2"/>
        <v>STORY SAMANTHA</v>
      </c>
    </row>
    <row r="151" spans="1:7" x14ac:dyDescent="0.25">
      <c r="A151" s="8">
        <v>42721.661249999997</v>
      </c>
      <c r="B151" s="21" t="s">
        <v>317</v>
      </c>
      <c r="C151" s="21" t="s">
        <v>688</v>
      </c>
      <c r="D151" s="165">
        <v>1280000</v>
      </c>
      <c r="E151" s="21" t="s">
        <v>641</v>
      </c>
      <c r="F151" s="21" t="s">
        <v>642</v>
      </c>
      <c r="G151" s="8" t="str">
        <f t="shared" si="2"/>
        <v>BARTLETT KIANDRA</v>
      </c>
    </row>
    <row r="152" spans="1:7" x14ac:dyDescent="0.25">
      <c r="A152" s="8">
        <v>42721.66202546296</v>
      </c>
      <c r="B152" s="21" t="s">
        <v>317</v>
      </c>
      <c r="C152" s="21" t="s">
        <v>688</v>
      </c>
      <c r="D152" s="165">
        <v>1280000</v>
      </c>
      <c r="E152" s="21" t="s">
        <v>641</v>
      </c>
      <c r="F152" s="21" t="s">
        <v>642</v>
      </c>
      <c r="G152" s="8" t="str">
        <f t="shared" si="2"/>
        <v>BARTLETT KIANDRA</v>
      </c>
    </row>
    <row r="153" spans="1:7" x14ac:dyDescent="0.25">
      <c r="A153" s="8">
        <v>42721.663969907408</v>
      </c>
      <c r="B153" s="21" t="s">
        <v>472</v>
      </c>
      <c r="C153" s="21" t="s">
        <v>575</v>
      </c>
      <c r="D153" s="165">
        <v>2280000</v>
      </c>
      <c r="E153" s="21" t="s">
        <v>634</v>
      </c>
      <c r="F153" s="21" t="s">
        <v>635</v>
      </c>
      <c r="G153" s="8" t="str">
        <f t="shared" si="2"/>
        <v>MAHAN DUANE</v>
      </c>
    </row>
    <row r="154" spans="1:7" x14ac:dyDescent="0.25">
      <c r="A154" s="8">
        <v>42721.66474537037</v>
      </c>
      <c r="B154" s="21" t="s">
        <v>214</v>
      </c>
      <c r="C154" s="21" t="s">
        <v>689</v>
      </c>
      <c r="D154" s="165">
        <v>2040000</v>
      </c>
      <c r="E154" s="21" t="s">
        <v>659</v>
      </c>
      <c r="F154" s="21" t="s">
        <v>660</v>
      </c>
      <c r="G154" s="8" t="str">
        <f t="shared" si="2"/>
        <v>MOSES BRADLEY</v>
      </c>
    </row>
    <row r="155" spans="1:7" x14ac:dyDescent="0.25">
      <c r="A155" s="8">
        <v>42721.665856481479</v>
      </c>
      <c r="B155" s="21" t="s">
        <v>563</v>
      </c>
      <c r="C155" s="21" t="s">
        <v>690</v>
      </c>
      <c r="D155" s="165">
        <v>2230000</v>
      </c>
      <c r="E155" s="21" t="s">
        <v>471</v>
      </c>
      <c r="F155" s="21" t="s">
        <v>268</v>
      </c>
      <c r="G155" s="8" t="str">
        <f t="shared" si="2"/>
        <v>SMITH MICHAEL</v>
      </c>
    </row>
    <row r="156" spans="1:7" x14ac:dyDescent="0.25">
      <c r="A156" s="8">
        <v>42721.667951388888</v>
      </c>
      <c r="B156" s="21" t="s">
        <v>206</v>
      </c>
      <c r="C156" s="21" t="s">
        <v>691</v>
      </c>
      <c r="D156" s="165">
        <v>2480000</v>
      </c>
      <c r="E156" s="21" t="s">
        <v>475</v>
      </c>
      <c r="F156" s="21" t="s">
        <v>305</v>
      </c>
      <c r="G156" s="8" t="str">
        <f t="shared" si="2"/>
        <v>WHITED DUSTIN</v>
      </c>
    </row>
    <row r="157" spans="1:7" x14ac:dyDescent="0.25">
      <c r="A157" s="8">
        <v>42721.680312500001</v>
      </c>
      <c r="B157" s="21" t="s">
        <v>263</v>
      </c>
      <c r="C157" s="21" t="s">
        <v>692</v>
      </c>
      <c r="D157" s="165">
        <v>2020000</v>
      </c>
      <c r="E157" s="21" t="s">
        <v>474</v>
      </c>
      <c r="F157" s="21" t="s">
        <v>251</v>
      </c>
      <c r="G157" s="8" t="str">
        <f t="shared" si="2"/>
        <v>SHOOK JOHN</v>
      </c>
    </row>
    <row r="158" spans="1:7" x14ac:dyDescent="0.25">
      <c r="A158" s="8">
        <v>42721.680717592593</v>
      </c>
      <c r="B158" s="21" t="s">
        <v>232</v>
      </c>
      <c r="C158" s="21" t="s">
        <v>693</v>
      </c>
      <c r="D158" s="165">
        <v>1740000</v>
      </c>
      <c r="E158" s="21" t="s">
        <v>664</v>
      </c>
      <c r="F158" s="21" t="s">
        <v>665</v>
      </c>
      <c r="G158" s="8" t="str">
        <f t="shared" si="2"/>
        <v>STORY SAMANTHA</v>
      </c>
    </row>
    <row r="159" spans="1:7" x14ac:dyDescent="0.25">
      <c r="A159" s="8">
        <v>42721.684548611112</v>
      </c>
      <c r="B159" s="21" t="s">
        <v>229</v>
      </c>
      <c r="C159" s="21" t="s">
        <v>576</v>
      </c>
      <c r="D159" s="165">
        <v>2420000</v>
      </c>
      <c r="E159" s="21" t="s">
        <v>215</v>
      </c>
      <c r="F159" s="21" t="s">
        <v>477</v>
      </c>
      <c r="G159" s="8" t="str">
        <f t="shared" si="2"/>
        <v>HOLCOMB KAMDEN</v>
      </c>
    </row>
    <row r="160" spans="1:7" x14ac:dyDescent="0.25">
      <c r="A160" s="8">
        <v>42721.689513888887</v>
      </c>
      <c r="B160" s="21" t="s">
        <v>256</v>
      </c>
      <c r="C160" s="21" t="s">
        <v>694</v>
      </c>
      <c r="D160" s="165">
        <v>1770000</v>
      </c>
      <c r="E160" s="21" t="s">
        <v>655</v>
      </c>
      <c r="F160" s="21" t="s">
        <v>656</v>
      </c>
      <c r="G160" s="8" t="str">
        <f t="shared" si="2"/>
        <v>BRUDER RICHARD</v>
      </c>
    </row>
    <row r="161" spans="1:7" x14ac:dyDescent="0.25">
      <c r="A161" s="8">
        <v>42721.694432870368</v>
      </c>
      <c r="B161" s="21" t="s">
        <v>207</v>
      </c>
      <c r="C161" s="21" t="s">
        <v>695</v>
      </c>
      <c r="D161" s="165">
        <v>2480000</v>
      </c>
      <c r="E161" s="21" t="s">
        <v>475</v>
      </c>
      <c r="F161" s="21" t="s">
        <v>305</v>
      </c>
      <c r="G161" s="8" t="str">
        <f t="shared" si="2"/>
        <v>WHITED DUSTIN</v>
      </c>
    </row>
    <row r="162" spans="1:7" x14ac:dyDescent="0.25">
      <c r="A162" s="8">
        <v>42721.697118055556</v>
      </c>
      <c r="B162" s="21" t="s">
        <v>316</v>
      </c>
      <c r="C162" s="21" t="s">
        <v>696</v>
      </c>
      <c r="D162" s="165">
        <v>1280000</v>
      </c>
      <c r="E162" s="21" t="s">
        <v>641</v>
      </c>
      <c r="F162" s="21" t="s">
        <v>642</v>
      </c>
      <c r="G162" s="8" t="str">
        <f t="shared" si="2"/>
        <v>BARTLETT KIANDRA</v>
      </c>
    </row>
    <row r="163" spans="1:7" x14ac:dyDescent="0.25">
      <c r="A163" s="8">
        <v>42721.699641203704</v>
      </c>
      <c r="B163" s="21" t="s">
        <v>302</v>
      </c>
      <c r="C163" s="21" t="s">
        <v>577</v>
      </c>
      <c r="D163" s="165">
        <v>2040000</v>
      </c>
      <c r="E163" s="21" t="s">
        <v>659</v>
      </c>
      <c r="F163" s="21" t="s">
        <v>660</v>
      </c>
      <c r="G163" s="8" t="str">
        <f t="shared" si="2"/>
        <v>MOSES BRADLEY</v>
      </c>
    </row>
    <row r="164" spans="1:7" x14ac:dyDescent="0.25">
      <c r="A164" s="8">
        <v>42721.706203703703</v>
      </c>
      <c r="B164" s="21" t="s">
        <v>532</v>
      </c>
      <c r="C164" s="21" t="s">
        <v>697</v>
      </c>
      <c r="D164" s="165">
        <v>2230000</v>
      </c>
      <c r="E164" s="21" t="s">
        <v>471</v>
      </c>
      <c r="F164" s="21" t="s">
        <v>268</v>
      </c>
      <c r="G164" s="8" t="str">
        <f t="shared" si="2"/>
        <v>SMITH MICHAEL</v>
      </c>
    </row>
    <row r="165" spans="1:7" x14ac:dyDescent="0.25">
      <c r="A165" s="8">
        <v>42721.712939814817</v>
      </c>
      <c r="B165" s="21" t="s">
        <v>206</v>
      </c>
      <c r="C165" s="21" t="s">
        <v>698</v>
      </c>
      <c r="D165" s="165">
        <v>2480000</v>
      </c>
      <c r="E165" s="21" t="s">
        <v>475</v>
      </c>
      <c r="F165" s="21" t="s">
        <v>305</v>
      </c>
      <c r="G165" s="8" t="str">
        <f t="shared" si="2"/>
        <v>WHITED DUSTIN</v>
      </c>
    </row>
    <row r="166" spans="1:7" x14ac:dyDescent="0.25">
      <c r="A166" s="8">
        <v>42721.713287037041</v>
      </c>
      <c r="B166" s="21" t="s">
        <v>233</v>
      </c>
      <c r="C166" s="21" t="s">
        <v>699</v>
      </c>
      <c r="D166" s="165">
        <v>1740000</v>
      </c>
      <c r="E166" s="21" t="s">
        <v>664</v>
      </c>
      <c r="F166" s="21" t="s">
        <v>665</v>
      </c>
      <c r="G166" s="8" t="str">
        <f t="shared" si="2"/>
        <v>STORY SAMANTHA</v>
      </c>
    </row>
    <row r="167" spans="1:7" x14ac:dyDescent="0.25">
      <c r="A167" s="8">
        <v>42721.716111111113</v>
      </c>
      <c r="B167" s="21" t="s">
        <v>265</v>
      </c>
      <c r="C167" s="21" t="s">
        <v>700</v>
      </c>
      <c r="D167" s="165">
        <v>2420000</v>
      </c>
      <c r="E167" s="21" t="s">
        <v>215</v>
      </c>
      <c r="F167" s="21" t="s">
        <v>477</v>
      </c>
      <c r="G167" s="8" t="str">
        <f t="shared" si="2"/>
        <v>HOLCOMB KAMDEN</v>
      </c>
    </row>
    <row r="168" spans="1:7" x14ac:dyDescent="0.25">
      <c r="A168" s="8">
        <v>42721.719085648147</v>
      </c>
      <c r="B168" s="21" t="s">
        <v>244</v>
      </c>
      <c r="C168" s="21" t="s">
        <v>701</v>
      </c>
      <c r="D168" s="165">
        <v>2020000</v>
      </c>
      <c r="E168" s="21" t="s">
        <v>474</v>
      </c>
      <c r="F168" s="21" t="s">
        <v>251</v>
      </c>
      <c r="G168" s="8" t="str">
        <f t="shared" si="2"/>
        <v>SHOOK JOHN</v>
      </c>
    </row>
    <row r="169" spans="1:7" x14ac:dyDescent="0.25">
      <c r="A169" s="8">
        <v>42721.727361111109</v>
      </c>
      <c r="B169" s="21" t="s">
        <v>204</v>
      </c>
      <c r="C169" s="21" t="s">
        <v>702</v>
      </c>
      <c r="D169" s="165">
        <v>1770000</v>
      </c>
      <c r="E169" s="21" t="s">
        <v>655</v>
      </c>
      <c r="F169" s="21" t="s">
        <v>656</v>
      </c>
      <c r="G169" s="8" t="str">
        <f t="shared" si="2"/>
        <v>BRUDER RICHARD</v>
      </c>
    </row>
    <row r="170" spans="1:7" x14ac:dyDescent="0.25">
      <c r="A170" s="8">
        <v>42721.728171296294</v>
      </c>
      <c r="B170" s="21" t="s">
        <v>317</v>
      </c>
      <c r="C170" s="21" t="s">
        <v>703</v>
      </c>
      <c r="D170" s="165">
        <v>1280000</v>
      </c>
      <c r="E170" s="21" t="s">
        <v>641</v>
      </c>
      <c r="F170" s="21" t="s">
        <v>642</v>
      </c>
      <c r="G170" s="8" t="str">
        <f t="shared" si="2"/>
        <v>BARTLETT KIANDRA</v>
      </c>
    </row>
    <row r="171" spans="1:7" x14ac:dyDescent="0.25">
      <c r="A171" s="8">
        <v>42721.735000000001</v>
      </c>
      <c r="B171" s="21" t="s">
        <v>207</v>
      </c>
      <c r="C171" s="21" t="s">
        <v>704</v>
      </c>
      <c r="D171" s="165">
        <v>2480000</v>
      </c>
      <c r="E171" s="21" t="s">
        <v>475</v>
      </c>
      <c r="F171" s="21" t="s">
        <v>305</v>
      </c>
      <c r="G171" s="8" t="str">
        <f t="shared" si="2"/>
        <v>WHITED DUSTIN</v>
      </c>
    </row>
    <row r="172" spans="1:7" x14ac:dyDescent="0.25">
      <c r="A172" s="8">
        <v>42721.73778935185</v>
      </c>
      <c r="B172" s="21" t="s">
        <v>563</v>
      </c>
      <c r="C172" s="21" t="s">
        <v>697</v>
      </c>
      <c r="D172" s="165">
        <v>2230000</v>
      </c>
      <c r="E172" s="21" t="s">
        <v>471</v>
      </c>
      <c r="F172" s="21" t="s">
        <v>268</v>
      </c>
      <c r="G172" s="8" t="str">
        <f t="shared" si="2"/>
        <v>SMITH MICHAEL</v>
      </c>
    </row>
    <row r="173" spans="1:7" x14ac:dyDescent="0.25">
      <c r="A173" s="8">
        <v>42721.738645833335</v>
      </c>
      <c r="B173" s="21" t="s">
        <v>563</v>
      </c>
      <c r="C173" s="21" t="s">
        <v>705</v>
      </c>
      <c r="D173" s="165">
        <v>2230000</v>
      </c>
      <c r="E173" s="21" t="s">
        <v>471</v>
      </c>
      <c r="F173" s="21" t="s">
        <v>268</v>
      </c>
      <c r="G173" s="8" t="str">
        <f t="shared" si="2"/>
        <v>SMITH MICHAEL</v>
      </c>
    </row>
    <row r="174" spans="1:7" x14ac:dyDescent="0.25">
      <c r="A174" s="8">
        <v>42721.742280092592</v>
      </c>
      <c r="B174" s="21" t="s">
        <v>214</v>
      </c>
      <c r="C174" s="21" t="s">
        <v>706</v>
      </c>
      <c r="D174" s="165">
        <v>1810000</v>
      </c>
      <c r="E174" s="21" t="s">
        <v>476</v>
      </c>
      <c r="F174" s="21" t="s">
        <v>253</v>
      </c>
      <c r="G174" s="8" t="str">
        <f t="shared" si="2"/>
        <v>NEWELL JAMES</v>
      </c>
    </row>
    <row r="175" spans="1:7" x14ac:dyDescent="0.25">
      <c r="A175" s="8">
        <v>42721.747442129628</v>
      </c>
      <c r="B175" s="21" t="s">
        <v>232</v>
      </c>
      <c r="C175" s="21" t="s">
        <v>707</v>
      </c>
      <c r="D175" s="165">
        <v>1740000</v>
      </c>
      <c r="E175" s="21" t="s">
        <v>664</v>
      </c>
      <c r="F175" s="21" t="s">
        <v>665</v>
      </c>
      <c r="G175" s="8" t="str">
        <f t="shared" si="2"/>
        <v>STORY SAMANTHA</v>
      </c>
    </row>
    <row r="176" spans="1:7" x14ac:dyDescent="0.25">
      <c r="A176" s="8">
        <v>42721.751284722224</v>
      </c>
      <c r="B176" s="21" t="s">
        <v>206</v>
      </c>
      <c r="C176" s="21" t="s">
        <v>708</v>
      </c>
      <c r="D176" s="165">
        <v>2480000</v>
      </c>
      <c r="E176" s="21" t="s">
        <v>475</v>
      </c>
      <c r="F176" s="21" t="s">
        <v>305</v>
      </c>
      <c r="G176" s="8" t="str">
        <f t="shared" si="2"/>
        <v>WHITED DUSTIN</v>
      </c>
    </row>
    <row r="177" spans="1:7" x14ac:dyDescent="0.25">
      <c r="A177" s="8">
        <v>42721.753981481481</v>
      </c>
      <c r="B177" s="21" t="s">
        <v>263</v>
      </c>
      <c r="C177" s="21" t="s">
        <v>709</v>
      </c>
      <c r="D177" s="165">
        <v>2020000</v>
      </c>
      <c r="E177" s="21" t="s">
        <v>474</v>
      </c>
      <c r="F177" s="21" t="s">
        <v>251</v>
      </c>
      <c r="G177" s="8" t="str">
        <f t="shared" si="2"/>
        <v>SHOOK JOHN</v>
      </c>
    </row>
    <row r="178" spans="1:7" x14ac:dyDescent="0.25">
      <c r="A178" s="8">
        <v>42721.76090277778</v>
      </c>
      <c r="B178" s="21" t="s">
        <v>229</v>
      </c>
      <c r="C178" s="21" t="s">
        <v>710</v>
      </c>
      <c r="D178" s="165">
        <v>1800000</v>
      </c>
      <c r="E178" s="21" t="s">
        <v>236</v>
      </c>
      <c r="F178" s="21" t="s">
        <v>258</v>
      </c>
      <c r="G178" s="8" t="str">
        <f t="shared" si="2"/>
        <v>CHANDLER KELVIN</v>
      </c>
    </row>
    <row r="179" spans="1:7" x14ac:dyDescent="0.25">
      <c r="A179" s="8">
        <v>42721.762858796297</v>
      </c>
      <c r="B179" s="21" t="s">
        <v>210</v>
      </c>
      <c r="C179" s="21" t="s">
        <v>711</v>
      </c>
      <c r="D179" s="165">
        <v>1770000</v>
      </c>
      <c r="E179" s="21" t="s">
        <v>655</v>
      </c>
      <c r="F179" s="21" t="s">
        <v>656</v>
      </c>
      <c r="G179" s="8" t="str">
        <f t="shared" si="2"/>
        <v>BRUDER RICHARD</v>
      </c>
    </row>
    <row r="180" spans="1:7" x14ac:dyDescent="0.25">
      <c r="A180" s="8">
        <v>42721.768576388888</v>
      </c>
      <c r="B180" s="21" t="s">
        <v>316</v>
      </c>
      <c r="C180" s="21" t="s">
        <v>712</v>
      </c>
      <c r="D180" s="165">
        <v>2000000</v>
      </c>
      <c r="E180" s="21" t="s">
        <v>209</v>
      </c>
      <c r="F180" s="21" t="s">
        <v>253</v>
      </c>
      <c r="G180" s="8" t="str">
        <f t="shared" si="2"/>
        <v>STAMBAUGH JAMES</v>
      </c>
    </row>
    <row r="181" spans="1:7" x14ac:dyDescent="0.25">
      <c r="A181" s="8">
        <v>42721.773611111108</v>
      </c>
      <c r="B181" s="21" t="s">
        <v>302</v>
      </c>
      <c r="C181" s="21" t="s">
        <v>713</v>
      </c>
      <c r="D181" s="165">
        <v>1810000</v>
      </c>
      <c r="E181" s="21" t="s">
        <v>476</v>
      </c>
      <c r="F181" s="21" t="s">
        <v>253</v>
      </c>
      <c r="G181" s="8" t="str">
        <f t="shared" si="2"/>
        <v>NEWELL JAMES</v>
      </c>
    </row>
    <row r="182" spans="1:7" x14ac:dyDescent="0.25">
      <c r="A182" s="8">
        <v>42721.776782407411</v>
      </c>
      <c r="B182" s="21" t="s">
        <v>207</v>
      </c>
      <c r="C182" s="21" t="s">
        <v>714</v>
      </c>
      <c r="D182" s="165">
        <v>2480000</v>
      </c>
      <c r="E182" s="21" t="s">
        <v>475</v>
      </c>
      <c r="F182" s="21" t="s">
        <v>305</v>
      </c>
      <c r="G182" s="8" t="str">
        <f t="shared" si="2"/>
        <v>WHITED DUSTIN</v>
      </c>
    </row>
    <row r="183" spans="1:7" x14ac:dyDescent="0.25">
      <c r="A183" s="8">
        <v>42721.784016203703</v>
      </c>
      <c r="B183" s="21" t="s">
        <v>532</v>
      </c>
      <c r="C183" s="21" t="s">
        <v>715</v>
      </c>
      <c r="D183" s="165">
        <v>2230000</v>
      </c>
      <c r="E183" s="21" t="s">
        <v>471</v>
      </c>
      <c r="F183" s="21" t="s">
        <v>268</v>
      </c>
      <c r="G183" s="8" t="str">
        <f t="shared" si="2"/>
        <v>SMITH MICHAEL</v>
      </c>
    </row>
    <row r="184" spans="1:7" x14ac:dyDescent="0.25">
      <c r="A184" s="8">
        <v>42721.785613425927</v>
      </c>
      <c r="B184" s="21" t="s">
        <v>233</v>
      </c>
      <c r="C184" s="21" t="s">
        <v>579</v>
      </c>
      <c r="D184" s="165">
        <v>1740000</v>
      </c>
      <c r="E184" s="21" t="s">
        <v>664</v>
      </c>
      <c r="F184" s="21" t="s">
        <v>665</v>
      </c>
      <c r="G184" s="8" t="str">
        <f t="shared" si="2"/>
        <v>STORY SAMANTHA</v>
      </c>
    </row>
    <row r="185" spans="1:7" x14ac:dyDescent="0.25">
      <c r="A185" s="8">
        <v>42721.789548611108</v>
      </c>
      <c r="B185" s="21" t="s">
        <v>244</v>
      </c>
      <c r="C185" s="21" t="s">
        <v>716</v>
      </c>
      <c r="D185" s="165">
        <v>1300000</v>
      </c>
      <c r="E185" s="21" t="s">
        <v>113</v>
      </c>
      <c r="F185" s="21" t="s">
        <v>303</v>
      </c>
      <c r="G185" s="8" t="str">
        <f t="shared" si="2"/>
        <v>LEVIN SCOTT</v>
      </c>
    </row>
    <row r="186" spans="1:7" x14ac:dyDescent="0.25">
      <c r="A186" s="8">
        <v>42721.791932870372</v>
      </c>
      <c r="B186" s="21" t="s">
        <v>206</v>
      </c>
      <c r="C186" s="21" t="s">
        <v>578</v>
      </c>
      <c r="D186" s="165">
        <v>2480000</v>
      </c>
      <c r="E186" s="21" t="s">
        <v>475</v>
      </c>
      <c r="F186" s="21" t="s">
        <v>305</v>
      </c>
      <c r="G186" s="8" t="str">
        <f t="shared" si="2"/>
        <v>WHITED DUSTIN</v>
      </c>
    </row>
    <row r="187" spans="1:7" x14ac:dyDescent="0.25">
      <c r="A187" s="8">
        <v>42721.802581018521</v>
      </c>
      <c r="B187" s="21" t="s">
        <v>265</v>
      </c>
      <c r="C187" s="21" t="s">
        <v>581</v>
      </c>
      <c r="D187" s="165">
        <v>1800000</v>
      </c>
      <c r="E187" s="21" t="s">
        <v>236</v>
      </c>
      <c r="F187" s="21" t="s">
        <v>258</v>
      </c>
      <c r="G187" s="8" t="str">
        <f t="shared" si="2"/>
        <v>CHANDLER KELVIN</v>
      </c>
    </row>
    <row r="188" spans="1:7" x14ac:dyDescent="0.25">
      <c r="A188" s="8">
        <v>42721.810682870368</v>
      </c>
      <c r="B188" s="21" t="s">
        <v>204</v>
      </c>
      <c r="C188" s="21" t="s">
        <v>717</v>
      </c>
      <c r="D188" s="165">
        <v>1810000</v>
      </c>
      <c r="E188" s="21" t="s">
        <v>476</v>
      </c>
      <c r="F188" s="21" t="s">
        <v>253</v>
      </c>
      <c r="G188" s="8" t="str">
        <f t="shared" si="2"/>
        <v>NEWELL JAMES</v>
      </c>
    </row>
    <row r="189" spans="1:7" x14ac:dyDescent="0.25">
      <c r="A189" s="8">
        <v>42721.814849537041</v>
      </c>
      <c r="B189" s="21" t="s">
        <v>257</v>
      </c>
      <c r="C189" s="21" t="s">
        <v>718</v>
      </c>
      <c r="D189" s="165">
        <v>2550000</v>
      </c>
      <c r="E189" s="21" t="s">
        <v>213</v>
      </c>
      <c r="F189" s="21" t="s">
        <v>324</v>
      </c>
      <c r="G189" s="8" t="str">
        <f t="shared" si="2"/>
        <v>BADERTSCHER DIANE</v>
      </c>
    </row>
    <row r="190" spans="1:7" x14ac:dyDescent="0.25">
      <c r="A190" s="8">
        <v>42721.820763888885</v>
      </c>
      <c r="B190" s="21" t="s">
        <v>207</v>
      </c>
      <c r="C190" s="21" t="s">
        <v>719</v>
      </c>
      <c r="D190" s="165">
        <v>2480000</v>
      </c>
      <c r="E190" s="21" t="s">
        <v>475</v>
      </c>
      <c r="F190" s="21" t="s">
        <v>305</v>
      </c>
      <c r="G190" s="8" t="str">
        <f t="shared" si="2"/>
        <v>WHITED DUSTIN</v>
      </c>
    </row>
    <row r="191" spans="1:7" x14ac:dyDescent="0.25">
      <c r="A191" s="8">
        <v>42721.821030092593</v>
      </c>
      <c r="B191" s="21" t="s">
        <v>233</v>
      </c>
      <c r="C191" s="21" t="s">
        <v>579</v>
      </c>
      <c r="D191" s="165">
        <v>1740000</v>
      </c>
      <c r="E191" s="21" t="s">
        <v>664</v>
      </c>
      <c r="F191" s="21" t="s">
        <v>665</v>
      </c>
      <c r="G191" s="8" t="str">
        <f t="shared" si="2"/>
        <v>STORY SAMANTHA</v>
      </c>
    </row>
    <row r="192" spans="1:7" x14ac:dyDescent="0.25">
      <c r="A192" s="8">
        <v>42721.822743055556</v>
      </c>
      <c r="B192" s="21" t="s">
        <v>214</v>
      </c>
      <c r="C192" s="21" t="s">
        <v>720</v>
      </c>
      <c r="D192" s="165">
        <v>1770000</v>
      </c>
      <c r="E192" s="21" t="s">
        <v>655</v>
      </c>
      <c r="F192" s="21" t="s">
        <v>656</v>
      </c>
      <c r="G192" s="8" t="str">
        <f t="shared" si="2"/>
        <v>BRUDER RICHARD</v>
      </c>
    </row>
    <row r="193" spans="1:7" x14ac:dyDescent="0.25">
      <c r="A193" s="8">
        <v>42721.823611111111</v>
      </c>
      <c r="B193" s="21" t="s">
        <v>214</v>
      </c>
      <c r="C193" s="21" t="s">
        <v>720</v>
      </c>
      <c r="D193" s="165">
        <v>1770000</v>
      </c>
      <c r="E193" s="21" t="s">
        <v>655</v>
      </c>
      <c r="F193" s="21" t="s">
        <v>656</v>
      </c>
      <c r="G193" s="8" t="str">
        <f t="shared" si="2"/>
        <v>BRUDER RICHARD</v>
      </c>
    </row>
    <row r="194" spans="1:7" x14ac:dyDescent="0.25">
      <c r="A194" s="8">
        <v>42721.824826388889</v>
      </c>
      <c r="B194" s="21" t="s">
        <v>214</v>
      </c>
      <c r="C194" s="21" t="s">
        <v>720</v>
      </c>
      <c r="D194" s="165">
        <v>1770000</v>
      </c>
      <c r="E194" s="21" t="s">
        <v>655</v>
      </c>
      <c r="F194" s="21" t="s">
        <v>656</v>
      </c>
      <c r="G194" s="8" t="str">
        <f t="shared" si="2"/>
        <v>BRUDER RICHARD</v>
      </c>
    </row>
    <row r="195" spans="1:7" x14ac:dyDescent="0.25">
      <c r="A195" s="8">
        <v>42721.828703703701</v>
      </c>
      <c r="B195" s="21" t="s">
        <v>265</v>
      </c>
      <c r="C195" s="21" t="s">
        <v>581</v>
      </c>
      <c r="D195" s="165">
        <v>1800000</v>
      </c>
      <c r="E195" s="21" t="s">
        <v>236</v>
      </c>
      <c r="F195" s="21" t="s">
        <v>258</v>
      </c>
      <c r="G195" s="8" t="str">
        <f t="shared" ref="G195:G258" si="3">E195&amp;" "&amp;F195</f>
        <v>CHANDLER KELVIN</v>
      </c>
    </row>
    <row r="196" spans="1:7" x14ac:dyDescent="0.25">
      <c r="A196" s="8">
        <v>42721.831238425926</v>
      </c>
      <c r="B196" s="21" t="s">
        <v>473</v>
      </c>
      <c r="C196" s="21" t="s">
        <v>721</v>
      </c>
      <c r="D196" s="165">
        <v>2450000</v>
      </c>
      <c r="E196" s="21" t="s">
        <v>722</v>
      </c>
      <c r="F196" s="21" t="s">
        <v>723</v>
      </c>
      <c r="G196" s="8" t="str">
        <f t="shared" si="3"/>
        <v>NELSON ARIANE</v>
      </c>
    </row>
    <row r="197" spans="1:7" x14ac:dyDescent="0.25">
      <c r="A197" s="8">
        <v>42721.83216435185</v>
      </c>
      <c r="B197" s="21" t="s">
        <v>265</v>
      </c>
      <c r="C197" s="21" t="s">
        <v>581</v>
      </c>
      <c r="D197" s="165">
        <v>1800000</v>
      </c>
      <c r="E197" s="21" t="s">
        <v>236</v>
      </c>
      <c r="F197" s="21" t="s">
        <v>258</v>
      </c>
      <c r="G197" s="8" t="str">
        <f t="shared" si="3"/>
        <v>CHANDLER KELVIN</v>
      </c>
    </row>
    <row r="198" spans="1:7" x14ac:dyDescent="0.25">
      <c r="A198" s="8">
        <v>42721.832465277781</v>
      </c>
      <c r="B198" s="21" t="s">
        <v>473</v>
      </c>
      <c r="C198" s="21" t="s">
        <v>721</v>
      </c>
      <c r="D198" s="165">
        <v>2450000</v>
      </c>
      <c r="E198" s="21" t="s">
        <v>722</v>
      </c>
      <c r="F198" s="21" t="s">
        <v>723</v>
      </c>
      <c r="G198" s="8" t="str">
        <f t="shared" si="3"/>
        <v>NELSON ARIANE</v>
      </c>
    </row>
    <row r="199" spans="1:7" x14ac:dyDescent="0.25">
      <c r="A199" s="8">
        <v>42721.835648148146</v>
      </c>
      <c r="B199" s="21" t="s">
        <v>473</v>
      </c>
      <c r="C199" s="21" t="s">
        <v>721</v>
      </c>
      <c r="D199" s="165">
        <v>2450000</v>
      </c>
      <c r="E199" s="21" t="s">
        <v>722</v>
      </c>
      <c r="F199" s="21" t="s">
        <v>723</v>
      </c>
      <c r="G199" s="8" t="str">
        <f t="shared" si="3"/>
        <v>NELSON ARIANE</v>
      </c>
    </row>
    <row r="200" spans="1:7" x14ac:dyDescent="0.25">
      <c r="A200" s="8">
        <v>42721.844131944446</v>
      </c>
      <c r="B200" s="21" t="s">
        <v>206</v>
      </c>
      <c r="C200" s="21" t="s">
        <v>724</v>
      </c>
      <c r="D200" s="165">
        <v>2480000</v>
      </c>
      <c r="E200" s="21" t="s">
        <v>475</v>
      </c>
      <c r="F200" s="21" t="s">
        <v>305</v>
      </c>
      <c r="G200" s="8" t="str">
        <f t="shared" si="3"/>
        <v>WHITED DUSTIN</v>
      </c>
    </row>
    <row r="201" spans="1:7" x14ac:dyDescent="0.25">
      <c r="A201" s="8">
        <v>42721.84883101852</v>
      </c>
      <c r="B201" s="21" t="s">
        <v>317</v>
      </c>
      <c r="C201" s="21" t="s">
        <v>580</v>
      </c>
      <c r="D201" s="165">
        <v>2000000</v>
      </c>
      <c r="E201" s="21" t="s">
        <v>209</v>
      </c>
      <c r="F201" s="21" t="s">
        <v>253</v>
      </c>
      <c r="G201" s="8" t="str">
        <f t="shared" si="3"/>
        <v>STAMBAUGH JAMES</v>
      </c>
    </row>
    <row r="202" spans="1:7" x14ac:dyDescent="0.25">
      <c r="A202" s="27">
        <v>42721.849803240744</v>
      </c>
      <c r="B202" s="21" t="s">
        <v>263</v>
      </c>
      <c r="C202" s="21" t="s">
        <v>725</v>
      </c>
      <c r="D202" s="165">
        <v>1300000</v>
      </c>
      <c r="E202" s="21" t="s">
        <v>113</v>
      </c>
      <c r="F202" s="21" t="s">
        <v>303</v>
      </c>
      <c r="G202" s="8" t="str">
        <f t="shared" si="3"/>
        <v>LEVIN SCOTT</v>
      </c>
    </row>
    <row r="203" spans="1:7" x14ac:dyDescent="0.25">
      <c r="A203" s="8">
        <v>42721.858182870368</v>
      </c>
      <c r="B203" s="21" t="s">
        <v>210</v>
      </c>
      <c r="C203" s="21" t="s">
        <v>726</v>
      </c>
      <c r="D203" s="165">
        <v>1810000</v>
      </c>
      <c r="E203" s="21" t="s">
        <v>476</v>
      </c>
      <c r="F203" s="21" t="s">
        <v>253</v>
      </c>
      <c r="G203" s="8" t="str">
        <f t="shared" si="3"/>
        <v>NEWELL JAMES</v>
      </c>
    </row>
    <row r="204" spans="1:7" x14ac:dyDescent="0.25">
      <c r="A204" s="8">
        <v>42721.85864583333</v>
      </c>
      <c r="B204" s="21" t="s">
        <v>229</v>
      </c>
      <c r="C204" s="21" t="s">
        <v>727</v>
      </c>
      <c r="D204" s="165">
        <v>1740000</v>
      </c>
      <c r="E204" s="21" t="s">
        <v>664</v>
      </c>
      <c r="F204" s="21" t="s">
        <v>665</v>
      </c>
      <c r="G204" s="8" t="str">
        <f t="shared" si="3"/>
        <v>STORY SAMANTHA</v>
      </c>
    </row>
    <row r="205" spans="1:7" x14ac:dyDescent="0.25">
      <c r="A205" s="8">
        <v>42721.860821759263</v>
      </c>
      <c r="B205" s="21" t="s">
        <v>229</v>
      </c>
      <c r="C205" s="21" t="s">
        <v>727</v>
      </c>
      <c r="D205" s="165">
        <v>1740000</v>
      </c>
      <c r="E205" s="21" t="s">
        <v>664</v>
      </c>
      <c r="F205" s="21" t="s">
        <v>665</v>
      </c>
      <c r="G205" s="8" t="str">
        <f t="shared" si="3"/>
        <v>STORY SAMANTHA</v>
      </c>
    </row>
    <row r="206" spans="1:7" x14ac:dyDescent="0.25">
      <c r="A206" s="8">
        <v>42721.86204861111</v>
      </c>
      <c r="B206" s="21" t="s">
        <v>232</v>
      </c>
      <c r="C206" s="21" t="s">
        <v>728</v>
      </c>
      <c r="D206" s="165">
        <v>1800000</v>
      </c>
      <c r="E206" s="21" t="s">
        <v>236</v>
      </c>
      <c r="F206" s="21" t="s">
        <v>258</v>
      </c>
      <c r="G206" s="8" t="str">
        <f t="shared" si="3"/>
        <v>CHANDLER KELVIN</v>
      </c>
    </row>
    <row r="207" spans="1:7" x14ac:dyDescent="0.25">
      <c r="A207" s="8">
        <v>42721.863009259258</v>
      </c>
      <c r="B207" s="21" t="s">
        <v>207</v>
      </c>
      <c r="C207" s="21" t="s">
        <v>729</v>
      </c>
      <c r="D207" s="165">
        <v>2480000</v>
      </c>
      <c r="E207" s="21" t="s">
        <v>475</v>
      </c>
      <c r="F207" s="21" t="s">
        <v>305</v>
      </c>
      <c r="G207" s="8" t="str">
        <f t="shared" si="3"/>
        <v>WHITED DUSTIN</v>
      </c>
    </row>
    <row r="208" spans="1:7" x14ac:dyDescent="0.25">
      <c r="A208" s="8">
        <v>42721.872800925928</v>
      </c>
      <c r="B208" s="21" t="s">
        <v>244</v>
      </c>
      <c r="C208" s="21" t="s">
        <v>730</v>
      </c>
      <c r="D208" s="165">
        <v>1300000</v>
      </c>
      <c r="E208" s="21" t="s">
        <v>113</v>
      </c>
      <c r="F208" s="21" t="s">
        <v>303</v>
      </c>
      <c r="G208" s="8" t="str">
        <f t="shared" si="3"/>
        <v>LEVIN SCOTT</v>
      </c>
    </row>
    <row r="209" spans="1:7" x14ac:dyDescent="0.25">
      <c r="A209" s="8">
        <v>42721.875798611109</v>
      </c>
      <c r="B209" s="21" t="s">
        <v>210</v>
      </c>
      <c r="C209" s="21" t="s">
        <v>726</v>
      </c>
      <c r="D209" s="165">
        <v>1810000</v>
      </c>
      <c r="E209" s="21" t="s">
        <v>476</v>
      </c>
      <c r="F209" s="21" t="s">
        <v>253</v>
      </c>
      <c r="G209" s="8" t="str">
        <f t="shared" si="3"/>
        <v>NEWELL JAMES</v>
      </c>
    </row>
    <row r="210" spans="1:7" x14ac:dyDescent="0.25">
      <c r="A210" s="8">
        <v>42721.876203703701</v>
      </c>
      <c r="B210" s="21" t="s">
        <v>472</v>
      </c>
      <c r="C210" s="21" t="s">
        <v>731</v>
      </c>
      <c r="D210" s="165">
        <v>2450000</v>
      </c>
      <c r="E210" s="21" t="s">
        <v>722</v>
      </c>
      <c r="F210" s="21" t="s">
        <v>723</v>
      </c>
      <c r="G210" s="8" t="str">
        <f t="shared" si="3"/>
        <v>NELSON ARIANE</v>
      </c>
    </row>
    <row r="211" spans="1:7" x14ac:dyDescent="0.25">
      <c r="A211" s="8">
        <v>42721.882916666669</v>
      </c>
      <c r="B211" s="21" t="s">
        <v>206</v>
      </c>
      <c r="C211" s="21" t="s">
        <v>732</v>
      </c>
      <c r="D211" s="165">
        <v>2480000</v>
      </c>
      <c r="E211" s="21" t="s">
        <v>475</v>
      </c>
      <c r="F211" s="21" t="s">
        <v>305</v>
      </c>
      <c r="G211" s="8" t="str">
        <f t="shared" si="3"/>
        <v>WHITED DUSTIN</v>
      </c>
    </row>
    <row r="212" spans="1:7" x14ac:dyDescent="0.25">
      <c r="A212" s="8">
        <v>42721.888009259259</v>
      </c>
      <c r="B212" s="21" t="s">
        <v>316</v>
      </c>
      <c r="C212" s="21" t="s">
        <v>733</v>
      </c>
      <c r="D212" s="165">
        <v>2000000</v>
      </c>
      <c r="E212" s="21" t="s">
        <v>209</v>
      </c>
      <c r="F212" s="21" t="s">
        <v>253</v>
      </c>
      <c r="G212" s="8" t="str">
        <f t="shared" si="3"/>
        <v>STAMBAUGH JAMES</v>
      </c>
    </row>
    <row r="213" spans="1:7" x14ac:dyDescent="0.25">
      <c r="A213" s="8">
        <v>42721.904560185183</v>
      </c>
      <c r="B213" s="21" t="s">
        <v>207</v>
      </c>
      <c r="C213" s="21" t="s">
        <v>582</v>
      </c>
      <c r="D213" s="165">
        <v>2480000</v>
      </c>
      <c r="E213" s="21" t="s">
        <v>475</v>
      </c>
      <c r="F213" s="21" t="s">
        <v>305</v>
      </c>
      <c r="G213" s="8" t="str">
        <f t="shared" si="3"/>
        <v>WHITED DUSTIN</v>
      </c>
    </row>
    <row r="214" spans="1:7" x14ac:dyDescent="0.25">
      <c r="A214" s="8">
        <v>42721.906053240738</v>
      </c>
      <c r="B214" s="21" t="s">
        <v>472</v>
      </c>
      <c r="C214" s="21" t="s">
        <v>731</v>
      </c>
      <c r="D214" s="165">
        <v>2450000</v>
      </c>
      <c r="E214" s="21" t="s">
        <v>722</v>
      </c>
      <c r="F214" s="21" t="s">
        <v>723</v>
      </c>
      <c r="G214" s="8" t="str">
        <f t="shared" si="3"/>
        <v>NELSON ARIANE</v>
      </c>
    </row>
    <row r="215" spans="1:7" x14ac:dyDescent="0.25">
      <c r="A215" s="8">
        <v>42721.909004629626</v>
      </c>
      <c r="B215" s="21" t="s">
        <v>233</v>
      </c>
      <c r="C215" s="21" t="s">
        <v>734</v>
      </c>
      <c r="D215" s="165">
        <v>1800000</v>
      </c>
      <c r="E215" s="21" t="s">
        <v>236</v>
      </c>
      <c r="F215" s="21" t="s">
        <v>258</v>
      </c>
      <c r="G215" s="8" t="str">
        <f t="shared" si="3"/>
        <v>CHANDLER KELVIN</v>
      </c>
    </row>
    <row r="216" spans="1:7" x14ac:dyDescent="0.25">
      <c r="A216" s="8">
        <v>42721.909780092596</v>
      </c>
      <c r="B216" s="21" t="s">
        <v>204</v>
      </c>
      <c r="C216" s="21" t="s">
        <v>735</v>
      </c>
      <c r="D216" s="165">
        <v>1810000</v>
      </c>
      <c r="E216" s="21" t="s">
        <v>476</v>
      </c>
      <c r="F216" s="21" t="s">
        <v>253</v>
      </c>
      <c r="G216" s="8" t="str">
        <f t="shared" si="3"/>
        <v>NEWELL JAMES</v>
      </c>
    </row>
    <row r="217" spans="1:7" x14ac:dyDescent="0.25">
      <c r="A217" s="8">
        <v>42721.91909722222</v>
      </c>
      <c r="B217" s="21" t="s">
        <v>263</v>
      </c>
      <c r="C217" s="21" t="s">
        <v>583</v>
      </c>
      <c r="D217" s="165">
        <v>1300000</v>
      </c>
      <c r="E217" s="21" t="s">
        <v>113</v>
      </c>
      <c r="F217" s="21" t="s">
        <v>303</v>
      </c>
      <c r="G217" s="8" t="str">
        <f t="shared" si="3"/>
        <v>LEVIN SCOTT</v>
      </c>
    </row>
    <row r="218" spans="1:7" x14ac:dyDescent="0.25">
      <c r="A218" s="8">
        <v>42721.922719907408</v>
      </c>
      <c r="B218" s="21" t="s">
        <v>233</v>
      </c>
      <c r="C218" s="21" t="s">
        <v>734</v>
      </c>
      <c r="D218" s="165">
        <v>1800000</v>
      </c>
      <c r="E218" s="21" t="s">
        <v>236</v>
      </c>
      <c r="F218" s="21" t="s">
        <v>258</v>
      </c>
      <c r="G218" s="8" t="str">
        <f t="shared" si="3"/>
        <v>CHANDLER KELVIN</v>
      </c>
    </row>
    <row r="219" spans="1:7" x14ac:dyDescent="0.25">
      <c r="A219" s="8">
        <v>42721.922962962963</v>
      </c>
      <c r="B219" s="21" t="s">
        <v>204</v>
      </c>
      <c r="C219" s="21" t="s">
        <v>735</v>
      </c>
      <c r="D219" s="165">
        <v>1810000</v>
      </c>
      <c r="E219" s="21" t="s">
        <v>476</v>
      </c>
      <c r="F219" s="21" t="s">
        <v>253</v>
      </c>
      <c r="G219" s="8" t="str">
        <f t="shared" si="3"/>
        <v>NEWELL JAMES</v>
      </c>
    </row>
    <row r="220" spans="1:7" x14ac:dyDescent="0.25">
      <c r="A220" s="8">
        <v>42721.925902777781</v>
      </c>
      <c r="B220" s="21" t="s">
        <v>206</v>
      </c>
      <c r="C220" s="21" t="s">
        <v>736</v>
      </c>
      <c r="D220" s="165">
        <v>2480000</v>
      </c>
      <c r="E220" s="21" t="s">
        <v>475</v>
      </c>
      <c r="F220" s="21" t="s">
        <v>305</v>
      </c>
      <c r="G220" s="8" t="str">
        <f t="shared" si="3"/>
        <v>WHITED DUSTIN</v>
      </c>
    </row>
    <row r="221" spans="1:7" x14ac:dyDescent="0.25">
      <c r="A221" s="8">
        <v>42721.946284722224</v>
      </c>
      <c r="B221" s="21" t="s">
        <v>207</v>
      </c>
      <c r="C221" s="21" t="s">
        <v>737</v>
      </c>
      <c r="D221" s="165">
        <v>2480000</v>
      </c>
      <c r="E221" s="21" t="s">
        <v>475</v>
      </c>
      <c r="F221" s="21" t="s">
        <v>305</v>
      </c>
      <c r="G221" s="8" t="str">
        <f t="shared" si="3"/>
        <v>WHITED DUSTIN</v>
      </c>
    </row>
    <row r="222" spans="1:7" x14ac:dyDescent="0.25">
      <c r="A222" s="8">
        <v>42721.951354166667</v>
      </c>
      <c r="B222" s="21" t="s">
        <v>204</v>
      </c>
      <c r="C222" s="21" t="s">
        <v>735</v>
      </c>
      <c r="D222" s="165">
        <v>1810000</v>
      </c>
      <c r="E222" s="21" t="s">
        <v>476</v>
      </c>
      <c r="F222" s="21" t="s">
        <v>253</v>
      </c>
      <c r="G222" s="8" t="str">
        <f t="shared" si="3"/>
        <v>NEWELL JAMES</v>
      </c>
    </row>
    <row r="223" spans="1:7" x14ac:dyDescent="0.25">
      <c r="A223" s="8">
        <v>42721.954270833332</v>
      </c>
      <c r="B223" s="21" t="s">
        <v>317</v>
      </c>
      <c r="C223" s="21" t="s">
        <v>738</v>
      </c>
      <c r="D223" s="165">
        <v>2000000</v>
      </c>
      <c r="E223" s="21" t="s">
        <v>209</v>
      </c>
      <c r="F223" s="21" t="s">
        <v>253</v>
      </c>
      <c r="G223" s="8" t="str">
        <f t="shared" si="3"/>
        <v>STAMBAUGH JAMES</v>
      </c>
    </row>
    <row r="224" spans="1:7" x14ac:dyDescent="0.25">
      <c r="A224" s="8">
        <v>42721.95957175926</v>
      </c>
      <c r="B224" t="s">
        <v>232</v>
      </c>
      <c r="C224" t="s">
        <v>584</v>
      </c>
      <c r="D224" s="165">
        <v>1800000</v>
      </c>
      <c r="E224" t="s">
        <v>236</v>
      </c>
      <c r="F224" s="21" t="s">
        <v>258</v>
      </c>
      <c r="G224" s="8" t="str">
        <f t="shared" si="3"/>
        <v>CHANDLER KELVIN</v>
      </c>
    </row>
    <row r="225" spans="1:7" x14ac:dyDescent="0.25">
      <c r="A225" s="8">
        <v>42721.961145833331</v>
      </c>
      <c r="B225" t="s">
        <v>263</v>
      </c>
      <c r="C225" t="s">
        <v>583</v>
      </c>
      <c r="D225" s="165">
        <v>1300000</v>
      </c>
      <c r="E225" t="s">
        <v>113</v>
      </c>
      <c r="F225" s="21" t="s">
        <v>303</v>
      </c>
      <c r="G225" s="8" t="str">
        <f t="shared" si="3"/>
        <v>LEVIN SCOTT</v>
      </c>
    </row>
    <row r="226" spans="1:7" x14ac:dyDescent="0.25">
      <c r="A226" s="8">
        <v>42721.966365740744</v>
      </c>
      <c r="B226" t="s">
        <v>317</v>
      </c>
      <c r="C226" t="s">
        <v>738</v>
      </c>
      <c r="D226" s="165">
        <v>2000000</v>
      </c>
      <c r="E226" t="s">
        <v>209</v>
      </c>
      <c r="F226" s="21" t="s">
        <v>253</v>
      </c>
      <c r="G226" s="8" t="str">
        <f t="shared" si="3"/>
        <v>STAMBAUGH JAMES</v>
      </c>
    </row>
    <row r="227" spans="1:7" x14ac:dyDescent="0.25">
      <c r="A227" s="8">
        <v>42721.979062500002</v>
      </c>
      <c r="B227" t="s">
        <v>244</v>
      </c>
      <c r="C227" t="s">
        <v>585</v>
      </c>
      <c r="D227" s="165">
        <v>1300000</v>
      </c>
      <c r="E227" t="s">
        <v>113</v>
      </c>
      <c r="F227" s="21" t="s">
        <v>303</v>
      </c>
      <c r="G227" s="8" t="str">
        <f t="shared" si="3"/>
        <v>LEVIN SCOTT</v>
      </c>
    </row>
    <row r="228" spans="1:7" x14ac:dyDescent="0.25">
      <c r="A228" s="8">
        <v>42721.985127314816</v>
      </c>
      <c r="B228" t="s">
        <v>244</v>
      </c>
      <c r="C228" t="s">
        <v>585</v>
      </c>
      <c r="D228" s="165">
        <v>1300000</v>
      </c>
      <c r="E228" t="s">
        <v>113</v>
      </c>
      <c r="F228" s="21" t="s">
        <v>303</v>
      </c>
      <c r="G228" s="8" t="str">
        <f t="shared" si="3"/>
        <v>LEVIN SCOTT</v>
      </c>
    </row>
    <row r="229" spans="1:7" x14ac:dyDescent="0.25">
      <c r="A229" s="8">
        <v>42721.995023148149</v>
      </c>
      <c r="B229" t="s">
        <v>472</v>
      </c>
      <c r="C229" t="s">
        <v>739</v>
      </c>
      <c r="D229" s="165">
        <v>2550000</v>
      </c>
      <c r="E229" t="s">
        <v>213</v>
      </c>
      <c r="F229" s="21" t="s">
        <v>324</v>
      </c>
      <c r="G229" s="8" t="str">
        <f t="shared" si="3"/>
        <v>BADERTSCHER DIANE</v>
      </c>
    </row>
    <row r="230" spans="1:7" x14ac:dyDescent="0.25">
      <c r="A230" s="8">
        <v>42722.004884259259</v>
      </c>
      <c r="B230" t="s">
        <v>316</v>
      </c>
      <c r="C230" t="s">
        <v>740</v>
      </c>
      <c r="D230" s="165">
        <v>2000000</v>
      </c>
      <c r="E230" t="s">
        <v>209</v>
      </c>
      <c r="F230" s="21" t="s">
        <v>253</v>
      </c>
      <c r="G230" s="8" t="str">
        <f t="shared" si="3"/>
        <v>STAMBAUGH JAMES</v>
      </c>
    </row>
    <row r="231" spans="1:7" x14ac:dyDescent="0.25">
      <c r="A231" s="8">
        <v>42722.012928240743</v>
      </c>
      <c r="B231" t="s">
        <v>472</v>
      </c>
      <c r="C231" t="s">
        <v>739</v>
      </c>
      <c r="D231" s="165">
        <v>2550000</v>
      </c>
      <c r="E231" t="s">
        <v>213</v>
      </c>
      <c r="F231" s="21" t="s">
        <v>324</v>
      </c>
      <c r="G231" s="8" t="str">
        <f t="shared" si="3"/>
        <v>BADERTSCHER DIANE</v>
      </c>
    </row>
    <row r="232" spans="1:7" x14ac:dyDescent="0.25">
      <c r="A232" s="8">
        <v>42722.017465277779</v>
      </c>
      <c r="B232" t="s">
        <v>233</v>
      </c>
      <c r="C232" t="s">
        <v>586</v>
      </c>
      <c r="D232" s="165">
        <v>1800000</v>
      </c>
      <c r="E232" t="s">
        <v>236</v>
      </c>
      <c r="F232" s="21" t="s">
        <v>258</v>
      </c>
      <c r="G232" s="8" t="str">
        <f t="shared" si="3"/>
        <v>CHANDLER KELVIN</v>
      </c>
    </row>
    <row r="233" spans="1:7" x14ac:dyDescent="0.25">
      <c r="A233" s="8">
        <v>42722.021898148145</v>
      </c>
      <c r="B233" t="s">
        <v>571</v>
      </c>
      <c r="C233" t="s">
        <v>741</v>
      </c>
      <c r="D233" s="165">
        <v>2540000</v>
      </c>
      <c r="E233" t="s">
        <v>742</v>
      </c>
      <c r="F233" s="21" t="s">
        <v>743</v>
      </c>
      <c r="G233" s="8" t="str">
        <f t="shared" si="3"/>
        <v>MCREYNOLDS KYLE</v>
      </c>
    </row>
    <row r="234" spans="1:7" x14ac:dyDescent="0.25">
      <c r="A234" s="8">
        <v>42722.03025462963</v>
      </c>
      <c r="B234" t="s">
        <v>472</v>
      </c>
      <c r="C234" t="s">
        <v>739</v>
      </c>
      <c r="D234" s="165">
        <v>2550000</v>
      </c>
      <c r="E234" t="s">
        <v>213</v>
      </c>
      <c r="F234" s="21" t="s">
        <v>324</v>
      </c>
      <c r="G234" s="8" t="str">
        <f t="shared" si="3"/>
        <v>BADERTSCHER DIANE</v>
      </c>
    </row>
    <row r="235" spans="1:7" x14ac:dyDescent="0.25">
      <c r="A235" s="8">
        <v>42722.033680555556</v>
      </c>
      <c r="B235" t="s">
        <v>233</v>
      </c>
      <c r="C235" t="s">
        <v>586</v>
      </c>
      <c r="D235" s="165">
        <v>1800000</v>
      </c>
      <c r="E235" t="s">
        <v>236</v>
      </c>
      <c r="F235" s="21" t="s">
        <v>258</v>
      </c>
      <c r="G235" s="8" t="str">
        <f t="shared" si="3"/>
        <v>CHANDLER KELVIN</v>
      </c>
    </row>
    <row r="236" spans="1:7" x14ac:dyDescent="0.25">
      <c r="A236" s="8">
        <v>42722.054386574076</v>
      </c>
      <c r="B236" t="s">
        <v>263</v>
      </c>
      <c r="C236" t="s">
        <v>744</v>
      </c>
      <c r="D236" s="165">
        <v>1300000</v>
      </c>
      <c r="E236" t="s">
        <v>113</v>
      </c>
      <c r="F236" s="21" t="s">
        <v>303</v>
      </c>
      <c r="G236" s="8" t="str">
        <f t="shared" si="3"/>
        <v>LEVIN SCOTT</v>
      </c>
    </row>
    <row r="237" spans="1:7" x14ac:dyDescent="0.25">
      <c r="A237" s="8">
        <v>42722.055115740739</v>
      </c>
      <c r="B237" t="s">
        <v>473</v>
      </c>
      <c r="C237" t="s">
        <v>745</v>
      </c>
      <c r="D237" s="165">
        <v>2550000</v>
      </c>
      <c r="E237" t="s">
        <v>213</v>
      </c>
      <c r="F237" s="21" t="s">
        <v>324</v>
      </c>
      <c r="G237" s="8" t="str">
        <f t="shared" si="3"/>
        <v>BADERTSCHER DIANE</v>
      </c>
    </row>
    <row r="238" spans="1:7" x14ac:dyDescent="0.25">
      <c r="A238" s="8">
        <v>42722.057002314818</v>
      </c>
      <c r="B238" t="s">
        <v>317</v>
      </c>
      <c r="C238" t="s">
        <v>740</v>
      </c>
      <c r="D238" s="165">
        <v>2000000</v>
      </c>
      <c r="E238" t="s">
        <v>209</v>
      </c>
      <c r="F238" s="21" t="s">
        <v>253</v>
      </c>
      <c r="G238" s="8" t="str">
        <f t="shared" si="3"/>
        <v>STAMBAUGH JAMES</v>
      </c>
    </row>
    <row r="239" spans="1:7" x14ac:dyDescent="0.25">
      <c r="A239" s="8">
        <v>42722.060729166667</v>
      </c>
      <c r="B239" t="s">
        <v>232</v>
      </c>
      <c r="C239" t="s">
        <v>746</v>
      </c>
      <c r="D239" s="165">
        <v>1800000</v>
      </c>
      <c r="E239" t="s">
        <v>236</v>
      </c>
      <c r="F239" s="21" t="s">
        <v>258</v>
      </c>
      <c r="G239" s="8" t="str">
        <f t="shared" si="3"/>
        <v>CHANDLER KELVIN</v>
      </c>
    </row>
    <row r="240" spans="1:7" x14ac:dyDescent="0.25">
      <c r="A240" s="8">
        <v>42722.075856481482</v>
      </c>
      <c r="B240" t="s">
        <v>317</v>
      </c>
      <c r="C240" t="s">
        <v>747</v>
      </c>
      <c r="D240" s="165">
        <v>2000000</v>
      </c>
      <c r="E240" t="s">
        <v>209</v>
      </c>
      <c r="F240" s="21" t="s">
        <v>253</v>
      </c>
      <c r="G240" s="8" t="str">
        <f t="shared" si="3"/>
        <v>STAMBAUGH JAMES</v>
      </c>
    </row>
    <row r="241" spans="1:7" x14ac:dyDescent="0.25">
      <c r="A241" s="8">
        <v>42722.076585648145</v>
      </c>
      <c r="B241" t="s">
        <v>317</v>
      </c>
      <c r="C241" t="s">
        <v>747</v>
      </c>
      <c r="D241" s="165">
        <v>2000000</v>
      </c>
      <c r="E241" t="s">
        <v>209</v>
      </c>
      <c r="F241" s="21" t="s">
        <v>253</v>
      </c>
      <c r="G241" s="8" t="str">
        <f t="shared" si="3"/>
        <v>STAMBAUGH JAMES</v>
      </c>
    </row>
    <row r="242" spans="1:7" x14ac:dyDescent="0.25">
      <c r="A242" s="8">
        <v>42722.083680555559</v>
      </c>
      <c r="B242" t="s">
        <v>244</v>
      </c>
      <c r="C242" t="s">
        <v>748</v>
      </c>
      <c r="D242" s="165">
        <v>1300000</v>
      </c>
      <c r="E242" t="s">
        <v>113</v>
      </c>
      <c r="F242" s="21" t="s">
        <v>303</v>
      </c>
      <c r="G242" s="8" t="str">
        <f t="shared" si="3"/>
        <v>LEVIN SCOTT</v>
      </c>
    </row>
    <row r="243" spans="1:7" x14ac:dyDescent="0.25">
      <c r="A243" s="8">
        <v>42722.10083333333</v>
      </c>
      <c r="B243" t="s">
        <v>316</v>
      </c>
      <c r="C243" t="s">
        <v>749</v>
      </c>
      <c r="D243" s="165">
        <v>2000000</v>
      </c>
      <c r="E243" t="s">
        <v>209</v>
      </c>
      <c r="F243" s="21" t="s">
        <v>253</v>
      </c>
      <c r="G243" s="8" t="str">
        <f t="shared" si="3"/>
        <v>STAMBAUGH JAMES</v>
      </c>
    </row>
    <row r="244" spans="1:7" x14ac:dyDescent="0.25">
      <c r="A244" s="8">
        <v>42722.114502314813</v>
      </c>
      <c r="B244" t="s">
        <v>563</v>
      </c>
      <c r="C244" t="s">
        <v>750</v>
      </c>
      <c r="D244" s="165">
        <v>2110000</v>
      </c>
      <c r="E244" t="s">
        <v>751</v>
      </c>
      <c r="F244" s="21" t="s">
        <v>752</v>
      </c>
      <c r="G244" s="8" t="str">
        <f t="shared" si="3"/>
        <v>OUN ZACK</v>
      </c>
    </row>
    <row r="245" spans="1:7" x14ac:dyDescent="0.25">
      <c r="A245" s="8">
        <v>42720.999756944446</v>
      </c>
      <c r="B245" t="s">
        <v>214</v>
      </c>
      <c r="C245" t="s">
        <v>480</v>
      </c>
      <c r="D245" s="165">
        <v>1800000</v>
      </c>
      <c r="E245" t="s">
        <v>236</v>
      </c>
      <c r="F245" s="21" t="s">
        <v>258</v>
      </c>
      <c r="G245" s="8" t="str">
        <f t="shared" si="3"/>
        <v>CHANDLER KELVIN</v>
      </c>
    </row>
    <row r="246" spans="1:7" x14ac:dyDescent="0.25">
      <c r="A246" s="8">
        <v>42721.010289351849</v>
      </c>
      <c r="B246" t="s">
        <v>183</v>
      </c>
      <c r="C246" t="s">
        <v>464</v>
      </c>
      <c r="D246" s="165">
        <v>2000000</v>
      </c>
      <c r="E246" t="s">
        <v>209</v>
      </c>
      <c r="F246" s="21" t="s">
        <v>253</v>
      </c>
      <c r="G246" s="8" t="str">
        <f t="shared" si="3"/>
        <v>STAMBAUGH JAMES</v>
      </c>
    </row>
    <row r="247" spans="1:7" x14ac:dyDescent="0.25">
      <c r="A247" s="8">
        <v>42721.016122685185</v>
      </c>
      <c r="B247" t="s">
        <v>210</v>
      </c>
      <c r="C247" t="s">
        <v>481</v>
      </c>
      <c r="D247" s="165">
        <v>2560000</v>
      </c>
      <c r="E247" t="s">
        <v>478</v>
      </c>
      <c r="F247" s="21" t="s">
        <v>479</v>
      </c>
      <c r="G247" s="8" t="str">
        <f t="shared" si="3"/>
        <v>MACDONALD THOMAS</v>
      </c>
    </row>
    <row r="248" spans="1:7" x14ac:dyDescent="0.25">
      <c r="A248" s="8">
        <v>42721.037534722222</v>
      </c>
      <c r="B248" t="s">
        <v>154</v>
      </c>
      <c r="C248" t="s">
        <v>482</v>
      </c>
      <c r="D248" s="165">
        <v>1300000</v>
      </c>
      <c r="E248" t="s">
        <v>113</v>
      </c>
      <c r="F248" s="21" t="s">
        <v>303</v>
      </c>
      <c r="G248" s="8" t="str">
        <f t="shared" si="3"/>
        <v>LEVIN SCOTT</v>
      </c>
    </row>
    <row r="249" spans="1:7" x14ac:dyDescent="0.25">
      <c r="A249" s="8">
        <v>42721.03769675926</v>
      </c>
      <c r="B249" t="s">
        <v>302</v>
      </c>
      <c r="C249" t="s">
        <v>483</v>
      </c>
      <c r="D249" s="165">
        <v>1800000</v>
      </c>
      <c r="E249" t="s">
        <v>236</v>
      </c>
      <c r="F249" s="21" t="s">
        <v>258</v>
      </c>
      <c r="G249" s="8" t="str">
        <f t="shared" si="3"/>
        <v>CHANDLER KELVIN</v>
      </c>
    </row>
    <row r="250" spans="1:7" x14ac:dyDescent="0.25">
      <c r="A250" s="8">
        <v>42721.0549537037</v>
      </c>
      <c r="B250" t="s">
        <v>204</v>
      </c>
      <c r="C250" t="s">
        <v>465</v>
      </c>
      <c r="D250" s="165">
        <v>2560000</v>
      </c>
      <c r="E250" t="s">
        <v>478</v>
      </c>
      <c r="F250" s="21" t="s">
        <v>479</v>
      </c>
      <c r="G250" s="8" t="str">
        <f t="shared" si="3"/>
        <v>MACDONALD THOMAS</v>
      </c>
    </row>
    <row r="251" spans="1:7" x14ac:dyDescent="0.25">
      <c r="A251" s="8">
        <v>42721.057696759257</v>
      </c>
      <c r="B251" t="s">
        <v>461</v>
      </c>
      <c r="C251" t="s">
        <v>484</v>
      </c>
      <c r="D251" s="165">
        <v>2000000</v>
      </c>
      <c r="E251" t="s">
        <v>209</v>
      </c>
      <c r="F251" s="21" t="s">
        <v>253</v>
      </c>
      <c r="G251" s="8" t="str">
        <f t="shared" si="3"/>
        <v>STAMBAUGH JAMES</v>
      </c>
    </row>
    <row r="252" spans="1:7" x14ac:dyDescent="0.25">
      <c r="A252" s="8">
        <v>42721.067361111112</v>
      </c>
      <c r="B252" t="s">
        <v>214</v>
      </c>
      <c r="C252" t="s">
        <v>483</v>
      </c>
      <c r="D252" s="165">
        <v>1800000</v>
      </c>
      <c r="E252" t="s">
        <v>236</v>
      </c>
      <c r="F252" s="21" t="s">
        <v>258</v>
      </c>
      <c r="G252" s="8" t="str">
        <f t="shared" si="3"/>
        <v>CHANDLER KELVIN</v>
      </c>
    </row>
    <row r="253" spans="1:7" x14ac:dyDescent="0.25">
      <c r="A253" s="8">
        <v>42721.071215277778</v>
      </c>
      <c r="B253" t="s">
        <v>302</v>
      </c>
      <c r="C253" t="s">
        <v>483</v>
      </c>
      <c r="D253" s="165">
        <v>1800000</v>
      </c>
      <c r="E253" t="s">
        <v>236</v>
      </c>
      <c r="F253" s="21" t="s">
        <v>258</v>
      </c>
      <c r="G253" s="8" t="str">
        <f t="shared" si="3"/>
        <v>CHANDLER KELVIN</v>
      </c>
    </row>
    <row r="254" spans="1:7" x14ac:dyDescent="0.25">
      <c r="A254" s="8">
        <v>42721.07402777778</v>
      </c>
      <c r="B254" t="s">
        <v>155</v>
      </c>
      <c r="C254" t="s">
        <v>485</v>
      </c>
      <c r="D254" s="165">
        <v>1300000</v>
      </c>
      <c r="E254" t="s">
        <v>113</v>
      </c>
      <c r="F254" s="21" t="s">
        <v>303</v>
      </c>
      <c r="G254" s="8" t="str">
        <f t="shared" si="3"/>
        <v>LEVIN SCOTT</v>
      </c>
    </row>
    <row r="255" spans="1:7" x14ac:dyDescent="0.25">
      <c r="A255" s="8">
        <v>42721.083611111113</v>
      </c>
      <c r="B255" t="s">
        <v>214</v>
      </c>
      <c r="C255" t="s">
        <v>486</v>
      </c>
      <c r="D255" s="165">
        <v>1800000</v>
      </c>
      <c r="E255" t="s">
        <v>236</v>
      </c>
      <c r="F255" s="21" t="s">
        <v>258</v>
      </c>
      <c r="G255" s="8" t="str">
        <f t="shared" si="3"/>
        <v>CHANDLER KELVIN</v>
      </c>
    </row>
    <row r="256" spans="1:7" x14ac:dyDescent="0.25">
      <c r="A256" s="8">
        <v>42721.094317129631</v>
      </c>
      <c r="B256" t="s">
        <v>183</v>
      </c>
      <c r="C256" t="s">
        <v>487</v>
      </c>
      <c r="D256" s="165">
        <v>2000000</v>
      </c>
      <c r="E256" t="s">
        <v>209</v>
      </c>
      <c r="F256" s="21" t="s">
        <v>253</v>
      </c>
      <c r="G256" s="8" t="str">
        <f t="shared" si="3"/>
        <v>STAMBAUGH JAMES</v>
      </c>
    </row>
    <row r="257" spans="1:7" x14ac:dyDescent="0.25">
      <c r="A257" s="8">
        <v>42721.110185185185</v>
      </c>
      <c r="B257" t="s">
        <v>154</v>
      </c>
      <c r="C257" t="s">
        <v>488</v>
      </c>
      <c r="D257" s="165">
        <v>1300000</v>
      </c>
      <c r="E257" t="s">
        <v>113</v>
      </c>
      <c r="F257" s="21" t="s">
        <v>303</v>
      </c>
      <c r="G257" s="8" t="str">
        <f t="shared" si="3"/>
        <v>LEVIN SCOTT</v>
      </c>
    </row>
    <row r="258" spans="1:7" x14ac:dyDescent="0.25">
      <c r="A258" s="8">
        <v>42718.095694444448</v>
      </c>
      <c r="B258" t="s">
        <v>257</v>
      </c>
      <c r="C258" t="s">
        <v>306</v>
      </c>
      <c r="D258" s="165">
        <v>1800000</v>
      </c>
      <c r="E258" t="s">
        <v>236</v>
      </c>
      <c r="F258" s="21" t="s">
        <v>258</v>
      </c>
      <c r="G258" s="8" t="str">
        <f t="shared" si="3"/>
        <v>CHANDLER KELVIN</v>
      </c>
    </row>
    <row r="259" spans="1:7" x14ac:dyDescent="0.25">
      <c r="A259" s="8">
        <v>42700.083275462966</v>
      </c>
      <c r="B259" t="s">
        <v>155</v>
      </c>
      <c r="C259" t="s">
        <v>239</v>
      </c>
      <c r="D259" s="165">
        <v>2530000</v>
      </c>
      <c r="E259" t="s">
        <v>237</v>
      </c>
      <c r="F259" s="21" t="str">
        <f t="shared" ref="F259:F265" si="4">B259</f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232</v>
      </c>
      <c r="C260" t="s">
        <v>240</v>
      </c>
      <c r="D260" s="165">
        <v>2000000</v>
      </c>
      <c r="E260" t="s">
        <v>209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238</v>
      </c>
      <c r="D261" s="165">
        <v>2530000</v>
      </c>
      <c r="E261" t="s">
        <v>237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241</v>
      </c>
      <c r="D262" s="165">
        <v>2600000</v>
      </c>
      <c r="E262" t="s">
        <v>234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5">
        <v>2000000</v>
      </c>
      <c r="E263" t="s">
        <v>209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5">
        <v>2550000</v>
      </c>
      <c r="E264" t="s">
        <v>213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5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5">
        <v>2000000</v>
      </c>
      <c r="E267" t="s">
        <v>209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325</v>
      </c>
      <c r="I1" s="164" t="s">
        <v>171</v>
      </c>
      <c r="J1" s="164" t="s">
        <v>172</v>
      </c>
      <c r="K1" s="164" t="s">
        <v>326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1.41</v>
      </c>
      <c r="B2" s="165">
        <v>0.69</v>
      </c>
      <c r="C2" s="165">
        <v>4.71</v>
      </c>
      <c r="D2" s="8">
        <v>42721</v>
      </c>
      <c r="E2" s="165">
        <v>0.82</v>
      </c>
      <c r="F2" s="165" t="s">
        <v>327</v>
      </c>
      <c r="G2" s="165">
        <v>259.29000000000002</v>
      </c>
      <c r="H2" s="165">
        <v>0.40400000000000003</v>
      </c>
      <c r="I2" s="165">
        <v>2.1299999999999999E-2</v>
      </c>
      <c r="J2" s="165">
        <v>0.56999999999999995</v>
      </c>
      <c r="K2" s="165" t="s">
        <v>327</v>
      </c>
      <c r="L2" s="165">
        <v>1014.05</v>
      </c>
      <c r="M2" s="165" t="s">
        <v>490</v>
      </c>
      <c r="N2" s="165">
        <v>9.18</v>
      </c>
      <c r="O2" s="165">
        <v>1481958000</v>
      </c>
      <c r="P2" s="165">
        <v>1.1000000000000001</v>
      </c>
      <c r="Q2" s="165">
        <v>29</v>
      </c>
      <c r="R2" s="165">
        <v>4.2</v>
      </c>
    </row>
    <row r="3" spans="1:18" x14ac:dyDescent="0.25">
      <c r="A3" s="165">
        <v>-0.81</v>
      </c>
      <c r="B3" s="165">
        <v>0.75</v>
      </c>
      <c r="C3" s="165">
        <v>1.92</v>
      </c>
      <c r="D3" s="8">
        <v>42721.041666666664</v>
      </c>
      <c r="E3" s="165">
        <v>0.82</v>
      </c>
      <c r="F3" s="165" t="s">
        <v>327</v>
      </c>
      <c r="G3" s="165">
        <v>259.66000000000003</v>
      </c>
      <c r="H3" s="165">
        <v>0.52</v>
      </c>
      <c r="I3" s="165">
        <v>2.7400000000000001E-2</v>
      </c>
      <c r="J3" s="165">
        <v>0.6</v>
      </c>
      <c r="K3" s="165" t="s">
        <v>327</v>
      </c>
      <c r="L3" s="165">
        <v>1014.99</v>
      </c>
      <c r="M3" s="165" t="s">
        <v>490</v>
      </c>
      <c r="N3" s="165">
        <v>6.31</v>
      </c>
      <c r="O3" s="165">
        <v>1481961600</v>
      </c>
      <c r="P3" s="165">
        <v>0.53</v>
      </c>
      <c r="Q3" s="165">
        <v>42</v>
      </c>
      <c r="R3" s="165">
        <v>3.55</v>
      </c>
    </row>
    <row r="4" spans="1:18" x14ac:dyDescent="0.25">
      <c r="A4" s="165">
        <v>-3.31</v>
      </c>
      <c r="B4" s="165">
        <v>0.79</v>
      </c>
      <c r="C4" s="165">
        <v>0.31</v>
      </c>
      <c r="D4" s="8">
        <v>42721.083333333336</v>
      </c>
      <c r="E4" s="165">
        <v>0.82</v>
      </c>
      <c r="F4" s="165" t="s">
        <v>327</v>
      </c>
      <c r="G4" s="165">
        <v>260.02999999999997</v>
      </c>
      <c r="H4" s="165">
        <v>0.63600000000000001</v>
      </c>
      <c r="I4" s="165">
        <v>3.3500000000000002E-2</v>
      </c>
      <c r="J4" s="165">
        <v>0.63</v>
      </c>
      <c r="K4" s="165" t="s">
        <v>327</v>
      </c>
      <c r="L4" s="165">
        <v>1015.93</v>
      </c>
      <c r="M4" s="165" t="s">
        <v>491</v>
      </c>
      <c r="N4" s="165">
        <v>4.6399999999999997</v>
      </c>
      <c r="O4" s="165">
        <v>1481965200</v>
      </c>
      <c r="P4" s="165">
        <v>0.44</v>
      </c>
      <c r="Q4" s="165">
        <v>48</v>
      </c>
      <c r="R4" s="165">
        <v>3.88</v>
      </c>
    </row>
    <row r="5" spans="1:18" x14ac:dyDescent="0.25">
      <c r="A5" s="165">
        <v>-5.93</v>
      </c>
      <c r="B5" s="165">
        <v>0.79</v>
      </c>
      <c r="C5" s="165">
        <v>-1.1100000000000001</v>
      </c>
      <c r="D5" s="8">
        <v>42721.125</v>
      </c>
      <c r="E5" s="165">
        <v>0.81</v>
      </c>
      <c r="F5" s="165" t="s">
        <v>327</v>
      </c>
      <c r="G5" s="165">
        <v>262.8</v>
      </c>
      <c r="H5" s="165">
        <v>0.65100000000000002</v>
      </c>
      <c r="I5" s="165">
        <v>3.4200000000000001E-2</v>
      </c>
      <c r="J5" s="165">
        <v>0.63</v>
      </c>
      <c r="K5" s="165" t="s">
        <v>327</v>
      </c>
      <c r="L5" s="165">
        <v>1017.48</v>
      </c>
      <c r="M5" s="165" t="s">
        <v>491</v>
      </c>
      <c r="N5" s="165">
        <v>3.27</v>
      </c>
      <c r="O5" s="165">
        <v>1481968800</v>
      </c>
      <c r="P5" s="165">
        <v>0.18</v>
      </c>
      <c r="Q5" s="165">
        <v>54</v>
      </c>
      <c r="R5" s="165">
        <v>4.5</v>
      </c>
    </row>
    <row r="6" spans="1:18" x14ac:dyDescent="0.25">
      <c r="A6" s="165">
        <v>-5.37</v>
      </c>
      <c r="B6" s="165">
        <v>0.79</v>
      </c>
      <c r="C6" s="165">
        <v>-2.1800000000000002</v>
      </c>
      <c r="D6" s="8">
        <v>42721.166666666664</v>
      </c>
      <c r="E6" s="165">
        <v>0.81</v>
      </c>
      <c r="F6" s="165" t="s">
        <v>327</v>
      </c>
      <c r="G6" s="165">
        <v>266.61</v>
      </c>
      <c r="H6" s="165">
        <v>0.61799999999999999</v>
      </c>
      <c r="I6" s="165">
        <v>3.2500000000000001E-2</v>
      </c>
      <c r="J6" s="165">
        <v>0.63</v>
      </c>
      <c r="K6" s="165" t="s">
        <v>327</v>
      </c>
      <c r="L6" s="165">
        <v>1019.23</v>
      </c>
      <c r="M6" s="165" t="s">
        <v>491</v>
      </c>
      <c r="N6" s="165">
        <v>2.2799999999999998</v>
      </c>
      <c r="O6" s="165">
        <v>1481972400</v>
      </c>
      <c r="P6" s="165">
        <v>0.38</v>
      </c>
      <c r="Q6" s="165">
        <v>41</v>
      </c>
      <c r="R6" s="165">
        <v>3.52</v>
      </c>
    </row>
    <row r="7" spans="1:18" x14ac:dyDescent="0.25">
      <c r="A7" s="165">
        <v>-7.37</v>
      </c>
      <c r="B7" s="165">
        <v>0.86</v>
      </c>
      <c r="C7" s="165">
        <v>-3</v>
      </c>
      <c r="D7" s="8">
        <v>42721.208333333336</v>
      </c>
      <c r="E7" s="165">
        <v>0.81</v>
      </c>
      <c r="F7" s="165" t="s">
        <v>327</v>
      </c>
      <c r="G7" s="165">
        <v>270.60000000000002</v>
      </c>
      <c r="H7" s="165">
        <v>0.56299999999999994</v>
      </c>
      <c r="I7" s="165">
        <v>2.9700000000000001E-2</v>
      </c>
      <c r="J7" s="165">
        <v>0.61</v>
      </c>
      <c r="K7" s="165" t="s">
        <v>327</v>
      </c>
      <c r="L7" s="165">
        <v>1020.76</v>
      </c>
      <c r="M7" s="165" t="s">
        <v>490</v>
      </c>
      <c r="N7" s="165">
        <v>1.49</v>
      </c>
      <c r="O7" s="165">
        <v>1481976000</v>
      </c>
      <c r="P7" s="165">
        <v>0.53</v>
      </c>
      <c r="Q7" s="165">
        <v>59</v>
      </c>
      <c r="R7" s="165">
        <v>4.12</v>
      </c>
    </row>
    <row r="8" spans="1:18" x14ac:dyDescent="0.25">
      <c r="A8" s="165">
        <v>-8.3000000000000007</v>
      </c>
      <c r="B8" s="165">
        <v>0.72</v>
      </c>
      <c r="C8" s="165">
        <v>-3.33</v>
      </c>
      <c r="D8" s="8">
        <v>42721.25</v>
      </c>
      <c r="E8" s="165">
        <v>0.81</v>
      </c>
      <c r="F8" s="165" t="s">
        <v>327</v>
      </c>
      <c r="G8" s="165">
        <v>275.22000000000003</v>
      </c>
      <c r="H8" s="165">
        <v>0.47599999999999998</v>
      </c>
      <c r="I8" s="165">
        <v>2.5100000000000001E-2</v>
      </c>
      <c r="J8" s="165">
        <v>0.59</v>
      </c>
      <c r="K8" s="165" t="s">
        <v>327</v>
      </c>
      <c r="L8" s="165">
        <v>1021.96</v>
      </c>
      <c r="M8" s="165" t="s">
        <v>490</v>
      </c>
      <c r="N8" s="165">
        <v>1.06</v>
      </c>
      <c r="O8" s="165">
        <v>1481979600</v>
      </c>
      <c r="P8" s="165">
        <v>0.53</v>
      </c>
      <c r="Q8" s="165">
        <v>43</v>
      </c>
      <c r="R8" s="165">
        <v>4.38</v>
      </c>
    </row>
    <row r="9" spans="1:18" x14ac:dyDescent="0.25">
      <c r="A9" s="165">
        <v>-7</v>
      </c>
      <c r="B9" s="165">
        <v>0.72</v>
      </c>
      <c r="C9" s="165">
        <v>-3.79</v>
      </c>
      <c r="D9" s="8">
        <v>42721.291666666664</v>
      </c>
      <c r="E9" s="165">
        <v>0.82</v>
      </c>
      <c r="F9" s="165" t="s">
        <v>327</v>
      </c>
      <c r="G9" s="165">
        <v>280.01</v>
      </c>
      <c r="H9" s="165">
        <v>0.36399999999999999</v>
      </c>
      <c r="I9" s="165">
        <v>1.9199999999999998E-2</v>
      </c>
      <c r="J9" s="165">
        <v>0.56000000000000005</v>
      </c>
      <c r="K9" s="165" t="s">
        <v>327</v>
      </c>
      <c r="L9" s="165">
        <v>1023.62</v>
      </c>
      <c r="M9" s="165" t="s">
        <v>490</v>
      </c>
      <c r="N9" s="165">
        <v>0.44</v>
      </c>
      <c r="O9" s="165">
        <v>1481983200</v>
      </c>
      <c r="P9" s="165">
        <v>1.1000000000000001</v>
      </c>
      <c r="Q9" s="165">
        <v>22</v>
      </c>
      <c r="R9" s="165">
        <v>3.29</v>
      </c>
    </row>
    <row r="10" spans="1:18" x14ac:dyDescent="0.25">
      <c r="A10" s="165">
        <v>-8.0299999999999994</v>
      </c>
      <c r="B10" s="165">
        <v>0.69</v>
      </c>
      <c r="C10" s="165">
        <v>-3.94</v>
      </c>
      <c r="D10" s="8">
        <v>42721.333333333336</v>
      </c>
      <c r="E10" s="165">
        <v>0.82</v>
      </c>
      <c r="F10" s="165" t="s">
        <v>327</v>
      </c>
      <c r="G10" s="165">
        <v>282.73</v>
      </c>
      <c r="H10" s="165">
        <v>0.26900000000000002</v>
      </c>
      <c r="I10" s="165">
        <v>1.4200000000000001E-2</v>
      </c>
      <c r="J10" s="165">
        <v>0.52</v>
      </c>
      <c r="K10" s="165" t="s">
        <v>327</v>
      </c>
      <c r="L10" s="165">
        <v>1024.6600000000001</v>
      </c>
      <c r="M10" s="165" t="s">
        <v>490</v>
      </c>
      <c r="N10" s="165">
        <v>0.27</v>
      </c>
      <c r="O10" s="165">
        <v>1481986800</v>
      </c>
      <c r="P10" s="165">
        <v>1.1000000000000001</v>
      </c>
      <c r="Q10" s="165">
        <v>34</v>
      </c>
      <c r="R10" s="165">
        <v>3.7</v>
      </c>
    </row>
    <row r="11" spans="1:18" x14ac:dyDescent="0.25">
      <c r="A11" s="165">
        <v>0.86</v>
      </c>
      <c r="B11" s="165">
        <v>0.61</v>
      </c>
      <c r="C11" s="165">
        <v>-3.6</v>
      </c>
      <c r="D11" s="8">
        <v>42721.375</v>
      </c>
      <c r="E11" s="165">
        <v>0.81</v>
      </c>
      <c r="F11" s="165" t="s">
        <v>327</v>
      </c>
      <c r="G11" s="165">
        <v>281.52999999999997</v>
      </c>
      <c r="H11" s="165">
        <v>0.21099999999999999</v>
      </c>
      <c r="I11" s="165">
        <v>1.11E-2</v>
      </c>
      <c r="J11" s="165">
        <v>0.48</v>
      </c>
      <c r="K11" s="165" t="s">
        <v>327</v>
      </c>
      <c r="L11" s="165">
        <v>1025.05</v>
      </c>
      <c r="M11" s="165" t="s">
        <v>490</v>
      </c>
      <c r="N11" s="165">
        <v>0.86</v>
      </c>
      <c r="O11" s="165">
        <v>1481990400</v>
      </c>
      <c r="P11" s="165">
        <v>0.92</v>
      </c>
      <c r="Q11" s="165">
        <v>51</v>
      </c>
      <c r="R11" s="165">
        <v>2.58</v>
      </c>
    </row>
    <row r="12" spans="1:18" x14ac:dyDescent="0.25">
      <c r="A12" s="165">
        <v>1.34</v>
      </c>
      <c r="B12" s="165">
        <v>0.6</v>
      </c>
      <c r="C12" s="165">
        <v>-3.51</v>
      </c>
      <c r="D12" s="8">
        <v>42721.416666666664</v>
      </c>
      <c r="E12" s="165">
        <v>0.79</v>
      </c>
      <c r="F12" s="165" t="s">
        <v>327</v>
      </c>
      <c r="G12" s="165">
        <v>278.26</v>
      </c>
      <c r="H12" s="165">
        <v>0.17100000000000001</v>
      </c>
      <c r="I12" s="165">
        <v>8.9999999999999993E-3</v>
      </c>
      <c r="J12" s="165">
        <v>0.44</v>
      </c>
      <c r="K12" s="165" t="s">
        <v>327</v>
      </c>
      <c r="L12" s="165">
        <v>1024.8599999999999</v>
      </c>
      <c r="M12" s="165" t="s">
        <v>490</v>
      </c>
      <c r="N12" s="165">
        <v>1.34</v>
      </c>
      <c r="O12" s="165">
        <v>1481994000</v>
      </c>
      <c r="P12" s="165">
        <v>0.92</v>
      </c>
      <c r="Q12" s="165">
        <v>13</v>
      </c>
      <c r="R12" s="165">
        <v>2.33</v>
      </c>
    </row>
    <row r="13" spans="1:18" x14ac:dyDescent="0.25">
      <c r="A13" s="165">
        <v>2.38</v>
      </c>
      <c r="B13" s="165">
        <v>0.59</v>
      </c>
      <c r="C13" s="165">
        <v>-2.79</v>
      </c>
      <c r="D13" s="8">
        <v>42721.458333333336</v>
      </c>
      <c r="E13" s="165">
        <v>0.78</v>
      </c>
      <c r="F13" s="165" t="s">
        <v>327</v>
      </c>
      <c r="G13" s="165">
        <v>276.27</v>
      </c>
      <c r="H13" s="165">
        <v>0.13400000000000001</v>
      </c>
      <c r="I13" s="165">
        <v>7.1000000000000004E-3</v>
      </c>
      <c r="J13" s="165">
        <v>0.32</v>
      </c>
      <c r="K13" s="165" t="s">
        <v>327</v>
      </c>
      <c r="L13" s="165">
        <v>1024.79</v>
      </c>
      <c r="M13" s="165" t="s">
        <v>329</v>
      </c>
      <c r="N13" s="165">
        <v>2.38</v>
      </c>
      <c r="O13" s="165">
        <v>1481997600</v>
      </c>
      <c r="P13" s="165">
        <v>0.92</v>
      </c>
      <c r="Q13" s="165">
        <v>38</v>
      </c>
      <c r="R13" s="165">
        <v>2.4700000000000002</v>
      </c>
    </row>
    <row r="14" spans="1:18" x14ac:dyDescent="0.25">
      <c r="A14" s="165">
        <v>4.79</v>
      </c>
      <c r="B14" s="165">
        <v>0.54</v>
      </c>
      <c r="C14" s="165">
        <v>-0.5</v>
      </c>
      <c r="D14" s="8">
        <v>42721.5</v>
      </c>
      <c r="E14" s="165">
        <v>0.78</v>
      </c>
      <c r="F14" s="165" t="s">
        <v>327</v>
      </c>
      <c r="G14" s="165">
        <v>277.04000000000002</v>
      </c>
      <c r="H14" s="165">
        <v>0.09</v>
      </c>
      <c r="I14" s="165">
        <v>4.7000000000000002E-3</v>
      </c>
      <c r="J14" s="165">
        <v>0.18</v>
      </c>
      <c r="K14" s="165" t="s">
        <v>327</v>
      </c>
      <c r="L14" s="165">
        <v>1025.2</v>
      </c>
      <c r="M14" s="165" t="s">
        <v>329</v>
      </c>
      <c r="N14" s="165">
        <v>4.79</v>
      </c>
      <c r="O14" s="165">
        <v>1482001200</v>
      </c>
      <c r="P14" s="165">
        <v>0.98</v>
      </c>
      <c r="Q14" s="165">
        <v>48</v>
      </c>
      <c r="R14" s="165">
        <v>2.89</v>
      </c>
    </row>
    <row r="15" spans="1:18" x14ac:dyDescent="0.25">
      <c r="A15" s="165">
        <v>5.17</v>
      </c>
      <c r="B15" s="165">
        <v>0.51</v>
      </c>
      <c r="C15" s="165">
        <v>-0.08</v>
      </c>
      <c r="D15" s="8">
        <v>42721.541666666664</v>
      </c>
      <c r="E15" s="165">
        <v>0.78</v>
      </c>
      <c r="F15" s="165" t="s">
        <v>327</v>
      </c>
      <c r="G15" s="165">
        <v>279.08999999999997</v>
      </c>
      <c r="H15" s="165">
        <v>5.3999999999999999E-2</v>
      </c>
      <c r="I15" s="165">
        <v>2.8999999999999998E-3</v>
      </c>
      <c r="J15" s="165">
        <v>0.08</v>
      </c>
      <c r="K15" s="165" t="s">
        <v>327</v>
      </c>
      <c r="L15" s="165">
        <v>1025.58</v>
      </c>
      <c r="M15" s="165" t="s">
        <v>329</v>
      </c>
      <c r="N15" s="165">
        <v>5.17</v>
      </c>
      <c r="O15" s="165">
        <v>1482004800</v>
      </c>
      <c r="P15" s="165">
        <v>1.1000000000000001</v>
      </c>
      <c r="Q15" s="165">
        <v>47</v>
      </c>
      <c r="R15" s="165">
        <v>1.71</v>
      </c>
    </row>
    <row r="16" spans="1:18" x14ac:dyDescent="0.25">
      <c r="A16" s="165">
        <v>5.31</v>
      </c>
      <c r="B16" s="165">
        <v>0.34</v>
      </c>
      <c r="C16" s="165">
        <v>-1.08</v>
      </c>
      <c r="D16" s="8">
        <v>42721.583333333336</v>
      </c>
      <c r="E16" s="165">
        <v>0.74</v>
      </c>
      <c r="F16" s="165" t="s">
        <v>327</v>
      </c>
      <c r="G16" s="165">
        <v>281.33999999999997</v>
      </c>
      <c r="H16" s="165">
        <v>2.1000000000000001E-2</v>
      </c>
      <c r="I16" s="165">
        <v>1.1000000000000001E-3</v>
      </c>
      <c r="J16" s="165">
        <v>0.01</v>
      </c>
      <c r="K16" s="165" t="s">
        <v>327</v>
      </c>
      <c r="L16" s="165">
        <v>1026.01</v>
      </c>
      <c r="M16" s="165" t="s">
        <v>328</v>
      </c>
      <c r="N16" s="165">
        <v>5.31</v>
      </c>
      <c r="O16" s="165">
        <v>1482008400</v>
      </c>
      <c r="P16" s="165">
        <v>2.75</v>
      </c>
      <c r="Q16" s="165">
        <v>60</v>
      </c>
      <c r="R16" s="165">
        <v>1.0900000000000001</v>
      </c>
    </row>
    <row r="17" spans="1:18" x14ac:dyDescent="0.25">
      <c r="A17" s="165">
        <v>6.12</v>
      </c>
      <c r="B17" s="165">
        <v>0.28999999999999998</v>
      </c>
      <c r="C17" s="165">
        <v>-0.17</v>
      </c>
      <c r="D17" s="8">
        <v>42721.625</v>
      </c>
      <c r="E17" s="165">
        <v>0.75</v>
      </c>
      <c r="F17" s="165" t="s">
        <v>327</v>
      </c>
      <c r="G17" s="165">
        <v>282.93</v>
      </c>
      <c r="H17" s="165">
        <v>1.7000000000000001E-2</v>
      </c>
      <c r="I17" s="165">
        <v>8.9999999999999998E-4</v>
      </c>
      <c r="J17" s="165">
        <v>0.01</v>
      </c>
      <c r="K17" s="165" t="s">
        <v>327</v>
      </c>
      <c r="L17" s="165">
        <v>1026.92</v>
      </c>
      <c r="M17" s="165" t="s">
        <v>328</v>
      </c>
      <c r="N17" s="165">
        <v>6.12</v>
      </c>
      <c r="O17" s="165">
        <v>1482012000</v>
      </c>
      <c r="P17" s="165">
        <v>2.86</v>
      </c>
      <c r="Q17" s="165">
        <v>96</v>
      </c>
      <c r="R17" s="165">
        <v>1.21</v>
      </c>
    </row>
    <row r="18" spans="1:18" x14ac:dyDescent="0.25">
      <c r="A18" s="165">
        <v>5.57</v>
      </c>
      <c r="B18" s="165">
        <v>0.21</v>
      </c>
      <c r="C18" s="165">
        <v>-0.93</v>
      </c>
      <c r="D18" s="8">
        <v>42721.666666666664</v>
      </c>
      <c r="E18" s="165">
        <v>0.74</v>
      </c>
      <c r="F18" s="165" t="s">
        <v>753</v>
      </c>
      <c r="G18" s="165">
        <v>284.72000000000003</v>
      </c>
      <c r="H18" s="165"/>
      <c r="I18" s="165">
        <v>0</v>
      </c>
      <c r="J18" s="165">
        <v>0</v>
      </c>
      <c r="K18" s="165"/>
      <c r="L18" s="165">
        <v>1028.1199999999999</v>
      </c>
      <c r="M18" s="165" t="s">
        <v>282</v>
      </c>
      <c r="N18" s="165">
        <v>5.57</v>
      </c>
      <c r="O18" s="165">
        <v>1482015600</v>
      </c>
      <c r="P18" s="165">
        <v>4.83</v>
      </c>
      <c r="Q18" s="165">
        <v>144</v>
      </c>
      <c r="R18" s="165">
        <v>1.25</v>
      </c>
    </row>
    <row r="19" spans="1:18" x14ac:dyDescent="0.25">
      <c r="A19" s="165">
        <v>4.47</v>
      </c>
      <c r="B19" s="165">
        <v>7.0000000000000007E-2</v>
      </c>
      <c r="C19" s="165">
        <v>-2.0099999999999998</v>
      </c>
      <c r="D19" s="8">
        <v>42721.708333333336</v>
      </c>
      <c r="E19" s="165">
        <v>0.74</v>
      </c>
      <c r="F19" s="165" t="s">
        <v>281</v>
      </c>
      <c r="G19" s="165">
        <v>288.17</v>
      </c>
      <c r="H19" s="165"/>
      <c r="I19" s="165">
        <v>0</v>
      </c>
      <c r="J19" s="165">
        <v>0</v>
      </c>
      <c r="K19" s="165"/>
      <c r="L19" s="165">
        <v>1029.28</v>
      </c>
      <c r="M19" s="165" t="s">
        <v>282</v>
      </c>
      <c r="N19" s="165">
        <v>4.47</v>
      </c>
      <c r="O19" s="165">
        <v>1482019200</v>
      </c>
      <c r="P19" s="165">
        <v>4.8499999999999996</v>
      </c>
      <c r="Q19" s="165">
        <v>77</v>
      </c>
      <c r="R19" s="165">
        <v>0.56000000000000005</v>
      </c>
    </row>
    <row r="20" spans="1:18" x14ac:dyDescent="0.25">
      <c r="A20" s="165">
        <v>1.71</v>
      </c>
      <c r="B20" s="165">
        <v>0.05</v>
      </c>
      <c r="C20" s="165">
        <v>-4.8899999999999997</v>
      </c>
      <c r="D20" s="8">
        <v>42721.75</v>
      </c>
      <c r="E20" s="165">
        <v>0.73</v>
      </c>
      <c r="F20" s="165" t="s">
        <v>281</v>
      </c>
      <c r="G20" s="165">
        <v>294.81</v>
      </c>
      <c r="H20" s="165"/>
      <c r="I20" s="165">
        <v>0</v>
      </c>
      <c r="J20" s="165">
        <v>0</v>
      </c>
      <c r="K20" s="165"/>
      <c r="L20" s="165">
        <v>1030.33</v>
      </c>
      <c r="M20" s="165" t="s">
        <v>282</v>
      </c>
      <c r="N20" s="165">
        <v>1.71</v>
      </c>
      <c r="O20" s="165">
        <v>1482022800</v>
      </c>
      <c r="P20" s="165">
        <v>5.45</v>
      </c>
      <c r="Q20" s="165">
        <v>182</v>
      </c>
      <c r="R20" s="165">
        <v>0.99</v>
      </c>
    </row>
    <row r="21" spans="1:18" x14ac:dyDescent="0.25">
      <c r="A21" s="165">
        <v>-7.0000000000000007E-2</v>
      </c>
      <c r="B21" s="165">
        <v>0.08</v>
      </c>
      <c r="C21" s="165">
        <v>-6.83</v>
      </c>
      <c r="D21" s="8">
        <v>42721.791666666664</v>
      </c>
      <c r="E21" s="165">
        <v>0.72</v>
      </c>
      <c r="F21" s="165" t="s">
        <v>281</v>
      </c>
      <c r="G21" s="165">
        <v>303.11</v>
      </c>
      <c r="H21" s="165"/>
      <c r="I21" s="165">
        <v>0</v>
      </c>
      <c r="J21" s="165">
        <v>0</v>
      </c>
      <c r="K21" s="165"/>
      <c r="L21" s="165">
        <v>1031.49</v>
      </c>
      <c r="M21" s="165" t="s">
        <v>282</v>
      </c>
      <c r="N21" s="165">
        <v>-7.0000000000000007E-2</v>
      </c>
      <c r="O21" s="165">
        <v>1482026400</v>
      </c>
      <c r="P21" s="165">
        <v>6.51</v>
      </c>
      <c r="Q21" s="165">
        <v>210</v>
      </c>
      <c r="R21" s="165">
        <v>0.37</v>
      </c>
    </row>
    <row r="22" spans="1:18" x14ac:dyDescent="0.25">
      <c r="A22" s="165">
        <v>-1.39</v>
      </c>
      <c r="B22" s="165">
        <v>0.14000000000000001</v>
      </c>
      <c r="C22" s="165">
        <v>-8.35</v>
      </c>
      <c r="D22" s="8">
        <v>42721.833333333336</v>
      </c>
      <c r="E22" s="165">
        <v>0.71</v>
      </c>
      <c r="F22" s="165" t="s">
        <v>281</v>
      </c>
      <c r="G22" s="165">
        <v>310.05</v>
      </c>
      <c r="H22" s="165"/>
      <c r="I22" s="165">
        <v>0</v>
      </c>
      <c r="J22" s="165">
        <v>0</v>
      </c>
      <c r="K22" s="165"/>
      <c r="L22" s="165">
        <v>1032.3800000000001</v>
      </c>
      <c r="M22" s="165" t="s">
        <v>282</v>
      </c>
      <c r="N22" s="165">
        <v>-1.39</v>
      </c>
      <c r="O22" s="165">
        <v>1482030000</v>
      </c>
      <c r="P22" s="165">
        <v>6.51</v>
      </c>
      <c r="Q22" s="165">
        <v>225</v>
      </c>
      <c r="R22" s="165">
        <v>0.32</v>
      </c>
    </row>
    <row r="23" spans="1:18" x14ac:dyDescent="0.25">
      <c r="A23" s="165">
        <v>-2.4900000000000002</v>
      </c>
      <c r="B23" s="165">
        <v>0.15</v>
      </c>
      <c r="C23" s="165">
        <v>-10.27</v>
      </c>
      <c r="D23" s="8">
        <v>42721.875</v>
      </c>
      <c r="E23" s="165">
        <v>0.68</v>
      </c>
      <c r="F23" s="165" t="s">
        <v>281</v>
      </c>
      <c r="G23" s="165">
        <v>314.68</v>
      </c>
      <c r="H23" s="165"/>
      <c r="I23" s="165">
        <v>0</v>
      </c>
      <c r="J23" s="165">
        <v>0</v>
      </c>
      <c r="K23" s="165"/>
      <c r="L23" s="165">
        <v>1032.74</v>
      </c>
      <c r="M23" s="165" t="s">
        <v>282</v>
      </c>
      <c r="N23" s="165">
        <v>-2.4900000000000002</v>
      </c>
      <c r="O23" s="165">
        <v>1482033600</v>
      </c>
      <c r="P23" s="165">
        <v>9.7899999999999991</v>
      </c>
      <c r="Q23" s="165">
        <v>242</v>
      </c>
      <c r="R23" s="165">
        <v>0.57999999999999996</v>
      </c>
    </row>
    <row r="24" spans="1:18" x14ac:dyDescent="0.25">
      <c r="A24" s="165">
        <v>-3.08</v>
      </c>
      <c r="B24" s="165">
        <v>0.26</v>
      </c>
      <c r="C24" s="165">
        <v>-11.15</v>
      </c>
      <c r="D24" s="8">
        <v>42721.916666666664</v>
      </c>
      <c r="E24" s="165">
        <v>0.67</v>
      </c>
      <c r="F24" s="165" t="s">
        <v>242</v>
      </c>
      <c r="G24" s="165">
        <v>317.95</v>
      </c>
      <c r="H24" s="165"/>
      <c r="I24" s="165">
        <v>0</v>
      </c>
      <c r="J24" s="165">
        <v>0</v>
      </c>
      <c r="K24" s="165"/>
      <c r="L24" s="165">
        <v>1032.8</v>
      </c>
      <c r="M24" s="165" t="s">
        <v>247</v>
      </c>
      <c r="N24" s="165">
        <v>-3.08</v>
      </c>
      <c r="O24" s="165">
        <v>1482037200</v>
      </c>
      <c r="P24" s="165">
        <v>5.88</v>
      </c>
      <c r="Q24" s="165">
        <v>202</v>
      </c>
      <c r="R24" s="165">
        <v>1.35</v>
      </c>
    </row>
    <row r="25" spans="1:18" x14ac:dyDescent="0.25">
      <c r="A25" s="165">
        <v>-3.91</v>
      </c>
      <c r="B25" s="165">
        <v>0.25</v>
      </c>
      <c r="C25" s="165">
        <v>-12.56</v>
      </c>
      <c r="D25" s="8">
        <v>42721.958333333336</v>
      </c>
      <c r="E25" s="165">
        <v>0.65</v>
      </c>
      <c r="F25" s="165" t="s">
        <v>242</v>
      </c>
      <c r="G25" s="165">
        <v>319.67</v>
      </c>
      <c r="H25" s="165"/>
      <c r="I25" s="165">
        <v>0</v>
      </c>
      <c r="J25" s="165">
        <v>0</v>
      </c>
      <c r="K25" s="165"/>
      <c r="L25" s="165">
        <v>1032.8499999999999</v>
      </c>
      <c r="M25" s="165" t="s">
        <v>247</v>
      </c>
      <c r="N25" s="165">
        <v>-3.91</v>
      </c>
      <c r="O25" s="165">
        <v>1482040800</v>
      </c>
      <c r="P25" s="165">
        <v>6.53</v>
      </c>
      <c r="Q25" s="165">
        <v>231</v>
      </c>
      <c r="R25" s="165">
        <v>0.63</v>
      </c>
    </row>
    <row r="26" spans="1:18" x14ac:dyDescent="0.25">
      <c r="A26" s="165">
        <v>-3.49</v>
      </c>
      <c r="B26" s="165">
        <v>0.2</v>
      </c>
      <c r="C26" s="165">
        <v>-12.94</v>
      </c>
      <c r="D26" s="8">
        <v>42722</v>
      </c>
      <c r="E26" s="165">
        <v>0.63</v>
      </c>
      <c r="F26" s="165" t="s">
        <v>281</v>
      </c>
      <c r="G26" s="165">
        <v>318.23</v>
      </c>
      <c r="H26" s="165"/>
      <c r="I26" s="165">
        <v>0</v>
      </c>
      <c r="J26" s="165">
        <v>0</v>
      </c>
      <c r="K26" s="165"/>
      <c r="L26" s="165">
        <v>1033.02</v>
      </c>
      <c r="M26" s="165" t="s">
        <v>282</v>
      </c>
      <c r="N26" s="165">
        <v>-3.49</v>
      </c>
      <c r="O26" s="165">
        <v>1482044400</v>
      </c>
      <c r="P26" s="165">
        <v>6.8</v>
      </c>
      <c r="Q26" s="165">
        <v>269</v>
      </c>
      <c r="R26" s="165">
        <v>0.78</v>
      </c>
    </row>
    <row r="27" spans="1:18" x14ac:dyDescent="0.25">
      <c r="A27" s="165">
        <v>-5</v>
      </c>
      <c r="B27" s="165">
        <v>0.35</v>
      </c>
      <c r="C27" s="165">
        <v>-14.27</v>
      </c>
      <c r="D27" s="8">
        <v>42722.041666666664</v>
      </c>
      <c r="E27" s="165">
        <v>0.63</v>
      </c>
      <c r="F27" s="165" t="s">
        <v>242</v>
      </c>
      <c r="G27" s="165">
        <v>316.79000000000002</v>
      </c>
      <c r="H27" s="165"/>
      <c r="I27" s="165">
        <v>0</v>
      </c>
      <c r="J27" s="165">
        <v>0</v>
      </c>
      <c r="K27" s="165"/>
      <c r="L27" s="165">
        <v>1033.1500000000001</v>
      </c>
      <c r="M27" s="165" t="s">
        <v>247</v>
      </c>
      <c r="N27" s="165">
        <v>-5</v>
      </c>
      <c r="O27" s="165">
        <v>1482048000</v>
      </c>
      <c r="P27" s="165">
        <v>7.04</v>
      </c>
      <c r="Q27" s="165">
        <v>265</v>
      </c>
      <c r="R27" s="165">
        <v>0.61</v>
      </c>
    </row>
    <row r="28" spans="1:18" x14ac:dyDescent="0.25">
      <c r="A28" s="165">
        <v>-4.59</v>
      </c>
      <c r="B28" s="165">
        <v>0.56000000000000005</v>
      </c>
      <c r="C28" s="165">
        <v>-15.69</v>
      </c>
      <c r="D28" s="8">
        <v>42722.083333333336</v>
      </c>
      <c r="E28" s="165">
        <v>0.57999999999999996</v>
      </c>
      <c r="F28" s="165" t="s">
        <v>242</v>
      </c>
      <c r="G28" s="165">
        <v>315.35000000000002</v>
      </c>
      <c r="H28" s="165"/>
      <c r="I28" s="165">
        <v>0</v>
      </c>
      <c r="J28" s="165">
        <v>0</v>
      </c>
      <c r="K28" s="165"/>
      <c r="L28" s="165">
        <v>1033.26</v>
      </c>
      <c r="M28" s="165" t="s">
        <v>247</v>
      </c>
      <c r="N28" s="165">
        <v>-4.59</v>
      </c>
      <c r="O28" s="165">
        <v>1482051600</v>
      </c>
      <c r="P28" s="165">
        <v>4.34</v>
      </c>
      <c r="Q28" s="165">
        <v>298</v>
      </c>
      <c r="R28" s="165">
        <v>1.35</v>
      </c>
    </row>
    <row r="29" spans="1:18" x14ac:dyDescent="0.25">
      <c r="A29" s="165">
        <v>-2.14</v>
      </c>
      <c r="B29" s="165">
        <v>0.65</v>
      </c>
      <c r="C29" s="165">
        <v>-13</v>
      </c>
      <c r="D29" s="8">
        <v>42722.125</v>
      </c>
      <c r="E29" s="165">
        <v>0.59</v>
      </c>
      <c r="F29" s="165" t="s">
        <v>242</v>
      </c>
      <c r="G29" s="165">
        <v>314.38</v>
      </c>
      <c r="H29" s="165"/>
      <c r="I29" s="165">
        <v>0</v>
      </c>
      <c r="J29" s="165">
        <v>0</v>
      </c>
      <c r="K29" s="165"/>
      <c r="L29" s="165">
        <v>1033.01</v>
      </c>
      <c r="M29" s="165" t="s">
        <v>489</v>
      </c>
      <c r="N29" s="165">
        <v>-2.14</v>
      </c>
      <c r="O29" s="165">
        <v>1482055200</v>
      </c>
      <c r="P29" s="165">
        <v>6.62</v>
      </c>
      <c r="Q29" s="165">
        <v>240</v>
      </c>
      <c r="R29" s="165">
        <v>1.37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202</v>
      </c>
    </row>
    <row r="33" spans="1:1" x14ac:dyDescent="0.25">
      <c r="A33" s="133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50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947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948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949</v>
      </c>
      <c r="J20" t="s">
        <v>87</v>
      </c>
      <c r="M20" s="165" t="s">
        <v>246</v>
      </c>
    </row>
    <row r="21" spans="3:13" x14ac:dyDescent="0.25">
      <c r="C21" t="s">
        <v>950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951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952</v>
      </c>
      <c r="J23" s="29" t="s">
        <v>95</v>
      </c>
      <c r="K23" s="21"/>
      <c r="M23" s="165">
        <v>-7</v>
      </c>
    </row>
    <row r="24" spans="3:13" x14ac:dyDescent="0.25">
      <c r="C24" t="s">
        <v>953</v>
      </c>
      <c r="J24" s="21" t="s">
        <v>108</v>
      </c>
      <c r="K24" s="21"/>
      <c r="M24" s="165" t="s">
        <v>110</v>
      </c>
    </row>
    <row r="25" spans="3:13" x14ac:dyDescent="0.25">
      <c r="C25" t="s">
        <v>954</v>
      </c>
      <c r="J25" t="s">
        <v>151</v>
      </c>
      <c r="M25" s="165" t="b">
        <v>1</v>
      </c>
    </row>
    <row r="26" spans="3:13" x14ac:dyDescent="0.25">
      <c r="C26" t="s">
        <v>955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C:\Users\stu\Documents\GitHub\eaglep3-reporting\EC\2016-12-17-refined-times.txt</v>
      </c>
    </row>
    <row r="27" spans="3:13" x14ac:dyDescent="0.25">
      <c r="C27" t="s">
        <v>956</v>
      </c>
      <c r="J27" t="s">
        <v>187</v>
      </c>
      <c r="M27" s="165" t="str">
        <f>"C:\Users\stu\Documents\GitHub\eaglep3-reporting\EC\"&amp;TEXT(A2,"YYYY-MM-DD")&amp;"-Enforcements.txt"</f>
        <v>C:\Users\stu\Documents\GitHub\eaglep3-reporting\EC\2016-12-17-Enforcements.txt</v>
      </c>
    </row>
    <row r="28" spans="3:13" x14ac:dyDescent="0.25">
      <c r="C28" t="s">
        <v>957</v>
      </c>
      <c r="J28" t="s">
        <v>188</v>
      </c>
      <c r="M28" s="165" t="str">
        <f>"C:\Users\stu\Documents\GitHub\eaglep3-reporting\EC\"&amp;TEXT(A2,"YYYY-MM-DD")&amp;"-Runs-refined.txt"</f>
        <v>C:\Users\stu\Documents\GitHub\eaglep3-reporting\EC\2016-12-17-Runs-refined.txt</v>
      </c>
    </row>
    <row r="29" spans="3:13" x14ac:dyDescent="0.25">
      <c r="C29" t="s">
        <v>958</v>
      </c>
      <c r="J29" t="s">
        <v>189</v>
      </c>
      <c r="M29" s="165" t="str">
        <f>"C:\Users\stu\Documents\GitHub\eaglep3-reporting\EC\"&amp;TEXT(A2,"YYYY-MM-DD")&amp;"-Trips.txt"</f>
        <v>C:\Users\stu\Documents\GitHub\eaglep3-reporting\EC\2016-12-17-Trips.txt</v>
      </c>
    </row>
    <row r="30" spans="3:13" x14ac:dyDescent="0.25">
      <c r="C30" t="s">
        <v>959</v>
      </c>
      <c r="J30" t="s">
        <v>190</v>
      </c>
      <c r="M30" s="165" t="str">
        <f>"C:\Users\stu\Documents\GitHub\eaglep3-reporting\EC\"&amp;TEXT(A2,"YYYY-MM-DD")&amp;"-Weather.txt"</f>
        <v>C:\Users\stu\Documents\GitHub\eaglep3-reporting\EC\2016-12-17-Weather.txt</v>
      </c>
    </row>
    <row r="31" spans="3:13" x14ac:dyDescent="0.25">
      <c r="C31" t="s">
        <v>960</v>
      </c>
    </row>
    <row r="32" spans="3:13" x14ac:dyDescent="0.25">
      <c r="C32" t="s">
        <v>961</v>
      </c>
    </row>
    <row r="33" spans="3:3" x14ac:dyDescent="0.25">
      <c r="C33" t="s">
        <v>962</v>
      </c>
    </row>
    <row r="34" spans="3:3" x14ac:dyDescent="0.25">
      <c r="C34" t="s">
        <v>963</v>
      </c>
    </row>
    <row r="35" spans="3:3" x14ac:dyDescent="0.25">
      <c r="C35" t="s">
        <v>964</v>
      </c>
    </row>
    <row r="36" spans="3:3" x14ac:dyDescent="0.25">
      <c r="C36" t="s">
        <v>965</v>
      </c>
    </row>
    <row r="37" spans="3:3" x14ac:dyDescent="0.25">
      <c r="C37" t="s">
        <v>966</v>
      </c>
    </row>
    <row r="38" spans="3:3" x14ac:dyDescent="0.25">
      <c r="C38" t="s">
        <v>967</v>
      </c>
    </row>
    <row r="39" spans="3:3" x14ac:dyDescent="0.25">
      <c r="C39" t="s">
        <v>531</v>
      </c>
    </row>
    <row r="40" spans="3:3" x14ac:dyDescent="0.25">
      <c r="C40" t="s">
        <v>968</v>
      </c>
    </row>
    <row r="41" spans="3:3" x14ac:dyDescent="0.25">
      <c r="C41" t="s">
        <v>969</v>
      </c>
    </row>
    <row r="42" spans="3:3" x14ac:dyDescent="0.25">
      <c r="C42" t="s">
        <v>970</v>
      </c>
    </row>
    <row r="43" spans="3:3" x14ac:dyDescent="0.25">
      <c r="C43" t="s">
        <v>971</v>
      </c>
    </row>
    <row r="44" spans="3:3" x14ac:dyDescent="0.25">
      <c r="C44" t="s">
        <v>972</v>
      </c>
    </row>
    <row r="45" spans="3:3" x14ac:dyDescent="0.25">
      <c r="C45" t="e">
        <v>#N/A</v>
      </c>
    </row>
    <row r="46" spans="3:3" x14ac:dyDescent="0.25">
      <c r="C46" t="s">
        <v>973</v>
      </c>
    </row>
    <row r="47" spans="3:3" x14ac:dyDescent="0.25">
      <c r="C47" t="s">
        <v>974</v>
      </c>
    </row>
    <row r="48" spans="3:3" x14ac:dyDescent="0.25">
      <c r="C48" t="s">
        <v>975</v>
      </c>
    </row>
    <row r="49" spans="3:3" x14ac:dyDescent="0.25">
      <c r="C49" t="s">
        <v>976</v>
      </c>
    </row>
    <row r="50" spans="3:3" x14ac:dyDescent="0.25">
      <c r="C50" t="s">
        <v>977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J129" sqref="J12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350</v>
      </c>
      <c r="B1" t="str">
        <f t="shared" ref="B1:B52" si="0">MID(A1,6,23)</f>
        <v>2016/12/14 10:32:11.283</v>
      </c>
      <c r="C1" t="e">
        <f>ABS(B1-#REF!)</f>
        <v>#REF!</v>
      </c>
    </row>
    <row r="2" spans="1:3" x14ac:dyDescent="0.25">
      <c r="A2" t="s">
        <v>351</v>
      </c>
      <c r="B2" s="21" t="str">
        <f t="shared" si="0"/>
        <v>2016/12/14 12:39:29.984</v>
      </c>
      <c r="C2">
        <f>ABS(B2-B1)</f>
        <v>8.841089120687684E-2</v>
      </c>
    </row>
    <row r="3" spans="1:3" x14ac:dyDescent="0.25">
      <c r="A3" t="s">
        <v>352</v>
      </c>
      <c r="B3" s="21" t="str">
        <f t="shared" si="0"/>
        <v>2016/12/14 12:39:30.145</v>
      </c>
      <c r="C3" s="21">
        <f t="shared" ref="C3:C52" si="1">ABS(B3-B2)</f>
        <v>1.8634236766956747E-6</v>
      </c>
    </row>
    <row r="4" spans="1:3" x14ac:dyDescent="0.25">
      <c r="A4" t="s">
        <v>353</v>
      </c>
      <c r="B4" s="21" t="str">
        <f t="shared" si="0"/>
        <v>2016/12/14 12:39:30.815</v>
      </c>
      <c r="C4" s="21">
        <f t="shared" si="1"/>
        <v>7.7546355896629393E-6</v>
      </c>
    </row>
    <row r="5" spans="1:3" x14ac:dyDescent="0.25">
      <c r="A5" t="s">
        <v>354</v>
      </c>
      <c r="B5" s="21" t="str">
        <f t="shared" si="0"/>
        <v>2016/12/14 12:51:01.148</v>
      </c>
      <c r="C5" s="21">
        <f t="shared" si="1"/>
        <v>7.9899652773747221E-3</v>
      </c>
    </row>
    <row r="6" spans="1:3" x14ac:dyDescent="0.25">
      <c r="A6" t="s">
        <v>355</v>
      </c>
      <c r="B6" s="21" t="str">
        <f t="shared" si="0"/>
        <v>2016/12/14 12:51:01.990</v>
      </c>
      <c r="C6" s="21">
        <f t="shared" si="1"/>
        <v>9.7453666967339814E-6</v>
      </c>
    </row>
    <row r="7" spans="1:3" x14ac:dyDescent="0.25">
      <c r="A7" t="s">
        <v>356</v>
      </c>
      <c r="B7" s="21" t="str">
        <f t="shared" si="0"/>
        <v>2016/12/14 12:51:02.826</v>
      </c>
      <c r="C7" s="21">
        <f t="shared" si="1"/>
        <v>9.6759249572642148E-6</v>
      </c>
    </row>
    <row r="8" spans="1:3" x14ac:dyDescent="0.25">
      <c r="A8" t="s">
        <v>357</v>
      </c>
      <c r="B8" s="21" t="str">
        <f t="shared" si="0"/>
        <v>2016/12/14 12:52:28.631</v>
      </c>
      <c r="C8" s="21">
        <f t="shared" si="1"/>
        <v>9.9311342637520283E-4</v>
      </c>
    </row>
    <row r="9" spans="1:3" x14ac:dyDescent="0.25">
      <c r="A9" t="s">
        <v>358</v>
      </c>
      <c r="B9" s="21" t="str">
        <f t="shared" si="0"/>
        <v>2016/12/14 12:52:29.264</v>
      </c>
      <c r="C9" s="21">
        <f t="shared" si="1"/>
        <v>7.3263872764073312E-6</v>
      </c>
    </row>
    <row r="10" spans="1:3" x14ac:dyDescent="0.25">
      <c r="A10" t="s">
        <v>359</v>
      </c>
      <c r="B10" s="21" t="str">
        <f t="shared" si="0"/>
        <v>2016/12/14 12:52:29.472</v>
      </c>
      <c r="C10" s="21">
        <f t="shared" si="1"/>
        <v>2.4074106477200985E-6</v>
      </c>
    </row>
    <row r="11" spans="1:3" x14ac:dyDescent="0.25">
      <c r="A11" t="s">
        <v>360</v>
      </c>
      <c r="B11" s="21" t="str">
        <f t="shared" si="0"/>
        <v>2016/12/14 13:01:15.737</v>
      </c>
      <c r="C11" s="21">
        <f t="shared" si="1"/>
        <v>6.0910300890100189E-3</v>
      </c>
    </row>
    <row r="12" spans="1:3" x14ac:dyDescent="0.25">
      <c r="A12" t="s">
        <v>361</v>
      </c>
      <c r="B12" s="21" t="str">
        <f t="shared" si="0"/>
        <v>2016/12/14 14:41:17.411</v>
      </c>
      <c r="C12" s="21">
        <f t="shared" si="1"/>
        <v>6.9463819447264541E-2</v>
      </c>
    </row>
    <row r="13" spans="1:3" x14ac:dyDescent="0.25">
      <c r="A13" t="s">
        <v>362</v>
      </c>
      <c r="B13" s="21" t="str">
        <f t="shared" si="0"/>
        <v>2016/12/14 14:41:17.754</v>
      </c>
      <c r="C13" s="21">
        <f t="shared" si="1"/>
        <v>3.9699079934507608E-6</v>
      </c>
    </row>
    <row r="14" spans="1:3" x14ac:dyDescent="0.25">
      <c r="A14" t="s">
        <v>363</v>
      </c>
      <c r="B14" s="21" t="str">
        <f t="shared" si="0"/>
        <v>2016/12/14 14:41:18.047</v>
      </c>
      <c r="C14" s="21">
        <f t="shared" si="1"/>
        <v>3.3912001526914537E-6</v>
      </c>
    </row>
    <row r="15" spans="1:3" x14ac:dyDescent="0.25">
      <c r="A15" t="s">
        <v>364</v>
      </c>
      <c r="B15" s="21" t="str">
        <f t="shared" si="0"/>
        <v>2016/12/14 14:51:33.969</v>
      </c>
      <c r="C15" s="21">
        <f t="shared" si="1"/>
        <v>7.1287268583546393E-3</v>
      </c>
    </row>
    <row r="16" spans="1:3" x14ac:dyDescent="0.25">
      <c r="A16" t="s">
        <v>365</v>
      </c>
      <c r="B16" s="21" t="str">
        <f t="shared" si="0"/>
        <v>2016/12/14 14:51:34.128</v>
      </c>
      <c r="C16" s="21">
        <f t="shared" si="1"/>
        <v>1.840271579567343E-6</v>
      </c>
    </row>
    <row r="17" spans="1:3" x14ac:dyDescent="0.25">
      <c r="A17" t="s">
        <v>366</v>
      </c>
      <c r="B17" s="21" t="str">
        <f t="shared" si="0"/>
        <v>2016/12/14 14:57:19.018</v>
      </c>
      <c r="C17" s="21">
        <f t="shared" si="1"/>
        <v>3.9917824105941691E-3</v>
      </c>
    </row>
    <row r="18" spans="1:3" x14ac:dyDescent="0.25">
      <c r="A18" t="s">
        <v>367</v>
      </c>
      <c r="B18" s="21" t="str">
        <f t="shared" si="0"/>
        <v>2016/12/14 14:57:19.968</v>
      </c>
      <c r="C18" s="21">
        <f t="shared" si="1"/>
        <v>1.099536893889308E-5</v>
      </c>
    </row>
    <row r="19" spans="1:3" x14ac:dyDescent="0.25">
      <c r="A19" t="s">
        <v>368</v>
      </c>
      <c r="B19" s="21" t="str">
        <f t="shared" si="0"/>
        <v>2016/12/14 14:57:20.091</v>
      </c>
      <c r="C19" s="21">
        <f t="shared" si="1"/>
        <v>1.4236138667911291E-6</v>
      </c>
    </row>
    <row r="20" spans="1:3" x14ac:dyDescent="0.25">
      <c r="A20" t="s">
        <v>369</v>
      </c>
      <c r="B20" s="21" t="str">
        <f t="shared" si="0"/>
        <v>2016/12/14 15:02:26.052</v>
      </c>
      <c r="C20" s="21">
        <f t="shared" si="1"/>
        <v>3.5412152792559937E-3</v>
      </c>
    </row>
    <row r="21" spans="1:3" x14ac:dyDescent="0.25">
      <c r="A21" t="s">
        <v>370</v>
      </c>
      <c r="B21" s="21" t="str">
        <f t="shared" si="0"/>
        <v>2016/12/14 15:02:26.397</v>
      </c>
      <c r="C21" s="21">
        <f t="shared" si="1"/>
        <v>3.9930528146214783E-6</v>
      </c>
    </row>
    <row r="22" spans="1:3" x14ac:dyDescent="0.25">
      <c r="A22" t="s">
        <v>371</v>
      </c>
      <c r="B22" s="21" t="str">
        <f t="shared" si="0"/>
        <v>2016/12/14 15:02:26.763</v>
      </c>
      <c r="C22" s="21">
        <f t="shared" si="1"/>
        <v>4.2361134546808898E-6</v>
      </c>
    </row>
    <row r="23" spans="1:3" x14ac:dyDescent="0.25">
      <c r="A23" t="s">
        <v>372</v>
      </c>
      <c r="B23" s="21" t="str">
        <f t="shared" si="0"/>
        <v>2016/12/14 15:33:49.866</v>
      </c>
      <c r="C23" s="21">
        <f t="shared" si="1"/>
        <v>2.179517361219041E-2</v>
      </c>
    </row>
    <row r="24" spans="1:3" x14ac:dyDescent="0.25">
      <c r="A24" t="s">
        <v>373</v>
      </c>
      <c r="B24" s="21" t="str">
        <f t="shared" si="0"/>
        <v>2016/12/14 15:38:00.008</v>
      </c>
      <c r="C24" s="21">
        <f t="shared" si="1"/>
        <v>2.8951620333828032E-3</v>
      </c>
    </row>
    <row r="25" spans="1:3" x14ac:dyDescent="0.25">
      <c r="A25" t="s">
        <v>374</v>
      </c>
      <c r="B25" s="21" t="str">
        <f t="shared" si="0"/>
        <v>2016/12/14 15:38:00.075</v>
      </c>
      <c r="C25" s="21">
        <f t="shared" si="1"/>
        <v>7.7546428656205535E-7</v>
      </c>
    </row>
    <row r="26" spans="1:3" x14ac:dyDescent="0.25">
      <c r="A26" t="s">
        <v>375</v>
      </c>
      <c r="B26" s="21" t="str">
        <f t="shared" si="0"/>
        <v>2016/12/14 15:38:00.143</v>
      </c>
      <c r="C26" s="21">
        <f t="shared" si="1"/>
        <v>7.87033059168607E-7</v>
      </c>
    </row>
    <row r="27" spans="1:3" x14ac:dyDescent="0.25">
      <c r="A27" t="s">
        <v>376</v>
      </c>
      <c r="B27" s="21" t="str">
        <f t="shared" si="0"/>
        <v>2016/12/14 16:31:06.806</v>
      </c>
      <c r="C27" s="21">
        <f t="shared" si="1"/>
        <v>3.6882673615764361E-2</v>
      </c>
    </row>
    <row r="28" spans="1:3" x14ac:dyDescent="0.25">
      <c r="A28" t="s">
        <v>377</v>
      </c>
      <c r="B28" s="21" t="str">
        <f t="shared" si="0"/>
        <v>2016/12/14 16:31:07.049</v>
      </c>
      <c r="C28" s="21">
        <f t="shared" si="1"/>
        <v>2.8124995878897607E-6</v>
      </c>
    </row>
    <row r="29" spans="1:3" x14ac:dyDescent="0.25">
      <c r="A29" t="s">
        <v>378</v>
      </c>
      <c r="B29" s="21" t="str">
        <f t="shared" si="0"/>
        <v>2016/12/14 16:31:07.416</v>
      </c>
      <c r="C29" s="21">
        <f t="shared" si="1"/>
        <v>4.2476822272874415E-6</v>
      </c>
    </row>
    <row r="30" spans="1:3" x14ac:dyDescent="0.25">
      <c r="A30" t="s">
        <v>379</v>
      </c>
      <c r="B30" s="21" t="str">
        <f t="shared" si="0"/>
        <v>2016/12/14 16:31:44.840</v>
      </c>
      <c r="C30" s="21">
        <f t="shared" si="1"/>
        <v>4.331481468398124E-4</v>
      </c>
    </row>
    <row r="31" spans="1:3" x14ac:dyDescent="0.25">
      <c r="A31" t="s">
        <v>380</v>
      </c>
      <c r="B31" s="21" t="str">
        <f t="shared" si="0"/>
        <v>2016/12/14 16:37:12.664</v>
      </c>
      <c r="C31" s="21">
        <f t="shared" si="1"/>
        <v>3.7942592607578263E-3</v>
      </c>
    </row>
    <row r="32" spans="1:3" x14ac:dyDescent="0.25">
      <c r="A32" t="s">
        <v>381</v>
      </c>
      <c r="B32" s="21" t="str">
        <f t="shared" si="0"/>
        <v>2016/12/14 16:54:03.388</v>
      </c>
      <c r="C32" s="21">
        <f t="shared" si="1"/>
        <v>1.1698194444761612E-2</v>
      </c>
    </row>
    <row r="33" spans="1:3" x14ac:dyDescent="0.25">
      <c r="A33" t="s">
        <v>382</v>
      </c>
      <c r="B33" s="21" t="str">
        <f t="shared" si="0"/>
        <v>2016/12/14 17:27:14.441</v>
      </c>
      <c r="C33" s="21">
        <f t="shared" si="1"/>
        <v>2.3044594905513804E-2</v>
      </c>
    </row>
    <row r="34" spans="1:3" x14ac:dyDescent="0.25">
      <c r="A34" t="s">
        <v>383</v>
      </c>
      <c r="B34" s="21" t="str">
        <f t="shared" si="0"/>
        <v>2016/12/14 17:27:15.071</v>
      </c>
      <c r="C34" s="21">
        <f t="shared" si="1"/>
        <v>7.2916664066724479E-6</v>
      </c>
    </row>
    <row r="35" spans="1:3" x14ac:dyDescent="0.25">
      <c r="A35" t="s">
        <v>384</v>
      </c>
      <c r="B35" s="21" t="str">
        <f t="shared" si="0"/>
        <v>2016/12/14 17:27:15.462</v>
      </c>
      <c r="C35" s="21">
        <f t="shared" si="1"/>
        <v>4.5254637370817363E-6</v>
      </c>
    </row>
    <row r="36" spans="1:3" x14ac:dyDescent="0.25">
      <c r="A36" t="s">
        <v>385</v>
      </c>
      <c r="B36" s="21" t="str">
        <f t="shared" si="0"/>
        <v>2016/12/14 17:34:00.303</v>
      </c>
      <c r="C36" s="21">
        <f t="shared" si="1"/>
        <v>4.6856597255100496E-3</v>
      </c>
    </row>
    <row r="37" spans="1:3" x14ac:dyDescent="0.25">
      <c r="A37" t="s">
        <v>386</v>
      </c>
      <c r="B37" s="21" t="str">
        <f t="shared" si="0"/>
        <v>2016/12/14 17:34:00.386</v>
      </c>
      <c r="C37" s="21">
        <f t="shared" si="1"/>
        <v>9.6064468380063772E-7</v>
      </c>
    </row>
    <row r="38" spans="1:3" x14ac:dyDescent="0.25">
      <c r="A38" t="s">
        <v>387</v>
      </c>
      <c r="B38" s="21" t="str">
        <f t="shared" si="0"/>
        <v>2016/12/14 17:34:00.993</v>
      </c>
      <c r="C38" s="21">
        <f t="shared" si="1"/>
        <v>7.0254682213999331E-6</v>
      </c>
    </row>
    <row r="39" spans="1:3" x14ac:dyDescent="0.25">
      <c r="A39" t="s">
        <v>388</v>
      </c>
      <c r="B39" s="21" t="str">
        <f t="shared" si="0"/>
        <v>2016/12/14 17:36:14.708</v>
      </c>
      <c r="C39" s="21">
        <f t="shared" si="1"/>
        <v>1.5476273110834882E-3</v>
      </c>
    </row>
    <row r="40" spans="1:3" x14ac:dyDescent="0.25">
      <c r="A40" t="s">
        <v>389</v>
      </c>
      <c r="B40" s="21" t="str">
        <f t="shared" si="0"/>
        <v>2016/12/14 17:36:14.845</v>
      </c>
      <c r="C40" s="21">
        <f t="shared" si="1"/>
        <v>1.585649442858994E-6</v>
      </c>
    </row>
    <row r="41" spans="1:3" x14ac:dyDescent="0.25">
      <c r="A41" t="s">
        <v>390</v>
      </c>
      <c r="B41" s="21" t="str">
        <f t="shared" si="0"/>
        <v>2016/12/14 17:52:35.665</v>
      </c>
      <c r="C41" s="21">
        <f t="shared" si="1"/>
        <v>1.1352083332894836E-2</v>
      </c>
    </row>
    <row r="42" spans="1:3" x14ac:dyDescent="0.25">
      <c r="A42" t="s">
        <v>391</v>
      </c>
      <c r="B42" s="21" t="str">
        <f t="shared" si="0"/>
        <v>2016/12/14 17:52:36.716</v>
      </c>
      <c r="C42" s="21">
        <f t="shared" si="1"/>
        <v>1.2164353393018246E-5</v>
      </c>
    </row>
    <row r="43" spans="1:3" x14ac:dyDescent="0.25">
      <c r="A43" t="s">
        <v>392</v>
      </c>
      <c r="B43" s="21" t="str">
        <f t="shared" si="0"/>
        <v>2016/12/14 18:01:02.988</v>
      </c>
      <c r="C43" s="21">
        <f t="shared" si="1"/>
        <v>5.859629629412666E-3</v>
      </c>
    </row>
    <row r="44" spans="1:3" x14ac:dyDescent="0.25">
      <c r="A44" t="s">
        <v>393</v>
      </c>
      <c r="B44" s="21" t="str">
        <f t="shared" si="0"/>
        <v>2016/12/14 18:01:03.161</v>
      </c>
      <c r="C44" s="21">
        <f t="shared" si="1"/>
        <v>2.0023144315928221E-6</v>
      </c>
    </row>
    <row r="45" spans="1:3" x14ac:dyDescent="0.25">
      <c r="A45" t="s">
        <v>394</v>
      </c>
      <c r="B45" s="21" t="str">
        <f t="shared" si="0"/>
        <v>2016/12/14 18:01:03.821</v>
      </c>
      <c r="C45" s="21">
        <f t="shared" si="1"/>
        <v>7.6388896559365094E-6</v>
      </c>
    </row>
    <row r="46" spans="1:3" x14ac:dyDescent="0.25">
      <c r="A46" t="s">
        <v>395</v>
      </c>
      <c r="B46" s="21" t="str">
        <f t="shared" si="0"/>
        <v>2016/12/14 18:08:47.821</v>
      </c>
      <c r="C46" s="21">
        <f t="shared" si="1"/>
        <v>5.3703703670180403E-3</v>
      </c>
    </row>
    <row r="47" spans="1:3" x14ac:dyDescent="0.25">
      <c r="A47" t="s">
        <v>396</v>
      </c>
      <c r="B47" s="21" t="str">
        <f t="shared" si="0"/>
        <v>2016/12/14 18:08:47.981</v>
      </c>
      <c r="C47" s="21">
        <f t="shared" si="1"/>
        <v>1.851854904089123E-6</v>
      </c>
    </row>
    <row r="48" spans="1:3" x14ac:dyDescent="0.25">
      <c r="A48" t="s">
        <v>397</v>
      </c>
      <c r="B48" s="21" t="str">
        <f t="shared" si="0"/>
        <v>2016/12/14 18:08:48.151</v>
      </c>
      <c r="C48" s="21">
        <f t="shared" si="1"/>
        <v>1.9675935618579388E-6</v>
      </c>
    </row>
    <row r="49" spans="1:3" x14ac:dyDescent="0.25">
      <c r="A49" t="s">
        <v>398</v>
      </c>
      <c r="B49" s="21" t="str">
        <f t="shared" si="0"/>
        <v>2016/12/14 18:49:32.997</v>
      </c>
      <c r="C49" s="21">
        <f t="shared" si="1"/>
        <v>2.8296828699239995E-2</v>
      </c>
    </row>
    <row r="50" spans="1:3" x14ac:dyDescent="0.25">
      <c r="A50" t="s">
        <v>399</v>
      </c>
      <c r="B50" s="21" t="str">
        <f t="shared" si="0"/>
        <v>2016/12/14 18:51:08.610</v>
      </c>
      <c r="C50" s="21">
        <f t="shared" si="1"/>
        <v>1.10663194936933E-3</v>
      </c>
    </row>
    <row r="51" spans="1:3" x14ac:dyDescent="0.25">
      <c r="A51" t="s">
        <v>400</v>
      </c>
      <c r="B51" s="21" t="str">
        <f t="shared" si="0"/>
        <v>2016/12/14 18:53:47.083</v>
      </c>
      <c r="C51" s="21">
        <f t="shared" si="1"/>
        <v>1.8341782415518537E-3</v>
      </c>
    </row>
    <row r="52" spans="1:3" x14ac:dyDescent="0.25">
      <c r="A52" t="s">
        <v>401</v>
      </c>
      <c r="B52" s="21" t="str">
        <f t="shared" si="0"/>
        <v>2016/12/14 18:53:47.432</v>
      </c>
      <c r="C52" s="21">
        <f t="shared" si="1"/>
        <v>4.0393497329205275E-6</v>
      </c>
    </row>
    <row r="53" spans="1:3" x14ac:dyDescent="0.25">
      <c r="A53" t="s">
        <v>402</v>
      </c>
      <c r="B53" s="21" t="str">
        <f t="shared" ref="B53:B80" si="2">MID(A53,6,23)</f>
        <v>2016/12/14 18:53:47.463</v>
      </c>
      <c r="C53" s="21">
        <f t="shared" ref="C53:C80" si="3">ABS(B53-B52)</f>
        <v>3.587920218706131E-7</v>
      </c>
    </row>
    <row r="54" spans="1:3" x14ac:dyDescent="0.25">
      <c r="A54" t="s">
        <v>403</v>
      </c>
      <c r="B54" s="21" t="str">
        <f t="shared" si="2"/>
        <v>2016/12/14 18:56:13.431</v>
      </c>
      <c r="C54" s="21">
        <f t="shared" si="3"/>
        <v>1.6894444488571025E-3</v>
      </c>
    </row>
    <row r="55" spans="1:3" x14ac:dyDescent="0.25">
      <c r="A55" t="s">
        <v>404</v>
      </c>
      <c r="B55" s="21" t="str">
        <f t="shared" si="2"/>
        <v>2016/12/14 19:04:10.481</v>
      </c>
      <c r="C55" s="21">
        <f t="shared" si="3"/>
        <v>5.5214120366144925E-3</v>
      </c>
    </row>
    <row r="56" spans="1:3" x14ac:dyDescent="0.25">
      <c r="A56" t="s">
        <v>405</v>
      </c>
      <c r="B56" s="21" t="str">
        <f t="shared" si="2"/>
        <v>2016/12/14 19:20:19.060</v>
      </c>
      <c r="C56" s="21">
        <f t="shared" si="3"/>
        <v>1.1210405093152076E-2</v>
      </c>
    </row>
    <row r="57" spans="1:3" x14ac:dyDescent="0.25">
      <c r="A57" t="s">
        <v>406</v>
      </c>
      <c r="B57" s="21" t="str">
        <f t="shared" si="2"/>
        <v>2016/12/14 19:20:19.434</v>
      </c>
      <c r="C57" s="21">
        <f t="shared" si="3"/>
        <v>4.3287000153213739E-6</v>
      </c>
    </row>
    <row r="58" spans="1:3" x14ac:dyDescent="0.25">
      <c r="A58" t="s">
        <v>407</v>
      </c>
      <c r="B58" s="21" t="str">
        <f t="shared" si="2"/>
        <v>2016/12/14 19:20:21.373</v>
      </c>
      <c r="C58" s="21">
        <f t="shared" si="3"/>
        <v>2.2442131012212485E-5</v>
      </c>
    </row>
    <row r="59" spans="1:3" x14ac:dyDescent="0.25">
      <c r="A59" t="s">
        <v>408</v>
      </c>
      <c r="B59" s="21" t="str">
        <f t="shared" si="2"/>
        <v>2016/12/14 19:26:14.284</v>
      </c>
      <c r="C59" s="21">
        <f t="shared" si="3"/>
        <v>4.0846180563676171E-3</v>
      </c>
    </row>
    <row r="60" spans="1:3" x14ac:dyDescent="0.25">
      <c r="A60" t="s">
        <v>409</v>
      </c>
      <c r="B60" s="21" t="str">
        <f t="shared" si="2"/>
        <v>2016/12/14 19:26:14.954</v>
      </c>
      <c r="C60" s="21">
        <f t="shared" si="3"/>
        <v>7.7546283137053251E-6</v>
      </c>
    </row>
    <row r="61" spans="1:3" x14ac:dyDescent="0.25">
      <c r="A61" t="s">
        <v>410</v>
      </c>
      <c r="B61" s="21" t="str">
        <f t="shared" si="2"/>
        <v>2016/12/14 19:26:15.397</v>
      </c>
      <c r="C61" s="21">
        <f t="shared" si="3"/>
        <v>5.127316399011761E-6</v>
      </c>
    </row>
    <row r="62" spans="1:3" x14ac:dyDescent="0.25">
      <c r="A62" t="s">
        <v>411</v>
      </c>
      <c r="B62" s="21" t="str">
        <f t="shared" si="2"/>
        <v>2016/12/14 19:27:45.954</v>
      </c>
      <c r="C62" s="21">
        <f t="shared" si="3"/>
        <v>1.0481134231667966E-3</v>
      </c>
    </row>
    <row r="63" spans="1:3" x14ac:dyDescent="0.25">
      <c r="A63" t="s">
        <v>412</v>
      </c>
      <c r="B63" s="21" t="str">
        <f t="shared" si="2"/>
        <v>2016/12/14 19:27:46.275</v>
      </c>
      <c r="C63" s="21">
        <f t="shared" si="3"/>
        <v>3.7152785807847977E-6</v>
      </c>
    </row>
    <row r="64" spans="1:3" x14ac:dyDescent="0.25">
      <c r="A64" t="s">
        <v>413</v>
      </c>
      <c r="B64" s="21" t="str">
        <f t="shared" si="2"/>
        <v>2016/12/14 19:27:46.397</v>
      </c>
      <c r="C64" s="21">
        <f t="shared" si="3"/>
        <v>1.4120378182269633E-6</v>
      </c>
    </row>
    <row r="65" spans="1:3" x14ac:dyDescent="0.25">
      <c r="A65" t="s">
        <v>414</v>
      </c>
      <c r="B65" s="21" t="str">
        <f t="shared" si="2"/>
        <v>2016/12/14 20:03:30.075</v>
      </c>
      <c r="C65" s="21">
        <f t="shared" si="3"/>
        <v>2.481108796200715E-2</v>
      </c>
    </row>
    <row r="66" spans="1:3" x14ac:dyDescent="0.25">
      <c r="A66" t="s">
        <v>415</v>
      </c>
      <c r="B66" s="21" t="str">
        <f t="shared" si="2"/>
        <v>2016/12/14 20:03:34.474</v>
      </c>
      <c r="C66" s="21">
        <f t="shared" si="3"/>
        <v>5.0914350140374154E-5</v>
      </c>
    </row>
    <row r="67" spans="1:3" x14ac:dyDescent="0.25">
      <c r="A67" t="s">
        <v>416</v>
      </c>
      <c r="B67" s="21" t="str">
        <f t="shared" si="2"/>
        <v>2016/12/14 20:03:34.634</v>
      </c>
      <c r="C67" s="21">
        <f t="shared" si="3"/>
        <v>1.851854904089123E-6</v>
      </c>
    </row>
    <row r="68" spans="1:3" x14ac:dyDescent="0.25">
      <c r="A68" t="s">
        <v>417</v>
      </c>
      <c r="B68" s="21" t="str">
        <f t="shared" si="2"/>
        <v>2016/12/14 21:05:09.276</v>
      </c>
      <c r="C68" s="21">
        <f t="shared" si="3"/>
        <v>4.2762060184031725E-2</v>
      </c>
    </row>
    <row r="69" spans="1:3" x14ac:dyDescent="0.25">
      <c r="A69" t="s">
        <v>418</v>
      </c>
      <c r="B69" s="21" t="str">
        <f t="shared" si="2"/>
        <v>2016/12/14 21:48:54.478</v>
      </c>
      <c r="C69" s="21">
        <f t="shared" si="3"/>
        <v>3.0384282406885177E-2</v>
      </c>
    </row>
    <row r="70" spans="1:3" x14ac:dyDescent="0.25">
      <c r="A70" t="s">
        <v>419</v>
      </c>
      <c r="B70" s="21" t="str">
        <f t="shared" si="2"/>
        <v>2016/12/14 21:48:54.641</v>
      </c>
      <c r="C70" s="21">
        <f t="shared" si="3"/>
        <v>1.8865757738240063E-6</v>
      </c>
    </row>
    <row r="71" spans="1:3" x14ac:dyDescent="0.25">
      <c r="A71" t="s">
        <v>420</v>
      </c>
      <c r="B71" s="21" t="str">
        <f t="shared" si="2"/>
        <v>2016/12/14 21:48:55.069</v>
      </c>
      <c r="C71" s="21">
        <f t="shared" si="3"/>
        <v>4.9537047743797302E-6</v>
      </c>
    </row>
    <row r="72" spans="1:3" x14ac:dyDescent="0.25">
      <c r="A72" t="s">
        <v>421</v>
      </c>
      <c r="B72" s="21" t="str">
        <f t="shared" si="2"/>
        <v>2016/12/14 22:48:51.273</v>
      </c>
      <c r="C72" s="21">
        <f t="shared" si="3"/>
        <v>4.1622731478128117E-2</v>
      </c>
    </row>
    <row r="73" spans="1:3" x14ac:dyDescent="0.25">
      <c r="A73" t="s">
        <v>422</v>
      </c>
      <c r="B73" s="21" t="str">
        <f t="shared" si="2"/>
        <v>2016/12/14 22:48:51.958</v>
      </c>
      <c r="C73" s="21">
        <f t="shared" si="3"/>
        <v>7.9282399383373559E-6</v>
      </c>
    </row>
    <row r="74" spans="1:3" x14ac:dyDescent="0.25">
      <c r="A74" t="s">
        <v>423</v>
      </c>
      <c r="B74" s="21" t="str">
        <f t="shared" si="2"/>
        <v>2016/12/14 22:48:52.396</v>
      </c>
      <c r="C74" s="21">
        <f t="shared" si="3"/>
        <v>5.0694507081061602E-6</v>
      </c>
    </row>
    <row r="75" spans="1:3" x14ac:dyDescent="0.25">
      <c r="A75" t="s">
        <v>424</v>
      </c>
      <c r="B75" s="21" t="str">
        <f t="shared" si="2"/>
        <v>2016/12/14 23:41:59.135</v>
      </c>
      <c r="C75" s="21">
        <f t="shared" si="3"/>
        <v>3.688355323538417E-2</v>
      </c>
    </row>
    <row r="76" spans="1:3" x14ac:dyDescent="0.25">
      <c r="A76" t="s">
        <v>425</v>
      </c>
      <c r="B76" s="21" t="str">
        <f t="shared" si="2"/>
        <v>2016/12/14 23:41:59.475</v>
      </c>
      <c r="C76" s="21">
        <f t="shared" si="3"/>
        <v>3.9351871237158775E-6</v>
      </c>
    </row>
    <row r="77" spans="1:3" x14ac:dyDescent="0.25">
      <c r="A77" t="s">
        <v>426</v>
      </c>
      <c r="B77" s="21" t="str">
        <f t="shared" si="2"/>
        <v>2016/12/14 23:42:01.118</v>
      </c>
      <c r="C77" s="21">
        <f t="shared" si="3"/>
        <v>1.9016202713828534E-5</v>
      </c>
    </row>
    <row r="78" spans="1:3" x14ac:dyDescent="0.25">
      <c r="A78" t="s">
        <v>427</v>
      </c>
      <c r="B78" s="21" t="str">
        <f t="shared" si="2"/>
        <v>2016/12/14 23:42:41.456</v>
      </c>
      <c r="C78" s="21">
        <f t="shared" si="3"/>
        <v>4.6687500434927642E-4</v>
      </c>
    </row>
    <row r="79" spans="1:3" x14ac:dyDescent="0.25">
      <c r="A79" t="s">
        <v>428</v>
      </c>
      <c r="B79" s="21" t="str">
        <f t="shared" si="2"/>
        <v>2016/12/14 23:42:42.111</v>
      </c>
      <c r="C79" s="21">
        <f t="shared" si="3"/>
        <v>7.5810166890732944E-6</v>
      </c>
    </row>
    <row r="80" spans="1:3" x14ac:dyDescent="0.25">
      <c r="A80" t="s">
        <v>429</v>
      </c>
      <c r="B80" s="21" t="str">
        <f t="shared" si="2"/>
        <v>2016/12/14 23:42:42.124</v>
      </c>
      <c r="C80" s="21">
        <f t="shared" si="3"/>
        <v>1.5045952750369906E-7</v>
      </c>
    </row>
    <row r="81" spans="1:3" x14ac:dyDescent="0.25">
      <c r="A81" t="s">
        <v>430</v>
      </c>
      <c r="B81" s="21" t="str">
        <f t="shared" ref="B81:B85" si="4">MID(A81,6,23)</f>
        <v>2016/12/14 23:51:34.620</v>
      </c>
      <c r="C81" s="21">
        <f t="shared" ref="C81:C85" si="5">ABS(B81-B80)</f>
        <v>6.1631481512449682E-3</v>
      </c>
    </row>
    <row r="82" spans="1:3" x14ac:dyDescent="0.25">
      <c r="A82" t="s">
        <v>431</v>
      </c>
      <c r="B82" s="21" t="str">
        <f t="shared" si="4"/>
        <v>2016/12/14 23:52:14.619</v>
      </c>
      <c r="C82" s="21">
        <f t="shared" si="5"/>
        <v>4.629513859981671E-4</v>
      </c>
    </row>
    <row r="83" spans="1:3" x14ac:dyDescent="0.25">
      <c r="A83" t="s">
        <v>432</v>
      </c>
      <c r="B83" s="21" t="str">
        <f t="shared" si="4"/>
        <v>2016/12/15 00:19:51.666</v>
      </c>
      <c r="C83" s="21">
        <f t="shared" si="5"/>
        <v>1.9178784721589182E-2</v>
      </c>
    </row>
    <row r="84" spans="1:3" x14ac:dyDescent="0.25">
      <c r="A84" t="s">
        <v>433</v>
      </c>
      <c r="B84" s="21" t="str">
        <f t="shared" si="4"/>
        <v>2016/12/15 00:19:51.712</v>
      </c>
      <c r="C84" s="21">
        <f t="shared" si="5"/>
        <v>5.3241092246025801E-7</v>
      </c>
    </row>
    <row r="85" spans="1:3" x14ac:dyDescent="0.25">
      <c r="A85" t="s">
        <v>434</v>
      </c>
      <c r="B85" s="21" t="str">
        <f t="shared" si="4"/>
        <v>2016/12/15 00:19:52.465</v>
      </c>
      <c r="C85" s="21">
        <f t="shared" si="5"/>
        <v>8.715280273463577E-6</v>
      </c>
    </row>
    <row r="86" spans="1:3" x14ac:dyDescent="0.25">
      <c r="A86" t="s">
        <v>435</v>
      </c>
      <c r="B86" s="21" t="str">
        <f t="shared" ref="B86:B111" si="6">MID(A86,6,23)</f>
        <v>2016/12/15 01:03:25.592</v>
      </c>
      <c r="C86" s="21">
        <f t="shared" ref="C86:C111" si="7">ABS(B86-B85)</f>
        <v>3.0244525456510019E-2</v>
      </c>
    </row>
    <row r="87" spans="1:3" x14ac:dyDescent="0.25">
      <c r="A87" t="s">
        <v>436</v>
      </c>
      <c r="B87" s="21" t="str">
        <f t="shared" si="6"/>
        <v>2016/12/15 01:03:25.882</v>
      </c>
      <c r="C87" s="21">
        <f t="shared" si="7"/>
        <v>3.3564865589141846E-6</v>
      </c>
    </row>
    <row r="88" spans="1:3" x14ac:dyDescent="0.25">
      <c r="A88" t="s">
        <v>437</v>
      </c>
      <c r="B88" s="21" t="str">
        <f t="shared" si="6"/>
        <v>2016/12/15 01:03:26.126</v>
      </c>
      <c r="C88" s="21">
        <f t="shared" si="7"/>
        <v>2.8240756364539266E-6</v>
      </c>
    </row>
    <row r="89" spans="1:3" x14ac:dyDescent="0.25">
      <c r="A89" t="s">
        <v>438</v>
      </c>
      <c r="B89" s="21" t="str">
        <f t="shared" si="6"/>
        <v>2016/12/15 02:06:46.998</v>
      </c>
      <c r="C89" s="21">
        <f t="shared" si="7"/>
        <v>4.3991574071696959E-2</v>
      </c>
    </row>
    <row r="90" spans="1:3" x14ac:dyDescent="0.25">
      <c r="A90" t="s">
        <v>439</v>
      </c>
      <c r="B90" s="21" t="str">
        <f t="shared" si="6"/>
        <v>2016/12/15 02:33:01.023</v>
      </c>
      <c r="C90" s="21">
        <f t="shared" si="7"/>
        <v>1.8217881945020054E-2</v>
      </c>
    </row>
    <row r="91" spans="1:3" x14ac:dyDescent="0.25">
      <c r="A91" t="s">
        <v>440</v>
      </c>
      <c r="B91" s="21" t="str">
        <f t="shared" si="6"/>
        <v>2016/12/15 02:48:08.893</v>
      </c>
      <c r="C91" s="21">
        <f t="shared" si="7"/>
        <v>1.0507754624995869E-2</v>
      </c>
    </row>
    <row r="92" spans="1:3" x14ac:dyDescent="0.25">
      <c r="A92" t="s">
        <v>441</v>
      </c>
      <c r="B92" s="21" t="str">
        <f t="shared" si="6"/>
        <v>2016/12/15 02:48:09.133</v>
      </c>
      <c r="C92" s="21">
        <f t="shared" si="7"/>
        <v>2.7777787181548774E-6</v>
      </c>
    </row>
    <row r="93" spans="1:3" x14ac:dyDescent="0.25">
      <c r="A93" t="s">
        <v>442</v>
      </c>
      <c r="B93" s="21" t="str">
        <f t="shared" si="6"/>
        <v>2016/12/15 02:48:09.600</v>
      </c>
      <c r="C93" s="21">
        <f t="shared" si="7"/>
        <v>5.4050979088060558E-6</v>
      </c>
    </row>
    <row r="94" spans="1:3" x14ac:dyDescent="0.25">
      <c r="A94" t="s">
        <v>443</v>
      </c>
      <c r="B94" s="21" t="str">
        <f t="shared" si="6"/>
        <v>2016/12/15 03:33:30.993</v>
      </c>
      <c r="C94" s="21">
        <f t="shared" si="7"/>
        <v>3.1497604162723292E-2</v>
      </c>
    </row>
    <row r="95" spans="1:3" x14ac:dyDescent="0.25">
      <c r="A95" t="s">
        <v>444</v>
      </c>
      <c r="B95" s="21" t="str">
        <f t="shared" si="6"/>
        <v>2016/12/15 03:33:31.394</v>
      </c>
      <c r="C95" s="21">
        <f t="shared" si="7"/>
        <v>4.6412023948505521E-6</v>
      </c>
    </row>
    <row r="96" spans="1:3" x14ac:dyDescent="0.25">
      <c r="A96" t="s">
        <v>445</v>
      </c>
      <c r="B96" s="21" t="str">
        <f t="shared" si="6"/>
        <v>2016/12/15 03:55:06.113</v>
      </c>
      <c r="C96" s="21">
        <f t="shared" si="7"/>
        <v>1.4985173613240477E-2</v>
      </c>
    </row>
    <row r="97" spans="1:3" x14ac:dyDescent="0.25">
      <c r="A97" t="s">
        <v>446</v>
      </c>
      <c r="B97" s="21" t="str">
        <f t="shared" si="6"/>
        <v>2016/12/15 03:55:06.458</v>
      </c>
      <c r="C97" s="21">
        <f t="shared" si="7"/>
        <v>3.9930528146214783E-6</v>
      </c>
    </row>
    <row r="98" spans="1:3" x14ac:dyDescent="0.25">
      <c r="A98" t="s">
        <v>447</v>
      </c>
      <c r="B98" s="21" t="str">
        <f t="shared" si="6"/>
        <v>2016/12/15 04:10:06.205</v>
      </c>
      <c r="C98" s="21">
        <f t="shared" si="7"/>
        <v>1.0413738425995689E-2</v>
      </c>
    </row>
    <row r="99" spans="1:3" x14ac:dyDescent="0.25">
      <c r="A99" t="s">
        <v>448</v>
      </c>
      <c r="B99" s="21" t="str">
        <f t="shared" si="6"/>
        <v>2016/12/15 04:10:06.428</v>
      </c>
      <c r="C99" s="21">
        <f t="shared" si="7"/>
        <v>2.5810222723521292E-6</v>
      </c>
    </row>
    <row r="100" spans="1:3" x14ac:dyDescent="0.25">
      <c r="A100" t="s">
        <v>449</v>
      </c>
      <c r="B100" s="21" t="str">
        <f t="shared" si="6"/>
        <v>2016/12/15 04:36:28.698</v>
      </c>
      <c r="C100" s="21">
        <f t="shared" si="7"/>
        <v>1.831331018183846E-2</v>
      </c>
    </row>
    <row r="101" spans="1:3" x14ac:dyDescent="0.25">
      <c r="A101" t="s">
        <v>450</v>
      </c>
      <c r="B101" s="21" t="str">
        <f t="shared" si="6"/>
        <v>2016/12/15 04:36:28.792</v>
      </c>
      <c r="C101" s="21">
        <f t="shared" si="7"/>
        <v>1.0879666660912335E-6</v>
      </c>
    </row>
    <row r="102" spans="1:3" x14ac:dyDescent="0.25">
      <c r="A102" t="s">
        <v>451</v>
      </c>
      <c r="B102" s="21" t="str">
        <f t="shared" si="6"/>
        <v>2016/12/15 04:36:28.835</v>
      </c>
      <c r="C102" s="21">
        <f t="shared" si="7"/>
        <v>4.9768277676776052E-7</v>
      </c>
    </row>
    <row r="103" spans="1:3" x14ac:dyDescent="0.25">
      <c r="A103" t="s">
        <v>452</v>
      </c>
      <c r="B103" s="21" t="str">
        <f t="shared" si="6"/>
        <v>2016/12/15 05:30:06.715</v>
      </c>
      <c r="C103" s="21">
        <f t="shared" si="7"/>
        <v>3.7243981481879018E-2</v>
      </c>
    </row>
    <row r="104" spans="1:3" x14ac:dyDescent="0.25">
      <c r="A104" t="s">
        <v>453</v>
      </c>
      <c r="B104" s="21" t="str">
        <f t="shared" si="6"/>
        <v>2016/12/15 05:30:06.807</v>
      </c>
      <c r="C104" s="21">
        <f t="shared" si="7"/>
        <v>1.0648145689629018E-6</v>
      </c>
    </row>
    <row r="105" spans="1:3" x14ac:dyDescent="0.25">
      <c r="A105" t="s">
        <v>454</v>
      </c>
      <c r="B105" s="21" t="str">
        <f t="shared" si="6"/>
        <v>2016/12/15 05:30:06.852</v>
      </c>
      <c r="C105" s="21">
        <f t="shared" si="7"/>
        <v>5.2083487389609218E-7</v>
      </c>
    </row>
    <row r="106" spans="1:3" x14ac:dyDescent="0.25">
      <c r="A106" t="s">
        <v>455</v>
      </c>
      <c r="B106" s="21" t="str">
        <f t="shared" si="6"/>
        <v>2016/12/15 06:29:05.594</v>
      </c>
      <c r="C106" s="21">
        <f t="shared" si="7"/>
        <v>4.0957662036817055E-2</v>
      </c>
    </row>
    <row r="107" spans="1:3" x14ac:dyDescent="0.25">
      <c r="A107" t="s">
        <v>456</v>
      </c>
      <c r="B107" s="21" t="str">
        <f t="shared" si="6"/>
        <v>2016/12/15 06:29:05.877</v>
      </c>
      <c r="C107" s="21">
        <f t="shared" si="7"/>
        <v>3.2754614949226379E-6</v>
      </c>
    </row>
    <row r="108" spans="1:3" x14ac:dyDescent="0.25">
      <c r="A108" t="s">
        <v>457</v>
      </c>
      <c r="B108" s="21" t="str">
        <f t="shared" si="6"/>
        <v>2016/12/15 06:29:06.133</v>
      </c>
      <c r="C108" s="21">
        <f t="shared" si="7"/>
        <v>2.962966391351074E-6</v>
      </c>
    </row>
    <row r="109" spans="1:3" x14ac:dyDescent="0.25">
      <c r="A109" t="s">
        <v>458</v>
      </c>
      <c r="B109" s="21" t="str">
        <f t="shared" si="6"/>
        <v>2016/12/15 08:03:31.211</v>
      </c>
      <c r="C109" s="21">
        <f t="shared" si="7"/>
        <v>6.5568032405280974E-2</v>
      </c>
    </row>
    <row r="110" spans="1:3" x14ac:dyDescent="0.25">
      <c r="A110" t="s">
        <v>459</v>
      </c>
      <c r="B110" s="21" t="str">
        <f t="shared" si="6"/>
        <v>2016/12/15 08:03:31.442</v>
      </c>
      <c r="C110" s="21">
        <f t="shared" si="7"/>
        <v>2.6736088329926133E-6</v>
      </c>
    </row>
    <row r="111" spans="1:3" x14ac:dyDescent="0.25">
      <c r="A111" t="s">
        <v>460</v>
      </c>
      <c r="B111" s="21" t="str">
        <f t="shared" si="6"/>
        <v>2016/12/15 08:03:32.067</v>
      </c>
      <c r="C111" s="21">
        <f t="shared" si="7"/>
        <v>7.2338007157668471E-6</v>
      </c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2016-12-20T16:39:10Z</dcterms:modified>
</cp:coreProperties>
</file>