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Enforcements!$A$6:$AC$36</definedName>
    <definedName name="_xlnm._FilterDatabase" localSheetId="2" hidden="1">'Missing Trips'!$A$2:$J$131</definedName>
    <definedName name="_xlnm._FilterDatabase" localSheetId="0" hidden="1">'Train Runs'!$A$12:$AG$240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4" i="1" l="1"/>
  <c r="P154" i="1"/>
  <c r="X160" i="1" l="1"/>
  <c r="X161" i="1"/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T15" i="1"/>
  <c r="V15" i="1"/>
  <c r="Y15" i="1"/>
  <c r="AA15" i="1" s="1"/>
  <c r="Z15" i="1"/>
  <c r="AB15" i="1"/>
  <c r="AC15" i="1"/>
  <c r="AD15" i="1"/>
  <c r="AG15" i="1" s="1"/>
  <c r="AE15" i="1"/>
  <c r="AF15" i="1"/>
  <c r="AH15" i="1"/>
  <c r="AI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X16" i="1" s="1"/>
  <c r="AE16" i="1"/>
  <c r="AF16" i="1"/>
  <c r="AG16" i="1"/>
  <c r="AI16" i="1" s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AA24" i="1" s="1"/>
  <c r="W24" i="1" s="1"/>
  <c r="Z24" i="1"/>
  <c r="AB24" i="1"/>
  <c r="AC24" i="1"/>
  <c r="AD24" i="1"/>
  <c r="T24" i="1" s="1"/>
  <c r="AE24" i="1"/>
  <c r="AF24" i="1"/>
  <c r="AG24" i="1"/>
  <c r="AH24" i="1"/>
  <c r="AI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AA36" i="1" s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G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G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/>
  <c r="V50" i="1"/>
  <c r="Y50" i="1"/>
  <c r="AA50" i="1" s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AI51" i="1"/>
  <c r="AM51" i="1"/>
  <c r="AN51" i="1"/>
  <c r="K52" i="1"/>
  <c r="L52" i="1"/>
  <c r="M52" i="1"/>
  <c r="N52" i="1"/>
  <c r="V52" i="1"/>
  <c r="Y52" i="1"/>
  <c r="AA52" i="1" s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G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AA57" i="1" s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/>
  <c r="V59" i="1"/>
  <c r="Y59" i="1"/>
  <c r="AA59" i="1" s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/>
  <c r="V67" i="1"/>
  <c r="Y67" i="1"/>
  <c r="AA67" i="1" s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R11" i="3" s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/>
  <c r="V76" i="1"/>
  <c r="Y76" i="1"/>
  <c r="AA76" i="1" s="1"/>
  <c r="W76" i="1" s="1"/>
  <c r="Z76" i="1"/>
  <c r="AB76" i="1"/>
  <c r="AC76" i="1"/>
  <c r="AD76" i="1"/>
  <c r="AG76" i="1" s="1"/>
  <c r="AE76" i="1"/>
  <c r="AF76" i="1"/>
  <c r="AH76" i="1"/>
  <c r="AI76" i="1"/>
  <c r="AM76" i="1"/>
  <c r="AN76" i="1"/>
  <c r="K77" i="1"/>
  <c r="L77" i="1"/>
  <c r="M77" i="1"/>
  <c r="N77" i="1" s="1"/>
  <c r="V77" i="1"/>
  <c r="Y77" i="1"/>
  <c r="AA77" i="1" s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10" i="3" s="1"/>
  <c r="Y79" i="1"/>
  <c r="Z79" i="1"/>
  <c r="AB79" i="1"/>
  <c r="AC79" i="1"/>
  <c r="AD79" i="1"/>
  <c r="AG79" i="1" s="1"/>
  <c r="AI79" i="1" s="1"/>
  <c r="AE79" i="1"/>
  <c r="AF79" i="1"/>
  <c r="AH79" i="1"/>
  <c r="AM79" i="1"/>
  <c r="AN79" i="1"/>
  <c r="K80" i="1"/>
  <c r="L80" i="1"/>
  <c r="M80" i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AA82" i="1" s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P93" i="1" s="1"/>
  <c r="V93" i="1"/>
  <c r="Y93" i="1"/>
  <c r="Z93" i="1"/>
  <c r="AA93" i="1" s="1"/>
  <c r="AB93" i="1"/>
  <c r="AC93" i="1"/>
  <c r="AD93" i="1"/>
  <c r="T93" i="1" s="1"/>
  <c r="AE93" i="1"/>
  <c r="AF93" i="1"/>
  <c r="AG93" i="1"/>
  <c r="AH93" i="1"/>
  <c r="AM93" i="1"/>
  <c r="AN93" i="1"/>
  <c r="K94" i="1"/>
  <c r="L94" i="1"/>
  <c r="M94" i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5" i="1"/>
  <c r="AM95" i="1"/>
  <c r="AN9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6" i="1"/>
  <c r="AM96" i="1"/>
  <c r="AN96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97" i="1"/>
  <c r="AM97" i="1"/>
  <c r="AN97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98" i="1"/>
  <c r="AM98" i="1"/>
  <c r="AN98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99" i="1"/>
  <c r="AM99" i="1"/>
  <c r="AN99" i="1"/>
  <c r="K165" i="1"/>
  <c r="L165" i="1"/>
  <c r="M165" i="1"/>
  <c r="N165" i="1" s="1"/>
  <c r="T165" i="1"/>
  <c r="V165" i="1"/>
  <c r="X165" i="1"/>
  <c r="Y165" i="1"/>
  <c r="Z165" i="1"/>
  <c r="AA165" i="1" s="1"/>
  <c r="AB165" i="1"/>
  <c r="AC165" i="1"/>
  <c r="AD165" i="1"/>
  <c r="AE165" i="1"/>
  <c r="AF165" i="1"/>
  <c r="AG165" i="1"/>
  <c r="AH100" i="1"/>
  <c r="AM100" i="1"/>
  <c r="AN10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1" i="1"/>
  <c r="AM101" i="1"/>
  <c r="AN101" i="1"/>
  <c r="K167" i="1"/>
  <c r="L167" i="1"/>
  <c r="M167" i="1"/>
  <c r="N167" i="1"/>
  <c r="V167" i="1"/>
  <c r="Y167" i="1"/>
  <c r="Z167" i="1"/>
  <c r="AB167" i="1"/>
  <c r="AC167" i="1"/>
  <c r="AD167" i="1"/>
  <c r="AG167" i="1" s="1"/>
  <c r="AE167" i="1"/>
  <c r="AF167" i="1"/>
  <c r="AH102" i="1"/>
  <c r="AM102" i="1"/>
  <c r="AN102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R21" i="3" s="1"/>
  <c r="AF168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G95" i="1"/>
  <c r="AH105" i="1"/>
  <c r="AM105" i="1"/>
  <c r="AN105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6" i="1"/>
  <c r="AM106" i="1"/>
  <c r="AN106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7" i="1"/>
  <c r="AM107" i="1"/>
  <c r="AN107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8" i="1"/>
  <c r="AM108" i="1"/>
  <c r="AN108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09" i="1"/>
  <c r="AM109" i="1"/>
  <c r="AN109" i="1"/>
  <c r="K174" i="1"/>
  <c r="L174" i="1"/>
  <c r="M174" i="1"/>
  <c r="N174" i="1" s="1"/>
  <c r="V174" i="1"/>
  <c r="Y174" i="1"/>
  <c r="Z174" i="1"/>
  <c r="AA174" i="1" s="1"/>
  <c r="W174" i="1" s="1"/>
  <c r="AB174" i="1"/>
  <c r="AC174" i="1"/>
  <c r="AD174" i="1"/>
  <c r="AG174" i="1" s="1"/>
  <c r="AE174" i="1"/>
  <c r="AF174" i="1"/>
  <c r="AH110" i="1"/>
  <c r="AM110" i="1"/>
  <c r="AN110" i="1"/>
  <c r="K175" i="1"/>
  <c r="L175" i="1"/>
  <c r="M175" i="1"/>
  <c r="N175" i="1" s="1"/>
  <c r="V175" i="1"/>
  <c r="Y175" i="1"/>
  <c r="AA175" i="1" s="1"/>
  <c r="Z175" i="1"/>
  <c r="AB175" i="1"/>
  <c r="AC175" i="1"/>
  <c r="AD175" i="1"/>
  <c r="T175" i="1" s="1"/>
  <c r="AE175" i="1"/>
  <c r="AF175" i="1"/>
  <c r="AH111" i="1"/>
  <c r="AM111" i="1"/>
  <c r="AN111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2" i="1"/>
  <c r="AM112" i="1"/>
  <c r="AN112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13" i="1"/>
  <c r="AM113" i="1"/>
  <c r="AN11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K96" i="1"/>
  <c r="L96" i="1"/>
  <c r="M96" i="1"/>
  <c r="N96" i="1" s="1"/>
  <c r="T96" i="1"/>
  <c r="V96" i="1"/>
  <c r="X96" i="1"/>
  <c r="Y96" i="1"/>
  <c r="Z96" i="1"/>
  <c r="AA96" i="1" s="1"/>
  <c r="W96" i="1" s="1"/>
  <c r="AB96" i="1"/>
  <c r="AC96" i="1"/>
  <c r="AD96" i="1"/>
  <c r="AG96" i="1" s="1"/>
  <c r="AE96" i="1"/>
  <c r="AF96" i="1"/>
  <c r="AH116" i="1"/>
  <c r="AM116" i="1"/>
  <c r="AN116" i="1"/>
  <c r="K180" i="1"/>
  <c r="L180" i="1"/>
  <c r="M180" i="1"/>
  <c r="N180" i="1" s="1"/>
  <c r="T180" i="1"/>
  <c r="V180" i="1"/>
  <c r="X180" i="1"/>
  <c r="Y180" i="1"/>
  <c r="Z180" i="1"/>
  <c r="AB180" i="1"/>
  <c r="AC180" i="1"/>
  <c r="AD180" i="1"/>
  <c r="AE180" i="1"/>
  <c r="AF180" i="1"/>
  <c r="AG180" i="1"/>
  <c r="AH117" i="1"/>
  <c r="AM117" i="1"/>
  <c r="AN117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118" i="1"/>
  <c r="AM118" i="1"/>
  <c r="AN118" i="1"/>
  <c r="K182" i="1"/>
  <c r="L182" i="1"/>
  <c r="M182" i="1"/>
  <c r="N182" i="1" s="1"/>
  <c r="V182" i="1"/>
  <c r="Y182" i="1"/>
  <c r="Z182" i="1"/>
  <c r="AA182" i="1"/>
  <c r="AB182" i="1"/>
  <c r="AC182" i="1"/>
  <c r="AD182" i="1"/>
  <c r="T182" i="1" s="1"/>
  <c r="AE182" i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1" i="1"/>
  <c r="AM121" i="1"/>
  <c r="AN121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5" i="1"/>
  <c r="AM125" i="1"/>
  <c r="AN125" i="1"/>
  <c r="K189" i="1"/>
  <c r="L189" i="1"/>
  <c r="M189" i="1"/>
  <c r="N189" i="1" s="1"/>
  <c r="V189" i="1"/>
  <c r="Y189" i="1"/>
  <c r="AA189" i="1" s="1"/>
  <c r="Z189" i="1"/>
  <c r="AB189" i="1"/>
  <c r="AC189" i="1"/>
  <c r="AD189" i="1"/>
  <c r="T189" i="1" s="1"/>
  <c r="AE189" i="1"/>
  <c r="AF189" i="1"/>
  <c r="AH126" i="1"/>
  <c r="AM126" i="1"/>
  <c r="AN126" i="1"/>
  <c r="K97" i="1"/>
  <c r="L97" i="1"/>
  <c r="M97" i="1"/>
  <c r="N97" i="1" s="1"/>
  <c r="V97" i="1"/>
  <c r="Y97" i="1"/>
  <c r="Z97" i="1"/>
  <c r="AA97" i="1" s="1"/>
  <c r="AB97" i="1"/>
  <c r="AC97" i="1"/>
  <c r="AD97" i="1"/>
  <c r="AG97" i="1" s="1"/>
  <c r="AE97" i="1"/>
  <c r="AF97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G190" i="1"/>
  <c r="AH128" i="1"/>
  <c r="AM128" i="1"/>
  <c r="AN12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9" i="1"/>
  <c r="AM129" i="1"/>
  <c r="AN12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0" i="1"/>
  <c r="AM130" i="1"/>
  <c r="AN130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G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G101" i="1"/>
  <c r="AH135" i="1"/>
  <c r="AM135" i="1"/>
  <c r="AN135" i="1"/>
  <c r="K102" i="1"/>
  <c r="L102" i="1"/>
  <c r="M102" i="1"/>
  <c r="N102" i="1" s="1"/>
  <c r="T102" i="1"/>
  <c r="V102" i="1"/>
  <c r="Y102" i="1"/>
  <c r="Z102" i="1"/>
  <c r="AB102" i="1"/>
  <c r="AC102" i="1"/>
  <c r="AD102" i="1"/>
  <c r="X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38" i="1"/>
  <c r="AM138" i="1"/>
  <c r="AN138" i="1"/>
  <c r="K207" i="1"/>
  <c r="L207" i="1"/>
  <c r="M207" i="1"/>
  <c r="N207" i="1" s="1"/>
  <c r="T207" i="1"/>
  <c r="V207" i="1"/>
  <c r="Y207" i="1"/>
  <c r="Z207" i="1"/>
  <c r="AA207" i="1"/>
  <c r="W207" i="1" s="1"/>
  <c r="AB207" i="1"/>
  <c r="AC207" i="1"/>
  <c r="AD207" i="1"/>
  <c r="AE207" i="1"/>
  <c r="AF207" i="1"/>
  <c r="AG207" i="1"/>
  <c r="AH139" i="1"/>
  <c r="AM139" i="1"/>
  <c r="AN13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AA120" i="1" s="1"/>
  <c r="Z120" i="1"/>
  <c r="AB120" i="1"/>
  <c r="AC120" i="1"/>
  <c r="AD120" i="1"/>
  <c r="AG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AA125" i="1" s="1"/>
  <c r="Z125" i="1"/>
  <c r="AB125" i="1"/>
  <c r="AC125" i="1"/>
  <c r="AD125" i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AN161" i="1"/>
  <c r="K127" i="1"/>
  <c r="L127" i="1"/>
  <c r="M127" i="1"/>
  <c r="N127" i="1"/>
  <c r="V127" i="1"/>
  <c r="X127" i="1"/>
  <c r="Y127" i="1"/>
  <c r="Z127" i="1"/>
  <c r="AB127" i="1"/>
  <c r="AC127" i="1"/>
  <c r="AD127" i="1"/>
  <c r="AG127" i="1" s="1"/>
  <c r="AE127" i="1"/>
  <c r="AF127" i="1"/>
  <c r="AH162" i="1"/>
  <c r="AM162" i="1"/>
  <c r="AN162" i="1"/>
  <c r="K128" i="1"/>
  <c r="L128" i="1"/>
  <c r="M128" i="1"/>
  <c r="N128" i="1" s="1"/>
  <c r="T128" i="1"/>
  <c r="V128" i="1"/>
  <c r="X128" i="1"/>
  <c r="Y128" i="1"/>
  <c r="Z128" i="1"/>
  <c r="AB128" i="1"/>
  <c r="AC128" i="1"/>
  <c r="AD128" i="1"/>
  <c r="AE128" i="1"/>
  <c r="AF128" i="1"/>
  <c r="AG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G131" i="1" s="1"/>
  <c r="AI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A134" i="1" s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AG135" i="1" s="1"/>
  <c r="AI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AA138" i="1" s="1"/>
  <c r="Z138" i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8" i="1"/>
  <c r="AM178" i="1"/>
  <c r="AN178" i="1"/>
  <c r="K144" i="1"/>
  <c r="L144" i="1"/>
  <c r="M144" i="1"/>
  <c r="N144" i="1" s="1"/>
  <c r="T144" i="1"/>
  <c r="V144" i="1"/>
  <c r="Y144" i="1"/>
  <c r="Z144" i="1"/>
  <c r="AB144" i="1"/>
  <c r="AC144" i="1"/>
  <c r="AD144" i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A147" i="1" s="1"/>
  <c r="AB147" i="1"/>
  <c r="AC147" i="1"/>
  <c r="AD147" i="1"/>
  <c r="AG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G149" i="1"/>
  <c r="AH184" i="1"/>
  <c r="AM184" i="1"/>
  <c r="AN184" i="1"/>
  <c r="K150" i="1"/>
  <c r="L150" i="1"/>
  <c r="M150" i="1"/>
  <c r="N150" i="1" s="1"/>
  <c r="V150" i="1"/>
  <c r="S18" i="3" s="1"/>
  <c r="Y150" i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R13" i="3" s="1"/>
  <c r="AF151" i="1"/>
  <c r="AH186" i="1"/>
  <c r="AM186" i="1"/>
  <c r="AN186" i="1"/>
  <c r="K152" i="1"/>
  <c r="L152" i="1"/>
  <c r="M152" i="1"/>
  <c r="N152" i="1" s="1"/>
  <c r="V152" i="1"/>
  <c r="Y152" i="1"/>
  <c r="AA152" i="1" s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V155" i="1"/>
  <c r="Y155" i="1"/>
  <c r="Z155" i="1"/>
  <c r="AB155" i="1"/>
  <c r="AC155" i="1"/>
  <c r="AD155" i="1"/>
  <c r="AG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93" i="1"/>
  <c r="AM193" i="1"/>
  <c r="AN193" i="1"/>
  <c r="K159" i="1"/>
  <c r="L159" i="1"/>
  <c r="M159" i="1"/>
  <c r="N159" i="1" s="1"/>
  <c r="V159" i="1"/>
  <c r="X159" i="1"/>
  <c r="Y159" i="1"/>
  <c r="AA159" i="1" s="1"/>
  <c r="Z159" i="1"/>
  <c r="AB159" i="1"/>
  <c r="AC159" i="1"/>
  <c r="AD159" i="1"/>
  <c r="AG159" i="1" s="1"/>
  <c r="AE159" i="1"/>
  <c r="AF159" i="1"/>
  <c r="AH194" i="1"/>
  <c r="AM194" i="1"/>
  <c r="AN194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/>
  <c r="V195" i="1"/>
  <c r="Y195" i="1"/>
  <c r="Z195" i="1"/>
  <c r="AB195" i="1"/>
  <c r="AC195" i="1"/>
  <c r="AD195" i="1"/>
  <c r="AG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A196" i="1" s="1"/>
  <c r="AB196" i="1"/>
  <c r="AC196" i="1"/>
  <c r="AD196" i="1"/>
  <c r="AG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9" i="1"/>
  <c r="L209" i="1"/>
  <c r="M209" i="1"/>
  <c r="N209" i="1" s="1"/>
  <c r="V209" i="1"/>
  <c r="Y209" i="1"/>
  <c r="AA209" i="1" s="1"/>
  <c r="Z209" i="1"/>
  <c r="AB209" i="1"/>
  <c r="AC209" i="1"/>
  <c r="AD209" i="1"/>
  <c r="AG209" i="1" s="1"/>
  <c r="AE209" i="1"/>
  <c r="R26" i="3" s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S27" i="3" s="1"/>
  <c r="Y211" i="1"/>
  <c r="AA211" i="1" s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AA214" i="1" s="1"/>
  <c r="Z214" i="1"/>
  <c r="AB214" i="1"/>
  <c r="AC214" i="1"/>
  <c r="AD214" i="1"/>
  <c r="AG214" i="1" s="1"/>
  <c r="AE214" i="1"/>
  <c r="AF214" i="1"/>
  <c r="AH214" i="1"/>
  <c r="AM214" i="1"/>
  <c r="AN214" i="1"/>
  <c r="K215" i="1"/>
  <c r="L215" i="1"/>
  <c r="M215" i="1"/>
  <c r="N215" i="1" s="1"/>
  <c r="V215" i="1"/>
  <c r="S25" i="3" s="1"/>
  <c r="Y215" i="1"/>
  <c r="Z215" i="1"/>
  <c r="AB215" i="1"/>
  <c r="AC215" i="1"/>
  <c r="AD215" i="1"/>
  <c r="AE215" i="1"/>
  <c r="R25" i="3" s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A217" i="1" s="1"/>
  <c r="AB217" i="1"/>
  <c r="AC217" i="1"/>
  <c r="AD217" i="1"/>
  <c r="AG217" i="1" s="1"/>
  <c r="AE217" i="1"/>
  <c r="AF217" i="1"/>
  <c r="AH217" i="1"/>
  <c r="AM217" i="1"/>
  <c r="AN217" i="1"/>
  <c r="M7" i="3"/>
  <c r="R7" i="3"/>
  <c r="S7" i="3"/>
  <c r="U7" i="3"/>
  <c r="T7" i="3" s="1"/>
  <c r="V7" i="3"/>
  <c r="W7" i="3"/>
  <c r="X7" i="3"/>
  <c r="M9" i="3"/>
  <c r="R9" i="3"/>
  <c r="S9" i="3"/>
  <c r="U9" i="3"/>
  <c r="AD9" i="3" s="1"/>
  <c r="V9" i="3"/>
  <c r="W9" i="3"/>
  <c r="X9" i="3"/>
  <c r="M8" i="3"/>
  <c r="R8" i="3"/>
  <c r="S8" i="3"/>
  <c r="U8" i="3"/>
  <c r="AC8" i="3" s="1"/>
  <c r="V8" i="3"/>
  <c r="W8" i="3"/>
  <c r="X8" i="3"/>
  <c r="M21" i="3"/>
  <c r="S21" i="3"/>
  <c r="U21" i="3"/>
  <c r="T21" i="3" s="1"/>
  <c r="V21" i="3"/>
  <c r="W21" i="3"/>
  <c r="X21" i="3"/>
  <c r="AC21" i="3"/>
  <c r="M26" i="3"/>
  <c r="S26" i="3"/>
  <c r="U26" i="3"/>
  <c r="T26" i="3" s="1"/>
  <c r="V26" i="3"/>
  <c r="W26" i="3"/>
  <c r="X26" i="3"/>
  <c r="M11" i="3"/>
  <c r="S11" i="3"/>
  <c r="U11" i="3"/>
  <c r="T11" i="3" s="1"/>
  <c r="V11" i="3"/>
  <c r="W11" i="3"/>
  <c r="X11" i="3"/>
  <c r="AC11" i="3"/>
  <c r="M10" i="3"/>
  <c r="R10" i="3"/>
  <c r="U10" i="3"/>
  <c r="AC10" i="3" s="1"/>
  <c r="V10" i="3"/>
  <c r="W10" i="3"/>
  <c r="X10" i="3"/>
  <c r="M23" i="3"/>
  <c r="R23" i="3"/>
  <c r="S23" i="3"/>
  <c r="U23" i="3"/>
  <c r="T23" i="3" s="1"/>
  <c r="V23" i="3"/>
  <c r="W23" i="3"/>
  <c r="X23" i="3"/>
  <c r="M22" i="3"/>
  <c r="R22" i="3"/>
  <c r="S22" i="3"/>
  <c r="U22" i="3"/>
  <c r="T22" i="3" s="1"/>
  <c r="V22" i="3"/>
  <c r="W22" i="3"/>
  <c r="X22" i="3"/>
  <c r="M14" i="3"/>
  <c r="R14" i="3"/>
  <c r="S14" i="3"/>
  <c r="U14" i="3"/>
  <c r="AC14" i="3" s="1"/>
  <c r="V14" i="3"/>
  <c r="W14" i="3"/>
  <c r="X14" i="3"/>
  <c r="M15" i="3"/>
  <c r="R15" i="3"/>
  <c r="S15" i="3"/>
  <c r="U15" i="3"/>
  <c r="AC15" i="3" s="1"/>
  <c r="V15" i="3"/>
  <c r="W15" i="3"/>
  <c r="X15" i="3"/>
  <c r="M16" i="3"/>
  <c r="R16" i="3"/>
  <c r="S16" i="3"/>
  <c r="U16" i="3"/>
  <c r="V16" i="3"/>
  <c r="W16" i="3"/>
  <c r="X16" i="3"/>
  <c r="AC16" i="3"/>
  <c r="M24" i="3"/>
  <c r="R24" i="3"/>
  <c r="S24" i="3"/>
  <c r="U24" i="3"/>
  <c r="T24" i="3" s="1"/>
  <c r="V24" i="3"/>
  <c r="W24" i="3"/>
  <c r="X24" i="3"/>
  <c r="M27" i="3"/>
  <c r="R27" i="3"/>
  <c r="U27" i="3"/>
  <c r="V27" i="3"/>
  <c r="W27" i="3"/>
  <c r="X27" i="3"/>
  <c r="M12" i="3"/>
  <c r="R12" i="3"/>
  <c r="S12" i="3"/>
  <c r="U12" i="3"/>
  <c r="AC12" i="3" s="1"/>
  <c r="V12" i="3"/>
  <c r="W12" i="3"/>
  <c r="X12" i="3"/>
  <c r="M25" i="3"/>
  <c r="U25" i="3"/>
  <c r="T25" i="3" s="1"/>
  <c r="V25" i="3"/>
  <c r="W25" i="3"/>
  <c r="X25" i="3"/>
  <c r="AC25" i="3"/>
  <c r="M17" i="3"/>
  <c r="R17" i="3"/>
  <c r="S17" i="3"/>
  <c r="U17" i="3"/>
  <c r="T17" i="3" s="1"/>
  <c r="V17" i="3"/>
  <c r="W17" i="3"/>
  <c r="X17" i="3"/>
  <c r="M13" i="3"/>
  <c r="S13" i="3"/>
  <c r="T13" i="3"/>
  <c r="U13" i="3"/>
  <c r="V13" i="3"/>
  <c r="W13" i="3"/>
  <c r="X13" i="3"/>
  <c r="AC13" i="3"/>
  <c r="M18" i="3"/>
  <c r="R18" i="3"/>
  <c r="U18" i="3"/>
  <c r="AC18" i="3" s="1"/>
  <c r="V18" i="3"/>
  <c r="W18" i="3"/>
  <c r="X18" i="3"/>
  <c r="M19" i="3"/>
  <c r="R19" i="3"/>
  <c r="S19" i="3"/>
  <c r="U19" i="3"/>
  <c r="AD16" i="3" s="1"/>
  <c r="V19" i="3"/>
  <c r="W19" i="3"/>
  <c r="X19" i="3"/>
  <c r="AC19" i="3"/>
  <c r="M20" i="3"/>
  <c r="R20" i="3"/>
  <c r="S20" i="3"/>
  <c r="U20" i="3"/>
  <c r="AC20" i="3" s="1"/>
  <c r="V20" i="3"/>
  <c r="W20" i="3"/>
  <c r="X20" i="3"/>
  <c r="Y27" i="3" l="1"/>
  <c r="AE19" i="3"/>
  <c r="AD19" i="3"/>
  <c r="AD22" i="3"/>
  <c r="Y19" i="3"/>
  <c r="T19" i="3"/>
  <c r="Y13" i="3"/>
  <c r="T9" i="3"/>
  <c r="AD27" i="3"/>
  <c r="Y10" i="3"/>
  <c r="X215" i="1"/>
  <c r="AA213" i="1"/>
  <c r="AA206" i="1"/>
  <c r="AA204" i="1"/>
  <c r="AA201" i="1"/>
  <c r="T197" i="1"/>
  <c r="AA156" i="1"/>
  <c r="X144" i="1"/>
  <c r="AA137" i="1"/>
  <c r="AA124" i="1"/>
  <c r="X117" i="1"/>
  <c r="AA117" i="1"/>
  <c r="AA113" i="1"/>
  <c r="AG108" i="1"/>
  <c r="U108" i="1" s="1"/>
  <c r="X108" i="1"/>
  <c r="X97" i="1"/>
  <c r="AG182" i="1"/>
  <c r="AA179" i="1"/>
  <c r="AI95" i="1"/>
  <c r="X53" i="1"/>
  <c r="X37" i="1"/>
  <c r="AA28" i="1"/>
  <c r="W16" i="1"/>
  <c r="W182" i="1"/>
  <c r="AA216" i="1"/>
  <c r="AA200" i="1"/>
  <c r="W200" i="1" s="1"/>
  <c r="AA199" i="1"/>
  <c r="AA107" i="1"/>
  <c r="W107" i="1" s="1"/>
  <c r="AA103" i="1"/>
  <c r="X190" i="1"/>
  <c r="T177" i="1"/>
  <c r="AA176" i="1"/>
  <c r="T176" i="1"/>
  <c r="AA171" i="1"/>
  <c r="AG162" i="1"/>
  <c r="AA89" i="1"/>
  <c r="AA87" i="1"/>
  <c r="AA83" i="1"/>
  <c r="AA73" i="1"/>
  <c r="X69" i="1"/>
  <c r="AG61" i="1"/>
  <c r="X61" i="1"/>
  <c r="X32" i="1"/>
  <c r="AC23" i="3"/>
  <c r="Y9" i="3"/>
  <c r="Y7" i="3"/>
  <c r="X214" i="1"/>
  <c r="X205" i="1"/>
  <c r="X200" i="1"/>
  <c r="X155" i="1"/>
  <c r="AI139" i="1"/>
  <c r="X132" i="1"/>
  <c r="AA132" i="1"/>
  <c r="AG103" i="1"/>
  <c r="AA102" i="1"/>
  <c r="AG186" i="1"/>
  <c r="AG177" i="1"/>
  <c r="X176" i="1"/>
  <c r="AA160" i="1"/>
  <c r="AG89" i="1"/>
  <c r="AA86" i="1"/>
  <c r="W86" i="1" s="1"/>
  <c r="AI80" i="1"/>
  <c r="AA68" i="1"/>
  <c r="AA48" i="1"/>
  <c r="AA18" i="1"/>
  <c r="AD17" i="3"/>
  <c r="Y14" i="3"/>
  <c r="Y23" i="3"/>
  <c r="AE11" i="3"/>
  <c r="Y8" i="3"/>
  <c r="Y24" i="3"/>
  <c r="Y21" i="3"/>
  <c r="X95" i="1"/>
  <c r="AA79" i="1"/>
  <c r="AA198" i="1"/>
  <c r="X152" i="1"/>
  <c r="AA150" i="1"/>
  <c r="AA149" i="1"/>
  <c r="W149" i="1" s="1"/>
  <c r="AA146" i="1"/>
  <c r="W146" i="1" s="1"/>
  <c r="AA142" i="1"/>
  <c r="AA139" i="1"/>
  <c r="W139" i="1" s="1"/>
  <c r="AA151" i="1"/>
  <c r="AA130" i="1"/>
  <c r="W130" i="1" s="1"/>
  <c r="AG211" i="1"/>
  <c r="X211" i="1"/>
  <c r="AA203" i="1"/>
  <c r="W203" i="1" s="1"/>
  <c r="AG201" i="1"/>
  <c r="X201" i="1"/>
  <c r="AG198" i="1"/>
  <c r="AG194" i="1"/>
  <c r="AG156" i="1"/>
  <c r="AI156" i="1" s="1"/>
  <c r="X156" i="1"/>
  <c r="AI143" i="1"/>
  <c r="AA143" i="1"/>
  <c r="AA140" i="1"/>
  <c r="T215" i="1"/>
  <c r="AA210" i="1"/>
  <c r="W210" i="1" s="1"/>
  <c r="T205" i="1"/>
  <c r="AA155" i="1"/>
  <c r="W155" i="1" s="1"/>
  <c r="AA154" i="1"/>
  <c r="X148" i="1"/>
  <c r="AG144" i="1"/>
  <c r="X143" i="1"/>
  <c r="AG140" i="1"/>
  <c r="X140" i="1"/>
  <c r="AA135" i="1"/>
  <c r="W135" i="1" s="1"/>
  <c r="AG124" i="1"/>
  <c r="W124" i="1" s="1"/>
  <c r="T124" i="1"/>
  <c r="W171" i="1"/>
  <c r="X121" i="1"/>
  <c r="AA118" i="1"/>
  <c r="AA116" i="1"/>
  <c r="AG114" i="1"/>
  <c r="X112" i="1"/>
  <c r="AA110" i="1"/>
  <c r="T107" i="1"/>
  <c r="AA106" i="1"/>
  <c r="AG98" i="1"/>
  <c r="U98" i="1" s="1"/>
  <c r="X98" i="1"/>
  <c r="AG187" i="1"/>
  <c r="X187" i="1"/>
  <c r="AA186" i="1"/>
  <c r="W186" i="1" s="1"/>
  <c r="AG183" i="1"/>
  <c r="U183" i="1" s="1"/>
  <c r="X183" i="1"/>
  <c r="AG179" i="1"/>
  <c r="W179" i="1" s="1"/>
  <c r="AG175" i="1"/>
  <c r="U175" i="1" s="1"/>
  <c r="S175" i="1" s="1"/>
  <c r="T173" i="1"/>
  <c r="T171" i="1"/>
  <c r="AA170" i="1"/>
  <c r="AA95" i="1"/>
  <c r="AA168" i="1"/>
  <c r="W168" i="1" s="1"/>
  <c r="AG166" i="1"/>
  <c r="X166" i="1"/>
  <c r="AG161" i="1"/>
  <c r="AG92" i="1"/>
  <c r="AI92" i="1" s="1"/>
  <c r="X92" i="1"/>
  <c r="AG88" i="1"/>
  <c r="AI88" i="1" s="1"/>
  <c r="X88" i="1"/>
  <c r="AA81" i="1"/>
  <c r="AG78" i="1"/>
  <c r="X78" i="1"/>
  <c r="AA74" i="1"/>
  <c r="AA72" i="1"/>
  <c r="T69" i="1"/>
  <c r="U45" i="1"/>
  <c r="AA40" i="1"/>
  <c r="AA23" i="1"/>
  <c r="T17" i="1"/>
  <c r="X125" i="1"/>
  <c r="T120" i="1"/>
  <c r="X113" i="1"/>
  <c r="AI103" i="1"/>
  <c r="AI99" i="1"/>
  <c r="AI93" i="1"/>
  <c r="AI89" i="1"/>
  <c r="W68" i="1"/>
  <c r="X136" i="1"/>
  <c r="AA136" i="1"/>
  <c r="AA133" i="1"/>
  <c r="AA131" i="1"/>
  <c r="AI127" i="1"/>
  <c r="AA127" i="1"/>
  <c r="AA126" i="1"/>
  <c r="AA123" i="1"/>
  <c r="T121" i="1"/>
  <c r="AG118" i="1"/>
  <c r="X116" i="1"/>
  <c r="AA114" i="1"/>
  <c r="AA112" i="1"/>
  <c r="AG110" i="1"/>
  <c r="AA105" i="1"/>
  <c r="AA98" i="1"/>
  <c r="AA193" i="1"/>
  <c r="W193" i="1" s="1"/>
  <c r="AA187" i="1"/>
  <c r="AA183" i="1"/>
  <c r="AI96" i="1"/>
  <c r="AA178" i="1"/>
  <c r="AG173" i="1"/>
  <c r="U173" i="1" s="1"/>
  <c r="X172" i="1"/>
  <c r="AG164" i="1"/>
  <c r="W164" i="1" s="1"/>
  <c r="AA161" i="1"/>
  <c r="AG160" i="1"/>
  <c r="W160" i="1" s="1"/>
  <c r="AA92" i="1"/>
  <c r="AG91" i="1"/>
  <c r="AI91" i="1" s="1"/>
  <c r="AA88" i="1"/>
  <c r="AG87" i="1"/>
  <c r="AI87" i="1" s="1"/>
  <c r="X83" i="1"/>
  <c r="X82" i="1"/>
  <c r="AA75" i="1"/>
  <c r="X72" i="1"/>
  <c r="AG69" i="1"/>
  <c r="X65" i="1"/>
  <c r="AA65" i="1"/>
  <c r="AG48" i="1"/>
  <c r="W48" i="1" s="1"/>
  <c r="X44" i="1"/>
  <c r="W41" i="1"/>
  <c r="AA38" i="1"/>
  <c r="AG36" i="1"/>
  <c r="W36" i="1" s="1"/>
  <c r="AA35" i="1"/>
  <c r="AA31" i="1"/>
  <c r="AG29" i="1"/>
  <c r="X29" i="1"/>
  <c r="AG17" i="1"/>
  <c r="W175" i="1"/>
  <c r="X56" i="1"/>
  <c r="W52" i="1"/>
  <c r="AA42" i="1"/>
  <c r="U41" i="1"/>
  <c r="T37" i="1"/>
  <c r="AA20" i="1"/>
  <c r="W15" i="1"/>
  <c r="W211" i="1"/>
  <c r="T210" i="1"/>
  <c r="X204" i="1"/>
  <c r="W201" i="1"/>
  <c r="T200" i="1"/>
  <c r="X196" i="1"/>
  <c r="AA158" i="1"/>
  <c r="AA157" i="1"/>
  <c r="W156" i="1"/>
  <c r="T155" i="1"/>
  <c r="T152" i="1"/>
  <c r="X147" i="1"/>
  <c r="AA141" i="1"/>
  <c r="W140" i="1"/>
  <c r="T139" i="1"/>
  <c r="T136" i="1"/>
  <c r="X131" i="1"/>
  <c r="AI28" i="1"/>
  <c r="T151" i="1"/>
  <c r="T135" i="1"/>
  <c r="T132" i="1"/>
  <c r="T125" i="1"/>
  <c r="T117" i="1"/>
  <c r="T113" i="1"/>
  <c r="AA109" i="1"/>
  <c r="U107" i="1"/>
  <c r="S107" i="1" s="1"/>
  <c r="AI107" i="1"/>
  <c r="X208" i="1"/>
  <c r="AG208" i="1"/>
  <c r="T208" i="1"/>
  <c r="AA101" i="1"/>
  <c r="W101" i="1" s="1"/>
  <c r="AI97" i="1"/>
  <c r="X210" i="1"/>
  <c r="AG157" i="1"/>
  <c r="AG152" i="1"/>
  <c r="W152" i="1" s="1"/>
  <c r="AA148" i="1"/>
  <c r="T147" i="1"/>
  <c r="X139" i="1"/>
  <c r="AG136" i="1"/>
  <c r="W136" i="1" s="1"/>
  <c r="T131" i="1"/>
  <c r="AA121" i="1"/>
  <c r="W118" i="1"/>
  <c r="T116" i="1"/>
  <c r="W114" i="1"/>
  <c r="T112" i="1"/>
  <c r="W110" i="1"/>
  <c r="AA215" i="1"/>
  <c r="T214" i="1"/>
  <c r="AA205" i="1"/>
  <c r="T204" i="1"/>
  <c r="AA197" i="1"/>
  <c r="T196" i="1"/>
  <c r="AG215" i="1"/>
  <c r="AA212" i="1"/>
  <c r="AG205" i="1"/>
  <c r="AA202" i="1"/>
  <c r="AG197" i="1"/>
  <c r="AA195" i="1"/>
  <c r="W195" i="1" s="1"/>
  <c r="AA194" i="1"/>
  <c r="W194" i="1" s="1"/>
  <c r="T159" i="1"/>
  <c r="AG153" i="1"/>
  <c r="U153" i="1" s="1"/>
  <c r="X151" i="1"/>
  <c r="AG148" i="1"/>
  <c r="AA145" i="1"/>
  <c r="AA144" i="1"/>
  <c r="W144" i="1" s="1"/>
  <c r="T143" i="1"/>
  <c r="X135" i="1"/>
  <c r="AG132" i="1"/>
  <c r="W132" i="1" s="1"/>
  <c r="AA129" i="1"/>
  <c r="AA128" i="1"/>
  <c r="W128" i="1" s="1"/>
  <c r="T127" i="1"/>
  <c r="AG125" i="1"/>
  <c r="U124" i="1"/>
  <c r="X124" i="1"/>
  <c r="AG121" i="1"/>
  <c r="AG117" i="1"/>
  <c r="W117" i="1" s="1"/>
  <c r="AG113" i="1"/>
  <c r="W113" i="1" s="1"/>
  <c r="AG109" i="1"/>
  <c r="U101" i="1"/>
  <c r="S101" i="1" s="1"/>
  <c r="AI101" i="1"/>
  <c r="AA208" i="1"/>
  <c r="W208" i="1" s="1"/>
  <c r="U207" i="1"/>
  <c r="S207" i="1" s="1"/>
  <c r="X101" i="1"/>
  <c r="T193" i="1"/>
  <c r="U193" i="1" s="1"/>
  <c r="S193" i="1" s="1"/>
  <c r="AA192" i="1"/>
  <c r="AA191" i="1"/>
  <c r="AA184" i="1"/>
  <c r="X182" i="1"/>
  <c r="AA180" i="1"/>
  <c r="W180" i="1" s="1"/>
  <c r="AA173" i="1"/>
  <c r="W173" i="1" s="1"/>
  <c r="U95" i="1"/>
  <c r="X169" i="1"/>
  <c r="T168" i="1"/>
  <c r="U168" i="1" s="1"/>
  <c r="S168" i="1" s="1"/>
  <c r="AA167" i="1"/>
  <c r="X164" i="1"/>
  <c r="X91" i="1"/>
  <c r="X87" i="1"/>
  <c r="AG84" i="1"/>
  <c r="AI84" i="1" s="1"/>
  <c r="X84" i="1"/>
  <c r="T77" i="1"/>
  <c r="X76" i="1"/>
  <c r="AG73" i="1"/>
  <c r="W73" i="1" s="1"/>
  <c r="X73" i="1"/>
  <c r="AA70" i="1"/>
  <c r="AA69" i="1"/>
  <c r="W69" i="1" s="1"/>
  <c r="T68" i="1"/>
  <c r="T65" i="1"/>
  <c r="X60" i="1"/>
  <c r="AG57" i="1"/>
  <c r="X57" i="1"/>
  <c r="AA55" i="1"/>
  <c r="AA54" i="1"/>
  <c r="AA53" i="1"/>
  <c r="W53" i="1" s="1"/>
  <c r="T52" i="1"/>
  <c r="AG49" i="1"/>
  <c r="X49" i="1"/>
  <c r="T48" i="1"/>
  <c r="U48" i="1" s="1"/>
  <c r="S48" i="1" s="1"/>
  <c r="X45" i="1"/>
  <c r="AA34" i="1"/>
  <c r="T33" i="1"/>
  <c r="AG32" i="1"/>
  <c r="X28" i="1"/>
  <c r="AG25" i="1"/>
  <c r="U25" i="1" s="1"/>
  <c r="X25" i="1"/>
  <c r="X24" i="1"/>
  <c r="AG21" i="1"/>
  <c r="U21" i="1" s="1"/>
  <c r="S21" i="1" s="1"/>
  <c r="X21" i="1"/>
  <c r="T16" i="1"/>
  <c r="U16" i="1" s="1"/>
  <c r="S16" i="1" s="1"/>
  <c r="X193" i="1"/>
  <c r="U190" i="1"/>
  <c r="W97" i="1"/>
  <c r="U186" i="1"/>
  <c r="S186" i="1" s="1"/>
  <c r="T83" i="1"/>
  <c r="T64" i="1"/>
  <c r="T44" i="1"/>
  <c r="T40" i="1"/>
  <c r="U36" i="1"/>
  <c r="S36" i="1" s="1"/>
  <c r="U29" i="1"/>
  <c r="W28" i="1"/>
  <c r="T20" i="1"/>
  <c r="AA14" i="1"/>
  <c r="X107" i="1"/>
  <c r="W103" i="1"/>
  <c r="W98" i="1"/>
  <c r="AG191" i="1"/>
  <c r="T97" i="1"/>
  <c r="U97" i="1" s="1"/>
  <c r="S97" i="1" s="1"/>
  <c r="AA188" i="1"/>
  <c r="X186" i="1"/>
  <c r="AA181" i="1"/>
  <c r="AA177" i="1"/>
  <c r="W177" i="1" s="1"/>
  <c r="AA169" i="1"/>
  <c r="T169" i="1"/>
  <c r="AA166" i="1"/>
  <c r="W166" i="1" s="1"/>
  <c r="AA163" i="1"/>
  <c r="AA94" i="1"/>
  <c r="AA90" i="1"/>
  <c r="W90" i="1" s="1"/>
  <c r="AA85" i="1"/>
  <c r="AA84" i="1"/>
  <c r="AG83" i="1"/>
  <c r="T82" i="1"/>
  <c r="AA80" i="1"/>
  <c r="W80" i="1" s="1"/>
  <c r="AG77" i="1"/>
  <c r="T76" i="1"/>
  <c r="U76" i="1" s="1"/>
  <c r="S76" i="1" s="1"/>
  <c r="X68" i="1"/>
  <c r="AG65" i="1"/>
  <c r="W65" i="1" s="1"/>
  <c r="AA62" i="1"/>
  <c r="AA61" i="1"/>
  <c r="W61" i="1" s="1"/>
  <c r="T60" i="1"/>
  <c r="AG54" i="1"/>
  <c r="X52" i="1"/>
  <c r="AA51" i="1"/>
  <c r="W51" i="1" s="1"/>
  <c r="AA49" i="1"/>
  <c r="AA46" i="1"/>
  <c r="W46" i="1" s="1"/>
  <c r="AG44" i="1"/>
  <c r="W44" i="1" s="1"/>
  <c r="AG40" i="1"/>
  <c r="AI40" i="1" s="1"/>
  <c r="X36" i="1"/>
  <c r="AG33" i="1"/>
  <c r="W32" i="1"/>
  <c r="T28" i="1"/>
  <c r="U28" i="1" s="1"/>
  <c r="S28" i="1" s="1"/>
  <c r="AA26" i="1"/>
  <c r="AA25" i="1"/>
  <c r="W25" i="1" s="1"/>
  <c r="AA22" i="1"/>
  <c r="AG20" i="1"/>
  <c r="U15" i="1"/>
  <c r="AA108" i="1"/>
  <c r="W108" i="1" s="1"/>
  <c r="AG105" i="1"/>
  <c r="AI105" i="1" s="1"/>
  <c r="X207" i="1"/>
  <c r="AG102" i="1"/>
  <c r="U102" i="1" s="1"/>
  <c r="AA100" i="1"/>
  <c r="AA99" i="1"/>
  <c r="W99" i="1" s="1"/>
  <c r="AA190" i="1"/>
  <c r="W190" i="1" s="1"/>
  <c r="U187" i="1"/>
  <c r="W183" i="1"/>
  <c r="U182" i="1"/>
  <c r="S182" i="1" s="1"/>
  <c r="U179" i="1"/>
  <c r="S179" i="1" s="1"/>
  <c r="U177" i="1"/>
  <c r="AA172" i="1"/>
  <c r="W172" i="1" s="1"/>
  <c r="T172" i="1"/>
  <c r="U171" i="1"/>
  <c r="S171" i="1" s="1"/>
  <c r="W95" i="1"/>
  <c r="U166" i="1"/>
  <c r="W165" i="1"/>
  <c r="U164" i="1"/>
  <c r="S164" i="1" s="1"/>
  <c r="W162" i="1"/>
  <c r="W161" i="1"/>
  <c r="U160" i="1"/>
  <c r="S160" i="1" s="1"/>
  <c r="W93" i="1"/>
  <c r="W92" i="1"/>
  <c r="U91" i="1"/>
  <c r="S91" i="1" s="1"/>
  <c r="W89" i="1"/>
  <c r="W88" i="1"/>
  <c r="U87" i="1"/>
  <c r="S87" i="1" s="1"/>
  <c r="W79" i="1"/>
  <c r="T72" i="1"/>
  <c r="X64" i="1"/>
  <c r="W57" i="1"/>
  <c r="T56" i="1"/>
  <c r="U49" i="1"/>
  <c r="AI48" i="1"/>
  <c r="X41" i="1"/>
  <c r="AG37" i="1"/>
  <c r="U37" i="1" s="1"/>
  <c r="S37" i="1" s="1"/>
  <c r="AI36" i="1"/>
  <c r="AA30" i="1"/>
  <c r="W217" i="1"/>
  <c r="W214" i="1"/>
  <c r="W209" i="1"/>
  <c r="W204" i="1"/>
  <c r="W199" i="1"/>
  <c r="W196" i="1"/>
  <c r="U194" i="1"/>
  <c r="AI193" i="1"/>
  <c r="W154" i="1"/>
  <c r="AI186" i="1"/>
  <c r="U151" i="1"/>
  <c r="S151" i="1" s="1"/>
  <c r="W147" i="1"/>
  <c r="AI177" i="1"/>
  <c r="W138" i="1"/>
  <c r="AI170" i="1"/>
  <c r="U135" i="1"/>
  <c r="S135" i="1" s="1"/>
  <c r="W131" i="1"/>
  <c r="AI161" i="1"/>
  <c r="AI217" i="1"/>
  <c r="AI214" i="1"/>
  <c r="U214" i="1"/>
  <c r="S214" i="1" s="1"/>
  <c r="AI209" i="1"/>
  <c r="U204" i="1"/>
  <c r="S204" i="1" s="1"/>
  <c r="AI201" i="1"/>
  <c r="AI198" i="1"/>
  <c r="U196" i="1"/>
  <c r="S196" i="1" s="1"/>
  <c r="W159" i="1"/>
  <c r="U157" i="1"/>
  <c r="W150" i="1"/>
  <c r="AI182" i="1"/>
  <c r="U147" i="1"/>
  <c r="S147" i="1" s="1"/>
  <c r="W143" i="1"/>
  <c r="AI173" i="1"/>
  <c r="W134" i="1"/>
  <c r="AI166" i="1"/>
  <c r="U131" i="1"/>
  <c r="S131" i="1" s="1"/>
  <c r="W127" i="1"/>
  <c r="W213" i="1"/>
  <c r="AI194" i="1"/>
  <c r="U159" i="1"/>
  <c r="S159" i="1" s="1"/>
  <c r="AI178" i="1"/>
  <c r="U143" i="1"/>
  <c r="S143" i="1" s="1"/>
  <c r="AI169" i="1"/>
  <c r="AI162" i="1"/>
  <c r="U127" i="1"/>
  <c r="S127" i="1" s="1"/>
  <c r="AI213" i="1"/>
  <c r="AI210" i="1"/>
  <c r="U210" i="1"/>
  <c r="S210" i="1" s="1"/>
  <c r="AI205" i="1"/>
  <c r="U200" i="1"/>
  <c r="S200" i="1" s="1"/>
  <c r="U198" i="1"/>
  <c r="S198" i="1" s="1"/>
  <c r="AI197" i="1"/>
  <c r="W158" i="1"/>
  <c r="AI190" i="1"/>
  <c r="U155" i="1"/>
  <c r="W151" i="1"/>
  <c r="U149" i="1"/>
  <c r="S149" i="1" s="1"/>
  <c r="W142" i="1"/>
  <c r="AI174" i="1"/>
  <c r="U139" i="1"/>
  <c r="S139" i="1" s="1"/>
  <c r="AI165" i="1"/>
  <c r="W126" i="1"/>
  <c r="X217" i="1"/>
  <c r="T217" i="1"/>
  <c r="U217" i="1" s="1"/>
  <c r="S217" i="1" s="1"/>
  <c r="X213" i="1"/>
  <c r="T213" i="1"/>
  <c r="U213" i="1" s="1"/>
  <c r="S213" i="1" s="1"/>
  <c r="X209" i="1"/>
  <c r="T209" i="1"/>
  <c r="U209" i="1" s="1"/>
  <c r="S209" i="1" s="1"/>
  <c r="X203" i="1"/>
  <c r="T203" i="1"/>
  <c r="U203" i="1" s="1"/>
  <c r="S203" i="1" s="1"/>
  <c r="X199" i="1"/>
  <c r="T199" i="1"/>
  <c r="U199" i="1" s="1"/>
  <c r="S199" i="1" s="1"/>
  <c r="AI200" i="1"/>
  <c r="X195" i="1"/>
  <c r="T195" i="1"/>
  <c r="U195" i="1" s="1"/>
  <c r="S195" i="1" s="1"/>
  <c r="AI196" i="1"/>
  <c r="S194" i="1"/>
  <c r="X158" i="1"/>
  <c r="T158" i="1"/>
  <c r="U158" i="1" s="1"/>
  <c r="S158" i="1" s="1"/>
  <c r="S157" i="1"/>
  <c r="X154" i="1"/>
  <c r="T154" i="1"/>
  <c r="U154" i="1" s="1"/>
  <c r="S153" i="1"/>
  <c r="X150" i="1"/>
  <c r="T150" i="1"/>
  <c r="U150" i="1" s="1"/>
  <c r="S150" i="1" s="1"/>
  <c r="X146" i="1"/>
  <c r="T146" i="1"/>
  <c r="U146" i="1" s="1"/>
  <c r="S146" i="1" s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AI160" i="1"/>
  <c r="S124" i="1"/>
  <c r="AA122" i="1"/>
  <c r="W122" i="1" s="1"/>
  <c r="W116" i="1"/>
  <c r="W112" i="1"/>
  <c r="U215" i="1"/>
  <c r="S215" i="1" s="1"/>
  <c r="U211" i="1"/>
  <c r="S211" i="1" s="1"/>
  <c r="U201" i="1"/>
  <c r="S201" i="1" s="1"/>
  <c r="U197" i="1"/>
  <c r="S197" i="1" s="1"/>
  <c r="U156" i="1"/>
  <c r="S156" i="1" s="1"/>
  <c r="U152" i="1"/>
  <c r="S152" i="1" s="1"/>
  <c r="U148" i="1"/>
  <c r="S148" i="1" s="1"/>
  <c r="U144" i="1"/>
  <c r="S144" i="1" s="1"/>
  <c r="U140" i="1"/>
  <c r="S140" i="1" s="1"/>
  <c r="U136" i="1"/>
  <c r="S136" i="1" s="1"/>
  <c r="U132" i="1"/>
  <c r="S132" i="1" s="1"/>
  <c r="U128" i="1"/>
  <c r="S128" i="1" s="1"/>
  <c r="T122" i="1"/>
  <c r="U122" i="1" s="1"/>
  <c r="S122" i="1" s="1"/>
  <c r="X122" i="1"/>
  <c r="W120" i="1"/>
  <c r="U116" i="1"/>
  <c r="S116" i="1" s="1"/>
  <c r="AI152" i="1"/>
  <c r="U112" i="1"/>
  <c r="S112" i="1" s="1"/>
  <c r="AI148" i="1"/>
  <c r="AG216" i="1"/>
  <c r="W216" i="1" s="1"/>
  <c r="AG212" i="1"/>
  <c r="W212" i="1" s="1"/>
  <c r="AG206" i="1"/>
  <c r="AI206" i="1" s="1"/>
  <c r="AG202" i="1"/>
  <c r="AI202" i="1" s="1"/>
  <c r="AG145" i="1"/>
  <c r="W145" i="1" s="1"/>
  <c r="AG141" i="1"/>
  <c r="W141" i="1" s="1"/>
  <c r="AG137" i="1"/>
  <c r="AG133" i="1"/>
  <c r="AI133" i="1" s="1"/>
  <c r="AG129" i="1"/>
  <c r="W129" i="1" s="1"/>
  <c r="T123" i="1"/>
  <c r="X123" i="1"/>
  <c r="AG123" i="1"/>
  <c r="AI123" i="1" s="1"/>
  <c r="AI158" i="1"/>
  <c r="U120" i="1"/>
  <c r="S120" i="1" s="1"/>
  <c r="U205" i="1"/>
  <c r="S205" i="1" s="1"/>
  <c r="X216" i="1"/>
  <c r="AI215" i="1"/>
  <c r="X212" i="1"/>
  <c r="AI211" i="1"/>
  <c r="X206" i="1"/>
  <c r="AI207" i="1"/>
  <c r="X202" i="1"/>
  <c r="AI203" i="1"/>
  <c r="X198" i="1"/>
  <c r="AI199" i="1"/>
  <c r="X194" i="1"/>
  <c r="AI195" i="1"/>
  <c r="X157" i="1"/>
  <c r="AI191" i="1"/>
  <c r="X153" i="1"/>
  <c r="AI187" i="1"/>
  <c r="X149" i="1"/>
  <c r="AI183" i="1"/>
  <c r="X145" i="1"/>
  <c r="AI179" i="1"/>
  <c r="X141" i="1"/>
  <c r="AI175" i="1"/>
  <c r="X137" i="1"/>
  <c r="AI171" i="1"/>
  <c r="X133" i="1"/>
  <c r="AI167" i="1"/>
  <c r="X129" i="1"/>
  <c r="AI163" i="1"/>
  <c r="U121" i="1"/>
  <c r="S121" i="1" s="1"/>
  <c r="X120" i="1"/>
  <c r="U117" i="1"/>
  <c r="S117" i="1" s="1"/>
  <c r="U113" i="1"/>
  <c r="S113" i="1" s="1"/>
  <c r="U109" i="1"/>
  <c r="S109" i="1" s="1"/>
  <c r="U105" i="1"/>
  <c r="S105" i="1" s="1"/>
  <c r="U103" i="1"/>
  <c r="S103" i="1" s="1"/>
  <c r="U99" i="1"/>
  <c r="S99" i="1" s="1"/>
  <c r="U191" i="1"/>
  <c r="S191" i="1" s="1"/>
  <c r="AG188" i="1"/>
  <c r="W188" i="1" s="1"/>
  <c r="AG184" i="1"/>
  <c r="AI184" i="1" s="1"/>
  <c r="AI117" i="1"/>
  <c r="AI116" i="1"/>
  <c r="U96" i="1"/>
  <c r="S96" i="1" s="1"/>
  <c r="AI110" i="1"/>
  <c r="AI108" i="1"/>
  <c r="U172" i="1"/>
  <c r="S172" i="1" s="1"/>
  <c r="W167" i="1"/>
  <c r="U118" i="1"/>
  <c r="S118" i="1" s="1"/>
  <c r="U114" i="1"/>
  <c r="S114" i="1" s="1"/>
  <c r="U110" i="1"/>
  <c r="S110" i="1" s="1"/>
  <c r="X109" i="1"/>
  <c r="AI144" i="1"/>
  <c r="S108" i="1"/>
  <c r="AG106" i="1"/>
  <c r="W106" i="1" s="1"/>
  <c r="X105" i="1"/>
  <c r="AI140" i="1"/>
  <c r="AG104" i="1"/>
  <c r="X103" i="1"/>
  <c r="AI136" i="1"/>
  <c r="S102" i="1"/>
  <c r="AG100" i="1"/>
  <c r="X99" i="1"/>
  <c r="AI132" i="1"/>
  <c r="S98" i="1"/>
  <c r="AG192" i="1"/>
  <c r="W192" i="1" s="1"/>
  <c r="X191" i="1"/>
  <c r="AI128" i="1"/>
  <c r="S190" i="1"/>
  <c r="AG189" i="1"/>
  <c r="W189" i="1" s="1"/>
  <c r="X188" i="1"/>
  <c r="AI124" i="1"/>
  <c r="S187" i="1"/>
  <c r="AG185" i="1"/>
  <c r="W185" i="1" s="1"/>
  <c r="X184" i="1"/>
  <c r="AI120" i="1"/>
  <c r="S183" i="1"/>
  <c r="W178" i="1"/>
  <c r="W176" i="1"/>
  <c r="W170" i="1"/>
  <c r="AI102" i="1"/>
  <c r="U162" i="1"/>
  <c r="U93" i="1"/>
  <c r="U89" i="1"/>
  <c r="W82" i="1"/>
  <c r="U78" i="1"/>
  <c r="AI157" i="1"/>
  <c r="AG119" i="1"/>
  <c r="AI119" i="1" s="1"/>
  <c r="X118" i="1"/>
  <c r="AI153" i="1"/>
  <c r="AG115" i="1"/>
  <c r="AI115" i="1" s="1"/>
  <c r="X114" i="1"/>
  <c r="AI149" i="1"/>
  <c r="AG111" i="1"/>
  <c r="AI111" i="1" s="1"/>
  <c r="X110" i="1"/>
  <c r="AI145" i="1"/>
  <c r="X106" i="1"/>
  <c r="T106" i="1"/>
  <c r="AI141" i="1"/>
  <c r="X104" i="1"/>
  <c r="T104" i="1"/>
  <c r="AI137" i="1"/>
  <c r="X100" i="1"/>
  <c r="T100" i="1"/>
  <c r="X192" i="1"/>
  <c r="T192" i="1"/>
  <c r="AI129" i="1"/>
  <c r="X189" i="1"/>
  <c r="X185" i="1"/>
  <c r="AG181" i="1"/>
  <c r="W181" i="1" s="1"/>
  <c r="T181" i="1"/>
  <c r="U180" i="1"/>
  <c r="S180" i="1" s="1"/>
  <c r="AI114" i="1"/>
  <c r="AI112" i="1"/>
  <c r="U176" i="1"/>
  <c r="S176" i="1" s="1"/>
  <c r="AI106" i="1"/>
  <c r="W169" i="1"/>
  <c r="W163" i="1"/>
  <c r="W94" i="1"/>
  <c r="U82" i="1"/>
  <c r="S82" i="1" s="1"/>
  <c r="AI82" i="1"/>
  <c r="X119" i="1"/>
  <c r="AI154" i="1"/>
  <c r="X115" i="1"/>
  <c r="AI150" i="1"/>
  <c r="X111" i="1"/>
  <c r="AI146" i="1"/>
  <c r="AI104" i="1"/>
  <c r="U169" i="1"/>
  <c r="S169" i="1" s="1"/>
  <c r="AI98" i="1"/>
  <c r="AI94" i="1"/>
  <c r="AI90" i="1"/>
  <c r="AI86" i="1"/>
  <c r="X178" i="1"/>
  <c r="T178" i="1"/>
  <c r="U178" i="1" s="1"/>
  <c r="S178" i="1" s="1"/>
  <c r="AI113" i="1"/>
  <c r="S177" i="1"/>
  <c r="X174" i="1"/>
  <c r="T174" i="1"/>
  <c r="U174" i="1" s="1"/>
  <c r="S174" i="1" s="1"/>
  <c r="AI109" i="1"/>
  <c r="S173" i="1"/>
  <c r="X170" i="1"/>
  <c r="T170" i="1"/>
  <c r="U170" i="1" s="1"/>
  <c r="S170" i="1" s="1"/>
  <c r="S95" i="1"/>
  <c r="X167" i="1"/>
  <c r="T167" i="1"/>
  <c r="U167" i="1" s="1"/>
  <c r="S167" i="1" s="1"/>
  <c r="S166" i="1"/>
  <c r="X163" i="1"/>
  <c r="T163" i="1"/>
  <c r="U163" i="1" s="1"/>
  <c r="S163" i="1" s="1"/>
  <c r="S162" i="1"/>
  <c r="X94" i="1"/>
  <c r="T94" i="1"/>
  <c r="U94" i="1" s="1"/>
  <c r="X90" i="1"/>
  <c r="T90" i="1"/>
  <c r="U90" i="1" s="1"/>
  <c r="S90" i="1" s="1"/>
  <c r="S89" i="1"/>
  <c r="X86" i="1"/>
  <c r="T86" i="1"/>
  <c r="U86" i="1" s="1"/>
  <c r="S86" i="1" s="1"/>
  <c r="T80" i="1"/>
  <c r="U80" i="1" s="1"/>
  <c r="AA78" i="1"/>
  <c r="W78" i="1" s="1"/>
  <c r="AI77" i="1"/>
  <c r="U68" i="1"/>
  <c r="S68" i="1" s="1"/>
  <c r="AI68" i="1"/>
  <c r="W64" i="1"/>
  <c r="U52" i="1"/>
  <c r="S52" i="1" s="1"/>
  <c r="AI52" i="1"/>
  <c r="X179" i="1"/>
  <c r="X175" i="1"/>
  <c r="X171" i="1"/>
  <c r="X168" i="1"/>
  <c r="U165" i="1"/>
  <c r="S165" i="1" s="1"/>
  <c r="U161" i="1"/>
  <c r="S161" i="1" s="1"/>
  <c r="U92" i="1"/>
  <c r="S92" i="1" s="1"/>
  <c r="U88" i="1"/>
  <c r="S88" i="1" s="1"/>
  <c r="U84" i="1"/>
  <c r="S84" i="1" s="1"/>
  <c r="X80" i="1"/>
  <c r="T79" i="1"/>
  <c r="U79" i="1" s="1"/>
  <c r="S79" i="1" s="1"/>
  <c r="X79" i="1"/>
  <c r="W77" i="1"/>
  <c r="U64" i="1"/>
  <c r="S64" i="1" s="1"/>
  <c r="AI64" i="1"/>
  <c r="W60" i="1"/>
  <c r="AG85" i="1"/>
  <c r="W85" i="1" s="1"/>
  <c r="AG81" i="1"/>
  <c r="W81" i="1" s="1"/>
  <c r="S78" i="1"/>
  <c r="AI78" i="1"/>
  <c r="W72" i="1"/>
  <c r="U60" i="1"/>
  <c r="S60" i="1" s="1"/>
  <c r="AI60" i="1"/>
  <c r="W56" i="1"/>
  <c r="X162" i="1"/>
  <c r="X93" i="1"/>
  <c r="X89" i="1"/>
  <c r="X85" i="1"/>
  <c r="X81" i="1"/>
  <c r="U72" i="1"/>
  <c r="S72" i="1" s="1"/>
  <c r="AI72" i="1"/>
  <c r="U56" i="1"/>
  <c r="S56" i="1" s="1"/>
  <c r="AI56" i="1"/>
  <c r="U73" i="1"/>
  <c r="S73" i="1" s="1"/>
  <c r="U69" i="1"/>
  <c r="S69" i="1" s="1"/>
  <c r="U65" i="1"/>
  <c r="S65" i="1" s="1"/>
  <c r="U61" i="1"/>
  <c r="S61" i="1" s="1"/>
  <c r="U57" i="1"/>
  <c r="S57" i="1" s="1"/>
  <c r="U53" i="1"/>
  <c r="S53" i="1" s="1"/>
  <c r="T38" i="1"/>
  <c r="X38" i="1"/>
  <c r="AG38" i="1"/>
  <c r="W38" i="1" s="1"/>
  <c r="AI33" i="1"/>
  <c r="T22" i="1"/>
  <c r="X22" i="1"/>
  <c r="AG22" i="1"/>
  <c r="W22" i="1" s="1"/>
  <c r="AI17" i="1"/>
  <c r="AG74" i="1"/>
  <c r="AG70" i="1"/>
  <c r="AG66" i="1"/>
  <c r="W66" i="1" s="1"/>
  <c r="AG62" i="1"/>
  <c r="W62" i="1" s="1"/>
  <c r="AG58" i="1"/>
  <c r="U54" i="1"/>
  <c r="S54" i="1" s="1"/>
  <c r="T51" i="1"/>
  <c r="U51" i="1" s="1"/>
  <c r="S51" i="1" s="1"/>
  <c r="T46" i="1"/>
  <c r="X46" i="1"/>
  <c r="AA45" i="1"/>
  <c r="W45" i="1" s="1"/>
  <c r="T42" i="1"/>
  <c r="X42" i="1"/>
  <c r="AG42" i="1"/>
  <c r="U40" i="1"/>
  <c r="S40" i="1" s="1"/>
  <c r="AI37" i="1"/>
  <c r="AA29" i="1"/>
  <c r="W29" i="1" s="1"/>
  <c r="T26" i="1"/>
  <c r="X26" i="1"/>
  <c r="AG26" i="1"/>
  <c r="U24" i="1"/>
  <c r="S24" i="1" s="1"/>
  <c r="AI21" i="1"/>
  <c r="S15" i="1"/>
  <c r="AG75" i="1"/>
  <c r="W75" i="1" s="1"/>
  <c r="X74" i="1"/>
  <c r="AI73" i="1"/>
  <c r="AG71" i="1"/>
  <c r="W71" i="1" s="1"/>
  <c r="X70" i="1"/>
  <c r="AI69" i="1"/>
  <c r="AG67" i="1"/>
  <c r="X66" i="1"/>
  <c r="AI65" i="1"/>
  <c r="AG63" i="1"/>
  <c r="W63" i="1" s="1"/>
  <c r="X62" i="1"/>
  <c r="AI61" i="1"/>
  <c r="AG59" i="1"/>
  <c r="W59" i="1" s="1"/>
  <c r="X58" i="1"/>
  <c r="AI57" i="1"/>
  <c r="AG55" i="1"/>
  <c r="X54" i="1"/>
  <c r="AI53" i="1"/>
  <c r="X51" i="1"/>
  <c r="T50" i="1"/>
  <c r="X50" i="1"/>
  <c r="T47" i="1"/>
  <c r="X47" i="1"/>
  <c r="AG47" i="1"/>
  <c r="AI46" i="1"/>
  <c r="S41" i="1"/>
  <c r="AI41" i="1"/>
  <c r="AA33" i="1"/>
  <c r="W33" i="1" s="1"/>
  <c r="U33" i="1"/>
  <c r="S33" i="1" s="1"/>
  <c r="T30" i="1"/>
  <c r="X30" i="1"/>
  <c r="AG30" i="1"/>
  <c r="S25" i="1"/>
  <c r="AI25" i="1"/>
  <c r="AA17" i="1"/>
  <c r="W17" i="1" s="1"/>
  <c r="U17" i="1"/>
  <c r="S17" i="1" s="1"/>
  <c r="X15" i="1"/>
  <c r="T14" i="1"/>
  <c r="AG14" i="1"/>
  <c r="X75" i="1"/>
  <c r="X71" i="1"/>
  <c r="X67" i="1"/>
  <c r="X63" i="1"/>
  <c r="X59" i="1"/>
  <c r="X55" i="1"/>
  <c r="AI54" i="1"/>
  <c r="AG50" i="1"/>
  <c r="S49" i="1"/>
  <c r="AI49" i="1"/>
  <c r="U46" i="1"/>
  <c r="S46" i="1" s="1"/>
  <c r="S45" i="1"/>
  <c r="AI45" i="1"/>
  <c r="AA37" i="1"/>
  <c r="W37" i="1" s="1"/>
  <c r="T34" i="1"/>
  <c r="X34" i="1"/>
  <c r="AG34" i="1"/>
  <c r="S29" i="1"/>
  <c r="AI29" i="1"/>
  <c r="AA21" i="1"/>
  <c r="W21" i="1" s="1"/>
  <c r="T18" i="1"/>
  <c r="X18" i="1"/>
  <c r="AG18" i="1"/>
  <c r="W18" i="1" s="1"/>
  <c r="AG43" i="1"/>
  <c r="AG39" i="1"/>
  <c r="AG35" i="1"/>
  <c r="AG31" i="1"/>
  <c r="W31" i="1" s="1"/>
  <c r="AG27" i="1"/>
  <c r="AG23" i="1"/>
  <c r="AG19" i="1"/>
  <c r="X43" i="1"/>
  <c r="X39" i="1"/>
  <c r="X35" i="1"/>
  <c r="X31" i="1"/>
  <c r="X27" i="1"/>
  <c r="X23" i="1"/>
  <c r="X19" i="1"/>
  <c r="AD13" i="3"/>
  <c r="AE14" i="3"/>
  <c r="Y22" i="3"/>
  <c r="AD23" i="3"/>
  <c r="AE21" i="3"/>
  <c r="Y12" i="3"/>
  <c r="AD24" i="3"/>
  <c r="Y15" i="3"/>
  <c r="AD14" i="3"/>
  <c r="Y11" i="3"/>
  <c r="AD26" i="3"/>
  <c r="Y18" i="3"/>
  <c r="AE13" i="3"/>
  <c r="AE16" i="3"/>
  <c r="AE23" i="3"/>
  <c r="AD11" i="3"/>
  <c r="AD21" i="3"/>
  <c r="AD7" i="3"/>
  <c r="AE25" i="3"/>
  <c r="Y25" i="3"/>
  <c r="T16" i="3"/>
  <c r="T14" i="3"/>
  <c r="Y26" i="3"/>
  <c r="AC9" i="3"/>
  <c r="AE9" i="3"/>
  <c r="Y17" i="3"/>
  <c r="AD25" i="3"/>
  <c r="AC27" i="3"/>
  <c r="AE27" i="3"/>
  <c r="Y16" i="3"/>
  <c r="T27" i="3"/>
  <c r="AE18" i="3"/>
  <c r="T18" i="3"/>
  <c r="AC17" i="3"/>
  <c r="AE12" i="3"/>
  <c r="T12" i="3"/>
  <c r="AC24" i="3"/>
  <c r="AE15" i="3"/>
  <c r="T15" i="3"/>
  <c r="AC22" i="3"/>
  <c r="AE10" i="3"/>
  <c r="T10" i="3"/>
  <c r="AC26" i="3"/>
  <c r="AE8" i="3"/>
  <c r="T8" i="3"/>
  <c r="AC7" i="3"/>
  <c r="AD18" i="3"/>
  <c r="AD12" i="3"/>
  <c r="AD15" i="3"/>
  <c r="AD10" i="3"/>
  <c r="AD8" i="3"/>
  <c r="AE17" i="3"/>
  <c r="AE24" i="3"/>
  <c r="AE22" i="3"/>
  <c r="AE26" i="3"/>
  <c r="AE7" i="3"/>
  <c r="Y20" i="3"/>
  <c r="T20" i="3"/>
  <c r="W205" i="1" l="1"/>
  <c r="S93" i="1"/>
  <c r="U125" i="1"/>
  <c r="S125" i="1" s="1"/>
  <c r="U77" i="1"/>
  <c r="S77" i="1" s="1"/>
  <c r="W84" i="1"/>
  <c r="W187" i="1"/>
  <c r="AI188" i="1"/>
  <c r="AI192" i="1"/>
  <c r="W87" i="1"/>
  <c r="W191" i="1"/>
  <c r="W49" i="1"/>
  <c r="W91" i="1"/>
  <c r="W198" i="1"/>
  <c r="AI181" i="1"/>
  <c r="AI189" i="1"/>
  <c r="W125" i="1"/>
  <c r="W102" i="1"/>
  <c r="W157" i="1"/>
  <c r="U20" i="1"/>
  <c r="S20" i="1" s="1"/>
  <c r="AI20" i="1"/>
  <c r="U32" i="1"/>
  <c r="S32" i="1" s="1"/>
  <c r="AI32" i="1"/>
  <c r="W100" i="1"/>
  <c r="AI100" i="1"/>
  <c r="AI185" i="1"/>
  <c r="W54" i="1"/>
  <c r="W20" i="1"/>
  <c r="W197" i="1"/>
  <c r="W215" i="1"/>
  <c r="W148" i="1"/>
  <c r="U208" i="1"/>
  <c r="S208" i="1" s="1"/>
  <c r="W109" i="1"/>
  <c r="W40" i="1"/>
  <c r="U44" i="1"/>
  <c r="S44" i="1" s="1"/>
  <c r="AI44" i="1"/>
  <c r="U83" i="1"/>
  <c r="S83" i="1" s="1"/>
  <c r="AI83" i="1"/>
  <c r="W105" i="1"/>
  <c r="W121" i="1"/>
  <c r="W83" i="1"/>
  <c r="W153" i="1"/>
  <c r="U50" i="1"/>
  <c r="S50" i="1" s="1"/>
  <c r="AI50" i="1"/>
  <c r="W50" i="1"/>
  <c r="AI14" i="1"/>
  <c r="U14" i="1"/>
  <c r="S14" i="1" s="1"/>
  <c r="U55" i="1"/>
  <c r="S55" i="1" s="1"/>
  <c r="AI55" i="1"/>
  <c r="AI70" i="1"/>
  <c r="U70" i="1"/>
  <c r="S70" i="1" s="1"/>
  <c r="AI22" i="1"/>
  <c r="U22" i="1"/>
  <c r="S22" i="1" s="1"/>
  <c r="U23" i="1"/>
  <c r="S23" i="1" s="1"/>
  <c r="AI23" i="1"/>
  <c r="W23" i="1"/>
  <c r="U39" i="1"/>
  <c r="S39" i="1" s="1"/>
  <c r="AI39" i="1"/>
  <c r="W39" i="1"/>
  <c r="AI30" i="1"/>
  <c r="U30" i="1"/>
  <c r="S30" i="1" s="1"/>
  <c r="U67" i="1"/>
  <c r="S67" i="1" s="1"/>
  <c r="AI67" i="1"/>
  <c r="AI26" i="1"/>
  <c r="U26" i="1"/>
  <c r="S26" i="1" s="1"/>
  <c r="W30" i="1"/>
  <c r="AI42" i="1"/>
  <c r="U42" i="1"/>
  <c r="S42" i="1" s="1"/>
  <c r="AI58" i="1"/>
  <c r="U58" i="1"/>
  <c r="S58" i="1" s="1"/>
  <c r="AI74" i="1"/>
  <c r="U74" i="1"/>
  <c r="S74" i="1" s="1"/>
  <c r="W42" i="1"/>
  <c r="W58" i="1"/>
  <c r="U119" i="1"/>
  <c r="S119" i="1" s="1"/>
  <c r="AI155" i="1"/>
  <c r="U123" i="1"/>
  <c r="S123" i="1" s="1"/>
  <c r="AI159" i="1"/>
  <c r="U133" i="1"/>
  <c r="S133" i="1" s="1"/>
  <c r="AI168" i="1"/>
  <c r="U202" i="1"/>
  <c r="S202" i="1" s="1"/>
  <c r="AI204" i="1"/>
  <c r="W133" i="1"/>
  <c r="U19" i="1"/>
  <c r="S19" i="1" s="1"/>
  <c r="W19" i="1"/>
  <c r="AI19" i="1"/>
  <c r="U35" i="1"/>
  <c r="S35" i="1" s="1"/>
  <c r="AI35" i="1"/>
  <c r="U27" i="1"/>
  <c r="S27" i="1" s="1"/>
  <c r="AI27" i="1"/>
  <c r="W27" i="1"/>
  <c r="U43" i="1"/>
  <c r="S43" i="1" s="1"/>
  <c r="AI43" i="1"/>
  <c r="W43" i="1"/>
  <c r="AI34" i="1"/>
  <c r="U34" i="1"/>
  <c r="S34" i="1" s="1"/>
  <c r="W34" i="1"/>
  <c r="U63" i="1"/>
  <c r="S63" i="1" s="1"/>
  <c r="AI63" i="1"/>
  <c r="AI62" i="1"/>
  <c r="U62" i="1"/>
  <c r="S62" i="1" s="1"/>
  <c r="AI38" i="1"/>
  <c r="U38" i="1"/>
  <c r="S38" i="1" s="1"/>
  <c r="W70" i="1"/>
  <c r="U181" i="1"/>
  <c r="S181" i="1" s="1"/>
  <c r="AI118" i="1"/>
  <c r="U115" i="1"/>
  <c r="S115" i="1" s="1"/>
  <c r="AI151" i="1"/>
  <c r="U137" i="1"/>
  <c r="S137" i="1" s="1"/>
  <c r="AI172" i="1"/>
  <c r="U206" i="1"/>
  <c r="S206" i="1" s="1"/>
  <c r="AI208" i="1"/>
  <c r="U31" i="1"/>
  <c r="S31" i="1" s="1"/>
  <c r="AI31" i="1"/>
  <c r="AI18" i="1"/>
  <c r="U18" i="1"/>
  <c r="S18" i="1" s="1"/>
  <c r="U47" i="1"/>
  <c r="S47" i="1" s="1"/>
  <c r="AI47" i="1"/>
  <c r="W47" i="1"/>
  <c r="U59" i="1"/>
  <c r="S59" i="1" s="1"/>
  <c r="AI59" i="1"/>
  <c r="U75" i="1"/>
  <c r="S75" i="1" s="1"/>
  <c r="AI75" i="1"/>
  <c r="AI66" i="1"/>
  <c r="U66" i="1"/>
  <c r="S66" i="1" s="1"/>
  <c r="W26" i="1"/>
  <c r="W74" i="1"/>
  <c r="U81" i="1"/>
  <c r="S81" i="1" s="1"/>
  <c r="AI81" i="1"/>
  <c r="W67" i="1"/>
  <c r="U111" i="1"/>
  <c r="S111" i="1" s="1"/>
  <c r="AI147" i="1"/>
  <c r="AI122" i="1"/>
  <c r="U185" i="1"/>
  <c r="S185" i="1" s="1"/>
  <c r="AI126" i="1"/>
  <c r="U189" i="1"/>
  <c r="S189" i="1" s="1"/>
  <c r="AI130" i="1"/>
  <c r="U192" i="1"/>
  <c r="S192" i="1" s="1"/>
  <c r="AI134" i="1"/>
  <c r="U100" i="1"/>
  <c r="S100" i="1" s="1"/>
  <c r="AI138" i="1"/>
  <c r="U104" i="1"/>
  <c r="S104" i="1" s="1"/>
  <c r="AI142" i="1"/>
  <c r="U106" i="1"/>
  <c r="S106" i="1" s="1"/>
  <c r="AI121" i="1"/>
  <c r="U184" i="1"/>
  <c r="S184" i="1" s="1"/>
  <c r="U141" i="1"/>
  <c r="S141" i="1" s="1"/>
  <c r="AI176" i="1"/>
  <c r="U212" i="1"/>
  <c r="S212" i="1" s="1"/>
  <c r="AI212" i="1"/>
  <c r="W111" i="1"/>
  <c r="W115" i="1"/>
  <c r="W119" i="1"/>
  <c r="W202" i="1"/>
  <c r="W137" i="1"/>
  <c r="W206" i="1"/>
  <c r="U71" i="1"/>
  <c r="S71" i="1" s="1"/>
  <c r="AI71" i="1"/>
  <c r="W14" i="1"/>
  <c r="U85" i="1"/>
  <c r="S85" i="1" s="1"/>
  <c r="AI85" i="1"/>
  <c r="W35" i="1"/>
  <c r="W55" i="1"/>
  <c r="AI125" i="1"/>
  <c r="U188" i="1"/>
  <c r="S188" i="1" s="1"/>
  <c r="W104" i="1"/>
  <c r="U129" i="1"/>
  <c r="S129" i="1" s="1"/>
  <c r="AI164" i="1"/>
  <c r="U145" i="1"/>
  <c r="S145" i="1" s="1"/>
  <c r="AI180" i="1"/>
  <c r="U216" i="1"/>
  <c r="S216" i="1" s="1"/>
  <c r="AI216" i="1"/>
  <c r="W184" i="1"/>
  <c r="W123" i="1"/>
  <c r="M28" i="5"/>
  <c r="AE20" i="3" l="1"/>
  <c r="AD20" i="3"/>
  <c r="B33" i="9" l="1"/>
  <c r="B34" i="9"/>
  <c r="B35" i="9"/>
  <c r="B36" i="9"/>
  <c r="B37" i="9"/>
  <c r="B38" i="9"/>
  <c r="C38" i="9" s="1"/>
  <c r="B39" i="9"/>
  <c r="B40" i="9"/>
  <c r="B41" i="9"/>
  <c r="B42" i="9"/>
  <c r="B43" i="9"/>
  <c r="B44" i="9"/>
  <c r="B45" i="9"/>
  <c r="B46" i="9"/>
  <c r="C46" i="9" s="1"/>
  <c r="B47" i="9"/>
  <c r="B48" i="9"/>
  <c r="B49" i="9"/>
  <c r="C45" i="9" l="1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X13" i="1"/>
  <c r="AG13" i="1"/>
  <c r="AI13" i="1" s="1"/>
  <c r="T13" i="1"/>
  <c r="U13" i="1" l="1"/>
  <c r="S13" i="1" s="1"/>
  <c r="W13" i="1"/>
  <c r="M23" i="5" l="1"/>
  <c r="B31" i="9" l="1"/>
  <c r="B32" i="9"/>
  <c r="C33" i="9" s="1"/>
  <c r="C32" i="9" l="1"/>
  <c r="B3" i="6" l="1"/>
  <c r="I3" i="6" s="1"/>
  <c r="G3" i="6" l="1"/>
  <c r="J3" i="6"/>
  <c r="F3" i="6"/>
  <c r="B4" i="6"/>
  <c r="I4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7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9" i="3" s="1"/>
  <c r="G51" i="4"/>
  <c r="G52" i="4"/>
  <c r="G53" i="4"/>
  <c r="G54" i="4"/>
  <c r="G55" i="4"/>
  <c r="G56" i="4"/>
  <c r="G57" i="4"/>
  <c r="N8" i="3" s="1"/>
  <c r="G58" i="4"/>
  <c r="G59" i="4"/>
  <c r="G60" i="4"/>
  <c r="G61" i="4"/>
  <c r="G62" i="4"/>
  <c r="G63" i="4"/>
  <c r="G64" i="4"/>
  <c r="G65" i="4"/>
  <c r="G66" i="4"/>
  <c r="G67" i="4"/>
  <c r="G68" i="4"/>
  <c r="N21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26" i="3" s="1"/>
  <c r="G82" i="4"/>
  <c r="G83" i="4"/>
  <c r="G84" i="4"/>
  <c r="G85" i="4"/>
  <c r="G86" i="4"/>
  <c r="G87" i="4"/>
  <c r="N11" i="3" s="1"/>
  <c r="G88" i="4"/>
  <c r="G89" i="4"/>
  <c r="G90" i="4"/>
  <c r="G91" i="4"/>
  <c r="G92" i="4"/>
  <c r="N10" i="3" s="1"/>
  <c r="G93" i="4"/>
  <c r="G94" i="4"/>
  <c r="N23" i="3" s="1"/>
  <c r="G95" i="4"/>
  <c r="G96" i="4"/>
  <c r="G97" i="4"/>
  <c r="G98" i="4"/>
  <c r="G99" i="4"/>
  <c r="G100" i="4"/>
  <c r="G101" i="4"/>
  <c r="N22" i="3" s="1"/>
  <c r="G102" i="4"/>
  <c r="G103" i="4"/>
  <c r="G104" i="4"/>
  <c r="G105" i="4"/>
  <c r="G106" i="4"/>
  <c r="G107" i="4"/>
  <c r="G108" i="4"/>
  <c r="N14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24" i="3" s="1"/>
  <c r="G140" i="4"/>
  <c r="G141" i="4"/>
  <c r="G142" i="4"/>
  <c r="G143" i="4"/>
  <c r="G144" i="4"/>
  <c r="N27" i="3" s="1"/>
  <c r="G145" i="4"/>
  <c r="N12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25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N17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13" i="3" s="1"/>
  <c r="G201" i="4"/>
  <c r="G202" i="4"/>
  <c r="N18" i="3" s="1"/>
  <c r="G203" i="4"/>
  <c r="G204" i="4"/>
  <c r="N19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5" i="3" l="1"/>
  <c r="N16" i="3"/>
  <c r="N20" i="3"/>
  <c r="H3" i="6"/>
  <c r="L13" i="1"/>
  <c r="G4" i="6"/>
  <c r="F4" i="6"/>
  <c r="J4" i="6"/>
  <c r="H4" i="6"/>
  <c r="B5" i="6" l="1"/>
  <c r="I5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5" i="6" l="1"/>
  <c r="J5" i="6"/>
  <c r="F5" i="6"/>
  <c r="H5" i="6"/>
  <c r="B6" i="6"/>
  <c r="I6" i="6" s="1"/>
  <c r="G6" i="6" l="1"/>
  <c r="H6" i="6"/>
  <c r="F6" i="6"/>
  <c r="J6" i="6"/>
  <c r="B7" i="6"/>
  <c r="I7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8" i="6" l="1"/>
  <c r="I8" i="6" s="1"/>
  <c r="G7" i="6"/>
  <c r="F7" i="6"/>
  <c r="J7" i="6"/>
  <c r="H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9" i="6" l="1"/>
  <c r="I9" i="6" s="1"/>
  <c r="F8" i="6"/>
  <c r="J8" i="6"/>
  <c r="G8" i="6"/>
  <c r="H8" i="6"/>
  <c r="M30" i="5"/>
  <c r="M29" i="5"/>
  <c r="M27" i="5"/>
  <c r="G9" i="6" l="1"/>
  <c r="J9" i="6"/>
  <c r="F9" i="6"/>
  <c r="H9" i="6"/>
  <c r="B10" i="6"/>
  <c r="I10" i="6" s="1"/>
  <c r="M26" i="5"/>
  <c r="AH13" i="1" l="1"/>
  <c r="G10" i="6"/>
  <c r="H10" i="6"/>
  <c r="F10" i="6"/>
  <c r="J10" i="6"/>
  <c r="B11" i="6"/>
  <c r="I11" i="6" s="1"/>
  <c r="J7" i="1"/>
  <c r="B12" i="6" l="1"/>
  <c r="I12" i="6" s="1"/>
  <c r="G11" i="6"/>
  <c r="F11" i="6"/>
  <c r="J11" i="6"/>
  <c r="H11" i="6"/>
  <c r="X6" i="1"/>
  <c r="W6" i="1"/>
  <c r="V6" i="1"/>
  <c r="S6" i="1"/>
  <c r="R2" i="1"/>
  <c r="I2" i="1"/>
  <c r="O6" i="1"/>
  <c r="N6" i="1"/>
  <c r="M6" i="1"/>
  <c r="J6" i="1"/>
  <c r="F12" i="6" l="1"/>
  <c r="J12" i="6"/>
  <c r="G12" i="6"/>
  <c r="H12" i="6"/>
  <c r="B13" i="6"/>
  <c r="I13" i="6" s="1"/>
  <c r="P3" i="5"/>
  <c r="G13" i="6" l="1"/>
  <c r="J13" i="6"/>
  <c r="F13" i="6"/>
  <c r="H13" i="6"/>
  <c r="B14" i="6"/>
  <c r="I14" i="6" s="1"/>
  <c r="M18" i="5"/>
  <c r="G14" i="6" l="1"/>
  <c r="H14" i="6"/>
  <c r="F14" i="6"/>
  <c r="J14" i="6"/>
  <c r="B15" i="6"/>
  <c r="I1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6" i="6" l="1"/>
  <c r="I16" i="6" s="1"/>
  <c r="G15" i="6"/>
  <c r="F15" i="6"/>
  <c r="J15" i="6"/>
  <c r="H1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17" i="6" l="1"/>
  <c r="I17" i="6" s="1"/>
  <c r="F16" i="6"/>
  <c r="J16" i="6"/>
  <c r="G16" i="6"/>
  <c r="H16" i="6"/>
  <c r="G259" i="4"/>
  <c r="G260" i="4"/>
  <c r="G261" i="4"/>
  <c r="G262" i="4"/>
  <c r="G263" i="4"/>
  <c r="G264" i="4"/>
  <c r="G265" i="4"/>
  <c r="F17" i="6" l="1"/>
  <c r="J17" i="6"/>
  <c r="G17" i="6"/>
  <c r="H17" i="6"/>
  <c r="B18" i="6"/>
  <c r="I18" i="6" s="1"/>
  <c r="M14" i="5"/>
  <c r="M13" i="5"/>
  <c r="M12" i="5"/>
  <c r="M11" i="5"/>
  <c r="M10" i="5"/>
  <c r="M9" i="5"/>
  <c r="M8" i="5"/>
  <c r="M7" i="5"/>
  <c r="M6" i="5"/>
  <c r="M5" i="5"/>
  <c r="M4" i="5"/>
  <c r="M3" i="5"/>
  <c r="F18" i="6" l="1"/>
  <c r="H18" i="6"/>
  <c r="J18" i="6"/>
  <c r="G18" i="6"/>
  <c r="B19" i="6"/>
  <c r="I19" i="6" s="1"/>
  <c r="O2" i="3"/>
  <c r="O3" i="3" s="1"/>
  <c r="F19" i="6" l="1"/>
  <c r="J19" i="6"/>
  <c r="G19" i="6"/>
  <c r="H19" i="6"/>
  <c r="B20" i="6"/>
  <c r="I20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0" i="6" l="1"/>
  <c r="F20" i="6"/>
  <c r="G20" i="6"/>
  <c r="H20" i="6"/>
  <c r="B21" i="6"/>
  <c r="I21" i="6" s="1"/>
  <c r="J8" i="1"/>
  <c r="J4" i="1"/>
  <c r="S8" i="1"/>
  <c r="S4" i="1"/>
  <c r="F21" i="6" l="1"/>
  <c r="J21" i="6"/>
  <c r="H21" i="6"/>
  <c r="G21" i="6"/>
  <c r="B22" i="6"/>
  <c r="I22" i="6" s="1"/>
  <c r="S9" i="1"/>
  <c r="J9" i="1"/>
  <c r="B23" i="6" l="1"/>
  <c r="I23" i="6" s="1"/>
  <c r="F22" i="6"/>
  <c r="G22" i="6"/>
  <c r="J22" i="6"/>
  <c r="H22" i="6"/>
  <c r="S11" i="1"/>
  <c r="A11" i="1"/>
  <c r="B24" i="6" l="1"/>
  <c r="I24" i="6" s="1"/>
  <c r="G23" i="6"/>
  <c r="H23" i="6"/>
  <c r="J23" i="6"/>
  <c r="F23" i="6"/>
  <c r="B1" i="6"/>
  <c r="A5" i="3"/>
  <c r="G24" i="6" l="1"/>
  <c r="F24" i="6"/>
  <c r="J24" i="6"/>
  <c r="H24" i="6"/>
  <c r="B25" i="6"/>
  <c r="I25" i="6" s="1"/>
  <c r="F25" i="6" l="1"/>
  <c r="J25" i="6"/>
  <c r="G25" i="6"/>
  <c r="H25" i="6"/>
  <c r="B26" i="6"/>
  <c r="I26" i="6" s="1"/>
  <c r="B27" i="6" l="1"/>
  <c r="I27" i="6" s="1"/>
  <c r="J26" i="6"/>
  <c r="G26" i="6"/>
  <c r="F26" i="6"/>
  <c r="H26" i="6"/>
  <c r="F27" i="6" l="1"/>
  <c r="G27" i="6"/>
  <c r="H27" i="6"/>
  <c r="J27" i="6"/>
  <c r="B28" i="6"/>
  <c r="I28" i="6" s="1"/>
  <c r="J28" i="6" l="1"/>
  <c r="H28" i="6"/>
  <c r="F28" i="6"/>
  <c r="G28" i="6"/>
  <c r="B29" i="6"/>
  <c r="I29" i="6" s="1"/>
  <c r="B30" i="6" l="1"/>
  <c r="I30" i="6" s="1"/>
  <c r="J29" i="6"/>
  <c r="F29" i="6"/>
  <c r="H29" i="6"/>
  <c r="G29" i="6"/>
  <c r="F30" i="6" l="1"/>
  <c r="G30" i="6"/>
  <c r="H30" i="6"/>
  <c r="J30" i="6"/>
  <c r="B31" i="6"/>
  <c r="I31" i="6" s="1"/>
  <c r="G31" i="6" l="1"/>
  <c r="H31" i="6"/>
  <c r="J31" i="6"/>
  <c r="F31" i="6"/>
  <c r="B32" i="6"/>
  <c r="I32" i="6" s="1"/>
  <c r="F32" i="6" l="1"/>
  <c r="H32" i="6"/>
  <c r="J32" i="6"/>
  <c r="G32" i="6"/>
  <c r="B33" i="6"/>
  <c r="I33" i="6" s="1"/>
  <c r="F33" i="6" l="1"/>
  <c r="J33" i="6"/>
  <c r="G33" i="6"/>
  <c r="H33" i="6"/>
  <c r="B34" i="6"/>
  <c r="I34" i="6" s="1"/>
  <c r="B35" i="6" l="1"/>
  <c r="I35" i="6" s="1"/>
  <c r="F34" i="6"/>
  <c r="H34" i="6"/>
  <c r="J34" i="6"/>
  <c r="G34" i="6"/>
  <c r="F35" i="6" l="1"/>
  <c r="H35" i="6"/>
  <c r="J35" i="6"/>
  <c r="G35" i="6"/>
  <c r="B36" i="6"/>
  <c r="I36" i="6" s="1"/>
  <c r="J36" i="6" l="1"/>
  <c r="H36" i="6"/>
  <c r="F36" i="6"/>
  <c r="G36" i="6"/>
  <c r="B37" i="6"/>
  <c r="I37" i="6" s="1"/>
  <c r="B38" i="6" l="1"/>
  <c r="I38" i="6" s="1"/>
  <c r="F37" i="6"/>
  <c r="G37" i="6"/>
  <c r="H37" i="6"/>
  <c r="J37" i="6"/>
  <c r="B39" i="6" l="1"/>
  <c r="I39" i="6" s="1"/>
  <c r="H38" i="6"/>
  <c r="F38" i="6"/>
  <c r="J38" i="6"/>
  <c r="G38" i="6"/>
  <c r="B40" i="6" l="1"/>
  <c r="I40" i="6" s="1"/>
  <c r="F39" i="6"/>
  <c r="H39" i="6"/>
  <c r="J39" i="6"/>
  <c r="G39" i="6"/>
  <c r="F40" i="6" l="1"/>
  <c r="G40" i="6"/>
  <c r="J40" i="6"/>
  <c r="H40" i="6"/>
  <c r="B41" i="6"/>
  <c r="I41" i="6" s="1"/>
  <c r="F41" i="6" l="1"/>
  <c r="J41" i="6"/>
  <c r="H41" i="6"/>
  <c r="G41" i="6"/>
  <c r="B42" i="6"/>
  <c r="I42" i="6" s="1"/>
  <c r="F42" i="6" l="1"/>
  <c r="H42" i="6"/>
  <c r="G42" i="6"/>
  <c r="J42" i="6"/>
  <c r="B43" i="6"/>
  <c r="I43" i="6" s="1"/>
  <c r="B44" i="6" l="1"/>
  <c r="I44" i="6" s="1"/>
  <c r="G43" i="6"/>
  <c r="F43" i="6"/>
  <c r="H43" i="6"/>
  <c r="J43" i="6"/>
  <c r="J44" i="6" l="1"/>
  <c r="H44" i="6"/>
  <c r="F44" i="6"/>
  <c r="G44" i="6"/>
  <c r="B45" i="6"/>
  <c r="I45" i="6" s="1"/>
  <c r="H45" i="6" l="1"/>
  <c r="J45" i="6"/>
  <c r="F45" i="6"/>
  <c r="G45" i="6"/>
  <c r="B46" i="6"/>
  <c r="I46" i="6" s="1"/>
  <c r="H46" i="6" l="1"/>
  <c r="J46" i="6"/>
  <c r="F46" i="6"/>
  <c r="G46" i="6"/>
  <c r="B47" i="6"/>
  <c r="I47" i="6" s="1"/>
  <c r="H47" i="6" l="1"/>
  <c r="J47" i="6"/>
  <c r="F47" i="6"/>
  <c r="G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F51" i="6" l="1"/>
  <c r="H51" i="6"/>
  <c r="J51" i="6"/>
  <c r="G51" i="6"/>
  <c r="B52" i="6"/>
  <c r="I52" i="6" s="1"/>
  <c r="B53" i="6" l="1"/>
  <c r="I53" i="6" s="1"/>
  <c r="F52" i="6"/>
  <c r="G52" i="6"/>
  <c r="J52" i="6"/>
  <c r="H52" i="6"/>
  <c r="G53" i="6" l="1"/>
  <c r="F53" i="6"/>
  <c r="H53" i="6"/>
  <c r="J53" i="6"/>
  <c r="B54" i="6"/>
  <c r="I54" i="6" s="1"/>
  <c r="F54" i="6" l="1"/>
  <c r="J54" i="6"/>
  <c r="G54" i="6"/>
  <c r="H54" i="6"/>
  <c r="B55" i="6"/>
  <c r="I55" i="6" s="1"/>
  <c r="G55" i="6" l="1"/>
  <c r="H55" i="6"/>
  <c r="J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B59" i="6" l="1"/>
  <c r="I59" i="6" s="1"/>
  <c r="G58" i="6"/>
  <c r="J58" i="6"/>
  <c r="F58" i="6"/>
  <c r="H58" i="6"/>
  <c r="F59" i="6" l="1"/>
  <c r="G59" i="6"/>
  <c r="J59" i="6"/>
  <c r="H59" i="6"/>
  <c r="B60" i="6"/>
  <c r="I60" i="6" s="1"/>
  <c r="B61" i="6" l="1"/>
  <c r="I61" i="6" s="1"/>
  <c r="F60" i="6"/>
  <c r="G60" i="6"/>
  <c r="J60" i="6"/>
  <c r="H60" i="6"/>
  <c r="G61" i="6" l="1"/>
  <c r="H61" i="6"/>
  <c r="J61" i="6"/>
  <c r="F61" i="6"/>
  <c r="B62" i="6"/>
  <c r="I62" i="6" s="1"/>
  <c r="B63" i="6" l="1"/>
  <c r="I63" i="6" s="1"/>
  <c r="G62" i="6"/>
  <c r="H62" i="6"/>
  <c r="J62" i="6"/>
  <c r="F62" i="6"/>
  <c r="F63" i="6" l="1"/>
  <c r="G63" i="6"/>
  <c r="H63" i="6"/>
  <c r="J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G65" i="6"/>
  <c r="F65" i="6"/>
  <c r="H65" i="6"/>
  <c r="B67" i="6" l="1"/>
  <c r="I67" i="6" s="1"/>
  <c r="J66" i="6"/>
  <c r="G66" i="6"/>
  <c r="F66" i="6"/>
  <c r="H66" i="6"/>
  <c r="H67" i="6" l="1"/>
  <c r="F67" i="6"/>
  <c r="G67" i="6"/>
  <c r="J67" i="6"/>
  <c r="B68" i="6"/>
  <c r="I68" i="6" s="1"/>
  <c r="B69" i="6" l="1"/>
  <c r="I69" i="6" s="1"/>
  <c r="F68" i="6"/>
  <c r="G68" i="6"/>
  <c r="J68" i="6"/>
  <c r="H68" i="6"/>
  <c r="B70" i="6" l="1"/>
  <c r="I70" i="6" s="1"/>
  <c r="J69" i="6"/>
  <c r="F69" i="6"/>
  <c r="G69" i="6"/>
  <c r="H69" i="6"/>
  <c r="F70" i="6" l="1"/>
  <c r="J70" i="6"/>
  <c r="G70" i="6"/>
  <c r="H70" i="6"/>
  <c r="B71" i="6"/>
  <c r="I71" i="6" s="1"/>
  <c r="H71" i="6" l="1"/>
  <c r="J71" i="6"/>
  <c r="G71" i="6"/>
  <c r="F71" i="6"/>
  <c r="B72" i="6"/>
  <c r="I72" i="6" s="1"/>
  <c r="B73" i="6" l="1"/>
  <c r="I73" i="6" s="1"/>
  <c r="J72" i="6"/>
  <c r="H72" i="6"/>
  <c r="F72" i="6"/>
  <c r="G72" i="6"/>
  <c r="J73" i="6" l="1"/>
  <c r="G73" i="6"/>
  <c r="F73" i="6"/>
  <c r="H73" i="6"/>
  <c r="B74" i="6"/>
  <c r="I74" i="6" s="1"/>
  <c r="G74" i="6" l="1"/>
  <c r="H74" i="6"/>
  <c r="J74" i="6"/>
  <c r="F74" i="6"/>
  <c r="B75" i="6"/>
  <c r="I75" i="6" s="1"/>
  <c r="G75" i="6" l="1"/>
  <c r="F75" i="6"/>
  <c r="H75" i="6"/>
  <c r="J75" i="6"/>
  <c r="B76" i="6"/>
  <c r="I76" i="6" s="1"/>
  <c r="B77" i="6" l="1"/>
  <c r="I77" i="6" s="1"/>
  <c r="J76" i="6"/>
  <c r="F76" i="6"/>
  <c r="H76" i="6"/>
  <c r="G76" i="6"/>
  <c r="B78" i="6" l="1"/>
  <c r="I78" i="6" s="1"/>
  <c r="J77" i="6"/>
  <c r="F77" i="6"/>
  <c r="G77" i="6"/>
  <c r="H77" i="6"/>
  <c r="H78" i="6" l="1"/>
  <c r="G78" i="6"/>
  <c r="F78" i="6"/>
  <c r="J78" i="6"/>
  <c r="B79" i="6"/>
  <c r="I79" i="6" s="1"/>
  <c r="G79" i="6" l="1"/>
  <c r="H79" i="6"/>
  <c r="J79" i="6"/>
  <c r="F79" i="6"/>
  <c r="B80" i="6"/>
  <c r="I80" i="6" s="1"/>
  <c r="B81" i="6" l="1"/>
  <c r="I81" i="6" s="1"/>
  <c r="J80" i="6"/>
  <c r="F80" i="6"/>
  <c r="H80" i="6"/>
  <c r="G80" i="6"/>
  <c r="B82" i="6" l="1"/>
  <c r="I82" i="6" s="1"/>
  <c r="J81" i="6"/>
  <c r="F81" i="6"/>
  <c r="G81" i="6"/>
  <c r="H81" i="6"/>
  <c r="B83" i="6" l="1"/>
  <c r="I83" i="6" s="1"/>
  <c r="J82" i="6"/>
  <c r="F82" i="6"/>
  <c r="G82" i="6"/>
  <c r="H82" i="6"/>
  <c r="J83" i="6" l="1"/>
  <c r="F83" i="6"/>
  <c r="H83" i="6"/>
  <c r="G83" i="6"/>
  <c r="B84" i="6"/>
  <c r="I84" i="6" s="1"/>
  <c r="F84" i="6" l="1"/>
  <c r="J84" i="6"/>
  <c r="H84" i="6"/>
  <c r="G84" i="6"/>
  <c r="B85" i="6"/>
  <c r="I85" i="6" s="1"/>
  <c r="J85" i="6" l="1"/>
  <c r="G85" i="6"/>
  <c r="F85" i="6"/>
  <c r="H85" i="6"/>
  <c r="B86" i="6"/>
  <c r="I86" i="6" s="1"/>
  <c r="B87" i="6" l="1"/>
  <c r="I87" i="6" s="1"/>
  <c r="F86" i="6"/>
  <c r="G86" i="6"/>
  <c r="H86" i="6"/>
  <c r="J86" i="6"/>
  <c r="F87" i="6" l="1"/>
  <c r="G87" i="6"/>
  <c r="H87" i="6"/>
  <c r="J87" i="6"/>
  <c r="B88" i="6"/>
  <c r="I88" i="6" s="1"/>
  <c r="B89" i="6" l="1"/>
  <c r="I89" i="6" s="1"/>
  <c r="J88" i="6"/>
  <c r="F88" i="6"/>
  <c r="G88" i="6"/>
  <c r="H88" i="6"/>
  <c r="F89" i="6" l="1"/>
  <c r="H89" i="6"/>
  <c r="G89" i="6"/>
  <c r="J89" i="6"/>
  <c r="B90" i="6"/>
  <c r="I90" i="6" s="1"/>
  <c r="B91" i="6" l="1"/>
  <c r="I91" i="6" s="1"/>
  <c r="H90" i="6"/>
  <c r="G90" i="6"/>
  <c r="F90" i="6"/>
  <c r="J90" i="6"/>
  <c r="B92" i="6" l="1"/>
  <c r="I92" i="6" s="1"/>
  <c r="J91" i="6"/>
  <c r="H91" i="6"/>
  <c r="F91" i="6"/>
  <c r="G91" i="6"/>
  <c r="J92" i="6" l="1"/>
  <c r="H92" i="6"/>
  <c r="F92" i="6"/>
  <c r="G92" i="6"/>
  <c r="B93" i="6"/>
  <c r="I93" i="6" s="1"/>
  <c r="J93" i="6" l="1"/>
  <c r="F93" i="6"/>
  <c r="H93" i="6"/>
  <c r="G93" i="6"/>
  <c r="B94" i="6"/>
  <c r="I94" i="6" s="1"/>
  <c r="B95" i="6" l="1"/>
  <c r="I95" i="6" s="1"/>
  <c r="F94" i="6"/>
  <c r="J94" i="6"/>
  <c r="G94" i="6"/>
  <c r="H94" i="6"/>
  <c r="B96" i="6" l="1"/>
  <c r="I96" i="6" s="1"/>
  <c r="F95" i="6"/>
  <c r="G95" i="6"/>
  <c r="H95" i="6"/>
  <c r="J95" i="6"/>
  <c r="B97" i="6" l="1"/>
  <c r="I97" i="6" s="1"/>
  <c r="J96" i="6"/>
  <c r="H96" i="6"/>
  <c r="G96" i="6"/>
  <c r="F96" i="6"/>
  <c r="B98" i="6" l="1"/>
  <c r="I98" i="6" s="1"/>
  <c r="H97" i="6"/>
  <c r="J97" i="6"/>
  <c r="F97" i="6"/>
  <c r="G97" i="6"/>
  <c r="G98" i="6" l="1"/>
  <c r="H98" i="6"/>
  <c r="J98" i="6"/>
  <c r="F98" i="6"/>
  <c r="B99" i="6"/>
  <c r="I99" i="6" s="1"/>
  <c r="B100" i="6" l="1"/>
  <c r="I100" i="6" s="1"/>
  <c r="G99" i="6"/>
  <c r="J99" i="6"/>
  <c r="H99" i="6"/>
  <c r="F99" i="6"/>
  <c r="F100" i="6" l="1"/>
  <c r="H100" i="6"/>
  <c r="J100" i="6"/>
  <c r="G100" i="6"/>
  <c r="B101" i="6"/>
  <c r="I101" i="6" s="1"/>
  <c r="H101" i="6" l="1"/>
  <c r="F101" i="6"/>
  <c r="G101" i="6"/>
  <c r="J101" i="6"/>
  <c r="B102" i="6"/>
  <c r="I102" i="6" s="1"/>
  <c r="H102" i="6" l="1"/>
  <c r="G102" i="6"/>
  <c r="F102" i="6"/>
  <c r="J102" i="6"/>
  <c r="B103" i="6"/>
  <c r="I103" i="6" s="1"/>
  <c r="H103" i="6" l="1"/>
  <c r="J103" i="6"/>
  <c r="G103" i="6"/>
  <c r="F103" i="6"/>
  <c r="B104" i="6"/>
  <c r="I104" i="6" s="1"/>
  <c r="J104" i="6" l="1"/>
  <c r="G104" i="6"/>
  <c r="F104" i="6"/>
  <c r="H104" i="6"/>
  <c r="B105" i="6"/>
  <c r="I105" i="6" s="1"/>
  <c r="J105" i="6" l="1"/>
  <c r="F105" i="6"/>
  <c r="H105" i="6"/>
  <c r="G105" i="6"/>
  <c r="B106" i="6"/>
  <c r="I106" i="6" s="1"/>
  <c r="G106" i="6" l="1"/>
  <c r="H106" i="6"/>
  <c r="F106" i="6"/>
  <c r="J106" i="6"/>
  <c r="B107" i="6"/>
  <c r="I107" i="6" s="1"/>
  <c r="B108" i="6" l="1"/>
  <c r="I108" i="6" s="1"/>
  <c r="J107" i="6"/>
  <c r="G107" i="6"/>
  <c r="H107" i="6"/>
  <c r="F107" i="6"/>
  <c r="J108" i="6" l="1"/>
  <c r="F108" i="6"/>
  <c r="H108" i="6"/>
  <c r="G108" i="6"/>
  <c r="B109" i="6"/>
  <c r="I109" i="6" s="1"/>
  <c r="B110" i="6" l="1"/>
  <c r="I110" i="6" s="1"/>
  <c r="J109" i="6"/>
  <c r="G109" i="6"/>
  <c r="H109" i="6"/>
  <c r="F109" i="6"/>
  <c r="B111" i="6" l="1"/>
  <c r="I111" i="6" s="1"/>
  <c r="F110" i="6"/>
  <c r="H110" i="6"/>
  <c r="G110" i="6"/>
  <c r="J110" i="6"/>
  <c r="B112" i="6" l="1"/>
  <c r="I112" i="6" s="1"/>
  <c r="J111" i="6"/>
  <c r="F111" i="6"/>
  <c r="G111" i="6"/>
  <c r="H111" i="6"/>
  <c r="B113" i="6" l="1"/>
  <c r="I113" i="6" s="1"/>
  <c r="J112" i="6"/>
  <c r="H112" i="6"/>
  <c r="G112" i="6"/>
  <c r="F112" i="6"/>
  <c r="G113" i="6" l="1"/>
  <c r="H113" i="6"/>
  <c r="J113" i="6"/>
  <c r="F113" i="6"/>
  <c r="B114" i="6"/>
  <c r="I114" i="6" s="1"/>
  <c r="B115" i="6" l="1"/>
  <c r="I115" i="6" s="1"/>
  <c r="J114" i="6"/>
  <c r="F114" i="6"/>
  <c r="G114" i="6"/>
  <c r="H114" i="6"/>
  <c r="F115" i="6" l="1"/>
  <c r="G115" i="6"/>
  <c r="H115" i="6"/>
  <c r="J115" i="6"/>
  <c r="B116" i="6"/>
  <c r="I116" i="6" s="1"/>
  <c r="F116" i="6" l="1"/>
  <c r="H116" i="6"/>
  <c r="G116" i="6"/>
  <c r="J116" i="6"/>
  <c r="B117" i="6"/>
  <c r="I117" i="6" s="1"/>
  <c r="J117" i="6" l="1"/>
  <c r="H117" i="6"/>
  <c r="F117" i="6"/>
  <c r="G117" i="6"/>
  <c r="B118" i="6"/>
  <c r="I118" i="6" s="1"/>
  <c r="F118" i="6" l="1"/>
  <c r="H118" i="6"/>
  <c r="G118" i="6"/>
  <c r="J118" i="6"/>
  <c r="B119" i="6"/>
  <c r="I119" i="6" s="1"/>
  <c r="F119" i="6" l="1"/>
  <c r="H119" i="6"/>
  <c r="G119" i="6"/>
  <c r="J119" i="6"/>
  <c r="B120" i="6"/>
  <c r="I120" i="6" s="1"/>
  <c r="J120" i="6" l="1"/>
  <c r="F120" i="6"/>
  <c r="G120" i="6"/>
  <c r="H120" i="6"/>
  <c r="B121" i="6"/>
  <c r="I121" i="6" s="1"/>
  <c r="G121" i="6" l="1"/>
  <c r="H121" i="6"/>
  <c r="J121" i="6"/>
  <c r="F121" i="6"/>
  <c r="B122" i="6"/>
  <c r="I122" i="6" s="1"/>
  <c r="B123" i="6" l="1"/>
  <c r="I123" i="6" s="1"/>
  <c r="H122" i="6"/>
  <c r="G122" i="6"/>
  <c r="J122" i="6"/>
  <c r="F122" i="6"/>
  <c r="B124" i="6" l="1"/>
  <c r="I124" i="6" s="1"/>
  <c r="J123" i="6"/>
  <c r="G123" i="6"/>
  <c r="H123" i="6"/>
  <c r="F123" i="6"/>
  <c r="H124" i="6" l="1"/>
  <c r="F124" i="6"/>
  <c r="G124" i="6"/>
  <c r="J124" i="6"/>
  <c r="B125" i="6"/>
  <c r="I125" i="6" s="1"/>
  <c r="F125" i="6" l="1"/>
  <c r="H125" i="6"/>
  <c r="J125" i="6"/>
  <c r="G125" i="6"/>
  <c r="B126" i="6"/>
  <c r="I126" i="6" s="1"/>
  <c r="F126" i="6" l="1"/>
  <c r="G126" i="6"/>
  <c r="J126" i="6"/>
  <c r="H126" i="6"/>
  <c r="B127" i="6"/>
  <c r="I127" i="6" s="1"/>
  <c r="B128" i="6" l="1"/>
  <c r="I128" i="6" s="1"/>
  <c r="H127" i="6"/>
  <c r="J127" i="6"/>
  <c r="F127" i="6"/>
  <c r="G127" i="6"/>
  <c r="B129" i="6" l="1"/>
  <c r="I129" i="6" s="1"/>
  <c r="J128" i="6"/>
  <c r="H128" i="6"/>
  <c r="G128" i="6"/>
  <c r="F128" i="6"/>
  <c r="B131" i="6" l="1"/>
  <c r="I131" i="6" s="1"/>
  <c r="B130" i="6"/>
  <c r="I130" i="6" s="1"/>
  <c r="F129" i="6"/>
  <c r="G129" i="6"/>
  <c r="H129" i="6"/>
  <c r="J129" i="6"/>
  <c r="G130" i="6" l="1"/>
  <c r="H130" i="6"/>
  <c r="J130" i="6"/>
  <c r="F130" i="6"/>
  <c r="J131" i="6"/>
  <c r="F131" i="6"/>
  <c r="G131" i="6"/>
  <c r="H13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<sst xmlns="http://schemas.openxmlformats.org/spreadsheetml/2006/main" count="2411" uniqueCount="883">
  <si>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</si>
  <si>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</si>
  <si>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</si>
  <si>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</si>
  <si>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</si>
  <si>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</si>
  <si>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</si>
  <si>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</si>
  <si>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</si>
  <si>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</si>
  <si>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</si>
  <si>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</si>
  <si>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</si>
  <si>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</si>
  <si>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</si>
  <si>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</si>
  <si>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</si>
  <si>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</si>
  <si>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</si>
  <si>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</si>
  <si>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</si>
  <si>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</si>
  <si>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</si>
  <si>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</si>
  <si>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</si>
  <si>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</si>
  <si>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</si>
  <si>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</si>
  <si>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</si>
  <si>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</si>
  <si>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</si>
  <si>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</si>
  <si>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</si>
  <si>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</si>
  <si>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</si>
  <si>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</si>
  <si>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</si>
  <si>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</si>
  <si>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</si>
  <si>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</si>
  <si>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</si>
  <si>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</si>
  <si>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</si>
  <si>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</si>
  <si>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</si>
  <si>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</si>
  <si>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</si>
  <si>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</si>
  <si>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</si>
  <si>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</si>
  <si>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</si>
  <si>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</si>
  <si>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</si>
  <si>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</si>
  <si>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</si>
  <si>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</si>
  <si>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</si>
  <si>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</si>
  <si>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</si>
  <si>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</si>
  <si>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</si>
  <si>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</si>
  <si>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</si>
  <si>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</si>
  <si>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</si>
  <si>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</si>
  <si>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</si>
  <si>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</si>
  <si>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</si>
  <si>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</si>
  <si>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</si>
  <si>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</si>
  <si>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</si>
  <si>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</si>
  <si>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</si>
  <si>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</si>
  <si>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</si>
  <si>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</si>
  <si>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</si>
  <si>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</si>
  <si>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</si>
  <si>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</si>
  <si>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</si>
  <si>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</si>
  <si>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</si>
  <si>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</si>
  <si>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</si>
  <si>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</si>
  <si>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</si>
  <si>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</si>
  <si>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</si>
  <si>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</si>
  <si>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</si>
  <si>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</si>
  <si>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</si>
  <si>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</si>
  <si>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</si>
  <si>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</si>
  <si>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</si>
  <si>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</si>
  <si>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</si>
  <si>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</si>
  <si>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</si>
  <si>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</si>
  <si>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</si>
  <si>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</si>
  <si>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</si>
  <si>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</si>
  <si>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</si>
  <si>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</si>
  <si>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</si>
  <si>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</si>
  <si>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</si>
  <si>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</si>
  <si>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</si>
  <si>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</si>
  <si>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</si>
  <si>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</si>
  <si>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</si>
  <si>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</si>
  <si>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</si>
  <si>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</si>
  <si>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</si>
  <si>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</si>
  <si>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</si>
  <si>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</si>
  <si>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</si>
  <si>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</si>
  <si>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</si>
  <si>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</si>
  <si>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</si>
  <si>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</si>
  <si>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</si>
  <si>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</si>
  <si>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</si>
  <si>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</si>
  <si>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</si>
  <si>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</si>
  <si>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</si>
  <si>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</si>
  <si>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</si>
  <si>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</si>
  <si>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</si>
  <si>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</si>
  <si>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</si>
  <si>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</si>
  <si>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</si>
  <si>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</si>
  <si>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</si>
  <si>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</si>
  <si>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</si>
  <si>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</si>
  <si>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</si>
  <si>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</si>
  <si>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</si>
  <si>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</si>
  <si>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</si>
  <si>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</si>
  <si>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</si>
  <si>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</si>
  <si>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</si>
  <si>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</si>
  <si>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</si>
  <si>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</si>
  <si>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</si>
  <si>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</si>
  <si>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</si>
  <si>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</si>
  <si>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</si>
  <si>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</si>
  <si>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</si>
  <si>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</si>
  <si>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</si>
  <si>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</si>
  <si>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</si>
  <si>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</si>
  <si>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</si>
  <si>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</si>
  <si>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</si>
  <si>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</si>
  <si>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</si>
  <si>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</si>
  <si>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</si>
  <si>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</si>
  <si>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</si>
  <si>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</si>
  <si>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</si>
  <si>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</si>
  <si>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</si>
  <si>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</si>
  <si>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</si>
  <si>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</si>
  <si>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</si>
  <si>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</si>
  <si>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</si>
  <si>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</si>
  <si>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</si>
  <si>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</si>
  <si>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</si>
  <si>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</si>
  <si>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</si>
  <si>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</si>
  <si>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</si>
  <si>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</si>
  <si>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</si>
  <si>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</si>
  <si>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</si>
  <si>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</si>
  <si>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</si>
  <si>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</si>
  <si>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204:232977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</si>
  <si>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</si>
  <si>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</si>
  <si>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</si>
  <si>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</si>
  <si>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</si>
  <si>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</si>
  <si>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</si>
  <si>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</si>
  <si>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</si>
  <si>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</si>
  <si>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</si>
  <si>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</si>
  <si>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</si>
  <si>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</si>
  <si>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</si>
  <si>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</si>
  <si>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</si>
  <si>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204:138</t>
  </si>
  <si>
    <t>204:163</t>
  </si>
  <si>
    <t>204:154</t>
  </si>
  <si>
    <t>204:233297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</si>
  <si>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</si>
  <si>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</si>
  <si>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</si>
  <si>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</si>
  <si>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</si>
  <si>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</si>
  <si>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</si>
  <si>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</si>
  <si>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</si>
  <si>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</si>
  <si>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</si>
  <si>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</si>
  <si>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204:466</t>
  </si>
  <si>
    <t>204:233295</t>
  </si>
  <si>
    <t>rtdc.l.rtdc.4015:itc</t>
  </si>
  <si>
    <t>rtdc.l.rtdc.4029:itc</t>
  </si>
  <si>
    <t>204:451</t>
  </si>
  <si>
    <t>204:457</t>
  </si>
  <si>
    <t>300:23346</t>
  </si>
  <si>
    <t>STORY</t>
  </si>
  <si>
    <t>SAMANTHA</t>
  </si>
  <si>
    <t>204:460</t>
  </si>
  <si>
    <t>204:232996</t>
  </si>
  <si>
    <t>204:161</t>
  </si>
  <si>
    <t>rtdc.l.rtdc.4039:itc</t>
  </si>
  <si>
    <t>rtdc.l.rtdc.4007:itc</t>
  </si>
  <si>
    <t>BROWN</t>
  </si>
  <si>
    <t>JACOB</t>
  </si>
  <si>
    <t>204:444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</si>
  <si>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</si>
  <si>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</si>
  <si>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</si>
  <si>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</si>
  <si>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</si>
  <si>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</si>
  <si>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</si>
  <si>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</si>
  <si>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</si>
  <si>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</si>
  <si>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</si>
  <si>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</si>
  <si>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</si>
  <si>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</si>
  <si>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</si>
  <si>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</si>
  <si>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</si>
  <si>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204:464</t>
  </si>
  <si>
    <t>204:233310</t>
  </si>
  <si>
    <t>rtdc.l.rtdc.4043:itc</t>
  </si>
  <si>
    <t>rtdc.l.rtdc.4044:itc</t>
  </si>
  <si>
    <t>SMITH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</si>
  <si>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</si>
  <si>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</si>
  <si>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</si>
  <si>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</si>
  <si>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</si>
  <si>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</si>
  <si>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</si>
  <si>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</si>
  <si>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</si>
  <si>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</si>
  <si>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</si>
  <si>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</si>
  <si>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</si>
  <si>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</si>
  <si>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</si>
  <si>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</si>
  <si>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204:233002</t>
  </si>
  <si>
    <t>204:232980</t>
  </si>
  <si>
    <t>204:233312</t>
  </si>
  <si>
    <t>rtdc.l.rtdc.4041:itc</t>
  </si>
  <si>
    <t>rtdc.l.rtdc.4009:itc</t>
  </si>
  <si>
    <t>rtdc.l.rtdc.4042:itc</t>
  </si>
  <si>
    <t>204:136</t>
  </si>
  <si>
    <t>204:232982</t>
  </si>
  <si>
    <t>204:233309</t>
  </si>
  <si>
    <t>204:438</t>
  </si>
  <si>
    <t>204:232975</t>
  </si>
  <si>
    <t>204:233301</t>
  </si>
  <si>
    <t>204:232994</t>
  </si>
  <si>
    <t>204:467</t>
  </si>
  <si>
    <t>300:58933</t>
  </si>
  <si>
    <t>rtdc.l.rtdc.4017:itc</t>
  </si>
  <si>
    <t>rtdc.l.rtdc.4018:itc</t>
  </si>
  <si>
    <t>204:233314</t>
  </si>
  <si>
    <t>300:58935</t>
  </si>
  <si>
    <t>rtdc.l.rtdc.4001:itc</t>
  </si>
  <si>
    <t>PERKINS</t>
  </si>
  <si>
    <t>DARREN</t>
  </si>
  <si>
    <t>GEBRETEKLE</t>
  </si>
  <si>
    <t>DAGNEW</t>
  </si>
  <si>
    <t>rtdc.l.rtdc.4002:itc</t>
  </si>
  <si>
    <t>WHITED</t>
  </si>
  <si>
    <t>204:233307</t>
  </si>
  <si>
    <t>204:156</t>
  </si>
  <si>
    <t>204:232989</t>
  </si>
  <si>
    <t>204:446</t>
  </si>
  <si>
    <t>204:455</t>
  </si>
  <si>
    <t>204:233302</t>
  </si>
  <si>
    <t>204:232981</t>
  </si>
  <si>
    <t>300:58626</t>
  </si>
  <si>
    <t>300:58939</t>
  </si>
  <si>
    <t>rtdc.l.rtdc.4051:itc</t>
  </si>
  <si>
    <t>rtdc.l.rtdc.4052:itc</t>
  </si>
  <si>
    <t>843-26</t>
  </si>
  <si>
    <t>227-26</t>
  </si>
  <si>
    <t>226-26</t>
  </si>
  <si>
    <t>228-26</t>
  </si>
  <si>
    <t>908-26</t>
  </si>
  <si>
    <t>237-26</t>
  </si>
  <si>
    <t>241-26</t>
  </si>
  <si>
    <t>242-26</t>
  </si>
  <si>
    <t>ROBINSON</t>
  </si>
  <si>
    <t>KADDIBA</t>
  </si>
  <si>
    <t>SHOOK</t>
  </si>
  <si>
    <t>JOHN</t>
  </si>
  <si>
    <t>KILLION</t>
  </si>
  <si>
    <t>DAVID</t>
  </si>
  <si>
    <t>224-26</t>
  </si>
  <si>
    <t>842-26</t>
  </si>
  <si>
    <t>229-26</t>
  </si>
  <si>
    <t>845-26</t>
  </si>
  <si>
    <t>231-26</t>
  </si>
  <si>
    <t>844-26</t>
  </si>
  <si>
    <t>230-26</t>
  </si>
  <si>
    <t>233-26</t>
  </si>
  <si>
    <t>235-26</t>
  </si>
  <si>
    <t>232-26</t>
  </si>
  <si>
    <t>847-26</t>
  </si>
  <si>
    <t>234-26</t>
  </si>
  <si>
    <t>236-26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</si>
  <si>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</si>
  <si>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</si>
  <si>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</si>
  <si>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</si>
  <si>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</si>
  <si>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</si>
  <si>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</si>
  <si>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</si>
  <si>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</si>
  <si>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clear-night</t>
  </si>
  <si>
    <t>Clear</t>
  </si>
  <si>
    <t>204:233315</t>
  </si>
  <si>
    <t>204:233311</t>
  </si>
  <si>
    <t>204:233308</t>
  </si>
  <si>
    <t>204:233006</t>
  </si>
  <si>
    <t>204:232969</t>
  </si>
  <si>
    <t>204:232965</t>
  </si>
  <si>
    <t>204:165</t>
  </si>
  <si>
    <t>204:233376</t>
  </si>
  <si>
    <t>204:134</t>
  </si>
  <si>
    <t>204:169</t>
  </si>
  <si>
    <t>204:1011</t>
  </si>
  <si>
    <t>SWITCH UNKNOWN</t>
  </si>
  <si>
    <t>Track device (7)</t>
  </si>
  <si>
    <t>rtdc.l.rtdc.4020:itc</t>
  </si>
  <si>
    <t>MAELZER</t>
  </si>
  <si>
    <t>KURT</t>
  </si>
  <si>
    <t>OUN</t>
  </si>
  <si>
    <t>ZACK</t>
  </si>
  <si>
    <t>STEWART</t>
  </si>
  <si>
    <t>ROMERO</t>
  </si>
  <si>
    <t>CHAD</t>
  </si>
  <si>
    <t>DAVIS</t>
  </si>
  <si>
    <t>BRUDER</t>
  </si>
  <si>
    <t>RICHARD</t>
  </si>
  <si>
    <t>LEVIN</t>
  </si>
  <si>
    <t>SCOTT</t>
  </si>
  <si>
    <t>DELGADO</t>
  </si>
  <si>
    <t>DIANAH</t>
  </si>
  <si>
    <t>HELVIE</t>
  </si>
  <si>
    <t>ADAM</t>
  </si>
  <si>
    <t>HOLCOMB</t>
  </si>
  <si>
    <t>KAMDEN</t>
  </si>
  <si>
    <t>245-28</t>
  </si>
  <si>
    <t>242-28</t>
  </si>
  <si>
    <t>309-28</t>
  </si>
  <si>
    <t>244-28</t>
  </si>
  <si>
    <t>311-28</t>
  </si>
  <si>
    <t>246-28</t>
  </si>
  <si>
    <t>313-28</t>
  </si>
  <si>
    <t>315-28</t>
  </si>
  <si>
    <t>204:233319</t>
  </si>
  <si>
    <t>204:233336</t>
  </si>
  <si>
    <t>204:119</t>
  </si>
  <si>
    <t>204:717</t>
  </si>
  <si>
    <t>204:232984</t>
  </si>
  <si>
    <t>204:477</t>
  </si>
  <si>
    <t>204:139</t>
  </si>
  <si>
    <t>204:232978</t>
  </si>
  <si>
    <t>204:233017</t>
  </si>
  <si>
    <t>204:427</t>
  </si>
  <si>
    <t>204:232998</t>
  </si>
  <si>
    <t>204:232979</t>
  </si>
  <si>
    <t>204:232988</t>
  </si>
  <si>
    <t>204:736</t>
  </si>
  <si>
    <t>204:1034</t>
  </si>
  <si>
    <t>204:1042</t>
  </si>
  <si>
    <t>204:752</t>
  </si>
  <si>
    <t>204:422</t>
  </si>
  <si>
    <t>204:771</t>
  </si>
  <si>
    <t>204:745</t>
  </si>
  <si>
    <t>300:58624</t>
  </si>
  <si>
    <t>204:719</t>
  </si>
  <si>
    <t>300:58611</t>
  </si>
  <si>
    <t>204:720</t>
  </si>
  <si>
    <t>204:1025</t>
  </si>
  <si>
    <t>300:58630</t>
  </si>
  <si>
    <t>204:233370</t>
  </si>
  <si>
    <t>204:722</t>
  </si>
  <si>
    <t>204:1020</t>
  </si>
  <si>
    <t>204:426</t>
  </si>
  <si>
    <t>204:442</t>
  </si>
  <si>
    <t>204:233380</t>
  </si>
  <si>
    <t>204:170</t>
  </si>
  <si>
    <t>204:233364</t>
  </si>
  <si>
    <t>204:233011</t>
  </si>
  <si>
    <t>204:233013</t>
  </si>
  <si>
    <t>204:191</t>
  </si>
  <si>
    <t>204:233000</t>
  </si>
  <si>
    <t>204:233085</t>
  </si>
  <si>
    <t>300:23293</t>
  </si>
  <si>
    <t>300:23123</t>
  </si>
  <si>
    <t>105-29</t>
  </si>
  <si>
    <t>106-29</t>
  </si>
  <si>
    <t>128-29</t>
  </si>
  <si>
    <t>134-29</t>
  </si>
  <si>
    <t>1808-29</t>
  </si>
  <si>
    <t>50-29</t>
  </si>
  <si>
    <t>158-29</t>
  </si>
  <si>
    <t>167-29</t>
  </si>
  <si>
    <t>1813-29</t>
  </si>
  <si>
    <t>1814-29</t>
  </si>
  <si>
    <t>172-29</t>
  </si>
  <si>
    <t>rtdc.l.rtdc.4019:itc</t>
  </si>
  <si>
    <t>174-29</t>
  </si>
  <si>
    <t>1821-29</t>
  </si>
  <si>
    <t>52-29</t>
  </si>
  <si>
    <t>200-29</t>
  </si>
  <si>
    <t>56-29</t>
  </si>
  <si>
    <t>216-29</t>
  </si>
  <si>
    <t>237-29</t>
  </si>
  <si>
    <t>236-29</t>
  </si>
  <si>
    <t>rtdc.l.rtdc.4008:itc</t>
  </si>
  <si>
    <t>238-29</t>
  </si>
  <si>
    <t>302-29</t>
  </si>
  <si>
    <t>101-29</t>
  </si>
  <si>
    <t>304-29</t>
  </si>
  <si>
    <t>103-29</t>
  </si>
  <si>
    <t>306-29</t>
  </si>
  <si>
    <t>102-29</t>
  </si>
  <si>
    <t>308-29</t>
  </si>
  <si>
    <t>WENDY</t>
  </si>
  <si>
    <t>310-29</t>
  </si>
  <si>
    <t>107-29</t>
  </si>
  <si>
    <t>104-29</t>
  </si>
  <si>
    <t>109-29</t>
  </si>
  <si>
    <t>111-29</t>
  </si>
  <si>
    <t>113-29</t>
  </si>
  <si>
    <t>1901-29</t>
  </si>
  <si>
    <t>YORK</t>
  </si>
  <si>
    <t>EDGAR</t>
  </si>
  <si>
    <t>108-29</t>
  </si>
  <si>
    <t>115-29</t>
  </si>
  <si>
    <t>117-29</t>
  </si>
  <si>
    <t>1800-29</t>
  </si>
  <si>
    <t>110-29</t>
  </si>
  <si>
    <t>112-29</t>
  </si>
  <si>
    <t>1801-29</t>
  </si>
  <si>
    <t>119-29</t>
  </si>
  <si>
    <t>114-29</t>
  </si>
  <si>
    <t>121-29</t>
  </si>
  <si>
    <t>116-29</t>
  </si>
  <si>
    <t>123-29</t>
  </si>
  <si>
    <t>118-29</t>
  </si>
  <si>
    <t>125-29</t>
  </si>
  <si>
    <t>1802-29</t>
  </si>
  <si>
    <t>120-29</t>
  </si>
  <si>
    <t>127-29</t>
  </si>
  <si>
    <t>HAITHCOX</t>
  </si>
  <si>
    <t>1803-29</t>
  </si>
  <si>
    <t>122-29</t>
  </si>
  <si>
    <t>129-29</t>
  </si>
  <si>
    <t>124-29</t>
  </si>
  <si>
    <t>131-29</t>
  </si>
  <si>
    <t>126-29</t>
  </si>
  <si>
    <t>133-29</t>
  </si>
  <si>
    <t>1804-29</t>
  </si>
  <si>
    <t>135-29</t>
  </si>
  <si>
    <t>1805-29</t>
  </si>
  <si>
    <t>130-29</t>
  </si>
  <si>
    <t>137-29</t>
  </si>
  <si>
    <t>132-29</t>
  </si>
  <si>
    <t>139-29</t>
  </si>
  <si>
    <t>1806-29</t>
  </si>
  <si>
    <t>141-29</t>
  </si>
  <si>
    <t>136-29</t>
  </si>
  <si>
    <t>143-29</t>
  </si>
  <si>
    <t>1807-29</t>
  </si>
  <si>
    <t>138-29</t>
  </si>
  <si>
    <t>145-29</t>
  </si>
  <si>
    <t>140-29</t>
  </si>
  <si>
    <t>147-29</t>
  </si>
  <si>
    <t>142-29</t>
  </si>
  <si>
    <t>149-29</t>
  </si>
  <si>
    <t>144-29</t>
  </si>
  <si>
    <t>151-29</t>
  </si>
  <si>
    <t>1809-29</t>
  </si>
  <si>
    <t>146-29</t>
  </si>
  <si>
    <t>153-29</t>
  </si>
  <si>
    <t>148-29</t>
  </si>
  <si>
    <t>155-29</t>
  </si>
  <si>
    <t>150-29</t>
  </si>
  <si>
    <t>1810-29</t>
  </si>
  <si>
    <t>157-29</t>
  </si>
  <si>
    <t>152-29</t>
  </si>
  <si>
    <t>1811-29</t>
  </si>
  <si>
    <t>159-29</t>
  </si>
  <si>
    <t>154-29</t>
  </si>
  <si>
    <t>161-29</t>
  </si>
  <si>
    <t>156-29</t>
  </si>
  <si>
    <t>163-29</t>
  </si>
  <si>
    <t>1812-29</t>
  </si>
  <si>
    <t>165-29</t>
  </si>
  <si>
    <t>51-29</t>
  </si>
  <si>
    <t>CRAYTON</t>
  </si>
  <si>
    <t>QUNTRELL</t>
  </si>
  <si>
    <t>160-29</t>
  </si>
  <si>
    <t>162-29</t>
  </si>
  <si>
    <t>169-29</t>
  </si>
  <si>
    <t>164-29</t>
  </si>
  <si>
    <t>171-29</t>
  </si>
  <si>
    <t>166-29</t>
  </si>
  <si>
    <t>173-29</t>
  </si>
  <si>
    <t>168-29</t>
  </si>
  <si>
    <t>175-29</t>
  </si>
  <si>
    <t>170-29</t>
  </si>
  <si>
    <t>1815-29</t>
  </si>
  <si>
    <t>177-29</t>
  </si>
  <si>
    <t>179-29</t>
  </si>
  <si>
    <t>1816-29</t>
  </si>
  <si>
    <t>181-29</t>
  </si>
  <si>
    <t>183-29</t>
  </si>
  <si>
    <t>176-29</t>
  </si>
  <si>
    <t>178-29</t>
  </si>
  <si>
    <t>185-29</t>
  </si>
  <si>
    <t>1817-29</t>
  </si>
  <si>
    <t>180-29</t>
  </si>
  <si>
    <t>187-29</t>
  </si>
  <si>
    <t>182-29</t>
  </si>
  <si>
    <t>184-29</t>
  </si>
  <si>
    <t>1818-29</t>
  </si>
  <si>
    <t>189-29</t>
  </si>
  <si>
    <t>191-29</t>
  </si>
  <si>
    <t>186-29</t>
  </si>
  <si>
    <t>193-29</t>
  </si>
  <si>
    <t>1819-29</t>
  </si>
  <si>
    <t>195-29</t>
  </si>
  <si>
    <t>188-29</t>
  </si>
  <si>
    <t>190-29</t>
  </si>
  <si>
    <t>197-29</t>
  </si>
  <si>
    <t>1820-29</t>
  </si>
  <si>
    <t>192-29</t>
  </si>
  <si>
    <t>199-29</t>
  </si>
  <si>
    <t>194-29</t>
  </si>
  <si>
    <t>201-29</t>
  </si>
  <si>
    <t>196-29</t>
  </si>
  <si>
    <t>198-29</t>
  </si>
  <si>
    <t>203-29</t>
  </si>
  <si>
    <t>1822-29</t>
  </si>
  <si>
    <t>205-29</t>
  </si>
  <si>
    <t>207-29</t>
  </si>
  <si>
    <t>202-29</t>
  </si>
  <si>
    <t>209-29</t>
  </si>
  <si>
    <t>1823-29</t>
  </si>
  <si>
    <t>204-29</t>
  </si>
  <si>
    <t>65-29</t>
  </si>
  <si>
    <t>211-29</t>
  </si>
  <si>
    <t>53-29</t>
  </si>
  <si>
    <t>206-29</t>
  </si>
  <si>
    <t>1824-29</t>
  </si>
  <si>
    <t>54-29</t>
  </si>
  <si>
    <t>213-29</t>
  </si>
  <si>
    <t>208-29</t>
  </si>
  <si>
    <t>215-29</t>
  </si>
  <si>
    <t>210-29</t>
  </si>
  <si>
    <t>217-29</t>
  </si>
  <si>
    <t>1825-29</t>
  </si>
  <si>
    <t>212-29</t>
  </si>
  <si>
    <t>219-29</t>
  </si>
  <si>
    <t>214-29</t>
  </si>
  <si>
    <t>55-29</t>
  </si>
  <si>
    <t>303-29</t>
  </si>
  <si>
    <t>1826-29</t>
  </si>
  <si>
    <t>221-29</t>
  </si>
  <si>
    <t>218-29</t>
  </si>
  <si>
    <t>305-29</t>
  </si>
  <si>
    <t>220-29</t>
  </si>
  <si>
    <t>1827-29</t>
  </si>
  <si>
    <t>223-29</t>
  </si>
  <si>
    <t>1828-29</t>
  </si>
  <si>
    <t>307-29</t>
  </si>
  <si>
    <t>225-29</t>
  </si>
  <si>
    <t>222-29</t>
  </si>
  <si>
    <t>227-29</t>
  </si>
  <si>
    <t>1829-29</t>
  </si>
  <si>
    <t>224-29</t>
  </si>
  <si>
    <t>1830-29</t>
  </si>
  <si>
    <t>226-29</t>
  </si>
  <si>
    <t>229-29</t>
  </si>
  <si>
    <t>1831-29</t>
  </si>
  <si>
    <t>228-29</t>
  </si>
  <si>
    <t>231-29</t>
  </si>
  <si>
    <t>1832-29</t>
  </si>
  <si>
    <t>233-29</t>
  </si>
  <si>
    <t>230-29</t>
  </si>
  <si>
    <t>235-29</t>
  </si>
  <si>
    <t>232-29</t>
  </si>
  <si>
    <t>1833-29</t>
  </si>
  <si>
    <t>1902-29</t>
  </si>
  <si>
    <t>234-29</t>
  </si>
  <si>
    <t>239-29</t>
  </si>
  <si>
    <t>241-29</t>
  </si>
  <si>
    <t>243-29</t>
  </si>
  <si>
    <t>240-29</t>
  </si>
  <si>
    <t>309-29</t>
  </si>
  <si>
    <t>242-29</t>
  </si>
  <si>
    <t>311-29</t>
  </si>
  <si>
    <t>244-29</t>
  </si>
  <si>
    <t>313-29</t>
  </si>
  <si>
    <t>315-29</t>
  </si>
  <si>
    <t>fog</t>
  </si>
  <si>
    <t>Foggy</t>
  </si>
  <si>
    <t>clear-day</t>
  </si>
  <si>
    <t>204:723</t>
  </si>
  <si>
    <t>204:233342</t>
  </si>
  <si>
    <t>204:232692</t>
  </si>
  <si>
    <t>204:785</t>
  </si>
  <si>
    <t>204:233334</t>
  </si>
  <si>
    <t>204:232702</t>
  </si>
  <si>
    <t>204:123</t>
  </si>
  <si>
    <t>204:726</t>
  </si>
  <si>
    <t>204:233223</t>
  </si>
  <si>
    <t>204:232617</t>
  </si>
  <si>
    <t>204:232990</t>
  </si>
  <si>
    <t>204:737</t>
  </si>
  <si>
    <t>204:233323</t>
  </si>
  <si>
    <t>204:233019</t>
  </si>
  <si>
    <t>204:750</t>
  </si>
  <si>
    <t>204:233004</t>
  </si>
  <si>
    <t>204:232992</t>
  </si>
  <si>
    <t>204:475</t>
  </si>
  <si>
    <t>204:233051</t>
  </si>
  <si>
    <t>204:233353</t>
  </si>
  <si>
    <t>204:233055</t>
  </si>
  <si>
    <t>204:233341</t>
  </si>
  <si>
    <t>204:233007</t>
  </si>
  <si>
    <t>204:440</t>
  </si>
  <si>
    <t>204:130</t>
  </si>
  <si>
    <t>204:233040</t>
  </si>
  <si>
    <t>204:233027</t>
  </si>
  <si>
    <t>204:233270</t>
  </si>
  <si>
    <t>204:431</t>
  </si>
  <si>
    <t>204:233049</t>
  </si>
  <si>
    <t>204:232983</t>
  </si>
  <si>
    <t>204:174</t>
  </si>
  <si>
    <t>204:437</t>
  </si>
  <si>
    <t>204:233053</t>
  </si>
  <si>
    <t>204:233374</t>
  </si>
  <si>
    <t>204:233068</t>
  </si>
  <si>
    <t>204:233293</t>
  </si>
  <si>
    <t>204:233326</t>
  </si>
  <si>
    <t>204:114</t>
  </si>
  <si>
    <t>204:128257</t>
  </si>
  <si>
    <t>204:127817</t>
  </si>
  <si>
    <t>204:233074</t>
  </si>
  <si>
    <t>204:233282</t>
  </si>
  <si>
    <t>204:232987</t>
  </si>
  <si>
    <t>204:233318</t>
  </si>
  <si>
    <t>204:233030</t>
  </si>
  <si>
    <t>204:127872</t>
  </si>
  <si>
    <t>204:1016</t>
  </si>
  <si>
    <t>300:58929</t>
  </si>
  <si>
    <t>204:724</t>
  </si>
  <si>
    <t>204:1006</t>
  </si>
  <si>
    <t>300:58621</t>
  </si>
  <si>
    <t>204:715</t>
  </si>
  <si>
    <t>204:1004</t>
  </si>
  <si>
    <t>300:58924</t>
  </si>
  <si>
    <t>300:58608</t>
  </si>
  <si>
    <t>204:999</t>
  </si>
  <si>
    <t>300:58920</t>
  </si>
  <si>
    <t>204:233306</t>
  </si>
  <si>
    <t>300:58609</t>
  </si>
  <si>
    <t>300:58615</t>
  </si>
  <si>
    <t>204:733</t>
  </si>
  <si>
    <t>204:1023</t>
  </si>
  <si>
    <t>204:1013</t>
  </si>
  <si>
    <t>300:58600</t>
  </si>
  <si>
    <t>204:769</t>
  </si>
  <si>
    <t>204:1044</t>
  </si>
  <si>
    <t>300:58619</t>
  </si>
  <si>
    <t>300:58948</t>
  </si>
  <si>
    <t>204:1000</t>
  </si>
  <si>
    <t>300:58956</t>
  </si>
  <si>
    <t>300:58645</t>
  </si>
  <si>
    <t>204:824</t>
  </si>
  <si>
    <t>204:1116</t>
  </si>
  <si>
    <t>300:58937</t>
  </si>
  <si>
    <t>300:58623</t>
  </si>
  <si>
    <t>204:787</t>
  </si>
  <si>
    <t>204:1069</t>
  </si>
  <si>
    <t>204:1041</t>
  </si>
  <si>
    <t>300:58931</t>
  </si>
  <si>
    <t>300:58617</t>
  </si>
  <si>
    <t>204:738</t>
  </si>
  <si>
    <t>204:1055</t>
  </si>
  <si>
    <t>204:233059</t>
  </si>
  <si>
    <t>204:531</t>
  </si>
  <si>
    <t>204:233278</t>
  </si>
  <si>
    <t>300:30176</t>
  </si>
  <si>
    <t>300:21742</t>
  </si>
  <si>
    <t>204:233347</t>
  </si>
  <si>
    <t>204:233028</t>
  </si>
  <si>
    <t>204:96</t>
  </si>
  <si>
    <t>204:101</t>
  </si>
  <si>
    <t>204:233344</t>
  </si>
  <si>
    <t>204:1182</t>
  </si>
  <si>
    <t>204:398</t>
  </si>
  <si>
    <t>204:233383</t>
  </si>
  <si>
    <t>204:395</t>
  </si>
  <si>
    <t>204:233303</t>
  </si>
  <si>
    <t>204:233304</t>
  </si>
  <si>
    <t>204:232985</t>
  </si>
  <si>
    <t>204:391</t>
  </si>
  <si>
    <t>204:153</t>
  </si>
  <si>
    <t>204:233346</t>
  </si>
  <si>
    <t>204:64</t>
  </si>
  <si>
    <t>204:420</t>
  </si>
  <si>
    <t>204:233320</t>
  </si>
  <si>
    <t>204:233280</t>
  </si>
  <si>
    <t>204:232976</t>
  </si>
  <si>
    <t>204:233397</t>
  </si>
  <si>
    <t>204:233285</t>
  </si>
  <si>
    <t>204:232968</t>
  </si>
  <si>
    <t>204:478</t>
  </si>
  <si>
    <t>204:233021</t>
  </si>
  <si>
    <t>204:233283</t>
  </si>
  <si>
    <t>204:232960</t>
  </si>
  <si>
    <t>204:93</t>
  </si>
  <si>
    <t>204:127863</t>
  </si>
  <si>
    <t>204:86353</t>
  </si>
  <si>
    <t>204:233361</t>
  </si>
  <si>
    <t>204:233043</t>
  </si>
  <si>
    <t>300:23137</t>
  </si>
  <si>
    <t>300:23304</t>
  </si>
  <si>
    <t>300:19571</t>
  </si>
  <si>
    <t>204:450</t>
  </si>
  <si>
    <t>300:23178</t>
  </si>
  <si>
    <t>300:23213</t>
  </si>
  <si>
    <t>204:383</t>
  </si>
  <si>
    <t>300:23375</t>
  </si>
  <si>
    <t>204:363</t>
  </si>
  <si>
    <t>300:22839</t>
  </si>
  <si>
    <t>300:23292</t>
  </si>
  <si>
    <t>300:22703</t>
  </si>
  <si>
    <t>300:21873</t>
  </si>
  <si>
    <t>204:319</t>
  </si>
  <si>
    <t>300:24290</t>
  </si>
  <si>
    <t>300:23133</t>
  </si>
  <si>
    <t>204:339</t>
  </si>
  <si>
    <t>300:24212</t>
  </si>
  <si>
    <t>300:21827</t>
  </si>
  <si>
    <t>204:937</t>
  </si>
  <si>
    <t>204:406</t>
  </si>
  <si>
    <t>300:31269</t>
  </si>
  <si>
    <t>300:23758</t>
  </si>
  <si>
    <t>300:23065</t>
  </si>
  <si>
    <t>204:1481</t>
  </si>
  <si>
    <t>300:23297</t>
  </si>
  <si>
    <t>204:1488</t>
  </si>
  <si>
    <t>start /low /b %USERPROFILE%\Documents\GitHub\eaglep3\Utilities\DownloadLogsFromS3.py --loco 4007 --day 2017-01-29</t>
  </si>
  <si>
    <t>start /low /b %USERPROFILE%\Documents\GitHub\eaglep3\Utilities\DownloadLogsFromS3.py --loco 4039 --day 2017-01-29</t>
  </si>
  <si>
    <t>start /low /b %USERPROFILE%\Documents\GitHub\eaglep3\Utilities\DownloadLogsFromS3.py --loco 4037 --day 2017-01-30</t>
  </si>
  <si>
    <t>start /low /b %USERPROFILE%\Documents\GitHub\eaglep3\Utilities\DownloadLogsFromS3.py --loco 4028 --day 2017-01-29</t>
  </si>
  <si>
    <t>start /low /b %USERPROFILE%\Documents\GitHub\eaglep3\Utilities\DownloadLogsFromS3.py --loco 4026 --day 2017-01-29</t>
  </si>
  <si>
    <t>start /low /b %USERPROFILE%\Documents\GitHub\eaglep3\Utilities\DownloadLogsFromS3.py --loco 4001 --day 2017-01-29</t>
  </si>
  <si>
    <t>start /low /b %USERPROFILE%\Documents\GitHub\eaglep3\Utilities\DownloadLogsFromS3.py --loco 4037 --day 2017-01-29</t>
  </si>
  <si>
    <t>start /low /b %USERPROFILE%\Documents\GitHub\eaglep3\Utilities\DownloadLogsFromS3.py --loco 4007 --day 2017-01-30</t>
  </si>
  <si>
    <t>start /low /b %USERPROFILE%\Documents\GitHub\eaglep3\Utilities\DownloadLogsFromS3.py --loco 4019 --day 2017-01-29</t>
  </si>
  <si>
    <t>start /low /b %USERPROFILE%\Documents\GitHub\eaglep3\Utilities\DownloadLogsFromS3.py --loco 4028 --day 2017-01-30</t>
  </si>
  <si>
    <t>start /low /b %USERPROFILE%\Documents\GitHub\eaglep3\Utilities\DownloadLogsFromS3.py --loco 4012 --day 2017-01-30</t>
  </si>
  <si>
    <t>start /low /b %USERPROFILE%\Documents\GitHub\eaglep3\Utilities\DownloadLogsFromS3.py --loco 4008 --day 2017-01-30</t>
  </si>
  <si>
    <t>start /low /b %USERPROFILE%\Documents\GitHub\eaglep3\Utilities\DownloadLogsFromS3.py --loco 4025 --day 2017-01-29</t>
  </si>
  <si>
    <t>start /low /b %USERPROFILE%\Documents\GitHub\eaglep3\Utilities\DownloadLogsFromS3.py --loco 4041 --day 2017-01-29</t>
  </si>
  <si>
    <t>start /low /b %USERPROFILE%\Documents\GitHub\eaglep3\Utilities\DownloadLogsFromS3.py --loco 4042 --day 2017-01-29</t>
  </si>
  <si>
    <t>40th 2N STOP, re-init at station</t>
  </si>
  <si>
    <t>Early arrival</t>
  </si>
  <si>
    <t>40th 2N STOP</t>
  </si>
  <si>
    <t>Wi-MAX data drop</t>
  </si>
  <si>
    <t>Wiring issue in DIA AUX bungalow</t>
  </si>
  <si>
    <t>Onboard in-route failure</t>
  </si>
  <si>
    <t>SYS :2017/01/29 11:52:55.843:ENFORCEMENT:Predictive Enforcement Action:  Target Number: 00001002  Target Speed:   0.0  Current Speed:   6.9</t>
  </si>
  <si>
    <t>SYS :2017/01/29 11:52:56.113:ENFORCEMENT:Predictive Enforcement Action:  Target Number: 00001002  Target Speed:   0.0  Current Speed:   6.9</t>
  </si>
  <si>
    <t>SYS :2017/01/29 12:42:13.436:ENFORCEMENT:Reactive Enforcement Action:  Target Number: 00017019  Target Speed:  11.0  Current Speed:  16.2</t>
  </si>
  <si>
    <t>SYS :2017/01/29 12:42:13.472:ENFORCEMENT:Reactive Enforcement Action:  Target Number: 00017019  Target Speed:  11.0  Current Speed:  16.2</t>
  </si>
  <si>
    <t>SYS :2017/01/29 14:58:32.149:ENFORCEMENT:Reactive Enforcement Action:  Target Number: 00010067  Target Speed:  35.0  Current Speed:  40.0</t>
  </si>
  <si>
    <t>SYS :2017/01/29 14:58:32.233:ENFORCEMENT:Reactive Enforcement Action:  Target Number: 00010067  Target Speed:  35.0  Current Speed:  40.0</t>
  </si>
  <si>
    <t>SYS :2017/01/29 14:58:32.369:ENFORCEMENT:Reactive Enforcement Action:  Target Number: 00010067  Target Speed:  35.0  Current Speed:  40.0</t>
  </si>
  <si>
    <t>SYS :2017/01/29 16:02:55.866:ENFORCEMENT:Predictive Enforcement Action:  Target Number: 00017023  Target Speed:  10.0  Current Speed:  46.9</t>
  </si>
  <si>
    <t>SYS :2017/01/29 16:02:56.266:ENFORCEMENT:Predictive Enforcement Action:  Target Number: 00017023  Target Speed:  10.0  Current Speed:  46.9</t>
  </si>
  <si>
    <t>SYS :2017/01/29 16:02:56.298:ENFORCEMENT:Predictive Enforcement Action:  Target Number: 00017023  Target Speed:  10.0  Current Speed:  46.9</t>
  </si>
  <si>
    <t>SYS :2017/01/29 16:43:14.325:ENFORCEMENT:Reactive Enforcement Action:  Target Number: 00010067  Target Speed:  15.0  Current Speed:  20.1</t>
  </si>
  <si>
    <t>SYS :2017/01/29 16:43:14.387:ENFORCEMENT:Reactive Enforcement Action:  Target Number: 00010067  Target Speed:  15.0  Current Speed:  20.1</t>
  </si>
  <si>
    <t>SYS :2017/01/29 16:43:14.760:ENFORCEMENT:Reactive Enforcement Action:  Target Number: 00010067  Target Speed:  15.0  Current Speed:  20.1</t>
  </si>
  <si>
    <t>SYS :2017/01/29 18:54:46.753:ENFORCEMENT:Predictive Enforcement Action:  Target Number: 0000611F  Target Speed:   0.0  Current Speed:  53.0</t>
  </si>
  <si>
    <t>SYS :2017/01/29 18:54:47.734:ENFORCEMENT:Predictive Enforcement Action:  Target Number: 0000611F  Target Speed:   0.0  Current Speed:  53.0</t>
  </si>
  <si>
    <t>SYS :2017/01/29 18:54:48.270:ENFORCEMENT:Predictive Enforcement Action:  Target Number: 0000611E  Target Speed:   0.0  Current Speed:  52.3</t>
  </si>
  <si>
    <t>SYS :2017/01/29 19:21:47.723:ENFORCEMENT:Predictive Enforcement Action:  Target Number: 00006193  Target Speed:   0.0  Current Speed:  41.1</t>
  </si>
  <si>
    <t>SYS :2017/01/29 19:21:47.922:ENFORCEMENT:Predictive Enforcement Action:  Target Number: 00006199  Target Speed:   0.0  Current Speed:  41.1</t>
  </si>
  <si>
    <t>SYS :2017/01/29 19:21:48.269:ENFORCEMENT:Predictive Enforcement Action:  Target Number: 0000617D  Target Speed:   0.0  Current Speed:  39.6</t>
  </si>
  <si>
    <t>SYS :2017/01/29 19:34:20.151:ENFORCEMENT:Predictive Enforcement Action:  Target Number: 00001018  Target Speed:   0.0  Current Speed:   4.8</t>
  </si>
  <si>
    <t>SYS :2017/01/29 19:34:20.190:ENFORCEMENT:Predictive Enforcement Action:  Target Number: 00001018  Target Speed:   0.0  Current Speed:   4.8</t>
  </si>
  <si>
    <t>SYS :2017/01/29 19:34:20.228:ENFORCEMENT:Predictive Enforcement Action:  Target Number: 00001018  Target Speed:   0.0  Current Speed:   4.6</t>
  </si>
  <si>
    <t>SYS :2017/01/29 21:05:06.278:ENFORCEMENT:Predictive Enforcement Action:  Target Number: 0000100D  Target Speed:   0.0  Current Speed:   4.9</t>
  </si>
  <si>
    <t>SYS :2017/01/29 21:05:06.594:ENFORCEMENT:Predictive Enforcement Action:  Target Number: 0000100D  Target Speed:   0.0  Current Speed:   4.9</t>
  </si>
  <si>
    <t>SYS :2017/01/29 21:05:06.739:ENFORCEMENT:Predictive Enforcement Action:  Target Number: 0000100D  Target Speed:   0.0  Current Speed:   4.9</t>
  </si>
  <si>
    <t>SYS :2017/01/29 21:18:51.743:ENFORCEMENT:Predictive Enforcement Action:  Target Number: 00001012  Target Speed:   0.0  Current Speed:  14.9</t>
  </si>
  <si>
    <t>SYS :2017/01/29 21:18:51.983:ENFORCEMENT:Predictive Enforcement Action:  Target Number: 00001012  Target Speed:   0.0  Current Speed:  15.0</t>
  </si>
  <si>
    <t>SYS :2017/01/29 21:19:37.539:ENFORCEMENT:Predictive Enforcement Action:  Target Number: 00001012  Target Speed:   0.0  Current Speed:   7.4</t>
  </si>
  <si>
    <t>SYS :2017/01/29 21:19:37.747:ENFORCEMENT:Predictive Enforcement Action:  Target Number: 00001012  Target Speed:   0.0  Current Speed:   7.3</t>
  </si>
  <si>
    <t>SYS :2017/01/29 21:19:37.982:ENFORCEMENT:Predictive Enforcement Action:  Target Number: 00001012  Target Speed:   0.0  Current Speed:   7.4</t>
  </si>
  <si>
    <t>SYS :2017/01/29 23:36:00.229:ENFORCEMENT:Predictive Enforcement Action:  Target Number: 00001024  Target Speed:   0.0  Current Speed:   4.5</t>
  </si>
  <si>
    <t>SYS :2017/01/29 23:36:01.156:ENFORCEMENT:Predictive Enforcement Action:  Target Number: 00001024  Target Speed:   0.0  Current Speed:   4.3</t>
  </si>
  <si>
    <t>SYS :2017/01/30 00:11:47.292:ENFORCEMENT:Predictive Enforcement Action:  Target Number: 000040BB  Target Speed:   0.0  Current Speed:  44.2</t>
  </si>
  <si>
    <t>SYS :2017/01/30 00:11:47.608:ENFORCEMENT:Predictive Enforcement Action:  Target Number: 000040BC  Target Speed:   0.0  Current Speed:  44.1</t>
  </si>
  <si>
    <t>SYS :2017/01/30 00:11:47.734:ENFORCEMENT:Predictive Enforcement Action:  Target Number: 000040BC  Target Speed:   0.0  Current Speed:  44.1</t>
  </si>
  <si>
    <t>SYS :2017/01/30 02:35:27.420:ENFORCEMENT:Predictive Enforcement Action:  Target Number: 00001007  Target Speed:   0.0  Current Speed:   2.6</t>
  </si>
  <si>
    <t>SYS :2017/01/30 02:35:27.463:ENFORCEMENT:Predictive Enforcement Action:  Target Number: 00001007  Target Speed:   0.0  Current Speed:   2.6</t>
  </si>
  <si>
    <t>SYS :2017/01/30 02:35:27.688:ENFORCEMENT:Predictive Enforcement Action:  Target Number: 00001007  Target Speed:   0.0  Current Speed:   2.6</t>
  </si>
  <si>
    <t>SYS :2017/01/30 06:34:10.889:ENFORCEMENT:Predictive Enforcement Action:  Target Number: 000040F2  Target Speed:   0.0  Current Speed:  24.8</t>
  </si>
  <si>
    <t>SYS :2017/01/30 06:34:10.895:ENFORCEMENT:Predictive Enforcement Action:  Target Number: 000040F1  Target Speed:   0.0  Current Speed:  24.8</t>
  </si>
  <si>
    <t>SYS :2017/01/30 06:34:11.200:ENFORCEMENT:Predictive Enforcement Action:  Target Number: 000040E7  Target Speed:   0.0  Current Speed:  24.9</t>
  </si>
  <si>
    <t>SYS :2017/01/30 06:34:11.205:ENFORCEMENT:Predictive Enforcement Action:  Target Number: 000040E6  Target Speed:   0.0  Current Speed:  24.9</t>
  </si>
  <si>
    <t>SYS :2017/01/30 06:34:11.721:ENFORCEMENT:Predictive Enforcement Action:  Target Number: 000040ED  Target Speed:   0.0  Current Speed:  24.9</t>
  </si>
  <si>
    <t>SYS :2017/01/30 06:34:11.726:ENFORCEMENT:Predictive Enforcement Action:  Target Number: 000040EC  Target Speed:   0.0  Current Speed:  24.9</t>
  </si>
  <si>
    <t>SYS :2017/01/30 07:03:19.939:ENFORCEMENT:Predictive Enforcement Action:  Target Number: 00001003  Target Speed:   0.0  Current Speed:   5.1</t>
  </si>
  <si>
    <t>SYS :2017/01/30 07:03:20.106:ENFORCEMENT:Predictive Enforcement Action:  Target Number: 0000101F  Target Speed:   0.0  Current Speed:   5.1</t>
  </si>
  <si>
    <t>SYS :2017/01/30 07:37:18.262:ENFORCEMENT:Predictive Enforcement Action:  Target Number: 0000101B  Target Speed:   0.0  Current Speed:   1.6</t>
  </si>
  <si>
    <t>SYS :2017/01/30 07:37:18.483:ENFORCEMENT:Predictive Enforcement Action:  Target Number: 0000101B  Target Speed:   0.0  Current Speed:   1.6</t>
  </si>
  <si>
    <t>SYS :2017/01/30 07:37:18.794:ENFORCEMENT:Predictive Enforcement Action:  Target Number: 0000100F  Target Speed:   0.0  Current Speed:   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</si>
</sst>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4"/>
  <sheetViews>
    <sheetView tabSelected="1" zoomScaleNormal="100" workbookViewId="0">
      <selection activeCell="AF193" sqref="AF193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2" style="28" customWidth="1"/>
    <col min="13" max="13" width="7.42578125" style="37" customWidth="1"/>
    <col min="14" max="14" width="3.855468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42764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42764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COUNTIFS($N$13:$N$9367,"&gt;0",$AG$13:$AG$9367,I1)</f>
        <v>142</v>
      </c>
      <c r="K5" s="41"/>
      <c r="L5" s="41"/>
      <c r="M5" s="42">
        <f>AVERAGEIFS($N$13:$N$9367,$AG$13:$AG$9367,I1)</f>
        <v>37.694600938834107</v>
      </c>
      <c r="N5" s="40">
        <f t="array" ref="N5">MIN(IF($AG$13:$AG$9367=I1,IF(ISNUMBER($N$13:$N$9367),IF($N$13:$N$9367&gt;0,$N$13:$N$9367))))</f>
        <v>34.73333333269693</v>
      </c>
      <c r="O5" s="3">
        <f t="array" ref="O5">MAX(IF($AG$13:$AG$9367=I1,IF(ISNUMBER($N$13:$N$9367),IF($N$13:$N$9367&gt;0,$N$13:$N$9367))))</f>
        <v>45</v>
      </c>
      <c r="P5" s="2"/>
      <c r="R5" s="76" t="s">
        <v>17</v>
      </c>
      <c r="S5" s="52">
        <f>COUNTIFS($N$13:$N$9367,"&gt;0",$AG$13:$AG$9367,R1)</f>
        <v>34</v>
      </c>
      <c r="T5" s="41"/>
      <c r="U5" s="161"/>
      <c r="V5" s="42">
        <f>AVERAGEIFS($N$13:$N$9367,$AG$13:$AG$9367,R1)</f>
        <v>14.73529411791413</v>
      </c>
      <c r="W5" s="40">
        <f t="array" ref="W5">MIN(IF($AG$13:$AG$9367=R1,IF(ISNUMBER($N$13:$N$9367),IF($N$13:$N$9367&gt;0,$N$13:$N$9367))))</f>
        <v>13.050000001676381</v>
      </c>
      <c r="X5" s="166">
        <f t="array" ref="X5">MAX(IF($AG$13:$AG$9367=R1,IF(ISNUMBER($N$13:$N$9367),IF($N$13:$N$9367&gt;0,$N$13:$N$9367))))</f>
        <v>17.80000000144355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COUNT($O$13:$O$124)</f>
        <v>0</v>
      </c>
      <c r="K6" s="41"/>
      <c r="L6" s="41"/>
      <c r="M6" s="42">
        <f>IFERROR(AVERAGE($O$13:$O$124),0)</f>
        <v>0</v>
      </c>
      <c r="N6" s="40">
        <f>MIN($O$13:$O$124)</f>
        <v>0</v>
      </c>
      <c r="O6" s="3">
        <f>MAX($O$13:$O$124)</f>
        <v>0</v>
      </c>
      <c r="P6" s="2"/>
      <c r="R6" s="77" t="s">
        <v>43</v>
      </c>
      <c r="S6" s="52">
        <f>COUNT($O$13:$O$124)</f>
        <v>0</v>
      </c>
      <c r="T6" s="41"/>
      <c r="U6" s="161"/>
      <c r="V6" s="42">
        <f>IFERROR(AVERAGE($O$13:$O$124),0)</f>
        <v>0</v>
      </c>
      <c r="W6" s="40">
        <f>MIN($O$13:$O$124)</f>
        <v>0</v>
      </c>
      <c r="X6" s="166">
        <f>MAX($O$13:$O$124)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COUNTIFS($P$13:$P$9367,"&gt;0",$AG$13:$AG$9367,I1)</f>
        <v>2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COUNTIFS($P$13:$P$9367,"&gt;0",$AG$13:$AG$9367,R1)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142</v>
      </c>
      <c r="K8" s="41"/>
      <c r="L8" s="41"/>
      <c r="M8" s="42">
        <f>M5</f>
        <v>37.694600938834107</v>
      </c>
      <c r="N8" s="40">
        <f>N5</f>
        <v>34.73333333269693</v>
      </c>
      <c r="O8" s="3">
        <f>O5</f>
        <v>45</v>
      </c>
      <c r="P8" s="2"/>
      <c r="R8" s="76" t="s">
        <v>16</v>
      </c>
      <c r="S8" s="52">
        <f>S5</f>
        <v>34</v>
      </c>
      <c r="T8" s="41"/>
      <c r="U8" s="161"/>
      <c r="V8" s="42">
        <f>V5</f>
        <v>14.73529411791413</v>
      </c>
      <c r="W8" s="40">
        <f>W5</f>
        <v>13.050000001676381</v>
      </c>
      <c r="X8" s="166">
        <f>X5</f>
        <v>17.80000000144355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0.98611111111111116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- 2017-01-29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AVERAGE(S13:S90)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218</v>
      </c>
      <c r="AN12" s="48" t="s">
        <v>238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478</v>
      </c>
      <c r="B13" s="7">
        <v>4007</v>
      </c>
      <c r="C13" s="22" t="s">
        <v>193</v>
      </c>
      <c r="D13" s="22" t="s">
        <v>666</v>
      </c>
      <c r="E13" s="13">
        <v>42764.13349537037</v>
      </c>
      <c r="F13" s="13">
        <v>42764.136006944442</v>
      </c>
      <c r="G13" s="7">
        <v>2</v>
      </c>
      <c r="H13" s="22" t="s">
        <v>667</v>
      </c>
      <c r="I13" s="13">
        <v>42764.162476851852</v>
      </c>
      <c r="J13" s="7">
        <v>0</v>
      </c>
      <c r="K13" s="105" t="str">
        <f t="shared" ref="K13:K76" si="0">IF(ISEVEN(B13),(B13-1)&amp;"/"&amp;B13,B13&amp;"/"&amp;(B13+1))</f>
        <v>4007/4008</v>
      </c>
      <c r="L13" s="22" t="str">
        <f>VLOOKUP(A13,'Trips&amp;Operators'!$C$1:$G$99999,5,FALSE)</f>
        <v>OUN ZACK</v>
      </c>
      <c r="M13" s="6">
        <f t="shared" ref="M13:M76" si="1">I13-F13</f>
        <v>2.6469907410501037E-2</v>
      </c>
      <c r="N13" s="7">
        <f t="shared" ref="N13:N44" si="2">24*60*SUM($M13:$M13)</f>
        <v>38.116666671121493</v>
      </c>
      <c r="O13" s="7"/>
      <c r="P13" s="7"/>
      <c r="Q13" s="23"/>
      <c r="R13" s="23"/>
      <c r="S13" s="32">
        <f t="shared" ref="S13:S44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-29T02:12:14-0700',mode:absolute,to:'2017-01-29T04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" s="49" t="str">
        <f t="shared" ref="W13:W76" si="6">IF(AA13&lt;IF(AG13="EC",23,5.65),"Y","N")</f>
        <v>N</v>
      </c>
      <c r="X13" s="170" t="e">
        <f t="shared" ref="X13:X44" si="7">VALUE(LEFT(AD13,4))-VALUE(LEFT(AD12,4))</f>
        <v>#VALUE!</v>
      </c>
      <c r="Y13" s="64">
        <f t="shared" ref="Y13:Y76" si="8">RIGHT(D13,LEN(D13)-4)/10000</f>
        <v>7.2300000000000003E-2</v>
      </c>
      <c r="Z13" s="64">
        <f t="shared" ref="Z13:Z76" si="9">RIGHT(H13,LEN(H13)-4)/10000</f>
        <v>23.334199999999999</v>
      </c>
      <c r="AA13" s="64">
        <f t="shared" ref="AA13:AA76" si="10">ABS(Z13-Y13)</f>
        <v>23.261900000000001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0101-29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/stypes="app*4007*20170129*"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4007 --swversion DE.1.0.8.0 --startMP 204:723 --initTime 2017-01-29T03:12:14 --startdatetime 2017-01-29T03:15:51 --delay 2 --endMP 204:233342 --enddatetime 2017-01-29T03:53:58 --enforcementcount 0 &gt;&gt;C:\Users\stu\Documents\GitHub\eaglep3-reporting\EC\2017-01-29-refined-times.txt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{"issue":{"subject":"","project_id":79,"tracker_id":40,"status_id":1,"priority_id":2,"assigned_to_id":23,"start_date":"2017-01-29","description":"","custom_fields":[{"id":1,"name":"Subdivision","value":"EC"},{"id":4,"name":"Milepost","value":"23.3342"},{"id":17,"name":"Train ID","value":"101-29"},{"id":16,"name":"Locomotive ID","value":"4007"},{"id":130,"name":"Impact","value":""},{"id":150,"name":"Time of Event (Mountain Time)","value":"03:53:58"},{"id":151,"name":"Denver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4007 --day 2017-01-29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482</v>
      </c>
      <c r="B14" s="7">
        <v>4001</v>
      </c>
      <c r="C14" s="22" t="s">
        <v>193</v>
      </c>
      <c r="D14" s="22" t="s">
        <v>668</v>
      </c>
      <c r="E14" s="13">
        <v>42764.167881944442</v>
      </c>
      <c r="F14" s="13">
        <v>42764.17454861111</v>
      </c>
      <c r="G14" s="7">
        <v>1</v>
      </c>
      <c r="H14" s="22" t="s">
        <v>230</v>
      </c>
      <c r="I14" s="13">
        <v>42764.202372685184</v>
      </c>
      <c r="J14" s="7">
        <v>0</v>
      </c>
      <c r="K14" s="105" t="str">
        <f t="shared" si="0"/>
        <v>4001/4002</v>
      </c>
      <c r="L14" s="22" t="str">
        <f>VLOOKUP(A14,'Trips&amp;Operators'!$C$1:$G$99999,5,FALSE)</f>
        <v>OUN ZACK</v>
      </c>
      <c r="M14" s="6">
        <f t="shared" si="1"/>
        <v>2.7824074073578231E-2</v>
      </c>
      <c r="N14" s="7">
        <f t="shared" si="2"/>
        <v>40.066666665952653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-29T03:01:45-0700',mode:absolute,to:'2017-01-29T05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23.269200000000001</v>
      </c>
      <c r="Z14" s="64">
        <f t="shared" si="9"/>
        <v>1.54E-2</v>
      </c>
      <c r="AA14" s="64">
        <f t="shared" si="10"/>
        <v>23.253800000000002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0102-29</v>
      </c>
      <c r="AE14" s="87" t="str">
        <f t="shared" si="12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14" s="84" t="str">
        <f t="shared" si="13"/>
        <v>"C:\Program Files (x86)\AstroGrep\AstroGrep.exe" /spath="%USERPROFILE%\AppData\Local\Temp\OnboardLogs" /stypes="app*4001*20170129*"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4001 --swversion DE.1.0.8.0 --startMP 204:232692 --initTime 2017-01-29T04:01:45 --startdatetime 2017-01-29T04:11:21 --delay 1 --endMP 204:154 --enddatetime 2017-01-29T04:51:25 --enforcementcount 0 &gt;&gt;C:\Users\stu\Documents\GitHub\eaglep3-reporting\EC\2017-01-29-refined-times.txt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{"issue":{"subject":"","project_id":79,"tracker_id":40,"status_id":1,"priority_id":2,"assigned_to_id":23,"start_date":"2017-01-29","description":"","custom_fields":[{"id":1,"name":"Subdivision","value":"EC"},{"id":4,"name":"Milepost","value":"0.0154"},{"id":17,"name":"Train ID","value":"102-29"},{"id":16,"name":"Locomotive ID","value":"4001"},{"id":130,"name":"Impact","value":""},{"id":150,"name":"Time of Event (Mountain Time)","value":"04:51:25"},{"id":151,"name":"Denver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4001 --day 2017-01-29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"%USERPROFILE%\AppData\Local\Temp\OnboardLogs"\RTDC4001\*4001*20170129* | grep -SE "(Enforcement Action)|(\[TIMEOUT)|(CHR.+\|PRM\|1\|D.+(SWITCH|SIGNAL).+UNKNOWN)" - &gt;&gt; 2017-01-29-UncaughtWiMAX.txt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480</v>
      </c>
      <c r="B15" s="7">
        <v>4038</v>
      </c>
      <c r="C15" s="22" t="s">
        <v>193</v>
      </c>
      <c r="D15" s="22" t="s">
        <v>669</v>
      </c>
      <c r="E15" s="13">
        <v>42764.152361111112</v>
      </c>
      <c r="F15" s="13">
        <v>42764.156574074077</v>
      </c>
      <c r="G15" s="7">
        <v>1</v>
      </c>
      <c r="H15" s="22" t="s">
        <v>670</v>
      </c>
      <c r="I15" s="13">
        <v>42764.182696759257</v>
      </c>
      <c r="J15" s="7">
        <v>0</v>
      </c>
      <c r="K15" s="105" t="str">
        <f t="shared" si="0"/>
        <v>4037/4038</v>
      </c>
      <c r="L15" s="22" t="str">
        <f>VLOOKUP(A15,'Trips&amp;Operators'!$C$1:$G$99999,5,FALSE)</f>
        <v>MAELZER KURT</v>
      </c>
      <c r="M15" s="6">
        <f t="shared" si="1"/>
        <v>2.6122685179871041E-2</v>
      </c>
      <c r="N15" s="7">
        <f t="shared" si="2"/>
        <v>37.6166666590143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-29T02:39:24-0700',mode:absolute,to:'2017-01-29T05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7.85E-2</v>
      </c>
      <c r="Z15" s="64">
        <f t="shared" si="9"/>
        <v>23.333400000000001</v>
      </c>
      <c r="AA15" s="64">
        <f t="shared" si="10"/>
        <v>23.254900000000003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0103-29</v>
      </c>
      <c r="AE15" s="87" t="str">
        <f t="shared" si="12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15" s="84" t="str">
        <f t="shared" si="13"/>
        <v>"C:\Program Files (x86)\AstroGrep\AstroGrep.exe" /spath="%USERPROFILE%\AppData\Local\Temp\OnboardLogs" /stypes="app*4038*20170129*"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103-29 --locoid 4038 --swversion DE.1.0.8.0 --startMP 204:785 --initTime 2017-01-29T03:39:24 --startdatetime 2017-01-29T03:45:28 --delay 1 --endMP 204:233334 --enddatetime 2017-01-29T04:23:05 --enforcementcount 0 &gt;&gt;C:\Users\stu\Documents\GitHub\eaglep3-reporting\EC\2017-01-29-refined-times.txt</v>
      </c>
      <c r="AI15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{"issue":{"subject":"","project_id":79,"tracker_id":40,"status_id":1,"priority_id":2,"assigned_to_id":23,"start_date":"2017-01-29","description":"","custom_fields":[{"id":1,"name":"Subdivision","value":"EC"},{"id":4,"name":"Milepost","value":"23.3334"},{"id":17,"name":"Train ID","value":"103-29"},{"id":16,"name":"Locomotive ID","value":"4038"},{"id":130,"name":"Impact","value":""},{"id":150,"name":"Time of Event (Mountain Time)","value":"04:23:05"},{"id":151,"name":"Denver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4038 --day 2017-01-29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"%USERPROFILE%\AppData\Local\Temp\OnboardLogs"\RTDC4038\*4038*20170129* | grep -SE "(Enforcement Action)|(\[TIMEOUT)|(CHR.+\|PRM\|1\|D.+(SWITCH|SIGNAL).+UNKNOWN)" - &gt;&gt; 2017-01-29-UncaughtWiMAX.txt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487</v>
      </c>
      <c r="B16" s="7">
        <v>4019</v>
      </c>
      <c r="C16" s="22" t="s">
        <v>193</v>
      </c>
      <c r="D16" s="22" t="s">
        <v>671</v>
      </c>
      <c r="E16" s="13">
        <v>42764.188321759262</v>
      </c>
      <c r="F16" s="13">
        <v>42764.195462962962</v>
      </c>
      <c r="G16" s="7">
        <v>1</v>
      </c>
      <c r="H16" s="22" t="s">
        <v>672</v>
      </c>
      <c r="I16" s="13">
        <v>42764.222453703704</v>
      </c>
      <c r="J16" s="7">
        <v>0</v>
      </c>
      <c r="K16" s="105" t="str">
        <f t="shared" si="0"/>
        <v>4019/4020</v>
      </c>
      <c r="L16" s="22" t="str">
        <f>VLOOKUP(A16,'Trips&amp;Operators'!$C$1:$G$99999,5,FALSE)</f>
        <v>MAELZER KURT</v>
      </c>
      <c r="M16" s="6">
        <f t="shared" si="1"/>
        <v>2.6990740741894115E-2</v>
      </c>
      <c r="N16" s="7">
        <f t="shared" si="2"/>
        <v>38.866666668327525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-29T03:31:11-0700',mode:absolute,to:'2017-01-29T06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23.270199999999999</v>
      </c>
      <c r="Z16" s="64">
        <f t="shared" si="9"/>
        <v>1.23E-2</v>
      </c>
      <c r="AA16" s="64">
        <f t="shared" si="10"/>
        <v>23.257899999999999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0104-29</v>
      </c>
      <c r="AE16" s="87" t="str">
        <f t="shared" si="12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16" s="84" t="str">
        <f t="shared" si="13"/>
        <v>"C:\Program Files (x86)\AstroGrep\AstroGrep.exe" /spath="%USERPROFILE%\AppData\Local\Temp\OnboardLogs" /stypes="app*4019*20170129*"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104-29 --locoid 4019 --swversion DE.1.0.8.0 --startMP 204:232702 --initTime 2017-01-29T04:31:11 --startdatetime 2017-01-29T04:41:28 --delay 1 --endMP 204:123 --enddatetime 2017-01-29T05:20:20 --enforcementcount 0 &gt;&gt;C:\Users\stu\Documents\GitHub\eaglep3-reporting\EC\2017-01-29-refined-times.txt</v>
      </c>
      <c r="AI16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{"issue":{"subject":"","project_id":79,"tracker_id":40,"status_id":1,"priority_id":2,"assigned_to_id":23,"start_date":"2017-01-29","description":"","custom_fields":[{"id":1,"name":"Subdivision","value":"EC"},{"id":4,"name":"Milepost","value":"0.0123"},{"id":17,"name":"Train ID","value":"104-29"},{"id":16,"name":"Locomotive ID","value":"4019"},{"id":130,"name":"Impact","value":""},{"id":150,"name":"Time of Event (Mountain Time)","value":"05:20:20"},{"id":151,"name":"Denver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4019 --day 2017-01-29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"%USERPROFILE%\AppData\Local\Temp\OnboardLogs"\RTDC4019\*4019*20170129* | grep -SE "(Enforcement Action)|(\[TIMEOUT)|(CHR.+\|PRM\|1\|D.+(SWITCH|SIGNAL).+UNKNOWN)" - &gt;&gt; 2017-01-29-UncaughtWiMAX.txt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455</v>
      </c>
      <c r="B17" s="7">
        <v>4025</v>
      </c>
      <c r="C17" s="22" t="s">
        <v>193</v>
      </c>
      <c r="D17" s="22" t="s">
        <v>673</v>
      </c>
      <c r="E17" s="13">
        <v>42764.169699074075</v>
      </c>
      <c r="F17" s="13">
        <v>42764.177627314813</v>
      </c>
      <c r="G17" s="7">
        <v>2</v>
      </c>
      <c r="H17" s="22" t="s">
        <v>674</v>
      </c>
      <c r="I17" s="13">
        <v>42764.203506944446</v>
      </c>
      <c r="J17" s="7">
        <v>0</v>
      </c>
      <c r="K17" s="105" t="str">
        <f t="shared" si="0"/>
        <v>4025/4026</v>
      </c>
      <c r="L17" s="22" t="str">
        <f>VLOOKUP(A17,'Trips&amp;Operators'!$C$1:$G$99999,5,FALSE)</f>
        <v>PERKINS DARREN</v>
      </c>
      <c r="M17" s="6">
        <f t="shared" si="1"/>
        <v>2.587962963298196E-2</v>
      </c>
      <c r="N17" s="7">
        <f t="shared" si="2"/>
        <v>37.266666671494022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-29T03:04:22-0700',mode:absolute,to:'2017-01-29T05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7.2599999999999998E-2</v>
      </c>
      <c r="Z17" s="64">
        <f t="shared" si="9"/>
        <v>23.322299999999998</v>
      </c>
      <c r="AA17" s="64">
        <f t="shared" si="10"/>
        <v>23.249699999999997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0105-29</v>
      </c>
      <c r="AE17" s="87" t="str">
        <f t="shared" si="12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17" s="84" t="str">
        <f t="shared" si="13"/>
        <v>"C:\Program Files (x86)\AstroGrep\AstroGrep.exe" /spath="%USERPROFILE%\AppData\Local\Temp\OnboardLogs" /stypes="app*4025*20170129*"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105-29 --locoid 4025 --swversion DE.1.0.8.0 --startMP 204:726 --initTime 2017-01-29T04:04:22 --startdatetime 2017-01-29T04:15:47 --delay 2 --endMP 204:233223 --enddatetime 2017-01-29T04:53:03 --enforcementcount 0 &gt;&gt;C:\Users\stu\Documents\GitHub\eaglep3-reporting\EC\2017-01-29-refined-times.txt</v>
      </c>
      <c r="AI17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{"issue":{"subject":"","project_id":79,"tracker_id":40,"status_id":1,"priority_id":2,"assigned_to_id":23,"start_date":"2017-01-29","description":"","custom_fields":[{"id":1,"name":"Subdivision","value":"EC"},{"id":4,"name":"Milepost","value":"23.3223"},{"id":17,"name":"Train ID","value":"105-29"},{"id":16,"name":"Locomotive ID","value":"4025"},{"id":130,"name":"Impact","value":""},{"id":150,"name":"Time of Event (Mountain Time)","value":"04:53:03"},{"id":151,"name":"Denver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4025 --day 2017-01-29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"%USERPROFILE%\AppData\Local\Temp\OnboardLogs"\RTDC4025\*4025*20170129* | grep -SE "(Enforcement Action)|(\[TIMEOUT)|(CHR.+\|PRM\|1\|D.+(SWITCH|SIGNAL).+UNKNOWN)" - &gt;&gt; 2017-01-29-UncaughtWiMAX.txt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456</v>
      </c>
      <c r="B18" s="7">
        <v>4028</v>
      </c>
      <c r="C18" s="22" t="s">
        <v>193</v>
      </c>
      <c r="D18" s="22" t="s">
        <v>675</v>
      </c>
      <c r="E18" s="13">
        <v>42764.211898148147</v>
      </c>
      <c r="F18" s="13">
        <v>42764.216412037036</v>
      </c>
      <c r="G18" s="7">
        <v>1</v>
      </c>
      <c r="H18" s="22" t="s">
        <v>216</v>
      </c>
      <c r="I18" s="13">
        <v>42764.243321759262</v>
      </c>
      <c r="J18" s="7">
        <v>0</v>
      </c>
      <c r="K18" s="105" t="str">
        <f t="shared" si="0"/>
        <v>4027/4028</v>
      </c>
      <c r="L18" s="22" t="str">
        <f>VLOOKUP(A18,'Trips&amp;Operators'!$C$1:$G$99999,5,FALSE)</f>
        <v>PERKINS DARREN</v>
      </c>
      <c r="M18" s="6">
        <f t="shared" si="1"/>
        <v>2.6909722226264421E-2</v>
      </c>
      <c r="N18" s="7">
        <f t="shared" si="2"/>
        <v>38.750000005820766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-29T04:05:08-0700',mode:absolute,to:'2017-01-29T06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23.261700000000001</v>
      </c>
      <c r="Z18" s="64">
        <f t="shared" si="9"/>
        <v>1.5800000000000002E-2</v>
      </c>
      <c r="AA18" s="64">
        <f t="shared" si="10"/>
        <v>23.245900000000002</v>
      </c>
      <c r="AB18" s="61" t="str">
        <f>VLOOKUP(A18,Enforcements!$C$7:$K$16,8,0)</f>
        <v>Bulletin (2)</v>
      </c>
      <c r="AC18" s="57" t="str">
        <f>VLOOKUP(A18,Enforcements!$C$7:$E$16,3,0)</f>
        <v>GRADE CROSSING</v>
      </c>
      <c r="AD18" s="58" t="str">
        <f t="shared" si="11"/>
        <v>0106-29</v>
      </c>
      <c r="AE18" s="87" t="str">
        <f t="shared" si="12"/>
        <v>aws s3 cp s3://rtdc.mdm.uploadarchive.raw/RTDC4028/ "%USERPROFILE%\AppData\Local\Temp\OnboardLogs"\RTDC4028\2017-01-29 --exclude "*" --recursive --include "*20170129*" &amp; "%USERPROFILE%\Documents\GitHub\mrs-test-scripts\Headless Mode &amp; Sideloading\WalkAndUnGZ.bat" "%USERPROFILE%\AppData\Local\Temp\OnboardLogs"\RTDC4028\2017-01-29 &amp; 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</v>
      </c>
      <c r="AF18" s="84" t="str">
        <f t="shared" si="13"/>
        <v>"C:\Program Files (x86)\AstroGrep\AstroGrep.exe" /spath="%USERPROFILE%\AppData\Local\Temp\OnboardLogs" /stypes="app*4028*20170129*"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106-29 --locoid 4028 --swversion DE.1.0.8.0 --startMP 204:232617 --initTime 2017-01-29T05:05:08 --startdatetime 2017-01-29T05:11:38 --delay 1 --endMP 204:158 --enddatetime 2017-01-29T05:50:23 --enforcementcount 0 &gt;&gt;C:\Users\stu\Documents\GitHub\eaglep3-reporting\EC\2017-01-29-refined-times.txt</v>
      </c>
      <c r="AI18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{"issue":{"subject":"","project_id":79,"tracker_id":40,"status_id":1,"priority_id":2,"assigned_to_id":23,"start_date":"2017-01-29","description":"","custom_fields":[{"id":1,"name":"Subdivision","value":"EC"},{"id":4,"name":"Milepost","value":"0.0158"},{"id":17,"name":"Train ID","value":"106-29"},{"id":16,"name":"Locomotive ID","value":"4028"},{"id":130,"name":"Impact","value":""},{"id":150,"name":"Time of Event (Mountain Time)","value":"05:50:23"},{"id":151,"name":"Denver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4028 --day 2017-01-29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"%USERPROFILE%\AppData\Local\Temp\OnboardLogs"\RTDC4028\*4028*20170129* | grep -SE "(Enforcement Action)|(\[TIMEOUT)|(CHR.+\|PRM\|1\|D.+(SWITCH|SIGNAL).+UNKNOWN)" - &gt;&gt; 2017-01-29-UncaughtWiMAX.txt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486</v>
      </c>
      <c r="B19" s="7">
        <v>4011</v>
      </c>
      <c r="C19" s="22" t="s">
        <v>193</v>
      </c>
      <c r="D19" s="22" t="s">
        <v>293</v>
      </c>
      <c r="E19" s="13">
        <v>42764.183564814812</v>
      </c>
      <c r="F19" s="13">
        <v>42764.187696759262</v>
      </c>
      <c r="G19" s="7">
        <v>1</v>
      </c>
      <c r="H19" s="22" t="s">
        <v>307</v>
      </c>
      <c r="I19" s="13">
        <v>42764.213391203702</v>
      </c>
      <c r="J19" s="7">
        <v>0</v>
      </c>
      <c r="K19" s="105" t="str">
        <f t="shared" si="0"/>
        <v>4011/4012</v>
      </c>
      <c r="L19" s="22" t="str">
        <f>VLOOKUP(A19,'Trips&amp;Operators'!$C$1:$G$99999,5,FALSE)</f>
        <v>DAVIS WENDY</v>
      </c>
      <c r="M19" s="6">
        <f t="shared" si="1"/>
        <v>2.569444444088731E-2</v>
      </c>
      <c r="N19" s="7">
        <f t="shared" si="2"/>
        <v>36.999999994877726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-29T03:24:20-0700',mode:absolute,to:'2017-01-29T06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4.53E-2</v>
      </c>
      <c r="Z19" s="64">
        <f t="shared" si="9"/>
        <v>23.3309</v>
      </c>
      <c r="AA19" s="64">
        <f t="shared" si="10"/>
        <v>23.285599999999999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0107-29</v>
      </c>
      <c r="AE19" s="87" t="str">
        <f t="shared" si="12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19" s="84" t="str">
        <f t="shared" si="13"/>
        <v>"C:\Program Files (x86)\AstroGrep\AstroGrep.exe" /spath="%USERPROFILE%\AppData\Local\Temp\OnboardLogs" /stypes="app*4011*20170129*"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107-29 --locoid 4011 --swversion DE.1.0.8.0 --startMP 204:453 --initTime 2017-01-29T04:24:20 --startdatetime 2017-01-29T04:30:17 --delay 1 --endMP 204:233309 --enddatetime 2017-01-29T05:07:17 --enforcementcount 0 &gt;&gt;C:\Users\stu\Documents\GitHub\eaglep3-reporting\EC\2017-01-29-refined-times.txt</v>
      </c>
      <c r="AI19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{"issue":{"subject":"","project_id":79,"tracker_id":40,"status_id":1,"priority_id":2,"assigned_to_id":23,"start_date":"2017-01-29","description":"","custom_fields":[{"id":1,"name":"Subdivision","value":"EC"},{"id":4,"name":"Milepost","value":"23.3309"},{"id":17,"name":"Train ID","value":"107-29"},{"id":16,"name":"Locomotive ID","value":"4011"},{"id":130,"name":"Impact","value":""},{"id":150,"name":"Time of Event (Mountain Time)","value":"05:07:17"},{"id":151,"name":"Denver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4011 --day 2017-01-29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"%USERPROFILE%\AppData\Local\Temp\OnboardLogs"\RTDC4011\*4011*20170129* | grep -SE "(Enforcement Action)|(\[TIMEOUT)|(CHR.+\|PRM\|1\|D.+(SWITCH|SIGNAL).+UNKNOWN)" - &gt;&gt; 2017-01-29-UncaughtWiMAX.txt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494</v>
      </c>
      <c r="B20" s="7">
        <v>4012</v>
      </c>
      <c r="C20" s="22" t="s">
        <v>193</v>
      </c>
      <c r="D20" s="22" t="s">
        <v>676</v>
      </c>
      <c r="E20" s="13">
        <v>42764.224722222221</v>
      </c>
      <c r="F20" s="13">
        <v>42764.226527777777</v>
      </c>
      <c r="G20" s="7">
        <v>1</v>
      </c>
      <c r="H20" s="22" t="s">
        <v>255</v>
      </c>
      <c r="I20" s="13">
        <v>42764.254976851851</v>
      </c>
      <c r="J20" s="7">
        <v>0</v>
      </c>
      <c r="K20" s="105" t="str">
        <f t="shared" si="0"/>
        <v>4011/4012</v>
      </c>
      <c r="L20" s="22" t="str">
        <f>VLOOKUP(A20,'Trips&amp;Operators'!$C$1:$G$99999,5,FALSE)</f>
        <v>DAVIS WENDY</v>
      </c>
      <c r="M20" s="6">
        <f t="shared" si="1"/>
        <v>2.8449074074160308E-2</v>
      </c>
      <c r="N20" s="7">
        <f t="shared" si="2"/>
        <v>40.966666666790843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-29T04:23:36-0700',mode:absolute,to:'2017-01-29T07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23.298999999999999</v>
      </c>
      <c r="Z20" s="64">
        <f t="shared" si="9"/>
        <v>1.61E-2</v>
      </c>
      <c r="AA20" s="64">
        <f t="shared" si="10"/>
        <v>23.282899999999998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0108-29</v>
      </c>
      <c r="AE20" s="87" t="str">
        <f t="shared" si="12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20" s="84" t="str">
        <f t="shared" si="13"/>
        <v>"C:\Program Files (x86)\AstroGrep\AstroGrep.exe" /spath="%USERPROFILE%\AppData\Local\Temp\OnboardLogs" /stypes="app*4012*20170129*"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108-29 --locoid 4012 --swversion DE.1.0.8.0 --startMP 204:232990 --initTime 2017-01-29T05:23:36 --startdatetime 2017-01-29T05:26:12 --delay 1 --endMP 204:161 --enddatetime 2017-01-29T06:07:10 --enforcementcount 0 &gt;&gt;C:\Users\stu\Documents\GitHub\eaglep3-reporting\EC\2017-01-29-refined-times.txt</v>
      </c>
      <c r="AI20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{"issue":{"subject":"","project_id":79,"tracker_id":40,"status_id":1,"priority_id":2,"assigned_to_id":23,"start_date":"2017-01-29","description":"","custom_fields":[{"id":1,"name":"Subdivision","value":"EC"},{"id":4,"name":"Milepost","value":"0.0161"},{"id":17,"name":"Train ID","value":"108-29"},{"id":16,"name":"Locomotive ID","value":"4012"},{"id":130,"name":"Impact","value":""},{"id":150,"name":"Time of Event (Mountain Time)","value":"06:07:10"},{"id":151,"name":"Denver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4012 --day 2017-01-29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488</v>
      </c>
      <c r="B21" s="7">
        <v>4040</v>
      </c>
      <c r="C21" s="22" t="s">
        <v>193</v>
      </c>
      <c r="D21" s="22" t="s">
        <v>232</v>
      </c>
      <c r="E21" s="13">
        <v>42764.194293981483</v>
      </c>
      <c r="F21" s="13">
        <v>42764.198101851849</v>
      </c>
      <c r="G21" s="7">
        <v>1</v>
      </c>
      <c r="H21" s="22" t="s">
        <v>374</v>
      </c>
      <c r="I21" s="13">
        <v>42764.224386574075</v>
      </c>
      <c r="J21" s="7">
        <v>0</v>
      </c>
      <c r="K21" s="105" t="str">
        <f t="shared" si="0"/>
        <v>4039/4040</v>
      </c>
      <c r="L21" s="22" t="str">
        <f>VLOOKUP(A21,'Trips&amp;Operators'!$C$1:$G$99999,5,FALSE)</f>
        <v>ROBINSON KADDIBA</v>
      </c>
      <c r="M21" s="6">
        <f t="shared" si="1"/>
        <v>2.6284722225682344E-2</v>
      </c>
      <c r="N21" s="7">
        <f t="shared" si="2"/>
        <v>37.850000004982576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-29T03:39:47-0700',mode:absolute,to:'2017-01-29T06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4.58E-2</v>
      </c>
      <c r="Z21" s="64">
        <f t="shared" si="9"/>
        <v>23.331499999999998</v>
      </c>
      <c r="AA21" s="64">
        <f t="shared" si="10"/>
        <v>23.285699999999999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0109-29</v>
      </c>
      <c r="AE21" s="87" t="str">
        <f t="shared" si="12"/>
        <v>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 &amp; 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</v>
      </c>
      <c r="AF21" s="84" t="str">
        <f t="shared" si="13"/>
        <v>"C:\Program Files (x86)\AstroGrep\AstroGrep.exe" /spath="%USERPROFILE%\AppData\Local\Temp\OnboardLogs" /stypes="app*4040*20170129*"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109-29 --locoid 4040 --swversion DE.1.0.8.0 --startMP 204:458 --initTime 2017-01-29T04:39:47 --startdatetime 2017-01-29T04:45:16 --delay 1 --endMP 204:233315 --enddatetime 2017-01-29T05:23:07 --enforcementcount 0 &gt;&gt;C:\Users\stu\Documents\GitHub\eaglep3-reporting\EC\2017-01-29-refined-times.txt</v>
      </c>
      <c r="AI21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{"issue":{"subject":"","project_id":79,"tracker_id":40,"status_id":1,"priority_id":2,"assigned_to_id":23,"start_date":"2017-01-29","description":"","custom_fields":[{"id":1,"name":"Subdivision","value":"EC"},{"id":4,"name":"Milepost","value":"23.3315"},{"id":17,"name":"Train ID","value":"109-29"},{"id":16,"name":"Locomotive ID","value":"4040"},{"id":130,"name":"Impact","value":""},{"id":150,"name":"Time of Event (Mountain Time)","value":"05:23:07"},{"id":151,"name":"Denver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4040 --day 2017-01-29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"%USERPROFILE%\AppData\Local\Temp\OnboardLogs"\RTDC4040\*4040*20170129* | grep -SE "(Enforcement Action)|(\[TIMEOUT)|(CHR.+\|PRM\|1\|D.+(SWITCH|SIGNAL).+UNKNOWN)" - &gt;&gt; 2017-01-29-UncaughtWiMAX.txt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498</v>
      </c>
      <c r="B22" s="7">
        <v>4039</v>
      </c>
      <c r="C22" s="22" t="s">
        <v>193</v>
      </c>
      <c r="D22" s="22" t="s">
        <v>377</v>
      </c>
      <c r="E22" s="13">
        <v>42764.231157407405</v>
      </c>
      <c r="F22" s="13">
        <v>42764.236967592595</v>
      </c>
      <c r="G22" s="7">
        <v>1</v>
      </c>
      <c r="H22" s="22" t="s">
        <v>229</v>
      </c>
      <c r="I22" s="13">
        <v>42764.264120370368</v>
      </c>
      <c r="J22" s="7">
        <v>0</v>
      </c>
      <c r="K22" s="105" t="str">
        <f t="shared" si="0"/>
        <v>4039/4040</v>
      </c>
      <c r="L22" s="22" t="str">
        <f>VLOOKUP(A22,'Trips&amp;Operators'!$C$1:$G$99999,5,FALSE)</f>
        <v>ROBINSON KADDIBA</v>
      </c>
      <c r="M22" s="6">
        <f t="shared" si="1"/>
        <v>2.7152777773153502E-2</v>
      </c>
      <c r="N22" s="7">
        <f t="shared" si="2"/>
        <v>39.099999993341044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-29T04:32:52-0700',mode:absolute,to:'2017-01-29T07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23.300599999999999</v>
      </c>
      <c r="Z22" s="64">
        <f t="shared" si="9"/>
        <v>1.6299999999999999E-2</v>
      </c>
      <c r="AA22" s="64">
        <f t="shared" si="10"/>
        <v>23.284299999999998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0110-29</v>
      </c>
      <c r="AE22" s="87" t="str">
        <f t="shared" si="12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22" s="84" t="str">
        <f t="shared" si="13"/>
        <v>"C:\Program Files (x86)\AstroGrep\AstroGrep.exe" /spath="%USERPROFILE%\AppData\Local\Temp\OnboardLogs" /stypes="app*4039*20170129*"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110-29 --locoid 4039 --swversion DE.1.0.8.0 --startMP 204:233006 --initTime 2017-01-29T05:32:52 --startdatetime 2017-01-29T05:41:14 --delay 1 --endMP 204:163 --enddatetime 2017-01-29T06:20:20 --enforcementcount 0 &gt;&gt;C:\Users\stu\Documents\GitHub\eaglep3-reporting\EC\2017-01-29-refined-times.txt</v>
      </c>
      <c r="AI22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{"issue":{"subject":"","project_id":79,"tracker_id":40,"status_id":1,"priority_id":2,"assigned_to_id":23,"start_date":"2017-01-29","description":"","custom_fields":[{"id":1,"name":"Subdivision","value":"EC"},{"id":4,"name":"Milepost","value":"0.0163"},{"id":17,"name":"Train ID","value":"110-29"},{"id":16,"name":"Locomotive ID","value":"4039"},{"id":130,"name":"Impact","value":""},{"id":150,"name":"Time of Event (Mountain Time)","value":"06:20:20"},{"id":151,"name":"Denver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4039 --day 2017-01-29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489</v>
      </c>
      <c r="B23" s="7">
        <v>4007</v>
      </c>
      <c r="C23" s="22" t="s">
        <v>193</v>
      </c>
      <c r="D23" s="22" t="s">
        <v>677</v>
      </c>
      <c r="E23" s="13">
        <v>42764.20480324074</v>
      </c>
      <c r="F23" s="13">
        <v>42764.208518518521</v>
      </c>
      <c r="G23" s="7">
        <v>2</v>
      </c>
      <c r="H23" s="22" t="s">
        <v>226</v>
      </c>
      <c r="I23" s="13">
        <v>42764.232847222222</v>
      </c>
      <c r="J23" s="7">
        <v>0</v>
      </c>
      <c r="K23" s="105" t="str">
        <f t="shared" si="0"/>
        <v>4007/4008</v>
      </c>
      <c r="L23" s="22" t="str">
        <f>VLOOKUP(A23,'Trips&amp;Operators'!$C$1:$G$99999,5,FALSE)</f>
        <v>GEBRETEKLE DAGNEW</v>
      </c>
      <c r="M23" s="6">
        <f t="shared" si="1"/>
        <v>2.4328703701030463E-2</v>
      </c>
      <c r="N23" s="7">
        <f t="shared" si="2"/>
        <v>35.033333329483867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-29T03:54:55-0700',mode:absolute,to:'2017-01-29T06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7.3700000000000002E-2</v>
      </c>
      <c r="Z23" s="64">
        <f t="shared" si="9"/>
        <v>23.329899999999999</v>
      </c>
      <c r="AA23" s="64">
        <f t="shared" si="10"/>
        <v>23.2562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0111-29</v>
      </c>
      <c r="AE23" s="87" t="str">
        <f t="shared" si="12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23" s="84" t="str">
        <f t="shared" si="13"/>
        <v>"C:\Program Files (x86)\AstroGrep\AstroGrep.exe" /spath="%USERPROFILE%\AppData\Local\Temp\OnboardLogs" /stypes="app*4007*20170129*"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111-29 --locoid 4007 --swversion DE.1.0.8.0 --startMP 204:737 --initTime 2017-01-29T04:54:55 --startdatetime 2017-01-29T05:00:16 --delay 2 --endMP 204:233299 --enddatetime 2017-01-29T05:35:18 --enforcementcount 0 &gt;&gt;C:\Users\stu\Documents\GitHub\eaglep3-reporting\EC\2017-01-29-refined-times.txt</v>
      </c>
      <c r="AI23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{"issue":{"subject":"","project_id":79,"tracker_id":40,"status_id":1,"priority_id":2,"assigned_to_id":23,"start_date":"2017-01-29","description":"","custom_fields":[{"id":1,"name":"Subdivision","value":"EC"},{"id":4,"name":"Milepost","value":"23.3299"},{"id":17,"name":"Train ID","value":"111-29"},{"id":16,"name":"Locomotive ID","value":"4007"},{"id":130,"name":"Impact","value":""},{"id":150,"name":"Time of Event (Mountain Time)","value":"05:35:18"},{"id":151,"name":"Denver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4007 --day 2017-01-29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499</v>
      </c>
      <c r="B24" s="7">
        <v>4008</v>
      </c>
      <c r="C24" s="22" t="s">
        <v>193</v>
      </c>
      <c r="D24" s="22" t="s">
        <v>421</v>
      </c>
      <c r="E24" s="13">
        <v>42764.243877314817</v>
      </c>
      <c r="F24" s="13">
        <v>42764.247499999998</v>
      </c>
      <c r="G24" s="7">
        <v>1</v>
      </c>
      <c r="H24" s="22" t="s">
        <v>215</v>
      </c>
      <c r="I24" s="13">
        <v>42764.273923611108</v>
      </c>
      <c r="J24" s="7">
        <v>0</v>
      </c>
      <c r="K24" s="105" t="str">
        <f t="shared" si="0"/>
        <v>4007/4008</v>
      </c>
      <c r="L24" s="22" t="str">
        <f>VLOOKUP(A24,'Trips&amp;Operators'!$C$1:$G$99999,5,FALSE)</f>
        <v>GEBRETEKLE DAGNEW</v>
      </c>
      <c r="M24" s="6">
        <f t="shared" si="1"/>
        <v>2.6423611110658385E-2</v>
      </c>
      <c r="N24" s="7">
        <f t="shared" si="2"/>
        <v>38.049999999348074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-29T04:51:11-0700',mode:absolute,to:'2017-01-29T07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23.297799999999999</v>
      </c>
      <c r="Z24" s="64">
        <f t="shared" si="9"/>
        <v>1.52E-2</v>
      </c>
      <c r="AA24" s="64">
        <f t="shared" si="10"/>
        <v>23.282599999999999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0112-29</v>
      </c>
      <c r="AE24" s="87" t="str">
        <f t="shared" si="12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24" s="84" t="str">
        <f t="shared" si="13"/>
        <v>"C:\Program Files (x86)\AstroGrep\AstroGrep.exe" /spath="%USERPROFILE%\AppData\Local\Temp\OnboardLogs" /stypes="app*4008*20170129*"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112-29 --locoid 4008 --swversion DE.1.0.8.0 --startMP 204:232978 --initTime 2017-01-29T05:51:11 --startdatetime 2017-01-29T05:56:24 --delay 1 --endMP 204:152 --enddatetime 2017-01-29T06:34:27 --enforcementcount 0 &gt;&gt;C:\Users\stu\Documents\GitHub\eaglep3-reporting\EC\2017-01-29-refined-times.txt</v>
      </c>
      <c r="AI24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{"issue":{"subject":"","project_id":79,"tracker_id":40,"status_id":1,"priority_id":2,"assigned_to_id":23,"start_date":"2017-01-29","description":"","custom_fields":[{"id":1,"name":"Subdivision","value":"EC"},{"id":4,"name":"Milepost","value":"0.0152"},{"id":17,"name":"Train ID","value":"112-29"},{"id":16,"name":"Locomotive ID","value":"4008"},{"id":130,"name":"Impact","value":""},{"id":150,"name":"Time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4008 --day 2017-01-29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"%USERPROFILE%\AppData\Local\Temp\OnboardLogs"\RTDC4008\*4008*20170129* | grep -SE "(Enforcement Action)|(\[TIMEOUT)|(CHR.+\|PRM\|1\|D.+(SWITCH|SIGNAL).+UNKNOWN)" - &gt;&gt; 2017-01-29-UncaughtWiMAX.txt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490</v>
      </c>
      <c r="B25" s="7">
        <v>4002</v>
      </c>
      <c r="C25" s="22" t="s">
        <v>193</v>
      </c>
      <c r="D25" s="22" t="s">
        <v>423</v>
      </c>
      <c r="E25" s="13">
        <v>42764.210393518515</v>
      </c>
      <c r="F25" s="13">
        <v>42764.218935185185</v>
      </c>
      <c r="G25" s="7">
        <v>1</v>
      </c>
      <c r="H25" s="22" t="s">
        <v>670</v>
      </c>
      <c r="I25" s="13">
        <v>42764.245729166665</v>
      </c>
      <c r="J25" s="7">
        <v>0</v>
      </c>
      <c r="K25" s="105" t="str">
        <f t="shared" si="0"/>
        <v>4001/4002</v>
      </c>
      <c r="L25" s="22" t="str">
        <f>VLOOKUP(A25,'Trips&amp;Operators'!$C$1:$G$99999,5,FALSE)</f>
        <v>OUN ZACK</v>
      </c>
      <c r="M25" s="6">
        <f t="shared" si="1"/>
        <v>2.679398148029577E-2</v>
      </c>
      <c r="N25" s="7">
        <f t="shared" si="2"/>
        <v>38.583333331625909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-29T04:02:58-0700',mode:absolute,to:'2017-01-29T06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4.2700000000000002E-2</v>
      </c>
      <c r="Z25" s="64">
        <f t="shared" si="9"/>
        <v>23.333400000000001</v>
      </c>
      <c r="AA25" s="64">
        <f t="shared" si="10"/>
        <v>23.290700000000001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0113-29</v>
      </c>
      <c r="AE25" s="87" t="str">
        <f t="shared" si="12"/>
        <v>aws s3 cp s3://rtdc.mdm.uploadarchive.raw/RTDC4002/ "%USERPROFILE%\AppData\Local\Temp\OnboardLogs"\RTDC4002\2017-01-29 --exclude "*" --recursive --include "*20170129*" &amp; "%USERPROFILE%\Documents\GitHub\mrs-test-scripts\Headless Mode &amp; Sideloading\WalkAndUnGZ.bat" "%USERPROFILE%\AppData\Local\Temp\OnboardLogs"\RTDC4002\2017-01-29 &amp; 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</v>
      </c>
      <c r="AF25" s="84" t="str">
        <f t="shared" si="13"/>
        <v>"C:\Program Files (x86)\AstroGrep\AstroGrep.exe" /spath="%USERPROFILE%\AppData\Local\Temp\OnboardLogs" /stypes="app*4002*20170129*"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113-29 --locoid 4002 --swversion DE.1.0.8.0 --startMP 204:427 --initTime 2017-01-29T05:02:58 --startdatetime 2017-01-29T05:15:16 --delay 1 --endMP 204:233334 --enddatetime 2017-01-29T05:53:51 --enforcementcount 0 &gt;&gt;C:\Users\stu\Documents\GitHub\eaglep3-reporting\EC\2017-01-29-refined-times.txt</v>
      </c>
      <c r="AI25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{"issue":{"subject":"","project_id":79,"tracker_id":40,"status_id":1,"priority_id":2,"assigned_to_id":23,"start_date":"2017-01-29","description":"","custom_fields":[{"id":1,"name":"Subdivision","value":"EC"},{"id":4,"name":"Milepost","value":"23.3334"},{"id":17,"name":"Train ID","value":"113-29"},{"id":16,"name":"Locomotive ID","value":"4002"},{"id":130,"name":"Impact","value":""},{"id":150,"name":"Time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4002 --day 2017-01-29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"%USERPROFILE%\AppData\Local\Temp\OnboardLogs"\RTDC4002\*4002*20170129* | grep -SE "(Enforcement Action)|(\[TIMEOUT)|(CHR.+\|PRM\|1\|D.+(SWITCH|SIGNAL).+UNKNOWN)" - &gt;&gt; 2017-01-29-UncaughtWiMAX.txt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502</v>
      </c>
      <c r="B26" s="7">
        <v>4001</v>
      </c>
      <c r="C26" s="22" t="s">
        <v>193</v>
      </c>
      <c r="D26" s="22" t="s">
        <v>448</v>
      </c>
      <c r="E26" s="13">
        <v>42764.254131944443</v>
      </c>
      <c r="F26" s="13">
        <v>42764.257916666669</v>
      </c>
      <c r="G26" s="7">
        <v>1</v>
      </c>
      <c r="H26" s="22" t="s">
        <v>305</v>
      </c>
      <c r="I26" s="13">
        <v>42764.284594907411</v>
      </c>
      <c r="J26" s="7">
        <v>0</v>
      </c>
      <c r="K26" s="105" t="str">
        <f t="shared" si="0"/>
        <v>4001/4002</v>
      </c>
      <c r="L26" s="22" t="str">
        <f>VLOOKUP(A26,'Trips&amp;Operators'!$C$1:$G$99999,5,FALSE)</f>
        <v>OUN ZACK</v>
      </c>
      <c r="M26" s="6">
        <f t="shared" si="1"/>
        <v>2.6678240741603076E-2</v>
      </c>
      <c r="N26" s="7">
        <f t="shared" si="2"/>
        <v>38.41666666790843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-29T05:05:57-0700',mode:absolute,to:'2017-01-29T07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23.301100000000002</v>
      </c>
      <c r="Z26" s="64">
        <f t="shared" si="9"/>
        <v>1.3599999999999999E-2</v>
      </c>
      <c r="AA26" s="64">
        <f t="shared" si="10"/>
        <v>23.287500000000001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0114-29</v>
      </c>
      <c r="AE26" s="87" t="str">
        <f t="shared" si="12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26" s="84" t="str">
        <f t="shared" si="13"/>
        <v>"C:\Program Files (x86)\AstroGrep\AstroGrep.exe" /spath="%USERPROFILE%\AppData\Local\Temp\OnboardLogs" /stypes="app*4001*20170129*"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114-29 --locoid 4001 --swversion DE.1.0.8.0 --startMP 204:233011 --initTime 2017-01-29T06:05:57 --startdatetime 2017-01-29T06:11:24 --delay 1 --endMP 204:136 --enddatetime 2017-01-29T06:49:49 --enforcementcount 0 &gt;&gt;C:\Users\stu\Documents\GitHub\eaglep3-reporting\EC\2017-01-29-refined-times.txt</v>
      </c>
      <c r="AI26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{"issue":{"subject":"","project_id":79,"tracker_id":40,"status_id":1,"priority_id":2,"assigned_to_id":23,"start_date":"2017-01-29","description":"","custom_fields":[{"id":1,"name":"Subdivision","value":"EC"},{"id":4,"name":"Milepost","value":"0.0136"},{"id":17,"name":"Train ID","value":"114-29"},{"id":16,"name":"Locomotive ID","value":"4001"},{"id":130,"name":"Impact","value":""},{"id":150,"name":"Time of Event (Mountain Time)","value":"06:49:49"},{"id":151,"name":"Denver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4001 --day 2017-01-29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"%USERPROFILE%\AppData\Local\Temp\OnboardLogs"\RTDC4001\*4001*20170129* | grep -SE "(Enforcement Action)|(\[TIMEOUT)|(CHR.+\|PRM\|1\|D.+(SWITCH|SIGNAL).+UNKNOWN)" - &gt;&gt; 2017-01-29-UncaughtWiMAX.txt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495</v>
      </c>
      <c r="B27" s="7">
        <v>4038</v>
      </c>
      <c r="C27" s="22" t="s">
        <v>193</v>
      </c>
      <c r="D27" s="22" t="s">
        <v>430</v>
      </c>
      <c r="E27" s="13">
        <v>42764.225243055553</v>
      </c>
      <c r="F27" s="13">
        <v>42764.229351851849</v>
      </c>
      <c r="G27" s="7">
        <v>1</v>
      </c>
      <c r="H27" s="22" t="s">
        <v>307</v>
      </c>
      <c r="I27" s="13">
        <v>42764.255868055552</v>
      </c>
      <c r="J27" s="7">
        <v>0</v>
      </c>
      <c r="K27" s="105" t="str">
        <f t="shared" si="0"/>
        <v>4037/4038</v>
      </c>
      <c r="L27" s="22" t="str">
        <f>VLOOKUP(A27,'Trips&amp;Operators'!$C$1:$G$99999,5,FALSE)</f>
        <v>SHOOK JOHN</v>
      </c>
      <c r="M27" s="6">
        <f t="shared" si="1"/>
        <v>2.6516203703067731E-2</v>
      </c>
      <c r="N27" s="7">
        <f t="shared" si="2"/>
        <v>38.183333332417533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-29T04:24:21-0700',mode:absolute,to:'2017-01-29T07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7.5200000000000003E-2</v>
      </c>
      <c r="Z27" s="64">
        <f t="shared" si="9"/>
        <v>23.3309</v>
      </c>
      <c r="AA27" s="64">
        <f t="shared" si="10"/>
        <v>23.255700000000001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0115-29</v>
      </c>
      <c r="AE27" s="87" t="str">
        <f t="shared" si="12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27" s="84" t="str">
        <f t="shared" si="13"/>
        <v>"C:\Program Files (x86)\AstroGrep\AstroGrep.exe" /spath="%USERPROFILE%\AppData\Local\Temp\OnboardLogs" /stypes="app*4038*20170129*"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115-29 --locoid 4038 --swversion DE.1.0.8.0 --startMP 204:752 --initTime 2017-01-29T05:24:21 --startdatetime 2017-01-29T05:30:16 --delay 1 --endMP 204:233309 --enddatetime 2017-01-29T06:08:27 --enforcementcount 0 &gt;&gt;C:\Users\stu\Documents\GitHub\eaglep3-reporting\EC\2017-01-29-refined-times.txt</v>
      </c>
      <c r="AI27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{"issue":{"subject":"","project_id":79,"tracker_id":40,"status_id":1,"priority_id":2,"assigned_to_id":23,"start_date":"2017-01-29","description":"","custom_fields":[{"id":1,"name":"Subdivision","value":"EC"},{"id":4,"name":"Milepost","value":"23.3309"},{"id":17,"name":"Train ID","value":"115-29"},{"id":16,"name":"Locomotive ID","value":"4038"},{"id":130,"name":"Impact","value":""},{"id":150,"name":"Time of Event (Mountain Time)","value":"06:08:27"},{"id":151,"name":"Denver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4038 --day 2017-01-29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"%USERPROFILE%\AppData\Local\Temp\OnboardLogs"\RTDC4038\*4038*20170129* | grep -SE "(Enforcement Action)|(\[TIMEOUT)|(CHR.+\|PRM\|1\|D.+(SWITCH|SIGNAL).+UNKNOWN)" - &gt;&gt; 2017-01-29-UncaughtWiMAX.txt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504</v>
      </c>
      <c r="B28" s="7">
        <v>4037</v>
      </c>
      <c r="C28" s="22" t="s">
        <v>193</v>
      </c>
      <c r="D28" s="22" t="s">
        <v>451</v>
      </c>
      <c r="E28" s="13">
        <v>42764.257835648146</v>
      </c>
      <c r="F28" s="13">
        <v>42764.268263888887</v>
      </c>
      <c r="G28" s="7">
        <v>1</v>
      </c>
      <c r="H28" s="22" t="s">
        <v>211</v>
      </c>
      <c r="I28" s="13">
        <v>42764.296400462961</v>
      </c>
      <c r="J28" s="7">
        <v>0</v>
      </c>
      <c r="K28" s="105" t="str">
        <f t="shared" si="0"/>
        <v>4037/4038</v>
      </c>
      <c r="L28" s="22" t="str">
        <f>VLOOKUP(A28,'Trips&amp;Operators'!$C$1:$G$99999,5,FALSE)</f>
        <v>SHOOK JOHN</v>
      </c>
      <c r="M28" s="6">
        <f t="shared" si="1"/>
        <v>2.8136574073869269E-2</v>
      </c>
      <c r="N28" s="7">
        <f t="shared" si="2"/>
        <v>40.516666666371748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-29T05:11:17-0700',mode:absolute,to:'2017-01-29T08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23.3</v>
      </c>
      <c r="Z28" s="64">
        <f t="shared" si="9"/>
        <v>1.6E-2</v>
      </c>
      <c r="AA28" s="64">
        <f t="shared" si="10"/>
        <v>23.284000000000002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0116-29</v>
      </c>
      <c r="AE28" s="87" t="str">
        <f t="shared" si="12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28" s="84" t="str">
        <f t="shared" si="13"/>
        <v>"C:\Program Files (x86)\AstroGrep\AstroGrep.exe" /spath="%USERPROFILE%\AppData\Local\Temp\OnboardLogs" /stypes="app*4037*20170129*"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116-29 --locoid 4037 --swversion DE.1.0.8.0 --startMP 204:233000 --initTime 2017-01-29T06:11:17 --startdatetime 2017-01-29T06:26:18 --delay 1 --endMP 204:160 --enddatetime 2017-01-29T07:06:49 --enforcementcount 0 &gt;&gt;C:\Users\stu\Documents\GitHub\eaglep3-reporting\EC\2017-01-29-refined-times.txt</v>
      </c>
      <c r="AI28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{"issue":{"subject":"","project_id":79,"tracker_id":40,"status_id":1,"priority_id":2,"assigned_to_id":23,"start_date":"2017-01-29","description":"","custom_fields":[{"id":1,"name":"Subdivision","value":"EC"},{"id":4,"name":"Milepost","value":"0.016"},{"id":17,"name":"Train ID","value":"116-29"},{"id":16,"name":"Locomotive ID","value":"4037"},{"id":130,"name":"Impact","value":""},{"id":150,"name":"Time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4037 --day 2017-01-29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"%USERPROFILE%\AppData\Local\Temp\OnboardLogs"\RTDC4037\*4037*20170129* | grep -SE "(Enforcement Action)|(\[TIMEOUT)|(CHR.+\|PRM\|1\|D.+(SWITCH|SIGNAL).+UNKNOWN)" - &gt;&gt; 2017-01-29-UncaughtWiMAX.txt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496</v>
      </c>
      <c r="B29" s="7">
        <v>4020</v>
      </c>
      <c r="C29" s="22" t="s">
        <v>193</v>
      </c>
      <c r="D29" s="22" t="s">
        <v>308</v>
      </c>
      <c r="E29" s="13">
        <v>42764.226087962961</v>
      </c>
      <c r="F29" s="13">
        <v>42764.239837962959</v>
      </c>
      <c r="G29" s="7">
        <v>1</v>
      </c>
      <c r="H29" s="22" t="s">
        <v>678</v>
      </c>
      <c r="I29" s="13">
        <v>42764.266145833331</v>
      </c>
      <c r="J29" s="7">
        <v>0</v>
      </c>
      <c r="K29" s="105" t="str">
        <f t="shared" si="0"/>
        <v>4019/4020</v>
      </c>
      <c r="L29" s="22" t="str">
        <f>VLOOKUP(A29,'Trips&amp;Operators'!$C$1:$G$99999,5,FALSE)</f>
        <v>MAELZER KURT</v>
      </c>
      <c r="M29" s="6">
        <f t="shared" si="1"/>
        <v>2.6307870371965691E-2</v>
      </c>
      <c r="N29" s="7">
        <f t="shared" si="2"/>
        <v>37.883333335630596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-29T04:25:34-0700',mode:absolute,to:'2017-01-29T07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4.3799999999999999E-2</v>
      </c>
      <c r="Z29" s="64">
        <f t="shared" si="9"/>
        <v>23.3323</v>
      </c>
      <c r="AA29" s="64">
        <f t="shared" si="10"/>
        <v>23.288499999999999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0117-29</v>
      </c>
      <c r="AE29" s="87" t="str">
        <f t="shared" si="12"/>
        <v>aws s3 cp s3://rtdc.mdm.uploadarchive.raw/RTDC4020/ "%USERPROFILE%\AppData\Local\Temp\OnboardLogs"\RTDC4020\2017-01-29 --exclude "*" --recursive --include "*20170129*" &amp; "%USERPROFILE%\Documents\GitHub\mrs-test-scripts\Headless Mode &amp; Sideloading\WalkAndUnGZ.bat" "%USERPROFILE%\AppData\Local\Temp\OnboardLogs"\RTDC4020\2017-01-29 &amp; 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</v>
      </c>
      <c r="AF29" s="84" t="str">
        <f t="shared" si="13"/>
        <v>"C:\Program Files (x86)\AstroGrep\AstroGrep.exe" /spath="%USERPROFILE%\AppData\Local\Temp\OnboardLogs" /stypes="app*4020*20170129*"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117-29 --locoid 4020 --swversion DE.1.0.8.0 --startMP 204:438 --initTime 2017-01-29T05:25:34 --startdatetime 2017-01-29T05:45:22 --delay 1 --endMP 204:233323 --enddatetime 2017-01-29T06:23:15 --enforcementcount 0 &gt;&gt;C:\Users\stu\Documents\GitHub\eaglep3-reporting\EC\2017-01-29-refined-times.txt</v>
      </c>
      <c r="AI29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{"issue":{"subject":"","project_id":79,"tracker_id":40,"status_id":1,"priority_id":2,"assigned_to_id":23,"start_date":"2017-01-29","description":"","custom_fields":[{"id":1,"name":"Subdivision","value":"EC"},{"id":4,"name":"Milepost","value":"23.3323"},{"id":17,"name":"Train ID","value":"117-29"},{"id":16,"name":"Locomotive ID","value":"4020"},{"id":130,"name":"Impact","value":""},{"id":150,"name":"Time of Event (Mountain Time)","value":"06:23:15"},{"id":151,"name":"Denver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4020 --day 2017-01-29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"%USERPROFILE%\AppData\Local\Temp\OnboardLogs"\RTDC4020\*4020*20170129* | grep -SE "(Enforcement Action)|(\[TIMEOUT)|(CHR.+\|PRM\|1\|D.+(SWITCH|SIGNAL).+UNKNOWN)" - &gt;&gt; 2017-01-29-UncaughtWiMAX.txt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506</v>
      </c>
      <c r="B30" s="7">
        <v>4019</v>
      </c>
      <c r="C30" s="22" t="s">
        <v>193</v>
      </c>
      <c r="D30" s="22" t="s">
        <v>679</v>
      </c>
      <c r="E30" s="13">
        <v>42764.273969907408</v>
      </c>
      <c r="F30" s="13">
        <v>42764.278738425928</v>
      </c>
      <c r="G30" s="7">
        <v>1</v>
      </c>
      <c r="H30" s="22" t="s">
        <v>420</v>
      </c>
      <c r="I30" s="13">
        <v>42764.305879629632</v>
      </c>
      <c r="J30" s="7">
        <v>0</v>
      </c>
      <c r="K30" s="105" t="str">
        <f t="shared" si="0"/>
        <v>4019/4020</v>
      </c>
      <c r="L30" s="22" t="str">
        <f>VLOOKUP(A30,'Trips&amp;Operators'!$C$1:$G$99999,5,FALSE)</f>
        <v>MAELZER KURT</v>
      </c>
      <c r="M30" s="6">
        <f t="shared" si="1"/>
        <v>2.7141203703649808E-2</v>
      </c>
      <c r="N30" s="7">
        <f t="shared" si="2"/>
        <v>39.083333333255723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-29T05:34:31-0700',mode:absolute,to:'2017-01-29T08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23.3019</v>
      </c>
      <c r="Z30" s="64">
        <f t="shared" si="9"/>
        <v>1.3899999999999999E-2</v>
      </c>
      <c r="AA30" s="64">
        <f t="shared" si="10"/>
        <v>23.288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0118-29</v>
      </c>
      <c r="AE30" s="87" t="str">
        <f t="shared" si="12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30" s="84" t="str">
        <f t="shared" si="13"/>
        <v>"C:\Program Files (x86)\AstroGrep\AstroGrep.exe" /spath="%USERPROFILE%\AppData\Local\Temp\OnboardLogs" /stypes="app*4019*20170129*"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118-29 --locoid 4019 --swversion DE.1.0.8.0 --startMP 204:233019 --initTime 2017-01-29T06:34:31 --startdatetime 2017-01-29T06:41:23 --delay 1 --endMP 204:139 --enddatetime 2017-01-29T07:20:28 --enforcementcount 0 &gt;&gt;C:\Users\stu\Documents\GitHub\eaglep3-reporting\EC\2017-01-29-refined-times.txt</v>
      </c>
      <c r="AI30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{"issue":{"subject":"","project_id":79,"tracker_id":40,"status_id":1,"priority_id":2,"assigned_to_id":23,"start_date":"2017-01-29","description":"","custom_fields":[{"id":1,"name":"Subdivision","value":"EC"},{"id":4,"name":"Milepost","value":"0.0139"},{"id":17,"name":"Train ID","value":"118-29"},{"id":16,"name":"Locomotive ID","value":"4019"},{"id":130,"name":"Impact","value":""},{"id":150,"name":"Time of Event (Mountain Time)","value":"07:20:28"},{"id":151,"name":"Denver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4019 --day 2017-01-29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"%USERPROFILE%\AppData\Local\Temp\OnboardLogs"\RTDC4019\*4019*20170129* | grep -SE "(Enforcement Action)|(\[TIMEOUT)|(CHR.+\|PRM\|1\|D.+(SWITCH|SIGNAL).+UNKNOWN)" - &gt;&gt; 2017-01-29-UncaughtWiMAX.txt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501</v>
      </c>
      <c r="B31" s="7">
        <v>4025</v>
      </c>
      <c r="C31" s="22" t="s">
        <v>193</v>
      </c>
      <c r="D31" s="22" t="s">
        <v>680</v>
      </c>
      <c r="E31" s="13">
        <v>42764.247997685183</v>
      </c>
      <c r="F31" s="13">
        <v>42764.250451388885</v>
      </c>
      <c r="G31" s="7">
        <v>1</v>
      </c>
      <c r="H31" s="22" t="s">
        <v>301</v>
      </c>
      <c r="I31" s="13">
        <v>42764.275555555556</v>
      </c>
      <c r="J31" s="7">
        <v>0</v>
      </c>
      <c r="K31" s="105" t="str">
        <f t="shared" si="0"/>
        <v>4025/4026</v>
      </c>
      <c r="L31" s="22" t="str">
        <f>VLOOKUP(A31,'Trips&amp;Operators'!$C$1:$G$99999,5,FALSE)</f>
        <v>PERKINS DARREN</v>
      </c>
      <c r="M31" s="6">
        <f t="shared" si="1"/>
        <v>2.510416667064419E-2</v>
      </c>
      <c r="N31" s="7">
        <f t="shared" si="2"/>
        <v>36.150000005727634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-29T04:57:07-0700',mode:absolute,to:'2017-01-29T07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7.4999999999999997E-2</v>
      </c>
      <c r="Z31" s="64">
        <f t="shared" si="9"/>
        <v>23.331199999999999</v>
      </c>
      <c r="AA31" s="64">
        <f t="shared" si="10"/>
        <v>23.2562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0119-29</v>
      </c>
      <c r="AE31" s="87" t="str">
        <f t="shared" si="12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31" s="84" t="str">
        <f t="shared" si="13"/>
        <v>"C:\Program Files (x86)\AstroGrep\AstroGrep.exe" /spath="%USERPROFILE%\AppData\Local\Temp\OnboardLogs" /stypes="app*4025*20170129*"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119-29 --locoid 4025 --swversion DE.1.0.8.0 --startMP 204:750 --initTime 2017-01-29T05:57:07 --startdatetime 2017-01-29T06:00:39 --delay 1 --endMP 204:233312 --enddatetime 2017-01-29T06:36:48 --enforcementcount 0 &gt;&gt;C:\Users\stu\Documents\GitHub\eaglep3-reporting\EC\2017-01-29-refined-times.txt</v>
      </c>
      <c r="AI31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{"issue":{"subject":"","project_id":79,"tracker_id":40,"status_id":1,"priority_id":2,"assigned_to_id":23,"start_date":"2017-01-29","description":"","custom_fields":[{"id":1,"name":"Subdivision","value":"EC"},{"id":4,"name":"Milepost","value":"23.3312"},{"id":17,"name":"Train ID","value":"119-29"},{"id":16,"name":"Locomotive ID","value":"4025"},{"id":130,"name":"Impact","value":""},{"id":150,"name":"Time of Event (Mountain Time)","value":"06:36:48"},{"id":151,"name":"Denver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4025 --day 2017-01-29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"%USERPROFILE%\AppData\Local\Temp\OnboardLogs"\RTDC4025\*4025*20170129* | grep -SE "(Enforcement Action)|(\[TIMEOUT)|(CHR.+\|PRM\|1\|D.+(SWITCH|SIGNAL).+UNKNOWN)" - &gt;&gt; 2017-01-29-UncaughtWiMAX.txt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509</v>
      </c>
      <c r="B32" s="7">
        <v>4026</v>
      </c>
      <c r="C32" s="22" t="s">
        <v>193</v>
      </c>
      <c r="D32" s="22" t="s">
        <v>300</v>
      </c>
      <c r="E32" s="13">
        <v>42764.284062500003</v>
      </c>
      <c r="F32" s="13">
        <v>42764.2890162037</v>
      </c>
      <c r="G32" s="7">
        <v>1</v>
      </c>
      <c r="H32" s="22" t="s">
        <v>420</v>
      </c>
      <c r="I32" s="13">
        <v>42764.315474537034</v>
      </c>
      <c r="J32" s="7">
        <v>0</v>
      </c>
      <c r="K32" s="105" t="str">
        <f t="shared" si="0"/>
        <v>4025/4026</v>
      </c>
      <c r="L32" s="22" t="str">
        <f>VLOOKUP(A32,'Trips&amp;Operators'!$C$1:$G$99999,5,FALSE)</f>
        <v>PERKINS DARREN</v>
      </c>
      <c r="M32" s="6">
        <f t="shared" si="1"/>
        <v>2.6458333333721384E-2</v>
      </c>
      <c r="N32" s="7">
        <f t="shared" si="2"/>
        <v>38.100000000558794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-29T05:49:03-0700',mode:absolute,to:'2017-01-29T08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23.297999999999998</v>
      </c>
      <c r="Z32" s="64">
        <f t="shared" si="9"/>
        <v>1.3899999999999999E-2</v>
      </c>
      <c r="AA32" s="64">
        <f t="shared" si="10"/>
        <v>23.284099999999999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0120-29</v>
      </c>
      <c r="AE32" s="87" t="str">
        <f t="shared" si="12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32" s="84" t="str">
        <f t="shared" si="13"/>
        <v>"C:\Program Files (x86)\AstroGrep\AstroGrep.exe" /spath="%USERPROFILE%\AppData\Local\Temp\OnboardLogs" /stypes="app*4026*20170129*"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120-29 --locoid 4026 --swversion DE.1.0.8.0 --startMP 204:232980 --initTime 2017-01-29T06:49:03 --startdatetime 2017-01-29T06:56:11 --delay 1 --endMP 204:139 --enddatetime 2017-01-29T07:34:17 --enforcementcount 0 &gt;&gt;C:\Users\stu\Documents\GitHub\eaglep3-reporting\EC\2017-01-29-refined-times.txt</v>
      </c>
      <c r="AI32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{"issue":{"subject":"","project_id":79,"tracker_id":40,"status_id":1,"priority_id":2,"assigned_to_id":23,"start_date":"2017-01-29","description":"","custom_fields":[{"id":1,"name":"Subdivision","value":"EC"},{"id":4,"name":"Milepost","value":"0.0139"},{"id":17,"name":"Train ID","value":"120-29"},{"id":16,"name":"Locomotive ID","value":"4026"},{"id":130,"name":"Impact","value":""},{"id":150,"name":"Time of Event (Mountain Time)","value":"07:34:17"},{"id":151,"name":"Denver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4026 --day 2017-01-29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"%USERPROFILE%\AppData\Local\Temp\OnboardLogs"\RTDC4026\*4026*20170129* | grep -SE "(Enforcement Action)|(\[TIMEOUT)|(CHR.+\|PRM\|1\|D.+(SWITCH|SIGNAL).+UNKNOWN)" - &gt;&gt; 2017-01-29-UncaughtWiMAX.txt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503</v>
      </c>
      <c r="B33" s="7">
        <v>4011</v>
      </c>
      <c r="C33" s="22" t="s">
        <v>193</v>
      </c>
      <c r="D33" s="22" t="s">
        <v>419</v>
      </c>
      <c r="E33" s="13">
        <v>42764.256423611114</v>
      </c>
      <c r="F33" s="13">
        <v>42764.260567129626</v>
      </c>
      <c r="G33" s="7">
        <v>0</v>
      </c>
      <c r="H33" s="22" t="s">
        <v>376</v>
      </c>
      <c r="I33" s="13">
        <v>42764.286736111113</v>
      </c>
      <c r="J33" s="7">
        <v>0</v>
      </c>
      <c r="K33" s="105" t="str">
        <f t="shared" si="0"/>
        <v>4011/4012</v>
      </c>
      <c r="L33" s="22" t="str">
        <f>VLOOKUP(A33,'Trips&amp;Operators'!$C$1:$G$99999,5,FALSE)</f>
        <v>DAVIS WENDY</v>
      </c>
      <c r="M33" s="6">
        <f t="shared" si="1"/>
        <v>2.6168981486989651E-2</v>
      </c>
      <c r="N33" s="7">
        <f t="shared" si="2"/>
        <v>37.683333341265097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-29T05:09:15-0700',mode:absolute,to:'2017-01-29T07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4.7699999999999999E-2</v>
      </c>
      <c r="Z33" s="64">
        <f t="shared" si="9"/>
        <v>23.3308</v>
      </c>
      <c r="AA33" s="64">
        <f t="shared" si="10"/>
        <v>23.283100000000001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0121-29</v>
      </c>
      <c r="AE33" s="87" t="str">
        <f t="shared" si="12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33" s="84" t="str">
        <f t="shared" si="13"/>
        <v>"C:\Program Files (x86)\AstroGrep\AstroGrep.exe" /spath="%USERPROFILE%\AppData\Local\Temp\OnboardLogs" /stypes="app*4011*20170129*"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121-29 --locoid 4011 --swversion DE.1.0.8.0 --startMP 204:477 --initTime 2017-01-29T06:09:15 --startdatetime 2017-01-29T06:15:13 --delay 0 --endMP 204:233308 --enddatetime 2017-01-29T06:52:54 --enforcementcount 0 &gt;&gt;C:\Users\stu\Documents\GitHub\eaglep3-reporting\EC\2017-01-29-refined-times.txt</v>
      </c>
      <c r="AI33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{"issue":{"subject":"","project_id":79,"tracker_id":40,"status_id":1,"priority_id":2,"assigned_to_id":23,"start_date":"2017-01-29","description":"","custom_fields":[{"id":1,"name":"Subdivision","value":"EC"},{"id":4,"name":"Milepost","value":"23.3308"},{"id":17,"name":"Train ID","value":"121-29"},{"id":16,"name":"Locomotive ID","value":"4011"},{"id":130,"name":"Impact","value":""},{"id":150,"name":"Time of Event (Mountain Time)","value":"06:52:54"},{"id":151,"name":"Denver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4011 --day 2017-01-29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"%USERPROFILE%\AppData\Local\Temp\OnboardLogs"\RTDC4011\*4011*20170129* | grep -SE "(Enforcement Action)|(\[TIMEOUT)|(CHR.+\|PRM\|1\|D.+(SWITCH|SIGNAL).+UNKNOWN)" - &gt;&gt; 2017-01-29-UncaughtWiMAX.txt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513</v>
      </c>
      <c r="B34" s="7">
        <v>4012</v>
      </c>
      <c r="C34" s="22" t="s">
        <v>193</v>
      </c>
      <c r="D34" s="22" t="s">
        <v>681</v>
      </c>
      <c r="E34" s="13">
        <v>42764.297418981485</v>
      </c>
      <c r="F34" s="13">
        <v>42764.300173611111</v>
      </c>
      <c r="G34" s="7">
        <v>1</v>
      </c>
      <c r="H34" s="22" t="s">
        <v>215</v>
      </c>
      <c r="I34" s="13">
        <v>42764.327118055553</v>
      </c>
      <c r="J34" s="7">
        <v>0</v>
      </c>
      <c r="K34" s="105" t="str">
        <f t="shared" si="0"/>
        <v>4011/4012</v>
      </c>
      <c r="L34" s="22" t="str">
        <f>VLOOKUP(A34,'Trips&amp;Operators'!$C$1:$G$99999,5,FALSE)</f>
        <v>DAVIS WENDY</v>
      </c>
      <c r="M34" s="6">
        <f t="shared" si="1"/>
        <v>2.6944444442051463E-2</v>
      </c>
      <c r="N34" s="7">
        <f t="shared" si="2"/>
        <v>38.799999996554106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-29T06:08:17-0700',mode:absolute,to:'2017-01-29T08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23.3004</v>
      </c>
      <c r="Z34" s="64">
        <f t="shared" si="9"/>
        <v>1.52E-2</v>
      </c>
      <c r="AA34" s="64">
        <f t="shared" si="10"/>
        <v>23.2852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0122-29</v>
      </c>
      <c r="AE34" s="87" t="str">
        <f t="shared" si="12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34" s="84" t="str">
        <f t="shared" si="13"/>
        <v>"C:\Program Files (x86)\AstroGrep\AstroGrep.exe" /spath="%USERPROFILE%\AppData\Local\Temp\OnboardLogs" /stypes="app*4012*20170129*"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122-29 --locoid 4012 --swversion DE.1.0.8.0 --startMP 204:233004 --initTime 2017-01-29T07:08:17 --startdatetime 2017-01-29T07:12:15 --delay 1 --endMP 204:152 --enddatetime 2017-01-29T07:51:03 --enforcementcount 0 &gt;&gt;C:\Users\stu\Documents\GitHub\eaglep3-reporting\EC\2017-01-29-refined-times.txt</v>
      </c>
      <c r="AI34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{"issue":{"subject":"","project_id":79,"tracker_id":40,"status_id":1,"priority_id":2,"assigned_to_id":23,"start_date":"2017-01-29","description":"","custom_fields":[{"id":1,"name":"Subdivision","value":"EC"},{"id":4,"name":"Milepost","value":"0.0152"},{"id":17,"name":"Train ID","value":"122-29"},{"id":16,"name":"Locomotive ID","value":"4012"},{"id":130,"name":"Impact","value":""},{"id":150,"name":"Time of Event (Mountain Time)","value":"07:51:03"},{"id":151,"name":"Denver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4012 --day 2017-01-29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505</v>
      </c>
      <c r="B35" s="7">
        <v>4040</v>
      </c>
      <c r="C35" s="22" t="s">
        <v>193</v>
      </c>
      <c r="D35" s="22" t="s">
        <v>244</v>
      </c>
      <c r="E35" s="13">
        <v>42764.266782407409</v>
      </c>
      <c r="F35" s="13">
        <v>42764.270995370367</v>
      </c>
      <c r="G35" s="7">
        <v>1</v>
      </c>
      <c r="H35" s="22" t="s">
        <v>316</v>
      </c>
      <c r="I35" s="13">
        <v>42764.295949074076</v>
      </c>
      <c r="J35" s="7">
        <v>0</v>
      </c>
      <c r="K35" s="105" t="str">
        <f t="shared" si="0"/>
        <v>4039/4040</v>
      </c>
      <c r="L35" s="22" t="str">
        <f>VLOOKUP(A35,'Trips&amp;Operators'!$C$1:$G$99999,5,FALSE)</f>
        <v>ROBINSON KADDIBA</v>
      </c>
      <c r="M35" s="6">
        <f t="shared" si="1"/>
        <v>2.4953703708888497E-2</v>
      </c>
      <c r="N35" s="7">
        <f t="shared" si="2"/>
        <v>35.933333340799436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-29T05:24:10-0700',mode:absolute,to:'2017-01-29T08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4.6600000000000003E-2</v>
      </c>
      <c r="Z35" s="64">
        <f t="shared" si="9"/>
        <v>23.331399999999999</v>
      </c>
      <c r="AA35" s="64">
        <f t="shared" si="10"/>
        <v>23.284799999999997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0123-29</v>
      </c>
      <c r="AE35" s="87" t="str">
        <f t="shared" si="12"/>
        <v>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 &amp; 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</v>
      </c>
      <c r="AF35" s="84" t="str">
        <f t="shared" si="13"/>
        <v>"C:\Program Files (x86)\AstroGrep\AstroGrep.exe" /spath="%USERPROFILE%\AppData\Local\Temp\OnboardLogs" /stypes="app*4040*20170129*"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123-29 --locoid 4040 --swversion DE.1.0.8.0 --startMP 204:466 --initTime 2017-01-29T06:24:10 --startdatetime 2017-01-29T06:30:14 --delay 1 --endMP 204:233314 --enddatetime 2017-01-29T07:06:10 --enforcementcount 0 &gt;&gt;C:\Users\stu\Documents\GitHub\eaglep3-reporting\EC\2017-01-29-refined-times.txt</v>
      </c>
      <c r="AI35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{"issue":{"subject":"","project_id":79,"tracker_id":40,"status_id":1,"priority_id":2,"assigned_to_id":23,"start_date":"2017-01-29","description":"","custom_fields":[{"id":1,"name":"Subdivision","value":"EC"},{"id":4,"name":"Milepost","value":"23.3314"},{"id":17,"name":"Train ID","value":"123-29"},{"id":16,"name":"Locomotive ID","value":"4040"},{"id":130,"name":"Impact","value":""},{"id":150,"name":"Time of Event (Mountain Time)","value":"07:06:10"},{"id":151,"name":"Denver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4040 --day 2017-01-29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"%USERPROFILE%\AppData\Local\Temp\OnboardLogs"\RTDC4040\*4040*20170129* | grep -SE "(Enforcement Action)|(\[TIMEOUT)|(CHR.+\|PRM\|1\|D.+(SWITCH|SIGNAL).+UNKNOWN)" - &gt;&gt; 2017-01-29-UncaughtWiMAX.txt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515</v>
      </c>
      <c r="B36" s="7">
        <v>4039</v>
      </c>
      <c r="C36" s="22" t="s">
        <v>193</v>
      </c>
      <c r="D36" s="22" t="s">
        <v>682</v>
      </c>
      <c r="E36" s="13">
        <v>42764.301192129627</v>
      </c>
      <c r="F36" s="13">
        <v>42764.309930555559</v>
      </c>
      <c r="G36" s="7">
        <v>1</v>
      </c>
      <c r="H36" s="22" t="s">
        <v>211</v>
      </c>
      <c r="I36" s="13">
        <v>42764.3359837963</v>
      </c>
      <c r="J36" s="7">
        <v>0</v>
      </c>
      <c r="K36" s="105" t="str">
        <f t="shared" si="0"/>
        <v>4039/4040</v>
      </c>
      <c r="L36" s="22" t="str">
        <f>VLOOKUP(A36,'Trips&amp;Operators'!$C$1:$G$99999,5,FALSE)</f>
        <v>ROBINSON KADDIBA</v>
      </c>
      <c r="M36" s="6">
        <f t="shared" si="1"/>
        <v>2.6053240741021E-2</v>
      </c>
      <c r="N36" s="7">
        <f t="shared" si="2"/>
        <v>37.51666666707024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-29T06:13:43-0700',mode:absolute,to:'2017-01-29T09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23.299199999999999</v>
      </c>
      <c r="Z36" s="64">
        <f t="shared" si="9"/>
        <v>1.6E-2</v>
      </c>
      <c r="AA36" s="64">
        <f t="shared" si="10"/>
        <v>23.283200000000001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0124-29</v>
      </c>
      <c r="AE36" s="87" t="str">
        <f t="shared" si="12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36" s="84" t="str">
        <f t="shared" si="13"/>
        <v>"C:\Program Files (x86)\AstroGrep\AstroGrep.exe" /spath="%USERPROFILE%\AppData\Local\Temp\OnboardLogs" /stypes="app*4039*20170129*"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124-29 --locoid 4039 --swversion DE.1.0.8.0 --startMP 204:232992 --initTime 2017-01-29T07:13:43 --startdatetime 2017-01-29T07:26:18 --delay 1 --endMP 204:160 --enddatetime 2017-01-29T08:03:49 --enforcementcount 0 &gt;&gt;C:\Users\stu\Documents\GitHub\eaglep3-reporting\EC\2017-01-29-refined-times.txt</v>
      </c>
      <c r="AI36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{"issue":{"subject":"","project_id":79,"tracker_id":40,"status_id":1,"priority_id":2,"assigned_to_id":23,"start_date":"2017-01-29","description":"","custom_fields":[{"id":1,"name":"Subdivision","value":"EC"},{"id":4,"name":"Milepost","value":"0.016"},{"id":17,"name":"Train ID","value":"124-29"},{"id":16,"name":"Locomotive ID","value":"4039"},{"id":130,"name":"Impact","value":""},{"id":150,"name":"Time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4039 --day 2017-01-29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507</v>
      </c>
      <c r="B37" s="7">
        <v>4007</v>
      </c>
      <c r="C37" s="22" t="s">
        <v>193</v>
      </c>
      <c r="D37" s="22" t="s">
        <v>683</v>
      </c>
      <c r="E37" s="13">
        <v>42764.275694444441</v>
      </c>
      <c r="F37" s="13">
        <v>42764.281446759262</v>
      </c>
      <c r="G37" s="7">
        <v>1</v>
      </c>
      <c r="H37" s="22" t="s">
        <v>316</v>
      </c>
      <c r="I37" s="13">
        <v>42764.306863425925</v>
      </c>
      <c r="J37" s="7">
        <v>0</v>
      </c>
      <c r="K37" s="105" t="str">
        <f t="shared" si="0"/>
        <v>4007/4008</v>
      </c>
      <c r="L37" s="22" t="str">
        <f>VLOOKUP(A37,'Trips&amp;Operators'!$C$1:$G$99999,5,FALSE)</f>
        <v>GEBRETEKLE DAGNEW</v>
      </c>
      <c r="M37" s="6">
        <f t="shared" si="1"/>
        <v>2.5416666663659271E-2</v>
      </c>
      <c r="N37" s="7">
        <f t="shared" si="2"/>
        <v>36.59999999566935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-29T05:37:00-0700',mode:absolute,to:'2017-01-29T08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4.7500000000000001E-2</v>
      </c>
      <c r="Z37" s="64">
        <f t="shared" si="9"/>
        <v>23.331399999999999</v>
      </c>
      <c r="AA37" s="64">
        <f t="shared" si="10"/>
        <v>23.283899999999999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0125-29</v>
      </c>
      <c r="AE37" s="87" t="str">
        <f t="shared" si="12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37" s="84" t="str">
        <f t="shared" si="13"/>
        <v>"C:\Program Files (x86)\AstroGrep\AstroGrep.exe" /spath="%USERPROFILE%\AppData\Local\Temp\OnboardLogs" /stypes="app*4007*20170129*"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125-29 --locoid 4007 --swversion DE.1.0.8.0 --startMP 204:475 --initTime 2017-01-29T06:37:00 --startdatetime 2017-01-29T06:45:17 --delay 1 --endMP 204:233314 --enddatetime 2017-01-29T07:21:53 --enforcementcount 0 &gt;&gt;C:\Users\stu\Documents\GitHub\eaglep3-reporting\EC\2017-01-29-refined-times.txt</v>
      </c>
      <c r="AI37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{"issue":{"subject":"","project_id":79,"tracker_id":40,"status_id":1,"priority_id":2,"assigned_to_id":23,"start_date":"2017-01-29","description":"","custom_fields":[{"id":1,"name":"Subdivision","value":"EC"},{"id":4,"name":"Milepost","value":"23.3314"},{"id":17,"name":"Train ID","value":"125-29"},{"id":16,"name":"Locomotive ID","value":"4007"},{"id":130,"name":"Impact","value":""},{"id":150,"name":"Time of Event (Mountain Time)","value":"07:21:53"},{"id":151,"name":"Denver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4007 --day 2017-01-29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517</v>
      </c>
      <c r="B38" s="7">
        <v>4008</v>
      </c>
      <c r="C38" s="22" t="s">
        <v>193</v>
      </c>
      <c r="D38" s="22" t="s">
        <v>681</v>
      </c>
      <c r="E38" s="13">
        <v>42764.315057870372</v>
      </c>
      <c r="F38" s="13">
        <v>42764.320381944446</v>
      </c>
      <c r="G38" s="7">
        <v>1</v>
      </c>
      <c r="H38" s="22" t="s">
        <v>184</v>
      </c>
      <c r="I38" s="13">
        <v>42764.346203703702</v>
      </c>
      <c r="J38" s="7">
        <v>0</v>
      </c>
      <c r="K38" s="105" t="str">
        <f t="shared" si="0"/>
        <v>4007/4008</v>
      </c>
      <c r="L38" s="22" t="str">
        <f>VLOOKUP(A38,'Trips&amp;Operators'!$C$1:$G$99999,5,FALSE)</f>
        <v>GEBRETEKLE DAGNEW</v>
      </c>
      <c r="M38" s="6">
        <f t="shared" si="1"/>
        <v>2.5821759256359655E-2</v>
      </c>
      <c r="N38" s="7">
        <f t="shared" si="2"/>
        <v>37.183333329157904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-29T06:33:41-0700',mode:absolute,to:'2017-01-29T09:18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23.3004</v>
      </c>
      <c r="Z38" s="64">
        <f t="shared" si="9"/>
        <v>1.49E-2</v>
      </c>
      <c r="AA38" s="64">
        <f t="shared" si="10"/>
        <v>23.285499999999999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0126-29</v>
      </c>
      <c r="AE38" s="87" t="str">
        <f t="shared" si="12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38" s="84" t="str">
        <f t="shared" si="13"/>
        <v>"C:\Program Files (x86)\AstroGrep\AstroGrep.exe" /spath="%USERPROFILE%\AppData\Local\Temp\OnboardLogs" /stypes="app*4008*20170129*"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126-29 --locoid 4008 --swversion DE.1.0.8.0 --startMP 204:233004 --initTime 2017-01-29T07:33:41 --startdatetime 2017-01-29T07:41:21 --delay 1 --endMP 204:149 --enddatetime 2017-01-29T08:18:32 --enforcementcount 0 &gt;&gt;C:\Users\stu\Documents\GitHub\eaglep3-reporting\EC\2017-01-29-refined-times.txt</v>
      </c>
      <c r="AI38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{"issue":{"subject":"","project_id":79,"tracker_id":40,"status_id":1,"priority_id":2,"assigned_to_id":23,"start_date":"2017-01-29","description":"","custom_fields":[{"id":1,"name":"Subdivision","value":"EC"},{"id":4,"name":"Milepost","value":"0.0149"},{"id":17,"name":"Train ID","value":"126-29"},{"id":16,"name":"Locomotive ID","value":"4008"},{"id":130,"name":"Impact","value":""},{"id":150,"name":"Time of Event (Mountain Time)","value":"08:18:32"},{"id":151,"name":"Denver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4008 --day 2017-01-29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"%USERPROFILE%\AppData\Local\Temp\OnboardLogs"\RTDC4008\*4008*20170129* | grep -SE "(Enforcement Action)|(\[TIMEOUT)|(CHR.+\|PRM\|1\|D.+(SWITCH|SIGNAL).+UNKNOWN)" - &gt;&gt; 2017-01-29-UncaughtWiMAX.txt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510</v>
      </c>
      <c r="B39" s="7">
        <v>4002</v>
      </c>
      <c r="C39" s="22" t="s">
        <v>193</v>
      </c>
      <c r="D39" s="22" t="s">
        <v>278</v>
      </c>
      <c r="E39" s="13">
        <v>42764.286631944444</v>
      </c>
      <c r="F39" s="13">
        <v>42764.292210648149</v>
      </c>
      <c r="G39" s="7">
        <v>1</v>
      </c>
      <c r="H39" s="22" t="s">
        <v>445</v>
      </c>
      <c r="I39" s="13">
        <v>42764.317256944443</v>
      </c>
      <c r="J39" s="7">
        <v>0</v>
      </c>
      <c r="K39" s="105" t="str">
        <f t="shared" si="0"/>
        <v>4001/4002</v>
      </c>
      <c r="L39" s="22" t="str">
        <f>VLOOKUP(A39,'Trips&amp;Operators'!$C$1:$G$99999,5,FALSE)</f>
        <v>HAITHCOX MICHAEL</v>
      </c>
      <c r="M39" s="6">
        <f t="shared" si="1"/>
        <v>2.5046296294021886E-2</v>
      </c>
      <c r="N39" s="7">
        <f t="shared" si="2"/>
        <v>36.066666663391516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-29T05:52:45-0700',mode:absolute,to:'2017-01-29T08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4.6399999999999997E-2</v>
      </c>
      <c r="Z39" s="64">
        <f t="shared" si="9"/>
        <v>23.338000000000001</v>
      </c>
      <c r="AA39" s="64">
        <f t="shared" si="10"/>
        <v>23.291600000000003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0127-29</v>
      </c>
      <c r="AE39" s="87" t="str">
        <f t="shared" si="12"/>
        <v>aws s3 cp s3://rtdc.mdm.uploadarchive.raw/RTDC4002/ "%USERPROFILE%\AppData\Local\Temp\OnboardLogs"\RTDC4002\2017-01-29 --exclude "*" --recursive --include "*20170129*" &amp; "%USERPROFILE%\Documents\GitHub\mrs-test-scripts\Headless Mode &amp; Sideloading\WalkAndUnGZ.bat" "%USERPROFILE%\AppData\Local\Temp\OnboardLogs"\RTDC4002\2017-01-29 &amp; 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</v>
      </c>
      <c r="AF39" s="84" t="str">
        <f t="shared" si="13"/>
        <v>"C:\Program Files (x86)\AstroGrep\AstroGrep.exe" /spath="%USERPROFILE%\AppData\Local\Temp\OnboardLogs" /stypes="app*4002*20170129*"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127-29 --locoid 4002 --swversion DE.1.0.8.0 --startMP 204:464 --initTime 2017-01-29T06:52:45 --startdatetime 2017-01-29T07:00:47 --delay 1 --endMP 204:233380 --enddatetime 2017-01-29T07:36:51 --enforcementcount 0 &gt;&gt;C:\Users\stu\Documents\GitHub\eaglep3-reporting\EC\2017-01-29-refined-times.txt</v>
      </c>
      <c r="AI39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{"issue":{"subject":"","project_id":79,"tracker_id":40,"status_id":1,"priority_id":2,"assigned_to_id":23,"start_date":"2017-01-29","description":"","custom_fields":[{"id":1,"name":"Subdivision","value":"EC"},{"id":4,"name":"Milepost","value":"23.338"},{"id":17,"name":"Train ID","value":"127-29"},{"id":16,"name":"Locomotive ID","value":"4002"},{"id":130,"name":"Impact","value":""},{"id":150,"name":"Time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4002 --day 2017-01-29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"%USERPROFILE%\AppData\Local\Temp\OnboardLogs"\RTDC4002\*4002*20170129* | grep -SE "(Enforcement Action)|(\[TIMEOUT)|(CHR.+\|PRM\|1\|D.+(SWITCH|SIGNAL).+UNKNOWN)" - &gt;&gt; 2017-01-29-UncaughtWiMAX.txt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457</v>
      </c>
      <c r="B40" s="7">
        <v>4001</v>
      </c>
      <c r="C40" s="22" t="s">
        <v>193</v>
      </c>
      <c r="D40" s="22" t="s">
        <v>684</v>
      </c>
      <c r="E40" s="13">
        <v>42764.326157407406</v>
      </c>
      <c r="F40" s="13">
        <v>42764.330775462964</v>
      </c>
      <c r="G40" s="7">
        <v>1</v>
      </c>
      <c r="H40" s="22" t="s">
        <v>197</v>
      </c>
      <c r="I40" s="13">
        <v>42764.358194444445</v>
      </c>
      <c r="J40" s="7">
        <v>0</v>
      </c>
      <c r="K40" s="105" t="str">
        <f t="shared" si="0"/>
        <v>4001/4002</v>
      </c>
      <c r="L40" s="22" t="str">
        <f>VLOOKUP(A40,'Trips&amp;Operators'!$C$1:$G$99999,5,FALSE)</f>
        <v>HAITHCOX MICHAEL</v>
      </c>
      <c r="M40" s="6">
        <f t="shared" si="1"/>
        <v>2.7418981480877846E-2</v>
      </c>
      <c r="N40" s="7">
        <f t="shared" si="2"/>
        <v>39.483333332464099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-29T06:49:40-0700',mode:absolute,to:'2017-01-29T09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23.305099999999999</v>
      </c>
      <c r="Z40" s="64">
        <f t="shared" si="9"/>
        <v>1.4999999999999999E-2</v>
      </c>
      <c r="AA40" s="64">
        <f t="shared" si="10"/>
        <v>23.290099999999999</v>
      </c>
      <c r="AB40" s="61" t="str">
        <f>VLOOKUP(A40,Enforcements!$C$7:$K$16,8,0)</f>
        <v>Speed (6)</v>
      </c>
      <c r="AC40" s="57" t="str">
        <f>VLOOKUP(A40,Enforcements!$C$7:$E$16,3,0)</f>
        <v>PERMANENT SPEED RESTRICTION</v>
      </c>
      <c r="AD40" s="58" t="str">
        <f t="shared" si="11"/>
        <v>0128-29</v>
      </c>
      <c r="AE40" s="87" t="str">
        <f t="shared" si="12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40" s="84" t="str">
        <f t="shared" si="13"/>
        <v>"C:\Program Files (x86)\AstroGrep\AstroGrep.exe" /spath="%USERPROFILE%\AppData\Local\Temp\OnboardLogs" /stypes="app*4001*20170129*"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128-29 --locoid 4001 --swversion DE.1.0.8.0 --startMP 204:233051 --initTime 2017-01-29T07:49:40 --startdatetime 2017-01-29T07:56:19 --delay 1 --endMP 204:150 --enddatetime 2017-01-29T08:35:48 --enforcementcount 0 &gt;&gt;C:\Users\stu\Documents\GitHub\eaglep3-reporting\EC\2017-01-29-refined-times.txt</v>
      </c>
      <c r="AI40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{"issue":{"subject":"","project_id":79,"tracker_id":40,"status_id":1,"priority_id":2,"assigned_to_id":23,"start_date":"2017-01-29","description":"","custom_fields":[{"id":1,"name":"Subdivision","value":"EC"},{"id":4,"name":"Milepost","value":"0.015"},{"id":17,"name":"Train ID","value":"128-29"},{"id":16,"name":"Locomotive ID","value":"4001"},{"id":130,"name":"Impact","value":""},{"id":150,"name":"Time of Event (Mountain Time)","value":"08:35:48"},{"id":151,"name":"Denver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4001 --day 2017-01-29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"%USERPROFILE%\AppData\Local\Temp\OnboardLogs"\RTDC4001\*4001*20170129* | grep -SE "(Enforcement Action)|(\[TIMEOUT)|(CHR.+\|PRM\|1\|D.+(SWITCH|SIGNAL).+UNKNOWN)" - &gt;&gt; 2017-01-29-UncaughtWiMAX.txt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514</v>
      </c>
      <c r="B41" s="7">
        <v>4038</v>
      </c>
      <c r="C41" s="22" t="s">
        <v>193</v>
      </c>
      <c r="D41" s="22" t="s">
        <v>248</v>
      </c>
      <c r="E41" s="13">
        <v>42764.298148148147</v>
      </c>
      <c r="F41" s="13">
        <v>42764.302291666667</v>
      </c>
      <c r="G41" s="7">
        <v>1</v>
      </c>
      <c r="H41" s="22" t="s">
        <v>685</v>
      </c>
      <c r="I41" s="13">
        <v>42764.329004629632</v>
      </c>
      <c r="J41" s="7">
        <v>0</v>
      </c>
      <c r="K41" s="105" t="str">
        <f t="shared" si="0"/>
        <v>4037/4038</v>
      </c>
      <c r="L41" s="22" t="str">
        <f>VLOOKUP(A41,'Trips&amp;Operators'!$C$1:$G$99999,5,FALSE)</f>
        <v>SHOOK JOHN</v>
      </c>
      <c r="M41" s="6">
        <f t="shared" si="1"/>
        <v>2.6712962964666076E-2</v>
      </c>
      <c r="N41" s="7">
        <f t="shared" si="2"/>
        <v>38.466666669119149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-29T06:09:20-0700',mode:absolute,to:'2017-01-29T08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1" s="49" t="str">
        <f t="shared" si="6"/>
        <v>N</v>
      </c>
      <c r="X41" s="170">
        <f t="shared" si="7"/>
        <v>1</v>
      </c>
      <c r="Y41" s="64">
        <f t="shared" si="8"/>
        <v>4.5100000000000001E-2</v>
      </c>
      <c r="Z41" s="64">
        <f t="shared" si="9"/>
        <v>23.3353</v>
      </c>
      <c r="AA41" s="64">
        <f t="shared" si="10"/>
        <v>23.290199999999999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0129-29</v>
      </c>
      <c r="AE41" s="87" t="str">
        <f t="shared" si="12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41" s="84" t="str">
        <f t="shared" si="13"/>
        <v>"C:\Program Files (x86)\AstroGrep\AstroGrep.exe" /spath="%USERPROFILE%\AppData\Local\Temp\OnboardLogs" /stypes="app*4038*20170129*"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129-29 --locoid 4038 --swversion DE.1.0.8.0 --startMP 204:451 --initTime 2017-01-29T07:09:20 --startdatetime 2017-01-29T07:15:18 --delay 1 --endMP 204:233353 --enddatetime 2017-01-29T07:53:46 --enforcementcount 0 &gt;&gt;C:\Users\stu\Documents\GitHub\eaglep3-reporting\EC\2017-01-29-refined-times.txt</v>
      </c>
      <c r="AI41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{"issue":{"subject":"","project_id":79,"tracker_id":40,"status_id":1,"priority_id":2,"assigned_to_id":23,"start_date":"2017-01-29","description":"","custom_fields":[{"id":1,"name":"Subdivision","value":"EC"},{"id":4,"name":"Milepost","value":"23.3353"},{"id":17,"name":"Train ID","value":"129-29"},{"id":16,"name":"Locomotive ID","value":"4038"},{"id":130,"name":"Impact","value":""},{"id":150,"name":"Time of Event (Mountain Time)","value":"07:53:46"},{"id":151,"name":"Denver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4038 --day 2017-01-29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"%USERPROFILE%\AppData\Local\Temp\OnboardLogs"\RTDC4038\*4038*20170129* | grep -SE "(Enforcement Action)|(\[TIMEOUT)|(CHR.+\|PRM\|1\|D.+(SWITCH|SIGNAL).+UNKNOWN)" - &gt;&gt; 2017-01-29-UncaughtWiMAX.txt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522</v>
      </c>
      <c r="B42" s="7">
        <v>4037</v>
      </c>
      <c r="C42" s="22" t="s">
        <v>193</v>
      </c>
      <c r="D42" s="22" t="s">
        <v>686</v>
      </c>
      <c r="E42" s="13">
        <v>42764.331192129626</v>
      </c>
      <c r="F42" s="13">
        <v>42764.341168981482</v>
      </c>
      <c r="G42" s="7">
        <v>1</v>
      </c>
      <c r="H42" s="22" t="s">
        <v>230</v>
      </c>
      <c r="I42" s="13">
        <v>42764.368321759262</v>
      </c>
      <c r="J42" s="7">
        <v>0</v>
      </c>
      <c r="K42" s="105" t="str">
        <f t="shared" si="0"/>
        <v>4037/4038</v>
      </c>
      <c r="L42" s="22" t="str">
        <f>VLOOKUP(A42,'Trips&amp;Operators'!$C$1:$G$99999,5,FALSE)</f>
        <v>SHOOK JOHN</v>
      </c>
      <c r="M42" s="6">
        <f t="shared" si="1"/>
        <v>2.715277778042946E-2</v>
      </c>
      <c r="N42" s="7">
        <f t="shared" si="2"/>
        <v>39.100000003818423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-29T06:56:55-0700',mode:absolute,to:'2017-01-29T09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23.305499999999999</v>
      </c>
      <c r="Z42" s="64">
        <f t="shared" si="9"/>
        <v>1.54E-2</v>
      </c>
      <c r="AA42" s="64">
        <f t="shared" si="10"/>
        <v>23.290099999999999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0130-29</v>
      </c>
      <c r="AE42" s="87" t="str">
        <f t="shared" si="12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42" s="84" t="str">
        <f t="shared" si="13"/>
        <v>"C:\Program Files (x86)\AstroGrep\AstroGrep.exe" /spath="%USERPROFILE%\AppData\Local\Temp\OnboardLogs" /stypes="app*4037*20170129*"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130-29 --locoid 4037 --swversion DE.1.0.8.0 --startMP 204:233055 --initTime 2017-01-29T07:56:55 --startdatetime 2017-01-29T08:11:17 --delay 1 --endMP 204:154 --enddatetime 2017-01-29T08:50:23 --enforcementcount 0 &gt;&gt;C:\Users\stu\Documents\GitHub\eaglep3-reporting\EC\2017-01-29-refined-times.txt</v>
      </c>
      <c r="AI42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{"issue":{"subject":"","project_id":79,"tracker_id":40,"status_id":1,"priority_id":2,"assigned_to_id":23,"start_date":"2017-01-29","description":"","custom_fields":[{"id":1,"name":"Subdivision","value":"EC"},{"id":4,"name":"Milepost","value":"0.0154"},{"id":17,"name":"Train ID","value":"130-29"},{"id":16,"name":"Locomotive ID","value":"4037"},{"id":130,"name":"Impact","value":""},{"id":150,"name":"Time of Event (Mountain Time)","value":"08:50:23"},{"id":151,"name":"Denver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4037 --day 2017-01-29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"%USERPROFILE%\AppData\Local\Temp\OnboardLogs"\RTDC4037\*4037*20170129* | grep -SE "(Enforcement Action)|(\[TIMEOUT)|(CHR.+\|PRM\|1\|D.+(SWITCH|SIGNAL).+UNKNOWN)" - &gt;&gt; 2017-01-29-UncaughtWiMAX.txt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516</v>
      </c>
      <c r="B43" s="7">
        <v>4020</v>
      </c>
      <c r="C43" s="22" t="s">
        <v>193</v>
      </c>
      <c r="D43" s="22" t="s">
        <v>293</v>
      </c>
      <c r="E43" s="13">
        <v>42764.307789351849</v>
      </c>
      <c r="F43" s="13">
        <v>42764.312847222223</v>
      </c>
      <c r="G43" s="7">
        <v>1</v>
      </c>
      <c r="H43" s="22" t="s">
        <v>687</v>
      </c>
      <c r="I43" s="13">
        <v>42764.337430555555</v>
      </c>
      <c r="J43" s="7">
        <v>0</v>
      </c>
      <c r="K43" s="105" t="str">
        <f t="shared" si="0"/>
        <v>4019/4020</v>
      </c>
      <c r="L43" s="22" t="str">
        <f>VLOOKUP(A43,'Trips&amp;Operators'!$C$1:$G$99999,5,FALSE)</f>
        <v>MAELZER KURT</v>
      </c>
      <c r="M43" s="6">
        <f t="shared" si="1"/>
        <v>2.4583333331975155E-2</v>
      </c>
      <c r="N43" s="7">
        <f t="shared" si="2"/>
        <v>35.399999998044223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-29T06:23:13-0700',mode:absolute,to:'2017-01-29T09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4.53E-2</v>
      </c>
      <c r="Z43" s="64">
        <f t="shared" si="9"/>
        <v>23.334099999999999</v>
      </c>
      <c r="AA43" s="64">
        <f t="shared" si="10"/>
        <v>23.288799999999998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0131-29</v>
      </c>
      <c r="AE43" s="87" t="str">
        <f t="shared" si="12"/>
        <v>aws s3 cp s3://rtdc.mdm.uploadarchive.raw/RTDC4020/ "%USERPROFILE%\AppData\Local\Temp\OnboardLogs"\RTDC4020\2017-01-29 --exclude "*" --recursive --include "*20170129*" &amp; "%USERPROFILE%\Documents\GitHub\mrs-test-scripts\Headless Mode &amp; Sideloading\WalkAndUnGZ.bat" "%USERPROFILE%\AppData\Local\Temp\OnboardLogs"\RTDC4020\2017-01-29 &amp; 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</v>
      </c>
      <c r="AF43" s="84" t="str">
        <f t="shared" si="13"/>
        <v>"C:\Program Files (x86)\AstroGrep\AstroGrep.exe" /spath="%USERPROFILE%\AppData\Local\Temp\OnboardLogs" /stypes="app*4020*20170129*"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131-29 --locoid 4020 --swversion DE.1.0.8.0 --startMP 204:453 --initTime 2017-01-29T07:23:13 --startdatetime 2017-01-29T07:30:30 --delay 1 --endMP 204:233341 --enddatetime 2017-01-29T08:05:54 --enforcementcount 0 &gt;&gt;C:\Users\stu\Documents\GitHub\eaglep3-reporting\EC\2017-01-29-refined-times.txt</v>
      </c>
      <c r="AI43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{"issue":{"subject":"","project_id":79,"tracker_id":40,"status_id":1,"priority_id":2,"assigned_to_id":23,"start_date":"2017-01-29","description":"","custom_fields":[{"id":1,"name":"Subdivision","value":"EC"},{"id":4,"name":"Milepost","value":"23.3341"},{"id":17,"name":"Train ID","value":"131-29"},{"id":16,"name":"Locomotive ID","value":"4020"},{"id":130,"name":"Impact","value":""},{"id":150,"name":"Time of Event (Mountain Time)","value":"08:05:54"},{"id":151,"name":"Denver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4020 --day 2017-01-29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"%USERPROFILE%\AppData\Local\Temp\OnboardLogs"\RTDC4020\*4020*20170129* | grep -SE "(Enforcement Action)|(\[TIMEOUT)|(CHR.+\|PRM\|1\|D.+(SWITCH|SIGNAL).+UNKNOWN)" - &gt;&gt; 2017-01-29-UncaughtWiMAX.txt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524</v>
      </c>
      <c r="B44" s="7">
        <v>4019</v>
      </c>
      <c r="C44" s="22" t="s">
        <v>193</v>
      </c>
      <c r="D44" s="22" t="s">
        <v>688</v>
      </c>
      <c r="E44" s="13">
        <v>42764.346585648149</v>
      </c>
      <c r="F44" s="13">
        <v>42764.351701388892</v>
      </c>
      <c r="G44" s="7">
        <v>1</v>
      </c>
      <c r="H44" s="22" t="s">
        <v>420</v>
      </c>
      <c r="I44" s="13">
        <v>42764.378078703703</v>
      </c>
      <c r="J44" s="7">
        <v>0</v>
      </c>
      <c r="K44" s="105" t="str">
        <f t="shared" si="0"/>
        <v>4019/4020</v>
      </c>
      <c r="L44" s="22" t="str">
        <f>VLOOKUP(A44,'Trips&amp;Operators'!$C$1:$G$99999,5,FALSE)</f>
        <v>MAELZER KURT</v>
      </c>
      <c r="M44" s="6">
        <f t="shared" si="1"/>
        <v>2.6377314810815733E-2</v>
      </c>
      <c r="N44" s="7">
        <f t="shared" si="2"/>
        <v>37.983333327574655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-29T07:19:05-0700',mode:absolute,to:'2017-01-29T10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23.300699999999999</v>
      </c>
      <c r="Z44" s="64">
        <f t="shared" si="9"/>
        <v>1.3899999999999999E-2</v>
      </c>
      <c r="AA44" s="64">
        <f t="shared" si="10"/>
        <v>23.286799999999999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0132-29</v>
      </c>
      <c r="AE44" s="87" t="str">
        <f t="shared" si="12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44" s="84" t="str">
        <f t="shared" si="13"/>
        <v>"C:\Program Files (x86)\AstroGrep\AstroGrep.exe" /spath="%USERPROFILE%\AppData\Local\Temp\OnboardLogs" /stypes="app*4019*20170129*"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132-29 --locoid 4019 --swversion DE.1.0.8.0 --startMP 204:233007 --initTime 2017-01-29T08:19:05 --startdatetime 2017-01-29T08:26:27 --delay 1 --endMP 204:139 --enddatetime 2017-01-29T09:04:26 --enforcementcount 0 &gt;&gt;C:\Users\stu\Documents\GitHub\eaglep3-reporting\EC\2017-01-29-refined-times.txt</v>
      </c>
      <c r="AI44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{"issue":{"subject":"","project_id":79,"tracker_id":40,"status_id":1,"priority_id":2,"assigned_to_id":23,"start_date":"2017-01-29","description":"","custom_fields":[{"id":1,"name":"Subdivision","value":"EC"},{"id":4,"name":"Milepost","value":"0.0139"},{"id":17,"name":"Train ID","value":"132-29"},{"id":16,"name":"Locomotive ID","value":"4019"},{"id":130,"name":"Impact","value":""},{"id":150,"name":"Time of Event (Mountain Time)","value":"09:04:26"},{"id":151,"name":"Denver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4019 --day 2017-01-29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"%USERPROFILE%\AppData\Local\Temp\OnboardLogs"\RTDC4019\*4019*20170129* | grep -SE "(Enforcement Action)|(\[TIMEOUT)|(CHR.+\|PRM\|1\|D.+(SWITCH|SIGNAL).+UNKNOWN)" - &gt;&gt; 2017-01-29-UncaughtWiMAX.txt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518</v>
      </c>
      <c r="B45" s="7">
        <v>4025</v>
      </c>
      <c r="C45" s="22" t="s">
        <v>193</v>
      </c>
      <c r="D45" s="22" t="s">
        <v>214</v>
      </c>
      <c r="E45" s="13">
        <v>42764.317256944443</v>
      </c>
      <c r="F45" s="13">
        <v>42764.323067129626</v>
      </c>
      <c r="G45" s="7">
        <v>1</v>
      </c>
      <c r="H45" s="22" t="s">
        <v>447</v>
      </c>
      <c r="I45" s="13">
        <v>42764.34847222222</v>
      </c>
      <c r="J45" s="7">
        <v>0</v>
      </c>
      <c r="K45" s="105" t="str">
        <f t="shared" si="0"/>
        <v>4025/4026</v>
      </c>
      <c r="L45" s="22" t="str">
        <f>VLOOKUP(A45,'Trips&amp;Operators'!$C$1:$G$99999,5,FALSE)</f>
        <v>PERKINS DARREN</v>
      </c>
      <c r="M45" s="6">
        <f t="shared" si="1"/>
        <v>2.5405092594155576E-2</v>
      </c>
      <c r="N45" s="7">
        <f t="shared" ref="N45:N78" si="21">24*60*SUM($M45:$M45)</f>
        <v>36.58333333558403</v>
      </c>
      <c r="O45" s="7"/>
      <c r="P45" s="7"/>
      <c r="Q45" s="23"/>
      <c r="R45" s="23"/>
      <c r="S45" s="32">
        <f t="shared" ref="S45:S78" si="22">SUM(U45:U45)/IF(AG45="EC",12,1)</f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-29T06:36:51-0700',mode:absolute,to:'2017-01-29T09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5" s="49" t="str">
        <f t="shared" si="6"/>
        <v>N</v>
      </c>
      <c r="X45" s="170">
        <f t="shared" ref="X45:X76" si="23">VALUE(LEFT(AD45,4))-VALUE(LEFT(AD44,4))</f>
        <v>1</v>
      </c>
      <c r="Y45" s="64">
        <f t="shared" si="8"/>
        <v>4.4900000000000002E-2</v>
      </c>
      <c r="Z45" s="64">
        <f t="shared" si="9"/>
        <v>23.336400000000001</v>
      </c>
      <c r="AA45" s="64">
        <f t="shared" si="10"/>
        <v>23.291500000000003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1"/>
        <v>0133-29</v>
      </c>
      <c r="AE45" s="87" t="str">
        <f t="shared" si="12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45" s="84" t="str">
        <f t="shared" si="13"/>
        <v>"C:\Program Files (x86)\AstroGrep\AstroGrep.exe" /spath="%USERPROFILE%\AppData\Local\Temp\OnboardLogs" /stypes="app*4025*20170129*"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133-29 --locoid 4025 --swversion DE.1.0.8.0 --startMP 204:449 --initTime 2017-01-29T07:36:51 --startdatetime 2017-01-29T07:45:13 --delay 1 --endMP 204:233364 --enddatetime 2017-01-29T08:21:48 --enforcementcount 0 &gt;&gt;C:\Users\stu\Documents\GitHub\eaglep3-reporting\EC\2017-01-29-refined-times.txt</v>
      </c>
      <c r="AI45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{"issue":{"subject":"","project_id":79,"tracker_id":40,"status_id":1,"priority_id":2,"assigned_to_id":23,"start_date":"2017-01-29","description":"","custom_fields":[{"id":1,"name":"Subdivision","value":"EC"},{"id":4,"name":"Milepost","value":"23.3364"},{"id":17,"name":"Train ID","value":"133-29"},{"id":16,"name":"Locomotive ID","value":"4025"},{"id":130,"name":"Impact","value":""},{"id":150,"name":"Time of Event (Mountain Time)","value":"08:21:48"},{"id":151,"name":"Denver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4025 --day 2017-01-29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"%USERPROFILE%\AppData\Local\Temp\OnboardLogs"\RTDC4025\*4025*20170129* | grep -SE "(Enforcement Action)|(\[TIMEOUT)|(CHR.+\|PRM\|1\|D.+(SWITCH|SIGNAL).+UNKNOWN)" - &gt;&gt; 2017-01-29-UncaughtWiMAX.txt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458</v>
      </c>
      <c r="B46" s="7">
        <v>4026</v>
      </c>
      <c r="C46" s="22" t="s">
        <v>193</v>
      </c>
      <c r="D46" s="22" t="s">
        <v>681</v>
      </c>
      <c r="E46" s="13">
        <v>42764.354548611111</v>
      </c>
      <c r="F46" s="13">
        <v>42764.36204861111</v>
      </c>
      <c r="G46" s="7">
        <v>1</v>
      </c>
      <c r="H46" s="22" t="s">
        <v>382</v>
      </c>
      <c r="I46" s="13">
        <v>42764.38857638889</v>
      </c>
      <c r="J46" s="7">
        <v>0</v>
      </c>
      <c r="K46" s="105" t="str">
        <f t="shared" si="0"/>
        <v>4025/4026</v>
      </c>
      <c r="L46" s="22" t="str">
        <f>VLOOKUP(A46,'Trips&amp;Operators'!$C$1:$G$99999,5,FALSE)</f>
        <v>PERKINS DARREN</v>
      </c>
      <c r="M46" s="6">
        <f t="shared" si="1"/>
        <v>2.6527777779847383E-2</v>
      </c>
      <c r="N46" s="7">
        <f t="shared" si="21"/>
        <v>38.200000002980232</v>
      </c>
      <c r="O46" s="7"/>
      <c r="P46" s="7"/>
      <c r="Q46" s="23"/>
      <c r="R46" s="23"/>
      <c r="S46" s="32">
        <f t="shared" si="22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-29T07:30:33-0700',mode:absolute,to:'2017-01-29T10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6" s="49" t="str">
        <f t="shared" si="6"/>
        <v>N</v>
      </c>
      <c r="X46" s="170">
        <f t="shared" si="23"/>
        <v>1</v>
      </c>
      <c r="Y46" s="64">
        <f t="shared" si="8"/>
        <v>23.3004</v>
      </c>
      <c r="Z46" s="64">
        <f t="shared" si="9"/>
        <v>1.34E-2</v>
      </c>
      <c r="AA46" s="64">
        <f t="shared" si="10"/>
        <v>23.286999999999999</v>
      </c>
      <c r="AB46" s="61" t="str">
        <f>VLOOKUP(A46,Enforcements!$C$7:$K$16,8,0)</f>
        <v>Bulletin (2)</v>
      </c>
      <c r="AC46" s="57" t="str">
        <f>VLOOKUP(A46,Enforcements!$C$7:$E$16,3,0)</f>
        <v>GRADE CROSSING</v>
      </c>
      <c r="AD46" s="58" t="str">
        <f t="shared" si="11"/>
        <v>0134-29</v>
      </c>
      <c r="AE46" s="87" t="str">
        <f t="shared" si="12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46" s="84" t="str">
        <f t="shared" si="13"/>
        <v>"C:\Program Files (x86)\AstroGrep\AstroGrep.exe" /spath="%USERPROFILE%\AppData\Local\Temp\OnboardLogs" /stypes="app*4026*20170129*"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134-29 --locoid 4026 --swversion DE.1.0.8.0 --startMP 204:233004 --initTime 2017-01-29T08:30:33 --startdatetime 2017-01-29T08:41:21 --delay 1 --endMP 204:134 --enddatetime 2017-01-29T09:19:33 --enforcementcount 0 &gt;&gt;C:\Users\stu\Documents\GitHub\eaglep3-reporting\EC\2017-01-29-refined-times.txt</v>
      </c>
      <c r="AI46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{"issue":{"subject":"","project_id":79,"tracker_id":40,"status_id":1,"priority_id":2,"assigned_to_id":23,"start_date":"2017-01-29","description":"","custom_fields":[{"id":1,"name":"Subdivision","value":"EC"},{"id":4,"name":"Milepost","value":"0.0134"},{"id":17,"name":"Train ID","value":"134-29"},{"id":16,"name":"Locomotive ID","value":"4026"},{"id":130,"name":"Impact","value":""},{"id":150,"name":"Time of Event (Mountain Time)","value":"09:19:33"},{"id":151,"name":"Denver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4026 --day 2017-01-29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"%USERPROFILE%\AppData\Local\Temp\OnboardLogs"\RTDC4026\*4026*20170129* | grep -SE "(Enforcement Action)|(\[TIMEOUT)|(CHR.+\|PRM\|1\|D.+(SWITCH|SIGNAL).+UNKNOWN)" - &gt;&gt; 2017-01-29-UncaughtWiMAX.txt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520</v>
      </c>
      <c r="B47" s="7">
        <v>4011</v>
      </c>
      <c r="C47" s="22" t="s">
        <v>193</v>
      </c>
      <c r="D47" s="22" t="s">
        <v>689</v>
      </c>
      <c r="E47" s="13">
        <v>42764.328287037039</v>
      </c>
      <c r="F47" s="13">
        <v>42764.333495370367</v>
      </c>
      <c r="G47" s="7">
        <v>1</v>
      </c>
      <c r="H47" s="22" t="s">
        <v>310</v>
      </c>
      <c r="I47" s="13">
        <v>42764.35800925926</v>
      </c>
      <c r="J47" s="7">
        <v>0</v>
      </c>
      <c r="K47" s="105" t="str">
        <f t="shared" si="0"/>
        <v>4011/4012</v>
      </c>
      <c r="L47" s="22" t="str">
        <f>VLOOKUP(A47,'Trips&amp;Operators'!$C$1:$G$99999,5,FALSE)</f>
        <v>DAVIS WENDY</v>
      </c>
      <c r="M47" s="6">
        <f t="shared" si="1"/>
        <v>2.4513888893125113E-2</v>
      </c>
      <c r="N47" s="7">
        <f t="shared" si="21"/>
        <v>35.300000006100163</v>
      </c>
      <c r="O47" s="7"/>
      <c r="P47" s="7"/>
      <c r="Q47" s="23"/>
      <c r="R47" s="23"/>
      <c r="S47" s="32">
        <f t="shared" si="22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-29T06:52:44-0700',mode:absolute,to:'2017-01-29T09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49" t="str">
        <f t="shared" si="6"/>
        <v>N</v>
      </c>
      <c r="X47" s="170">
        <f t="shared" si="23"/>
        <v>1</v>
      </c>
      <c r="Y47" s="64">
        <f t="shared" si="8"/>
        <v>4.3999999999999997E-2</v>
      </c>
      <c r="Z47" s="64">
        <f t="shared" si="9"/>
        <v>23.330100000000002</v>
      </c>
      <c r="AA47" s="64">
        <f t="shared" si="10"/>
        <v>23.286100000000001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0135-29</v>
      </c>
      <c r="AE47" s="87" t="str">
        <f t="shared" si="12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47" s="84" t="str">
        <f t="shared" si="13"/>
        <v>"C:\Program Files (x86)\AstroGrep\AstroGrep.exe" /spath="%USERPROFILE%\AppData\Local\Temp\OnboardLogs" /stypes="app*4011*20170129*"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135-29 --locoid 4011 --swversion DE.1.0.8.0 --startMP 204:440 --initTime 2017-01-29T07:52:44 --startdatetime 2017-01-29T08:00:14 --delay 1 --endMP 204:233301 --enddatetime 2017-01-29T08:35:32 --enforcementcount 0 &gt;&gt;C:\Users\stu\Documents\GitHub\eaglep3-reporting\EC\2017-01-29-refined-times.txt</v>
      </c>
      <c r="AI47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{"issue":{"subject":"","project_id":79,"tracker_id":40,"status_id":1,"priority_id":2,"assigned_to_id":23,"start_date":"2017-01-29","description":"","custom_fields":[{"id":1,"name":"Subdivision","value":"EC"},{"id":4,"name":"Milepost","value":"23.3301"},{"id":17,"name":"Train ID","value":"135-29"},{"id":16,"name":"Locomotive ID","value":"4011"},{"id":130,"name":"Impact","value":""},{"id":150,"name":"Time of Event (Mountain Time)","value":"08:35:32"},{"id":151,"name":"Denver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4011 --day 2017-01-29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"%USERPROFILE%\AppData\Local\Temp\OnboardLogs"\RTDC4011\*4011*20170129* | grep -SE "(Enforcement Action)|(\[TIMEOUT)|(CHR.+\|PRM\|1\|D.+(SWITCH|SIGNAL).+UNKNOWN)" - &gt;&gt; 2017-01-29-UncaughtWiMAX.txt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528</v>
      </c>
      <c r="B48" s="7">
        <v>4012</v>
      </c>
      <c r="C48" s="22" t="s">
        <v>193</v>
      </c>
      <c r="D48" s="22" t="s">
        <v>254</v>
      </c>
      <c r="E48" s="13">
        <v>42764.367534722223</v>
      </c>
      <c r="F48" s="13">
        <v>42764.372407407405</v>
      </c>
      <c r="G48" s="7">
        <v>1</v>
      </c>
      <c r="H48" s="22" t="s">
        <v>326</v>
      </c>
      <c r="I48" s="13">
        <v>42764.400231481479</v>
      </c>
      <c r="J48" s="7">
        <v>0</v>
      </c>
      <c r="K48" s="105" t="str">
        <f t="shared" si="0"/>
        <v>4011/4012</v>
      </c>
      <c r="L48" s="22" t="str">
        <f>VLOOKUP(A48,'Trips&amp;Operators'!$C$1:$G$99999,5,FALSE)</f>
        <v>DAVIS WENDY</v>
      </c>
      <c r="M48" s="6">
        <f t="shared" si="1"/>
        <v>2.7824074073578231E-2</v>
      </c>
      <c r="N48" s="7">
        <f t="shared" si="21"/>
        <v>40.066666665952653</v>
      </c>
      <c r="O48" s="7"/>
      <c r="P48" s="7"/>
      <c r="Q48" s="23"/>
      <c r="R48" s="23"/>
      <c r="S48" s="32">
        <f t="shared" si="22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-29T07:49:15-0700',mode:absolute,to:'2017-01-29T10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8" s="49" t="str">
        <f t="shared" si="6"/>
        <v>N</v>
      </c>
      <c r="X48" s="170">
        <f t="shared" si="23"/>
        <v>1</v>
      </c>
      <c r="Y48" s="64">
        <f t="shared" si="8"/>
        <v>23.299600000000002</v>
      </c>
      <c r="Z48" s="64">
        <f t="shared" si="9"/>
        <v>1.5599999999999999E-2</v>
      </c>
      <c r="AA48" s="64">
        <f t="shared" si="10"/>
        <v>23.284000000000002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0136-29</v>
      </c>
      <c r="AE48" s="87" t="str">
        <f t="shared" si="12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48" s="84" t="str">
        <f t="shared" si="13"/>
        <v>"C:\Program Files (x86)\AstroGrep\AstroGrep.exe" /spath="%USERPROFILE%\AppData\Local\Temp\OnboardLogs" /stypes="app*4012*20170129*"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136-29 --locoid 4012 --swversion DE.1.0.8.0 --startMP 204:232996 --initTime 2017-01-29T08:49:15 --startdatetime 2017-01-29T08:56:16 --delay 1 --endMP 204:156 --enddatetime 2017-01-29T09:36:20 --enforcementcount 0 &gt;&gt;C:\Users\stu\Documents\GitHub\eaglep3-reporting\EC\2017-01-29-refined-times.txt</v>
      </c>
      <c r="AI48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{"issue":{"subject":"","project_id":79,"tracker_id":40,"status_id":1,"priority_id":2,"assigned_to_id":23,"start_date":"2017-01-29","description":"","custom_fields":[{"id":1,"name":"Subdivision","value":"EC"},{"id":4,"name":"Milepost","value":"0.0156"},{"id":17,"name":"Train ID","value":"136-29"},{"id":16,"name":"Locomotive ID","value":"4012"},{"id":130,"name":"Impact","value":""},{"id":150,"name":"Time of Event (Mountain Time)","value":"09:36:20"},{"id":151,"name":"Denver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4012 --day 2017-01-29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523</v>
      </c>
      <c r="B49" s="7">
        <v>4040</v>
      </c>
      <c r="C49" s="22" t="s">
        <v>193</v>
      </c>
      <c r="D49" s="22" t="s">
        <v>244</v>
      </c>
      <c r="E49" s="13">
        <v>42764.33865740741</v>
      </c>
      <c r="F49" s="13">
        <v>42764.343958333331</v>
      </c>
      <c r="G49" s="7">
        <v>1</v>
      </c>
      <c r="H49" s="22" t="s">
        <v>279</v>
      </c>
      <c r="I49" s="13">
        <v>42764.369814814818</v>
      </c>
      <c r="J49" s="7">
        <v>0</v>
      </c>
      <c r="K49" s="105" t="str">
        <f t="shared" si="0"/>
        <v>4039/4040</v>
      </c>
      <c r="L49" s="22" t="str">
        <f>VLOOKUP(A49,'Trips&amp;Operators'!$C$1:$G$99999,5,FALSE)</f>
        <v>ROBINSON KADDIBA</v>
      </c>
      <c r="M49" s="6">
        <f t="shared" si="1"/>
        <v>2.5856481486698613E-2</v>
      </c>
      <c r="N49" s="7">
        <f t="shared" si="21"/>
        <v>37.233333340846002</v>
      </c>
      <c r="O49" s="7"/>
      <c r="P49" s="7"/>
      <c r="Q49" s="23"/>
      <c r="R49" s="23"/>
      <c r="S49" s="32">
        <f t="shared" si="22"/>
        <v>1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-29T07:07:40-0700',mode:absolute,to:'2017-01-29T09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49" t="str">
        <f t="shared" si="6"/>
        <v>N</v>
      </c>
      <c r="X49" s="170">
        <f t="shared" si="23"/>
        <v>1</v>
      </c>
      <c r="Y49" s="64">
        <f t="shared" si="8"/>
        <v>4.6600000000000003E-2</v>
      </c>
      <c r="Z49" s="64">
        <f t="shared" si="9"/>
        <v>23.331</v>
      </c>
      <c r="AA49" s="64">
        <f t="shared" si="10"/>
        <v>23.284399999999998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1"/>
        <v>0137-29</v>
      </c>
      <c r="AE49" s="87" t="str">
        <f t="shared" si="12"/>
        <v>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 &amp; 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</v>
      </c>
      <c r="AF49" s="84" t="str">
        <f t="shared" si="13"/>
        <v>"C:\Program Files (x86)\AstroGrep\AstroGrep.exe" /spath="%USERPROFILE%\AppData\Local\Temp\OnboardLogs" /stypes="app*4040*20170129*"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137-29 --locoid 4040 --swversion DE.1.0.8.0 --startMP 204:466 --initTime 2017-01-29T08:07:40 --startdatetime 2017-01-29T08:15:18 --delay 1 --endMP 204:233310 --enddatetime 2017-01-29T08:52:32 --enforcementcount 0 &gt;&gt;C:\Users\stu\Documents\GitHub\eaglep3-reporting\EC\2017-01-29-refined-times.txt</v>
      </c>
      <c r="AI49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{"issue":{"subject":"","project_id":79,"tracker_id":40,"status_id":1,"priority_id":2,"assigned_to_id":23,"start_date":"2017-01-29","description":"","custom_fields":[{"id":1,"name":"Subdivision","value":"EC"},{"id":4,"name":"Milepost","value":"23.331"},{"id":17,"name":"Train ID","value":"137-29"},{"id":16,"name":"Locomotive ID","value":"4040"},{"id":130,"name":"Impact","value":""},{"id":150,"name":"Time of Event (Mountain Time)","value":"08:52:32"},{"id":151,"name":"Denver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4040 --day 2017-01-29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"%USERPROFILE%\AppData\Local\Temp\OnboardLogs"\RTDC4040\*4040*20170129* | grep -SE "(Enforcement Action)|(\[TIMEOUT)|(CHR.+\|PRM\|1\|D.+(SWITCH|SIGNAL).+UNKNOWN)" - &gt;&gt; 2017-01-29-UncaughtWiMAX.txt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531</v>
      </c>
      <c r="B50" s="7">
        <v>4039</v>
      </c>
      <c r="C50" s="22" t="s">
        <v>193</v>
      </c>
      <c r="D50" s="22" t="s">
        <v>327</v>
      </c>
      <c r="E50" s="13">
        <v>42764.375023148146</v>
      </c>
      <c r="F50" s="13">
        <v>42764.382835648146</v>
      </c>
      <c r="G50" s="7">
        <v>2</v>
      </c>
      <c r="H50" s="22" t="s">
        <v>690</v>
      </c>
      <c r="I50" s="13">
        <v>42764.409386574072</v>
      </c>
      <c r="J50" s="7">
        <v>0</v>
      </c>
      <c r="K50" s="105" t="str">
        <f t="shared" si="0"/>
        <v>4039/4040</v>
      </c>
      <c r="L50" s="22" t="str">
        <f>VLOOKUP(A50,'Trips&amp;Operators'!$C$1:$G$99999,5,FALSE)</f>
        <v>DELGADO DIANAH</v>
      </c>
      <c r="M50" s="6">
        <f t="shared" si="1"/>
        <v>2.6550925926130731E-2</v>
      </c>
      <c r="N50" s="7">
        <f t="shared" si="21"/>
        <v>38.233333333628252</v>
      </c>
      <c r="O50" s="7"/>
      <c r="P50" s="7"/>
      <c r="Q50" s="23"/>
      <c r="R50" s="23"/>
      <c r="S50" s="32">
        <f t="shared" si="22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-29T08:00:02-0700',mode:absolute,to:'2017-01-29T10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49" t="str">
        <f t="shared" si="6"/>
        <v>N</v>
      </c>
      <c r="X50" s="170">
        <f t="shared" si="23"/>
        <v>1</v>
      </c>
      <c r="Y50" s="64">
        <f t="shared" si="8"/>
        <v>23.2989</v>
      </c>
      <c r="Z50" s="64">
        <f t="shared" si="9"/>
        <v>1.2999999999999999E-2</v>
      </c>
      <c r="AA50" s="64">
        <f t="shared" si="10"/>
        <v>23.285899999999998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0138-29</v>
      </c>
      <c r="AE50" s="87" t="str">
        <f t="shared" si="12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50" s="84" t="str">
        <f t="shared" si="13"/>
        <v>"C:\Program Files (x86)\AstroGrep\AstroGrep.exe" /spath="%USERPROFILE%\AppData\Local\Temp\OnboardLogs" /stypes="app*4039*20170129*"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138-29 --locoid 4039 --swversion DE.1.0.8.0 --startMP 204:232989 --initTime 2017-01-29T09:00:02 --startdatetime 2017-01-29T09:11:17 --delay 2 --endMP 204:130 --enddatetime 2017-01-29T09:49:31 --enforcementcount 0 &gt;&gt;C:\Users\stu\Documents\GitHub\eaglep3-reporting\EC\2017-01-29-refined-times.txt</v>
      </c>
      <c r="AI50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{"issue":{"subject":"","project_id":79,"tracker_id":40,"status_id":1,"priority_id":2,"assigned_to_id":23,"start_date":"2017-01-29","description":"","custom_fields":[{"id":1,"name":"Subdivision","value":"EC"},{"id":4,"name":"Milepost","value":"0.013"},{"id":17,"name":"Train ID","value":"138-29"},{"id":16,"name":"Locomotive ID","value":"4039"},{"id":130,"name":"Impact","value":""},{"id":150,"name":"Time of Event (Mountain Time)","value":"09:49:31"},{"id":151,"name":"Denver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4039 --day 2017-01-29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525</v>
      </c>
      <c r="B51" s="7">
        <v>4007</v>
      </c>
      <c r="C51" s="22" t="s">
        <v>193</v>
      </c>
      <c r="D51" s="22" t="s">
        <v>232</v>
      </c>
      <c r="E51" s="13">
        <v>42764.349178240744</v>
      </c>
      <c r="F51" s="13">
        <v>42764.354363425926</v>
      </c>
      <c r="G51" s="7">
        <v>1</v>
      </c>
      <c r="H51" s="22" t="s">
        <v>301</v>
      </c>
      <c r="I51" s="13">
        <v>42764.378692129627</v>
      </c>
      <c r="J51" s="7">
        <v>0</v>
      </c>
      <c r="K51" s="105" t="str">
        <f t="shared" si="0"/>
        <v>4007/4008</v>
      </c>
      <c r="L51" s="22" t="str">
        <f>VLOOKUP(A51,'Trips&amp;Operators'!$C$1:$G$99999,5,FALSE)</f>
        <v>GEBRETEKLE DAGNEW</v>
      </c>
      <c r="M51" s="6">
        <f t="shared" si="1"/>
        <v>2.4328703701030463E-2</v>
      </c>
      <c r="N51" s="7">
        <f t="shared" si="21"/>
        <v>35.033333329483867</v>
      </c>
      <c r="O51" s="7"/>
      <c r="P51" s="7"/>
      <c r="Q51" s="23"/>
      <c r="R51" s="23"/>
      <c r="S51" s="32">
        <f t="shared" si="22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-29T07:22:49-0700',mode:absolute,to:'2017-01-29T10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1" s="49" t="str">
        <f t="shared" si="6"/>
        <v>N</v>
      </c>
      <c r="X51" s="170">
        <f t="shared" si="23"/>
        <v>1</v>
      </c>
      <c r="Y51" s="64">
        <f t="shared" si="8"/>
        <v>4.58E-2</v>
      </c>
      <c r="Z51" s="64">
        <f t="shared" si="9"/>
        <v>23.331199999999999</v>
      </c>
      <c r="AA51" s="64">
        <f t="shared" si="10"/>
        <v>23.285399999999999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1"/>
        <v>0139-29</v>
      </c>
      <c r="AE51" s="87" t="str">
        <f t="shared" si="12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51" s="84" t="str">
        <f t="shared" si="13"/>
        <v>"C:\Program Files (x86)\AstroGrep\AstroGrep.exe" /spath="%USERPROFILE%\AppData\Local\Temp\OnboardLogs" /stypes="app*4007*20170129*"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139-29 --locoid 4007 --swversion DE.1.0.8.0 --startMP 204:458 --initTime 2017-01-29T08:22:49 --startdatetime 2017-01-29T08:30:17 --delay 1 --endMP 204:233312 --enddatetime 2017-01-29T09:05:19 --enforcementcount 0 &gt;&gt;C:\Users\stu\Documents\GitHub\eaglep3-reporting\EC\2017-01-29-refined-times.txt</v>
      </c>
      <c r="AI51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{"issue":{"subject":"","project_id":79,"tracker_id":40,"status_id":1,"priority_id":2,"assigned_to_id":23,"start_date":"2017-01-29","description":"","custom_fields":[{"id":1,"name":"Subdivision","value":"EC"},{"id":4,"name":"Milepost","value":"23.3312"},{"id":17,"name":"Train ID","value":"139-29"},{"id":16,"name":"Locomotive ID","value":"4007"},{"id":130,"name":"Impact","value":""},{"id":150,"name":"Time of Event (Mountain Time)","value":"09:05:19"},{"id":151,"name":"Denver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4007 --day 2017-01-29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533</v>
      </c>
      <c r="B52" s="7">
        <v>4008</v>
      </c>
      <c r="C52" s="22" t="s">
        <v>193</v>
      </c>
      <c r="D52" s="22" t="s">
        <v>418</v>
      </c>
      <c r="E52" s="13">
        <v>42764.388784722221</v>
      </c>
      <c r="F52" s="13">
        <v>42764.393240740741</v>
      </c>
      <c r="G52" s="7">
        <v>1</v>
      </c>
      <c r="H52" s="22" t="s">
        <v>211</v>
      </c>
      <c r="I52" s="13">
        <v>42764.41915509259</v>
      </c>
      <c r="J52" s="7">
        <v>0</v>
      </c>
      <c r="K52" s="105" t="str">
        <f t="shared" si="0"/>
        <v>4007/4008</v>
      </c>
      <c r="L52" s="22" t="str">
        <f>VLOOKUP(A52,'Trips&amp;Operators'!$C$1:$G$99999,5,FALSE)</f>
        <v>GEBRETEKLE DAGNEW</v>
      </c>
      <c r="M52" s="6">
        <f t="shared" si="1"/>
        <v>2.5914351848769002E-2</v>
      </c>
      <c r="N52" s="7">
        <f t="shared" si="21"/>
        <v>37.316666662227362</v>
      </c>
      <c r="O52" s="7"/>
      <c r="P52" s="7"/>
      <c r="Q52" s="23"/>
      <c r="R52" s="23"/>
      <c r="S52" s="32">
        <f t="shared" si="22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-29T08:19:51-0700',mode:absolute,to:'2017-01-29T11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49" t="str">
        <f t="shared" si="6"/>
        <v>N</v>
      </c>
      <c r="X52" s="170">
        <f t="shared" si="23"/>
        <v>1</v>
      </c>
      <c r="Y52" s="64">
        <f t="shared" si="8"/>
        <v>23.298400000000001</v>
      </c>
      <c r="Z52" s="64">
        <f t="shared" si="9"/>
        <v>1.6E-2</v>
      </c>
      <c r="AA52" s="64">
        <f t="shared" si="10"/>
        <v>23.282400000000003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0140-29</v>
      </c>
      <c r="AE52" s="87" t="str">
        <f t="shared" si="12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52" s="84" t="str">
        <f t="shared" si="13"/>
        <v>"C:\Program Files (x86)\AstroGrep\AstroGrep.exe" /spath="%USERPROFILE%\AppData\Local\Temp\OnboardLogs" /stypes="app*4008*20170129*"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140-29 --locoid 4008 --swversion DE.1.0.8.0 --startMP 204:232984 --initTime 2017-01-29T09:19:51 --startdatetime 2017-01-29T09:26:16 --delay 1 --endMP 204:160 --enddatetime 2017-01-29T10:03:35 --enforcementcount 0 &gt;&gt;C:\Users\stu\Documents\GitHub\eaglep3-reporting\EC\2017-01-29-refined-times.txt</v>
      </c>
      <c r="AI52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{"issue":{"subject":"","project_id":79,"tracker_id":40,"status_id":1,"priority_id":2,"assigned_to_id":23,"start_date":"2017-01-29","description":"","custom_fields":[{"id":1,"name":"Subdivision","value":"EC"},{"id":4,"name":"Milepost","value":"0.016"},{"id":17,"name":"Train ID","value":"140-29"},{"id":16,"name":"Locomotive ID","value":"4008"},{"id":130,"name":"Impact","value":""},{"id":150,"name":"Time of Event (Mountain Time)","value":"10:03:35"},{"id":151,"name":"Denver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4008 --day 2017-01-29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"%USERPROFILE%\AppData\Local\Temp\OnboardLogs"\RTDC4008\*4008*20170129* | grep -SE "(Enforcement Action)|(\[TIMEOUT)|(CHR.+\|PRM\|1\|D.+(SWITCH|SIGNAL).+UNKNOWN)" - &gt;&gt; 2017-01-29-UncaughtWiMAX.txt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527</v>
      </c>
      <c r="B53" s="7">
        <v>4002</v>
      </c>
      <c r="C53" s="22" t="s">
        <v>193</v>
      </c>
      <c r="D53" s="22" t="s">
        <v>294</v>
      </c>
      <c r="E53" s="13">
        <v>42764.360081018516</v>
      </c>
      <c r="F53" s="13">
        <v>42764.364768518521</v>
      </c>
      <c r="G53" s="7">
        <v>1</v>
      </c>
      <c r="H53" s="22" t="s">
        <v>678</v>
      </c>
      <c r="I53" s="13">
        <v>42764.390844907408</v>
      </c>
      <c r="J53" s="7">
        <v>0</v>
      </c>
      <c r="K53" s="105" t="str">
        <f t="shared" si="0"/>
        <v>4001/4002</v>
      </c>
      <c r="L53" s="22" t="str">
        <f>VLOOKUP(A53,'Trips&amp;Operators'!$C$1:$G$99999,5,FALSE)</f>
        <v>OUN ZACK</v>
      </c>
      <c r="M53" s="6">
        <f t="shared" si="1"/>
        <v>2.6076388887304347E-2</v>
      </c>
      <c r="N53" s="7">
        <f t="shared" si="21"/>
        <v>37.54999999771826</v>
      </c>
      <c r="O53" s="7"/>
      <c r="P53" s="7"/>
      <c r="Q53" s="23"/>
      <c r="R53" s="23"/>
      <c r="S53" s="32">
        <f t="shared" si="22"/>
        <v>1</v>
      </c>
      <c r="T53" s="47" t="str">
        <f t="shared" si="4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-29T07:38:31-0700',mode:absolute,to:'2017-01-29T10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3" s="49" t="str">
        <f t="shared" si="6"/>
        <v>N</v>
      </c>
      <c r="X53" s="170">
        <f t="shared" si="23"/>
        <v>1</v>
      </c>
      <c r="Y53" s="64">
        <f t="shared" si="8"/>
        <v>4.7100000000000003E-2</v>
      </c>
      <c r="Z53" s="64">
        <f t="shared" si="9"/>
        <v>23.3323</v>
      </c>
      <c r="AA53" s="64">
        <f t="shared" si="10"/>
        <v>23.2852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0141-29</v>
      </c>
      <c r="AE53" s="87" t="str">
        <f t="shared" si="12"/>
        <v>aws s3 cp s3://rtdc.mdm.uploadarchive.raw/RTDC4002/ "%USERPROFILE%\AppData\Local\Temp\OnboardLogs"\RTDC4002\2017-01-29 --exclude "*" --recursive --include "*20170129*" &amp; "%USERPROFILE%\Documents\GitHub\mrs-test-scripts\Headless Mode &amp; Sideloading\WalkAndUnGZ.bat" "%USERPROFILE%\AppData\Local\Temp\OnboardLogs"\RTDC4002\2017-01-29 &amp; 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</v>
      </c>
      <c r="AF53" s="84" t="str">
        <f t="shared" si="13"/>
        <v>"C:\Program Files (x86)\AstroGrep\AstroGrep.exe" /spath="%USERPROFILE%\AppData\Local\Temp\OnboardLogs" /stypes="app*4002*20170129*"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141-29 --locoid 4002 --swversion DE.1.0.8.0 --startMP 204:471 --initTime 2017-01-29T08:38:31 --startdatetime 2017-01-29T08:45:16 --delay 1 --endMP 204:233323 --enddatetime 2017-01-29T09:22:49 --enforcementcount 0 &gt;&gt;C:\Users\stu\Documents\GitHub\eaglep3-reporting\EC\2017-01-29-refined-times.txt</v>
      </c>
      <c r="AI53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{"issue":{"subject":"","project_id":79,"tracker_id":40,"status_id":1,"priority_id":2,"assigned_to_id":23,"start_date":"2017-01-29","description":"","custom_fields":[{"id":1,"name":"Subdivision","value":"EC"},{"id":4,"name":"Milepost","value":"23.3323"},{"id":17,"name":"Train ID","value":"141-29"},{"id":16,"name":"Locomotive ID","value":"4002"},{"id":130,"name":"Impact","value":""},{"id":150,"name":"Time of Event (Mountain Time)","value":"09:22:49"},{"id":151,"name":"Denver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4002 --day 2017-01-29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"%USERPROFILE%\AppData\Local\Temp\OnboardLogs"\RTDC4002\*4002*20170129* | grep -SE "(Enforcement Action)|(\[TIMEOUT)|(CHR.+\|PRM\|1\|D.+(SWITCH|SIGNAL).+UNKNOWN)" - &gt;&gt; 2017-01-29-UncaughtWiMAX.txt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535</v>
      </c>
      <c r="B54" s="7">
        <v>4001</v>
      </c>
      <c r="C54" s="22" t="s">
        <v>193</v>
      </c>
      <c r="D54" s="22" t="s">
        <v>691</v>
      </c>
      <c r="E54" s="13">
        <v>42764.398796296293</v>
      </c>
      <c r="F54" s="13">
        <v>42764.403657407405</v>
      </c>
      <c r="G54" s="7">
        <v>1</v>
      </c>
      <c r="H54" s="22" t="s">
        <v>243</v>
      </c>
      <c r="I54" s="13">
        <v>42764.430335648147</v>
      </c>
      <c r="J54" s="7">
        <v>0</v>
      </c>
      <c r="K54" s="105" t="str">
        <f t="shared" si="0"/>
        <v>4001/4002</v>
      </c>
      <c r="L54" s="22" t="str">
        <f>VLOOKUP(A54,'Trips&amp;Operators'!$C$1:$G$99999,5,FALSE)</f>
        <v>OUN ZACK</v>
      </c>
      <c r="M54" s="6">
        <f t="shared" si="1"/>
        <v>2.6678240741603076E-2</v>
      </c>
      <c r="N54" s="7">
        <f t="shared" si="21"/>
        <v>38.41666666790843</v>
      </c>
      <c r="O54" s="7"/>
      <c r="P54" s="7"/>
      <c r="Q54" s="23"/>
      <c r="R54" s="23"/>
      <c r="S54" s="32">
        <f t="shared" si="22"/>
        <v>1</v>
      </c>
      <c r="T54" s="47" t="str">
        <f t="shared" si="4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-29T08:34:16-0700',mode:absolute,to:'2017-01-29T11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4" s="49" t="str">
        <f t="shared" si="6"/>
        <v>N</v>
      </c>
      <c r="X54" s="170">
        <f t="shared" si="23"/>
        <v>1</v>
      </c>
      <c r="Y54" s="64">
        <f t="shared" si="8"/>
        <v>23.303999999999998</v>
      </c>
      <c r="Z54" s="64">
        <f t="shared" si="9"/>
        <v>1.43E-2</v>
      </c>
      <c r="AA54" s="64">
        <f t="shared" si="10"/>
        <v>23.2897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0142-29</v>
      </c>
      <c r="AE54" s="87" t="str">
        <f t="shared" si="12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54" s="84" t="str">
        <f t="shared" si="13"/>
        <v>"C:\Program Files (x86)\AstroGrep\AstroGrep.exe" /spath="%USERPROFILE%\AppData\Local\Temp\OnboardLogs" /stypes="app*4001*20170129*"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142-29 --locoid 4001 --swversion DE.1.0.8.0 --startMP 204:233040 --initTime 2017-01-29T09:34:16 --startdatetime 2017-01-29T09:41:16 --delay 1 --endMP 204:143 --enddatetime 2017-01-29T10:19:41 --enforcementcount 0 &gt;&gt;C:\Users\stu\Documents\GitHub\eaglep3-reporting\EC\2017-01-29-refined-times.txt</v>
      </c>
      <c r="AI54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{"issue":{"subject":"","project_id":79,"tracker_id":40,"status_id":1,"priority_id":2,"assigned_to_id":23,"start_date":"2017-01-29","description":"","custom_fields":[{"id":1,"name":"Subdivision","value":"EC"},{"id":4,"name":"Milepost","value":"0.0143"},{"id":17,"name":"Train ID","value":"142-29"},{"id":16,"name":"Locomotive ID","value":"4001"},{"id":130,"name":"Impact","value":""},{"id":150,"name":"Time of Event (Mountain Time)","value":"10:19:41"},{"id":151,"name":"Denver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4001 --day 2017-01-29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"%USERPROFILE%\AppData\Local\Temp\OnboardLogs"\RTDC4001\*4001*20170129* | grep -SE "(Enforcement Action)|(\[TIMEOUT)|(CHR.+\|PRM\|1\|D.+(SWITCH|SIGNAL).+UNKNOWN)" - &gt;&gt; 2017-01-29-UncaughtWiMAX.txt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529</v>
      </c>
      <c r="B55" s="7">
        <v>4038</v>
      </c>
      <c r="C55" s="22" t="s">
        <v>193</v>
      </c>
      <c r="D55" s="22" t="s">
        <v>329</v>
      </c>
      <c r="E55" s="13">
        <v>42764.370706018519</v>
      </c>
      <c r="F55" s="13">
        <v>42764.375277777777</v>
      </c>
      <c r="G55" s="7">
        <v>1</v>
      </c>
      <c r="H55" s="22" t="s">
        <v>245</v>
      </c>
      <c r="I55" s="13">
        <v>42764.400462962964</v>
      </c>
      <c r="J55" s="7">
        <v>0</v>
      </c>
      <c r="K55" s="105" t="str">
        <f t="shared" si="0"/>
        <v>4037/4038</v>
      </c>
      <c r="L55" s="22" t="str">
        <f>VLOOKUP(A55,'Trips&amp;Operators'!$C$1:$G$99999,5,FALSE)</f>
        <v>SHOOK JOHN</v>
      </c>
      <c r="M55" s="6">
        <f t="shared" si="1"/>
        <v>2.5185185186273884E-2</v>
      </c>
      <c r="N55" s="7">
        <f t="shared" si="21"/>
        <v>36.266666668234393</v>
      </c>
      <c r="O55" s="7"/>
      <c r="P55" s="7"/>
      <c r="Q55" s="23"/>
      <c r="R55" s="23"/>
      <c r="S55" s="32">
        <f t="shared" si="22"/>
        <v>1</v>
      </c>
      <c r="T55" s="47" t="str">
        <f t="shared" si="4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-29T07:53:49-0700',mode:absolute,to:'2017-01-29T10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5" s="49" t="str">
        <f t="shared" si="6"/>
        <v>N</v>
      </c>
      <c r="X55" s="170">
        <f t="shared" si="23"/>
        <v>1</v>
      </c>
      <c r="Y55" s="64">
        <f t="shared" si="8"/>
        <v>4.5499999999999999E-2</v>
      </c>
      <c r="Z55" s="64">
        <f t="shared" si="9"/>
        <v>23.329499999999999</v>
      </c>
      <c r="AA55" s="64">
        <f t="shared" si="10"/>
        <v>23.283999999999999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0143-29</v>
      </c>
      <c r="AE55" s="87" t="str">
        <f t="shared" si="12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55" s="84" t="str">
        <f t="shared" si="13"/>
        <v>"C:\Program Files (x86)\AstroGrep\AstroGrep.exe" /spath="%USERPROFILE%\AppData\Local\Temp\OnboardLogs" /stypes="app*4038*20170129*"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143-29 --locoid 4038 --swversion DE.1.0.8.0 --startMP 204:455 --initTime 2017-01-29T08:53:49 --startdatetime 2017-01-29T09:00:24 --delay 1 --endMP 204:233295 --enddatetime 2017-01-29T09:36:40 --enforcementcount 0 &gt;&gt;C:\Users\stu\Documents\GitHub\eaglep3-reporting\EC\2017-01-29-refined-times.txt</v>
      </c>
      <c r="AI55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{"issue":{"subject":"","project_id":79,"tracker_id":40,"status_id":1,"priority_id":2,"assigned_to_id":23,"start_date":"2017-01-29","description":"","custom_fields":[{"id":1,"name":"Subdivision","value":"EC"},{"id":4,"name":"Milepost","value":"23.3295"},{"id":17,"name":"Train ID","value":"143-29"},{"id":16,"name":"Locomotive ID","value":"4038"},{"id":130,"name":"Impact","value":""},{"id":150,"name":"Time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4038 --day 2017-01-29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"%USERPROFILE%\AppData\Local\Temp\OnboardLogs"\RTDC4038\*4038*20170129* | grep -SE "(Enforcement Action)|(\[TIMEOUT)|(CHR.+\|PRM\|1\|D.+(SWITCH|SIGNAL).+UNKNOWN)" - &gt;&gt; 2017-01-29-UncaughtWiMAX.txt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537</v>
      </c>
      <c r="B56" s="7">
        <v>4037</v>
      </c>
      <c r="C56" s="22" t="s">
        <v>193</v>
      </c>
      <c r="D56" s="22" t="s">
        <v>448</v>
      </c>
      <c r="E56" s="13">
        <v>42764.40388888889</v>
      </c>
      <c r="F56" s="13">
        <v>42764.414085648146</v>
      </c>
      <c r="G56" s="7">
        <v>1</v>
      </c>
      <c r="H56" s="22" t="s">
        <v>420</v>
      </c>
      <c r="I56" s="13">
        <v>42764.441516203704</v>
      </c>
      <c r="J56" s="7">
        <v>0</v>
      </c>
      <c r="K56" s="105" t="str">
        <f t="shared" si="0"/>
        <v>4037/4038</v>
      </c>
      <c r="L56" s="22" t="str">
        <f>VLOOKUP(A56,'Trips&amp;Operators'!$C$1:$G$99999,5,FALSE)</f>
        <v>SHOOK JOHN</v>
      </c>
      <c r="M56" s="6">
        <f t="shared" si="1"/>
        <v>2.7430555557657499E-2</v>
      </c>
      <c r="N56" s="7">
        <f t="shared" si="21"/>
        <v>39.500000003026798</v>
      </c>
      <c r="O56" s="7"/>
      <c r="P56" s="7"/>
      <c r="Q56" s="23"/>
      <c r="R56" s="23"/>
      <c r="S56" s="32">
        <f t="shared" si="22"/>
        <v>1</v>
      </c>
      <c r="T56" s="47" t="str">
        <f t="shared" si="4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-29T08:41:36-0700',mode:absolute,to:'2017-01-29T11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6" s="49" t="str">
        <f t="shared" si="6"/>
        <v>N</v>
      </c>
      <c r="X56" s="170">
        <f t="shared" si="23"/>
        <v>1</v>
      </c>
      <c r="Y56" s="64">
        <f t="shared" si="8"/>
        <v>23.301100000000002</v>
      </c>
      <c r="Z56" s="64">
        <f t="shared" si="9"/>
        <v>1.3899999999999999E-2</v>
      </c>
      <c r="AA56" s="64">
        <f t="shared" si="10"/>
        <v>23.287200000000002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0144-29</v>
      </c>
      <c r="AE56" s="87" t="str">
        <f t="shared" si="12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56" s="84" t="str">
        <f t="shared" si="13"/>
        <v>"C:\Program Files (x86)\AstroGrep\AstroGrep.exe" /spath="%USERPROFILE%\AppData\Local\Temp\OnboardLogs" /stypes="app*4037*20170129*"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144-29 --locoid 4037 --swversion DE.1.0.8.0 --startMP 204:233011 --initTime 2017-01-29T09:41:36 --startdatetime 2017-01-29T09:56:17 --delay 1 --endMP 204:139 --enddatetime 2017-01-29T10:35:47 --enforcementcount 0 &gt;&gt;C:\Users\stu\Documents\GitHub\eaglep3-reporting\EC\2017-01-29-refined-times.txt</v>
      </c>
      <c r="AI56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{"issue":{"subject":"","project_id":79,"tracker_id":40,"status_id":1,"priority_id":2,"assigned_to_id":23,"start_date":"2017-01-29","description":"","custom_fields":[{"id":1,"name":"Subdivision","value":"EC"},{"id":4,"name":"Milepost","value":"0.0139"},{"id":17,"name":"Train ID","value":"144-29"},{"id":16,"name":"Locomotive ID","value":"4037"},{"id":130,"name":"Impact","value":""},{"id":150,"name":"Time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4037 --day 2017-01-29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"%USERPROFILE%\AppData\Local\Temp\OnboardLogs"\RTDC4037\*4037*20170129* | grep -SE "(Enforcement Action)|(\[TIMEOUT)|(CHR.+\|PRM\|1\|D.+(SWITCH|SIGNAL).+UNKNOWN)" - &gt;&gt; 2017-01-29-UncaughtWiMAX.txt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532</v>
      </c>
      <c r="B57" s="7">
        <v>4020</v>
      </c>
      <c r="C57" s="22" t="s">
        <v>193</v>
      </c>
      <c r="D57" s="22" t="s">
        <v>308</v>
      </c>
      <c r="E57" s="13">
        <v>42764.382256944446</v>
      </c>
      <c r="F57" s="13">
        <v>42764.385775462964</v>
      </c>
      <c r="G57" s="7">
        <v>1</v>
      </c>
      <c r="H57" s="22" t="s">
        <v>674</v>
      </c>
      <c r="I57" s="13">
        <v>42764.411562499998</v>
      </c>
      <c r="J57" s="7">
        <v>0</v>
      </c>
      <c r="K57" s="105" t="str">
        <f t="shared" si="0"/>
        <v>4019/4020</v>
      </c>
      <c r="L57" s="22" t="str">
        <f>VLOOKUP(A57,'Trips&amp;Operators'!$C$1:$G$99999,5,FALSE)</f>
        <v>MAELZER KURT</v>
      </c>
      <c r="M57" s="6">
        <f t="shared" si="1"/>
        <v>2.5787037033296656E-2</v>
      </c>
      <c r="N57" s="7">
        <f t="shared" si="21"/>
        <v>37.133333327947184</v>
      </c>
      <c r="O57" s="7"/>
      <c r="P57" s="7"/>
      <c r="Q57" s="23"/>
      <c r="R57" s="23"/>
      <c r="S57" s="32">
        <f t="shared" si="22"/>
        <v>1</v>
      </c>
      <c r="T57" s="47" t="str">
        <f t="shared" si="4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-29T08:10:27-0700',mode:absolute,to:'2017-01-29T10:52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49" t="str">
        <f t="shared" si="6"/>
        <v>N</v>
      </c>
      <c r="X57" s="170">
        <f t="shared" si="23"/>
        <v>1</v>
      </c>
      <c r="Y57" s="64">
        <f t="shared" si="8"/>
        <v>4.3799999999999999E-2</v>
      </c>
      <c r="Z57" s="64">
        <f t="shared" si="9"/>
        <v>23.322299999999998</v>
      </c>
      <c r="AA57" s="64">
        <f t="shared" si="10"/>
        <v>23.278499999999998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1"/>
        <v>0145-29</v>
      </c>
      <c r="AE57" s="87" t="str">
        <f t="shared" si="12"/>
        <v>aws s3 cp s3://rtdc.mdm.uploadarchive.raw/RTDC4020/ "%USERPROFILE%\AppData\Local\Temp\OnboardLogs"\RTDC4020\2017-01-29 --exclude "*" --recursive --include "*20170129*" &amp; "%USERPROFILE%\Documents\GitHub\mrs-test-scripts\Headless Mode &amp; Sideloading\WalkAndUnGZ.bat" "%USERPROFILE%\AppData\Local\Temp\OnboardLogs"\RTDC4020\2017-01-29 &amp; 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</v>
      </c>
      <c r="AF57" s="84" t="str">
        <f t="shared" si="13"/>
        <v>"C:\Program Files (x86)\AstroGrep\AstroGrep.exe" /spath="%USERPROFILE%\AppData\Local\Temp\OnboardLogs" /stypes="app*4020*20170129*"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145-29 --locoid 4020 --swversion DE.1.0.8.0 --startMP 204:438 --initTime 2017-01-29T09:10:27 --startdatetime 2017-01-29T09:15:31 --delay 1 --endMP 204:233223 --enddatetime 2017-01-29T09:52:39 --enforcementcount 0 &gt;&gt;C:\Users\stu\Documents\GitHub\eaglep3-reporting\EC\2017-01-29-refined-times.txt</v>
      </c>
      <c r="AI57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{"issue":{"subject":"","project_id":79,"tracker_id":40,"status_id":1,"priority_id":2,"assigned_to_id":23,"start_date":"2017-01-29","description":"","custom_fields":[{"id":1,"name":"Subdivision","value":"EC"},{"id":4,"name":"Milepost","value":"23.3223"},{"id":17,"name":"Train ID","value":"145-29"},{"id":16,"name":"Locomotive ID","value":"4020"},{"id":130,"name":"Impact","value":""},{"id":150,"name":"Time of Event (Mountain Time)","value":"09:52:39"},{"id":151,"name":"Denver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4020 --day 2017-01-29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"%USERPROFILE%\AppData\Local\Temp\OnboardLogs"\RTDC4020\*4020*20170129* | grep -SE "(Enforcement Action)|(\[TIMEOUT)|(CHR.+\|PRM\|1\|D.+(SWITCH|SIGNAL).+UNKNOWN)" - &gt;&gt; 2017-01-29-UncaughtWiMAX.txt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540</v>
      </c>
      <c r="B58" s="7">
        <v>4019</v>
      </c>
      <c r="C58" s="22" t="s">
        <v>193</v>
      </c>
      <c r="D58" s="22" t="s">
        <v>692</v>
      </c>
      <c r="E58" s="13">
        <v>42764.416481481479</v>
      </c>
      <c r="F58" s="13">
        <v>42764.424571759257</v>
      </c>
      <c r="G58" s="7">
        <v>1</v>
      </c>
      <c r="H58" s="22" t="s">
        <v>208</v>
      </c>
      <c r="I58" s="13">
        <v>42764.454699074071</v>
      </c>
      <c r="J58" s="7">
        <v>0</v>
      </c>
      <c r="K58" s="105" t="str">
        <f t="shared" si="0"/>
        <v>4019/4020</v>
      </c>
      <c r="L58" s="22" t="str">
        <f>VLOOKUP(A58,'Trips&amp;Operators'!$C$1:$G$99999,5,FALSE)</f>
        <v>MAELZER KURT</v>
      </c>
      <c r="M58" s="6">
        <f t="shared" si="1"/>
        <v>3.0127314814308193E-2</v>
      </c>
      <c r="N58" s="7">
        <f t="shared" si="21"/>
        <v>43.383333332603797</v>
      </c>
      <c r="O58" s="7"/>
      <c r="P58" s="7"/>
      <c r="Q58" s="23"/>
      <c r="R58" s="23"/>
      <c r="S58" s="32">
        <f t="shared" si="22"/>
        <v>1</v>
      </c>
      <c r="T58" s="47" t="str">
        <f t="shared" si="4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-29T08:59:44-0700',mode:absolute,to:'2017-01-29T11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49" t="str">
        <f t="shared" si="6"/>
        <v>N</v>
      </c>
      <c r="X58" s="170">
        <f t="shared" si="23"/>
        <v>1</v>
      </c>
      <c r="Y58" s="64">
        <f t="shared" si="8"/>
        <v>23.302700000000002</v>
      </c>
      <c r="Z58" s="64">
        <f t="shared" si="9"/>
        <v>1.47E-2</v>
      </c>
      <c r="AA58" s="64">
        <f t="shared" si="10"/>
        <v>23.288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0146-29</v>
      </c>
      <c r="AE58" s="87" t="str">
        <f t="shared" si="12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58" s="84" t="str">
        <f t="shared" si="13"/>
        <v>"C:\Program Files (x86)\AstroGrep\AstroGrep.exe" /spath="%USERPROFILE%\AppData\Local\Temp\OnboardLogs" /stypes="app*4019*20170129*"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146-29 --locoid 4019 --swversion DE.1.0.8.0 --startMP 204:233027 --initTime 2017-01-29T09:59:44 --startdatetime 2017-01-29T10:11:23 --delay 1 --endMP 204:147 --enddatetime 2017-01-29T10:54:46 --enforcementcount 0 &gt;&gt;C:\Users\stu\Documents\GitHub\eaglep3-reporting\EC\2017-01-29-refined-times.txt</v>
      </c>
      <c r="AI58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{"issue":{"subject":"","project_id":79,"tracker_id":40,"status_id":1,"priority_id":2,"assigned_to_id":23,"start_date":"2017-01-29","description":"","custom_fields":[{"id":1,"name":"Subdivision","value":"EC"},{"id":4,"name":"Milepost","value":"0.0147"},{"id":17,"name":"Train ID","value":"146-29"},{"id":16,"name":"Locomotive ID","value":"4019"},{"id":130,"name":"Impact","value":""},{"id":150,"name":"Time of Event (Mountain Time)","value":"10:54:46"},{"id":151,"name":"Denver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4019 --day 2017-01-29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"%USERPROFILE%\AppData\Local\Temp\OnboardLogs"\RTDC4019\*4019*20170129* | grep -SE "(Enforcement Action)|(\[TIMEOUT)|(CHR.+\|PRM\|1\|D.+(SWITCH|SIGNAL).+UNKNOWN)" - &gt;&gt; 2017-01-29-UncaughtWiMAX.txt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534</v>
      </c>
      <c r="B59" s="7">
        <v>4025</v>
      </c>
      <c r="C59" s="22" t="s">
        <v>193</v>
      </c>
      <c r="D59" s="22" t="s">
        <v>328</v>
      </c>
      <c r="E59" s="13">
        <v>42764.390717592592</v>
      </c>
      <c r="F59" s="13">
        <v>42764.395972222221</v>
      </c>
      <c r="G59" s="7">
        <v>1</v>
      </c>
      <c r="H59" s="22" t="s">
        <v>693</v>
      </c>
      <c r="I59" s="13">
        <v>42764.42087962963</v>
      </c>
      <c r="J59" s="7">
        <v>0</v>
      </c>
      <c r="K59" s="105" t="str">
        <f t="shared" si="0"/>
        <v>4025/4026</v>
      </c>
      <c r="L59" s="22" t="str">
        <f>VLOOKUP(A59,'Trips&amp;Operators'!$C$1:$G$99999,5,FALSE)</f>
        <v>PERKINS DARREN</v>
      </c>
      <c r="M59" s="6">
        <f t="shared" si="1"/>
        <v>2.4907407409045845E-2</v>
      </c>
      <c r="N59" s="7">
        <f t="shared" si="21"/>
        <v>35.866666669026017</v>
      </c>
      <c r="O59" s="7"/>
      <c r="P59" s="7"/>
      <c r="Q59" s="23"/>
      <c r="R59" s="23"/>
      <c r="S59" s="32">
        <f t="shared" si="22"/>
        <v>1</v>
      </c>
      <c r="T59" s="47" t="str">
        <f t="shared" si="4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-29T08:22:38-0700',mode:absolute,to:'2017-01-29T11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49" t="str">
        <f t="shared" si="6"/>
        <v>N</v>
      </c>
      <c r="X59" s="170">
        <f t="shared" si="23"/>
        <v>1</v>
      </c>
      <c r="Y59" s="64">
        <f t="shared" si="8"/>
        <v>4.4600000000000001E-2</v>
      </c>
      <c r="Z59" s="64">
        <f t="shared" si="9"/>
        <v>23.327000000000002</v>
      </c>
      <c r="AA59" s="64">
        <f t="shared" si="10"/>
        <v>23.282400000000003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1"/>
        <v>0147-29</v>
      </c>
      <c r="AE59" s="87" t="str">
        <f t="shared" si="12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59" s="84" t="str">
        <f t="shared" si="13"/>
        <v>"C:\Program Files (x86)\AstroGrep\AstroGrep.exe" /spath="%USERPROFILE%\AppData\Local\Temp\OnboardLogs" /stypes="app*4025*20170129*"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147-29 --locoid 4025 --swversion DE.1.0.8.0 --startMP 204:446 --initTime 2017-01-29T09:22:38 --startdatetime 2017-01-29T09:30:12 --delay 1 --endMP 204:233270 --enddatetime 2017-01-29T10:06:04 --enforcementcount 0 &gt;&gt;C:\Users\stu\Documents\GitHub\eaglep3-reporting\EC\2017-01-29-refined-times.txt</v>
      </c>
      <c r="AI59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{"issue":{"subject":"","project_id":79,"tracker_id":40,"status_id":1,"priority_id":2,"assigned_to_id":23,"start_date":"2017-01-29","description":"","custom_fields":[{"id":1,"name":"Subdivision","value":"EC"},{"id":4,"name":"Milepost","value":"23.327"},{"id":17,"name":"Train ID","value":"147-29"},{"id":16,"name":"Locomotive ID","value":"4025"},{"id":130,"name":"Impact","value":""},{"id":150,"name":"Time of Event (Mountain Time)","value":"10:06:04"},{"id":151,"name":"Denver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4025 --day 2017-01-29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"%USERPROFILE%\AppData\Local\Temp\OnboardLogs"\RTDC4025\*4025*20170129* | grep -SE "(Enforcement Action)|(\[TIMEOUT)|(CHR.+\|PRM\|1\|D.+(SWITCH|SIGNAL).+UNKNOWN)" - &gt;&gt; 2017-01-29-UncaughtWiMAX.txt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542</v>
      </c>
      <c r="B60" s="7">
        <v>4026</v>
      </c>
      <c r="C60" s="22" t="s">
        <v>193</v>
      </c>
      <c r="D60" s="22" t="s">
        <v>426</v>
      </c>
      <c r="E60" s="13">
        <v>42764.428148148145</v>
      </c>
      <c r="F60" s="13">
        <v>42764.434837962966</v>
      </c>
      <c r="G60" s="7">
        <v>1</v>
      </c>
      <c r="H60" s="22" t="s">
        <v>446</v>
      </c>
      <c r="I60" s="13">
        <v>42764.46166666667</v>
      </c>
      <c r="J60" s="7">
        <v>0</v>
      </c>
      <c r="K60" s="105" t="str">
        <f t="shared" si="0"/>
        <v>4025/4026</v>
      </c>
      <c r="L60" s="22" t="str">
        <f>VLOOKUP(A60,'Trips&amp;Operators'!$C$1:$G$99999,5,FALSE)</f>
        <v>PERKINS DARREN</v>
      </c>
      <c r="M60" s="6">
        <f t="shared" si="1"/>
        <v>2.6828703703358769E-2</v>
      </c>
      <c r="N60" s="7">
        <f t="shared" si="21"/>
        <v>38.633333332836628</v>
      </c>
      <c r="O60" s="7"/>
      <c r="P60" s="7"/>
      <c r="Q60" s="23"/>
      <c r="R60" s="23"/>
      <c r="S60" s="32">
        <f t="shared" si="22"/>
        <v>1</v>
      </c>
      <c r="T60" s="47" t="str">
        <f t="shared" si="4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-29T09:16:32-0700',mode:absolute,to:'2017-01-29T12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0" s="49" t="str">
        <f t="shared" si="6"/>
        <v>N</v>
      </c>
      <c r="X60" s="170">
        <f t="shared" si="23"/>
        <v>1</v>
      </c>
      <c r="Y60" s="64">
        <f t="shared" si="8"/>
        <v>23.2988</v>
      </c>
      <c r="Z60" s="64">
        <f t="shared" si="9"/>
        <v>1.7000000000000001E-2</v>
      </c>
      <c r="AA60" s="64">
        <f t="shared" si="10"/>
        <v>23.2818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0148-29</v>
      </c>
      <c r="AE60" s="87" t="str">
        <f t="shared" si="12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60" s="84" t="str">
        <f t="shared" si="13"/>
        <v>"C:\Program Files (x86)\AstroGrep\AstroGrep.exe" /spath="%USERPROFILE%\AppData\Local\Temp\OnboardLogs" /stypes="app*4026*20170129*"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148-29 --locoid 4026 --swversion DE.1.0.8.0 --startMP 204:232988 --initTime 2017-01-29T10:16:32 --startdatetime 2017-01-29T10:26:10 --delay 1 --endMP 204:170 --enddatetime 2017-01-29T11:04:48 --enforcementcount 0 &gt;&gt;C:\Users\stu\Documents\GitHub\eaglep3-reporting\EC\2017-01-29-refined-times.txt</v>
      </c>
      <c r="AI60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{"issue":{"subject":"","project_id":79,"tracker_id":40,"status_id":1,"priority_id":2,"assigned_to_id":23,"start_date":"2017-01-29","description":"","custom_fields":[{"id":1,"name":"Subdivision","value":"EC"},{"id":4,"name":"Milepost","value":"0.017"},{"id":17,"name":"Train ID","value":"148-29"},{"id":16,"name":"Locomotive ID","value":"4026"},{"id":130,"name":"Impact","value":""},{"id":150,"name":"Time of Event (Mountain Time)","value":"11:04:48"},{"id":151,"name":"Denver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4026 --day 2017-01-29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"%USERPROFILE%\AppData\Local\Temp\OnboardLogs"\RTDC4026\*4026*20170129* | grep -SE "(Enforcement Action)|(\[TIMEOUT)|(CHR.+\|PRM\|1\|D.+(SWITCH|SIGNAL).+UNKNOWN)" - &gt;&gt; 2017-01-29-UncaughtWiMAX.txt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536</v>
      </c>
      <c r="B61" s="7">
        <v>4011</v>
      </c>
      <c r="C61" s="22" t="s">
        <v>193</v>
      </c>
      <c r="D61" s="22" t="s">
        <v>249</v>
      </c>
      <c r="E61" s="13">
        <v>42764.401828703703</v>
      </c>
      <c r="F61" s="13">
        <v>42764.406400462962</v>
      </c>
      <c r="G61" s="7">
        <v>1</v>
      </c>
      <c r="H61" s="22" t="s">
        <v>374</v>
      </c>
      <c r="I61" s="13">
        <v>42764.432152777779</v>
      </c>
      <c r="J61" s="7">
        <v>0</v>
      </c>
      <c r="K61" s="105" t="str">
        <f t="shared" si="0"/>
        <v>4011/4012</v>
      </c>
      <c r="L61" s="22" t="str">
        <f>VLOOKUP(A61,'Trips&amp;Operators'!$C$1:$G$99999,5,FALSE)</f>
        <v>DAVIS WENDY</v>
      </c>
      <c r="M61" s="6">
        <f t="shared" si="1"/>
        <v>2.5752314817509614E-2</v>
      </c>
      <c r="N61" s="7">
        <f t="shared" si="21"/>
        <v>37.083333337213844</v>
      </c>
      <c r="O61" s="7"/>
      <c r="P61" s="7"/>
      <c r="Q61" s="23"/>
      <c r="R61" s="23"/>
      <c r="S61" s="32">
        <f t="shared" si="22"/>
        <v>1</v>
      </c>
      <c r="T61" s="47" t="str">
        <f t="shared" si="4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-29T08:38:38-0700',mode:absolute,to:'2017-01-29T11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49" t="str">
        <f t="shared" si="6"/>
        <v>N</v>
      </c>
      <c r="X61" s="170">
        <f t="shared" si="23"/>
        <v>1</v>
      </c>
      <c r="Y61" s="64">
        <f t="shared" si="8"/>
        <v>4.5699999999999998E-2</v>
      </c>
      <c r="Z61" s="64">
        <f t="shared" si="9"/>
        <v>23.331499999999998</v>
      </c>
      <c r="AA61" s="64">
        <f t="shared" si="10"/>
        <v>23.285799999999998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1"/>
        <v>0149-29</v>
      </c>
      <c r="AE61" s="87" t="str">
        <f t="shared" si="12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61" s="84" t="str">
        <f t="shared" si="13"/>
        <v>"C:\Program Files (x86)\AstroGrep\AstroGrep.exe" /spath="%USERPROFILE%\AppData\Local\Temp\OnboardLogs" /stypes="app*4011*20170129*"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149-29 --locoid 4011 --swversion DE.1.0.8.0 --startMP 204:457 --initTime 2017-01-29T09:38:38 --startdatetime 2017-01-29T09:45:13 --delay 1 --endMP 204:233315 --enddatetime 2017-01-29T10:22:18 --enforcementcount 0 &gt;&gt;C:\Users\stu\Documents\GitHub\eaglep3-reporting\EC\2017-01-29-refined-times.txt</v>
      </c>
      <c r="AI61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{"issue":{"subject":"","project_id":79,"tracker_id":40,"status_id":1,"priority_id":2,"assigned_to_id":23,"start_date":"2017-01-29","description":"","custom_fields":[{"id":1,"name":"Subdivision","value":"EC"},{"id":4,"name":"Milepost","value":"23.3315"},{"id":17,"name":"Train ID","value":"149-29"},{"id":16,"name":"Locomotive ID","value":"4011"},{"id":130,"name":"Impact","value":""},{"id":150,"name":"Time of Event (Mountain Time)","value":"10:22:18"},{"id":151,"name":"Denver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4011 --day 2017-01-29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"%USERPROFILE%\AppData\Local\Temp\OnboardLogs"\RTDC4011\*4011*20170129* | grep -SE "(Enforcement Action)|(\[TIMEOUT)|(CHR.+\|PRM\|1\|D.+(SWITCH|SIGNAL).+UNKNOWN)" - &gt;&gt; 2017-01-29-UncaughtWiMAX.txt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544</v>
      </c>
      <c r="B62" s="7">
        <v>4012</v>
      </c>
      <c r="C62" s="22" t="s">
        <v>193</v>
      </c>
      <c r="D62" s="22" t="s">
        <v>299</v>
      </c>
      <c r="E62" s="13">
        <v>42764.442569444444</v>
      </c>
      <c r="F62" s="13">
        <v>42764.445451388892</v>
      </c>
      <c r="G62" s="7">
        <v>1</v>
      </c>
      <c r="H62" s="22" t="s">
        <v>197</v>
      </c>
      <c r="I62" s="13">
        <v>42764.476643518516</v>
      </c>
      <c r="J62" s="7">
        <v>0</v>
      </c>
      <c r="K62" s="105" t="str">
        <f t="shared" si="0"/>
        <v>4011/4012</v>
      </c>
      <c r="L62" s="22" t="str">
        <f>VLOOKUP(A62,'Trips&amp;Operators'!$C$1:$G$99999,5,FALSE)</f>
        <v>DAVIS WENDY</v>
      </c>
      <c r="M62" s="6">
        <f t="shared" si="1"/>
        <v>3.1192129623377696E-2</v>
      </c>
      <c r="N62" s="7">
        <f t="shared" si="21"/>
        <v>44.916666657663882</v>
      </c>
      <c r="O62" s="7"/>
      <c r="P62" s="7"/>
      <c r="Q62" s="23"/>
      <c r="R62" s="23"/>
      <c r="S62" s="32">
        <f t="shared" si="22"/>
        <v>1</v>
      </c>
      <c r="T62" s="47" t="str">
        <f t="shared" si="4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-29T09:37:18-0700',mode:absolute,to:'2017-01-29T12:26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2" s="49" t="str">
        <f t="shared" si="6"/>
        <v>N</v>
      </c>
      <c r="X62" s="170">
        <f t="shared" si="23"/>
        <v>1</v>
      </c>
      <c r="Y62" s="64">
        <f t="shared" si="8"/>
        <v>23.3002</v>
      </c>
      <c r="Z62" s="64">
        <f t="shared" si="9"/>
        <v>1.4999999999999999E-2</v>
      </c>
      <c r="AA62" s="64">
        <f t="shared" si="10"/>
        <v>23.2852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0150-29</v>
      </c>
      <c r="AE62" s="87" t="str">
        <f t="shared" si="12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62" s="84" t="str">
        <f t="shared" si="13"/>
        <v>"C:\Program Files (x86)\AstroGrep\AstroGrep.exe" /spath="%USERPROFILE%\AppData\Local\Temp\OnboardLogs" /stypes="app*4012*20170129*"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150-29 --locoid 4012 --swversion DE.1.0.8.0 --startMP 204:233002 --initTime 2017-01-29T10:37:18 --startdatetime 2017-01-29T10:41:27 --delay 1 --endMP 204:150 --enddatetime 2017-01-29T11:26:22 --enforcementcount 0 &gt;&gt;C:\Users\stu\Documents\GitHub\eaglep3-reporting\EC\2017-01-29-refined-times.txt</v>
      </c>
      <c r="AI62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{"issue":{"subject":"","project_id":79,"tracker_id":40,"status_id":1,"priority_id":2,"assigned_to_id":23,"start_date":"2017-01-29","description":"","custom_fields":[{"id":1,"name":"Subdivision","value":"EC"},{"id":4,"name":"Milepost","value":"0.015"},{"id":17,"name":"Train ID","value":"150-29"},{"id":16,"name":"Locomotive ID","value":"4012"},{"id":130,"name":"Impact","value":""},{"id":150,"name":"Time of Event (Mountain Time)","value":"11:26:22"},{"id":151,"name":"Denver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4012 --day 2017-01-29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538</v>
      </c>
      <c r="B63" s="7">
        <v>4040</v>
      </c>
      <c r="C63" s="22" t="s">
        <v>193</v>
      </c>
      <c r="D63" s="22" t="s">
        <v>694</v>
      </c>
      <c r="E63" s="13">
        <v>42764.410601851851</v>
      </c>
      <c r="F63" s="13">
        <v>42764.416863425926</v>
      </c>
      <c r="G63" s="7">
        <v>1</v>
      </c>
      <c r="H63" s="22" t="s">
        <v>381</v>
      </c>
      <c r="I63" s="13">
        <v>42764.44158564815</v>
      </c>
      <c r="J63" s="7">
        <v>0</v>
      </c>
      <c r="K63" s="105" t="str">
        <f t="shared" si="0"/>
        <v>4039/4040</v>
      </c>
      <c r="L63" s="22" t="str">
        <f>VLOOKUP(A63,'Trips&amp;Operators'!$C$1:$G$99999,5,FALSE)</f>
        <v>DELGADO DIANAH</v>
      </c>
      <c r="M63" s="6">
        <f t="shared" si="1"/>
        <v>2.4722222224227153E-2</v>
      </c>
      <c r="N63" s="7">
        <f t="shared" si="21"/>
        <v>35.6000000028871</v>
      </c>
      <c r="O63" s="7"/>
      <c r="P63" s="7"/>
      <c r="Q63" s="23"/>
      <c r="R63" s="23"/>
      <c r="S63" s="32">
        <f t="shared" si="22"/>
        <v>1</v>
      </c>
      <c r="T63" s="47" t="str">
        <f t="shared" si="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-29T08:51:16-0700',mode:absolute,to:'2017-01-29T11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49" t="str">
        <f t="shared" si="6"/>
        <v>N</v>
      </c>
      <c r="X63" s="170">
        <f t="shared" si="23"/>
        <v>1</v>
      </c>
      <c r="Y63" s="64">
        <f t="shared" si="8"/>
        <v>4.3099999999999999E-2</v>
      </c>
      <c r="Z63" s="64">
        <f t="shared" si="9"/>
        <v>23.337599999999998</v>
      </c>
      <c r="AA63" s="64">
        <f t="shared" si="10"/>
        <v>23.294499999999999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0151-29</v>
      </c>
      <c r="AE63" s="87" t="str">
        <f t="shared" si="12"/>
        <v>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 &amp; 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</v>
      </c>
      <c r="AF63" s="84" t="str">
        <f t="shared" si="13"/>
        <v>"C:\Program Files (x86)\AstroGrep\AstroGrep.exe" /spath="%USERPROFILE%\AppData\Local\Temp\OnboardLogs" /stypes="app*4040*20170129*"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151-29 --locoid 4040 --swversion DE.1.0.8.0 --startMP 204:431 --initTime 2017-01-29T09:51:16 --startdatetime 2017-01-29T10:00:17 --delay 1 --endMP 204:233376 --enddatetime 2017-01-29T10:35:53 --enforcementcount 0 &gt;&gt;C:\Users\stu\Documents\GitHub\eaglep3-reporting\EC\2017-01-29-refined-times.txt</v>
      </c>
      <c r="AI63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{"issue":{"subject":"","project_id":79,"tracker_id":40,"status_id":1,"priority_id":2,"assigned_to_id":23,"start_date":"2017-01-29","description":"","custom_fields":[{"id":1,"name":"Subdivision","value":"EC"},{"id":4,"name":"Milepost","value":"23.3376"},{"id":17,"name":"Train ID","value":"151-29"},{"id":16,"name":"Locomotive ID","value":"4040"},{"id":130,"name":"Impact","value":""},{"id":150,"name":"Time of Event (Mountain Time)","value":"10:35:53"},{"id":151,"name":"Denver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4040 --day 2017-01-29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"%USERPROFILE%\AppData\Local\Temp\OnboardLogs"\RTDC4040\*4040*20170129* | grep -SE "(Enforcement Action)|(\[TIMEOUT)|(CHR.+\|PRM\|1\|D.+(SWITCH|SIGNAL).+UNKNOWN)" - &gt;&gt; 2017-01-29-UncaughtWiMAX.txt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547</v>
      </c>
      <c r="B64" s="7">
        <v>4039</v>
      </c>
      <c r="C64" s="22" t="s">
        <v>193</v>
      </c>
      <c r="D64" s="22" t="s">
        <v>695</v>
      </c>
      <c r="E64" s="13">
        <v>42764.447847222225</v>
      </c>
      <c r="F64" s="13">
        <v>42764.455740740741</v>
      </c>
      <c r="G64" s="7">
        <v>1</v>
      </c>
      <c r="H64" s="22" t="s">
        <v>215</v>
      </c>
      <c r="I64" s="13">
        <v>42764.483564814815</v>
      </c>
      <c r="J64" s="7">
        <v>0</v>
      </c>
      <c r="K64" s="105" t="str">
        <f t="shared" si="0"/>
        <v>4039/4040</v>
      </c>
      <c r="L64" s="22" t="str">
        <f>VLOOKUP(A64,'Trips&amp;Operators'!$C$1:$G$99999,5,FALSE)</f>
        <v>DELGADO DIANAH</v>
      </c>
      <c r="M64" s="6">
        <f t="shared" si="1"/>
        <v>2.7824074073578231E-2</v>
      </c>
      <c r="N64" s="7">
        <f t="shared" si="21"/>
        <v>40.066666665952653</v>
      </c>
      <c r="O64" s="7"/>
      <c r="P64" s="7"/>
      <c r="Q64" s="23"/>
      <c r="R64" s="23"/>
      <c r="S64" s="32">
        <f t="shared" si="22"/>
        <v>1</v>
      </c>
      <c r="T64" s="47" t="str">
        <f t="shared" si="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-29T09:44:54-0700',mode:absolute,to:'2017-01-29T12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49" t="str">
        <f t="shared" si="6"/>
        <v>N</v>
      </c>
      <c r="X64" s="170">
        <f t="shared" si="23"/>
        <v>1</v>
      </c>
      <c r="Y64" s="64">
        <f t="shared" si="8"/>
        <v>23.3049</v>
      </c>
      <c r="Z64" s="64">
        <f t="shared" si="9"/>
        <v>1.52E-2</v>
      </c>
      <c r="AA64" s="64">
        <f t="shared" si="10"/>
        <v>23.2897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1"/>
        <v>0152-29</v>
      </c>
      <c r="AE64" s="87" t="str">
        <f t="shared" si="12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64" s="84" t="str">
        <f t="shared" si="13"/>
        <v>"C:\Program Files (x86)\AstroGrep\AstroGrep.exe" /spath="%USERPROFILE%\AppData\Local\Temp\OnboardLogs" /stypes="app*4039*20170129*"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152-29 --locoid 4039 --swversion DE.1.0.8.0 --startMP 204:233049 --initTime 2017-01-29T10:44:54 --startdatetime 2017-01-29T10:56:16 --delay 1 --endMP 204:152 --enddatetime 2017-01-29T11:36:20 --enforcementcount 0 &gt;&gt;C:\Users\stu\Documents\GitHub\eaglep3-reporting\EC\2017-01-29-refined-times.txt</v>
      </c>
      <c r="AI64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{"issue":{"subject":"","project_id":79,"tracker_id":40,"status_id":1,"priority_id":2,"assigned_to_id":23,"start_date":"2017-01-29","description":"","custom_fields":[{"id":1,"name":"Subdivision","value":"EC"},{"id":4,"name":"Milepost","value":"0.0152"},{"id":17,"name":"Train ID","value":"152-29"},{"id":16,"name":"Locomotive ID","value":"4039"},{"id":130,"name":"Impact","value":""},{"id":150,"name":"Time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0"/>
        <v>start /low /b %USERPROFILE%\Documents\GitHub\eaglep3\Utilities\DownloadLogsFromS3.py --loco 4039 --day 2017-01-29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541</v>
      </c>
      <c r="B65" s="7">
        <v>4007</v>
      </c>
      <c r="C65" s="22" t="s">
        <v>193</v>
      </c>
      <c r="D65" s="22" t="s">
        <v>308</v>
      </c>
      <c r="E65" s="13">
        <v>42764.421967592592</v>
      </c>
      <c r="F65" s="13">
        <v>42764.427557870367</v>
      </c>
      <c r="G65" s="7">
        <v>1</v>
      </c>
      <c r="H65" s="22" t="s">
        <v>301</v>
      </c>
      <c r="I65" s="13">
        <v>42764.452685185184</v>
      </c>
      <c r="J65" s="7">
        <v>0</v>
      </c>
      <c r="K65" s="105" t="str">
        <f t="shared" si="0"/>
        <v>4007/4008</v>
      </c>
      <c r="L65" s="22" t="str">
        <f>VLOOKUP(A65,'Trips&amp;Operators'!$C$1:$G$99999,5,FALSE)</f>
        <v>GEBRETEKLE DAGNEW</v>
      </c>
      <c r="M65" s="6">
        <f t="shared" si="1"/>
        <v>2.5127314816927537E-2</v>
      </c>
      <c r="N65" s="7">
        <f t="shared" si="21"/>
        <v>36.183333336375654</v>
      </c>
      <c r="O65" s="7"/>
      <c r="P65" s="7"/>
      <c r="Q65" s="23"/>
      <c r="R65" s="23"/>
      <c r="S65" s="32">
        <f t="shared" si="22"/>
        <v>1</v>
      </c>
      <c r="T65" s="47" t="str">
        <f t="shared" si="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-29T09:07:38-0700',mode:absolute,to:'2017-01-29T11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5" s="49" t="str">
        <f t="shared" si="6"/>
        <v>N</v>
      </c>
      <c r="X65" s="170">
        <f t="shared" si="23"/>
        <v>1</v>
      </c>
      <c r="Y65" s="64">
        <f t="shared" si="8"/>
        <v>4.3799999999999999E-2</v>
      </c>
      <c r="Z65" s="64">
        <f t="shared" si="9"/>
        <v>23.331199999999999</v>
      </c>
      <c r="AA65" s="64">
        <f t="shared" si="10"/>
        <v>23.287399999999998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0153-29</v>
      </c>
      <c r="AE65" s="87" t="str">
        <f t="shared" si="12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65" s="84" t="str">
        <f t="shared" si="13"/>
        <v>"C:\Program Files (x86)\AstroGrep\AstroGrep.exe" /spath="%USERPROFILE%\AppData\Local\Temp\OnboardLogs" /stypes="app*4007*20170129*"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153-29 --locoid 4007 --swversion DE.1.0.8.0 --startMP 204:438 --initTime 2017-01-29T10:07:38 --startdatetime 2017-01-29T10:15:41 --delay 1 --endMP 204:233312 --enddatetime 2017-01-29T10:51:52 --enforcementcount 0 &gt;&gt;C:\Users\stu\Documents\GitHub\eaglep3-reporting\EC\2017-01-29-refined-times.txt</v>
      </c>
      <c r="AI65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{"issue":{"subject":"","project_id":79,"tracker_id":40,"status_id":1,"priority_id":2,"assigned_to_id":23,"start_date":"2017-01-29","description":"","custom_fields":[{"id":1,"name":"Subdivision","value":"EC"},{"id":4,"name":"Milepost","value":"23.3312"},{"id":17,"name":"Train ID","value":"153-29"},{"id":16,"name":"Locomotive ID","value":"4007"},{"id":130,"name":"Impact","value":""},{"id":150,"name":"Time of Event (Mountain Time)","value":"10:51:52"},{"id":151,"name":"Denver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4007 --day 2017-01-29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550</v>
      </c>
      <c r="B66" s="7">
        <v>4008</v>
      </c>
      <c r="C66" s="22" t="s">
        <v>193</v>
      </c>
      <c r="D66" s="22" t="s">
        <v>696</v>
      </c>
      <c r="E66" s="13">
        <v>42764.461273148147</v>
      </c>
      <c r="F66" s="13">
        <v>42764.466145833336</v>
      </c>
      <c r="G66" s="7">
        <v>1</v>
      </c>
      <c r="H66" s="22" t="s">
        <v>697</v>
      </c>
      <c r="I66" s="13">
        <v>42764.493773148148</v>
      </c>
      <c r="J66" s="7">
        <v>0</v>
      </c>
      <c r="K66" s="105" t="str">
        <f t="shared" si="0"/>
        <v>4007/4008</v>
      </c>
      <c r="L66" s="22" t="str">
        <f>VLOOKUP(A66,'Trips&amp;Operators'!$C$1:$G$99999,5,FALSE)</f>
        <v>GEBRETEKLE DAGNEW</v>
      </c>
      <c r="M66" s="6">
        <f t="shared" si="1"/>
        <v>2.7627314811979886E-2</v>
      </c>
      <c r="N66" s="7">
        <f t="shared" si="21"/>
        <v>39.783333329251036</v>
      </c>
      <c r="O66" s="7"/>
      <c r="P66" s="7"/>
      <c r="Q66" s="23"/>
      <c r="R66" s="23"/>
      <c r="S66" s="32">
        <f t="shared" si="22"/>
        <v>1</v>
      </c>
      <c r="T66" s="47" t="str">
        <f t="shared" si="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-29T10:04:14-0700',mode:absolute,to:'2017-01-29T12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49" t="str">
        <f t="shared" si="6"/>
        <v>N</v>
      </c>
      <c r="X66" s="170">
        <f t="shared" si="23"/>
        <v>1</v>
      </c>
      <c r="Y66" s="64">
        <f t="shared" si="8"/>
        <v>23.298300000000001</v>
      </c>
      <c r="Z66" s="64">
        <f t="shared" si="9"/>
        <v>1.7399999999999999E-2</v>
      </c>
      <c r="AA66" s="64">
        <f t="shared" si="10"/>
        <v>23.280900000000003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0154-29</v>
      </c>
      <c r="AE66" s="87" t="str">
        <f t="shared" si="12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66" s="84" t="str">
        <f t="shared" si="13"/>
        <v>"C:\Program Files (x86)\AstroGrep\AstroGrep.exe" /spath="%USERPROFILE%\AppData\Local\Temp\OnboardLogs" /stypes="app*4008*20170129*"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154-29 --locoid 4008 --swversion DE.1.0.8.0 --startMP 204:232983 --initTime 2017-01-29T11:04:14 --startdatetime 2017-01-29T11:11:15 --delay 1 --endMP 204:174 --enddatetime 2017-01-29T11:51:02 --enforcementcount 0 &gt;&gt;C:\Users\stu\Documents\GitHub\eaglep3-reporting\EC\2017-01-29-refined-times.txt</v>
      </c>
      <c r="AI66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{"issue":{"subject":"","project_id":79,"tracker_id":40,"status_id":1,"priority_id":2,"assigned_to_id":23,"start_date":"2017-01-29","description":"","custom_fields":[{"id":1,"name":"Subdivision","value":"EC"},{"id":4,"name":"Milepost","value":"0.0174"},{"id":17,"name":"Train ID","value":"154-29"},{"id":16,"name":"Locomotive ID","value":"4008"},{"id":130,"name":"Impact","value":""},{"id":150,"name":"Time of Event (Mountain Time)","value":"11:51:02"},{"id":151,"name":"Denver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4008 --day 2017-01-29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"%USERPROFILE%\AppData\Local\Temp\OnboardLogs"\RTDC4008\*4008*20170129* | grep -SE "(Enforcement Action)|(\[TIMEOUT)|(CHR.+\|PRM\|1\|D.+(SWITCH|SIGNAL).+UNKNOWN)" - &gt;&gt; 2017-01-29-UncaughtWiMAX.txt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543</v>
      </c>
      <c r="B67" s="7">
        <v>4002</v>
      </c>
      <c r="C67" s="22" t="s">
        <v>193</v>
      </c>
      <c r="D67" s="22" t="s">
        <v>698</v>
      </c>
      <c r="E67" s="13">
        <v>42764.434386574074</v>
      </c>
      <c r="F67" s="13">
        <v>42764.437662037039</v>
      </c>
      <c r="G67" s="7">
        <v>2</v>
      </c>
      <c r="H67" s="22" t="s">
        <v>685</v>
      </c>
      <c r="I67" s="13">
        <v>42764.461875000001</v>
      </c>
      <c r="J67" s="7">
        <v>0</v>
      </c>
      <c r="K67" s="105" t="str">
        <f t="shared" si="0"/>
        <v>4001/4002</v>
      </c>
      <c r="L67" s="22" t="str">
        <f>VLOOKUP(A67,'Trips&amp;Operators'!$C$1:$G$99999,5,FALSE)</f>
        <v>ROMERO CHAD</v>
      </c>
      <c r="M67" s="6">
        <f t="shared" si="1"/>
        <v>2.421296296233777E-2</v>
      </c>
      <c r="N67" s="7">
        <f t="shared" si="21"/>
        <v>34.866666665766388</v>
      </c>
      <c r="O67" s="7"/>
      <c r="P67" s="7"/>
      <c r="Q67" s="23"/>
      <c r="R67" s="23"/>
      <c r="S67" s="32">
        <f t="shared" si="22"/>
        <v>1</v>
      </c>
      <c r="T67" s="47" t="str">
        <f t="shared" si="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-29T09:25:31-0700',mode:absolute,to:'2017-01-29T12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49" t="str">
        <f t="shared" si="6"/>
        <v>N</v>
      </c>
      <c r="X67" s="170">
        <f t="shared" si="23"/>
        <v>1</v>
      </c>
      <c r="Y67" s="64">
        <f t="shared" si="8"/>
        <v>4.3700000000000003E-2</v>
      </c>
      <c r="Z67" s="64">
        <f t="shared" si="9"/>
        <v>23.3353</v>
      </c>
      <c r="AA67" s="64">
        <f t="shared" si="10"/>
        <v>23.291599999999999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0155-29</v>
      </c>
      <c r="AE67" s="87" t="str">
        <f t="shared" si="12"/>
        <v>aws s3 cp s3://rtdc.mdm.uploadarchive.raw/RTDC4002/ "%USERPROFILE%\AppData\Local\Temp\OnboardLogs"\RTDC4002\2017-01-29 --exclude "*" --recursive --include "*20170129*" &amp; "%USERPROFILE%\Documents\GitHub\mrs-test-scripts\Headless Mode &amp; Sideloading\WalkAndUnGZ.bat" "%USERPROFILE%\AppData\Local\Temp\OnboardLogs"\RTDC4002\2017-01-29 &amp; 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</v>
      </c>
      <c r="AF67" s="84" t="str">
        <f t="shared" si="13"/>
        <v>"C:\Program Files (x86)\AstroGrep\AstroGrep.exe" /spath="%USERPROFILE%\AppData\Local\Temp\OnboardLogs" /stypes="app*4002*20170129*"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155-29 --locoid 4002 --swversion DE.1.0.8.0 --startMP 204:437 --initTime 2017-01-29T10:25:31 --startdatetime 2017-01-29T10:30:14 --delay 2 --endMP 204:233353 --enddatetime 2017-01-29T11:05:06 --enforcementcount 0 &gt;&gt;C:\Users\stu\Documents\GitHub\eaglep3-reporting\EC\2017-01-29-refined-times.txt</v>
      </c>
      <c r="AI67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{"issue":{"subject":"","project_id":79,"tracker_id":40,"status_id":1,"priority_id":2,"assigned_to_id":23,"start_date":"2017-01-29","description":"","custom_fields":[{"id":1,"name":"Subdivision","value":"EC"},{"id":4,"name":"Milepost","value":"23.3353"},{"id":17,"name":"Train ID","value":"155-29"},{"id":16,"name":"Locomotive ID","value":"4002"},{"id":130,"name":"Impact","value":""},{"id":150,"name":"Time of Event (Mountain Time)","value":"11:05:06"},{"id":151,"name":"Denver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4002 --day 2017-01-29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"%USERPROFILE%\AppData\Local\Temp\OnboardLogs"\RTDC4002\*4002*20170129* | grep -SE "(Enforcement Action)|(\[TIMEOUT)|(CHR.+\|PRM\|1\|D.+(SWITCH|SIGNAL).+UNKNOWN)" - &gt;&gt; 2017-01-29-UncaughtWiMAX.txt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552</v>
      </c>
      <c r="B68" s="7">
        <v>4001</v>
      </c>
      <c r="C68" s="22" t="s">
        <v>193</v>
      </c>
      <c r="D68" s="22" t="s">
        <v>699</v>
      </c>
      <c r="E68" s="13">
        <v>42764.464467592596</v>
      </c>
      <c r="F68" s="13">
        <v>42764.476747685185</v>
      </c>
      <c r="G68" s="7">
        <v>2</v>
      </c>
      <c r="H68" s="22" t="s">
        <v>197</v>
      </c>
      <c r="I68" s="13">
        <v>42764.504953703705</v>
      </c>
      <c r="J68" s="7">
        <v>0</v>
      </c>
      <c r="K68" s="105" t="str">
        <f t="shared" si="0"/>
        <v>4001/4002</v>
      </c>
      <c r="L68" s="22" t="str">
        <f>VLOOKUP(A68,'Trips&amp;Operators'!$C$1:$G$99999,5,FALSE)</f>
        <v>ROMERO CHAD</v>
      </c>
      <c r="M68" s="6">
        <f t="shared" si="1"/>
        <v>2.8206018519995268E-2</v>
      </c>
      <c r="N68" s="7">
        <f t="shared" si="21"/>
        <v>40.616666668793187</v>
      </c>
      <c r="O68" s="7"/>
      <c r="P68" s="7"/>
      <c r="Q68" s="23"/>
      <c r="R68" s="23"/>
      <c r="S68" s="32">
        <f t="shared" si="22"/>
        <v>1</v>
      </c>
      <c r="T68" s="47" t="str">
        <f t="shared" si="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-29T10:08:50-0700',mode:absolute,to:'2017-01-29T13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49" t="str">
        <f t="shared" si="6"/>
        <v>N</v>
      </c>
      <c r="X68" s="170">
        <f t="shared" si="23"/>
        <v>1</v>
      </c>
      <c r="Y68" s="64">
        <f t="shared" si="8"/>
        <v>23.305299999999999</v>
      </c>
      <c r="Z68" s="64">
        <f t="shared" si="9"/>
        <v>1.4999999999999999E-2</v>
      </c>
      <c r="AA68" s="64">
        <f t="shared" si="10"/>
        <v>23.290299999999998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0156-29</v>
      </c>
      <c r="AE68" s="87" t="str">
        <f t="shared" si="12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68" s="84" t="str">
        <f t="shared" si="13"/>
        <v>"C:\Program Files (x86)\AstroGrep\AstroGrep.exe" /spath="%USERPROFILE%\AppData\Local\Temp\OnboardLogs" /stypes="app*4001*20170129*"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156-29 --locoid 4001 --swversion DE.1.0.8.0 --startMP 204:233053 --initTime 2017-01-29T11:08:50 --startdatetime 2017-01-29T11:26:31 --delay 2 --endMP 204:150 --enddatetime 2017-01-29T12:07:08 --enforcementcount 0 &gt;&gt;C:\Users\stu\Documents\GitHub\eaglep3-reporting\EC\2017-01-29-refined-times.txt</v>
      </c>
      <c r="AI68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{"issue":{"subject":"","project_id":79,"tracker_id":40,"status_id":1,"priority_id":2,"assigned_to_id":23,"start_date":"2017-01-29","description":"","custom_fields":[{"id":1,"name":"Subdivision","value":"EC"},{"id":4,"name":"Milepost","value":"0.015"},{"id":17,"name":"Train ID","value":"156-29"},{"id":16,"name":"Locomotive ID","value":"4001"},{"id":130,"name":"Impact","value":""},{"id":150,"name":"Time of Event (Mountain Time)","value":"12:07:08"},{"id":151,"name":"Denver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4001 --day 2017-01-29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"%USERPROFILE%\AppData\Local\Temp\OnboardLogs"\RTDC4001\*4001*20170129* | grep -SE "(Enforcement Action)|(\[TIMEOUT)|(CHR.+\|PRM\|1\|D.+(SWITCH|SIGNAL).+UNKNOWN)" - &gt;&gt; 2017-01-29-UncaughtWiMAX.txt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546</v>
      </c>
      <c r="B69" s="7">
        <v>4038</v>
      </c>
      <c r="C69" s="22" t="s">
        <v>193</v>
      </c>
      <c r="D69" s="22" t="s">
        <v>423</v>
      </c>
      <c r="E69" s="13">
        <v>42764.443611111114</v>
      </c>
      <c r="F69" s="13">
        <v>42764.448113425926</v>
      </c>
      <c r="G69" s="7">
        <v>1</v>
      </c>
      <c r="H69" s="22" t="s">
        <v>700</v>
      </c>
      <c r="I69" s="13">
        <v>42764.474756944444</v>
      </c>
      <c r="J69" s="7">
        <v>0</v>
      </c>
      <c r="K69" s="105" t="str">
        <f t="shared" si="0"/>
        <v>4037/4038</v>
      </c>
      <c r="L69" s="22" t="str">
        <f>VLOOKUP(A69,'Trips&amp;Operators'!$C$1:$G$99999,5,FALSE)</f>
        <v>SHOOK JOHN</v>
      </c>
      <c r="M69" s="6">
        <f t="shared" si="1"/>
        <v>2.6643518518540077E-2</v>
      </c>
      <c r="N69" s="7">
        <f t="shared" si="21"/>
        <v>38.366666666697711</v>
      </c>
      <c r="O69" s="7"/>
      <c r="P69" s="7"/>
      <c r="Q69" s="23"/>
      <c r="R69" s="23"/>
      <c r="S69" s="32">
        <f t="shared" si="22"/>
        <v>1</v>
      </c>
      <c r="T69" s="47" t="str">
        <f t="shared" si="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-29T09:38:48-0700',mode:absolute,to:'2017-01-29T12:23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9" s="49" t="str">
        <f t="shared" si="6"/>
        <v>N</v>
      </c>
      <c r="X69" s="170">
        <f t="shared" si="23"/>
        <v>1</v>
      </c>
      <c r="Y69" s="64">
        <f t="shared" si="8"/>
        <v>4.2700000000000002E-2</v>
      </c>
      <c r="Z69" s="64">
        <f t="shared" si="9"/>
        <v>23.337399999999999</v>
      </c>
      <c r="AA69" s="64">
        <f t="shared" si="10"/>
        <v>23.294699999999999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0157-29</v>
      </c>
      <c r="AE69" s="87" t="str">
        <f t="shared" si="12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69" s="84" t="str">
        <f t="shared" si="13"/>
        <v>"C:\Program Files (x86)\AstroGrep\AstroGrep.exe" /spath="%USERPROFILE%\AppData\Local\Temp\OnboardLogs" /stypes="app*4038*20170129*"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157-29 --locoid 4038 --swversion DE.1.0.8.0 --startMP 204:427 --initTime 2017-01-29T10:38:48 --startdatetime 2017-01-29T10:45:17 --delay 1 --endMP 204:233374 --enddatetime 2017-01-29T11:23:39 --enforcementcount 0 &gt;&gt;C:\Users\stu\Documents\GitHub\eaglep3-reporting\EC\2017-01-29-refined-times.txt</v>
      </c>
      <c r="AI69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{"issue":{"subject":"","project_id":79,"tracker_id":40,"status_id":1,"priority_id":2,"assigned_to_id":23,"start_date":"2017-01-29","description":"","custom_fields":[{"id":1,"name":"Subdivision","value":"EC"},{"id":4,"name":"Milepost","value":"23.3374"},{"id":17,"name":"Train ID","value":"157-29"},{"id":16,"name":"Locomotive ID","value":"4038"},{"id":130,"name":"Impact","value":""},{"id":150,"name":"Time of Event (Mountain Time)","value":"11:23:39"},{"id":151,"name":"Denver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4038 --day 2017-01-29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"%USERPROFILE%\AppData\Local\Temp\OnboardLogs"\RTDC4038\*4038*20170129* | grep -SE "(Enforcement Action)|(\[TIMEOUT)|(CHR.+\|PRM\|1\|D.+(SWITCH|SIGNAL).+UNKNOWN)" - &gt;&gt; 2017-01-29-UncaughtWiMAX.txt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461</v>
      </c>
      <c r="B70" s="7">
        <v>4037</v>
      </c>
      <c r="C70" s="22" t="s">
        <v>193</v>
      </c>
      <c r="D70" s="22" t="s">
        <v>701</v>
      </c>
      <c r="E70" s="13">
        <v>42764.476365740738</v>
      </c>
      <c r="F70" s="13">
        <v>42764.486979166664</v>
      </c>
      <c r="G70" s="7">
        <v>1</v>
      </c>
      <c r="H70" s="22" t="s">
        <v>243</v>
      </c>
      <c r="I70" s="13">
        <v>42764.516076388885</v>
      </c>
      <c r="J70" s="7">
        <v>0</v>
      </c>
      <c r="K70" s="105" t="str">
        <f t="shared" si="0"/>
        <v>4037/4038</v>
      </c>
      <c r="L70" s="22" t="str">
        <f>VLOOKUP(A70,'Trips&amp;Operators'!$C$1:$G$99999,5,FALSE)</f>
        <v>SHOOK JOHN</v>
      </c>
      <c r="M70" s="6">
        <f t="shared" si="1"/>
        <v>2.9097222221025731E-2</v>
      </c>
      <c r="N70" s="7">
        <f t="shared" si="21"/>
        <v>41.899999998277053</v>
      </c>
      <c r="O70" s="7"/>
      <c r="P70" s="7"/>
      <c r="Q70" s="23"/>
      <c r="R70" s="23"/>
      <c r="S70" s="32">
        <f t="shared" si="22"/>
        <v>1</v>
      </c>
      <c r="T70" s="47" t="str">
        <f t="shared" si="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-29T10:25:58-0700',mode:absolute,to:'2017-01-29T13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0" s="49" t="str">
        <f t="shared" si="6"/>
        <v>N</v>
      </c>
      <c r="X70" s="170">
        <f t="shared" si="23"/>
        <v>1</v>
      </c>
      <c r="Y70" s="64">
        <f t="shared" si="8"/>
        <v>23.306799999999999</v>
      </c>
      <c r="Z70" s="64">
        <f t="shared" si="9"/>
        <v>1.43E-2</v>
      </c>
      <c r="AA70" s="64">
        <f t="shared" si="10"/>
        <v>23.2925</v>
      </c>
      <c r="AB70" s="61" t="str">
        <f>VLOOKUP(A70,Enforcements!$C$7:$K$16,8,0)</f>
        <v>Signal based authority (5)</v>
      </c>
      <c r="AC70" s="57" t="str">
        <f>VLOOKUP(A70,Enforcements!$C$7:$E$16,3,0)</f>
        <v>SIGNAL</v>
      </c>
      <c r="AD70" s="58" t="str">
        <f t="shared" si="11"/>
        <v>0158-29</v>
      </c>
      <c r="AE70" s="87" t="str">
        <f t="shared" si="12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70" s="84" t="str">
        <f t="shared" si="13"/>
        <v>"C:\Program Files (x86)\AstroGrep\AstroGrep.exe" /spath="%USERPROFILE%\AppData\Local\Temp\OnboardLogs" /stypes="app*4037*20170129*"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158-29 --locoid 4037 --swversion DE.1.0.8.0 --startMP 204:233068 --initTime 2017-01-29T11:25:58 --startdatetime 2017-01-29T11:41:15 --delay 1 --endMP 204:143 --enddatetime 2017-01-29T12:23:09 --enforcementcount 0 &gt;&gt;C:\Users\stu\Documents\GitHub\eaglep3-reporting\EC\2017-01-29-refined-times.txt</v>
      </c>
      <c r="AI70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{"issue":{"subject":"","project_id":79,"tracker_id":40,"status_id":1,"priority_id":2,"assigned_to_id":23,"start_date":"2017-01-29","description":"","custom_fields":[{"id":1,"name":"Subdivision","value":"EC"},{"id":4,"name":"Milepost","value":"0.0143"},{"id":17,"name":"Train ID","value":"158-29"},{"id":16,"name":"Locomotive ID","value":"4037"},{"id":130,"name":"Impact","value":""},{"id":150,"name":"Time of Event (Mountain Time)","value":"12:23:09"},{"id":151,"name":"Denver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4037 --day 2017-01-29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"%USERPROFILE%\AppData\Local\Temp\OnboardLogs"\RTDC4037\*4037*20170129* | grep -SE "(Enforcement Action)|(\[TIMEOUT)|(CHR.+\|PRM\|1\|D.+(SWITCH|SIGNAL).+UNKNOWN)" - &gt;&gt; 2017-01-29-UncaughtWiMAX.txt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549</v>
      </c>
      <c r="B71" s="7">
        <v>4020</v>
      </c>
      <c r="C71" s="22" t="s">
        <v>193</v>
      </c>
      <c r="D71" s="22" t="s">
        <v>689</v>
      </c>
      <c r="E71" s="13">
        <v>42764.456724537034</v>
      </c>
      <c r="F71" s="13">
        <v>42764.461712962962</v>
      </c>
      <c r="G71" s="7">
        <v>2</v>
      </c>
      <c r="H71" s="22" t="s">
        <v>245</v>
      </c>
      <c r="I71" s="13">
        <v>42764.486354166664</v>
      </c>
      <c r="J71" s="7">
        <v>0</v>
      </c>
      <c r="K71" s="105" t="str">
        <f t="shared" si="0"/>
        <v>4019/4020</v>
      </c>
      <c r="L71" s="22" t="str">
        <f>VLOOKUP(A71,'Trips&amp;Operators'!$C$1:$G$99999,5,FALSE)</f>
        <v>STEWART MICHAEL</v>
      </c>
      <c r="M71" s="6">
        <f t="shared" si="1"/>
        <v>2.4641203701321501E-2</v>
      </c>
      <c r="N71" s="7">
        <f t="shared" si="21"/>
        <v>35.483333329902962</v>
      </c>
      <c r="O71" s="7"/>
      <c r="P71" s="7"/>
      <c r="Q71" s="23"/>
      <c r="R71" s="23"/>
      <c r="S71" s="32">
        <f t="shared" si="22"/>
        <v>1</v>
      </c>
      <c r="T71" s="47" t="str">
        <f t="shared" si="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-29T09:57:41-0700',mode:absolute,to:'2017-01-29T12:40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49" t="str">
        <f t="shared" si="6"/>
        <v>N</v>
      </c>
      <c r="X71" s="170">
        <f t="shared" si="23"/>
        <v>1</v>
      </c>
      <c r="Y71" s="64">
        <f t="shared" si="8"/>
        <v>4.3999999999999997E-2</v>
      </c>
      <c r="Z71" s="64">
        <f t="shared" si="9"/>
        <v>23.329499999999999</v>
      </c>
      <c r="AA71" s="64">
        <f t="shared" si="10"/>
        <v>23.285499999999999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0159-29</v>
      </c>
      <c r="AE71" s="87" t="str">
        <f t="shared" si="12"/>
        <v>aws s3 cp s3://rtdc.mdm.uploadarchive.raw/RTDC4020/ "%USERPROFILE%\AppData\Local\Temp\OnboardLogs"\RTDC4020\2017-01-29 --exclude "*" --recursive --include "*20170129*" &amp; "%USERPROFILE%\Documents\GitHub\mrs-test-scripts\Headless Mode &amp; Sideloading\WalkAndUnGZ.bat" "%USERPROFILE%\AppData\Local\Temp\OnboardLogs"\RTDC4020\2017-01-29 &amp; 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</v>
      </c>
      <c r="AF71" s="84" t="str">
        <f t="shared" si="13"/>
        <v>"C:\Program Files (x86)\AstroGrep\AstroGrep.exe" /spath="%USERPROFILE%\AppData\Local\Temp\OnboardLogs" /stypes="app*4020*20170129*"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159-29 --locoid 4020 --swversion DE.1.0.8.0 --startMP 204:440 --initTime 2017-01-29T10:57:41 --startdatetime 2017-01-29T11:04:52 --delay 2 --endMP 204:233295 --enddatetime 2017-01-29T11:40:21 --enforcementcount 0 &gt;&gt;C:\Users\stu\Documents\GitHub\eaglep3-reporting\EC\2017-01-29-refined-times.txt</v>
      </c>
      <c r="AI71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{"issue":{"subject":"","project_id":79,"tracker_id":40,"status_id":1,"priority_id":2,"assigned_to_id":23,"start_date":"2017-01-29","description":"","custom_fields":[{"id":1,"name":"Subdivision","value":"EC"},{"id":4,"name":"Milepost","value":"23.3295"},{"id":17,"name":"Train ID","value":"159-29"},{"id":16,"name":"Locomotive ID","value":"4020"},{"id":130,"name":"Impact","value":""},{"id":150,"name":"Time of Event (Mountain Time)","value":"11:40:21"},{"id":151,"name":"Denver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4020 --day 2017-01-29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"%USERPROFILE%\AppData\Local\Temp\OnboardLogs"\RTDC4020\*4020*20170129* | grep -SE "(Enforcement Action)|(\[TIMEOUT)|(CHR.+\|PRM\|1\|D.+(SWITCH|SIGNAL).+UNKNOWN)" - &gt;&gt; 2017-01-29-UncaughtWiMAX.txt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559</v>
      </c>
      <c r="B72" s="7">
        <v>4019</v>
      </c>
      <c r="C72" s="22" t="s">
        <v>193</v>
      </c>
      <c r="D72" s="22" t="s">
        <v>300</v>
      </c>
      <c r="E72" s="13">
        <v>42764.496087962965</v>
      </c>
      <c r="F72" s="13">
        <v>42764.497824074075</v>
      </c>
      <c r="G72" s="7">
        <v>1</v>
      </c>
      <c r="H72" s="22" t="s">
        <v>211</v>
      </c>
      <c r="I72" s="13">
        <v>42764.524236111109</v>
      </c>
      <c r="J72" s="7">
        <v>0</v>
      </c>
      <c r="K72" s="105" t="str">
        <f t="shared" si="0"/>
        <v>4019/4020</v>
      </c>
      <c r="L72" s="22" t="str">
        <f>VLOOKUP(A72,'Trips&amp;Operators'!$C$1:$G$99999,5,FALSE)</f>
        <v>STEWART MICHAEL</v>
      </c>
      <c r="M72" s="6">
        <f t="shared" si="1"/>
        <v>2.6412037033878732E-2</v>
      </c>
      <c r="N72" s="7">
        <f t="shared" si="21"/>
        <v>38.033333328785375</v>
      </c>
      <c r="O72" s="7"/>
      <c r="P72" s="7"/>
      <c r="Q72" s="23"/>
      <c r="R72" s="23"/>
      <c r="S72" s="32">
        <f t="shared" si="22"/>
        <v>1</v>
      </c>
      <c r="T72" s="47" t="str">
        <f t="shared" si="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-29T10:54:22-0700',mode:absolute,to:'2017-01-29T13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49" t="str">
        <f t="shared" si="6"/>
        <v>N</v>
      </c>
      <c r="X72" s="170">
        <f t="shared" si="23"/>
        <v>1</v>
      </c>
      <c r="Y72" s="64">
        <f t="shared" si="8"/>
        <v>23.297999999999998</v>
      </c>
      <c r="Z72" s="64">
        <f t="shared" si="9"/>
        <v>1.6E-2</v>
      </c>
      <c r="AA72" s="64">
        <f t="shared" si="10"/>
        <v>23.282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0160-29</v>
      </c>
      <c r="AE72" s="87" t="str">
        <f t="shared" si="12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72" s="84" t="str">
        <f t="shared" si="13"/>
        <v>"C:\Program Files (x86)\AstroGrep\AstroGrep.exe" /spath="%USERPROFILE%\AppData\Local\Temp\OnboardLogs" /stypes="app*4019*20170129*"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160-29 --locoid 4019 --swversion DE.1.0.8.0 --startMP 204:232980 --initTime 2017-01-29T11:54:22 --startdatetime 2017-01-29T11:56:52 --delay 1 --endMP 204:160 --enddatetime 2017-01-29T12:34:54 --enforcementcount 0 &gt;&gt;C:\Users\stu\Documents\GitHub\eaglep3-reporting\EC\2017-01-29-refined-times.txt</v>
      </c>
      <c r="AI72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{"issue":{"subject":"","project_id":79,"tracker_id":40,"status_id":1,"priority_id":2,"assigned_to_id":23,"start_date":"2017-01-29","description":"","custom_fields":[{"id":1,"name":"Subdivision","value":"EC"},{"id":4,"name":"Milepost","value":"0.016"},{"id":17,"name":"Train ID","value":"160-29"},{"id":16,"name":"Locomotive ID","value":"4019"},{"id":130,"name":"Impact","value":""},{"id":150,"name":"Time of Event (Mountain Time)","value":"12:34:54"},{"id":151,"name":"Denver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4019 --day 2017-01-29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"%USERPROFILE%\AppData\Local\Temp\OnboardLogs"\RTDC4019\*4019*20170129* | grep -SE "(Enforcement Action)|(\[TIMEOUT)|(CHR.+\|PRM\|1\|D.+(SWITCH|SIGNAL).+UNKNOWN)" - &gt;&gt; 2017-01-29-UncaughtWiMAX.txt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551</v>
      </c>
      <c r="B73" s="7">
        <v>4025</v>
      </c>
      <c r="C73" s="22" t="s">
        <v>193</v>
      </c>
      <c r="D73" s="22" t="s">
        <v>329</v>
      </c>
      <c r="E73" s="13">
        <v>42764.464467592596</v>
      </c>
      <c r="F73" s="13">
        <v>42764.469131944446</v>
      </c>
      <c r="G73" s="7">
        <v>2</v>
      </c>
      <c r="H73" s="22" t="s">
        <v>702</v>
      </c>
      <c r="I73" s="13">
        <v>42764.496064814812</v>
      </c>
      <c r="J73" s="7">
        <v>0</v>
      </c>
      <c r="K73" s="105" t="str">
        <f t="shared" si="0"/>
        <v>4025/4026</v>
      </c>
      <c r="L73" s="22" t="str">
        <f>VLOOKUP(A73,'Trips&amp;Operators'!$C$1:$G$99999,5,FALSE)</f>
        <v>DAVIS MICHAEL</v>
      </c>
      <c r="M73" s="6">
        <f t="shared" si="1"/>
        <v>2.693287036527181E-2</v>
      </c>
      <c r="N73" s="7">
        <f t="shared" si="21"/>
        <v>38.783333325991407</v>
      </c>
      <c r="O73" s="7"/>
      <c r="P73" s="7"/>
      <c r="Q73" s="23"/>
      <c r="R73" s="23"/>
      <c r="S73" s="32">
        <f t="shared" si="22"/>
        <v>1</v>
      </c>
      <c r="T73" s="47" t="str">
        <f t="shared" si="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-29T10:08:50-0700',mode:absolute,to:'2017-01-29T12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49" t="str">
        <f t="shared" si="6"/>
        <v>N</v>
      </c>
      <c r="X73" s="170">
        <f t="shared" si="23"/>
        <v>1</v>
      </c>
      <c r="Y73" s="64">
        <f t="shared" si="8"/>
        <v>4.5499999999999999E-2</v>
      </c>
      <c r="Z73" s="64">
        <f t="shared" si="9"/>
        <v>23.3293</v>
      </c>
      <c r="AA73" s="64">
        <f t="shared" si="10"/>
        <v>23.283799999999999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0161-29</v>
      </c>
      <c r="AE73" s="87" t="str">
        <f t="shared" si="12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73" s="84" t="str">
        <f t="shared" si="13"/>
        <v>"C:\Program Files (x86)\AstroGrep\AstroGrep.exe" /spath="%USERPROFILE%\AppData\Local\Temp\OnboardLogs" /stypes="app*4025*20170129*"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161-29 --locoid 4025 --swversion DE.1.0.8.0 --startMP 204:455 --initTime 2017-01-29T11:08:50 --startdatetime 2017-01-29T11:15:33 --delay 2 --endMP 204:233293 --enddatetime 2017-01-29T11:54:20 --enforcementcount 0 &gt;&gt;C:\Users\stu\Documents\GitHub\eaglep3-reporting\EC\2017-01-29-refined-times.txt</v>
      </c>
      <c r="AI73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{"issue":{"subject":"","project_id":79,"tracker_id":40,"status_id":1,"priority_id":2,"assigned_to_id":23,"start_date":"2017-01-29","description":"","custom_fields":[{"id":1,"name":"Subdivision","value":"EC"},{"id":4,"name":"Milepost","value":"23.3293"},{"id":17,"name":"Train ID","value":"161-29"},{"id":16,"name":"Locomotive ID","value":"4025"},{"id":130,"name":"Impact","value":""},{"id":150,"name":"Time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4025 --day 2017-01-29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"%USERPROFILE%\AppData\Local\Temp\OnboardLogs"\RTDC4025\*4025*20170129* | grep -SE "(Enforcement Action)|(\[TIMEOUT)|(CHR.+\|PRM\|1\|D.+(SWITCH|SIGNAL).+UNKNOWN)" - &gt;&gt; 2017-01-29-UncaughtWiMAX.txt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560</v>
      </c>
      <c r="B74" s="7">
        <v>4026</v>
      </c>
      <c r="C74" s="22" t="s">
        <v>193</v>
      </c>
      <c r="D74" s="22" t="s">
        <v>210</v>
      </c>
      <c r="E74" s="13">
        <v>42764.503460648149</v>
      </c>
      <c r="F74" s="13">
        <v>42764.507870370369</v>
      </c>
      <c r="G74" s="7">
        <v>2</v>
      </c>
      <c r="H74" s="22" t="s">
        <v>197</v>
      </c>
      <c r="I74" s="13">
        <v>42764.535196759258</v>
      </c>
      <c r="J74" s="7">
        <v>0</v>
      </c>
      <c r="K74" s="105" t="str">
        <f t="shared" si="0"/>
        <v>4025/4026</v>
      </c>
      <c r="L74" s="22" t="str">
        <f>VLOOKUP(A74,'Trips&amp;Operators'!$C$1:$G$99999,5,FALSE)</f>
        <v>DAVIS MICHAEL</v>
      </c>
      <c r="M74" s="6">
        <f t="shared" si="1"/>
        <v>2.73263888884685E-2</v>
      </c>
      <c r="N74" s="7">
        <f t="shared" si="21"/>
        <v>39.34999999939464</v>
      </c>
      <c r="O74" s="7"/>
      <c r="P74" s="7"/>
      <c r="Q74" s="23"/>
      <c r="R74" s="23"/>
      <c r="S74" s="32">
        <f t="shared" si="22"/>
        <v>1</v>
      </c>
      <c r="T74" s="47" t="str">
        <f t="shared" si="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-29T11:04:59-0700',mode:absolute,to:'2017-01-29T13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4" s="49" t="str">
        <f t="shared" si="6"/>
        <v>N</v>
      </c>
      <c r="X74" s="170">
        <f t="shared" si="23"/>
        <v>1</v>
      </c>
      <c r="Y74" s="64">
        <f t="shared" si="8"/>
        <v>23.297699999999999</v>
      </c>
      <c r="Z74" s="64">
        <f t="shared" si="9"/>
        <v>1.4999999999999999E-2</v>
      </c>
      <c r="AA74" s="64">
        <f t="shared" si="10"/>
        <v>23.282699999999998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0162-29</v>
      </c>
      <c r="AE74" s="87" t="str">
        <f t="shared" si="12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74" s="84" t="str">
        <f t="shared" si="13"/>
        <v>"C:\Program Files (x86)\AstroGrep\AstroGrep.exe" /spath="%USERPROFILE%\AppData\Local\Temp\OnboardLogs" /stypes="app*4026*20170129*"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162-29 --locoid 4026 --swversion DE.1.0.8.0 --startMP 204:232977 --initTime 2017-01-29T12:04:59 --startdatetime 2017-01-29T12:11:20 --delay 2 --endMP 204:150 --enddatetime 2017-01-29T12:50:41 --enforcementcount 0 &gt;&gt;C:\Users\stu\Documents\GitHub\eaglep3-reporting\EC\2017-01-29-refined-times.txt</v>
      </c>
      <c r="AI74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{"issue":{"subject":"","project_id":79,"tracker_id":40,"status_id":1,"priority_id":2,"assigned_to_id":23,"start_date":"2017-01-29","description":"","custom_fields":[{"id":1,"name":"Subdivision","value":"EC"},{"id":4,"name":"Milepost","value":"0.015"},{"id":17,"name":"Train ID","value":"162-29"},{"id":16,"name":"Locomotive ID","value":"4026"},{"id":130,"name":"Impact","value":""},{"id":150,"name":"Time of Event (Mountain Time)","value":"12:50:41"},{"id":151,"name":"Denver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4026 --day 2017-01-29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"%USERPROFILE%\AppData\Local\Temp\OnboardLogs"\RTDC4026\*4026*20170129* | grep -SE "(Enforcement Action)|(\[TIMEOUT)|(CHR.+\|PRM\|1\|D.+(SWITCH|SIGNAL).+UNKNOWN)" - &gt;&gt; 2017-01-29-UncaughtWiMAX.txt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553</v>
      </c>
      <c r="B75" s="7">
        <v>4011</v>
      </c>
      <c r="C75" s="22" t="s">
        <v>193</v>
      </c>
      <c r="D75" s="22" t="s">
        <v>244</v>
      </c>
      <c r="E75" s="13">
        <v>42764.477349537039</v>
      </c>
      <c r="F75" s="13">
        <v>42764.479571759257</v>
      </c>
      <c r="G75" s="7">
        <v>2</v>
      </c>
      <c r="H75" s="22" t="s">
        <v>703</v>
      </c>
      <c r="I75" s="13">
        <v>42764.504027777781</v>
      </c>
      <c r="J75" s="7">
        <v>0</v>
      </c>
      <c r="K75" s="105" t="str">
        <f t="shared" si="0"/>
        <v>4011/4012</v>
      </c>
      <c r="L75" s="22" t="str">
        <f>VLOOKUP(A75,'Trips&amp;Operators'!$C$1:$G$99999,5,FALSE)</f>
        <v>LEVIN SCOTT</v>
      </c>
      <c r="M75" s="6">
        <f t="shared" si="1"/>
        <v>2.4456018523778766E-2</v>
      </c>
      <c r="N75" s="7">
        <f t="shared" si="21"/>
        <v>35.216666674241424</v>
      </c>
      <c r="O75" s="7"/>
      <c r="P75" s="7"/>
      <c r="Q75" s="23"/>
      <c r="R75" s="23"/>
      <c r="S75" s="32">
        <f t="shared" si="22"/>
        <v>1</v>
      </c>
      <c r="T75" s="47" t="str">
        <f t="shared" si="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-29T10:27:23-0700',mode:absolute,to:'2017-01-29T13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49" t="str">
        <f t="shared" si="6"/>
        <v>N</v>
      </c>
      <c r="X75" s="170">
        <f t="shared" si="23"/>
        <v>1</v>
      </c>
      <c r="Y75" s="64">
        <f t="shared" si="8"/>
        <v>4.6600000000000003E-2</v>
      </c>
      <c r="Z75" s="64">
        <f t="shared" si="9"/>
        <v>23.332599999999999</v>
      </c>
      <c r="AA75" s="64">
        <f t="shared" si="10"/>
        <v>23.285999999999998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0163-29</v>
      </c>
      <c r="AE75" s="87" t="str">
        <f t="shared" si="12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75" s="84" t="str">
        <f t="shared" si="13"/>
        <v>"C:\Program Files (x86)\AstroGrep\AstroGrep.exe" /spath="%USERPROFILE%\AppData\Local\Temp\OnboardLogs" /stypes="app*4011*20170129*"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163-29 --locoid 4011 --swversion DE.1.0.8.0 --startMP 204:466 --initTime 2017-01-29T11:27:23 --startdatetime 2017-01-29T11:30:35 --delay 2 --endMP 204:233326 --enddatetime 2017-01-29T12:05:48 --enforcementcount 0 &gt;&gt;C:\Users\stu\Documents\GitHub\eaglep3-reporting\EC\2017-01-29-refined-times.txt</v>
      </c>
      <c r="AI75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{"issue":{"subject":"","project_id":79,"tracker_id":40,"status_id":1,"priority_id":2,"assigned_to_id":23,"start_date":"2017-01-29","description":"","custom_fields":[{"id":1,"name":"Subdivision","value":"EC"},{"id":4,"name":"Milepost","value":"23.3326"},{"id":17,"name":"Train ID","value":"163-29"},{"id":16,"name":"Locomotive ID","value":"4011"},{"id":130,"name":"Impact","value":""},{"id":150,"name":"Time of Event (Mountain Time)","value":"12:05:48"},{"id":151,"name":"Denver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4011 --day 2017-01-29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"%USERPROFILE%\AppData\Local\Temp\OnboardLogs"\RTDC4011\*4011*20170129* | grep -SE "(Enforcement Action)|(\[TIMEOUT)|(CHR.+\|PRM\|1\|D.+(SWITCH|SIGNAL).+UNKNOWN)" - &gt;&gt; 2017-01-29-UncaughtWiMAX.txt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562</v>
      </c>
      <c r="B76" s="7">
        <v>4012</v>
      </c>
      <c r="C76" s="22" t="s">
        <v>193</v>
      </c>
      <c r="D76" s="22" t="s">
        <v>449</v>
      </c>
      <c r="E76" s="13">
        <v>42764.512546296297</v>
      </c>
      <c r="F76" s="13">
        <v>42764.518333333333</v>
      </c>
      <c r="G76" s="7">
        <v>1</v>
      </c>
      <c r="H76" s="22" t="s">
        <v>704</v>
      </c>
      <c r="I76" s="13">
        <v>42764.545092592591</v>
      </c>
      <c r="J76" s="7">
        <v>0</v>
      </c>
      <c r="K76" s="105" t="str">
        <f t="shared" si="0"/>
        <v>4011/4012</v>
      </c>
      <c r="L76" s="22" t="str">
        <f>VLOOKUP(A76,'Trips&amp;Operators'!$C$1:$G$99999,5,FALSE)</f>
        <v>LEVIN SCOTT</v>
      </c>
      <c r="M76" s="6">
        <f t="shared" si="1"/>
        <v>2.675925925723277E-2</v>
      </c>
      <c r="N76" s="7">
        <f t="shared" si="21"/>
        <v>38.533333330415189</v>
      </c>
      <c r="O76" s="7"/>
      <c r="P76" s="7"/>
      <c r="Q76" s="23"/>
      <c r="R76" s="23"/>
      <c r="S76" s="32">
        <f t="shared" si="22"/>
        <v>1</v>
      </c>
      <c r="T76" s="47" t="str">
        <f t="shared" si="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-29T11:18:04-0700',mode:absolute,to:'2017-01-29T14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49" t="str">
        <f t="shared" si="6"/>
        <v>N</v>
      </c>
      <c r="X76" s="170">
        <f t="shared" si="23"/>
        <v>1</v>
      </c>
      <c r="Y76" s="64">
        <f t="shared" si="8"/>
        <v>23.301300000000001</v>
      </c>
      <c r="Z76" s="64">
        <f t="shared" si="9"/>
        <v>1.14E-2</v>
      </c>
      <c r="AA76" s="64">
        <f t="shared" si="10"/>
        <v>23.289900000000003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1"/>
        <v>0164-29</v>
      </c>
      <c r="AE76" s="87" t="str">
        <f t="shared" si="12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76" s="84" t="str">
        <f t="shared" si="13"/>
        <v>"C:\Program Files (x86)\AstroGrep\AstroGrep.exe" /spath="%USERPROFILE%\AppData\Local\Temp\OnboardLogs" /stypes="app*4012*20170129*"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164-29 --locoid 4012 --swversion DE.1.0.8.0 --startMP 204:233013 --initTime 2017-01-29T12:18:04 --startdatetime 2017-01-29T12:26:24 --delay 1 --endMP 204:114 --enddatetime 2017-01-29T13:04:56 --enforcementcount 0 &gt;&gt;C:\Users\stu\Documents\GitHub\eaglep3-reporting\EC\2017-01-29-refined-times.txt</v>
      </c>
      <c r="AI76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{"issue":{"subject":"","project_id":79,"tracker_id":40,"status_id":1,"priority_id":2,"assigned_to_id":23,"start_date":"2017-01-29","description":"","custom_fields":[{"id":1,"name":"Subdivision","value":"EC"},{"id":4,"name":"Milepost","value":"0.0114"},{"id":17,"name":"Train ID","value":"164-29"},{"id":16,"name":"Locomotive ID","value":"4012"},{"id":130,"name":"Impact","value":""},{"id":150,"name":"Time of Event (Mountain Time)","value":"13:04:56"},{"id":151,"name":"Denver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4012 --day 2017-01-29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555</v>
      </c>
      <c r="B77" s="7">
        <v>4040</v>
      </c>
      <c r="C77" s="22" t="s">
        <v>193</v>
      </c>
      <c r="D77" s="22" t="s">
        <v>444</v>
      </c>
      <c r="E77" s="13">
        <v>42764.48641203704</v>
      </c>
      <c r="F77" s="13">
        <v>42764.489814814813</v>
      </c>
      <c r="G77" s="7">
        <v>2</v>
      </c>
      <c r="H77" s="22" t="s">
        <v>414</v>
      </c>
      <c r="I77" s="13">
        <v>42764.515960648147</v>
      </c>
      <c r="J77" s="7">
        <v>0</v>
      </c>
      <c r="K77" s="105" t="str">
        <f t="shared" ref="K77:K140" si="24">IF(ISEVEN(B77),(B77-1)&amp;"/"&amp;B77,B77&amp;"/"&amp;(B77+1))</f>
        <v>4039/4040</v>
      </c>
      <c r="L77" s="22" t="str">
        <f>VLOOKUP(A77,'Trips&amp;Operators'!$C$1:$G$99999,5,FALSE)</f>
        <v>BRUDER RICHARD</v>
      </c>
      <c r="M77" s="6">
        <f t="shared" ref="M77:M140" si="25">I77-F77</f>
        <v>2.6145833333430346E-2</v>
      </c>
      <c r="N77" s="7">
        <f t="shared" si="21"/>
        <v>37.650000000139698</v>
      </c>
      <c r="O77" s="7"/>
      <c r="P77" s="7"/>
      <c r="Q77" s="23"/>
      <c r="R77" s="23"/>
      <c r="S77" s="32">
        <f t="shared" si="22"/>
        <v>1</v>
      </c>
      <c r="T77" s="47" t="str">
        <f t="shared" ref="T77:T140" si="26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-29T10:40:26-0700',mode:absolute,to:'2017-01-29T13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49" t="str">
        <f t="shared" ref="W77:W140" si="28">IF(AA77&lt;IF(AG77="EC",23,5.65),"Y","N")</f>
        <v>N</v>
      </c>
      <c r="X77" s="170">
        <f t="shared" ref="X77:X108" si="29">VALUE(LEFT(AD77,4))-VALUE(LEFT(AD76,4))</f>
        <v>1</v>
      </c>
      <c r="Y77" s="64">
        <f t="shared" ref="Y77:Y140" si="30">RIGHT(D77,LEN(D77)-4)/10000</f>
        <v>4.4200000000000003E-2</v>
      </c>
      <c r="Z77" s="64">
        <f t="shared" ref="Z77:Z140" si="31">RIGHT(H77,LEN(H77)-4)/10000</f>
        <v>23.331900000000001</v>
      </c>
      <c r="AA77" s="64">
        <f t="shared" ref="AA77:AA140" si="32">ABS(Z77-Y77)</f>
        <v>23.287700000000001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33">IF(LEN(A77)=6,"0"&amp;A77,A77)</f>
        <v>0165-29</v>
      </c>
      <c r="AE77" s="87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 &amp; 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</v>
      </c>
      <c r="AF77" s="84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/stypes="app*4040*20170129*" /stext=" 19:.+((SYSTEM_STATE.+slice.+state.+changed )|(ment ac)|(multiple cpu faults)|(system.+state.+changed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165-29 --locoid 4040 --swversion DE.1.0.8.0 --startMP 204:442 --initTime 2017-01-29T11:40:26 --startdatetime 2017-01-29T11:45:20 --delay 2 --endMP 204:233319 --enddatetime 2017-01-29T12:22:59 --enforcementcount 0 &gt;&gt;C:\Users\stu\Documents\GitHub\eaglep3-reporting\EC\2017-01-29-refined-times.txt</v>
      </c>
      <c r="AI77" s="115" t="str">
        <f t="shared" si="19"/>
        <v>echo {"issue":{"subject":"","project_id":79,"tracker_id":40,"status_id":1,"priority_id":2,"assigned_to_id":23,"start_date":"2017-01-29","description":"","custom_fields":[{"id":1,"name":"Subdivision","value":"EC"},{"id":4,"name":"Milepost","value":"23.3319"},{"id":17,"name":"Train ID","value":"165-29"},{"id":16,"name":"Locomotive ID","value":"4040"},{"id":130,"name":"Impact","value":""},{"id":150,"name":"Time of Event (Mountain Time)","value":"12:22:59"},{"id":151,"name":"Denver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4040 --day 2017-01-29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"%USERPROFILE%\AppData\Local\Temp\OnboardLogs"\RTDC4040\*4040*20170129* | grep -SE "(Enforcement Action)|(\[TIMEOUT)|(CHR.+\|PRM\|1\|D.+(SWITCH|SIGNAL).+UNKNOWN)" - &gt;&gt; 2017-01-29-UncaughtWiMAX.txt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564</v>
      </c>
      <c r="B78" s="7">
        <v>4039</v>
      </c>
      <c r="C78" s="22" t="s">
        <v>193</v>
      </c>
      <c r="D78" s="22" t="s">
        <v>311</v>
      </c>
      <c r="E78" s="13">
        <v>42764.524386574078</v>
      </c>
      <c r="F78" s="13">
        <v>42764.528657407405</v>
      </c>
      <c r="G78" s="7">
        <v>4</v>
      </c>
      <c r="H78" s="22" t="s">
        <v>243</v>
      </c>
      <c r="I78" s="13">
        <v>42764.554699074077</v>
      </c>
      <c r="J78" s="7">
        <v>0</v>
      </c>
      <c r="K78" s="105" t="str">
        <f t="shared" si="24"/>
        <v>4039/4040</v>
      </c>
      <c r="L78" s="22" t="str">
        <f>VLOOKUP(A78,'Trips&amp;Operators'!$C$1:$G$99999,5,FALSE)</f>
        <v>BRUDER RICHARD</v>
      </c>
      <c r="M78" s="6">
        <f t="shared" si="25"/>
        <v>2.6041666671517305E-2</v>
      </c>
      <c r="N78" s="7">
        <f t="shared" si="21"/>
        <v>37.500000006984919</v>
      </c>
      <c r="O78" s="7"/>
      <c r="P78" s="7"/>
      <c r="Q78" s="23"/>
      <c r="R78" s="23"/>
      <c r="S78" s="32">
        <f t="shared" si="22"/>
        <v>1</v>
      </c>
      <c r="T78" s="47" t="str">
        <f t="shared" si="26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7"/>
        <v>https://d0f6bd738d7f1b3e5a7ca70fe4ff75f0.us-east-1.aws.found.io/app/kibana#/discover/Steve-Slow-Train-Analysis-(2080s-and-2083s)?_g=(refreshInterval:(display:Off,pause:!f,section:0,value:0),time:(from:'2017-01-29T11:35:07-0700',mode:absolute,to:'2017-01-29T14:18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49" t="str">
        <f t="shared" si="28"/>
        <v>N</v>
      </c>
      <c r="X78" s="170">
        <f t="shared" si="29"/>
        <v>1</v>
      </c>
      <c r="Y78" s="64">
        <f t="shared" si="30"/>
        <v>23.299399999999999</v>
      </c>
      <c r="Z78" s="64">
        <f t="shared" si="31"/>
        <v>1.43E-2</v>
      </c>
      <c r="AA78" s="64">
        <f t="shared" si="32"/>
        <v>23.2851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33"/>
        <v>0166-29</v>
      </c>
      <c r="AE78" s="87" t="str">
        <f t="shared" si="34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78" s="84" t="str">
        <f t="shared" si="35"/>
        <v>"C:\Program Files (x86)\AstroGrep\AstroGrep.exe" /spath="%USERPROFILE%\AppData\Local\Temp\OnboardLogs" /stypes="app*4039*20170129*" /stext=" 20:.+((SYSTEM_STATE.+slice.+state.+changed )|(ment ac)|(multiple cpu faults)|(system.+state.+changed )|(\[timeout)|(PRM\|1\|D)|(kpr)|(kdp)|(\|lc)|(penalty))" /e /r /s</v>
      </c>
      <c r="AG78" s="1" t="str">
        <f t="shared" si="36"/>
        <v>EC</v>
      </c>
      <c r="AH78" s="88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166-29 --locoid 4039 --swversion DE.1.0.8.0 --startMP 204:232994 --initTime 2017-01-29T12:35:07 --startdatetime 2017-01-29T12:41:16 --delay 4 --endMP 204:143 --enddatetime 2017-01-29T13:18:46 --enforcementcount 0 &gt;&gt;C:\Users\stu\Documents\GitHub\eaglep3-reporting\EC\2017-01-29-refined-times.txt</v>
      </c>
      <c r="AI78" s="115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{"issue":{"subject":"","project_id":79,"tracker_id":40,"status_id":1,"priority_id":2,"assigned_to_id":23,"start_date":"2017-01-29","description":"","custom_fields":[{"id":1,"name":"Subdivision","value":"EC"},{"id":4,"name":"Milepost","value":"0.0143"},{"id":17,"name":"Train ID","value":"166-29"},{"id":16,"name":"Locomotive ID","value":"4039"},{"id":130,"name":"Impact","value":""},{"id":150,"name":"Time of Event (Mountain Time)","value":"13:18:46"},{"id":151,"name":"Denver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1" si="39">"start /low /b "&amp;dls3logs&amp;" --loco "&amp;B78&amp;" --day "&amp;TEXT(F78,"YYYY-MM-DD")</f>
        <v>start /low /b %USERPROFILE%\Documents\GitHub\eaglep3\Utilities\DownloadLogsFromS3.py --loco 4039 --day 2017-01-29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462</v>
      </c>
      <c r="B79" s="7">
        <v>4007</v>
      </c>
      <c r="C79" s="22" t="s">
        <v>193</v>
      </c>
      <c r="D79" s="22" t="s">
        <v>705</v>
      </c>
      <c r="E79" s="13">
        <v>42764.516226851854</v>
      </c>
      <c r="F79" s="13">
        <v>42764.517013888886</v>
      </c>
      <c r="G79" s="7">
        <v>1</v>
      </c>
      <c r="H79" s="22" t="s">
        <v>310</v>
      </c>
      <c r="I79" s="13">
        <v>42764.527557870373</v>
      </c>
      <c r="J79" s="7">
        <v>0</v>
      </c>
      <c r="K79" s="105" t="str">
        <f t="shared" si="24"/>
        <v>4007/4008</v>
      </c>
      <c r="L79" s="22" t="str">
        <f>VLOOKUP(A79,'Trips&amp;Operators'!$C$1:$G$99999,5,FALSE)</f>
        <v>CRAYTON QUNTRELL</v>
      </c>
      <c r="M79" s="6">
        <f t="shared" si="25"/>
        <v>1.0543981486989651E-2</v>
      </c>
      <c r="N79" s="7">
        <f>24*60*SUM($M79:$M80)</f>
        <v>42.516666672891006</v>
      </c>
      <c r="O79" s="7"/>
      <c r="P79" s="7"/>
      <c r="Q79" s="23"/>
      <c r="R79" s="23" t="s">
        <v>828</v>
      </c>
      <c r="S79" s="32">
        <f>SUM(U79:U80)/IF(AG79="EC",12,1)</f>
        <v>1</v>
      </c>
      <c r="T79" s="47" t="str">
        <f t="shared" si="26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0</v>
      </c>
      <c r="V79" s="94" t="str">
        <f t="shared" si="27"/>
        <v>https://d0f6bd738d7f1b3e5a7ca70fe4ff75f0.us-east-1.aws.found.io/app/kibana#/discover/Steve-Slow-Train-Analysis-(2080s-and-2083s)?_g=(refreshInterval:(display:Off,pause:!f,section:0,value:0),time:(from:'2017-01-29T11:23:22-0700',mode:absolute,to:'2017-01-29T13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49" t="str">
        <f t="shared" si="28"/>
        <v>Y</v>
      </c>
      <c r="X79" s="170">
        <f t="shared" si="29"/>
        <v>1</v>
      </c>
      <c r="Y79" s="64">
        <f t="shared" si="30"/>
        <v>12.825699999999999</v>
      </c>
      <c r="Z79" s="64">
        <f t="shared" si="31"/>
        <v>23.330100000000002</v>
      </c>
      <c r="AA79" s="64">
        <f t="shared" si="32"/>
        <v>10.504400000000002</v>
      </c>
      <c r="AB79" s="61" t="str">
        <f>VLOOKUP(A79,Enforcements!$C$7:$K$16,8,0)</f>
        <v>Signal based authority (5)</v>
      </c>
      <c r="AC79" s="57" t="str">
        <f>VLOOKUP(A79,Enforcements!$C$7:$E$16,3,0)</f>
        <v>SIGNAL</v>
      </c>
      <c r="AD79" s="58" t="str">
        <f t="shared" si="33"/>
        <v>0167-29</v>
      </c>
      <c r="AE79" s="87" t="str">
        <f t="shared" si="34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79" s="84" t="str">
        <f t="shared" si="35"/>
        <v>"C:\Program Files (x86)\AstroGrep\AstroGrep.exe" /spath="%USERPROFILE%\AppData\Local\Temp\OnboardLogs" /stypes="app*4007*20170129*" /stext=" 19:.+((SYSTEM_STATE.+slice.+state.+changed )|(ment ac)|(multiple cpu faults)|(system.+state.+changed )|(\[timeout)|(PRM\|1\|D)|(kpr)|(kdp)|(\|lc)|(penalty))" /e /r /s</v>
      </c>
      <c r="AG79" s="1" t="str">
        <f t="shared" si="36"/>
        <v>EC</v>
      </c>
      <c r="AH79" s="88" t="str">
        <f t="shared" si="37"/>
        <v>"%USERPROFILE%\Documents\GitHub\eaglep3\Utilities\RefineRTDCRunTimes.py" --tripid 167-29 --locoid 4007 --swversion DE.1.0.8.0 --startMP 204:128257 --initTime 2017-01-29T12:23:22 --startdatetime 2017-01-29T12:24:30 --delay 1 --endMP 204:233301 --enddatetime 2017-01-29T12:39:41 --enforcementcount 0 &gt;&gt;C:\Users\stu\Documents\GitHub\eaglep3-reporting\EC\2017-01-29-refined-times.txt</v>
      </c>
      <c r="AI79" s="115" t="str">
        <f t="shared" si="38"/>
        <v>echo {"issue":{"subject":"40th 2N STOP, re-init at station","project_id":79,"tracker_id":40,"status_id":1,"priority_id":2,"assigned_to_id":23,"start_date":"2017-01-29","description":"","custom_fields":[{"id":1,"name":"Subdivision","value":"EC"},{"id":4,"name":"Milepost","value":"23.3301"},{"id":17,"name":"Train ID","value":"167-29"},{"id":16,"name":"Locomotive ID","value":"4007"},{"id":130,"name":"Impact","value":""},{"id":150,"name":"Time of Event (Mountain Time)","value":"12:39:41"},{"id":151,"name":"Denver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9"/>
        <v>start /low /b %USERPROFILE%\Documents\GitHub\eaglep3\Utilities\DownloadLogsFromS3.py --loco 4007 --day 2017-01-29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462</v>
      </c>
      <c r="B80" s="7">
        <v>4007</v>
      </c>
      <c r="C80" s="22" t="s">
        <v>193</v>
      </c>
      <c r="D80" s="22" t="s">
        <v>683</v>
      </c>
      <c r="E80" s="13">
        <v>42764.495370370372</v>
      </c>
      <c r="F80" s="13">
        <v>42764.496759259258</v>
      </c>
      <c r="G80" s="7">
        <v>1</v>
      </c>
      <c r="H80" s="22" t="s">
        <v>706</v>
      </c>
      <c r="I80" s="13">
        <v>42764.515740740739</v>
      </c>
      <c r="J80" s="7">
        <v>1</v>
      </c>
      <c r="K80" s="105" t="str">
        <f t="shared" si="24"/>
        <v>4007/4008</v>
      </c>
      <c r="L80" s="22" t="str">
        <f>VLOOKUP(A80,'Trips&amp;Operators'!$C$1:$G$99999,5,FALSE)</f>
        <v>CRAYTON QUNTRELL</v>
      </c>
      <c r="M80" s="6">
        <f t="shared" si="25"/>
        <v>1.898148148029577E-2</v>
      </c>
      <c r="N80" s="7"/>
      <c r="O80" s="7"/>
      <c r="P80" s="7"/>
      <c r="Q80" s="23"/>
      <c r="R80" s="23"/>
      <c r="S80" s="32"/>
      <c r="T80" s="47" t="str">
        <f t="shared" si="26"/>
        <v>NorthBound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7"/>
        <v>https://d0f6bd738d7f1b3e5a7ca70fe4ff75f0.us-east-1.aws.found.io/app/kibana#/discover/Steve-Slow-Train-Analysis-(2080s-and-2083s)?_g=(refreshInterval:(display:Off,pause:!f,section:0,value:0),time:(from:'2017-01-29T10:53:20-0700',mode:absolute,to:'2017-01-29T13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49" t="str">
        <f t="shared" si="28"/>
        <v>Y</v>
      </c>
      <c r="X80" s="170">
        <f t="shared" si="29"/>
        <v>0</v>
      </c>
      <c r="Y80" s="64">
        <f t="shared" si="30"/>
        <v>4.7500000000000001E-2</v>
      </c>
      <c r="Z80" s="64">
        <f t="shared" si="31"/>
        <v>12.781700000000001</v>
      </c>
      <c r="AA80" s="64">
        <f t="shared" si="32"/>
        <v>12.734200000000001</v>
      </c>
      <c r="AB80" s="61" t="str">
        <f>VLOOKUP(A80,Enforcements!$C$7:$K$16,8,0)</f>
        <v>Signal based authority (5)</v>
      </c>
      <c r="AC80" s="57" t="str">
        <f>VLOOKUP(A80,Enforcements!$C$7:$E$16,3,0)</f>
        <v>SIGNAL</v>
      </c>
      <c r="AD80" s="58" t="str">
        <f t="shared" si="33"/>
        <v>0167-29</v>
      </c>
      <c r="AE80" s="87" t="str">
        <f t="shared" si="34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80" s="84" t="str">
        <f t="shared" si="35"/>
        <v>"C:\Program Files (x86)\AstroGrep\AstroGrep.exe" /spath="%USERPROFILE%\AppData\Local\Temp\OnboardLogs" /stypes="app*4007*20170129*" /stext=" 19:.+((SYSTEM_STATE.+slice.+state.+changed )|(ment ac)|(multiple cpu faults)|(system.+state.+changed )|(\[timeout)|(PRM\|1\|D)|(kpr)|(kdp)|(\|lc)|(penalty))" /e /r /s</v>
      </c>
      <c r="AG80" s="1" t="str">
        <f t="shared" si="36"/>
        <v>EC</v>
      </c>
      <c r="AH80" s="88" t="str">
        <f t="shared" si="37"/>
        <v>"%USERPROFILE%\Documents\GitHub\eaglep3\Utilities\RefineRTDCRunTimes.py" --tripid 167-29 --locoid 4007 --swversion DE.1.0.8.0 --startMP 204:475 --initTime 2017-01-29T11:53:20 --startdatetime 2017-01-29T11:55:20 --delay 1 --endMP 204:127817 --enddatetime 2017-01-29T12:22:40 --enforcementcount 1 &gt;&gt;C:\Users\stu\Documents\GitHub\eaglep3-reporting\EC\2017-01-29-refined-times.txt</v>
      </c>
      <c r="AI80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{"issue":{"subject":"","project_id":79,"tracker_id":40,"status_id":1,"priority_id":2,"assigned_to_id":23,"start_date":"2017-01-29","description":"","custom_fields":[{"id":1,"name":"Subdivision","value":"EC"},{"id":4,"name":"Milepost","value":"12.7817"},{"id":17,"name":"Train ID","value":"167-29"},{"id":16,"name":"Locomotive ID","value":"4007"},{"id":130,"name":"Impact","value":""},{"id":150,"name":"Time of Event (Mountain Time)","value":"12:22:40"},{"id":151,"name":"Denver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9"/>
        <v>start /low /b %USERPROFILE%\Documents\GitHub\eaglep3\Utilities\DownloadLogsFromS3.py --loco 4007 --day 2017-01-29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566</v>
      </c>
      <c r="B81" s="7">
        <v>4008</v>
      </c>
      <c r="C81" s="22" t="s">
        <v>193</v>
      </c>
      <c r="D81" s="22" t="s">
        <v>309</v>
      </c>
      <c r="E81" s="13">
        <v>42764.5315162037</v>
      </c>
      <c r="F81" s="13">
        <v>42764.5390625</v>
      </c>
      <c r="G81" s="7">
        <v>1</v>
      </c>
      <c r="H81" s="22" t="s">
        <v>211</v>
      </c>
      <c r="I81" s="13">
        <v>42764.565520833334</v>
      </c>
      <c r="J81" s="7">
        <v>0</v>
      </c>
      <c r="K81" s="105" t="str">
        <f t="shared" si="24"/>
        <v>4007/4008</v>
      </c>
      <c r="L81" s="22" t="str">
        <f>VLOOKUP(A81,'Trips&amp;Operators'!$C$1:$G$99999,5,FALSE)</f>
        <v>CRAYTON QUNTRELL</v>
      </c>
      <c r="M81" s="6">
        <f t="shared" si="25"/>
        <v>2.6458333333721384E-2</v>
      </c>
      <c r="N81" s="7">
        <f t="shared" ref="N81:N92" si="40">24*60*SUM($M81:$M81)</f>
        <v>38.100000000558794</v>
      </c>
      <c r="O81" s="7"/>
      <c r="P81" s="7"/>
      <c r="Q81" s="23"/>
      <c r="R81" s="23"/>
      <c r="S81" s="32">
        <f t="shared" ref="S81:S92" si="41">SUM(U81:U81)/IF(AG81="EC",12,1)</f>
        <v>1</v>
      </c>
      <c r="T81" s="47" t="str">
        <f t="shared" si="26"/>
        <v>Southbound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7"/>
        <v>https://d0f6bd738d7f1b3e5a7ca70fe4ff75f0.us-east-1.aws.found.io/app/kibana#/discover/Steve-Slow-Train-Analysis-(2080s-and-2083s)?_g=(refreshInterval:(display:Off,pause:!f,section:0,value:0),time:(from:'2017-01-29T11:45:23-0700',mode:absolute,to:'2017-01-29T14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49" t="str">
        <f t="shared" si="28"/>
        <v>N</v>
      </c>
      <c r="X81" s="170">
        <f t="shared" si="29"/>
        <v>1</v>
      </c>
      <c r="Y81" s="64">
        <f t="shared" si="30"/>
        <v>23.297499999999999</v>
      </c>
      <c r="Z81" s="64">
        <f t="shared" si="31"/>
        <v>1.6E-2</v>
      </c>
      <c r="AA81" s="64">
        <f t="shared" si="32"/>
        <v>23.281500000000001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33"/>
        <v>0168-29</v>
      </c>
      <c r="AE81" s="87" t="str">
        <f t="shared" si="34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81" s="84" t="str">
        <f t="shared" si="35"/>
        <v>"C:\Program Files (x86)\AstroGrep\AstroGrep.exe" /spath="%USERPROFILE%\AppData\Local\Temp\OnboardLogs" /stypes="app*4008*20170129*" /stext=" 20:.+((SYSTEM_STATE.+slice.+state.+changed )|(ment ac)|(multiple cpu faults)|(system.+state.+changed )|(\[timeout)|(PRM\|1\|D)|(kpr)|(kdp)|(\|lc)|(penalty))" /e /r /s</v>
      </c>
      <c r="AG81" s="1" t="str">
        <f t="shared" si="36"/>
        <v>EC</v>
      </c>
      <c r="AH81" s="88" t="str">
        <f t="shared" si="37"/>
        <v>"%USERPROFILE%\Documents\GitHub\eaglep3\Utilities\RefineRTDCRunTimes.py" --tripid 168-29 --locoid 4008 --swversion DE.1.0.8.0 --startMP 204:232975 --initTime 2017-01-29T12:45:23 --startdatetime 2017-01-29T12:56:15 --delay 1 --endMP 204:160 --enddatetime 2017-01-29T13:34:21 --enforcementcount 0 &gt;&gt;C:\Users\stu\Documents\GitHub\eaglep3-reporting\EC\2017-01-29-refined-times.txt</v>
      </c>
      <c r="AI81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{"issue":{"subject":"","project_id":79,"tracker_id":40,"status_id":1,"priority_id":2,"assigned_to_id":23,"start_date":"2017-01-29","description":"","custom_fields":[{"id":1,"name":"Subdivision","value":"EC"},{"id":4,"name":"Milepost","value":"0.016"},{"id":17,"name":"Train ID","value":"168-29"},{"id":16,"name":"Locomotive ID","value":"4008"},{"id":130,"name":"Impact","value":""},{"id":150,"name":"Time of Event (Mountain Time)","value":"13:34:21"},{"id":151,"name":"Denver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9"/>
        <v>start /low /b %USERPROFILE%\Documents\GitHub\eaglep3\Utilities\DownloadLogsFromS3.py --loco 4008 --day 2017-01-29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"%USERPROFILE%\AppData\Local\Temp\OnboardLogs"\RTDC4008\*4008*20170129* | grep -SE "(Enforcement Action)|(\[TIMEOUT)|(CHR.+\|PRM\|1\|D.+(SWITCH|SIGNAL).+UNKNOWN)" - &gt;&gt; 2017-01-29-UncaughtWiMAX.txt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561</v>
      </c>
      <c r="B82" s="7">
        <v>4002</v>
      </c>
      <c r="C82" s="22" t="s">
        <v>193</v>
      </c>
      <c r="D82" s="22" t="s">
        <v>293</v>
      </c>
      <c r="E82" s="13">
        <v>42764.506423611114</v>
      </c>
      <c r="F82" s="13">
        <v>42764.510578703703</v>
      </c>
      <c r="G82" s="7">
        <v>1</v>
      </c>
      <c r="H82" s="22" t="s">
        <v>700</v>
      </c>
      <c r="I82" s="13">
        <v>42764.536122685182</v>
      </c>
      <c r="J82" s="7">
        <v>0</v>
      </c>
      <c r="K82" s="105" t="str">
        <f t="shared" si="24"/>
        <v>4001/4002</v>
      </c>
      <c r="L82" s="22" t="str">
        <f>VLOOKUP(A82,'Trips&amp;Operators'!$C$1:$G$99999,5,FALSE)</f>
        <v>ROMERO CHAD</v>
      </c>
      <c r="M82" s="6">
        <f t="shared" si="25"/>
        <v>2.5543981479131617E-2</v>
      </c>
      <c r="N82" s="7">
        <f t="shared" si="40"/>
        <v>36.783333329949528</v>
      </c>
      <c r="O82" s="7"/>
      <c r="P82" s="7"/>
      <c r="Q82" s="23"/>
      <c r="R82" s="23"/>
      <c r="S82" s="32">
        <f t="shared" si="41"/>
        <v>1</v>
      </c>
      <c r="T82" s="47" t="str">
        <f t="shared" si="26"/>
        <v>NorthBound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7"/>
        <v>https://d0f6bd738d7f1b3e5a7ca70fe4ff75f0.us-east-1.aws.found.io/app/kibana#/discover/Steve-Slow-Train-Analysis-(2080s-and-2083s)?_g=(refreshInterval:(display:Off,pause:!f,section:0,value:0),time:(from:'2017-01-29T11:09:15-0700',mode:absolute,to:'2017-01-29T13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2" s="49" t="str">
        <f t="shared" si="28"/>
        <v>N</v>
      </c>
      <c r="X82" s="170">
        <f t="shared" si="29"/>
        <v>1</v>
      </c>
      <c r="Y82" s="64">
        <f t="shared" si="30"/>
        <v>4.53E-2</v>
      </c>
      <c r="Z82" s="64">
        <f t="shared" si="31"/>
        <v>23.337399999999999</v>
      </c>
      <c r="AA82" s="64">
        <f t="shared" si="32"/>
        <v>23.292099999999998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33"/>
        <v>0169-29</v>
      </c>
      <c r="AE82" s="87" t="str">
        <f t="shared" si="34"/>
        <v>aws s3 cp s3://rtdc.mdm.uploadarchive.raw/RTDC4002/ "%USERPROFILE%\AppData\Local\Temp\OnboardLogs"\RTDC4002\2017-01-29 --exclude "*" --recursive --include "*20170129*" &amp; "%USERPROFILE%\Documents\GitHub\mrs-test-scripts\Headless Mode &amp; Sideloading\WalkAndUnGZ.bat" "%USERPROFILE%\AppData\Local\Temp\OnboardLogs"\RTDC4002\2017-01-29 &amp; 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</v>
      </c>
      <c r="AF82" s="84" t="str">
        <f t="shared" si="35"/>
        <v>"C:\Program Files (x86)\AstroGrep\AstroGrep.exe" /spath="%USERPROFILE%\AppData\Local\Temp\OnboardLogs" /stypes="app*4002*20170129*" /stext=" 19:.+((SYSTEM_STATE.+slice.+state.+changed )|(ment ac)|(multiple cpu faults)|(system.+state.+changed )|(\[timeout)|(PRM\|1\|D)|(kpr)|(kdp)|(\|lc)|(penalty))" /e /r /s</v>
      </c>
      <c r="AG82" s="1" t="str">
        <f t="shared" si="36"/>
        <v>EC</v>
      </c>
      <c r="AH82" s="88" t="str">
        <f t="shared" si="37"/>
        <v>"%USERPROFILE%\Documents\GitHub\eaglep3\Utilities\RefineRTDCRunTimes.py" --tripid 169-29 --locoid 4002 --swversion DE.1.0.8.0 --startMP 204:453 --initTime 2017-01-29T12:09:15 --startdatetime 2017-01-29T12:15:14 --delay 1 --endMP 204:233374 --enddatetime 2017-01-29T12:52:01 --enforcementcount 0 &gt;&gt;C:\Users\stu\Documents\GitHub\eaglep3-reporting\EC\2017-01-29-refined-times.txt</v>
      </c>
      <c r="AI82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{"issue":{"subject":"","project_id":79,"tracker_id":40,"status_id":1,"priority_id":2,"assigned_to_id":23,"start_date":"2017-01-29","description":"","custom_fields":[{"id":1,"name":"Subdivision","value":"EC"},{"id":4,"name":"Milepost","value":"23.3374"},{"id":17,"name":"Train ID","value":"169-29"},{"id":16,"name":"Locomotive ID","value":"4002"},{"id":130,"name":"Impact","value":""},{"id":150,"name":"Time of Event (Mountain Time)","value":"12:52:01"},{"id":151,"name":"Denver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9"/>
        <v>start /low /b %USERPROFILE%\Documents\GitHub\eaglep3\Utilities\DownloadLogsFromS3.py --loco 4002 --day 2017-01-29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"%USERPROFILE%\AppData\Local\Temp\OnboardLogs"\RTDC4002\*4002*20170129* | grep -SE "(Enforcement Action)|(\[TIMEOUT)|(CHR.+\|PRM\|1\|D.+(SWITCH|SIGNAL).+UNKNOWN)" - &gt;&gt; 2017-01-29-UncaughtWiMAX.txt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568</v>
      </c>
      <c r="B83" s="7">
        <v>4001</v>
      </c>
      <c r="C83" s="22" t="s">
        <v>193</v>
      </c>
      <c r="D83" s="22" t="s">
        <v>707</v>
      </c>
      <c r="E83" s="13">
        <v>42764.537546296298</v>
      </c>
      <c r="F83" s="13">
        <v>42764.549513888887</v>
      </c>
      <c r="G83" s="7">
        <v>1</v>
      </c>
      <c r="H83" s="22" t="s">
        <v>216</v>
      </c>
      <c r="I83" s="13">
        <v>42764.574849537035</v>
      </c>
      <c r="J83" s="7">
        <v>0</v>
      </c>
      <c r="K83" s="105" t="str">
        <f t="shared" si="24"/>
        <v>4001/4002</v>
      </c>
      <c r="L83" s="22" t="str">
        <f>VLOOKUP(A83,'Trips&amp;Operators'!$C$1:$G$99999,5,FALSE)</f>
        <v>ROMERO CHAD</v>
      </c>
      <c r="M83" s="6">
        <f t="shared" si="25"/>
        <v>2.5335648148029577E-2</v>
      </c>
      <c r="N83" s="7">
        <f t="shared" si="40"/>
        <v>36.483333333162591</v>
      </c>
      <c r="O83" s="7"/>
      <c r="P83" s="7"/>
      <c r="Q83" s="23"/>
      <c r="R83" s="23"/>
      <c r="S83" s="32">
        <f t="shared" si="41"/>
        <v>1</v>
      </c>
      <c r="T83" s="47" t="str">
        <f t="shared" si="26"/>
        <v>Southbound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7"/>
        <v>https://d0f6bd738d7f1b3e5a7ca70fe4ff75f0.us-east-1.aws.found.io/app/kibana#/discover/Steve-Slow-Train-Analysis-(2080s-and-2083s)?_g=(refreshInterval:(display:Off,pause:!f,section:0,value:0),time:(from:'2017-01-29T11:54:04-0700',mode:absolute,to:'2017-01-29T14:47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3" s="49" t="str">
        <f t="shared" si="28"/>
        <v>N</v>
      </c>
      <c r="X83" s="170">
        <f t="shared" si="29"/>
        <v>1</v>
      </c>
      <c r="Y83" s="64">
        <f t="shared" si="30"/>
        <v>23.307400000000001</v>
      </c>
      <c r="Z83" s="64">
        <f t="shared" si="31"/>
        <v>1.5800000000000002E-2</v>
      </c>
      <c r="AA83" s="64">
        <f t="shared" si="32"/>
        <v>23.291600000000003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3"/>
        <v>0170-29</v>
      </c>
      <c r="AE83" s="87" t="str">
        <f t="shared" si="34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83" s="84" t="str">
        <f t="shared" si="35"/>
        <v>"C:\Program Files (x86)\AstroGrep\AstroGrep.exe" /spath="%USERPROFILE%\AppData\Local\Temp\OnboardLogs" /stypes="app*4001*20170129*" /stext=" 20:.+((SYSTEM_STATE.+slice.+state.+changed )|(ment ac)|(multiple cpu faults)|(system.+state.+changed )|(\[timeout)|(PRM\|1\|D)|(kpr)|(kdp)|(\|lc)|(penalty))" /e /r /s</v>
      </c>
      <c r="AG83" s="1" t="str">
        <f t="shared" si="36"/>
        <v>EC</v>
      </c>
      <c r="AH83" s="88" t="str">
        <f t="shared" si="37"/>
        <v>"%USERPROFILE%\Documents\GitHub\eaglep3\Utilities\RefineRTDCRunTimes.py" --tripid 170-29 --locoid 4001 --swversion DE.1.0.8.0 --startMP 204:233074 --initTime 2017-01-29T12:54:04 --startdatetime 2017-01-29T13:11:18 --delay 1 --endMP 204:158 --enddatetime 2017-01-29T13:47:47 --enforcementcount 0 &gt;&gt;C:\Users\stu\Documents\GitHub\eaglep3-reporting\EC\2017-01-29-refined-times.txt</v>
      </c>
      <c r="AI83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{"issue":{"subject":"","project_id":79,"tracker_id":40,"status_id":1,"priority_id":2,"assigned_to_id":23,"start_date":"2017-01-29","description":"","custom_fields":[{"id":1,"name":"Subdivision","value":"EC"},{"id":4,"name":"Milepost","value":"0.0158"},{"id":17,"name":"Train ID","value":"170-29"},{"id":16,"name":"Locomotive ID","value":"4001"},{"id":130,"name":"Impact","value":""},{"id":150,"name":"Time of Event (Mountain Time)","value":"13:47:47"},{"id":151,"name":"Denver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9"/>
        <v>start /low /b %USERPROFILE%\Documents\GitHub\eaglep3\Utilities\DownloadLogsFromS3.py --loco 4001 --day 2017-01-29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"%USERPROFILE%\AppData\Local\Temp\OnboardLogs"\RTDC4001\*4001*20170129* | grep -SE "(Enforcement Action)|(\[TIMEOUT)|(CHR.+\|PRM\|1\|D.+(SWITCH|SIGNAL).+UNKNOWN)" - &gt;&gt; 2017-01-29-UncaughtWiMAX.txt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563</v>
      </c>
      <c r="B84" s="7">
        <v>4038</v>
      </c>
      <c r="C84" s="22" t="s">
        <v>193</v>
      </c>
      <c r="D84" s="22" t="s">
        <v>278</v>
      </c>
      <c r="E84" s="13">
        <v>42764.517858796295</v>
      </c>
      <c r="F84" s="13">
        <v>42764.521006944444</v>
      </c>
      <c r="G84" s="7">
        <v>1</v>
      </c>
      <c r="H84" s="22" t="s">
        <v>708</v>
      </c>
      <c r="I84" s="13">
        <v>42764.545983796299</v>
      </c>
      <c r="J84" s="7">
        <v>0</v>
      </c>
      <c r="K84" s="105" t="str">
        <f t="shared" si="24"/>
        <v>4037/4038</v>
      </c>
      <c r="L84" s="22" t="str">
        <f>VLOOKUP(A84,'Trips&amp;Operators'!$C$1:$G$99999,5,FALSE)</f>
        <v>KILLION DAVID</v>
      </c>
      <c r="M84" s="6">
        <f t="shared" si="25"/>
        <v>2.4976851855171844E-2</v>
      </c>
      <c r="N84" s="7">
        <f t="shared" si="40"/>
        <v>35.966666671447456</v>
      </c>
      <c r="O84" s="7"/>
      <c r="P84" s="7"/>
      <c r="Q84" s="23"/>
      <c r="R84" s="23"/>
      <c r="S84" s="32">
        <f t="shared" si="41"/>
        <v>1</v>
      </c>
      <c r="T84" s="47" t="str">
        <f t="shared" si="26"/>
        <v>NorthBound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7"/>
        <v>https://d0f6bd738d7f1b3e5a7ca70fe4ff75f0.us-east-1.aws.found.io/app/kibana#/discover/Steve-Slow-Train-Analysis-(2080s-and-2083s)?_g=(refreshInterval:(display:Off,pause:!f,section:0,value:0),time:(from:'2017-01-29T11:25:43-0700',mode:absolute,to:'2017-01-29T14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4" s="49" t="str">
        <f t="shared" si="28"/>
        <v>N</v>
      </c>
      <c r="X84" s="170">
        <f t="shared" si="29"/>
        <v>1</v>
      </c>
      <c r="Y84" s="64">
        <f t="shared" si="30"/>
        <v>4.6399999999999997E-2</v>
      </c>
      <c r="Z84" s="64">
        <f t="shared" si="31"/>
        <v>23.328199999999999</v>
      </c>
      <c r="AA84" s="64">
        <f t="shared" si="32"/>
        <v>23.2818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33"/>
        <v>0171-29</v>
      </c>
      <c r="AE84" s="87" t="str">
        <f t="shared" si="34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84" s="84" t="str">
        <f t="shared" si="35"/>
        <v>"C:\Program Files (x86)\AstroGrep\AstroGrep.exe" /spath="%USERPROFILE%\AppData\Local\Temp\OnboardLogs" /stypes="app*4038*20170129*" /stext=" 20:.+((SYSTEM_STATE.+slice.+state.+changed )|(ment ac)|(multiple cpu faults)|(system.+state.+changed )|(\[timeout)|(PRM\|1\|D)|(kpr)|(kdp)|(\|lc)|(penalty))" /e /r /s</v>
      </c>
      <c r="AG84" s="1" t="str">
        <f t="shared" si="36"/>
        <v>EC</v>
      </c>
      <c r="AH84" s="88" t="str">
        <f t="shared" si="37"/>
        <v>"%USERPROFILE%\Documents\GitHub\eaglep3\Utilities\RefineRTDCRunTimes.py" --tripid 171-29 --locoid 4038 --swversion DE.1.0.8.0 --startMP 204:464 --initTime 2017-01-29T12:25:43 --startdatetime 2017-01-29T12:30:15 --delay 1 --endMP 204:233282 --enddatetime 2017-01-29T13:06:13 --enforcementcount 0 &gt;&gt;C:\Users\stu\Documents\GitHub\eaglep3-reporting\EC\2017-01-29-refined-times.txt</v>
      </c>
      <c r="AI84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{"issue":{"subject":"","project_id":79,"tracker_id":40,"status_id":1,"priority_id":2,"assigned_to_id":23,"start_date":"2017-01-29","description":"","custom_fields":[{"id":1,"name":"Subdivision","value":"EC"},{"id":4,"name":"Milepost","value":"23.3282"},{"id":17,"name":"Train ID","value":"171-29"},{"id":16,"name":"Locomotive ID","value":"4038"},{"id":130,"name":"Impact","value":""},{"id":150,"name":"Time of Event (Mountain Time)","value":"13:06:13"},{"id":151,"name":"Denver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9"/>
        <v>start /low /b %USERPROFILE%\Documents\GitHub\eaglep3\Utilities\DownloadLogsFromS3.py --loco 4038 --day 2017-01-29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"%USERPROFILE%\AppData\Local\Temp\OnboardLogs"\RTDC4038\*4038*20170129* | grep -SE "(Enforcement Action)|(\[TIMEOUT)|(CHR.+\|PRM\|1\|D.+(SWITCH|SIGNAL).+UNKNOWN)" - &gt;&gt; 2017-01-29-UncaughtWiMAX.txt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465</v>
      </c>
      <c r="B85" s="7">
        <v>4037</v>
      </c>
      <c r="C85" s="22" t="s">
        <v>193</v>
      </c>
      <c r="D85" s="22" t="s">
        <v>378</v>
      </c>
      <c r="E85" s="13">
        <v>42764.55091435185</v>
      </c>
      <c r="F85" s="13">
        <v>42764.560115740744</v>
      </c>
      <c r="G85" s="7">
        <v>1</v>
      </c>
      <c r="H85" s="22" t="s">
        <v>230</v>
      </c>
      <c r="I85" s="13">
        <v>42764.586944444447</v>
      </c>
      <c r="J85" s="7">
        <v>0</v>
      </c>
      <c r="K85" s="105" t="str">
        <f t="shared" si="24"/>
        <v>4037/4038</v>
      </c>
      <c r="L85" s="22" t="str">
        <f>VLOOKUP(A85,'Trips&amp;Operators'!$C$1:$G$99999,5,FALSE)</f>
        <v>KILLION DAVID</v>
      </c>
      <c r="M85" s="6">
        <f t="shared" si="25"/>
        <v>2.6828703703358769E-2</v>
      </c>
      <c r="N85" s="7">
        <f t="shared" si="40"/>
        <v>38.633333332836628</v>
      </c>
      <c r="O85" s="7"/>
      <c r="P85" s="7"/>
      <c r="Q85" s="23"/>
      <c r="R85" s="23"/>
      <c r="S85" s="32">
        <f t="shared" si="41"/>
        <v>1</v>
      </c>
      <c r="T85" s="47" t="str">
        <f t="shared" si="26"/>
        <v>Southbound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7"/>
        <v>https://d0f6bd738d7f1b3e5a7ca70fe4ff75f0.us-east-1.aws.found.io/app/kibana#/discover/Steve-Slow-Train-Analysis-(2080s-and-2083s)?_g=(refreshInterval:(display:Off,pause:!f,section:0,value:0),time:(from:'2017-01-29T12:13:19-0700',mode:absolute,to:'2017-01-29T15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5" s="49" t="str">
        <f t="shared" si="28"/>
        <v>N</v>
      </c>
      <c r="X85" s="170">
        <f t="shared" si="29"/>
        <v>1</v>
      </c>
      <c r="Y85" s="64">
        <f t="shared" si="30"/>
        <v>23.296900000000001</v>
      </c>
      <c r="Z85" s="64">
        <f t="shared" si="31"/>
        <v>1.54E-2</v>
      </c>
      <c r="AA85" s="64">
        <f t="shared" si="32"/>
        <v>23.281500000000001</v>
      </c>
      <c r="AB85" s="61" t="str">
        <f>VLOOKUP(A85,Enforcements!$C$7:$K$16,8,0)</f>
        <v>Form based authority (4)</v>
      </c>
      <c r="AC85" s="57" t="str">
        <f>VLOOKUP(A85,Enforcements!$C$7:$E$16,3,0)</f>
        <v>TRACK WARRANT AUTHORITY</v>
      </c>
      <c r="AD85" s="58" t="str">
        <f t="shared" si="33"/>
        <v>0172-29</v>
      </c>
      <c r="AE85" s="87" t="str">
        <f t="shared" si="34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85" s="84" t="str">
        <f t="shared" si="35"/>
        <v>"C:\Program Files (x86)\AstroGrep\AstroGrep.exe" /spath="%USERPROFILE%\AppData\Local\Temp\OnboardLogs" /stypes="app*4037*20170129*" /stext=" 21:.+((SYSTEM_STATE.+slice.+state.+changed )|(ment ac)|(multiple cpu faults)|(system.+state.+changed )|(\[timeout)|(PRM\|1\|D)|(kpr)|(kdp)|(\|lc)|(penalty))" /e /r /s</v>
      </c>
      <c r="AG85" s="1" t="str">
        <f t="shared" si="36"/>
        <v>EC</v>
      </c>
      <c r="AH85" s="88" t="str">
        <f t="shared" si="37"/>
        <v>"%USERPROFILE%\Documents\GitHub\eaglep3\Utilities\RefineRTDCRunTimes.py" --tripid 172-29 --locoid 4037 --swversion DE.1.0.8.0 --startMP 204:232969 --initTime 2017-01-29T13:13:19 --startdatetime 2017-01-29T13:26:34 --delay 1 --endMP 204:154 --enddatetime 2017-01-29T14:05:12 --enforcementcount 0 &gt;&gt;C:\Users\stu\Documents\GitHub\eaglep3-reporting\EC\2017-01-29-refined-times.txt</v>
      </c>
      <c r="AI85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{"issue":{"subject":"","project_id":79,"tracker_id":40,"status_id":1,"priority_id":2,"assigned_to_id":23,"start_date":"2017-01-29","description":"","custom_fields":[{"id":1,"name":"Subdivision","value":"EC"},{"id":4,"name":"Milepost","value":"0.0154"},{"id":17,"name":"Train ID","value":"172-29"},{"id":16,"name":"Locomotive ID","value":"4037"},{"id":130,"name":"Impact","value":""},{"id":150,"name":"Time of Event (Mountain Time)","value":"14:05:12"},{"id":151,"name":"Denver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9"/>
        <v>start /low /b %USERPROFILE%\Documents\GitHub\eaglep3\Utilities\DownloadLogsFromS3.py --loco 4037 --day 2017-01-29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"%USERPROFILE%\AppData\Local\Temp\OnboardLogs"\RTDC4037\*4037*20170129* | grep -SE "(Enforcement Action)|(\[TIMEOUT)|(CHR.+\|PRM\|1\|D.+(SWITCH|SIGNAL).+UNKNOWN)" - &gt;&gt; 2017-01-29-UncaughtWiMAX.txt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565</v>
      </c>
      <c r="B86" s="7">
        <v>4020</v>
      </c>
      <c r="C86" s="22" t="s">
        <v>193</v>
      </c>
      <c r="D86" s="22" t="s">
        <v>249</v>
      </c>
      <c r="E86" s="13">
        <v>42764.528761574074</v>
      </c>
      <c r="F86" s="13">
        <v>42764.531481481485</v>
      </c>
      <c r="G86" s="7">
        <v>2</v>
      </c>
      <c r="H86" s="22" t="s">
        <v>330</v>
      </c>
      <c r="I86" s="13">
        <v>42764.557280092595</v>
      </c>
      <c r="J86" s="7">
        <v>0</v>
      </c>
      <c r="K86" s="105" t="str">
        <f t="shared" si="24"/>
        <v>4019/4020</v>
      </c>
      <c r="L86" s="22" t="str">
        <f>VLOOKUP(A86,'Trips&amp;Operators'!$C$1:$G$99999,5,FALSE)</f>
        <v>STEWART MICHAEL</v>
      </c>
      <c r="M86" s="6">
        <f t="shared" si="25"/>
        <v>2.5798611110076308E-2</v>
      </c>
      <c r="N86" s="7">
        <f t="shared" si="40"/>
        <v>37.149999998509884</v>
      </c>
      <c r="O86" s="7"/>
      <c r="P86" s="7"/>
      <c r="Q86" s="23"/>
      <c r="R86" s="23"/>
      <c r="S86" s="32">
        <f t="shared" si="41"/>
        <v>1</v>
      </c>
      <c r="T86" s="47" t="str">
        <f t="shared" si="26"/>
        <v>NorthBound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7"/>
        <v>https://d0f6bd738d7f1b3e5a7ca70fe4ff75f0.us-east-1.aws.found.io/app/kibana#/discover/Steve-Slow-Train-Analysis-(2080s-and-2083s)?_g=(refreshInterval:(display:Off,pause:!f,section:0,value:0),time:(from:'2017-01-29T11:41:25-0700',mode:absolute,to:'2017-01-29T14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6" s="49" t="str">
        <f t="shared" si="28"/>
        <v>N</v>
      </c>
      <c r="X86" s="170">
        <f t="shared" si="29"/>
        <v>1</v>
      </c>
      <c r="Y86" s="64">
        <f t="shared" si="30"/>
        <v>4.5699999999999998E-2</v>
      </c>
      <c r="Z86" s="64">
        <f t="shared" si="31"/>
        <v>23.330200000000001</v>
      </c>
      <c r="AA86" s="64">
        <f t="shared" si="32"/>
        <v>23.284500000000001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3"/>
        <v>0173-29</v>
      </c>
      <c r="AE86" s="87" t="str">
        <f t="shared" si="34"/>
        <v>aws s3 cp s3://rtdc.mdm.uploadarchive.raw/RTDC4020/ "%USERPROFILE%\AppData\Local\Temp\OnboardLogs"\RTDC4020\2017-01-29 --exclude "*" --recursive --include "*20170129*" &amp; "%USERPROFILE%\Documents\GitHub\mrs-test-scripts\Headless Mode &amp; Sideloading\WalkAndUnGZ.bat" "%USERPROFILE%\AppData\Local\Temp\OnboardLogs"\RTDC4020\2017-01-29 &amp; 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</v>
      </c>
      <c r="AF86" s="84" t="str">
        <f t="shared" si="35"/>
        <v>"C:\Program Files (x86)\AstroGrep\AstroGrep.exe" /spath="%USERPROFILE%\AppData\Local\Temp\OnboardLogs" /stypes="app*4020*20170129*" /stext=" 20:.+((SYSTEM_STATE.+slice.+state.+changed )|(ment ac)|(multiple cpu faults)|(system.+state.+changed )|(\[timeout)|(PRM\|1\|D)|(kpr)|(kdp)|(\|lc)|(penalty))" /e /r /s</v>
      </c>
      <c r="AG86" s="1" t="str">
        <f t="shared" si="36"/>
        <v>EC</v>
      </c>
      <c r="AH86" s="88" t="str">
        <f t="shared" si="37"/>
        <v>"%USERPROFILE%\Documents\GitHub\eaglep3\Utilities\RefineRTDCRunTimes.py" --tripid 173-29 --locoid 4020 --swversion DE.1.0.8.0 --startMP 204:457 --initTime 2017-01-29T12:41:25 --startdatetime 2017-01-29T12:45:20 --delay 2 --endMP 204:233302 --enddatetime 2017-01-29T13:22:29 --enforcementcount 0 &gt;&gt;C:\Users\stu\Documents\GitHub\eaglep3-reporting\EC\2017-01-29-refined-times.txt</v>
      </c>
      <c r="AI86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{"issue":{"subject":"","project_id":79,"tracker_id":40,"status_id":1,"priority_id":2,"assigned_to_id":23,"start_date":"2017-01-29","description":"","custom_fields":[{"id":1,"name":"Subdivision","value":"EC"},{"id":4,"name":"Milepost","value":"23.3302"},{"id":17,"name":"Train ID","value":"173-29"},{"id":16,"name":"Locomotive ID","value":"4020"},{"id":130,"name":"Impact","value":""},{"id":150,"name":"Time of Event (Mountain Time)","value":"13:22:29"},{"id":151,"name":"Denver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9"/>
        <v>start /low /b %USERPROFILE%\Documents\GitHub\eaglep3\Utilities\DownloadLogsFromS3.py --loco 4020 --day 2017-01-29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"%USERPROFILE%\AppData\Local\Temp\OnboardLogs"\RTDC4020\*4020*20170129* | grep -SE "(Enforcement Action)|(\[TIMEOUT)|(CHR.+\|PRM\|1\|D.+(SWITCH|SIGNAL).+UNKNOWN)" - &gt;&gt; 2017-01-29-UncaughtWiMAX.txt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4" t="s">
        <v>467</v>
      </c>
      <c r="B87" s="7">
        <v>4019</v>
      </c>
      <c r="C87" s="22" t="s">
        <v>193</v>
      </c>
      <c r="D87" s="22" t="s">
        <v>709</v>
      </c>
      <c r="E87" s="13">
        <v>42764.567708333336</v>
      </c>
      <c r="F87" s="13">
        <v>42764.570567129631</v>
      </c>
      <c r="G87" s="7">
        <v>1</v>
      </c>
      <c r="H87" s="22" t="s">
        <v>450</v>
      </c>
      <c r="I87" s="13">
        <v>42764.597037037034</v>
      </c>
      <c r="J87" s="7">
        <v>0</v>
      </c>
      <c r="K87" s="105" t="str">
        <f t="shared" si="24"/>
        <v>4019/4020</v>
      </c>
      <c r="L87" s="22" t="str">
        <f>VLOOKUP(A87,'Trips&amp;Operators'!$C$1:$G$99999,5,FALSE)</f>
        <v>STEWART MICHAEL</v>
      </c>
      <c r="M87" s="6">
        <f t="shared" si="25"/>
        <v>2.6469907403225079E-2</v>
      </c>
      <c r="N87" s="7">
        <f t="shared" si="40"/>
        <v>38.116666660644114</v>
      </c>
      <c r="O87" s="7"/>
      <c r="P87" s="7"/>
      <c r="Q87" s="23"/>
      <c r="R87" s="23"/>
      <c r="S87" s="32">
        <f t="shared" si="41"/>
        <v>1</v>
      </c>
      <c r="T87" s="47" t="str">
        <f t="shared" si="26"/>
        <v>Southbound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7"/>
        <v>https://d0f6bd738d7f1b3e5a7ca70fe4ff75f0.us-east-1.aws.found.io/app/kibana#/discover/Steve-Slow-Train-Analysis-(2080s-and-2083s)?_g=(refreshInterval:(display:Off,pause:!f,section:0,value:0),time:(from:'2017-01-29T12:37:30-0700',mode:absolute,to:'2017-01-29T15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49" t="str">
        <f t="shared" si="28"/>
        <v>N</v>
      </c>
      <c r="X87" s="170">
        <f t="shared" si="29"/>
        <v>1</v>
      </c>
      <c r="Y87" s="64">
        <f t="shared" si="30"/>
        <v>23.2987</v>
      </c>
      <c r="Z87" s="64">
        <f t="shared" si="31"/>
        <v>1.9099999999999999E-2</v>
      </c>
      <c r="AA87" s="64">
        <f t="shared" si="32"/>
        <v>23.279599999999999</v>
      </c>
      <c r="AB87" s="61" t="str">
        <f>VLOOKUP(A87,Enforcements!$C$7:$K$16,8,0)</f>
        <v>Form based authority (4)</v>
      </c>
      <c r="AC87" s="57" t="str">
        <f>VLOOKUP(A87,Enforcements!$C$7:$E$16,3,0)</f>
        <v>TRACK WARRANT AUTHORITY</v>
      </c>
      <c r="AD87" s="58" t="str">
        <f t="shared" si="33"/>
        <v>0174-29</v>
      </c>
      <c r="AE87" s="87" t="str">
        <f t="shared" si="34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87" s="84" t="str">
        <f t="shared" si="35"/>
        <v>"C:\Program Files (x86)\AstroGrep\AstroGrep.exe" /spath="%USERPROFILE%\AppData\Local\Temp\OnboardLogs" /stypes="app*4019*20170129*" /stext=" 21:.+((SYSTEM_STATE.+slice.+state.+changed )|(ment ac)|(multiple cpu faults)|(system.+state.+changed )|(\[timeout)|(PRM\|1\|D)|(kpr)|(kdp)|(\|lc)|(penalty))" /e /r /s</v>
      </c>
      <c r="AG87" s="1" t="str">
        <f t="shared" si="36"/>
        <v>EC</v>
      </c>
      <c r="AH87" s="88" t="str">
        <f t="shared" si="37"/>
        <v>"%USERPROFILE%\Documents\GitHub\eaglep3\Utilities\RefineRTDCRunTimes.py" --tripid 174-29 --locoid 4019 --swversion DE.1.0.8.0 --startMP 204:232987 --initTime 2017-01-29T13:37:30 --startdatetime 2017-01-29T13:41:37 --delay 1 --endMP 204:191 --enddatetime 2017-01-29T14:19:44 --enforcementcount 0 &gt;&gt;C:\Users\stu\Documents\GitHub\eaglep3-reporting\EC\2017-01-29-refined-times.txt</v>
      </c>
      <c r="AI87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{"issue":{"subject":"","project_id":79,"tracker_id":40,"status_id":1,"priority_id":2,"assigned_to_id":23,"start_date":"2017-01-29","description":"","custom_fields":[{"id":1,"name":"Subdivision","value":"EC"},{"id":4,"name":"Milepost","value":"0.0191"},{"id":17,"name":"Train ID","value":"174-29"},{"id":16,"name":"Locomotive ID","value":"4019"},{"id":130,"name":"Impact","value":""},{"id":150,"name":"Time of Event (Mountain Time)","value":"14:19:44"},{"id":151,"name":"Denver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9"/>
        <v>start /low /b %USERPROFILE%\Documents\GitHub\eaglep3\Utilities\DownloadLogsFromS3.py --loco 4019 --day 2017-01-29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"%USERPROFILE%\AppData\Local\Temp\OnboardLogs"\RTDC4019\*4019*20170129* | grep -SE "(Enforcement Action)|(\[TIMEOUT)|(CHR.+\|PRM\|1\|D.+(SWITCH|SIGNAL).+UNKNOWN)" - &gt;&gt; 2017-01-29-UncaughtWiMAX.txt</v>
      </c>
    </row>
    <row r="88" spans="1:91" x14ac:dyDescent="0.25">
      <c r="A88" s="34" t="s">
        <v>567</v>
      </c>
      <c r="B88" s="7">
        <v>4025</v>
      </c>
      <c r="C88" s="22" t="s">
        <v>193</v>
      </c>
      <c r="D88" s="22" t="s">
        <v>293</v>
      </c>
      <c r="E88" s="13">
        <v>42764.536990740744</v>
      </c>
      <c r="F88" s="13">
        <v>42764.541921296295</v>
      </c>
      <c r="G88" s="7">
        <v>1</v>
      </c>
      <c r="H88" s="22" t="s">
        <v>710</v>
      </c>
      <c r="I88" s="13">
        <v>42764.56821759259</v>
      </c>
      <c r="J88" s="7">
        <v>0</v>
      </c>
      <c r="K88" s="105" t="str">
        <f t="shared" si="24"/>
        <v>4025/4026</v>
      </c>
      <c r="L88" s="22" t="str">
        <f>VLOOKUP(A88,'Trips&amp;Operators'!$C$1:$G$99999,5,FALSE)</f>
        <v>DAVIS MICHAEL</v>
      </c>
      <c r="M88" s="6">
        <f t="shared" si="25"/>
        <v>2.6296296295186039E-2</v>
      </c>
      <c r="N88" s="7">
        <f t="shared" si="40"/>
        <v>37.866666665067896</v>
      </c>
      <c r="O88" s="7"/>
      <c r="P88" s="7"/>
      <c r="Q88" s="23"/>
      <c r="R88" s="23"/>
      <c r="S88" s="32">
        <f t="shared" si="41"/>
        <v>1</v>
      </c>
      <c r="T88" s="47" t="str">
        <f t="shared" si="26"/>
        <v>NorthBound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7"/>
        <v>https://d0f6bd738d7f1b3e5a7ca70fe4ff75f0.us-east-1.aws.found.io/app/kibana#/discover/Steve-Slow-Train-Analysis-(2080s-and-2083s)?_g=(refreshInterval:(display:Off,pause:!f,section:0,value:0),time:(from:'2017-01-29T11:53:16-0700',mode:absolute,to:'2017-01-29T14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49" t="str">
        <f t="shared" si="28"/>
        <v>N</v>
      </c>
      <c r="X88" s="170">
        <f t="shared" si="29"/>
        <v>1</v>
      </c>
      <c r="Y88" s="64">
        <f t="shared" si="30"/>
        <v>4.53E-2</v>
      </c>
      <c r="Z88" s="64">
        <f t="shared" si="31"/>
        <v>23.331800000000001</v>
      </c>
      <c r="AA88" s="64">
        <f t="shared" si="32"/>
        <v>23.2865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3"/>
        <v>0175-29</v>
      </c>
      <c r="AE88" s="87" t="str">
        <f t="shared" si="34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88" s="84" t="str">
        <f t="shared" si="35"/>
        <v>"C:\Program Files (x86)\AstroGrep\AstroGrep.exe" /spath="%USERPROFILE%\AppData\Local\Temp\OnboardLogs" /stypes="app*4025*20170129*" /stext=" 20:.+((SYSTEM_STATE.+slice.+state.+changed )|(ment ac)|(multiple cpu faults)|(system.+state.+changed )|(\[timeout)|(PRM\|1\|D)|(kpr)|(kdp)|(\|lc)|(penalty))" /e /r /s</v>
      </c>
      <c r="AG88" s="1" t="str">
        <f t="shared" si="36"/>
        <v>EC</v>
      </c>
      <c r="AH88" s="88" t="str">
        <f t="shared" si="37"/>
        <v>"%USERPROFILE%\Documents\GitHub\eaglep3\Utilities\RefineRTDCRunTimes.py" --tripid 175-29 --locoid 4025 --swversion DE.1.0.8.0 --startMP 204:453 --initTime 2017-01-29T12:53:16 --startdatetime 2017-01-29T13:00:22 --delay 1 --endMP 204:233318 --enddatetime 2017-01-29T13:38:14 --enforcementcount 0 &gt;&gt;C:\Users\stu\Documents\GitHub\eaglep3-reporting\EC\2017-01-29-refined-times.txt</v>
      </c>
      <c r="AI88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{"issue":{"subject":"","project_id":79,"tracker_id":40,"status_id":1,"priority_id":2,"assigned_to_id":23,"start_date":"2017-01-29","description":"","custom_fields":[{"id":1,"name":"Subdivision","value":"EC"},{"id":4,"name":"Milepost","value":"23.3318"},{"id":17,"name":"Train ID","value":"175-29"},{"id":16,"name":"Locomotive ID","value":"4025"},{"id":130,"name":"Impact","value":""},{"id":150,"name":"Time of Event (Mountain Time)","value":"13:38:14"},{"id":151,"name":"Denver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9"/>
        <v>start /low /b %USERPROFILE%\Documents\GitHub\eaglep3\Utilities\DownloadLogsFromS3.py --loco 4025 --day 2017-01-29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"%USERPROFILE%\AppData\Local\Temp\OnboardLogs"\RTDC4025\*4025*20170129* | grep -SE "(Enforcement Action)|(\[TIMEOUT)|(CHR.+\|PRM\|1\|D.+(SWITCH|SIGNAL).+UNKNOWN)" - &gt;&gt; 2017-01-29-UncaughtWiMAX.txt</v>
      </c>
    </row>
    <row r="89" spans="1:91" s="21" customFormat="1" x14ac:dyDescent="0.25">
      <c r="A89" s="34" t="s">
        <v>575</v>
      </c>
      <c r="B89" s="7">
        <v>4026</v>
      </c>
      <c r="C89" s="22" t="s">
        <v>193</v>
      </c>
      <c r="D89" s="22" t="s">
        <v>421</v>
      </c>
      <c r="E89" s="13">
        <v>42764.577627314815</v>
      </c>
      <c r="F89" s="13">
        <v>42764.580833333333</v>
      </c>
      <c r="G89" s="7">
        <v>1</v>
      </c>
      <c r="H89" s="22" t="s">
        <v>197</v>
      </c>
      <c r="I89" s="13">
        <v>42764.612083333333</v>
      </c>
      <c r="J89" s="7">
        <v>0</v>
      </c>
      <c r="K89" s="105" t="str">
        <f t="shared" si="24"/>
        <v>4025/4026</v>
      </c>
      <c r="L89" s="22" t="str">
        <f>VLOOKUP(A89,'Trips&amp;Operators'!$C$1:$G$99999,5,FALSE)</f>
        <v>DAVIS MICHAEL</v>
      </c>
      <c r="M89" s="6">
        <f t="shared" si="25"/>
        <v>3.125E-2</v>
      </c>
      <c r="N89" s="7">
        <f t="shared" si="40"/>
        <v>45</v>
      </c>
      <c r="O89" s="7"/>
      <c r="P89" s="7"/>
      <c r="Q89" s="23"/>
      <c r="R89" s="23"/>
      <c r="S89" s="32">
        <f t="shared" si="41"/>
        <v>1</v>
      </c>
      <c r="T89" s="47" t="str">
        <f t="shared" si="26"/>
        <v>Southbound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7"/>
        <v>https://d0f6bd738d7f1b3e5a7ca70fe4ff75f0.us-east-1.aws.found.io/app/kibana#/discover/Steve-Slow-Train-Analysis-(2080s-and-2083s)?_g=(refreshInterval:(display:Off,pause:!f,section:0,value:0),time:(from:'2017-01-29T12:51:47-0700',mode:absolute,to:'2017-01-29T15:41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9" s="49" t="str">
        <f t="shared" si="28"/>
        <v>N</v>
      </c>
      <c r="X89" s="170">
        <f t="shared" si="29"/>
        <v>1</v>
      </c>
      <c r="Y89" s="64">
        <f t="shared" si="30"/>
        <v>23.297799999999999</v>
      </c>
      <c r="Z89" s="64">
        <f t="shared" si="31"/>
        <v>1.4999999999999999E-2</v>
      </c>
      <c r="AA89" s="64">
        <f t="shared" si="32"/>
        <v>23.282799999999998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3"/>
        <v>0176-29</v>
      </c>
      <c r="AE89" s="87" t="str">
        <f t="shared" si="34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89" s="84" t="str">
        <f t="shared" si="35"/>
        <v>"C:\Program Files (x86)\AstroGrep\AstroGrep.exe" /spath="%USERPROFILE%\AppData\Local\Temp\OnboardLogs" /stypes="app*4026*20170129*" /stext=" 21:.+((SYSTEM_STATE.+slice.+state.+changed )|(ment ac)|(multiple cpu faults)|(system.+state.+changed )|(\[timeout)|(PRM\|1\|D)|(kpr)|(kdp)|(\|lc)|(penalty))" /e /r /s</v>
      </c>
      <c r="AG89" s="1" t="str">
        <f t="shared" si="36"/>
        <v>EC</v>
      </c>
      <c r="AH89" s="88" t="str">
        <f t="shared" si="37"/>
        <v>"%USERPROFILE%\Documents\GitHub\eaglep3\Utilities\RefineRTDCRunTimes.py" --tripid 176-29 --locoid 4026 --swversion DE.1.0.8.0 --startMP 204:232978 --initTime 2017-01-29T13:51:47 --startdatetime 2017-01-29T13:56:24 --delay 1 --endMP 204:150 --enddatetime 2017-01-29T14:41:24 --enforcementcount 0 &gt;&gt;C:\Users\stu\Documents\GitHub\eaglep3-reporting\EC\2017-01-29-refined-times.txt</v>
      </c>
      <c r="AI89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{"issue":{"subject":"","project_id":79,"tracker_id":40,"status_id":1,"priority_id":2,"assigned_to_id":23,"start_date":"2017-01-29","description":"","custom_fields":[{"id":1,"name":"Subdivision","value":"EC"},{"id":4,"name":"Milepost","value":"0.015"},{"id":17,"name":"Train ID","value":"176-29"},{"id":16,"name":"Locomotive ID","value":"4026"},{"id":130,"name":"Impact","value":""},{"id":150,"name":"Time of Event (Mountain Time)","value":"14:41:24"},{"id":151,"name":"Denver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9"/>
        <v>start /low /b %USERPROFILE%\Documents\GitHub\eaglep3\Utilities\DownloadLogsFromS3.py --loco 4026 --day 2017-01-29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"%USERPROFILE%\AppData\Local\Temp\OnboardLogs"\RTDC4026\*4026*20170129* | grep -SE "(Enforcement Action)|(\[TIMEOUT)|(CHR.+\|PRM\|1\|D.+(SWITCH|SIGNAL).+UNKNOWN)" - &gt;&gt; 2017-01-29-UncaughtWiMAX.txt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570</v>
      </c>
      <c r="B90" s="7">
        <v>4011</v>
      </c>
      <c r="C90" s="22" t="s">
        <v>193</v>
      </c>
      <c r="D90" s="22" t="s">
        <v>431</v>
      </c>
      <c r="E90" s="13">
        <v>42764.549363425926</v>
      </c>
      <c r="F90" s="13">
        <v>42764.552291666667</v>
      </c>
      <c r="G90" s="7">
        <v>1</v>
      </c>
      <c r="H90" s="22" t="s">
        <v>670</v>
      </c>
      <c r="I90" s="13">
        <v>42764.577719907407</v>
      </c>
      <c r="J90" s="7">
        <v>0</v>
      </c>
      <c r="K90" s="105" t="str">
        <f t="shared" si="24"/>
        <v>4011/4012</v>
      </c>
      <c r="L90" s="22" t="str">
        <f>VLOOKUP(A90,'Trips&amp;Operators'!$C$1:$G$99999,5,FALSE)</f>
        <v>LEVIN SCOTT</v>
      </c>
      <c r="M90" s="6">
        <f t="shared" si="25"/>
        <v>2.5428240740438923E-2</v>
      </c>
      <c r="N90" s="7">
        <f t="shared" si="40"/>
        <v>36.616666666232049</v>
      </c>
      <c r="O90" s="7"/>
      <c r="P90" s="7"/>
      <c r="Q90" s="23"/>
      <c r="R90" s="23"/>
      <c r="S90" s="32">
        <f t="shared" si="41"/>
        <v>1</v>
      </c>
      <c r="T90" s="47" t="str">
        <f t="shared" si="26"/>
        <v>NorthBound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7"/>
        <v>https://d0f6bd738d7f1b3e5a7ca70fe4ff75f0.us-east-1.aws.found.io/app/kibana#/discover/Steve-Slow-Train-Analysis-(2080s-and-2083s)?_g=(refreshInterval:(display:Off,pause:!f,section:0,value:0),time:(from:'2017-01-29T12:11:05-0700',mode:absolute,to:'2017-01-29T14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49" t="str">
        <f t="shared" si="28"/>
        <v>N</v>
      </c>
      <c r="X90" s="170">
        <f t="shared" si="29"/>
        <v>1</v>
      </c>
      <c r="Y90" s="64">
        <f t="shared" si="30"/>
        <v>4.2200000000000001E-2</v>
      </c>
      <c r="Z90" s="64">
        <f t="shared" si="31"/>
        <v>23.333400000000001</v>
      </c>
      <c r="AA90" s="64">
        <f t="shared" si="32"/>
        <v>23.2912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3"/>
        <v>0177-29</v>
      </c>
      <c r="AE90" s="87" t="str">
        <f t="shared" si="34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90" s="84" t="str">
        <f t="shared" si="35"/>
        <v>"C:\Program Files (x86)\AstroGrep\AstroGrep.exe" /spath="%USERPROFILE%\AppData\Local\Temp\OnboardLogs" /stypes="app*4011*20170129*" /stext=" 20:.+((SYSTEM_STATE.+slice.+state.+changed )|(ment ac)|(multiple cpu faults)|(system.+state.+changed )|(\[timeout)|(PRM\|1\|D)|(kpr)|(kdp)|(\|lc)|(penalty))" /e /r /s</v>
      </c>
      <c r="AG90" s="1" t="str">
        <f t="shared" si="36"/>
        <v>EC</v>
      </c>
      <c r="AH90" s="88" t="str">
        <f t="shared" si="37"/>
        <v>"%USERPROFILE%\Documents\GitHub\eaglep3\Utilities\RefineRTDCRunTimes.py" --tripid 177-29 --locoid 4011 --swversion DE.1.0.8.0 --startMP 204:422 --initTime 2017-01-29T13:11:05 --startdatetime 2017-01-29T13:15:18 --delay 1 --endMP 204:233334 --enddatetime 2017-01-29T13:51:55 --enforcementcount 0 &gt;&gt;C:\Users\stu\Documents\GitHub\eaglep3-reporting\EC\2017-01-29-refined-times.txt</v>
      </c>
      <c r="AI90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{"issue":{"subject":"","project_id":79,"tracker_id":40,"status_id":1,"priority_id":2,"assigned_to_id":23,"start_date":"2017-01-29","description":"","custom_fields":[{"id":1,"name":"Subdivision","value":"EC"},{"id":4,"name":"Milepost","value":"23.3334"},{"id":17,"name":"Train ID","value":"177-29"},{"id":16,"name":"Locomotive ID","value":"4011"},{"id":130,"name":"Impact","value":""},{"id":150,"name":"Time of Event (Mountain Time)","value":"13:51:55"},{"id":151,"name":"Denver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9"/>
        <v>start /low /b %USERPROFILE%\Documents\GitHub\eaglep3\Utilities\DownloadLogsFromS3.py --loco 4011 --day 2017-01-29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"%USERPROFILE%\AppData\Local\Temp\OnboardLogs"\RTDC4011\*4011*20170129* | grep -SE "(Enforcement Action)|(\[TIMEOUT)|(CHR.+\|PRM\|1\|D.+(SWITCH|SIGNAL).+UNKNOWN)" - &gt;&gt; 2017-01-29-UncaughtWiMAX.txt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576</v>
      </c>
      <c r="B91" s="7">
        <v>4012</v>
      </c>
      <c r="C91" s="22" t="s">
        <v>193</v>
      </c>
      <c r="D91" s="22" t="s">
        <v>711</v>
      </c>
      <c r="E91" s="13">
        <v>42764.585821759261</v>
      </c>
      <c r="F91" s="13">
        <v>42764.591400462959</v>
      </c>
      <c r="G91" s="7">
        <v>2</v>
      </c>
      <c r="H91" s="22" t="s">
        <v>416</v>
      </c>
      <c r="I91" s="13">
        <v>42764.617835648147</v>
      </c>
      <c r="J91" s="7">
        <v>0</v>
      </c>
      <c r="K91" s="105" t="str">
        <f t="shared" si="24"/>
        <v>4011/4012</v>
      </c>
      <c r="L91" s="22" t="str">
        <f>VLOOKUP(A91,'Trips&amp;Operators'!$C$1:$G$99999,5,FALSE)</f>
        <v>LEVIN SCOTT</v>
      </c>
      <c r="M91" s="6">
        <f t="shared" si="25"/>
        <v>2.6435185187438037E-2</v>
      </c>
      <c r="N91" s="7">
        <f t="shared" si="40"/>
        <v>38.066666669910774</v>
      </c>
      <c r="O91" s="7"/>
      <c r="P91" s="7"/>
      <c r="Q91" s="23"/>
      <c r="R91" s="23"/>
      <c r="S91" s="32">
        <f t="shared" si="41"/>
        <v>1</v>
      </c>
      <c r="T91" s="47" t="str">
        <f t="shared" si="26"/>
        <v>Southbound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7"/>
        <v>https://d0f6bd738d7f1b3e5a7ca70fe4ff75f0.us-east-1.aws.found.io/app/kibana#/discover/Steve-Slow-Train-Analysis-(2080s-and-2083s)?_g=(refreshInterval:(display:Off,pause:!f,section:0,value:0),time:(from:'2017-01-29T13:03:35-0700',mode:absolute,to:'2017-01-29T15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49" t="str">
        <f t="shared" si="28"/>
        <v>N</v>
      </c>
      <c r="X91" s="170">
        <f t="shared" si="29"/>
        <v>1</v>
      </c>
      <c r="Y91" s="64">
        <f t="shared" si="30"/>
        <v>23.303000000000001</v>
      </c>
      <c r="Z91" s="64">
        <f t="shared" si="31"/>
        <v>1.1900000000000001E-2</v>
      </c>
      <c r="AA91" s="64">
        <f t="shared" si="32"/>
        <v>23.2911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3"/>
        <v>0178-29</v>
      </c>
      <c r="AE91" s="87" t="str">
        <f t="shared" si="34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91" s="84" t="str">
        <f t="shared" si="35"/>
        <v>"C:\Program Files (x86)\AstroGrep\AstroGrep.exe" /spath="%USERPROFILE%\AppData\Local\Temp\OnboardLogs" /stypes="app*4012*20170129*" /stext=" 21:.+((SYSTEM_STATE.+slice.+state.+changed )|(ment ac)|(multiple cpu faults)|(system.+state.+changed )|(\[timeout)|(PRM\|1\|D)|(kpr)|(kdp)|(\|lc)|(penalty))" /e /r /s</v>
      </c>
      <c r="AG91" s="1" t="str">
        <f t="shared" si="36"/>
        <v>EC</v>
      </c>
      <c r="AH91" s="88" t="str">
        <f t="shared" si="37"/>
        <v>"%USERPROFILE%\Documents\GitHub\eaglep3\Utilities\RefineRTDCRunTimes.py" --tripid 178-29 --locoid 4012 --swversion DE.1.0.8.0 --startMP 204:233030 --initTime 2017-01-29T14:03:35 --startdatetime 2017-01-29T14:11:37 --delay 2 --endMP 204:119 --enddatetime 2017-01-29T14:49:41 --enforcementcount 0 &gt;&gt;C:\Users\stu\Documents\GitHub\eaglep3-reporting\EC\2017-01-29-refined-times.txt</v>
      </c>
      <c r="AI91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{"issue":{"subject":"","project_id":79,"tracker_id":40,"status_id":1,"priority_id":2,"assigned_to_id":23,"start_date":"2017-01-29","description":"","custom_fields":[{"id":1,"name":"Subdivision","value":"EC"},{"id":4,"name":"Milepost","value":"0.0119"},{"id":17,"name":"Train ID","value":"178-29"},{"id":16,"name":"Locomotive ID","value":"4012"},{"id":130,"name":"Impact","value":""},{"id":150,"name":"Time of Event (Mountain Time)","value":"14:49:41"},{"id":151,"name":"Denver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9"/>
        <v>start /low /b %USERPROFILE%\Documents\GitHub\eaglep3\Utilities\DownloadLogsFromS3.py --loco 4012 --day 2017-01-29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571</v>
      </c>
      <c r="B92" s="7">
        <v>4040</v>
      </c>
      <c r="C92" s="22" t="s">
        <v>193</v>
      </c>
      <c r="D92" s="22" t="s">
        <v>232</v>
      </c>
      <c r="E92" s="13">
        <v>42764.55678240741</v>
      </c>
      <c r="F92" s="13">
        <v>42764.562662037039</v>
      </c>
      <c r="G92" s="7">
        <v>1</v>
      </c>
      <c r="H92" s="22" t="s">
        <v>325</v>
      </c>
      <c r="I92" s="13">
        <v>42764.587673611109</v>
      </c>
      <c r="J92" s="7">
        <v>0</v>
      </c>
      <c r="K92" s="105" t="str">
        <f t="shared" si="24"/>
        <v>4039/4040</v>
      </c>
      <c r="L92" s="22" t="str">
        <f>VLOOKUP(A92,'Trips&amp;Operators'!$C$1:$G$99999,5,FALSE)</f>
        <v>BRUDER RICHARD</v>
      </c>
      <c r="M92" s="6">
        <f t="shared" si="25"/>
        <v>2.5011574070958886E-2</v>
      </c>
      <c r="N92" s="7">
        <f t="shared" si="40"/>
        <v>36.016666662180796</v>
      </c>
      <c r="O92" s="7"/>
      <c r="P92" s="7"/>
      <c r="Q92" s="23"/>
      <c r="R92" s="23"/>
      <c r="S92" s="32">
        <f t="shared" si="41"/>
        <v>1</v>
      </c>
      <c r="T92" s="47" t="str">
        <f t="shared" si="26"/>
        <v>NorthBound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7"/>
        <v>https://d0f6bd738d7f1b3e5a7ca70fe4ff75f0.us-east-1.aws.found.io/app/kibana#/discover/Steve-Slow-Train-Analysis-(2080s-and-2083s)?_g=(refreshInterval:(display:Off,pause:!f,section:0,value:0),time:(from:'2017-01-29T12:21:46-0700',mode:absolute,to:'2017-01-29T15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49" t="str">
        <f t="shared" si="28"/>
        <v>N</v>
      </c>
      <c r="X92" s="170">
        <f t="shared" si="29"/>
        <v>1</v>
      </c>
      <c r="Y92" s="64">
        <f t="shared" si="30"/>
        <v>4.58E-2</v>
      </c>
      <c r="Z92" s="64">
        <f t="shared" si="31"/>
        <v>23.3307</v>
      </c>
      <c r="AA92" s="64">
        <f t="shared" si="32"/>
        <v>23.2849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33"/>
        <v>0179-29</v>
      </c>
      <c r="AE92" s="87" t="str">
        <f t="shared" si="34"/>
        <v>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 &amp; 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</v>
      </c>
      <c r="AF92" s="84" t="str">
        <f t="shared" si="35"/>
        <v>"C:\Program Files (x86)\AstroGrep\AstroGrep.exe" /spath="%USERPROFILE%\AppData\Local\Temp\OnboardLogs" /stypes="app*4040*20170129*" /stext=" 21:.+((SYSTEM_STATE.+slice.+state.+changed )|(ment ac)|(multiple cpu faults)|(system.+state.+changed )|(\[timeout)|(PRM\|1\|D)|(kpr)|(kdp)|(\|lc)|(penalty))" /e /r /s</v>
      </c>
      <c r="AG92" s="1" t="str">
        <f t="shared" si="36"/>
        <v>EC</v>
      </c>
      <c r="AH92" s="88" t="str">
        <f t="shared" si="37"/>
        <v>"%USERPROFILE%\Documents\GitHub\eaglep3\Utilities\RefineRTDCRunTimes.py" --tripid 179-29 --locoid 4040 --swversion DE.1.0.8.0 --startMP 204:458 --initTime 2017-01-29T13:21:46 --startdatetime 2017-01-29T13:30:14 --delay 1 --endMP 204:233307 --enddatetime 2017-01-29T14:06:15 --enforcementcount 0 &gt;&gt;C:\Users\stu\Documents\GitHub\eaglep3-reporting\EC\2017-01-29-refined-times.txt</v>
      </c>
      <c r="AI92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{"issue":{"subject":"","project_id":79,"tracker_id":40,"status_id":1,"priority_id":2,"assigned_to_id":23,"start_date":"2017-01-29","description":"","custom_fields":[{"id":1,"name":"Subdivision","value":"EC"},{"id":4,"name":"Milepost","value":"23.3307"},{"id":17,"name":"Train ID","value":"179-29"},{"id":16,"name":"Locomotive ID","value":"4040"},{"id":130,"name":"Impact","value":""},{"id":150,"name":"Time of Event (Mountain Time)","value":"14:06:15"},{"id":151,"name":"Denver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9"/>
        <v>start /low /b %USERPROFILE%\Documents\GitHub\eaglep3\Utilities\DownloadLogsFromS3.py --loco 4040 --day 2017-01-29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"%USERPROFILE%\AppData\Local\Temp\OnboardLogs"\RTDC4040\*4040*20170129* | grep -SE "(Enforcement Action)|(\[TIMEOUT)|(CHR.+\|PRM\|1\|D.+(SWITCH|SIGNAL).+UNKNOWN)" - &gt;&gt; 2017-01-29-UncaughtWiMAX.txt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579</v>
      </c>
      <c r="B93" s="7">
        <v>4039</v>
      </c>
      <c r="C93" s="22" t="s">
        <v>193</v>
      </c>
      <c r="D93" s="22" t="s">
        <v>712</v>
      </c>
      <c r="E93" s="13">
        <v>42764.611990740741</v>
      </c>
      <c r="F93" s="13">
        <v>42764.612638888888</v>
      </c>
      <c r="G93" s="7">
        <v>0</v>
      </c>
      <c r="H93" s="22" t="s">
        <v>202</v>
      </c>
      <c r="I93" s="13">
        <v>42764.62945601852</v>
      </c>
      <c r="J93" s="7">
        <v>0</v>
      </c>
      <c r="K93" s="105" t="str">
        <f t="shared" si="24"/>
        <v>4039/4040</v>
      </c>
      <c r="L93" s="22" t="str">
        <f>VLOOKUP(A93,'Trips&amp;Operators'!$C$1:$G$99999,5,FALSE)</f>
        <v>BRUDER RICHARD</v>
      </c>
      <c r="M93" s="6">
        <f t="shared" si="25"/>
        <v>1.6817129631817807E-2</v>
      </c>
      <c r="N93" s="7"/>
      <c r="O93" s="7"/>
      <c r="P93" s="7">
        <f>24*60*SUM($M93:$M94)</f>
        <v>27.783333332045004</v>
      </c>
      <c r="Q93" s="23"/>
      <c r="R93" s="23" t="s">
        <v>832</v>
      </c>
      <c r="S93" s="32">
        <f>SUM(U93:U94)/IF(AG93="EC",12,1)</f>
        <v>1</v>
      </c>
      <c r="T93" s="47" t="str">
        <f t="shared" si="26"/>
        <v>Southbound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7"/>
        <v>https://d0f6bd738d7f1b3e5a7ca70fe4ff75f0.us-east-1.aws.found.io/app/kibana#/discover/Steve-Slow-Train-Analysis-(2080s-and-2083s)?_g=(refreshInterval:(display:Off,pause:!f,section:0,value:0),time:(from:'2017-01-29T13:41:16-0700',mode:absolute,to:'2017-01-29T16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49" t="str">
        <f t="shared" si="28"/>
        <v>Y</v>
      </c>
      <c r="X93" s="170">
        <f t="shared" si="29"/>
        <v>1</v>
      </c>
      <c r="Y93" s="64">
        <f t="shared" si="30"/>
        <v>12.7872</v>
      </c>
      <c r="Z93" s="64">
        <f t="shared" si="31"/>
        <v>1.4500000000000001E-2</v>
      </c>
      <c r="AA93" s="64">
        <f t="shared" si="32"/>
        <v>12.7727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3"/>
        <v>0180-29</v>
      </c>
      <c r="AE93" s="87" t="str">
        <f t="shared" si="34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93" s="84" t="str">
        <f t="shared" si="35"/>
        <v>"C:\Program Files (x86)\AstroGrep\AstroGrep.exe" /spath="%USERPROFILE%\AppData\Local\Temp\OnboardLogs" /stypes="app*4039*20170129*" /stext=" 22:.+((SYSTEM_STATE.+slice.+state.+changed )|(ment ac)|(multiple cpu faults)|(system.+state.+changed )|(\[timeout)|(PRM\|1\|D)|(kpr)|(kdp)|(\|lc)|(penalty))" /e /r /s</v>
      </c>
      <c r="AG93" s="1" t="str">
        <f t="shared" si="36"/>
        <v>EC</v>
      </c>
      <c r="AH93" s="88" t="str">
        <f t="shared" si="37"/>
        <v>"%USERPROFILE%\Documents\GitHub\eaglep3\Utilities\RefineRTDCRunTimes.py" --tripid 180-29 --locoid 4039 --swversion DE.1.0.8.0 --startMP 204:127872 --initTime 2017-01-29T14:41:16 --startdatetime 2017-01-29T14:42:12 --delay 0 --endMP 204:145 --enddatetime 2017-01-29T15:06:25 --enforcementcount 0 &gt;&gt;C:\Users\stu\Documents\GitHub\eaglep3-reporting\EC\2017-01-29-refined-times.txt</v>
      </c>
      <c r="AI93" s="115" t="str">
        <f t="shared" si="38"/>
        <v>echo {"issue":{"subject":"Wiring issue in DIA AUX bungalow","project_id":79,"tracker_id":40,"status_id":1,"priority_id":2,"assigned_to_id":23,"start_date":"2017-01-29","description":"","custom_fields":[{"id":1,"name":"Subdivision","value":"EC"},{"id":4,"name":"Milepost","value":"0.0145"},{"id":17,"name":"Train ID","value":"180-29"},{"id":16,"name":"Locomotive ID","value":"4039"},{"id":130,"name":"Impact","value":""},{"id":150,"name":"Time of Event (Mountain Time)","value":"15:06:25"},{"id":151,"name":"Denver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9"/>
        <v>start /low /b %USERPROFILE%\Documents\GitHub\eaglep3\Utilities\DownloadLogsFromS3.py --loco 4039 --day 2017-01-29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4" t="s">
        <v>579</v>
      </c>
      <c r="B94" s="7">
        <v>4039</v>
      </c>
      <c r="C94" s="22" t="s">
        <v>193</v>
      </c>
      <c r="D94" s="22" t="s">
        <v>418</v>
      </c>
      <c r="E94" s="13">
        <v>42764.596701388888</v>
      </c>
      <c r="F94" s="13">
        <v>42764.597962962966</v>
      </c>
      <c r="G94" s="7">
        <v>1</v>
      </c>
      <c r="H94" s="22" t="s">
        <v>306</v>
      </c>
      <c r="I94" s="13">
        <v>42764.600439814814</v>
      </c>
      <c r="J94" s="7">
        <v>0</v>
      </c>
      <c r="K94" s="105" t="str">
        <f t="shared" si="24"/>
        <v>4039/4040</v>
      </c>
      <c r="L94" s="22" t="str">
        <f>VLOOKUP(A94,'Trips&amp;Operators'!$C$1:$G$99999,5,FALSE)</f>
        <v>BRUDER RICHARD</v>
      </c>
      <c r="M94" s="6">
        <f t="shared" si="25"/>
        <v>2.4768518487690017E-3</v>
      </c>
      <c r="N94" s="7"/>
      <c r="O94" s="7"/>
      <c r="P94" s="7"/>
      <c r="Q94" s="23"/>
      <c r="R94" s="23"/>
      <c r="S94" s="32"/>
      <c r="T94" s="47" t="str">
        <f t="shared" si="26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94" t="str">
        <f t="shared" si="27"/>
        <v>https://d0f6bd738d7f1b3e5a7ca70fe4ff75f0.us-east-1.aws.found.io/app/kibana#/discover/Steve-Slow-Train-Analysis-(2080s-and-2083s)?_g=(refreshInterval:(display:Off,pause:!f,section:0,value:0),time:(from:'2017-01-29T13:19:15-0700',mode:absolute,to:'2017-01-29T15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49" t="str">
        <f t="shared" si="28"/>
        <v>Y</v>
      </c>
      <c r="X94" s="170">
        <f t="shared" si="29"/>
        <v>0</v>
      </c>
      <c r="Y94" s="64">
        <f t="shared" si="30"/>
        <v>23.298400000000001</v>
      </c>
      <c r="Z94" s="64">
        <f t="shared" si="31"/>
        <v>23.298200000000001</v>
      </c>
      <c r="AA94" s="64">
        <f t="shared" si="32"/>
        <v>1.9999999999953388E-4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3"/>
        <v>0180-29</v>
      </c>
      <c r="AE94" s="87" t="str">
        <f t="shared" si="34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94" s="84" t="str">
        <f t="shared" si="35"/>
        <v>"C:\Program Files (x86)\AstroGrep\AstroGrep.exe" /spath="%USERPROFILE%\AppData\Local\Temp\OnboardLogs" /stypes="app*4039*20170129*" /stext=" 21:.+((SYSTEM_STATE.+slice.+state.+changed )|(ment ac)|(multiple cpu faults)|(system.+state.+changed )|(\[timeout)|(PRM\|1\|D)|(kpr)|(kdp)|(\|lc)|(penalty))" /e /r /s</v>
      </c>
      <c r="AG94" s="1" t="str">
        <f t="shared" si="36"/>
        <v>EC</v>
      </c>
      <c r="AH94" s="88" t="str">
        <f t="shared" si="37"/>
        <v>"%USERPROFILE%\Documents\GitHub\eaglep3\Utilities\RefineRTDCRunTimes.py" --tripid 180-29 --locoid 4039 --swversion DE.1.0.8.0 --startMP 204:232984 --initTime 2017-01-29T14:19:15 --startdatetime 2017-01-29T14:21:04 --delay 1 --endMP 204:232982 --enddatetime 2017-01-29T14:24:38 --enforcementcount 0 &gt;&gt;C:\Users\stu\Documents\GitHub\eaglep3-reporting\EC\2017-01-29-refined-times.txt</v>
      </c>
      <c r="AI94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{"issue":{"subject":"","project_id":79,"tracker_id":40,"status_id":1,"priority_id":2,"assigned_to_id":23,"start_date":"2017-01-29","description":"","custom_fields":[{"id":1,"name":"Subdivision","value":"EC"},{"id":4,"name":"Milepost","value":"23.2982"},{"id":17,"name":"Train ID","value":"180-29"},{"id":16,"name":"Locomotive ID","value":"4039"},{"id":130,"name":"Impact","value":""},{"id":150,"name":"Time of Event (Mountain Time)","value":"14:24:38"},{"id":151,"name":"Denver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9"/>
        <v>start /low /b %USERPROFILE%\Documents\GitHub\eaglep3\Utilities\DownloadLogsFromS3.py --loco 4039 --day 2017-01-29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</row>
    <row r="95" spans="1:91" s="21" customFormat="1" x14ac:dyDescent="0.25">
      <c r="A95" s="34" t="s">
        <v>573</v>
      </c>
      <c r="B95" s="7">
        <v>4007</v>
      </c>
      <c r="C95" s="22" t="s">
        <v>193</v>
      </c>
      <c r="D95" s="22" t="s">
        <v>683</v>
      </c>
      <c r="E95" s="13">
        <v>42764.567696759259</v>
      </c>
      <c r="F95" s="13">
        <v>42764.57309027778</v>
      </c>
      <c r="G95" s="7">
        <v>1</v>
      </c>
      <c r="H95" s="22" t="s">
        <v>724</v>
      </c>
      <c r="I95" s="13">
        <v>42764.598807870374</v>
      </c>
      <c r="J95" s="7">
        <v>0</v>
      </c>
      <c r="K95" s="105" t="str">
        <f t="shared" si="24"/>
        <v>4007/4008</v>
      </c>
      <c r="L95" s="22" t="str">
        <f>VLOOKUP(A95,'Trips&amp;Operators'!$C$1:$G$99999,5,FALSE)</f>
        <v>CRAYTON QUNTRELL</v>
      </c>
      <c r="M95" s="6">
        <f t="shared" si="25"/>
        <v>2.5717592594446614E-2</v>
      </c>
      <c r="N95" s="7">
        <f t="shared" ref="N95:N126" si="42">24*60*SUM($M95:$M95)</f>
        <v>37.033333336003125</v>
      </c>
      <c r="O95" s="7"/>
      <c r="P95" s="7"/>
      <c r="Q95" s="23"/>
      <c r="R95" s="23"/>
      <c r="S95" s="32">
        <f t="shared" ref="S95:S126" si="43">SUM(U95:U95)/IF(AG95="EC",12,1)</f>
        <v>1</v>
      </c>
      <c r="T95" s="47" t="str">
        <f t="shared" si="26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7"/>
        <v>https://d0f6bd738d7f1b3e5a7ca70fe4ff75f0.us-east-1.aws.found.io/app/kibana#/discover/Steve-Slow-Train-Analysis-(2080s-and-2083s)?_g=(refreshInterval:(display:Off,pause:!f,section:0,value:0),time:(from:'2017-01-29T12:37:29-0700',mode:absolute,to:'2017-01-29T15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49" t="str">
        <f t="shared" si="28"/>
        <v>N</v>
      </c>
      <c r="X95" s="170">
        <f t="shared" si="29"/>
        <v>1</v>
      </c>
      <c r="Y95" s="64">
        <f t="shared" si="30"/>
        <v>4.7500000000000001E-2</v>
      </c>
      <c r="Z95" s="64">
        <f t="shared" si="31"/>
        <v>23.3306</v>
      </c>
      <c r="AA95" s="64">
        <f t="shared" si="32"/>
        <v>23.283100000000001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3"/>
        <v>0181-29</v>
      </c>
      <c r="AE95" s="87" t="str">
        <f t="shared" si="34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95" s="84" t="str">
        <f t="shared" si="35"/>
        <v>"C:\Program Files (x86)\AstroGrep\AstroGrep.exe" /spath="%USERPROFILE%\AppData\Local\Temp\OnboardLogs" /stypes="app*4007*20170129*" /stext=" 21:.+((SYSTEM_STATE.+slice.+state.+changed )|(ment ac)|(multiple cpu faults)|(system.+state.+changed )|(\[timeout)|(PRM\|1\|D)|(kpr)|(kdp)|(\|lc)|(penalty))" /e /r /s</v>
      </c>
      <c r="AG95" s="1" t="str">
        <f t="shared" si="36"/>
        <v>EC</v>
      </c>
      <c r="AH95" s="88" t="str">
        <f t="shared" si="37"/>
        <v>"%USERPROFILE%\Documents\GitHub\eaglep3\Utilities\RefineRTDCRunTimes.py" --tripid 181-29 --locoid 4007 --swversion DE.1.0.8.0 --startMP 204:475 --initTime 2017-01-29T13:37:29 --startdatetime 2017-01-29T13:45:15 --delay 1 --endMP 204:233306 --enddatetime 2017-01-29T14:22:17 --enforcementcount 0 &gt;&gt;C:\Users\stu\Documents\GitHub\eaglep3-reporting\EC\2017-01-29-refined-times.txt</v>
      </c>
      <c r="AI95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{"issue":{"subject":"","project_id":79,"tracker_id":40,"status_id":1,"priority_id":2,"assigned_to_id":23,"start_date":"2017-01-29","description":"","custom_fields":[{"id":1,"name":"Subdivision","value":"EC"},{"id":4,"name":"Milepost","value":"23.3306"},{"id":17,"name":"Train ID","value":"181-29"},{"id":16,"name":"Locomotive ID","value":"4007"},{"id":130,"name":"Impact","value":""},{"id":150,"name":"Time of Event (Mountain Time)","value":"14:22:17"},{"id":151,"name":"Denver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9"/>
        <v>start /low /b %USERPROFILE%\Documents\GitHub\eaglep3\Utilities\DownloadLogsFromS3.py --loco 4007 --day 2017-01-29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581</v>
      </c>
      <c r="B96" s="7">
        <v>4008</v>
      </c>
      <c r="C96" s="22" t="s">
        <v>193</v>
      </c>
      <c r="D96" s="22" t="s">
        <v>709</v>
      </c>
      <c r="E96" s="13">
        <v>42764.604583333334</v>
      </c>
      <c r="F96" s="13">
        <v>42764.612118055556</v>
      </c>
      <c r="G96" s="7">
        <v>1</v>
      </c>
      <c r="H96" s="22" t="s">
        <v>202</v>
      </c>
      <c r="I96" s="13">
        <v>42764.63858796296</v>
      </c>
      <c r="J96" s="7">
        <v>0</v>
      </c>
      <c r="K96" s="105" t="str">
        <f t="shared" si="24"/>
        <v>4007/4008</v>
      </c>
      <c r="L96" s="22" t="str">
        <f>VLOOKUP(A96,'Trips&amp;Operators'!$C$1:$G$99999,5,FALSE)</f>
        <v>CRAYTON QUNTRELL</v>
      </c>
      <c r="M96" s="6">
        <f t="shared" si="25"/>
        <v>2.6469907403225079E-2</v>
      </c>
      <c r="N96" s="7">
        <f t="shared" si="42"/>
        <v>38.116666660644114</v>
      </c>
      <c r="O96" s="7"/>
      <c r="P96" s="7"/>
      <c r="Q96" s="23"/>
      <c r="R96" s="23"/>
      <c r="S96" s="32">
        <f t="shared" si="43"/>
        <v>1</v>
      </c>
      <c r="T96" s="47" t="str">
        <f t="shared" si="26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7"/>
        <v>https://d0f6bd738d7f1b3e5a7ca70fe4ff75f0.us-east-1.aws.found.io/app/kibana#/discover/Steve-Slow-Train-Analysis-(2080s-and-2083s)?_g=(refreshInterval:(display:Off,pause:!f,section:0,value:0),time:(from:'2017-01-29T13:30:36-0700',mode:absolute,to:'2017-01-29T16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6" s="49" t="str">
        <f t="shared" si="28"/>
        <v>N</v>
      </c>
      <c r="X96" s="170">
        <f t="shared" si="29"/>
        <v>1</v>
      </c>
      <c r="Y96" s="64">
        <f t="shared" si="30"/>
        <v>23.2987</v>
      </c>
      <c r="Z96" s="64">
        <f t="shared" si="31"/>
        <v>1.4500000000000001E-2</v>
      </c>
      <c r="AA96" s="64">
        <f t="shared" si="32"/>
        <v>23.284199999999998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3"/>
        <v>0182-29</v>
      </c>
      <c r="AE96" s="87" t="str">
        <f t="shared" si="34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96" s="84" t="str">
        <f t="shared" si="35"/>
        <v>"C:\Program Files (x86)\AstroGrep\AstroGrep.exe" /spath="%USERPROFILE%\AppData\Local\Temp\OnboardLogs" /stypes="app*4008*20170129*" /stext=" 22:.+((SYSTEM_STATE.+slice.+state.+changed )|(ment ac)|(multiple cpu faults)|(system.+state.+changed )|(\[timeout)|(PRM\|1\|D)|(kpr)|(kdp)|(\|lc)|(penalty))" /e /r /s</v>
      </c>
      <c r="AG96" s="1" t="str">
        <f t="shared" si="36"/>
        <v>EC</v>
      </c>
      <c r="AH96" s="88" t="str">
        <f t="shared" si="37"/>
        <v>"%USERPROFILE%\Documents\GitHub\eaglep3\Utilities\RefineRTDCRunTimes.py" --tripid 182-29 --locoid 4008 --swversion DE.1.0.8.0 --startMP 204:232987 --initTime 2017-01-29T14:30:36 --startdatetime 2017-01-29T14:41:27 --delay 1 --endMP 204:145 --enddatetime 2017-01-29T15:19:34 --enforcementcount 0 &gt;&gt;C:\Users\stu\Documents\GitHub\eaglep3-reporting\EC\2017-01-29-refined-times.txt</v>
      </c>
      <c r="AI96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{"issue":{"subject":"","project_id":79,"tracker_id":40,"status_id":1,"priority_id":2,"assigned_to_id":23,"start_date":"2017-01-29","description":"","custom_fields":[{"id":1,"name":"Subdivision","value":"EC"},{"id":4,"name":"Milepost","value":"0.0145"},{"id":17,"name":"Train ID","value":"182-29"},{"id":16,"name":"Locomotive ID","value":"4008"},{"id":130,"name":"Impact","value":""},{"id":150,"name":"Time of Event (Mountain Time)","value":"15:19:34"},{"id":151,"name":"Denver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9"/>
        <v>start /low /b %USERPROFILE%\Documents\GitHub\eaglep3\Utilities\DownloadLogsFromS3.py --loco 4008 --day 2017-01-29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"%USERPROFILE%\AppData\Local\Temp\OnboardLogs"\RTDC4008\*4008*20170129* | grep -SE "(Enforcement Action)|(\[TIMEOUT)|(CHR.+\|PRM\|1\|D.+(SWITCH|SIGNAL).+UNKNOWN)" - &gt;&gt; 2017-01-29-UncaughtWiMAX.txt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574</v>
      </c>
      <c r="B97" s="7">
        <v>4002</v>
      </c>
      <c r="C97" s="22" t="s">
        <v>193</v>
      </c>
      <c r="D97" s="22" t="s">
        <v>260</v>
      </c>
      <c r="E97" s="13">
        <v>42764.577303240738</v>
      </c>
      <c r="F97" s="13">
        <v>42764.58353009259</v>
      </c>
      <c r="G97" s="7">
        <v>1</v>
      </c>
      <c r="H97" s="22" t="s">
        <v>440</v>
      </c>
      <c r="I97" s="13">
        <v>42764.608564814815</v>
      </c>
      <c r="J97" s="7">
        <v>0</v>
      </c>
      <c r="K97" s="105" t="str">
        <f t="shared" si="24"/>
        <v>4001/4002</v>
      </c>
      <c r="L97" s="22" t="str">
        <f>VLOOKUP(A97,'Trips&amp;Operators'!$C$1:$G$99999,5,FALSE)</f>
        <v>ROMERO CHAD</v>
      </c>
      <c r="M97" s="6">
        <f t="shared" si="25"/>
        <v>2.5034722224518191E-2</v>
      </c>
      <c r="N97" s="7">
        <f t="shared" si="42"/>
        <v>36.050000003306195</v>
      </c>
      <c r="O97" s="7"/>
      <c r="P97" s="7"/>
      <c r="Q97" s="23"/>
      <c r="R97" s="23"/>
      <c r="S97" s="32">
        <f t="shared" si="43"/>
        <v>1</v>
      </c>
      <c r="T97" s="47" t="str">
        <f t="shared" si="26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7"/>
        <v>https://d0f6bd738d7f1b3e5a7ca70fe4ff75f0.us-east-1.aws.found.io/app/kibana#/discover/Steve-Slow-Train-Analysis-(2080s-and-2083s)?_g=(refreshInterval:(display:Off,pause:!f,section:0,value:0),time:(from:'2017-01-29T12:51:19-0700',mode:absolute,to:'2017-01-29T15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49" t="str">
        <f t="shared" si="28"/>
        <v>N</v>
      </c>
      <c r="X97" s="170">
        <f t="shared" si="29"/>
        <v>1</v>
      </c>
      <c r="Y97" s="64">
        <f t="shared" si="30"/>
        <v>4.4400000000000002E-2</v>
      </c>
      <c r="Z97" s="64">
        <f t="shared" si="31"/>
        <v>23.337</v>
      </c>
      <c r="AA97" s="64">
        <f t="shared" si="32"/>
        <v>23.2926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3"/>
        <v>0183-29</v>
      </c>
      <c r="AE97" s="87" t="str">
        <f t="shared" si="34"/>
        <v>aws s3 cp s3://rtdc.mdm.uploadarchive.raw/RTDC4002/ "%USERPROFILE%\AppData\Local\Temp\OnboardLogs"\RTDC4002\2017-01-29 --exclude "*" --recursive --include "*20170129*" &amp; "%USERPROFILE%\Documents\GitHub\mrs-test-scripts\Headless Mode &amp; Sideloading\WalkAndUnGZ.bat" "%USERPROFILE%\AppData\Local\Temp\OnboardLogs"\RTDC4002\2017-01-29 &amp; 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</v>
      </c>
      <c r="AF97" s="84" t="str">
        <f t="shared" si="35"/>
        <v>"C:\Program Files (x86)\AstroGrep\AstroGrep.exe" /spath="%USERPROFILE%\AppData\Local\Temp\OnboardLogs" /stypes="app*4002*20170129*" /stext=" 21:.+((SYSTEM_STATE.+slice.+state.+changed )|(ment ac)|(multiple cpu faults)|(system.+state.+changed )|(\[timeout)|(PRM\|1\|D)|(kpr)|(kdp)|(\|lc)|(penalty))" /e /r /s</v>
      </c>
      <c r="AG97" s="1" t="str">
        <f t="shared" si="36"/>
        <v>EC</v>
      </c>
      <c r="AH97" s="88" t="str">
        <f t="shared" si="37"/>
        <v>"%USERPROFILE%\Documents\GitHub\eaglep3\Utilities\RefineRTDCRunTimes.py" --tripid 183-29 --locoid 4002 --swversion DE.1.0.8.0 --startMP 204:444 --initTime 2017-01-29T13:51:19 --startdatetime 2017-01-29T14:00:17 --delay 1 --endMP 204:233370 --enddatetime 2017-01-29T14:36:20 --enforcementcount 0 &gt;&gt;C:\Users\stu\Documents\GitHub\eaglep3-reporting\EC\2017-01-29-refined-times.txt</v>
      </c>
      <c r="AI97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{"issue":{"subject":"","project_id":79,"tracker_id":40,"status_id":1,"priority_id":2,"assigned_to_id":23,"start_date":"2017-01-29","description":"","custom_fields":[{"id":1,"name":"Subdivision","value":"EC"},{"id":4,"name":"Milepost","value":"23.337"},{"id":17,"name":"Train ID","value":"183-29"},{"id":16,"name":"Locomotive ID","value":"4002"},{"id":130,"name":"Impact","value":""},{"id":150,"name":"Time of Event (Mountain Time)","value":"14:36:20"},{"id":151,"name":"Denver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9"/>
        <v>start /low /b %USERPROFILE%\Documents\GitHub\eaglep3\Utilities\DownloadLogsFromS3.py --loco 4002 --day 2017-01-29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"%USERPROFILE%\AppData\Local\Temp\OnboardLogs"\RTDC4002\*4002*20170129* | grep -SE "(Enforcement Action)|(\[TIMEOUT)|(CHR.+\|PRM\|1\|D.+(SWITCH|SIGNAL).+UNKNOWN)" - &gt;&gt; 2017-01-29-UncaughtWiMAX.txt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582</v>
      </c>
      <c r="B98" s="7">
        <v>4001</v>
      </c>
      <c r="C98" s="22" t="s">
        <v>193</v>
      </c>
      <c r="D98" s="22" t="s">
        <v>749</v>
      </c>
      <c r="E98" s="13">
        <v>42764.610231481478</v>
      </c>
      <c r="F98" s="13">
        <v>42764.622384259259</v>
      </c>
      <c r="G98" s="7">
        <v>1</v>
      </c>
      <c r="H98" s="22" t="s">
        <v>243</v>
      </c>
      <c r="I98" s="13">
        <v>42764.648368055554</v>
      </c>
      <c r="J98" s="7">
        <v>0</v>
      </c>
      <c r="K98" s="105" t="str">
        <f t="shared" si="24"/>
        <v>4001/4002</v>
      </c>
      <c r="L98" s="22" t="str">
        <f>VLOOKUP(A98,'Trips&amp;Operators'!$C$1:$G$99999,5,FALSE)</f>
        <v>ROMERO CHAD</v>
      </c>
      <c r="M98" s="6">
        <f t="shared" si="25"/>
        <v>2.5983796294895001E-2</v>
      </c>
      <c r="N98" s="7">
        <f t="shared" si="42"/>
        <v>37.416666664648801</v>
      </c>
      <c r="O98" s="7"/>
      <c r="P98" s="7"/>
      <c r="Q98" s="23"/>
      <c r="R98" s="23"/>
      <c r="S98" s="32">
        <f t="shared" si="43"/>
        <v>1</v>
      </c>
      <c r="T98" s="47" t="str">
        <f t="shared" si="26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7"/>
        <v>https://d0f6bd738d7f1b3e5a7ca70fe4ff75f0.us-east-1.aws.found.io/app/kibana#/discover/Steve-Slow-Train-Analysis-(2080s-and-2083s)?_g=(refreshInterval:(display:Off,pause:!f,section:0,value:0),time:(from:'2017-01-29T13:38:44-0700',mode:absolute,to:'2017-01-29T16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49" t="str">
        <f t="shared" si="28"/>
        <v>N</v>
      </c>
      <c r="X98" s="170">
        <f t="shared" si="29"/>
        <v>1</v>
      </c>
      <c r="Y98" s="64">
        <f t="shared" si="30"/>
        <v>23.305900000000001</v>
      </c>
      <c r="Z98" s="64">
        <f t="shared" si="31"/>
        <v>1.43E-2</v>
      </c>
      <c r="AA98" s="64">
        <f t="shared" si="32"/>
        <v>23.291600000000003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3"/>
        <v>0184-29</v>
      </c>
      <c r="AE98" s="87" t="str">
        <f t="shared" si="34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98" s="84" t="str">
        <f t="shared" si="35"/>
        <v>"C:\Program Files (x86)\AstroGrep\AstroGrep.exe" /spath="%USERPROFILE%\AppData\Local\Temp\OnboardLogs" /stypes="app*4001*20170129*" /stext=" 22:.+((SYSTEM_STATE.+slice.+state.+changed )|(ment ac)|(multiple cpu faults)|(system.+state.+changed )|(\[timeout)|(PRM\|1\|D)|(kpr)|(kdp)|(\|lc)|(penalty))" /e /r /s</v>
      </c>
      <c r="AG98" s="1" t="str">
        <f t="shared" si="36"/>
        <v>EC</v>
      </c>
      <c r="AH98" s="88" t="str">
        <f t="shared" si="37"/>
        <v>"%USERPROFILE%\Documents\GitHub\eaglep3\Utilities\RefineRTDCRunTimes.py" --tripid 184-29 --locoid 4001 --swversion DE.1.0.8.0 --startMP 204:233059 --initTime 2017-01-29T14:38:44 --startdatetime 2017-01-29T14:56:14 --delay 1 --endMP 204:143 --enddatetime 2017-01-29T15:33:39 --enforcementcount 0 &gt;&gt;C:\Users\stu\Documents\GitHub\eaglep3-reporting\EC\2017-01-29-refined-times.txt</v>
      </c>
      <c r="AI98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{"issue":{"subject":"","project_id":79,"tracker_id":40,"status_id":1,"priority_id":2,"assigned_to_id":23,"start_date":"2017-01-29","description":"","custom_fields":[{"id":1,"name":"Subdivision","value":"EC"},{"id":4,"name":"Milepost","value":"0.0143"},{"id":17,"name":"Train ID","value":"184-29"},{"id":16,"name":"Locomotive ID","value":"4001"},{"id":130,"name":"Impact","value":""},{"id":150,"name":"Time of Event (Mountain Time)","value":"15:33:39"},{"id":151,"name":"Denver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9"/>
        <v>start /low /b %USERPROFILE%\Documents\GitHub\eaglep3\Utilities\DownloadLogsFromS3.py --loco 4001 --day 2017-01-29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"%USERPROFILE%\AppData\Local\Temp\OnboardLogs"\RTDC4001\*4001*20170129* | grep -SE "(Enforcement Action)|(\[TIMEOUT)|(CHR.+\|PRM\|1\|D.+(SWITCH|SIGNAL).+UNKNOWN)" - &gt;&gt; 2017-01-29-UncaughtWiMAX.txt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577</v>
      </c>
      <c r="B99" s="7">
        <v>4038</v>
      </c>
      <c r="C99" s="22" t="s">
        <v>193</v>
      </c>
      <c r="D99" s="22" t="s">
        <v>312</v>
      </c>
      <c r="E99" s="13">
        <v>42764.590370370373</v>
      </c>
      <c r="F99" s="13">
        <v>42764.59412037037</v>
      </c>
      <c r="G99" s="7">
        <v>1</v>
      </c>
      <c r="H99" s="22" t="s">
        <v>316</v>
      </c>
      <c r="I99" s="13">
        <v>42764.619062500002</v>
      </c>
      <c r="J99" s="7">
        <v>0</v>
      </c>
      <c r="K99" s="105" t="str">
        <f t="shared" si="24"/>
        <v>4037/4038</v>
      </c>
      <c r="L99" s="22" t="str">
        <f>VLOOKUP(A99,'Trips&amp;Operators'!$C$1:$G$99999,5,FALSE)</f>
        <v>KILLION DAVID</v>
      </c>
      <c r="M99" s="6">
        <f t="shared" si="25"/>
        <v>2.4942129632108845E-2</v>
      </c>
      <c r="N99" s="7">
        <f t="shared" si="42"/>
        <v>35.916666670236737</v>
      </c>
      <c r="O99" s="7"/>
      <c r="P99" s="7"/>
      <c r="Q99" s="23"/>
      <c r="R99" s="23"/>
      <c r="S99" s="32">
        <f t="shared" si="43"/>
        <v>1</v>
      </c>
      <c r="T99" s="47" t="str">
        <f t="shared" si="26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7"/>
        <v>https://d0f6bd738d7f1b3e5a7ca70fe4ff75f0.us-east-1.aws.found.io/app/kibana#/discover/Steve-Slow-Train-Analysis-(2080s-and-2083s)?_g=(refreshInterval:(display:Off,pause:!f,section:0,value:0),time:(from:'2017-01-29T13:10:08-0700',mode:absolute,to:'2017-01-29T15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9" s="49" t="str">
        <f t="shared" si="28"/>
        <v>N</v>
      </c>
      <c r="X99" s="170">
        <f t="shared" si="29"/>
        <v>1</v>
      </c>
      <c r="Y99" s="64">
        <f t="shared" si="30"/>
        <v>4.6699999999999998E-2</v>
      </c>
      <c r="Z99" s="64">
        <f t="shared" si="31"/>
        <v>23.331399999999999</v>
      </c>
      <c r="AA99" s="64">
        <f t="shared" si="32"/>
        <v>23.284699999999997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3"/>
        <v>0185-29</v>
      </c>
      <c r="AE99" s="87" t="str">
        <f t="shared" si="34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99" s="84" t="str">
        <f t="shared" si="35"/>
        <v>"C:\Program Files (x86)\AstroGrep\AstroGrep.exe" /spath="%USERPROFILE%\AppData\Local\Temp\OnboardLogs" /stypes="app*4038*20170129*" /stext=" 21:.+((SYSTEM_STATE.+slice.+state.+changed )|(ment ac)|(multiple cpu faults)|(system.+state.+changed )|(\[timeout)|(PRM\|1\|D)|(kpr)|(kdp)|(\|lc)|(penalty))" /e /r /s</v>
      </c>
      <c r="AG99" s="1" t="str">
        <f t="shared" si="36"/>
        <v>EC</v>
      </c>
      <c r="AH99" s="88" t="str">
        <f t="shared" si="37"/>
        <v>"%USERPROFILE%\Documents\GitHub\eaglep3\Utilities\RefineRTDCRunTimes.py" --tripid 185-29 --locoid 4038 --swversion DE.1.0.8.0 --startMP 204:467 --initTime 2017-01-29T14:10:08 --startdatetime 2017-01-29T14:15:32 --delay 1 --endMP 204:233314 --enddatetime 2017-01-29T14:51:27 --enforcementcount 0 &gt;&gt;C:\Users\stu\Documents\GitHub\eaglep3-reporting\EC\2017-01-29-refined-times.txt</v>
      </c>
      <c r="AI99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{"issue":{"subject":"","project_id":79,"tracker_id":40,"status_id":1,"priority_id":2,"assigned_to_id":23,"start_date":"2017-01-29","description":"","custom_fields":[{"id":1,"name":"Subdivision","value":"EC"},{"id":4,"name":"Milepost","value":"23.3314"},{"id":17,"name":"Train ID","value":"185-29"},{"id":16,"name":"Locomotive ID","value":"4038"},{"id":130,"name":"Impact","value":""},{"id":150,"name":"Time of Event (Mountain Time)","value":"14:51:27"},{"id":151,"name":"Denver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9"/>
        <v>start /low /b %USERPROFILE%\Documents\GitHub\eaglep3\Utilities\DownloadLogsFromS3.py --loco 4038 --day 2017-01-29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"%USERPROFILE%\AppData\Local\Temp\OnboardLogs"\RTDC4038\*4038*20170129* | grep -SE "(Enforcement Action)|(\[TIMEOUT)|(CHR.+\|PRM\|1\|D.+(SWITCH|SIGNAL).+UNKNOWN)" - &gt;&gt; 2017-01-29-UncaughtWiMAX.txt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586</v>
      </c>
      <c r="B100" s="7">
        <v>4037</v>
      </c>
      <c r="C100" s="22" t="s">
        <v>193</v>
      </c>
      <c r="D100" s="22" t="s">
        <v>210</v>
      </c>
      <c r="E100" s="13">
        <v>42764.624027777776</v>
      </c>
      <c r="F100" s="13">
        <v>42764.633321759262</v>
      </c>
      <c r="G100" s="7">
        <v>1</v>
      </c>
      <c r="H100" s="22" t="s">
        <v>197</v>
      </c>
      <c r="I100" s="13">
        <v>42764.660266203704</v>
      </c>
      <c r="J100" s="7">
        <v>0</v>
      </c>
      <c r="K100" s="105" t="str">
        <f t="shared" si="24"/>
        <v>4037/4038</v>
      </c>
      <c r="L100" s="22" t="str">
        <f>VLOOKUP(A100,'Trips&amp;Operators'!$C$1:$G$99999,5,FALSE)</f>
        <v>KILLION DAVID</v>
      </c>
      <c r="M100" s="6">
        <f t="shared" si="25"/>
        <v>2.6944444442051463E-2</v>
      </c>
      <c r="N100" s="7">
        <f t="shared" si="42"/>
        <v>38.799999996554106</v>
      </c>
      <c r="O100" s="7"/>
      <c r="P100" s="7"/>
      <c r="Q100" s="23"/>
      <c r="R100" s="23"/>
      <c r="S100" s="32">
        <f t="shared" si="43"/>
        <v>1</v>
      </c>
      <c r="T100" s="47" t="str">
        <f t="shared" si="26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7"/>
        <v>https://d0f6bd738d7f1b3e5a7ca70fe4ff75f0.us-east-1.aws.found.io/app/kibana#/discover/Steve-Slow-Train-Analysis-(2080s-and-2083s)?_g=(refreshInterval:(display:Off,pause:!f,section:0,value:0),time:(from:'2017-01-29T13:58:36-0700',mode:absolute,to:'2017-01-29T16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00" s="49" t="str">
        <f t="shared" si="28"/>
        <v>N</v>
      </c>
      <c r="X100" s="170">
        <f t="shared" si="29"/>
        <v>1</v>
      </c>
      <c r="Y100" s="64">
        <f t="shared" si="30"/>
        <v>23.297699999999999</v>
      </c>
      <c r="Z100" s="64">
        <f t="shared" si="31"/>
        <v>1.4999999999999999E-2</v>
      </c>
      <c r="AA100" s="64">
        <f t="shared" si="32"/>
        <v>23.282699999999998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33"/>
        <v>0186-29</v>
      </c>
      <c r="AE100" s="87" t="str">
        <f t="shared" si="34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100" s="84" t="str">
        <f t="shared" si="35"/>
        <v>"C:\Program Files (x86)\AstroGrep\AstroGrep.exe" /spath="%USERPROFILE%\AppData\Local\Temp\OnboardLogs" /stypes="app*4037*20170129*" /stext=" 22:.+((SYSTEM_STATE.+slice.+state.+changed )|(ment ac)|(multiple cpu faults)|(system.+state.+changed )|(\[timeout)|(PRM\|1\|D)|(kpr)|(kdp)|(\|lc)|(penalty))" /e /r /s</v>
      </c>
      <c r="AG100" s="1" t="str">
        <f t="shared" si="36"/>
        <v>EC</v>
      </c>
      <c r="AH100" s="88" t="str">
        <f t="shared" si="37"/>
        <v>"%USERPROFILE%\Documents\GitHub\eaglep3\Utilities\RefineRTDCRunTimes.py" --tripid 186-29 --locoid 4037 --swversion DE.1.0.8.0 --startMP 204:232977 --initTime 2017-01-29T14:58:36 --startdatetime 2017-01-29T15:11:59 --delay 1 --endMP 204:150 --enddatetime 2017-01-29T15:50:47 --enforcementcount 0 &gt;&gt;C:\Users\stu\Documents\GitHub\eaglep3-reporting\EC\2017-01-29-refined-times.txt</v>
      </c>
      <c r="AI100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{"issue":{"subject":"","project_id":79,"tracker_id":40,"status_id":1,"priority_id":2,"assigned_to_id":23,"start_date":"2017-01-29","description":"","custom_fields":[{"id":1,"name":"Subdivision","value":"EC"},{"id":4,"name":"Milepost","value":"0.015"},{"id":17,"name":"Train ID","value":"186-29"},{"id":16,"name":"Locomotive ID","value":"4037"},{"id":130,"name":"Impact","value":""},{"id":150,"name":"Time of Event (Mountain Time)","value":"15:50:47"},{"id":151,"name":"Denver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9"/>
        <v>start /low /b %USERPROFILE%\Documents\GitHub\eaglep3\Utilities\DownloadLogsFromS3.py --loco 4037 --day 2017-01-29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"%USERPROFILE%\AppData\Local\Temp\OnboardLogs"\RTDC4037\*4037*20170129* | grep -SE "(Enforcement Action)|(\[TIMEOUT)|(CHR.+\|PRM\|1\|D.+(SWITCH|SIGNAL).+UNKNOWN)" - &gt;&gt; 2017-01-29-UncaughtWiMAX.txt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580</v>
      </c>
      <c r="B101" s="7">
        <v>4020</v>
      </c>
      <c r="C101" s="22" t="s">
        <v>193</v>
      </c>
      <c r="D101" s="22" t="s">
        <v>750</v>
      </c>
      <c r="E101" s="13">
        <v>42764.599675925929</v>
      </c>
      <c r="F101" s="13">
        <v>42764.604386574072</v>
      </c>
      <c r="G101" s="7">
        <v>2</v>
      </c>
      <c r="H101" s="22" t="s">
        <v>751</v>
      </c>
      <c r="I101" s="13">
        <v>42764.628703703704</v>
      </c>
      <c r="J101" s="7">
        <v>0</v>
      </c>
      <c r="K101" s="105" t="str">
        <f t="shared" si="24"/>
        <v>4019/4020</v>
      </c>
      <c r="L101" s="22" t="str">
        <f>VLOOKUP(A101,'Trips&amp;Operators'!$C$1:$G$99999,5,FALSE)</f>
        <v>STEWART MICHAEL</v>
      </c>
      <c r="M101" s="6">
        <f t="shared" si="25"/>
        <v>2.4317129631526768E-2</v>
      </c>
      <c r="N101" s="7">
        <f t="shared" si="42"/>
        <v>35.016666669398546</v>
      </c>
      <c r="O101" s="7"/>
      <c r="P101" s="7"/>
      <c r="Q101" s="23"/>
      <c r="R101" s="23"/>
      <c r="S101" s="32">
        <f t="shared" si="43"/>
        <v>1</v>
      </c>
      <c r="T101" s="47" t="str">
        <f t="shared" si="26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7"/>
        <v>https://d0f6bd738d7f1b3e5a7ca70fe4ff75f0.us-east-1.aws.found.io/app/kibana#/discover/Steve-Slow-Train-Analysis-(2080s-and-2083s)?_g=(refreshInterval:(display:Off,pause:!f,section:0,value:0),time:(from:'2017-01-29T13:23:32-0700',mode:absolute,to:'2017-01-29T16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49" t="str">
        <f t="shared" si="28"/>
        <v>N</v>
      </c>
      <c r="X101" s="170">
        <f t="shared" si="29"/>
        <v>1</v>
      </c>
      <c r="Y101" s="64">
        <f t="shared" si="30"/>
        <v>5.3100000000000001E-2</v>
      </c>
      <c r="Z101" s="64">
        <f t="shared" si="31"/>
        <v>23.3278</v>
      </c>
      <c r="AA101" s="64">
        <f t="shared" si="32"/>
        <v>23.274699999999999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3"/>
        <v>0187-29</v>
      </c>
      <c r="AE101" s="87" t="str">
        <f t="shared" si="34"/>
        <v>aws s3 cp s3://rtdc.mdm.uploadarchive.raw/RTDC4020/ "%USERPROFILE%\AppData\Local\Temp\OnboardLogs"\RTDC4020\2017-01-29 --exclude "*" --recursive --include "*20170129*" &amp; "%USERPROFILE%\Documents\GitHub\mrs-test-scripts\Headless Mode &amp; Sideloading\WalkAndUnGZ.bat" "%USERPROFILE%\AppData\Local\Temp\OnboardLogs"\RTDC4020\2017-01-29 &amp; 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</v>
      </c>
      <c r="AF101" s="84" t="str">
        <f t="shared" si="35"/>
        <v>"C:\Program Files (x86)\AstroGrep\AstroGrep.exe" /spath="%USERPROFILE%\AppData\Local\Temp\OnboardLogs" /stypes="app*4020*20170129*" /stext=" 22:.+((SYSTEM_STATE.+slice.+state.+changed )|(ment ac)|(multiple cpu faults)|(system.+state.+changed )|(\[timeout)|(PRM\|1\|D)|(kpr)|(kdp)|(\|lc)|(penalty))" /e /r /s</v>
      </c>
      <c r="AG101" s="1" t="str">
        <f t="shared" si="36"/>
        <v>EC</v>
      </c>
      <c r="AH101" s="88" t="str">
        <f t="shared" si="37"/>
        <v>"%USERPROFILE%\Documents\GitHub\eaglep3\Utilities\RefineRTDCRunTimes.py" --tripid 187-29 --locoid 4020 --swversion DE.1.0.8.0 --startMP 204:531 --initTime 2017-01-29T14:23:32 --startdatetime 2017-01-29T14:30:19 --delay 2 --endMP 204:233278 --enddatetime 2017-01-29T15:05:20 --enforcementcount 0 &gt;&gt;C:\Users\stu\Documents\GitHub\eaglep3-reporting\EC\2017-01-29-refined-times.txt</v>
      </c>
      <c r="AI101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{"issue":{"subject":"","project_id":79,"tracker_id":40,"status_id":1,"priority_id":2,"assigned_to_id":23,"start_date":"2017-01-29","description":"","custom_fields":[{"id":1,"name":"Subdivision","value":"EC"},{"id":4,"name":"Milepost","value":"23.3278"},{"id":17,"name":"Train ID","value":"187-29"},{"id":16,"name":"Locomotive ID","value":"4020"},{"id":130,"name":"Impact","value":""},{"id":150,"name":"Time of Event (Mountain Time)","value":"15:05:20"},{"id":151,"name":"Denver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9"/>
        <v>start /low /b %USERPROFILE%\Documents\GitHub\eaglep3\Utilities\DownloadLogsFromS3.py --loco 4020 --day 2017-01-29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"%USERPROFILE%\AppData\Local\Temp\OnboardLogs"\RTDC4020\*4020*20170129* | grep -SE "(Enforcement Action)|(\[TIMEOUT)|(CHR.+\|PRM\|1\|D.+(SWITCH|SIGNAL).+UNKNOWN)" - &gt;&gt; 2017-01-29-UncaughtWiMAX.txt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590</v>
      </c>
      <c r="B102" s="7">
        <v>4019</v>
      </c>
      <c r="C102" s="22" t="s">
        <v>193</v>
      </c>
      <c r="D102" s="22" t="s">
        <v>379</v>
      </c>
      <c r="E102" s="13">
        <v>42764.641840277778</v>
      </c>
      <c r="F102" s="13">
        <v>42764.644016203703</v>
      </c>
      <c r="G102" s="7">
        <v>1</v>
      </c>
      <c r="H102" s="22" t="s">
        <v>326</v>
      </c>
      <c r="I102" s="13">
        <v>42764.670486111114</v>
      </c>
      <c r="J102" s="7">
        <v>0</v>
      </c>
      <c r="K102" s="105" t="str">
        <f t="shared" si="24"/>
        <v>4019/4020</v>
      </c>
      <c r="L102" s="22" t="str">
        <f>VLOOKUP(A102,'Trips&amp;Operators'!$C$1:$G$99999,5,FALSE)</f>
        <v>STEWART MICHAEL</v>
      </c>
      <c r="M102" s="6">
        <f t="shared" si="25"/>
        <v>2.6469907410501037E-2</v>
      </c>
      <c r="N102" s="7">
        <f t="shared" si="42"/>
        <v>38.116666671121493</v>
      </c>
      <c r="O102" s="7"/>
      <c r="P102" s="7"/>
      <c r="Q102" s="23"/>
      <c r="R102" s="23"/>
      <c r="S102" s="32">
        <f t="shared" si="43"/>
        <v>1</v>
      </c>
      <c r="T102" s="47" t="str">
        <f t="shared" si="26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7"/>
        <v>https://d0f6bd738d7f1b3e5a7ca70fe4ff75f0.us-east-1.aws.found.io/app/kibana#/discover/Steve-Slow-Train-Analysis-(2080s-and-2083s)?_g=(refreshInterval:(display:Off,pause:!f,section:0,value:0),time:(from:'2017-01-29T14:24:15-0700',mode:absolute,to:'2017-01-29T17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49" t="str">
        <f t="shared" si="28"/>
        <v>N</v>
      </c>
      <c r="X102" s="170">
        <f t="shared" si="29"/>
        <v>1</v>
      </c>
      <c r="Y102" s="64">
        <f t="shared" si="30"/>
        <v>23.296500000000002</v>
      </c>
      <c r="Z102" s="64">
        <f t="shared" si="31"/>
        <v>1.5599999999999999E-2</v>
      </c>
      <c r="AA102" s="64">
        <f t="shared" si="32"/>
        <v>23.280900000000003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33"/>
        <v>0188-29</v>
      </c>
      <c r="AE102" s="87" t="str">
        <f t="shared" si="34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102" s="84" t="str">
        <f t="shared" si="35"/>
        <v>"C:\Program Files (x86)\AstroGrep\AstroGrep.exe" /spath="%USERPROFILE%\AppData\Local\Temp\OnboardLogs" /stypes="app*4019*20170129*" /stext=" 23:.+((SYSTEM_STATE.+slice.+state.+changed )|(ment ac)|(multiple cpu faults)|(system.+state.+changed )|(\[timeout)|(PRM\|1\|D)|(kpr)|(kdp)|(\|lc)|(penalty))" /e /r /s</v>
      </c>
      <c r="AG102" s="1" t="str">
        <f t="shared" si="36"/>
        <v>EC</v>
      </c>
      <c r="AH102" s="88" t="str">
        <f t="shared" si="37"/>
        <v>"%USERPROFILE%\Documents\GitHub\eaglep3\Utilities\RefineRTDCRunTimes.py" --tripid 188-29 --locoid 4019 --swversion DE.1.0.8.0 --startMP 204:232965 --initTime 2017-01-29T15:24:15 --startdatetime 2017-01-29T15:27:23 --delay 1 --endMP 204:156 --enddatetime 2017-01-29T16:05:30 --enforcementcount 0 &gt;&gt;C:\Users\stu\Documents\GitHub\eaglep3-reporting\EC\2017-01-29-refined-times.txt</v>
      </c>
      <c r="AI102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{"issue":{"subject":"","project_id":79,"tracker_id":40,"status_id":1,"priority_id":2,"assigned_to_id":23,"start_date":"2017-01-29","description":"","custom_fields":[{"id":1,"name":"Subdivision","value":"EC"},{"id":4,"name":"Milepost","value":"0.0156"},{"id":17,"name":"Train ID","value":"188-29"},{"id":16,"name":"Locomotive ID","value":"4019"},{"id":130,"name":"Impact","value":""},{"id":150,"name":"Time of Event (Mountain Time)","value":"16:05:30"},{"id":151,"name":"Denver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9"/>
        <v>start /low /b %USERPROFILE%\Documents\GitHub\eaglep3\Utilities\DownloadLogsFromS3.py --loco 4019 --day 2017-01-29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"%USERPROFILE%\AppData\Local\Temp\OnboardLogs"\RTDC4019\*4019*20170129* | grep -SE "(Enforcement Action)|(\[TIMEOUT)|(CHR.+\|PRM\|1\|D.+(SWITCH|SIGNAL).+UNKNOWN)" - &gt;&gt; 2017-01-29-UncaughtWiMAX.txt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584</v>
      </c>
      <c r="B103" s="7">
        <v>4025</v>
      </c>
      <c r="C103" s="22" t="s">
        <v>193</v>
      </c>
      <c r="D103" s="22" t="s">
        <v>444</v>
      </c>
      <c r="E103" s="13">
        <v>42764.613749999997</v>
      </c>
      <c r="F103" s="13">
        <v>42764.615347222221</v>
      </c>
      <c r="G103" s="7">
        <v>1</v>
      </c>
      <c r="H103" s="22" t="s">
        <v>374</v>
      </c>
      <c r="I103" s="13">
        <v>42764.641527777778</v>
      </c>
      <c r="J103" s="7">
        <v>0</v>
      </c>
      <c r="K103" s="105" t="str">
        <f t="shared" si="24"/>
        <v>4025/4026</v>
      </c>
      <c r="L103" s="22" t="str">
        <f>VLOOKUP(A103,'Trips&amp;Operators'!$C$1:$G$99999,5,FALSE)</f>
        <v>DAVIS MICHAEL</v>
      </c>
      <c r="M103" s="6">
        <f t="shared" si="25"/>
        <v>2.6180555556493346E-2</v>
      </c>
      <c r="N103" s="7">
        <f t="shared" si="42"/>
        <v>37.700000001350418</v>
      </c>
      <c r="O103" s="7"/>
      <c r="P103" s="7"/>
      <c r="Q103" s="23"/>
      <c r="R103" s="23"/>
      <c r="S103" s="32">
        <f t="shared" si="43"/>
        <v>1</v>
      </c>
      <c r="T103" s="47" t="str">
        <f t="shared" si="26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7"/>
        <v>https://d0f6bd738d7f1b3e5a7ca70fe4ff75f0.us-east-1.aws.found.io/app/kibana#/discover/Steve-Slow-Train-Analysis-(2080s-and-2083s)?_g=(refreshInterval:(display:Off,pause:!f,section:0,value:0),time:(from:'2017-01-29T13:43:48-0700',mode:absolute,to:'2017-01-29T16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49" t="str">
        <f t="shared" si="28"/>
        <v>N</v>
      </c>
      <c r="X103" s="170">
        <f t="shared" si="29"/>
        <v>1</v>
      </c>
      <c r="Y103" s="64">
        <f t="shared" si="30"/>
        <v>4.4200000000000003E-2</v>
      </c>
      <c r="Z103" s="64">
        <f t="shared" si="31"/>
        <v>23.331499999999998</v>
      </c>
      <c r="AA103" s="64">
        <f t="shared" si="32"/>
        <v>23.287299999999998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3"/>
        <v>0189-29</v>
      </c>
      <c r="AE103" s="87" t="str">
        <f t="shared" si="34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103" s="84" t="str">
        <f t="shared" si="35"/>
        <v>"C:\Program Files (x86)\AstroGrep\AstroGrep.exe" /spath="%USERPROFILE%\AppData\Local\Temp\OnboardLogs" /stypes="app*4025*20170129*" /stext=" 22:.+((SYSTEM_STATE.+slice.+state.+changed )|(ment ac)|(multiple cpu faults)|(system.+state.+changed )|(\[timeout)|(PRM\|1\|D)|(kpr)|(kdp)|(\|lc)|(penalty))" /e /r /s</v>
      </c>
      <c r="AG103" s="1" t="str">
        <f t="shared" si="36"/>
        <v>EC</v>
      </c>
      <c r="AH103" s="88" t="str">
        <f t="shared" si="37"/>
        <v>"%USERPROFILE%\Documents\GitHub\eaglep3\Utilities\RefineRTDCRunTimes.py" --tripid 189-29 --locoid 4025 --swversion DE.1.0.8.0 --startMP 204:442 --initTime 2017-01-29T14:43:48 --startdatetime 2017-01-29T14:46:06 --delay 1 --endMP 204:233315 --enddatetime 2017-01-29T15:23:48 --enforcementcount 0 &gt;&gt;C:\Users\stu\Documents\GitHub\eaglep3-reporting\EC\2017-01-29-refined-times.txt</v>
      </c>
      <c r="AI103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{"issue":{"subject":"","project_id":79,"tracker_id":40,"status_id":1,"priority_id":2,"assigned_to_id":23,"start_date":"2017-01-29","description":"","custom_fields":[{"id":1,"name":"Subdivision","value":"EC"},{"id":4,"name":"Milepost","value":"23.3315"},{"id":17,"name":"Train ID","value":"189-29"},{"id":16,"name":"Locomotive ID","value":"4025"},{"id":130,"name":"Impact","value":""},{"id":150,"name":"Time of Event (Mountain Time)","value":"15:23:48"},{"id":151,"name":"Denver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9"/>
        <v>start /low /b %USERPROFILE%\Documents\GitHub\eaglep3\Utilities\DownloadLogsFromS3.py --loco 4025 --day 2017-01-29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"%USERPROFILE%\AppData\Local\Temp\OnboardLogs"\RTDC4025\*4025*20170129* | grep -SE "(Enforcement Action)|(\[TIMEOUT)|(CHR.+\|PRM\|1\|D.+(SWITCH|SIGNAL).+UNKNOWN)" - &gt;&gt; 2017-01-29-UncaughtWiMAX.txt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4" t="s">
        <v>591</v>
      </c>
      <c r="B104" s="7">
        <v>4026</v>
      </c>
      <c r="C104" s="22" t="s">
        <v>193</v>
      </c>
      <c r="D104" s="22" t="s">
        <v>425</v>
      </c>
      <c r="E104" s="13">
        <v>42764.649652777778</v>
      </c>
      <c r="F104" s="13">
        <v>42764.653738425928</v>
      </c>
      <c r="G104" s="7">
        <v>1</v>
      </c>
      <c r="H104" s="22" t="s">
        <v>382</v>
      </c>
      <c r="I104" s="13">
        <v>42764.68109953704</v>
      </c>
      <c r="J104" s="7">
        <v>0</v>
      </c>
      <c r="K104" s="105" t="str">
        <f t="shared" si="24"/>
        <v>4025/4026</v>
      </c>
      <c r="L104" s="22" t="str">
        <f>VLOOKUP(A104,'Trips&amp;Operators'!$C$1:$G$99999,5,FALSE)</f>
        <v>DAVIS MICHAEL</v>
      </c>
      <c r="M104" s="6">
        <f t="shared" si="25"/>
        <v>2.73611111115315E-2</v>
      </c>
      <c r="N104" s="7">
        <f t="shared" si="42"/>
        <v>39.40000000060536</v>
      </c>
      <c r="O104" s="7"/>
      <c r="P104" s="7"/>
      <c r="Q104" s="23"/>
      <c r="R104" s="23"/>
      <c r="S104" s="32">
        <f t="shared" si="43"/>
        <v>1</v>
      </c>
      <c r="T104" s="47" t="str">
        <f t="shared" si="26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7"/>
        <v>https://d0f6bd738d7f1b3e5a7ca70fe4ff75f0.us-east-1.aws.found.io/app/kibana#/discover/Steve-Slow-Train-Analysis-(2080s-and-2083s)?_g=(refreshInterval:(display:Off,pause:!f,section:0,value:0),time:(from:'2017-01-29T14:35:30-0700',mode:absolute,to:'2017-01-29T17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49" t="str">
        <f t="shared" si="28"/>
        <v>N</v>
      </c>
      <c r="X104" s="170">
        <f t="shared" si="29"/>
        <v>1</v>
      </c>
      <c r="Y104" s="64">
        <f t="shared" si="30"/>
        <v>23.297899999999998</v>
      </c>
      <c r="Z104" s="64">
        <f t="shared" si="31"/>
        <v>1.34E-2</v>
      </c>
      <c r="AA104" s="64">
        <f t="shared" si="32"/>
        <v>23.284499999999998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3"/>
        <v>0190-29</v>
      </c>
      <c r="AE104" s="87" t="str">
        <f t="shared" si="34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104" s="84" t="str">
        <f t="shared" si="35"/>
        <v>"C:\Program Files (x86)\AstroGrep\AstroGrep.exe" /spath="%USERPROFILE%\AppData\Local\Temp\OnboardLogs" /stypes="app*4026*20170129*" /stext=" 23:.+((SYSTEM_STATE.+slice.+state.+changed )|(ment ac)|(multiple cpu faults)|(system.+state.+changed )|(\[timeout)|(PRM\|1\|D)|(kpr)|(kdp)|(\|lc)|(penalty))" /e /r /s</v>
      </c>
      <c r="AG104" s="1" t="str">
        <f t="shared" si="36"/>
        <v>EC</v>
      </c>
      <c r="AH104" s="88" t="str">
        <f t="shared" si="37"/>
        <v>"%USERPROFILE%\Documents\GitHub\eaglep3\Utilities\RefineRTDCRunTimes.py" --tripid 190-29 --locoid 4026 --swversion DE.1.0.8.0 --startMP 204:232979 --initTime 2017-01-29T15:35:30 --startdatetime 2017-01-29T15:41:23 --delay 1 --endMP 204:134 --enddatetime 2017-01-29T16:20:47 --enforcementcount 0 &gt;&gt;C:\Users\stu\Documents\GitHub\eaglep3-reporting\EC\2017-01-29-refined-times.txt</v>
      </c>
      <c r="AI104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{"issue":{"subject":"","project_id":79,"tracker_id":40,"status_id":1,"priority_id":2,"assigned_to_id":23,"start_date":"2017-01-29","description":"","custom_fields":[{"id":1,"name":"Subdivision","value":"EC"},{"id":4,"name":"Milepost","value":"0.0134"},{"id":17,"name":"Train ID","value":"190-29"},{"id":16,"name":"Locomotive ID","value":"4026"},{"id":130,"name":"Impact","value":""},{"id":150,"name":"Time of Event (Mountain Time)","value":"16:20:47"},{"id":151,"name":"Denver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9"/>
        <v>start /low /b %USERPROFILE%\Documents\GitHub\eaglep3\Utilities\DownloadLogsFromS3.py --loco 4026 --day 2017-01-29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"%USERPROFILE%\AppData\Local\Temp\OnboardLogs"\RTDC4026\*4026*20170129* | grep -SE "(Enforcement Action)|(\[TIMEOUT)|(CHR.+\|PRM\|1\|D.+(SWITCH|SIGNAL).+UNKNOWN)" - &gt;&gt; 2017-01-29-UncaughtWiMAX.txt</v>
      </c>
    </row>
    <row r="105" spans="1:91" s="21" customFormat="1" x14ac:dyDescent="0.25">
      <c r="A105" s="34" t="s">
        <v>585</v>
      </c>
      <c r="B105" s="7">
        <v>4011</v>
      </c>
      <c r="C105" s="22" t="s">
        <v>193</v>
      </c>
      <c r="D105" s="22" t="s">
        <v>443</v>
      </c>
      <c r="E105" s="13">
        <v>42764.622604166667</v>
      </c>
      <c r="F105" s="13">
        <v>42764.625358796293</v>
      </c>
      <c r="G105" s="7">
        <v>1</v>
      </c>
      <c r="H105" s="22" t="s">
        <v>754</v>
      </c>
      <c r="I105" s="13">
        <v>42764.649664351855</v>
      </c>
      <c r="J105" s="7">
        <v>0</v>
      </c>
      <c r="K105" s="105" t="str">
        <f t="shared" si="24"/>
        <v>4011/4012</v>
      </c>
      <c r="L105" s="22" t="str">
        <f>VLOOKUP(A105,'Trips&amp;Operators'!$C$1:$G$99999,5,FALSE)</f>
        <v>LEVIN SCOTT</v>
      </c>
      <c r="M105" s="6">
        <f t="shared" si="25"/>
        <v>2.4305555562023073E-2</v>
      </c>
      <c r="N105" s="7">
        <f t="shared" si="42"/>
        <v>35.000000009313226</v>
      </c>
      <c r="O105" s="7"/>
      <c r="P105" s="7"/>
      <c r="Q105" s="23"/>
      <c r="R105" s="23"/>
      <c r="S105" s="32">
        <f t="shared" si="43"/>
        <v>1</v>
      </c>
      <c r="T105" s="47" t="str">
        <f t="shared" si="26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7"/>
        <v>https://d0f6bd738d7f1b3e5a7ca70fe4ff75f0.us-east-1.aws.found.io/app/kibana#/discover/Steve-Slow-Train-Analysis-(2080s-and-2083s)?_g=(refreshInterval:(display:Off,pause:!f,section:0,value:0),time:(from:'2017-01-29T13:56:33-0700',mode:absolute,to:'2017-01-29T16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49" t="str">
        <f t="shared" si="28"/>
        <v>N</v>
      </c>
      <c r="X105" s="170">
        <f t="shared" si="29"/>
        <v>1</v>
      </c>
      <c r="Y105" s="64">
        <f t="shared" si="30"/>
        <v>4.2599999999999999E-2</v>
      </c>
      <c r="Z105" s="64">
        <f t="shared" si="31"/>
        <v>23.334700000000002</v>
      </c>
      <c r="AA105" s="64">
        <f t="shared" si="32"/>
        <v>23.292100000000001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33"/>
        <v>0191-29</v>
      </c>
      <c r="AE105" s="87" t="str">
        <f t="shared" si="34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105" s="84" t="str">
        <f t="shared" si="35"/>
        <v>"C:\Program Files (x86)\AstroGrep\AstroGrep.exe" /spath="%USERPROFILE%\AppData\Local\Temp\OnboardLogs" /stypes="app*4011*20170129*" /stext=" 22:.+((SYSTEM_STATE.+slice.+state.+changed )|(ment ac)|(multiple cpu faults)|(system.+state.+changed )|(\[timeout)|(PRM\|1\|D)|(kpr)|(kdp)|(\|lc)|(penalty))" /e /r /s</v>
      </c>
      <c r="AG105" s="1" t="str">
        <f t="shared" si="36"/>
        <v>EC</v>
      </c>
      <c r="AH105" s="88" t="str">
        <f t="shared" si="37"/>
        <v>"%USERPROFILE%\Documents\GitHub\eaglep3\Utilities\RefineRTDCRunTimes.py" --tripid 191-29 --locoid 4011 --swversion DE.1.0.8.0 --startMP 204:426 --initTime 2017-01-29T14:56:33 --startdatetime 2017-01-29T15:00:31 --delay 1 --endMP 204:233347 --enddatetime 2017-01-29T15:35:31 --enforcementcount 0 &gt;&gt;C:\Users\stu\Documents\GitHub\eaglep3-reporting\EC\2017-01-29-refined-times.txt</v>
      </c>
      <c r="AI105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{"issue":{"subject":"","project_id":79,"tracker_id":40,"status_id":1,"priority_id":2,"assigned_to_id":23,"start_date":"2017-01-29","description":"","custom_fields":[{"id":1,"name":"Subdivision","value":"EC"},{"id":4,"name":"Milepost","value":"23.3347"},{"id":17,"name":"Train ID","value":"191-29"},{"id":16,"name":"Locomotive ID","value":"4011"},{"id":130,"name":"Impact","value":""},{"id":150,"name":"Time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9"/>
        <v>start /low /b %USERPROFILE%\Documents\GitHub\eaglep3\Utilities\DownloadLogsFromS3.py --loco 4011 --day 2017-01-29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"%USERPROFILE%\AppData\Local\Temp\OnboardLogs"\RTDC4011\*4011*20170129* | grep -SE "(Enforcement Action)|(\[TIMEOUT)|(CHR.+\|PRM\|1\|D.+(SWITCH|SIGNAL).+UNKNOWN)" - &gt;&gt; 2017-01-29-UncaughtWiMAX.txt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594</v>
      </c>
      <c r="B106" s="7">
        <v>4012</v>
      </c>
      <c r="C106" s="22" t="s">
        <v>193</v>
      </c>
      <c r="D106" s="22" t="s">
        <v>755</v>
      </c>
      <c r="E106" s="13">
        <v>42764.660879629628</v>
      </c>
      <c r="F106" s="13">
        <v>42764.664085648146</v>
      </c>
      <c r="G106" s="7">
        <v>1</v>
      </c>
      <c r="H106" s="22" t="s">
        <v>756</v>
      </c>
      <c r="I106" s="13">
        <v>42764.690358796295</v>
      </c>
      <c r="J106" s="7">
        <v>0</v>
      </c>
      <c r="K106" s="105" t="str">
        <f t="shared" si="24"/>
        <v>4011/4012</v>
      </c>
      <c r="L106" s="22" t="str">
        <f>VLOOKUP(A106,'Trips&amp;Operators'!$C$1:$G$99999,5,FALSE)</f>
        <v>LEVIN SCOTT</v>
      </c>
      <c r="M106" s="6">
        <f t="shared" si="25"/>
        <v>2.6273148148902692E-2</v>
      </c>
      <c r="N106" s="7">
        <f t="shared" si="42"/>
        <v>37.833333334419876</v>
      </c>
      <c r="O106" s="7"/>
      <c r="P106" s="7"/>
      <c r="Q106" s="23"/>
      <c r="R106" s="23"/>
      <c r="S106" s="32">
        <f t="shared" si="43"/>
        <v>1</v>
      </c>
      <c r="T106" s="47" t="str">
        <f t="shared" si="26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7"/>
        <v>https://d0f6bd738d7f1b3e5a7ca70fe4ff75f0.us-east-1.aws.found.io/app/kibana#/discover/Steve-Slow-Train-Analysis-(2080s-and-2083s)?_g=(refreshInterval:(display:Off,pause:!f,section:0,value:0),time:(from:'2017-01-29T14:51:40-0700',mode:absolute,to:'2017-01-29T17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49" t="str">
        <f t="shared" si="28"/>
        <v>N</v>
      </c>
      <c r="X106" s="170">
        <f t="shared" si="29"/>
        <v>1</v>
      </c>
      <c r="Y106" s="64">
        <f t="shared" si="30"/>
        <v>23.302800000000001</v>
      </c>
      <c r="Z106" s="64">
        <f t="shared" si="31"/>
        <v>9.5999999999999992E-3</v>
      </c>
      <c r="AA106" s="64">
        <f t="shared" si="32"/>
        <v>23.293200000000002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3"/>
        <v>0192-29</v>
      </c>
      <c r="AE106" s="87" t="str">
        <f t="shared" si="34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106" s="84" t="str">
        <f t="shared" si="35"/>
        <v>"C:\Program Files (x86)\AstroGrep\AstroGrep.exe" /spath="%USERPROFILE%\AppData\Local\Temp\OnboardLogs" /stypes="app*4012*20170129*" /stext=" 23:.+((SYSTEM_STATE.+slice.+state.+changed )|(ment ac)|(multiple cpu faults)|(system.+state.+changed )|(\[timeout)|(PRM\|1\|D)|(kpr)|(kdp)|(\|lc)|(penalty))" /e /r /s</v>
      </c>
      <c r="AG106" s="1" t="str">
        <f t="shared" si="36"/>
        <v>EC</v>
      </c>
      <c r="AH106" s="88" t="str">
        <f t="shared" si="37"/>
        <v>"%USERPROFILE%\Documents\GitHub\eaglep3\Utilities\RefineRTDCRunTimes.py" --tripid 192-29 --locoid 4012 --swversion DE.1.0.8.0 --startMP 204:233028 --initTime 2017-01-29T15:51:40 --startdatetime 2017-01-29T15:56:17 --delay 1 --endMP 204:96 --enddatetime 2017-01-29T16:34:07 --enforcementcount 0 &gt;&gt;C:\Users\stu\Documents\GitHub\eaglep3-reporting\EC\2017-01-29-refined-times.txt</v>
      </c>
      <c r="AI106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{"issue":{"subject":"","project_id":79,"tracker_id":40,"status_id":1,"priority_id":2,"assigned_to_id":23,"start_date":"2017-01-29","description":"","custom_fields":[{"id":1,"name":"Subdivision","value":"EC"},{"id":4,"name":"Milepost","value":"0.0096"},{"id":17,"name":"Train ID","value":"192-29"},{"id":16,"name":"Locomotive ID","value":"4012"},{"id":130,"name":"Impact","value":""},{"id":150,"name":"Time of Event (Mountain Time)","value":"16:34:07"},{"id":151,"name":"Denver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9"/>
        <v>start /low /b %USERPROFILE%\Documents\GitHub\eaglep3\Utilities\DownloadLogsFromS3.py --loco 4012 --day 2017-01-29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2017-01-29-UncaughtWiMAX.txt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587</v>
      </c>
      <c r="B107" s="7">
        <v>4040</v>
      </c>
      <c r="C107" s="22" t="s">
        <v>193</v>
      </c>
      <c r="D107" s="22" t="s">
        <v>244</v>
      </c>
      <c r="E107" s="13">
        <v>42764.630891203706</v>
      </c>
      <c r="F107" s="13">
        <v>42764.635601851849</v>
      </c>
      <c r="G107" s="7">
        <v>1</v>
      </c>
      <c r="H107" s="22" t="s">
        <v>414</v>
      </c>
      <c r="I107" s="13">
        <v>42764.660474537035</v>
      </c>
      <c r="J107" s="7">
        <v>0</v>
      </c>
      <c r="K107" s="105" t="str">
        <f t="shared" si="24"/>
        <v>4039/4040</v>
      </c>
      <c r="L107" s="22" t="str">
        <f>VLOOKUP(A107,'Trips&amp;Operators'!$C$1:$G$99999,5,FALSE)</f>
        <v>BRUDER RICHARD</v>
      </c>
      <c r="M107" s="6">
        <f t="shared" si="25"/>
        <v>2.4872685185982846E-2</v>
      </c>
      <c r="N107" s="7">
        <f t="shared" si="42"/>
        <v>35.816666667815298</v>
      </c>
      <c r="O107" s="7"/>
      <c r="P107" s="7"/>
      <c r="Q107" s="23"/>
      <c r="R107" s="23"/>
      <c r="S107" s="32">
        <f t="shared" si="43"/>
        <v>1</v>
      </c>
      <c r="T107" s="47" t="str">
        <f t="shared" si="26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7"/>
        <v>https://d0f6bd738d7f1b3e5a7ca70fe4ff75f0.us-east-1.aws.found.io/app/kibana#/discover/Steve-Slow-Train-Analysis-(2080s-and-2083s)?_g=(refreshInterval:(display:Off,pause:!f,section:0,value:0),time:(from:'2017-01-29T14:08:29-0700',mode:absolute,to:'2017-01-29T16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7" s="49" t="str">
        <f t="shared" si="28"/>
        <v>N</v>
      </c>
      <c r="X107" s="170">
        <f t="shared" si="29"/>
        <v>1</v>
      </c>
      <c r="Y107" s="64">
        <f t="shared" si="30"/>
        <v>4.6600000000000003E-2</v>
      </c>
      <c r="Z107" s="64">
        <f t="shared" si="31"/>
        <v>23.331900000000001</v>
      </c>
      <c r="AA107" s="64">
        <f t="shared" si="32"/>
        <v>23.285299999999999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3"/>
        <v>0193-29</v>
      </c>
      <c r="AE107" s="87" t="str">
        <f t="shared" si="34"/>
        <v>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 &amp; 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</v>
      </c>
      <c r="AF107" s="84" t="str">
        <f t="shared" si="35"/>
        <v>"C:\Program Files (x86)\AstroGrep\AstroGrep.exe" /spath="%USERPROFILE%\AppData\Local\Temp\OnboardLogs" /stypes="app*4040*20170129*" /stext=" 22:.+((SYSTEM_STATE.+slice.+state.+changed )|(ment ac)|(multiple cpu faults)|(system.+state.+changed )|(\[timeout)|(PRM\|1\|D)|(kpr)|(kdp)|(\|lc)|(penalty))" /e /r /s</v>
      </c>
      <c r="AG107" s="1" t="str">
        <f t="shared" si="36"/>
        <v>EC</v>
      </c>
      <c r="AH107" s="88" t="str">
        <f t="shared" si="37"/>
        <v>"%USERPROFILE%\Documents\GitHub\eaglep3\Utilities\RefineRTDCRunTimes.py" --tripid 193-29 --locoid 4040 --swversion DE.1.0.8.0 --startMP 204:466 --initTime 2017-01-29T15:08:29 --startdatetime 2017-01-29T15:15:16 --delay 1 --endMP 204:233319 --enddatetime 2017-01-29T15:51:05 --enforcementcount 0 &gt;&gt;C:\Users\stu\Documents\GitHub\eaglep3-reporting\EC\2017-01-29-refined-times.txt</v>
      </c>
      <c r="AI107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{"issue":{"subject":"","project_id":79,"tracker_id":40,"status_id":1,"priority_id":2,"assigned_to_id":23,"start_date":"2017-01-29","description":"","custom_fields":[{"id":1,"name":"Subdivision","value":"EC"},{"id":4,"name":"Milepost","value":"23.3319"},{"id":17,"name":"Train ID","value":"193-29"},{"id":16,"name":"Locomotive ID","value":"4040"},{"id":130,"name":"Impact","value":""},{"id":150,"name":"Time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9"/>
        <v>start /low /b %USERPROFILE%\Documents\GitHub\eaglep3\Utilities\DownloadLogsFromS3.py --loco 4040 --day 2017-01-29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"%USERPROFILE%\AppData\Local\Temp\OnboardLogs"\RTDC4040\*4040*20170129* | grep -SE "(Enforcement Action)|(\[TIMEOUT)|(CHR.+\|PRM\|1\|D.+(SWITCH|SIGNAL).+UNKNOWN)" - &gt;&gt; 2017-01-29-UncaughtWiMAX.txt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596</v>
      </c>
      <c r="B108" s="7">
        <v>4039</v>
      </c>
      <c r="C108" s="22" t="s">
        <v>193</v>
      </c>
      <c r="D108" s="22" t="s">
        <v>327</v>
      </c>
      <c r="E108" s="13">
        <v>42764.667881944442</v>
      </c>
      <c r="F108" s="13">
        <v>42764.674641203703</v>
      </c>
      <c r="G108" s="7">
        <v>1</v>
      </c>
      <c r="H108" s="22" t="s">
        <v>277</v>
      </c>
      <c r="I108" s="13">
        <v>42764.700416666667</v>
      </c>
      <c r="J108" s="7">
        <v>0</v>
      </c>
      <c r="K108" s="105" t="str">
        <f t="shared" si="24"/>
        <v>4039/4040</v>
      </c>
      <c r="L108" s="22" t="str">
        <f>VLOOKUP(A108,'Trips&amp;Operators'!$C$1:$G$99999,5,FALSE)</f>
        <v>BRUDER RICHARD</v>
      </c>
      <c r="M108" s="6">
        <f t="shared" si="25"/>
        <v>2.5775462963792961E-2</v>
      </c>
      <c r="N108" s="7">
        <f t="shared" si="42"/>
        <v>37.116666667861864</v>
      </c>
      <c r="O108" s="7"/>
      <c r="P108" s="7"/>
      <c r="Q108" s="23"/>
      <c r="R108" s="23"/>
      <c r="S108" s="32">
        <f t="shared" si="43"/>
        <v>1</v>
      </c>
      <c r="T108" s="47" t="str">
        <f t="shared" si="26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7"/>
        <v>https://d0f6bd738d7f1b3e5a7ca70fe4ff75f0.us-east-1.aws.found.io/app/kibana#/discover/Steve-Slow-Train-Analysis-(2080s-and-2083s)?_g=(refreshInterval:(display:Off,pause:!f,section:0,value:0),time:(from:'2017-01-29T15:01:45-0700',mode:absolute,to:'2017-01-29T17:48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8" s="49" t="str">
        <f t="shared" si="28"/>
        <v>N</v>
      </c>
      <c r="X108" s="170">
        <f t="shared" si="29"/>
        <v>1</v>
      </c>
      <c r="Y108" s="64">
        <f t="shared" si="30"/>
        <v>23.2989</v>
      </c>
      <c r="Z108" s="64">
        <f t="shared" si="31"/>
        <v>1.41E-2</v>
      </c>
      <c r="AA108" s="64">
        <f t="shared" si="32"/>
        <v>23.284800000000001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3"/>
        <v>0194-29</v>
      </c>
      <c r="AE108" s="87" t="str">
        <f t="shared" si="34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108" s="84" t="str">
        <f t="shared" si="35"/>
        <v>"C:\Program Files (x86)\AstroGrep\AstroGrep.exe" /spath="%USERPROFILE%\AppData\Local\Temp\OnboardLogs" /stypes="app*4039*20170129*" /stext=" 23:.+((SYSTEM_STATE.+slice.+state.+changed )|(ment ac)|(multiple cpu faults)|(system.+state.+changed )|(\[timeout)|(PRM\|1\|D)|(kpr)|(kdp)|(\|lc)|(penalty))" /e /r /s</v>
      </c>
      <c r="AG108" s="1" t="str">
        <f t="shared" si="36"/>
        <v>EC</v>
      </c>
      <c r="AH108" s="88" t="str">
        <f t="shared" si="37"/>
        <v>"%USERPROFILE%\Documents\GitHub\eaglep3\Utilities\RefineRTDCRunTimes.py" --tripid 194-29 --locoid 4039 --swversion DE.1.0.8.0 --startMP 204:232989 --initTime 2017-01-29T16:01:45 --startdatetime 2017-01-29T16:11:29 --delay 1 --endMP 204:141 --enddatetime 2017-01-29T16:48:36 --enforcementcount 0 &gt;&gt;C:\Users\stu\Documents\GitHub\eaglep3-reporting\EC\2017-01-29-refined-times.txt</v>
      </c>
      <c r="AI108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{"issue":{"subject":"","project_id":79,"tracker_id":40,"status_id":1,"priority_id":2,"assigned_to_id":23,"start_date":"2017-01-29","description":"","custom_fields":[{"id":1,"name":"Subdivision","value":"EC"},{"id":4,"name":"Milepost","value":"0.0141"},{"id":17,"name":"Train ID","value":"194-29"},{"id":16,"name":"Locomotive ID","value":"4039"},{"id":130,"name":"Impact","value":""},{"id":150,"name":"Time of Event (Mountain Time)","value":"16:48:36"},{"id":151,"name":"Denver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9"/>
        <v>start /low /b %USERPROFILE%\Documents\GitHub\eaglep3\Utilities\DownloadLogsFromS3.py --loco 4039 --day 2017-01-29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589</v>
      </c>
      <c r="B109" s="7">
        <v>4007</v>
      </c>
      <c r="C109" s="22" t="s">
        <v>193</v>
      </c>
      <c r="D109" s="22" t="s">
        <v>328</v>
      </c>
      <c r="E109" s="13">
        <v>42764.640682870369</v>
      </c>
      <c r="F109" s="13">
        <v>42764.646006944444</v>
      </c>
      <c r="G109" s="7">
        <v>1</v>
      </c>
      <c r="H109" s="22" t="s">
        <v>375</v>
      </c>
      <c r="I109" s="13">
        <v>42764.670682870368</v>
      </c>
      <c r="J109" s="7">
        <v>0</v>
      </c>
      <c r="K109" s="105" t="str">
        <f t="shared" si="24"/>
        <v>4007/4008</v>
      </c>
      <c r="L109" s="22" t="str">
        <f>VLOOKUP(A109,'Trips&amp;Operators'!$C$1:$G$99999,5,FALSE)</f>
        <v>CRAYTON QUNTRELL</v>
      </c>
      <c r="M109" s="6">
        <f t="shared" si="25"/>
        <v>2.4675925924384501E-2</v>
      </c>
      <c r="N109" s="7">
        <f t="shared" si="42"/>
        <v>35.533333331113681</v>
      </c>
      <c r="O109" s="7"/>
      <c r="P109" s="7"/>
      <c r="Q109" s="23"/>
      <c r="R109" s="23"/>
      <c r="S109" s="32">
        <f t="shared" si="43"/>
        <v>1</v>
      </c>
      <c r="T109" s="47" t="str">
        <f t="shared" si="26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7"/>
        <v>https://d0f6bd738d7f1b3e5a7ca70fe4ff75f0.us-east-1.aws.found.io/app/kibana#/discover/Steve-Slow-Train-Analysis-(2080s-and-2083s)?_g=(refreshInterval:(display:Off,pause:!f,section:0,value:0),time:(from:'2017-01-29T14:22:35-0700',mode:absolute,to:'2017-01-29T17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9" s="49" t="str">
        <f t="shared" si="28"/>
        <v>N</v>
      </c>
      <c r="X109" s="170">
        <f t="shared" ref="X109:X140" si="44">VALUE(LEFT(AD109,4))-VALUE(LEFT(AD108,4))</f>
        <v>1</v>
      </c>
      <c r="Y109" s="64">
        <f t="shared" si="30"/>
        <v>4.4600000000000001E-2</v>
      </c>
      <c r="Z109" s="64">
        <f t="shared" si="31"/>
        <v>23.331099999999999</v>
      </c>
      <c r="AA109" s="64">
        <f t="shared" si="32"/>
        <v>23.2865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3"/>
        <v>0195-29</v>
      </c>
      <c r="AE109" s="87" t="str">
        <f t="shared" si="34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109" s="84" t="str">
        <f t="shared" si="35"/>
        <v>"C:\Program Files (x86)\AstroGrep\AstroGrep.exe" /spath="%USERPROFILE%\AppData\Local\Temp\OnboardLogs" /stypes="app*4007*20170129*" /stext=" 23:.+((SYSTEM_STATE.+slice.+state.+changed )|(ment ac)|(multiple cpu faults)|(system.+state.+changed )|(\[timeout)|(PRM\|1\|D)|(kpr)|(kdp)|(\|lc)|(penalty))" /e /r /s</v>
      </c>
      <c r="AG109" s="1" t="str">
        <f t="shared" si="36"/>
        <v>EC</v>
      </c>
      <c r="AH109" s="88" t="str">
        <f t="shared" si="37"/>
        <v>"%USERPROFILE%\Documents\GitHub\eaglep3\Utilities\RefineRTDCRunTimes.py" --tripid 195-29 --locoid 4007 --swversion DE.1.0.8.0 --startMP 204:446 --initTime 2017-01-29T15:22:35 --startdatetime 2017-01-29T15:30:15 --delay 1 --endMP 204:233311 --enddatetime 2017-01-29T16:05:47 --enforcementcount 0 &gt;&gt;C:\Users\stu\Documents\GitHub\eaglep3-reporting\EC\2017-01-29-refined-times.txt</v>
      </c>
      <c r="AI109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{"issue":{"subject":"","project_id":79,"tracker_id":40,"status_id":1,"priority_id":2,"assigned_to_id":23,"start_date":"2017-01-29","description":"","custom_fields":[{"id":1,"name":"Subdivision","value":"EC"},{"id":4,"name":"Milepost","value":"23.3311"},{"id":17,"name":"Train ID","value":"195-29"},{"id":16,"name":"Locomotive ID","value":"4007"},{"id":130,"name":"Impact","value":""},{"id":150,"name":"Time of Event (Mountain Time)","value":"16:05:47"},{"id":151,"name":"Denver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9"/>
        <v>start /low /b %USERPROFILE%\Documents\GitHub\eaglep3\Utilities\DownloadLogsFromS3.py --loco 4007 --day 2017-01-29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"%USERPROFILE%\AppData\Local\Temp\OnboardLogs"\RTDC4007\*4007*20170129* | grep -SE "(Enforcement Action)|(\[TIMEOUT)|(CHR.+\|PRM\|1\|D.+(SWITCH|SIGNAL).+UNKNOWN)" - &gt;&gt; 2017-01-29-UncaughtWiMAX.txt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598</v>
      </c>
      <c r="B110" s="7">
        <v>4008</v>
      </c>
      <c r="C110" s="22" t="s">
        <v>193</v>
      </c>
      <c r="D110" s="22" t="s">
        <v>378</v>
      </c>
      <c r="E110" s="13">
        <v>42764.678460648145</v>
      </c>
      <c r="F110" s="13">
        <v>42764.684918981482</v>
      </c>
      <c r="G110" s="7">
        <v>1</v>
      </c>
      <c r="H110" s="22" t="s">
        <v>184</v>
      </c>
      <c r="I110" s="13">
        <v>42764.711423611108</v>
      </c>
      <c r="J110" s="7">
        <v>0</v>
      </c>
      <c r="K110" s="105" t="str">
        <f t="shared" si="24"/>
        <v>4007/4008</v>
      </c>
      <c r="L110" s="22" t="str">
        <f>VLOOKUP(A110,'Trips&amp;Operators'!$C$1:$G$99999,5,FALSE)</f>
        <v>CRAYTON QUNTRELL</v>
      </c>
      <c r="M110" s="6">
        <f t="shared" si="25"/>
        <v>2.6504629626288079E-2</v>
      </c>
      <c r="N110" s="7">
        <f t="shared" si="42"/>
        <v>38.166666661854833</v>
      </c>
      <c r="O110" s="7"/>
      <c r="P110" s="7"/>
      <c r="Q110" s="23"/>
      <c r="R110" s="23"/>
      <c r="S110" s="32">
        <f t="shared" si="43"/>
        <v>1</v>
      </c>
      <c r="T110" s="47" t="str">
        <f t="shared" si="26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7"/>
        <v>https://d0f6bd738d7f1b3e5a7ca70fe4ff75f0.us-east-1.aws.found.io/app/kibana#/discover/Steve-Slow-Train-Analysis-(2080s-and-2083s)?_g=(refreshInterval:(display:Off,pause:!f,section:0,value:0),time:(from:'2017-01-29T15:16:59-0700',mode:absolute,to:'2017-01-29T18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0" s="49" t="str">
        <f t="shared" si="28"/>
        <v>N</v>
      </c>
      <c r="X110" s="170">
        <f t="shared" si="44"/>
        <v>1</v>
      </c>
      <c r="Y110" s="64">
        <f t="shared" si="30"/>
        <v>23.296900000000001</v>
      </c>
      <c r="Z110" s="64">
        <f t="shared" si="31"/>
        <v>1.49E-2</v>
      </c>
      <c r="AA110" s="64">
        <f t="shared" si="32"/>
        <v>23.282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3"/>
        <v>0196-29</v>
      </c>
      <c r="AE110" s="87" t="str">
        <f t="shared" si="34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110" s="84" t="str">
        <f t="shared" si="35"/>
        <v>"C:\Program Files (x86)\AstroGrep\AstroGrep.exe" /spath="%USERPROFILE%\AppData\Local\Temp\OnboardLogs" /stypes="app*4008*20170130*" /stext=" 00:.+((SYSTEM_STATE.+slice.+state.+changed )|(ment ac)|(multiple cpu faults)|(system.+state.+changed )|(\[timeout)|(PRM\|1\|D)|(kpr)|(kdp)|(\|lc)|(penalty))" /e /r /s</v>
      </c>
      <c r="AG110" s="1" t="str">
        <f t="shared" si="36"/>
        <v>EC</v>
      </c>
      <c r="AH110" s="88" t="str">
        <f t="shared" si="37"/>
        <v>"%USERPROFILE%\Documents\GitHub\eaglep3\Utilities\RefineRTDCRunTimes.py" --tripid 196-29 --locoid 4008 --swversion DE.1.0.8.0 --startMP 204:232969 --initTime 2017-01-29T16:16:59 --startdatetime 2017-01-29T16:26:17 --delay 1 --endMP 204:149 --enddatetime 2017-01-29T17:04:27 --enforcementcount 0 &gt;&gt;C:\Users\stu\Documents\GitHub\eaglep3-reporting\EC\2017-01-29-refined-times.txt</v>
      </c>
      <c r="AI110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{"issue":{"subject":"","project_id":79,"tracker_id":40,"status_id":1,"priority_id":2,"assigned_to_id":23,"start_date":"2017-01-29","description":"","custom_fields":[{"id":1,"name":"Subdivision","value":"EC"},{"id":4,"name":"Milepost","value":"0.0149"},{"id":17,"name":"Train ID","value":"196-29"},{"id":16,"name":"Locomotive ID","value":"4008"},{"id":130,"name":"Impact","value":""},{"id":150,"name":"Time of Event (Mountain Time)","value":"17:04:27"},{"id":151,"name":"Denver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9"/>
        <v>start /low /b %USERPROFILE%\Documents\GitHub\eaglep3\Utilities\DownloadLogsFromS3.py --loco 4008 --day 2017-01-29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"%USERPROFILE%\AppData\Local\Temp\OnboardLogs"\RTDC4008\*4008*20170129* | grep -SE "(Enforcement Action)|(\[TIMEOUT)|(CHR.+\|PRM\|1\|D.+(SWITCH|SIGNAL).+UNKNOWN)" - &gt;&gt; 2017-01-29-UncaughtWiMAX.txt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592</v>
      </c>
      <c r="B111" s="7">
        <v>4002</v>
      </c>
      <c r="C111" s="22" t="s">
        <v>193</v>
      </c>
      <c r="D111" s="22" t="s">
        <v>225</v>
      </c>
      <c r="E111" s="13">
        <v>42764.650358796294</v>
      </c>
      <c r="F111" s="13">
        <v>42764.656412037039</v>
      </c>
      <c r="G111" s="7">
        <v>1</v>
      </c>
      <c r="H111" s="22" t="s">
        <v>678</v>
      </c>
      <c r="I111" s="13">
        <v>42764.680983796294</v>
      </c>
      <c r="J111" s="7">
        <v>0</v>
      </c>
      <c r="K111" s="105" t="str">
        <f t="shared" si="24"/>
        <v>4001/4002</v>
      </c>
      <c r="L111" s="22" t="str">
        <f>VLOOKUP(A111,'Trips&amp;Operators'!$C$1:$G$99999,5,FALSE)</f>
        <v>ROMERO CHAD</v>
      </c>
      <c r="M111" s="6">
        <f t="shared" si="25"/>
        <v>2.4571759255195502E-2</v>
      </c>
      <c r="N111" s="7">
        <f t="shared" si="42"/>
        <v>35.383333327481523</v>
      </c>
      <c r="O111" s="7"/>
      <c r="P111" s="7"/>
      <c r="Q111" s="23"/>
      <c r="R111" s="23"/>
      <c r="S111" s="32">
        <f t="shared" si="43"/>
        <v>1</v>
      </c>
      <c r="T111" s="47" t="str">
        <f t="shared" si="26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7"/>
        <v>https://d0f6bd738d7f1b3e5a7ca70fe4ff75f0.us-east-1.aws.found.io/app/kibana#/discover/Steve-Slow-Train-Analysis-(2080s-and-2083s)?_g=(refreshInterval:(display:Off,pause:!f,section:0,value:0),time:(from:'2017-01-29T14:36:31-0700',mode:absolute,to:'2017-01-29T17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49" t="str">
        <f t="shared" si="28"/>
        <v>N</v>
      </c>
      <c r="X111" s="170">
        <f t="shared" si="44"/>
        <v>1</v>
      </c>
      <c r="Y111" s="64">
        <f t="shared" si="30"/>
        <v>4.6899999999999997E-2</v>
      </c>
      <c r="Z111" s="64">
        <f t="shared" si="31"/>
        <v>23.3323</v>
      </c>
      <c r="AA111" s="64">
        <f t="shared" si="32"/>
        <v>23.285399999999999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33"/>
        <v>0197-29</v>
      </c>
      <c r="AE111" s="87" t="str">
        <f t="shared" si="34"/>
        <v>aws s3 cp s3://rtdc.mdm.uploadarchive.raw/RTDC4002/ "%USERPROFILE%\AppData\Local\Temp\OnboardLogs"\RTDC4002\2017-01-29 --exclude "*" --recursive --include "*20170129*" &amp; "%USERPROFILE%\Documents\GitHub\mrs-test-scripts\Headless Mode &amp; Sideloading\WalkAndUnGZ.bat" "%USERPROFILE%\AppData\Local\Temp\OnboardLogs"\RTDC4002\2017-01-29 &amp; 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</v>
      </c>
      <c r="AF111" s="84" t="str">
        <f t="shared" si="35"/>
        <v>"C:\Program Files (x86)\AstroGrep\AstroGrep.exe" /spath="%USERPROFILE%\AppData\Local\Temp\OnboardLogs" /stypes="app*4002*20170129*" /stext=" 23:.+((SYSTEM_STATE.+slice.+state.+changed )|(ment ac)|(multiple cpu faults)|(system.+state.+changed )|(\[timeout)|(PRM\|1\|D)|(kpr)|(kdp)|(\|lc)|(penalty))" /e /r /s</v>
      </c>
      <c r="AG111" s="1" t="str">
        <f t="shared" si="36"/>
        <v>EC</v>
      </c>
      <c r="AH111" s="88" t="str">
        <f t="shared" si="37"/>
        <v>"%USERPROFILE%\Documents\GitHub\eaglep3\Utilities\RefineRTDCRunTimes.py" --tripid 197-29 --locoid 4002 --swversion DE.1.0.8.0 --startMP 204:469 --initTime 2017-01-29T15:36:31 --startdatetime 2017-01-29T15:45:14 --delay 1 --endMP 204:233323 --enddatetime 2017-01-29T16:20:37 --enforcementcount 0 &gt;&gt;C:\Users\stu\Documents\GitHub\eaglep3-reporting\EC\2017-01-29-refined-times.txt</v>
      </c>
      <c r="AI111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{"issue":{"subject":"","project_id":79,"tracker_id":40,"status_id":1,"priority_id":2,"assigned_to_id":23,"start_date":"2017-01-29","description":"","custom_fields":[{"id":1,"name":"Subdivision","value":"EC"},{"id":4,"name":"Milepost","value":"23.3323"},{"id":17,"name":"Train ID","value":"197-29"},{"id":16,"name":"Locomotive ID","value":"4002"},{"id":130,"name":"Impact","value":""},{"id":150,"name":"Time of Event (Mountain Time)","value":"16:20:37"},{"id":151,"name":"Denver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9"/>
        <v>start /low /b %USERPROFILE%\Documents\GitHub\eaglep3\Utilities\DownloadLogsFromS3.py --loco 4002 --day 2017-01-29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"%USERPROFILE%\AppData\Local\Temp\OnboardLogs"\RTDC4002\*4002*20170129* | grep -SE "(Enforcement Action)|(\[TIMEOUT)|(CHR.+\|PRM\|1\|D.+(SWITCH|SIGNAL).+UNKNOWN)" - &gt;&gt; 2017-01-29-UncaughtWiMAX.txt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599</v>
      </c>
      <c r="B112" s="7">
        <v>4001</v>
      </c>
      <c r="C112" s="22" t="s">
        <v>193</v>
      </c>
      <c r="D112" s="22" t="s">
        <v>377</v>
      </c>
      <c r="E112" s="13">
        <v>42764.68304398148</v>
      </c>
      <c r="F112" s="13">
        <v>42764.695474537039</v>
      </c>
      <c r="G112" s="7">
        <v>1</v>
      </c>
      <c r="H112" s="22" t="s">
        <v>757</v>
      </c>
      <c r="I112" s="13">
        <v>42764.721886574072</v>
      </c>
      <c r="J112" s="7">
        <v>0</v>
      </c>
      <c r="K112" s="105" t="str">
        <f t="shared" si="24"/>
        <v>4001/4002</v>
      </c>
      <c r="L112" s="22" t="str">
        <f>VLOOKUP(A112,'Trips&amp;Operators'!$C$1:$G$99999,5,FALSE)</f>
        <v>ROMERO CHAD</v>
      </c>
      <c r="M112" s="6">
        <f t="shared" si="25"/>
        <v>2.6412037033878732E-2</v>
      </c>
      <c r="N112" s="7">
        <f t="shared" si="42"/>
        <v>38.033333328785375</v>
      </c>
      <c r="O112" s="7"/>
      <c r="P112" s="7"/>
      <c r="Q112" s="23"/>
      <c r="R112" s="23"/>
      <c r="S112" s="32">
        <f t="shared" si="43"/>
        <v>1</v>
      </c>
      <c r="T112" s="47" t="str">
        <f t="shared" si="26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7"/>
        <v>https://d0f6bd738d7f1b3e5a7ca70fe4ff75f0.us-east-1.aws.found.io/app/kibana#/discover/Steve-Slow-Train-Analysis-(2080s-and-2083s)?_g=(refreshInterval:(display:Off,pause:!f,section:0,value:0),time:(from:'2017-01-29T15:23:35-0700',mode:absolute,to:'2017-01-29T18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49" t="str">
        <f t="shared" si="28"/>
        <v>N</v>
      </c>
      <c r="X112" s="170">
        <f t="shared" si="44"/>
        <v>1</v>
      </c>
      <c r="Y112" s="64">
        <f t="shared" si="30"/>
        <v>23.300599999999999</v>
      </c>
      <c r="Z112" s="64">
        <f t="shared" si="31"/>
        <v>1.01E-2</v>
      </c>
      <c r="AA112" s="64">
        <f t="shared" si="32"/>
        <v>23.290499999999998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3"/>
        <v>0198-29</v>
      </c>
      <c r="AE112" s="87" t="str">
        <f t="shared" si="34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112" s="84" t="str">
        <f t="shared" si="35"/>
        <v>"C:\Program Files (x86)\AstroGrep\AstroGrep.exe" /spath="%USERPROFILE%\AppData\Local\Temp\OnboardLogs" /stypes="app*4001*20170130*" /stext=" 00:.+((SYSTEM_STATE.+slice.+state.+changed )|(ment ac)|(multiple cpu faults)|(system.+state.+changed )|(\[timeout)|(PRM\|1\|D)|(kpr)|(kdp)|(\|lc)|(penalty))" /e /r /s</v>
      </c>
      <c r="AG112" s="1" t="str">
        <f t="shared" si="36"/>
        <v>EC</v>
      </c>
      <c r="AH112" s="88" t="str">
        <f t="shared" si="37"/>
        <v>"%USERPROFILE%\Documents\GitHub\eaglep3\Utilities\RefineRTDCRunTimes.py" --tripid 198-29 --locoid 4001 --swversion DE.1.0.8.0 --startMP 204:233006 --initTime 2017-01-29T16:23:35 --startdatetime 2017-01-29T16:41:29 --delay 1 --endMP 204:101 --enddatetime 2017-01-29T17:19:31 --enforcementcount 0 &gt;&gt;C:\Users\stu\Documents\GitHub\eaglep3-reporting\EC\2017-01-29-refined-times.txt</v>
      </c>
      <c r="AI112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{"issue":{"subject":"","project_id":79,"tracker_id":40,"status_id":1,"priority_id":2,"assigned_to_id":23,"start_date":"2017-01-29","description":"","custom_fields":[{"id":1,"name":"Subdivision","value":"EC"},{"id":4,"name":"Milepost","value":"0.0101"},{"id":17,"name":"Train ID","value":"198-29"},{"id":16,"name":"Locomotive ID","value":"4001"},{"id":130,"name":"Impact","value":""},{"id":150,"name":"Time of Event (Mountain Time)","value":"17:19:31"},{"id":151,"name":"Denver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9"/>
        <v>start /low /b %USERPROFILE%\Documents\GitHub\eaglep3\Utilities\DownloadLogsFromS3.py --loco 4001 --day 2017-01-29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"%USERPROFILE%\AppData\Local\Temp\OnboardLogs"\RTDC4001\*4001*20170130* | grep -SE "(Enforcement Action)|(\[TIMEOUT)|(CHR.+\|PRM\|1\|D.+(SWITCH|SIGNAL).+UNKNOWN)" - &gt;&gt; 2017-01-29-UncaughtWiMAX.txt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595</v>
      </c>
      <c r="B113" s="7">
        <v>4038</v>
      </c>
      <c r="C113" s="22" t="s">
        <v>193</v>
      </c>
      <c r="D113" s="22" t="s">
        <v>212</v>
      </c>
      <c r="E113" s="13">
        <v>42764.661851851852</v>
      </c>
      <c r="F113" s="13">
        <v>42764.666863425926</v>
      </c>
      <c r="G113" s="7">
        <v>1</v>
      </c>
      <c r="H113" s="22" t="s">
        <v>226</v>
      </c>
      <c r="I113" s="13">
        <v>42764.693969907406</v>
      </c>
      <c r="J113" s="7">
        <v>0</v>
      </c>
      <c r="K113" s="105" t="str">
        <f t="shared" si="24"/>
        <v>4037/4038</v>
      </c>
      <c r="L113" s="22" t="str">
        <f>VLOOKUP(A113,'Trips&amp;Operators'!$C$1:$G$99999,5,FALSE)</f>
        <v>KILLION DAVID</v>
      </c>
      <c r="M113" s="6">
        <f t="shared" si="25"/>
        <v>2.7106481480586808E-2</v>
      </c>
      <c r="N113" s="7">
        <f t="shared" si="42"/>
        <v>39.033333332045004</v>
      </c>
      <c r="O113" s="7"/>
      <c r="P113" s="7"/>
      <c r="Q113" s="23"/>
      <c r="R113" s="23"/>
      <c r="S113" s="32">
        <f t="shared" si="43"/>
        <v>1</v>
      </c>
      <c r="T113" s="47" t="str">
        <f t="shared" si="26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7"/>
        <v>https://d0f6bd738d7f1b3e5a7ca70fe4ff75f0.us-east-1.aws.found.io/app/kibana#/discover/Steve-Slow-Train-Analysis-(2080s-and-2083s)?_g=(refreshInterval:(display:Off,pause:!f,section:0,value:0),time:(from:'2017-01-29T14:53:04-0700',mode:absolute,to:'2017-01-29T17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13" s="49" t="str">
        <f t="shared" si="28"/>
        <v>N</v>
      </c>
      <c r="X113" s="170">
        <f t="shared" si="44"/>
        <v>1</v>
      </c>
      <c r="Y113" s="64">
        <f t="shared" si="30"/>
        <v>4.6199999999999998E-2</v>
      </c>
      <c r="Z113" s="64">
        <f t="shared" si="31"/>
        <v>23.329899999999999</v>
      </c>
      <c r="AA113" s="64">
        <f t="shared" si="32"/>
        <v>23.2837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3"/>
        <v>0199-29</v>
      </c>
      <c r="AE113" s="87" t="str">
        <f t="shared" si="34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113" s="84" t="str">
        <f t="shared" si="35"/>
        <v>"C:\Program Files (x86)\AstroGrep\AstroGrep.exe" /spath="%USERPROFILE%\AppData\Local\Temp\OnboardLogs" /stypes="app*4038*20170129*" /stext=" 23:.+((SYSTEM_STATE.+slice.+state.+changed )|(ment ac)|(multiple cpu faults)|(system.+state.+changed )|(\[timeout)|(PRM\|1\|D)|(kpr)|(kdp)|(\|lc)|(penalty))" /e /r /s</v>
      </c>
      <c r="AG113" s="1" t="str">
        <f t="shared" si="36"/>
        <v>EC</v>
      </c>
      <c r="AH113" s="88" t="str">
        <f t="shared" si="37"/>
        <v>"%USERPROFILE%\Documents\GitHub\eaglep3\Utilities\RefineRTDCRunTimes.py" --tripid 199-29 --locoid 4038 --swversion DE.1.0.8.0 --startMP 204:462 --initTime 2017-01-29T15:53:04 --startdatetime 2017-01-29T16:00:17 --delay 1 --endMP 204:233299 --enddatetime 2017-01-29T16:39:19 --enforcementcount 0 &gt;&gt;C:\Users\stu\Documents\GitHub\eaglep3-reporting\EC\2017-01-29-refined-times.txt</v>
      </c>
      <c r="AI113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{"issue":{"subject":"","project_id":79,"tracker_id":40,"status_id":1,"priority_id":2,"assigned_to_id":23,"start_date":"2017-01-29","description":"","custom_fields":[{"id":1,"name":"Subdivision","value":"EC"},{"id":4,"name":"Milepost","value":"23.3299"},{"id":17,"name":"Train ID","value":"199-29"},{"id":16,"name":"Locomotive ID","value":"4038"},{"id":130,"name":"Impact","value":""},{"id":150,"name":"Time of Event (Mountain Time)","value":"16:39:19"},{"id":151,"name":"Denver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9"/>
        <v>start /low /b %USERPROFILE%\Documents\GitHub\eaglep3\Utilities\DownloadLogsFromS3.py --loco 4038 --day 2017-01-29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"%USERPROFILE%\AppData\Local\Temp\OnboardLogs"\RTDC4038\*4038*20170129* | grep -SE "(Enforcement Action)|(\[TIMEOUT)|(CHR.+\|PRM\|1\|D.+(SWITCH|SIGNAL).+UNKNOWN)" - &gt;&gt; 2017-01-29-UncaughtWiMAX.txt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470</v>
      </c>
      <c r="B114" s="7">
        <v>4037</v>
      </c>
      <c r="C114" s="22" t="s">
        <v>193</v>
      </c>
      <c r="D114" s="22" t="s">
        <v>309</v>
      </c>
      <c r="E114" s="13">
        <v>42764.699976851851</v>
      </c>
      <c r="F114" s="13">
        <v>42764.705787037034</v>
      </c>
      <c r="G114" s="7">
        <v>1</v>
      </c>
      <c r="H114" s="22" t="s">
        <v>255</v>
      </c>
      <c r="I114" s="13">
        <v>42764.734583333331</v>
      </c>
      <c r="J114" s="7">
        <v>0</v>
      </c>
      <c r="K114" s="105" t="str">
        <f t="shared" si="24"/>
        <v>4037/4038</v>
      </c>
      <c r="L114" s="22" t="str">
        <f>VLOOKUP(A114,'Trips&amp;Operators'!$C$1:$G$99999,5,FALSE)</f>
        <v>KILLION DAVID</v>
      </c>
      <c r="M114" s="6">
        <f t="shared" si="25"/>
        <v>2.8796296297514345E-2</v>
      </c>
      <c r="N114" s="7">
        <f t="shared" si="42"/>
        <v>41.466666668420658</v>
      </c>
      <c r="O114" s="7"/>
      <c r="P114" s="7"/>
      <c r="Q114" s="23"/>
      <c r="R114" s="23"/>
      <c r="S114" s="32">
        <f t="shared" si="43"/>
        <v>1</v>
      </c>
      <c r="T114" s="47" t="str">
        <f t="shared" si="26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7"/>
        <v>https://d0f6bd738d7f1b3e5a7ca70fe4ff75f0.us-east-1.aws.found.io/app/kibana#/discover/Steve-Slow-Train-Analysis-(2080s-and-2083s)?_g=(refreshInterval:(display:Off,pause:!f,section:0,value:0),time:(from:'2017-01-29T15:47:58-0700',mode:absolute,to:'2017-01-29T18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4" s="49" t="str">
        <f t="shared" si="28"/>
        <v>N</v>
      </c>
      <c r="X114" s="170">
        <f t="shared" si="44"/>
        <v>1</v>
      </c>
      <c r="Y114" s="64">
        <f t="shared" si="30"/>
        <v>23.297499999999999</v>
      </c>
      <c r="Z114" s="64">
        <f t="shared" si="31"/>
        <v>1.61E-2</v>
      </c>
      <c r="AA114" s="64">
        <f t="shared" si="32"/>
        <v>23.281399999999998</v>
      </c>
      <c r="AB114" s="61" t="str">
        <f>VLOOKUP(A114,Enforcements!$C$7:$K$16,8,0)</f>
        <v>Track device (7)</v>
      </c>
      <c r="AC114" s="57" t="str">
        <f>VLOOKUP(A114,Enforcements!$C$7:$E$16,3,0)</f>
        <v>SWITCH UNKNOWN</v>
      </c>
      <c r="AD114" s="58" t="str">
        <f t="shared" si="33"/>
        <v>0200-29</v>
      </c>
      <c r="AE114" s="87" t="str">
        <f t="shared" si="34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114" s="84" t="str">
        <f t="shared" si="35"/>
        <v>"C:\Program Files (x86)\AstroGrep\AstroGrep.exe" /spath="%USERPROFILE%\AppData\Local\Temp\OnboardLogs" /stypes="app*4037*20170130*" /stext=" 00:.+((SYSTEM_STATE.+slice.+state.+changed )|(ment ac)|(multiple cpu faults)|(system.+state.+changed )|(\[timeout)|(PRM\|1\|D)|(kpr)|(kdp)|(\|lc)|(penalty))" /e /r /s</v>
      </c>
      <c r="AG114" s="1" t="str">
        <f t="shared" si="36"/>
        <v>EC</v>
      </c>
      <c r="AH114" s="88" t="str">
        <f t="shared" si="37"/>
        <v>"%USERPROFILE%\Documents\GitHub\eaglep3\Utilities\RefineRTDCRunTimes.py" --tripid 200-29 --locoid 4037 --swversion DE.1.0.8.0 --startMP 204:232975 --initTime 2017-01-29T16:47:58 --startdatetime 2017-01-29T16:56:20 --delay 1 --endMP 204:161 --enddatetime 2017-01-29T17:37:48 --enforcementcount 0 &gt;&gt;C:\Users\stu\Documents\GitHub\eaglep3-reporting\EC\2017-01-29-refined-times.txt</v>
      </c>
      <c r="AI114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{"issue":{"subject":"","project_id":79,"tracker_id":40,"status_id":1,"priority_id":2,"assigned_to_id":23,"start_date":"2017-01-29","description":"","custom_fields":[{"id":1,"name":"Subdivision","value":"EC"},{"id":4,"name":"Milepost","value":"0.0161"},{"id":17,"name":"Train ID","value":"200-29"},{"id":16,"name":"Locomotive ID","value":"4037"},{"id":130,"name":"Impact","value":""},{"id":150,"name":"Time of Event (Mountain Time)","value":"17:37:48"},{"id":151,"name":"Denver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9"/>
        <v>start /low /b %USERPROFILE%\Documents\GitHub\eaglep3\Utilities\DownloadLogsFromS3.py --loco 4037 --day 2017-01-29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"%USERPROFILE%\AppData\Local\Temp\OnboardLogs"\RTDC4037\*4037*20170130* | grep -SE "(Enforcement Action)|(\[TIMEOUT)|(CHR.+\|PRM\|1\|D.+(SWITCH|SIGNAL).+UNKNOWN)" - &gt;&gt; 2017-01-29-UncaughtWiMAX.txt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597</v>
      </c>
      <c r="B115" s="7">
        <v>4020</v>
      </c>
      <c r="C115" s="22" t="s">
        <v>193</v>
      </c>
      <c r="D115" s="22" t="s">
        <v>244</v>
      </c>
      <c r="E115" s="13">
        <v>42764.673437500001</v>
      </c>
      <c r="F115" s="13">
        <v>42764.677476851852</v>
      </c>
      <c r="G115" s="7">
        <v>2</v>
      </c>
      <c r="H115" s="22" t="s">
        <v>758</v>
      </c>
      <c r="I115" s="13">
        <v>42764.702662037038</v>
      </c>
      <c r="J115" s="7">
        <v>0</v>
      </c>
      <c r="K115" s="105" t="str">
        <f t="shared" si="24"/>
        <v>4019/4020</v>
      </c>
      <c r="L115" s="22" t="str">
        <f>VLOOKUP(A115,'Trips&amp;Operators'!$C$1:$G$99999,5,FALSE)</f>
        <v>STEWART MICHAEL</v>
      </c>
      <c r="M115" s="6">
        <f t="shared" si="25"/>
        <v>2.5185185186273884E-2</v>
      </c>
      <c r="N115" s="7">
        <f t="shared" si="42"/>
        <v>36.266666668234393</v>
      </c>
      <c r="O115" s="7"/>
      <c r="P115" s="7"/>
      <c r="Q115" s="23"/>
      <c r="R115" s="23"/>
      <c r="S115" s="32">
        <f t="shared" si="43"/>
        <v>1</v>
      </c>
      <c r="T115" s="47" t="str">
        <f t="shared" si="26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7"/>
        <v>https://d0f6bd738d7f1b3e5a7ca70fe4ff75f0.us-east-1.aws.found.io/app/kibana#/discover/Steve-Slow-Train-Analysis-(2080s-and-2083s)?_g=(refreshInterval:(display:Off,pause:!f,section:0,value:0),time:(from:'2017-01-29T15:09:45-0700',mode:absolute,to:'2017-01-29T17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49" t="str">
        <f t="shared" si="28"/>
        <v>N</v>
      </c>
      <c r="X115" s="170">
        <f t="shared" si="44"/>
        <v>1</v>
      </c>
      <c r="Y115" s="64">
        <f t="shared" si="30"/>
        <v>4.6600000000000003E-2</v>
      </c>
      <c r="Z115" s="64">
        <f t="shared" si="31"/>
        <v>23.334399999999999</v>
      </c>
      <c r="AA115" s="64">
        <f t="shared" si="32"/>
        <v>23.287799999999997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33"/>
        <v>0201-29</v>
      </c>
      <c r="AE115" s="87" t="str">
        <f t="shared" si="34"/>
        <v>aws s3 cp s3://rtdc.mdm.uploadarchive.raw/RTDC4020/ "%USERPROFILE%\AppData\Local\Temp\OnboardLogs"\RTDC4020\2017-01-29 --exclude "*" --recursive --include "*20170129*" &amp; "%USERPROFILE%\Documents\GitHub\mrs-test-scripts\Headless Mode &amp; Sideloading\WalkAndUnGZ.bat" "%USERPROFILE%\AppData\Local\Temp\OnboardLogs"\RTDC4020\2017-01-29 &amp; 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</v>
      </c>
      <c r="AF115" s="84" t="str">
        <f t="shared" si="35"/>
        <v>"C:\Program Files (x86)\AstroGrep\AstroGrep.exe" /spath="%USERPROFILE%\AppData\Local\Temp\OnboardLogs" /stypes="app*4020*20170129*" /stext=" 23:.+((SYSTEM_STATE.+slice.+state.+changed )|(ment ac)|(multiple cpu faults)|(system.+state.+changed )|(\[timeout)|(PRM\|1\|D)|(kpr)|(kdp)|(\|lc)|(penalty))" /e /r /s</v>
      </c>
      <c r="AG115" s="1" t="str">
        <f t="shared" si="36"/>
        <v>EC</v>
      </c>
      <c r="AH115" s="88" t="str">
        <f t="shared" si="37"/>
        <v>"%USERPROFILE%\Documents\GitHub\eaglep3\Utilities\RefineRTDCRunTimes.py" --tripid 201-29 --locoid 4020 --swversion DE.1.0.8.0 --startMP 204:466 --initTime 2017-01-29T16:09:45 --startdatetime 2017-01-29T16:15:34 --delay 2 --endMP 204:233344 --enddatetime 2017-01-29T16:51:50 --enforcementcount 0 &gt;&gt;C:\Users\stu\Documents\GitHub\eaglep3-reporting\EC\2017-01-29-refined-times.txt</v>
      </c>
      <c r="AI115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{"issue":{"subject":"","project_id":79,"tracker_id":40,"status_id":1,"priority_id":2,"assigned_to_id":23,"start_date":"2017-01-29","description":"","custom_fields":[{"id":1,"name":"Subdivision","value":"EC"},{"id":4,"name":"Milepost","value":"23.3344"},{"id":17,"name":"Train ID","value":"201-29"},{"id":16,"name":"Locomotive ID","value":"4020"},{"id":130,"name":"Impact","value":""},{"id":150,"name":"Time of Event (Mountain Time)","value":"16:51:50"},{"id":151,"name":"Denver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9"/>
        <v>start /low /b %USERPROFILE%\Documents\GitHub\eaglep3\Utilities\DownloadLogsFromS3.py --loco 4020 --day 2017-01-29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"%USERPROFILE%\AppData\Local\Temp\OnboardLogs"\RTDC4020\*4020*20170129* | grep -SE "(Enforcement Action)|(\[TIMEOUT)|(CHR.+\|PRM\|1\|D.+(SWITCH|SIGNAL).+UNKNOWN)" - &gt;&gt; 2017-01-29-UncaughtWiMAX.txt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604</v>
      </c>
      <c r="B116" s="7">
        <v>4019</v>
      </c>
      <c r="C116" s="22" t="s">
        <v>193</v>
      </c>
      <c r="D116" s="22" t="s">
        <v>425</v>
      </c>
      <c r="E116" s="13">
        <v>42764.712835648148</v>
      </c>
      <c r="F116" s="13">
        <v>42764.716273148151</v>
      </c>
      <c r="G116" s="7">
        <v>2</v>
      </c>
      <c r="H116" s="22" t="s">
        <v>759</v>
      </c>
      <c r="I116" s="13">
        <v>42764.74496527778</v>
      </c>
      <c r="J116" s="7">
        <v>0</v>
      </c>
      <c r="K116" s="105" t="str">
        <f t="shared" si="24"/>
        <v>4019/4020</v>
      </c>
      <c r="L116" s="22" t="str">
        <f>VLOOKUP(A116,'Trips&amp;Operators'!$C$1:$G$99999,5,FALSE)</f>
        <v>STEWART MICHAEL</v>
      </c>
      <c r="M116" s="6">
        <f t="shared" si="25"/>
        <v>2.8692129628325347E-2</v>
      </c>
      <c r="N116" s="7">
        <f t="shared" si="42"/>
        <v>41.316666664788499</v>
      </c>
      <c r="O116" s="7"/>
      <c r="P116" s="7"/>
      <c r="Q116" s="23"/>
      <c r="R116" s="23"/>
      <c r="S116" s="32">
        <f t="shared" si="43"/>
        <v>1</v>
      </c>
      <c r="T116" s="47" t="str">
        <f t="shared" si="26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7"/>
        <v>https://d0f6bd738d7f1b3e5a7ca70fe4ff75f0.us-east-1.aws.found.io/app/kibana#/discover/Steve-Slow-Train-Analysis-(2080s-and-2083s)?_g=(refreshInterval:(display:Off,pause:!f,section:0,value:0),time:(from:'2017-01-29T16:06:29-0700',mode:absolute,to:'2017-01-29T18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49" t="str">
        <f t="shared" si="28"/>
        <v>N</v>
      </c>
      <c r="X116" s="170">
        <f t="shared" si="44"/>
        <v>1</v>
      </c>
      <c r="Y116" s="64">
        <f t="shared" si="30"/>
        <v>23.297899999999998</v>
      </c>
      <c r="Z116" s="64">
        <f t="shared" si="31"/>
        <v>0.1182</v>
      </c>
      <c r="AA116" s="64">
        <f t="shared" si="32"/>
        <v>23.179699999999997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33"/>
        <v>0202-29</v>
      </c>
      <c r="AE116" s="87" t="str">
        <f t="shared" si="34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116" s="84" t="str">
        <f t="shared" si="35"/>
        <v>"C:\Program Files (x86)\AstroGrep\AstroGrep.exe" /spath="%USERPROFILE%\AppData\Local\Temp\OnboardLogs" /stypes="app*4019*20170130*" /stext=" 00:.+((SYSTEM_STATE.+slice.+state.+changed )|(ment ac)|(multiple cpu faults)|(system.+state.+changed )|(\[timeout)|(PRM\|1\|D)|(kpr)|(kdp)|(\|lc)|(penalty))" /e /r /s</v>
      </c>
      <c r="AG116" s="1" t="str">
        <f t="shared" si="36"/>
        <v>EC</v>
      </c>
      <c r="AH116" s="88" t="str">
        <f t="shared" si="37"/>
        <v>"%USERPROFILE%\Documents\GitHub\eaglep3\Utilities\RefineRTDCRunTimes.py" --tripid 202-29 --locoid 4019 --swversion DE.1.0.8.0 --startMP 204:232979 --initTime 2017-01-29T17:06:29 --startdatetime 2017-01-29T17:11:26 --delay 2 --endMP 204:1182 --enddatetime 2017-01-29T17:52:45 --enforcementcount 0 &gt;&gt;C:\Users\stu\Documents\GitHub\eaglep3-reporting\EC\2017-01-29-refined-times.txt</v>
      </c>
      <c r="AI116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{"issue":{"subject":"","project_id":79,"tracker_id":40,"status_id":1,"priority_id":2,"assigned_to_id":23,"start_date":"2017-01-29","description":"","custom_fields":[{"id":1,"name":"Subdivision","value":"EC"},{"id":4,"name":"Milepost","value":"0.1182"},{"id":17,"name":"Train ID","value":"202-29"},{"id":16,"name":"Locomotive ID","value":"4019"},{"id":130,"name":"Impact","value":""},{"id":150,"name":"Time of Event (Mountain Time)","value":"17:52:45"},{"id":151,"name":"Denver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9"/>
        <v>start /low /b %USERPROFILE%\Documents\GitHub\eaglep3\Utilities\DownloadLogsFromS3.py --loco 4019 --day 2017-01-29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"%USERPROFILE%\AppData\Local\Temp\OnboardLogs"\RTDC4019\*4019*20170130* | grep -SE "(Enforcement Action)|(\[TIMEOUT)|(CHR.+\|PRM\|1\|D.+(SWITCH|SIGNAL).+UNKNOWN)" - &gt;&gt; 2017-01-29-UncaughtWiMAX.txt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600</v>
      </c>
      <c r="B117" s="7">
        <v>4025</v>
      </c>
      <c r="C117" s="22" t="s">
        <v>193</v>
      </c>
      <c r="D117" s="22" t="s">
        <v>431</v>
      </c>
      <c r="E117" s="13">
        <v>42764.684166666666</v>
      </c>
      <c r="F117" s="13">
        <v>42764.687916666669</v>
      </c>
      <c r="G117" s="7">
        <v>1</v>
      </c>
      <c r="H117" s="22" t="s">
        <v>310</v>
      </c>
      <c r="I117" s="13">
        <v>42764.714907407404</v>
      </c>
      <c r="J117" s="7">
        <v>0</v>
      </c>
      <c r="K117" s="105" t="str">
        <f t="shared" si="24"/>
        <v>4025/4026</v>
      </c>
      <c r="L117" s="22" t="str">
        <f>VLOOKUP(A117,'Trips&amp;Operators'!$C$1:$G$99999,5,FALSE)</f>
        <v>DAVIS MICHAEL</v>
      </c>
      <c r="M117" s="6">
        <f t="shared" si="25"/>
        <v>2.6990740734618157E-2</v>
      </c>
      <c r="N117" s="7">
        <f t="shared" si="42"/>
        <v>38.866666657850146</v>
      </c>
      <c r="O117" s="7"/>
      <c r="P117" s="7"/>
      <c r="Q117" s="23"/>
      <c r="R117" s="23"/>
      <c r="S117" s="32">
        <f t="shared" si="43"/>
        <v>1</v>
      </c>
      <c r="T117" s="47" t="str">
        <f t="shared" si="26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7"/>
        <v>https://d0f6bd738d7f1b3e5a7ca70fe4ff75f0.us-east-1.aws.found.io/app/kibana#/discover/Steve-Slow-Train-Analysis-(2080s-and-2083s)?_g=(refreshInterval:(display:Off,pause:!f,section:0,value:0),time:(from:'2017-01-29T15:25:12-0700',mode:absolute,to:'2017-01-29T18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49" t="str">
        <f t="shared" si="28"/>
        <v>N</v>
      </c>
      <c r="X117" s="170">
        <f t="shared" si="44"/>
        <v>1</v>
      </c>
      <c r="Y117" s="64">
        <f t="shared" si="30"/>
        <v>4.2200000000000001E-2</v>
      </c>
      <c r="Z117" s="64">
        <f t="shared" si="31"/>
        <v>23.330100000000002</v>
      </c>
      <c r="AA117" s="64">
        <f t="shared" si="32"/>
        <v>23.2879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3"/>
        <v>0203-29</v>
      </c>
      <c r="AE117" s="87" t="str">
        <f t="shared" si="34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117" s="84" t="str">
        <f t="shared" si="35"/>
        <v>"C:\Program Files (x86)\AstroGrep\AstroGrep.exe" /spath="%USERPROFILE%\AppData\Local\Temp\OnboardLogs" /stypes="app*4025*20170130*" /stext=" 00:.+((SYSTEM_STATE.+slice.+state.+changed )|(ment ac)|(multiple cpu faults)|(system.+state.+changed )|(\[timeout)|(PRM\|1\|D)|(kpr)|(kdp)|(\|lc)|(penalty))" /e /r /s</v>
      </c>
      <c r="AG117" s="1" t="str">
        <f t="shared" si="36"/>
        <v>EC</v>
      </c>
      <c r="AH117" s="88" t="str">
        <f t="shared" si="37"/>
        <v>"%USERPROFILE%\Documents\GitHub\eaglep3\Utilities\RefineRTDCRunTimes.py" --tripid 203-29 --locoid 4025 --swversion DE.1.0.8.0 --startMP 204:422 --initTime 2017-01-29T16:25:12 --startdatetime 2017-01-29T16:30:36 --delay 1 --endMP 204:233301 --enddatetime 2017-01-29T17:09:28 --enforcementcount 0 &gt;&gt;C:\Users\stu\Documents\GitHub\eaglep3-reporting\EC\2017-01-29-refined-times.txt</v>
      </c>
      <c r="AI117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{"issue":{"subject":"","project_id":79,"tracker_id":40,"status_id":1,"priority_id":2,"assigned_to_id":23,"start_date":"2017-01-29","description":"","custom_fields":[{"id":1,"name":"Subdivision","value":"EC"},{"id":4,"name":"Milepost","value":"23.3301"},{"id":17,"name":"Train ID","value":"203-29"},{"id":16,"name":"Locomotive ID","value":"4025"},{"id":130,"name":"Impact","value":""},{"id":150,"name":"Time of Event (Mountain Time)","value":"17:09:28"},{"id":151,"name":"Denver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9"/>
        <v>start /low /b %USERPROFILE%\Documents\GitHub\eaglep3\Utilities\DownloadLogsFromS3.py --loco 4025 --day 2017-01-29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"%USERPROFILE%\AppData\Local\Temp\OnboardLogs"\RTDC4025\*4025*20170129* | grep -SE "(Enforcement Action)|(\[TIMEOUT)|(CHR.+\|PRM\|1\|D.+(SWITCH|SIGNAL).+UNKNOWN)" - &gt;&gt; 2017-01-29-UncaughtWiMAX.txt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607</v>
      </c>
      <c r="B118" s="7">
        <v>4026</v>
      </c>
      <c r="C118" s="22" t="s">
        <v>193</v>
      </c>
      <c r="D118" s="22" t="s">
        <v>418</v>
      </c>
      <c r="E118" s="13">
        <v>42764.722893518519</v>
      </c>
      <c r="F118" s="13">
        <v>42764.726689814815</v>
      </c>
      <c r="G118" s="7">
        <v>1</v>
      </c>
      <c r="H118" s="22" t="s">
        <v>382</v>
      </c>
      <c r="I118" s="13">
        <v>42764.754837962966</v>
      </c>
      <c r="J118" s="7">
        <v>0</v>
      </c>
      <c r="K118" s="105" t="str">
        <f t="shared" si="24"/>
        <v>4025/4026</v>
      </c>
      <c r="L118" s="22" t="str">
        <f>VLOOKUP(A118,'Trips&amp;Operators'!$C$1:$G$99999,5,FALSE)</f>
        <v>DAVIS MICHAEL</v>
      </c>
      <c r="M118" s="6">
        <f t="shared" si="25"/>
        <v>2.8148148150648922E-2</v>
      </c>
      <c r="N118" s="7">
        <f t="shared" si="42"/>
        <v>40.533333336934447</v>
      </c>
      <c r="O118" s="7"/>
      <c r="P118" s="7"/>
      <c r="Q118" s="23"/>
      <c r="R118" s="23"/>
      <c r="S118" s="32">
        <f t="shared" si="43"/>
        <v>1</v>
      </c>
      <c r="T118" s="47" t="str">
        <f t="shared" si="26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7"/>
        <v>https://d0f6bd738d7f1b3e5a7ca70fe4ff75f0.us-east-1.aws.found.io/app/kibana#/discover/Steve-Slow-Train-Analysis-(2080s-and-2083s)?_g=(refreshInterval:(display:Off,pause:!f,section:0,value:0),time:(from:'2017-01-29T16:20:58-0700',mode:absolute,to:'2017-01-29T19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8" s="49" t="str">
        <f t="shared" si="28"/>
        <v>N</v>
      </c>
      <c r="X118" s="170">
        <f t="shared" si="44"/>
        <v>1</v>
      </c>
      <c r="Y118" s="64">
        <f t="shared" si="30"/>
        <v>23.298400000000001</v>
      </c>
      <c r="Z118" s="64">
        <f t="shared" si="31"/>
        <v>1.34E-2</v>
      </c>
      <c r="AA118" s="64">
        <f t="shared" si="32"/>
        <v>23.285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3"/>
        <v>0204-29</v>
      </c>
      <c r="AE118" s="87" t="str">
        <f t="shared" si="34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118" s="84" t="str">
        <f t="shared" si="35"/>
        <v>"C:\Program Files (x86)\AstroGrep\AstroGrep.exe" /spath="%USERPROFILE%\AppData\Local\Temp\OnboardLogs" /stypes="app*4026*20170130*" /stext=" 01:.+((SYSTEM_STATE.+slice.+state.+changed )|(ment ac)|(multiple cpu faults)|(system.+state.+changed )|(\[timeout)|(PRM\|1\|D)|(kpr)|(kdp)|(\|lc)|(penalty))" /e /r /s</v>
      </c>
      <c r="AG118" s="1" t="str">
        <f t="shared" si="36"/>
        <v>EC</v>
      </c>
      <c r="AH118" s="88" t="str">
        <f t="shared" si="37"/>
        <v>"%USERPROFILE%\Documents\GitHub\eaglep3\Utilities\RefineRTDCRunTimes.py" --tripid 204-29 --locoid 4026 --swversion DE.1.0.8.0 --startMP 204:232984 --initTime 2017-01-29T17:20:58 --startdatetime 2017-01-29T17:26:26 --delay 1 --endMP 204:134 --enddatetime 2017-01-29T18:06:58 --enforcementcount 0 &gt;&gt;C:\Users\stu\Documents\GitHub\eaglep3-reporting\EC\2017-01-29-refined-times.txt</v>
      </c>
      <c r="AI118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{"issue":{"subject":"","project_id":79,"tracker_id":40,"status_id":1,"priority_id":2,"assigned_to_id":23,"start_date":"2017-01-29","description":"","custom_fields":[{"id":1,"name":"Subdivision","value":"EC"},{"id":4,"name":"Milepost","value":"0.0134"},{"id":17,"name":"Train ID","value":"204-29"},{"id":16,"name":"Locomotive ID","value":"4026"},{"id":130,"name":"Impact","value":""},{"id":150,"name":"Time of Event (Mountain Time)","value":"18:06:58"},{"id":151,"name":"Denver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9"/>
        <v>start /low /b %USERPROFILE%\Documents\GitHub\eaglep3\Utilities\DownloadLogsFromS3.py --loco 4026 --day 2017-01-29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"%USERPROFILE%\AppData\Local\Temp\OnboardLogs"\RTDC4026\*4026*20170130* | grep -SE "(Enforcement Action)|(\[TIMEOUT)|(CHR.+\|PRM\|1\|D.+(SWITCH|SIGNAL).+UNKNOWN)" - &gt;&gt; 2017-01-29-UncaughtWiMAX.txt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602</v>
      </c>
      <c r="B119" s="7">
        <v>4011</v>
      </c>
      <c r="C119" s="22" t="s">
        <v>193</v>
      </c>
      <c r="D119" s="22" t="s">
        <v>760</v>
      </c>
      <c r="E119" s="13">
        <v>42764.694027777776</v>
      </c>
      <c r="F119" s="13">
        <v>42764.698078703703</v>
      </c>
      <c r="G119" s="7">
        <v>1</v>
      </c>
      <c r="H119" s="22" t="s">
        <v>761</v>
      </c>
      <c r="I119" s="13">
        <v>42764.722939814812</v>
      </c>
      <c r="J119" s="7">
        <v>0</v>
      </c>
      <c r="K119" s="105" t="str">
        <f t="shared" si="24"/>
        <v>4011/4012</v>
      </c>
      <c r="L119" s="22" t="str">
        <f>VLOOKUP(A119,'Trips&amp;Operators'!$C$1:$G$99999,5,FALSE)</f>
        <v>LEVIN SCOTT</v>
      </c>
      <c r="M119" s="6">
        <f t="shared" si="25"/>
        <v>2.4861111109203193E-2</v>
      </c>
      <c r="N119" s="7">
        <f t="shared" si="42"/>
        <v>35.799999997252598</v>
      </c>
      <c r="O119" s="7"/>
      <c r="P119" s="7"/>
      <c r="Q119" s="23"/>
      <c r="R119" s="23"/>
      <c r="S119" s="32">
        <f t="shared" si="43"/>
        <v>1</v>
      </c>
      <c r="T119" s="47" t="str">
        <f t="shared" si="26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7"/>
        <v>https://d0f6bd738d7f1b3e5a7ca70fe4ff75f0.us-east-1.aws.found.io/app/kibana#/discover/Steve-Slow-Train-Analysis-(2080s-and-2083s)?_g=(refreshInterval:(display:Off,pause:!f,section:0,value:0),time:(from:'2017-01-29T15:39:24-0700',mode:absolute,to:'2017-01-29T18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9" s="49" t="str">
        <f t="shared" si="28"/>
        <v>N</v>
      </c>
      <c r="X119" s="170">
        <f t="shared" si="44"/>
        <v>1</v>
      </c>
      <c r="Y119" s="64">
        <f t="shared" si="30"/>
        <v>3.9800000000000002E-2</v>
      </c>
      <c r="Z119" s="64">
        <f t="shared" si="31"/>
        <v>23.3383</v>
      </c>
      <c r="AA119" s="64">
        <f t="shared" si="32"/>
        <v>23.298500000000001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3"/>
        <v>0205-29</v>
      </c>
      <c r="AE119" s="87" t="str">
        <f t="shared" si="34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119" s="84" t="str">
        <f t="shared" si="35"/>
        <v>"C:\Program Files (x86)\AstroGrep\AstroGrep.exe" /spath="%USERPROFILE%\AppData\Local\Temp\OnboardLogs" /stypes="app*4011*20170130*" /stext=" 00:.+((SYSTEM_STATE.+slice.+state.+changed )|(ment ac)|(multiple cpu faults)|(system.+state.+changed )|(\[timeout)|(PRM\|1\|D)|(kpr)|(kdp)|(\|lc)|(penalty))" /e /r /s</v>
      </c>
      <c r="AG119" s="1" t="str">
        <f t="shared" si="36"/>
        <v>EC</v>
      </c>
      <c r="AH119" s="88" t="str">
        <f t="shared" si="37"/>
        <v>"%USERPROFILE%\Documents\GitHub\eaglep3\Utilities\RefineRTDCRunTimes.py" --tripid 205-29 --locoid 4011 --swversion DE.1.0.8.0 --startMP 204:398 --initTime 2017-01-29T16:39:24 --startdatetime 2017-01-29T16:45:14 --delay 1 --endMP 204:233383 --enddatetime 2017-01-29T17:21:02 --enforcementcount 0 &gt;&gt;C:\Users\stu\Documents\GitHub\eaglep3-reporting\EC\2017-01-29-refined-times.txt</v>
      </c>
      <c r="AI119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{"issue":{"subject":"","project_id":79,"tracker_id":40,"status_id":1,"priority_id":2,"assigned_to_id":23,"start_date":"2017-01-29","description":"","custom_fields":[{"id":1,"name":"Subdivision","value":"EC"},{"id":4,"name":"Milepost","value":"23.3383"},{"id":17,"name":"Train ID","value":"205-29"},{"id":16,"name":"Locomotive ID","value":"4011"},{"id":130,"name":"Impact","value":""},{"id":150,"name":"Time of Event (Mountain Time)","value":"17:21:02"},{"id":151,"name":"Denver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9"/>
        <v>start /low /b %USERPROFILE%\Documents\GitHub\eaglep3\Utilities\DownloadLogsFromS3.py --loco 4011 --day 2017-01-29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"%USERPROFILE%\AppData\Local\Temp\OnboardLogs"\RTDC4011\*4011*20170130* | grep -SE "(Enforcement Action)|(\[TIMEOUT)|(CHR.+\|PRM\|1\|D.+(SWITCH|SIGNAL).+UNKNOWN)" - &gt;&gt; 2017-01-29-UncaughtWiMAX.txt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611</v>
      </c>
      <c r="B120" s="7">
        <v>4012</v>
      </c>
      <c r="C120" s="22" t="s">
        <v>193</v>
      </c>
      <c r="D120" s="22" t="s">
        <v>749</v>
      </c>
      <c r="E120" s="13">
        <v>42764.732858796298</v>
      </c>
      <c r="F120" s="13">
        <v>42764.736990740741</v>
      </c>
      <c r="G120" s="7">
        <v>1</v>
      </c>
      <c r="H120" s="22" t="s">
        <v>382</v>
      </c>
      <c r="I120" s="13">
        <v>42764.763182870367</v>
      </c>
      <c r="J120" s="7">
        <v>0</v>
      </c>
      <c r="K120" s="105" t="str">
        <f t="shared" si="24"/>
        <v>4011/4012</v>
      </c>
      <c r="L120" s="22" t="str">
        <f>VLOOKUP(A120,'Trips&amp;Operators'!$C$1:$G$99999,5,FALSE)</f>
        <v>LEVIN SCOTT</v>
      </c>
      <c r="M120" s="6">
        <f t="shared" si="25"/>
        <v>2.619212962599704E-2</v>
      </c>
      <c r="N120" s="7">
        <f t="shared" si="42"/>
        <v>37.716666661435738</v>
      </c>
      <c r="O120" s="7"/>
      <c r="P120" s="7"/>
      <c r="Q120" s="23"/>
      <c r="R120" s="23"/>
      <c r="S120" s="32">
        <f t="shared" si="43"/>
        <v>1</v>
      </c>
      <c r="T120" s="47" t="str">
        <f t="shared" si="26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7"/>
        <v>https://d0f6bd738d7f1b3e5a7ca70fe4ff75f0.us-east-1.aws.found.io/app/kibana#/discover/Steve-Slow-Train-Analysis-(2080s-and-2083s)?_g=(refreshInterval:(display:Off,pause:!f,section:0,value:0),time:(from:'2017-01-29T16:35:19-0700',mode:absolute,to:'2017-01-29T19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49" t="str">
        <f t="shared" si="28"/>
        <v>N</v>
      </c>
      <c r="X120" s="170">
        <f t="shared" si="44"/>
        <v>1</v>
      </c>
      <c r="Y120" s="64">
        <f t="shared" si="30"/>
        <v>23.305900000000001</v>
      </c>
      <c r="Z120" s="64">
        <f t="shared" si="31"/>
        <v>1.34E-2</v>
      </c>
      <c r="AA120" s="64">
        <f t="shared" si="32"/>
        <v>23.2925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3"/>
        <v>0206-29</v>
      </c>
      <c r="AE120" s="87" t="str">
        <f t="shared" si="34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120" s="84" t="str">
        <f t="shared" si="35"/>
        <v>"C:\Program Files (x86)\AstroGrep\AstroGrep.exe" /spath="%USERPROFILE%\AppData\Local\Temp\OnboardLogs" /stypes="app*4012*20170130*" /stext=" 01:.+((SYSTEM_STATE.+slice.+state.+changed )|(ment ac)|(multiple cpu faults)|(system.+state.+changed )|(\[timeout)|(PRM\|1\|D)|(kpr)|(kdp)|(\|lc)|(penalty))" /e /r /s</v>
      </c>
      <c r="AG120" s="1" t="str">
        <f t="shared" si="36"/>
        <v>EC</v>
      </c>
      <c r="AH120" s="88" t="str">
        <f t="shared" si="37"/>
        <v>"%USERPROFILE%\Documents\GitHub\eaglep3\Utilities\RefineRTDCRunTimes.py" --tripid 206-29 --locoid 4012 --swversion DE.1.0.8.0 --startMP 204:233059 --initTime 2017-01-29T17:35:19 --startdatetime 2017-01-29T17:41:16 --delay 1 --endMP 204:134 --enddatetime 2017-01-29T18:18:59 --enforcementcount 0 &gt;&gt;C:\Users\stu\Documents\GitHub\eaglep3-reporting\EC\2017-01-29-refined-times.txt</v>
      </c>
      <c r="AI120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{"issue":{"subject":"","project_id":79,"tracker_id":40,"status_id":1,"priority_id":2,"assigned_to_id":23,"start_date":"2017-01-29","description":"","custom_fields":[{"id":1,"name":"Subdivision","value":"EC"},{"id":4,"name":"Milepost","value":"0.0134"},{"id":17,"name":"Train ID","value":"206-29"},{"id":16,"name":"Locomotive ID","value":"4012"},{"id":130,"name":"Impact","value":""},{"id":150,"name":"Time of Event (Mountain Time)","value":"18:18:59"},{"id":151,"name":"Denver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9"/>
        <v>start /low /b %USERPROFILE%\Documents\GitHub\eaglep3\Utilities\DownloadLogsFromS3.py --loco 4012 --day 2017-01-29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"%USERPROFILE%\AppData\Local\Temp\OnboardLogs"\RTDC4012\*4012*20170130* | grep -SE "(Enforcement Action)|(\[TIMEOUT)|(CHR.+\|PRM\|1\|D.+(SWITCH|SIGNAL).+UNKNOWN)" - &gt;&gt; 2017-01-29-UncaughtWiMAX.txt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4" t="s">
        <v>603</v>
      </c>
      <c r="B121" s="7">
        <v>4040</v>
      </c>
      <c r="C121" s="22" t="s">
        <v>193</v>
      </c>
      <c r="D121" s="22" t="s">
        <v>762</v>
      </c>
      <c r="E121" s="13">
        <v>42764.703344907408</v>
      </c>
      <c r="F121" s="13">
        <v>42764.708564814813</v>
      </c>
      <c r="G121" s="7">
        <v>1</v>
      </c>
      <c r="H121" s="22" t="s">
        <v>763</v>
      </c>
      <c r="I121" s="13">
        <v>42764.732905092591</v>
      </c>
      <c r="J121" s="7">
        <v>0</v>
      </c>
      <c r="K121" s="105" t="str">
        <f t="shared" si="24"/>
        <v>4039/4040</v>
      </c>
      <c r="L121" s="22" t="str">
        <f>VLOOKUP(A121,'Trips&amp;Operators'!$C$1:$G$99999,5,FALSE)</f>
        <v>BRUDER RICHARD</v>
      </c>
      <c r="M121" s="6">
        <f t="shared" si="25"/>
        <v>2.4340277777810115E-2</v>
      </c>
      <c r="N121" s="7">
        <f t="shared" si="42"/>
        <v>35.050000000046566</v>
      </c>
      <c r="O121" s="7"/>
      <c r="P121" s="7"/>
      <c r="Q121" s="23"/>
      <c r="R121" s="23"/>
      <c r="S121" s="32">
        <f t="shared" si="43"/>
        <v>1</v>
      </c>
      <c r="T121" s="47" t="str">
        <f t="shared" si="26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7"/>
        <v>https://d0f6bd738d7f1b3e5a7ca70fe4ff75f0.us-east-1.aws.found.io/app/kibana#/discover/Steve-Slow-Train-Analysis-(2080s-and-2083s)?_g=(refreshInterval:(display:Off,pause:!f,section:0,value:0),time:(from:'2017-01-29T15:52:49-0700',mode:absolute,to:'2017-01-29T18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1" s="49" t="str">
        <f t="shared" si="28"/>
        <v>N</v>
      </c>
      <c r="X121" s="170">
        <f t="shared" si="44"/>
        <v>1</v>
      </c>
      <c r="Y121" s="64">
        <f t="shared" si="30"/>
        <v>3.95E-2</v>
      </c>
      <c r="Z121" s="64">
        <f t="shared" si="31"/>
        <v>23.330300000000001</v>
      </c>
      <c r="AA121" s="64">
        <f t="shared" si="32"/>
        <v>23.290800000000001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3"/>
        <v>0207-29</v>
      </c>
      <c r="AE121" s="87" t="str">
        <f t="shared" si="34"/>
        <v>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 &amp; 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</v>
      </c>
      <c r="AF121" s="84" t="str">
        <f t="shared" si="35"/>
        <v>"C:\Program Files (x86)\AstroGrep\AstroGrep.exe" /spath="%USERPROFILE%\AppData\Local\Temp\OnboardLogs" /stypes="app*4040*20170130*" /stext=" 00:.+((SYSTEM_STATE.+slice.+state.+changed )|(ment ac)|(multiple cpu faults)|(system.+state.+changed )|(\[timeout)|(PRM\|1\|D)|(kpr)|(kdp)|(\|lc)|(penalty))" /e /r /s</v>
      </c>
      <c r="AG121" s="1" t="str">
        <f t="shared" si="36"/>
        <v>EC</v>
      </c>
      <c r="AH121" s="88" t="str">
        <f t="shared" si="37"/>
        <v>"%USERPROFILE%\Documents\GitHub\eaglep3\Utilities\RefineRTDCRunTimes.py" --tripid 207-29 --locoid 4040 --swversion DE.1.0.8.0 --startMP 204:395 --initTime 2017-01-29T16:52:49 --startdatetime 2017-01-29T17:00:20 --delay 1 --endMP 204:233303 --enddatetime 2017-01-29T17:35:23 --enforcementcount 0 &gt;&gt;C:\Users\stu\Documents\GitHub\eaglep3-reporting\EC\2017-01-29-refined-times.txt</v>
      </c>
      <c r="AI121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{"issue":{"subject":"","project_id":79,"tracker_id":40,"status_id":1,"priority_id":2,"assigned_to_id":23,"start_date":"2017-01-29","description":"","custom_fields":[{"id":1,"name":"Subdivision","value":"EC"},{"id":4,"name":"Milepost","value":"23.3303"},{"id":17,"name":"Train ID","value":"207-29"},{"id":16,"name":"Locomotive ID","value":"4040"},{"id":130,"name":"Impact","value":""},{"id":150,"name":"Time of Event (Mountain Time)","value":"17:35:23"},{"id":151,"name":"Denver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9"/>
        <v>start /low /b %USERPROFILE%\Documents\GitHub\eaglep3\Utilities\DownloadLogsFromS3.py --loco 4040 --day 2017-01-29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"%USERPROFILE%\AppData\Local\Temp\OnboardLogs"\RTDC4040\*4040*20170130* | grep -SE "(Enforcement Action)|(\[TIMEOUT)|(CHR.+\|PRM\|1\|D.+(SWITCH|SIGNAL).+UNKNOWN)" - &gt;&gt; 2017-01-29-UncaughtWiMAX.txt</v>
      </c>
    </row>
    <row r="122" spans="1:91" s="21" customFormat="1" x14ac:dyDescent="0.25">
      <c r="A122" s="34" t="s">
        <v>615</v>
      </c>
      <c r="B122" s="7">
        <v>4039</v>
      </c>
      <c r="C122" s="22" t="s">
        <v>193</v>
      </c>
      <c r="D122" s="22" t="s">
        <v>421</v>
      </c>
      <c r="E122" s="13">
        <v>42764.742337962962</v>
      </c>
      <c r="F122" s="13">
        <v>42764.747384259259</v>
      </c>
      <c r="G122" s="7">
        <v>2</v>
      </c>
      <c r="H122" s="22" t="s">
        <v>184</v>
      </c>
      <c r="I122" s="13">
        <v>42764.773935185185</v>
      </c>
      <c r="J122" s="7">
        <v>0</v>
      </c>
      <c r="K122" s="105" t="str">
        <f t="shared" si="24"/>
        <v>4039/4040</v>
      </c>
      <c r="L122" s="22" t="str">
        <f>VLOOKUP(A122,'Trips&amp;Operators'!$C$1:$G$99999,5,FALSE)</f>
        <v>BRUDER RICHARD</v>
      </c>
      <c r="M122" s="6">
        <f t="shared" si="25"/>
        <v>2.6550925926130731E-2</v>
      </c>
      <c r="N122" s="7">
        <f t="shared" si="42"/>
        <v>38.233333333628252</v>
      </c>
      <c r="O122" s="7"/>
      <c r="P122" s="7"/>
      <c r="Q122" s="23"/>
      <c r="R122" s="23"/>
      <c r="S122" s="32">
        <f t="shared" si="43"/>
        <v>1</v>
      </c>
      <c r="T122" s="47" t="str">
        <f t="shared" si="26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7"/>
        <v>https://d0f6bd738d7f1b3e5a7ca70fe4ff75f0.us-east-1.aws.found.io/app/kibana#/discover/Steve-Slow-Train-Analysis-(2080s-and-2083s)?_g=(refreshInterval:(display:Off,pause:!f,section:0,value:0),time:(from:'2017-01-29T16:48:58-0700',mode:absolute,to:'2017-01-29T19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2" s="49" t="str">
        <f t="shared" si="28"/>
        <v>N</v>
      </c>
      <c r="X122" s="170">
        <f t="shared" si="44"/>
        <v>1</v>
      </c>
      <c r="Y122" s="64">
        <f t="shared" si="30"/>
        <v>23.297799999999999</v>
      </c>
      <c r="Z122" s="64">
        <f t="shared" si="31"/>
        <v>1.49E-2</v>
      </c>
      <c r="AA122" s="64">
        <f t="shared" si="32"/>
        <v>23.282899999999998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3"/>
        <v>0208-29</v>
      </c>
      <c r="AE122" s="87" t="str">
        <f t="shared" si="34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122" s="84" t="str">
        <f t="shared" si="35"/>
        <v>"C:\Program Files (x86)\AstroGrep\AstroGrep.exe" /spath="%USERPROFILE%\AppData\Local\Temp\OnboardLogs" /stypes="app*4039*20170130*" /stext=" 01:.+((SYSTEM_STATE.+slice.+state.+changed )|(ment ac)|(multiple cpu faults)|(system.+state.+changed )|(\[timeout)|(PRM\|1\|D)|(kpr)|(kdp)|(\|lc)|(penalty))" /e /r /s</v>
      </c>
      <c r="AG122" s="1" t="str">
        <f t="shared" si="36"/>
        <v>EC</v>
      </c>
      <c r="AH122" s="88" t="str">
        <f t="shared" si="37"/>
        <v>"%USERPROFILE%\Documents\GitHub\eaglep3\Utilities\RefineRTDCRunTimes.py" --tripid 208-29 --locoid 4039 --swversion DE.1.0.8.0 --startMP 204:232978 --initTime 2017-01-29T17:48:58 --startdatetime 2017-01-29T17:56:14 --delay 2 --endMP 204:149 --enddatetime 2017-01-29T18:34:28 --enforcementcount 0 &gt;&gt;C:\Users\stu\Documents\GitHub\eaglep3-reporting\EC\2017-01-29-refined-times.txt</v>
      </c>
      <c r="AI122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{"issue":{"subject":"","project_id":79,"tracker_id":40,"status_id":1,"priority_id":2,"assigned_to_id":23,"start_date":"2017-01-29","description":"","custom_fields":[{"id":1,"name":"Subdivision","value":"EC"},{"id":4,"name":"Milepost","value":"0.0149"},{"id":17,"name":"Train ID","value":"208-29"},{"id":16,"name":"Locomotive ID","value":"4039"},{"id":130,"name":"Impact","value":""},{"id":150,"name":"Time of Event (Mountain Time)","value":"18:34:28"},{"id":151,"name":"Denver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9"/>
        <v>start /low /b %USERPROFILE%\Documents\GitHub\eaglep3\Utilities\DownloadLogsFromS3.py --loco 4039 --day 2017-01-29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"%USERPROFILE%\AppData\Local\Temp\OnboardLogs"\RTDC4039\*4039*20170130* | grep -SE "(Enforcement Action)|(\[TIMEOUT)|(CHR.+\|PRM\|1\|D.+(SWITCH|SIGNAL).+UNKNOWN)" - &gt;&gt; 2017-01-29-UncaughtWiMAX.txt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x14ac:dyDescent="0.25">
      <c r="A123" s="34" t="s">
        <v>605</v>
      </c>
      <c r="B123" s="7">
        <v>4007</v>
      </c>
      <c r="C123" s="22" t="s">
        <v>193</v>
      </c>
      <c r="D123" s="22" t="s">
        <v>294</v>
      </c>
      <c r="E123" s="13">
        <v>42764.715914351851</v>
      </c>
      <c r="F123" s="13">
        <v>42764.719027777777</v>
      </c>
      <c r="G123" s="7">
        <v>1</v>
      </c>
      <c r="H123" s="22" t="s">
        <v>764</v>
      </c>
      <c r="I123" s="13">
        <v>42764.744097222225</v>
      </c>
      <c r="J123" s="7">
        <v>0</v>
      </c>
      <c r="K123" s="105" t="str">
        <f t="shared" si="24"/>
        <v>4007/4008</v>
      </c>
      <c r="L123" s="22" t="str">
        <f>VLOOKUP(A123,'Trips&amp;Operators'!$C$1:$G$99999,5,FALSE)</f>
        <v>CHANDLER KELVIN</v>
      </c>
      <c r="M123" s="6">
        <f t="shared" si="25"/>
        <v>2.5069444447581191E-2</v>
      </c>
      <c r="N123" s="7">
        <f t="shared" si="42"/>
        <v>36.100000004516914</v>
      </c>
      <c r="O123" s="7"/>
      <c r="P123" s="7"/>
      <c r="Q123" s="23"/>
      <c r="R123" s="23"/>
      <c r="S123" s="32">
        <f t="shared" si="43"/>
        <v>1</v>
      </c>
      <c r="T123" s="47" t="str">
        <f t="shared" si="26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7"/>
        <v>https://d0f6bd738d7f1b3e5a7ca70fe4ff75f0.us-east-1.aws.found.io/app/kibana#/discover/Steve-Slow-Train-Analysis-(2080s-and-2083s)?_g=(refreshInterval:(display:Off,pause:!f,section:0,value:0),time:(from:'2017-01-29T16:10:55-0700',mode:absolute,to:'2017-01-29T18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49" t="str">
        <f t="shared" si="28"/>
        <v>N</v>
      </c>
      <c r="X123" s="170">
        <f t="shared" si="44"/>
        <v>1</v>
      </c>
      <c r="Y123" s="64">
        <f t="shared" si="30"/>
        <v>4.7100000000000003E-2</v>
      </c>
      <c r="Z123" s="64">
        <f t="shared" si="31"/>
        <v>23.330400000000001</v>
      </c>
      <c r="AA123" s="64">
        <f t="shared" si="32"/>
        <v>23.283300000000001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3"/>
        <v>0209-29</v>
      </c>
      <c r="AE123" s="87" t="str">
        <f t="shared" si="34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123" s="84" t="str">
        <f t="shared" si="35"/>
        <v>"C:\Program Files (x86)\AstroGrep\AstroGrep.exe" /spath="%USERPROFILE%\AppData\Local\Temp\OnboardLogs" /stypes="app*4007*20170130*" /stext=" 00:.+((SYSTEM_STATE.+slice.+state.+changed )|(ment ac)|(multiple cpu faults)|(system.+state.+changed )|(\[timeout)|(PRM\|1\|D)|(kpr)|(kdp)|(\|lc)|(penalty))" /e /r /s</v>
      </c>
      <c r="AG123" s="1" t="str">
        <f t="shared" si="36"/>
        <v>EC</v>
      </c>
      <c r="AH123" s="88" t="str">
        <f t="shared" si="37"/>
        <v>"%USERPROFILE%\Documents\GitHub\eaglep3\Utilities\RefineRTDCRunTimes.py" --tripid 209-29 --locoid 4007 --swversion DE.1.0.8.0 --startMP 204:471 --initTime 2017-01-29T17:10:55 --startdatetime 2017-01-29T17:15:24 --delay 1 --endMP 204:233304 --enddatetime 2017-01-29T17:51:30 --enforcementcount 0 &gt;&gt;C:\Users\stu\Documents\GitHub\eaglep3-reporting\EC\2017-01-29-refined-times.txt</v>
      </c>
      <c r="AI123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{"issue":{"subject":"","project_id":79,"tracker_id":40,"status_id":1,"priority_id":2,"assigned_to_id":23,"start_date":"2017-01-29","description":"","custom_fields":[{"id":1,"name":"Subdivision","value":"EC"},{"id":4,"name":"Milepost","value":"23.3304"},{"id":17,"name":"Train ID","value":"209-29"},{"id":16,"name":"Locomotive ID","value":"4007"},{"id":130,"name":"Impact","value":""},{"id":150,"name":"Time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9"/>
        <v>start /low /b %USERPROFILE%\Documents\GitHub\eaglep3\Utilities\DownloadLogsFromS3.py --loco 4007 --day 2017-01-29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"%USERPROFILE%\AppData\Local\Temp\OnboardLogs"\RTDC4007\*4007*20170130* | grep -SE "(Enforcement Action)|(\[TIMEOUT)|(CHR.+\|PRM\|1\|D.+(SWITCH|SIGNAL).+UNKNOWN)" - &gt;&gt; 2017-01-29-UncaughtWiMAX.txt</v>
      </c>
    </row>
    <row r="124" spans="1:91" s="21" customFormat="1" x14ac:dyDescent="0.25">
      <c r="A124" s="34" t="s">
        <v>617</v>
      </c>
      <c r="B124" s="7">
        <v>4008</v>
      </c>
      <c r="C124" s="22" t="s">
        <v>193</v>
      </c>
      <c r="D124" s="22" t="s">
        <v>765</v>
      </c>
      <c r="E124" s="13">
        <v>42764.75513888889</v>
      </c>
      <c r="F124" s="13">
        <v>42764.758090277777</v>
      </c>
      <c r="G124" s="7">
        <v>1</v>
      </c>
      <c r="H124" s="22" t="s">
        <v>197</v>
      </c>
      <c r="I124" s="13">
        <v>42764.785173611112</v>
      </c>
      <c r="J124" s="7">
        <v>0</v>
      </c>
      <c r="K124" s="105" t="str">
        <f t="shared" si="24"/>
        <v>4007/4008</v>
      </c>
      <c r="L124" s="22" t="str">
        <f>VLOOKUP(A124,'Trips&amp;Operators'!$C$1:$G$99999,5,FALSE)</f>
        <v>CHANDLER KELVIN</v>
      </c>
      <c r="M124" s="6">
        <f t="shared" si="25"/>
        <v>2.7083333334303461E-2</v>
      </c>
      <c r="N124" s="7">
        <f t="shared" si="42"/>
        <v>39.000000001396984</v>
      </c>
      <c r="O124" s="7"/>
      <c r="P124" s="7"/>
      <c r="Q124" s="23"/>
      <c r="R124" s="23"/>
      <c r="S124" s="32">
        <f t="shared" si="43"/>
        <v>1</v>
      </c>
      <c r="T124" s="47" t="str">
        <f t="shared" si="26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7"/>
        <v>https://d0f6bd738d7f1b3e5a7ca70fe4ff75f0.us-east-1.aws.found.io/app/kibana#/discover/Steve-Slow-Train-Analysis-(2080s-and-2083s)?_g=(refreshInterval:(display:Off,pause:!f,section:0,value:0),time:(from:'2017-01-29T17:07:24-0700',mode:absolute,to:'2017-01-29T19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4" s="49" t="str">
        <f t="shared" si="28"/>
        <v>N</v>
      </c>
      <c r="X124" s="170">
        <f t="shared" si="44"/>
        <v>1</v>
      </c>
      <c r="Y124" s="64">
        <f t="shared" si="30"/>
        <v>23.298500000000001</v>
      </c>
      <c r="Z124" s="64">
        <f t="shared" si="31"/>
        <v>1.4999999999999999E-2</v>
      </c>
      <c r="AA124" s="64">
        <f t="shared" si="32"/>
        <v>23.2835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3"/>
        <v>0210-29</v>
      </c>
      <c r="AE124" s="87" t="str">
        <f t="shared" si="34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124" s="84" t="str">
        <f t="shared" si="35"/>
        <v>"C:\Program Files (x86)\AstroGrep\AstroGrep.exe" /spath="%USERPROFILE%\AppData\Local\Temp\OnboardLogs" /stypes="app*4008*20170130*" /stext=" 01:.+((SYSTEM_STATE.+slice.+state.+changed )|(ment ac)|(multiple cpu faults)|(system.+state.+changed )|(\[timeout)|(PRM\|1\|D)|(kpr)|(kdp)|(\|lc)|(penalty))" /e /r /s</v>
      </c>
      <c r="AG124" s="1" t="str">
        <f t="shared" si="36"/>
        <v>EC</v>
      </c>
      <c r="AH124" s="88" t="str">
        <f t="shared" si="37"/>
        <v>"%USERPROFILE%\Documents\GitHub\eaglep3\Utilities\RefineRTDCRunTimes.py" --tripid 210-29 --locoid 4008 --swversion DE.1.0.8.0 --startMP 204:232985 --initTime 2017-01-29T18:07:24 --startdatetime 2017-01-29T18:11:39 --delay 1 --endMP 204:150 --enddatetime 2017-01-29T18:50:39 --enforcementcount 0 &gt;&gt;C:\Users\stu\Documents\GitHub\eaglep3-reporting\EC\2017-01-29-refined-times.txt</v>
      </c>
      <c r="AI124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{"issue":{"subject":"","project_id":79,"tracker_id":40,"status_id":1,"priority_id":2,"assigned_to_id":23,"start_date":"2017-01-29","description":"","custom_fields":[{"id":1,"name":"Subdivision","value":"EC"},{"id":4,"name":"Milepost","value":"0.015"},{"id":17,"name":"Train ID","value":"210-29"},{"id":16,"name":"Locomotive ID","value":"4008"},{"id":130,"name":"Impact","value":""},{"id":150,"name":"Time of Event (Mountain Time)","value":"18:50:39"},{"id":151,"name":"Denver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9"/>
        <v>start /low /b %USERPROFILE%\Documents\GitHub\eaglep3\Utilities\DownloadLogsFromS3.py --loco 4008 --day 2017-01-29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"%USERPROFILE%\AppData\Local\Temp\OnboardLogs"\RTDC4008\*4008*20170130* | grep -SE "(Enforcement Action)|(\[TIMEOUT)|(CHR.+\|PRM\|1\|D.+(SWITCH|SIGNAL).+UNKNOWN)" - &gt;&gt; 2017-01-29-UncaughtWiMAX.txt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609</v>
      </c>
      <c r="B125" s="7">
        <v>4002</v>
      </c>
      <c r="C125" s="22" t="s">
        <v>193</v>
      </c>
      <c r="D125" s="22" t="s">
        <v>766</v>
      </c>
      <c r="E125" s="13">
        <v>42764.725254629629</v>
      </c>
      <c r="F125" s="13">
        <v>42764.729444444441</v>
      </c>
      <c r="G125" s="7">
        <v>1</v>
      </c>
      <c r="H125" s="22" t="s">
        <v>310</v>
      </c>
      <c r="I125" s="13">
        <v>42764.754467592589</v>
      </c>
      <c r="J125" s="7">
        <v>0</v>
      </c>
      <c r="K125" s="105" t="str">
        <f t="shared" si="24"/>
        <v>4001/4002</v>
      </c>
      <c r="L125" s="22" t="str">
        <f>VLOOKUP(A125,'Trips&amp;Operators'!$C$1:$G$99999,5,FALSE)</f>
        <v>CRAYTON QUNTRELL</v>
      </c>
      <c r="M125" s="6">
        <f t="shared" si="25"/>
        <v>2.5023148147738539E-2</v>
      </c>
      <c r="N125" s="7">
        <f t="shared" si="42"/>
        <v>36.033333332743496</v>
      </c>
      <c r="O125" s="7"/>
      <c r="P125" s="7"/>
      <c r="Q125" s="23"/>
      <c r="R125" s="23"/>
      <c r="S125" s="32">
        <f t="shared" si="43"/>
        <v>1</v>
      </c>
      <c r="T125" s="47" t="str">
        <f t="shared" si="26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7"/>
        <v>https://d0f6bd738d7f1b3e5a7ca70fe4ff75f0.us-east-1.aws.found.io/app/kibana#/discover/Steve-Slow-Train-Analysis-(2080s-and-2083s)?_g=(refreshInterval:(display:Off,pause:!f,section:0,value:0),time:(from:'2017-01-29T16:24:22-0700',mode:absolute,to:'2017-01-29T19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49" t="str">
        <f t="shared" si="28"/>
        <v>N</v>
      </c>
      <c r="X125" s="170">
        <f t="shared" si="44"/>
        <v>1</v>
      </c>
      <c r="Y125" s="64">
        <f t="shared" si="30"/>
        <v>3.9100000000000003E-2</v>
      </c>
      <c r="Z125" s="64">
        <f t="shared" si="31"/>
        <v>23.330100000000002</v>
      </c>
      <c r="AA125" s="64">
        <f t="shared" si="32"/>
        <v>23.291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3"/>
        <v>0211-29</v>
      </c>
      <c r="AE125" s="87" t="str">
        <f t="shared" si="34"/>
        <v>aws s3 cp s3://rtdc.mdm.uploadarchive.raw/RTDC4002/ "%USERPROFILE%\AppData\Local\Temp\OnboardLogs"\RTDC4002\2017-01-29 --exclude "*" --recursive --include "*20170129*" &amp; "%USERPROFILE%\Documents\GitHub\mrs-test-scripts\Headless Mode &amp; Sideloading\WalkAndUnGZ.bat" "%USERPROFILE%\AppData\Local\Temp\OnboardLogs"\RTDC4002\2017-01-29 &amp; 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</v>
      </c>
      <c r="AF125" s="84" t="str">
        <f t="shared" si="35"/>
        <v>"C:\Program Files (x86)\AstroGrep\AstroGrep.exe" /spath="%USERPROFILE%\AppData\Local\Temp\OnboardLogs" /stypes="app*4002*20170130*" /stext=" 01:.+((SYSTEM_STATE.+slice.+state.+changed )|(ment ac)|(multiple cpu faults)|(system.+state.+changed )|(\[timeout)|(PRM\|1\|D)|(kpr)|(kdp)|(\|lc)|(penalty))" /e /r /s</v>
      </c>
      <c r="AG125" s="1" t="str">
        <f t="shared" si="36"/>
        <v>EC</v>
      </c>
      <c r="AH125" s="88" t="str">
        <f t="shared" si="37"/>
        <v>"%USERPROFILE%\Documents\GitHub\eaglep3\Utilities\RefineRTDCRunTimes.py" --tripid 211-29 --locoid 4002 --swversion DE.1.0.8.0 --startMP 204:391 --initTime 2017-01-29T17:24:22 --startdatetime 2017-01-29T17:30:24 --delay 1 --endMP 204:233301 --enddatetime 2017-01-29T18:06:26 --enforcementcount 0 &gt;&gt;C:\Users\stu\Documents\GitHub\eaglep3-reporting\EC\2017-01-29-refined-times.txt</v>
      </c>
      <c r="AI125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{"issue":{"subject":"","project_id":79,"tracker_id":40,"status_id":1,"priority_id":2,"assigned_to_id":23,"start_date":"2017-01-29","description":"","custom_fields":[{"id":1,"name":"Subdivision","value":"EC"},{"id":4,"name":"Milepost","value":"23.3301"},{"id":17,"name":"Train ID","value":"211-29"},{"id":16,"name":"Locomotive ID","value":"4002"},{"id":130,"name":"Impact","value":""},{"id":150,"name":"Time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9"/>
        <v>start /low /b %USERPROFILE%\Documents\GitHub\eaglep3\Utilities\DownloadLogsFromS3.py --loco 4002 --day 2017-01-29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"%USERPROFILE%\AppData\Local\Temp\OnboardLogs"\RTDC4002\*4002*20170130* | grep -SE "(Enforcement Action)|(\[TIMEOUT)|(CHR.+\|PRM\|1\|D.+(SWITCH|SIGNAL).+UNKNOWN)" - &gt;&gt; 2017-01-29-UncaughtWiMAX.txt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620</v>
      </c>
      <c r="B126" s="7">
        <v>4001</v>
      </c>
      <c r="C126" s="22" t="s">
        <v>193</v>
      </c>
      <c r="D126" s="22" t="s">
        <v>306</v>
      </c>
      <c r="E126" s="13">
        <v>42764.76321759259</v>
      </c>
      <c r="F126" s="13">
        <v>42764.768252314818</v>
      </c>
      <c r="G126" s="7">
        <v>1</v>
      </c>
      <c r="H126" s="22" t="s">
        <v>767</v>
      </c>
      <c r="I126" s="13">
        <v>42764.795439814814</v>
      </c>
      <c r="J126" s="7">
        <v>0</v>
      </c>
      <c r="K126" s="105" t="str">
        <f t="shared" si="24"/>
        <v>4001/4002</v>
      </c>
      <c r="L126" s="22" t="str">
        <f>VLOOKUP(A126,'Trips&amp;Operators'!$C$1:$G$99999,5,FALSE)</f>
        <v>CRAYTON QUNTRELL</v>
      </c>
      <c r="M126" s="6">
        <f t="shared" si="25"/>
        <v>2.7187499996216502E-2</v>
      </c>
      <c r="N126" s="7">
        <f t="shared" si="42"/>
        <v>39.149999994551763</v>
      </c>
      <c r="O126" s="7"/>
      <c r="P126" s="7"/>
      <c r="Q126" s="23"/>
      <c r="R126" s="23"/>
      <c r="S126" s="32">
        <f t="shared" si="43"/>
        <v>1</v>
      </c>
      <c r="T126" s="47" t="str">
        <f t="shared" si="26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7"/>
        <v>https://d0f6bd738d7f1b3e5a7ca70fe4ff75f0.us-east-1.aws.found.io/app/kibana#/discover/Steve-Slow-Train-Analysis-(2080s-and-2083s)?_g=(refreshInterval:(display:Off,pause:!f,section:0,value:0),time:(from:'2017-01-29T17:19:02-0700',mode:absolute,to:'2017-01-29T20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49" t="str">
        <f t="shared" si="28"/>
        <v>N</v>
      </c>
      <c r="X126" s="170">
        <f t="shared" si="44"/>
        <v>1</v>
      </c>
      <c r="Y126" s="64">
        <f t="shared" si="30"/>
        <v>23.298200000000001</v>
      </c>
      <c r="Z126" s="64">
        <f t="shared" si="31"/>
        <v>1.5299999999999999E-2</v>
      </c>
      <c r="AA126" s="64">
        <f t="shared" si="32"/>
        <v>23.282900000000001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3"/>
        <v>0212-29</v>
      </c>
      <c r="AE126" s="87" t="str">
        <f t="shared" si="34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126" s="84" t="str">
        <f t="shared" si="35"/>
        <v>"C:\Program Files (x86)\AstroGrep\AstroGrep.exe" /spath="%USERPROFILE%\AppData\Local\Temp\OnboardLogs" /stypes="app*4001*20170130*" /stext=" 02:.+((SYSTEM_STATE.+slice.+state.+changed )|(ment ac)|(multiple cpu faults)|(system.+state.+changed )|(\[timeout)|(PRM\|1\|D)|(kpr)|(kdp)|(\|lc)|(penalty))" /e /r /s</v>
      </c>
      <c r="AG126" s="1" t="str">
        <f t="shared" si="36"/>
        <v>EC</v>
      </c>
      <c r="AH126" s="88" t="str">
        <f t="shared" si="37"/>
        <v>"%USERPROFILE%\Documents\GitHub\eaglep3\Utilities\RefineRTDCRunTimes.py" --tripid 212-29 --locoid 4001 --swversion DE.1.0.8.0 --startMP 204:232982 --initTime 2017-01-29T18:19:02 --startdatetime 2017-01-29T18:26:17 --delay 1 --endMP 204:153 --enddatetime 2017-01-29T19:05:26 --enforcementcount 0 &gt;&gt;C:\Users\stu\Documents\GitHub\eaglep3-reporting\EC\2017-01-29-refined-times.txt</v>
      </c>
      <c r="AI126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{"issue":{"subject":"","project_id":79,"tracker_id":40,"status_id":1,"priority_id":2,"assigned_to_id":23,"start_date":"2017-01-29","description":"","custom_fields":[{"id":1,"name":"Subdivision","value":"EC"},{"id":4,"name":"Milepost","value":"0.0153"},{"id":17,"name":"Train ID","value":"212-29"},{"id":16,"name":"Locomotive ID","value":"4001"},{"id":130,"name":"Impact","value":""},{"id":150,"name":"Time of Event (Mountain Time)","value":"19:05:26"},{"id":151,"name":"Denver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9"/>
        <v>start /low /b %USERPROFILE%\Documents\GitHub\eaglep3\Utilities\DownloadLogsFromS3.py --loco 4001 --day 2017-01-29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"%USERPROFILE%\AppData\Local\Temp\OnboardLogs"\RTDC4001\*4001*20170130* | grep -SE "(Enforcement Action)|(\[TIMEOUT)|(CHR.+\|PRM\|1\|D.+(SWITCH|SIGNAL).+UNKNOWN)" - &gt;&gt; 2017-01-29-UncaughtWiMAX.txt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614</v>
      </c>
      <c r="B127" s="7">
        <v>4038</v>
      </c>
      <c r="C127" s="22" t="s">
        <v>193</v>
      </c>
      <c r="D127" s="22" t="s">
        <v>244</v>
      </c>
      <c r="E127" s="13">
        <v>42764.737743055557</v>
      </c>
      <c r="F127" s="13">
        <v>42764.739756944444</v>
      </c>
      <c r="G127" s="7">
        <v>1</v>
      </c>
      <c r="H127" s="22" t="s">
        <v>768</v>
      </c>
      <c r="I127" s="13">
        <v>42764.764374999999</v>
      </c>
      <c r="J127" s="7">
        <v>0</v>
      </c>
      <c r="K127" s="105" t="str">
        <f t="shared" si="24"/>
        <v>4037/4038</v>
      </c>
      <c r="L127" s="22" t="str">
        <f>VLOOKUP(A127,'Trips&amp;Operators'!$C$1:$G$99999,5,FALSE)</f>
        <v>NEWELL JAMES</v>
      </c>
      <c r="M127" s="6">
        <f t="shared" si="25"/>
        <v>2.4618055555038154E-2</v>
      </c>
      <c r="N127" s="7">
        <f t="shared" ref="N127:N153" si="45">24*60*SUM($M127:$M127)</f>
        <v>35.449999999254942</v>
      </c>
      <c r="O127" s="7"/>
      <c r="P127" s="7"/>
      <c r="Q127" s="23"/>
      <c r="R127" s="23"/>
      <c r="S127" s="32">
        <f t="shared" ref="S127:S153" si="46">SUM(U127:U127)/IF(AG127="EC",12,1)</f>
        <v>1</v>
      </c>
      <c r="T127" s="47" t="str">
        <f t="shared" si="26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7"/>
        <v>https://d0f6bd738d7f1b3e5a7ca70fe4ff75f0.us-east-1.aws.found.io/app/kibana#/discover/Steve-Slow-Train-Analysis-(2080s-and-2083s)?_g=(refreshInterval:(display:Off,pause:!f,section:0,value:0),time:(from:'2017-01-29T16:42:21-0700',mode:absolute,to:'2017-01-29T19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7" s="49" t="str">
        <f t="shared" si="28"/>
        <v>N</v>
      </c>
      <c r="X127" s="170">
        <f t="shared" si="44"/>
        <v>1</v>
      </c>
      <c r="Y127" s="64">
        <f t="shared" si="30"/>
        <v>4.6600000000000003E-2</v>
      </c>
      <c r="Z127" s="64">
        <f t="shared" si="31"/>
        <v>23.334599999999998</v>
      </c>
      <c r="AA127" s="64">
        <f t="shared" si="32"/>
        <v>23.287999999999997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3"/>
        <v>0213-29</v>
      </c>
      <c r="AE127" s="87" t="str">
        <f t="shared" si="34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127" s="84" t="str">
        <f t="shared" si="35"/>
        <v>"C:\Program Files (x86)\AstroGrep\AstroGrep.exe" /spath="%USERPROFILE%\AppData\Local\Temp\OnboardLogs" /stypes="app*4038*20170130*" /stext=" 01:.+((SYSTEM_STATE.+slice.+state.+changed )|(ment ac)|(multiple cpu faults)|(system.+state.+changed )|(\[timeout)|(PRM\|1\|D)|(kpr)|(kdp)|(\|lc)|(penalty))" /e /r /s</v>
      </c>
      <c r="AG127" s="1" t="str">
        <f t="shared" si="36"/>
        <v>EC</v>
      </c>
      <c r="AH127" s="88" t="str">
        <f t="shared" si="37"/>
        <v>"%USERPROFILE%\Documents\GitHub\eaglep3\Utilities\RefineRTDCRunTimes.py" --tripid 213-29 --locoid 4038 --swversion DE.1.0.8.0 --startMP 204:466 --initTime 2017-01-29T17:42:21 --startdatetime 2017-01-29T17:45:15 --delay 1 --endMP 204:233346 --enddatetime 2017-01-29T18:20:42 --enforcementcount 0 &gt;&gt;C:\Users\stu\Documents\GitHub\eaglep3-reporting\EC\2017-01-29-refined-times.txt</v>
      </c>
      <c r="AI127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{"issue":{"subject":"","project_id":79,"tracker_id":40,"status_id":1,"priority_id":2,"assigned_to_id":23,"start_date":"2017-01-29","description":"","custom_fields":[{"id":1,"name":"Subdivision","value":"EC"},{"id":4,"name":"Milepost","value":"23.3346"},{"id":17,"name":"Train ID","value":"213-29"},{"id":16,"name":"Locomotive ID","value":"4038"},{"id":130,"name":"Impact","value":""},{"id":150,"name":"Time of Event (Mountain Time)","value":"18:20:42"},{"id":151,"name":"Denver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9"/>
        <v>start /low /b %USERPROFILE%\Documents\GitHub\eaglep3\Utilities\DownloadLogsFromS3.py --loco 4038 --day 2017-01-29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"%USERPROFILE%\AppData\Local\Temp\OnboardLogs"\RTDC4038\*4038*20170130* | grep -SE "(Enforcement Action)|(\[TIMEOUT)|(CHR.+\|PRM\|1\|D.+(SWITCH|SIGNAL).+UNKNOWN)" - &gt;&gt; 2017-01-29-UncaughtWiMAX.txt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622</v>
      </c>
      <c r="B128" s="7">
        <v>4037</v>
      </c>
      <c r="C128" s="22" t="s">
        <v>193</v>
      </c>
      <c r="D128" s="22" t="s">
        <v>299</v>
      </c>
      <c r="E128" s="13">
        <v>42764.769375000003</v>
      </c>
      <c r="F128" s="13">
        <v>42764.778634259259</v>
      </c>
      <c r="G128" s="7">
        <v>1</v>
      </c>
      <c r="H128" s="22" t="s">
        <v>277</v>
      </c>
      <c r="I128" s="13">
        <v>42764.804363425923</v>
      </c>
      <c r="J128" s="7">
        <v>0</v>
      </c>
      <c r="K128" s="105" t="str">
        <f t="shared" si="24"/>
        <v>4037/4038</v>
      </c>
      <c r="L128" s="22" t="str">
        <f>VLOOKUP(A128,'Trips&amp;Operators'!$C$1:$G$99999,5,FALSE)</f>
        <v>NEWELL JAMES</v>
      </c>
      <c r="M128" s="6">
        <f t="shared" si="25"/>
        <v>2.5729166663950309E-2</v>
      </c>
      <c r="N128" s="7">
        <f t="shared" si="45"/>
        <v>37.049999996088445</v>
      </c>
      <c r="O128" s="7"/>
      <c r="P128" s="7"/>
      <c r="Q128" s="23"/>
      <c r="R128" s="23"/>
      <c r="S128" s="32">
        <f t="shared" si="46"/>
        <v>1</v>
      </c>
      <c r="T128" s="47" t="str">
        <f t="shared" si="26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7"/>
        <v>https://d0f6bd738d7f1b3e5a7ca70fe4ff75f0.us-east-1.aws.found.io/app/kibana#/discover/Steve-Slow-Train-Analysis-(2080s-and-2083s)?_g=(refreshInterval:(display:Off,pause:!f,section:0,value:0),time:(from:'2017-01-29T17:27:54-0700',mode:absolute,to:'2017-01-29T20:18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8" s="49" t="str">
        <f t="shared" si="28"/>
        <v>N</v>
      </c>
      <c r="X128" s="170">
        <f t="shared" si="44"/>
        <v>1</v>
      </c>
      <c r="Y128" s="64">
        <f t="shared" si="30"/>
        <v>23.3002</v>
      </c>
      <c r="Z128" s="64">
        <f t="shared" si="31"/>
        <v>1.41E-2</v>
      </c>
      <c r="AA128" s="64">
        <f t="shared" si="32"/>
        <v>23.286100000000001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3"/>
        <v>0214-29</v>
      </c>
      <c r="AE128" s="87" t="str">
        <f t="shared" si="34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128" s="84" t="str">
        <f t="shared" si="35"/>
        <v>"C:\Program Files (x86)\AstroGrep\AstroGrep.exe" /spath="%USERPROFILE%\AppData\Local\Temp\OnboardLogs" /stypes="app*4037*20170130*" /stext=" 02:.+((SYSTEM_STATE.+slice.+state.+changed )|(ment ac)|(multiple cpu faults)|(system.+state.+changed )|(\[timeout)|(PRM\|1\|D)|(kpr)|(kdp)|(\|lc)|(penalty))" /e /r /s</v>
      </c>
      <c r="AG128" s="1" t="str">
        <f t="shared" si="36"/>
        <v>EC</v>
      </c>
      <c r="AH128" s="88" t="str">
        <f t="shared" si="37"/>
        <v>"%USERPROFILE%\Documents\GitHub\eaglep3\Utilities\RefineRTDCRunTimes.py" --tripid 214-29 --locoid 4037 --swversion DE.1.0.8.0 --startMP 204:233002 --initTime 2017-01-29T18:27:54 --startdatetime 2017-01-29T18:41:14 --delay 1 --endMP 204:141 --enddatetime 2017-01-29T19:18:17 --enforcementcount 0 &gt;&gt;C:\Users\stu\Documents\GitHub\eaglep3-reporting\EC\2017-01-29-refined-times.txt</v>
      </c>
      <c r="AI128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{"issue":{"subject":"","project_id":79,"tracker_id":40,"status_id":1,"priority_id":2,"assigned_to_id":23,"start_date":"2017-01-29","description":"","custom_fields":[{"id":1,"name":"Subdivision","value":"EC"},{"id":4,"name":"Milepost","value":"0.0141"},{"id":17,"name":"Train ID","value":"214-29"},{"id":16,"name":"Locomotive ID","value":"4037"},{"id":130,"name":"Impact","value":""},{"id":150,"name":"Time of Event (Mountain Time)","value":"19:18:17"},{"id":151,"name":"Denver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9"/>
        <v>start /low /b %USERPROFILE%\Documents\GitHub\eaglep3\Utilities\DownloadLogsFromS3.py --loco 4037 --day 2017-01-29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"%USERPROFILE%\AppData\Local\Temp\OnboardLogs"\RTDC4037\*4037*20170130* | grep -SE "(Enforcement Action)|(\[TIMEOUT)|(CHR.+\|PRM\|1\|D.+(SWITCH|SIGNAL).+UNKNOWN)" - &gt;&gt; 2017-01-29-UncaughtWiMAX.txt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616</v>
      </c>
      <c r="B129" s="7">
        <v>4027</v>
      </c>
      <c r="C129" s="22" t="s">
        <v>193</v>
      </c>
      <c r="D129" s="22" t="s">
        <v>253</v>
      </c>
      <c r="E129" s="13">
        <v>42764.742546296293</v>
      </c>
      <c r="F129" s="13">
        <v>42764.750173611108</v>
      </c>
      <c r="G129" s="7">
        <v>1</v>
      </c>
      <c r="H129" s="22" t="s">
        <v>245</v>
      </c>
      <c r="I129" s="13">
        <v>42764.775625000002</v>
      </c>
      <c r="J129" s="7">
        <v>0</v>
      </c>
      <c r="K129" s="105" t="str">
        <f t="shared" si="24"/>
        <v>4027/4028</v>
      </c>
      <c r="L129" s="22" t="str">
        <f>VLOOKUP(A129,'Trips&amp;Operators'!$C$1:$G$99999,5,FALSE)</f>
        <v>KILLION DAVID</v>
      </c>
      <c r="M129" s="6">
        <f t="shared" si="25"/>
        <v>2.5451388893998228E-2</v>
      </c>
      <c r="N129" s="7">
        <f t="shared" si="45"/>
        <v>36.650000007357448</v>
      </c>
      <c r="O129" s="7"/>
      <c r="P129" s="7"/>
      <c r="Q129" s="23"/>
      <c r="R129" s="23"/>
      <c r="S129" s="32">
        <f t="shared" si="46"/>
        <v>1</v>
      </c>
      <c r="T129" s="47" t="str">
        <f t="shared" si="26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7"/>
        <v>https://d0f6bd738d7f1b3e5a7ca70fe4ff75f0.us-east-1.aws.found.io/app/kibana#/discover/Steve-Slow-Train-Analysis-(2080s-and-2083s)?_g=(refreshInterval:(display:Off,pause:!f,section:0,value:0),time:(from:'2017-01-29T16:49:16-0700',mode:absolute,to:'2017-01-29T19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9" s="49" t="str">
        <f t="shared" si="28"/>
        <v>N</v>
      </c>
      <c r="X129" s="170">
        <f t="shared" si="44"/>
        <v>1</v>
      </c>
      <c r="Y129" s="64">
        <f t="shared" si="30"/>
        <v>4.5999999999999999E-2</v>
      </c>
      <c r="Z129" s="64">
        <f t="shared" si="31"/>
        <v>23.329499999999999</v>
      </c>
      <c r="AA129" s="64">
        <f t="shared" si="32"/>
        <v>23.2835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3"/>
        <v>0215-29</v>
      </c>
      <c r="AE129" s="87" t="str">
        <f t="shared" si="34"/>
        <v>aws s3 cp s3://rtdc.mdm.uploadarchive.raw/RTDC4027/ "%USERPROFILE%\AppData\Local\Temp\OnboardLogs"\RTDC4027\2017-01-29 --exclude "*" --recursive --include "*20170129*" &amp; "%USERPROFILE%\Documents\GitHub\mrs-test-scripts\Headless Mode &amp; Sideloading\WalkAndUnGZ.bat" "%USERPROFILE%\AppData\Local\Temp\OnboardLogs"\RTDC4027\2017-01-29 &amp; 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</v>
      </c>
      <c r="AF129" s="84" t="str">
        <f t="shared" si="35"/>
        <v>"C:\Program Files (x86)\AstroGrep\AstroGrep.exe" /spath="%USERPROFILE%\AppData\Local\Temp\OnboardLogs" /stypes="app*4027*20170130*" /stext=" 01:.+((SYSTEM_STATE.+slice.+state.+changed )|(ment ac)|(multiple cpu faults)|(system.+state.+changed )|(\[timeout)|(PRM\|1\|D)|(kpr)|(kdp)|(\|lc)|(penalty))" /e /r /s</v>
      </c>
      <c r="AG129" s="1" t="str">
        <f t="shared" si="36"/>
        <v>EC</v>
      </c>
      <c r="AH129" s="88" t="str">
        <f t="shared" si="37"/>
        <v>"%USERPROFILE%\Documents\GitHub\eaglep3\Utilities\RefineRTDCRunTimes.py" --tripid 215-29 --locoid 4027 --swversion DE.1.0.8.0 --startMP 204:460 --initTime 2017-01-29T17:49:16 --startdatetime 2017-01-29T18:00:15 --delay 1 --endMP 204:233295 --enddatetime 2017-01-29T18:36:54 --enforcementcount 0 &gt;&gt;C:\Users\stu\Documents\GitHub\eaglep3-reporting\EC\2017-01-29-refined-times.txt</v>
      </c>
      <c r="AI129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{"issue":{"subject":"","project_id":79,"tracker_id":40,"status_id":1,"priority_id":2,"assigned_to_id":23,"start_date":"2017-01-29","description":"","custom_fields":[{"id":1,"name":"Subdivision","value":"EC"},{"id":4,"name":"Milepost","value":"23.3295"},{"id":17,"name":"Train ID","value":"215-29"},{"id":16,"name":"Locomotive ID","value":"4027"},{"id":130,"name":"Impact","value":""},{"id":150,"name":"Time of Event (Mountain Time)","value":"18:36:54"},{"id":151,"name":"Denver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9"/>
        <v>start /low /b %USERPROFILE%\Documents\GitHub\eaglep3\Utilities\DownloadLogsFromS3.py --loco 4027 --day 2017-01-29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2017-01-29-UncaughtWiMAX.txt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472</v>
      </c>
      <c r="B130" s="7">
        <v>4028</v>
      </c>
      <c r="C130" s="22" t="s">
        <v>193</v>
      </c>
      <c r="D130" s="22" t="s">
        <v>300</v>
      </c>
      <c r="E130" s="13">
        <v>42764.780856481484</v>
      </c>
      <c r="F130" s="13">
        <v>42764.789074074077</v>
      </c>
      <c r="G130" s="7">
        <v>1</v>
      </c>
      <c r="H130" s="22" t="s">
        <v>769</v>
      </c>
      <c r="I130" s="13">
        <v>42764.816354166665</v>
      </c>
      <c r="J130" s="7">
        <v>0</v>
      </c>
      <c r="K130" s="105" t="str">
        <f t="shared" si="24"/>
        <v>4027/4028</v>
      </c>
      <c r="L130" s="22" t="str">
        <f>VLOOKUP(A130,'Trips&amp;Operators'!$C$1:$G$99999,5,FALSE)</f>
        <v>KILLION DAVID</v>
      </c>
      <c r="M130" s="6">
        <f t="shared" si="25"/>
        <v>2.7280092588625848E-2</v>
      </c>
      <c r="N130" s="7">
        <f t="shared" si="45"/>
        <v>39.283333327621222</v>
      </c>
      <c r="O130" s="7"/>
      <c r="P130" s="7"/>
      <c r="Q130" s="23"/>
      <c r="R130" s="23"/>
      <c r="S130" s="32">
        <f t="shared" si="46"/>
        <v>1</v>
      </c>
      <c r="T130" s="47" t="str">
        <f t="shared" si="26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7"/>
        <v>https://d0f6bd738d7f1b3e5a7ca70fe4ff75f0.us-east-1.aws.found.io/app/kibana#/discover/Steve-Slow-Train-Analysis-(2080s-and-2083s)?_g=(refreshInterval:(display:Off,pause:!f,section:0,value:0),time:(from:'2017-01-29T17:44:26-0700',mode:absolute,to:'2017-01-29T20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0" s="49" t="str">
        <f t="shared" si="28"/>
        <v>N</v>
      </c>
      <c r="X130" s="170">
        <f t="shared" si="44"/>
        <v>1</v>
      </c>
      <c r="Y130" s="64">
        <f t="shared" si="30"/>
        <v>23.297999999999998</v>
      </c>
      <c r="Z130" s="64">
        <f t="shared" si="31"/>
        <v>6.4000000000000003E-3</v>
      </c>
      <c r="AA130" s="64">
        <f t="shared" si="32"/>
        <v>23.291599999999999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33"/>
        <v>0216-29</v>
      </c>
      <c r="AE130" s="87" t="str">
        <f t="shared" si="34"/>
        <v>aws s3 cp s3://rtdc.mdm.uploadarchive.raw/RTDC4028/ "%USERPROFILE%\AppData\Local\Temp\OnboardLogs"\RTDC4028\2017-01-29 --exclude "*" --recursive --include "*20170129*" &amp; "%USERPROFILE%\Documents\GitHub\mrs-test-scripts\Headless Mode &amp; Sideloading\WalkAndUnGZ.bat" "%USERPROFILE%\AppData\Local\Temp\OnboardLogs"\RTDC4028\2017-01-29 &amp; 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</v>
      </c>
      <c r="AF130" s="84" t="str">
        <f t="shared" si="35"/>
        <v>"C:\Program Files (x86)\AstroGrep\AstroGrep.exe" /spath="%USERPROFILE%\AppData\Local\Temp\OnboardLogs" /stypes="app*4028*20170130*" /stext=" 02:.+((SYSTEM_STATE.+slice.+state.+changed )|(ment ac)|(multiple cpu faults)|(system.+state.+changed )|(\[timeout)|(PRM\|1\|D)|(kpr)|(kdp)|(\|lc)|(penalty))" /e /r /s</v>
      </c>
      <c r="AG130" s="1" t="str">
        <f t="shared" si="36"/>
        <v>EC</v>
      </c>
      <c r="AH130" s="88" t="str">
        <f t="shared" si="37"/>
        <v>"%USERPROFILE%\Documents\GitHub\eaglep3\Utilities\RefineRTDCRunTimes.py" --tripid 216-29 --locoid 4028 --swversion DE.1.0.8.0 --startMP 204:232980 --initTime 2017-01-29T18:44:26 --startdatetime 2017-01-29T18:56:16 --delay 1 --endMP 204:64 --enddatetime 2017-01-29T19:35:33 --enforcementcount 0 &gt;&gt;C:\Users\stu\Documents\GitHub\eaglep3-reporting\EC\2017-01-29-refined-times.txt</v>
      </c>
      <c r="AI130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{"issue":{"subject":"","project_id":79,"tracker_id":40,"status_id":1,"priority_id":2,"assigned_to_id":23,"start_date":"2017-01-29","description":"","custom_fields":[{"id":1,"name":"Subdivision","value":"EC"},{"id":4,"name":"Milepost","value":"0.0064"},{"id":17,"name":"Train ID","value":"216-29"},{"id":16,"name":"Locomotive ID","value":"4028"},{"id":130,"name":"Impact","value":""},{"id":150,"name":"Time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9"/>
        <v>start /low /b %USERPROFILE%\Documents\GitHub\eaglep3\Utilities\DownloadLogsFromS3.py --loco 4028 --day 2017-01-29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"%USERPROFILE%\AppData\Local\Temp\OnboardLogs"\RTDC4028\*4028*20170130* | grep -SE "(Enforcement Action)|(\[TIMEOUT)|(CHR.+\|PRM\|1\|D.+(SWITCH|SIGNAL).+UNKNOWN)" - &gt;&gt; 2017-01-29-UncaughtWiMAX.txt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618</v>
      </c>
      <c r="B131" s="7">
        <v>4025</v>
      </c>
      <c r="C131" s="22" t="s">
        <v>193</v>
      </c>
      <c r="D131" s="22" t="s">
        <v>329</v>
      </c>
      <c r="E131" s="13">
        <v>42764.757511574076</v>
      </c>
      <c r="F131" s="13">
        <v>42764.760625000003</v>
      </c>
      <c r="G131" s="7">
        <v>1</v>
      </c>
      <c r="H131" s="22" t="s">
        <v>279</v>
      </c>
      <c r="I131" s="13">
        <v>42764.785729166666</v>
      </c>
      <c r="J131" s="7">
        <v>0</v>
      </c>
      <c r="K131" s="105" t="str">
        <f t="shared" si="24"/>
        <v>4025/4026</v>
      </c>
      <c r="L131" s="22" t="str">
        <f>VLOOKUP(A131,'Trips&amp;Operators'!$C$1:$G$99999,5,FALSE)</f>
        <v>SMITH MICHAEL</v>
      </c>
      <c r="M131" s="6">
        <f t="shared" si="25"/>
        <v>2.5104166663368233E-2</v>
      </c>
      <c r="N131" s="7">
        <f t="shared" si="45"/>
        <v>36.149999995250255</v>
      </c>
      <c r="O131" s="7"/>
      <c r="P131" s="7"/>
      <c r="Q131" s="23"/>
      <c r="R131" s="23"/>
      <c r="S131" s="32">
        <f t="shared" si="46"/>
        <v>1</v>
      </c>
      <c r="T131" s="47" t="str">
        <f t="shared" si="26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7"/>
        <v>https://d0f6bd738d7f1b3e5a7ca70fe4ff75f0.us-east-1.aws.found.io/app/kibana#/discover/Steve-Slow-Train-Analysis-(2080s-and-2083s)?_g=(refreshInterval:(display:Off,pause:!f,section:0,value:0),time:(from:'2017-01-29T17:10:49-0700',mode:absolute,to:'2017-01-29T19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49" t="str">
        <f t="shared" si="28"/>
        <v>N</v>
      </c>
      <c r="X131" s="170">
        <f t="shared" si="44"/>
        <v>1</v>
      </c>
      <c r="Y131" s="64">
        <f t="shared" si="30"/>
        <v>4.5499999999999999E-2</v>
      </c>
      <c r="Z131" s="64">
        <f t="shared" si="31"/>
        <v>23.331</v>
      </c>
      <c r="AA131" s="64">
        <f t="shared" si="32"/>
        <v>23.285499999999999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3"/>
        <v>0217-29</v>
      </c>
      <c r="AE131" s="87" t="str">
        <f t="shared" si="34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131" s="84" t="str">
        <f t="shared" si="35"/>
        <v>"C:\Program Files (x86)\AstroGrep\AstroGrep.exe" /spath="%USERPROFILE%\AppData\Local\Temp\OnboardLogs" /stypes="app*4025*20170130*" /stext=" 01:.+((SYSTEM_STATE.+slice.+state.+changed )|(ment ac)|(multiple cpu faults)|(system.+state.+changed )|(\[timeout)|(PRM\|1\|D)|(kpr)|(kdp)|(\|lc)|(penalty))" /e /r /s</v>
      </c>
      <c r="AG131" s="1" t="str">
        <f t="shared" si="36"/>
        <v>EC</v>
      </c>
      <c r="AH131" s="88" t="str">
        <f t="shared" si="37"/>
        <v>"%USERPROFILE%\Documents\GitHub\eaglep3\Utilities\RefineRTDCRunTimes.py" --tripid 217-29 --locoid 4025 --swversion DE.1.0.8.0 --startMP 204:455 --initTime 2017-01-29T18:10:49 --startdatetime 2017-01-29T18:15:18 --delay 1 --endMP 204:233310 --enddatetime 2017-01-29T18:51:27 --enforcementcount 0 &gt;&gt;C:\Users\stu\Documents\GitHub\eaglep3-reporting\EC\2017-01-29-refined-times.txt</v>
      </c>
      <c r="AI131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{"issue":{"subject":"","project_id":79,"tracker_id":40,"status_id":1,"priority_id":2,"assigned_to_id":23,"start_date":"2017-01-29","description":"","custom_fields":[{"id":1,"name":"Subdivision","value":"EC"},{"id":4,"name":"Milepost","value":"23.331"},{"id":17,"name":"Train ID","value":"217-29"},{"id":16,"name":"Locomotive ID","value":"4025"},{"id":130,"name":"Impact","value":""},{"id":150,"name":"Time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9"/>
        <v>start /low /b %USERPROFILE%\Documents\GitHub\eaglep3\Utilities\DownloadLogsFromS3.py --loco 4025 --day 2017-01-29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"%USERPROFILE%\AppData\Local\Temp\OnboardLogs"\RTDC4025\*4025*20170130* | grep -SE "(Enforcement Action)|(\[TIMEOUT)|(CHR.+\|PRM\|1\|D.+(SWITCH|SIGNAL).+UNKNOWN)" - &gt;&gt; 2017-01-29-UncaughtWiMAX.txt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627</v>
      </c>
      <c r="B132" s="7">
        <v>4026</v>
      </c>
      <c r="C132" s="22" t="s">
        <v>193</v>
      </c>
      <c r="D132" s="22" t="s">
        <v>696</v>
      </c>
      <c r="E132" s="13">
        <v>42764.790902777779</v>
      </c>
      <c r="F132" s="13">
        <v>42764.799537037034</v>
      </c>
      <c r="G132" s="7">
        <v>1</v>
      </c>
      <c r="H132" s="22" t="s">
        <v>243</v>
      </c>
      <c r="I132" s="13">
        <v>42764.826365740744</v>
      </c>
      <c r="J132" s="7">
        <v>0</v>
      </c>
      <c r="K132" s="105" t="str">
        <f t="shared" si="24"/>
        <v>4025/4026</v>
      </c>
      <c r="L132" s="22" t="str">
        <f>VLOOKUP(A132,'Trips&amp;Operators'!$C$1:$G$99999,5,FALSE)</f>
        <v>SMITH MICHAEL</v>
      </c>
      <c r="M132" s="6">
        <f t="shared" si="25"/>
        <v>2.6828703710634727E-2</v>
      </c>
      <c r="N132" s="7">
        <f t="shared" si="45"/>
        <v>38.633333343314007</v>
      </c>
      <c r="O132" s="7"/>
      <c r="P132" s="7"/>
      <c r="Q132" s="23"/>
      <c r="R132" s="23"/>
      <c r="S132" s="32">
        <f t="shared" si="46"/>
        <v>1</v>
      </c>
      <c r="T132" s="47" t="str">
        <f t="shared" si="26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7"/>
        <v>https://d0f6bd738d7f1b3e5a7ca70fe4ff75f0.us-east-1.aws.found.io/app/kibana#/discover/Steve-Slow-Train-Analysis-(2080s-and-2083s)?_g=(refreshInterval:(display:Off,pause:!f,section:0,value:0),time:(from:'2017-01-29T17:58:54-0700',mode:absolute,to:'2017-01-29T20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49" t="str">
        <f t="shared" si="28"/>
        <v>N</v>
      </c>
      <c r="X132" s="170">
        <f t="shared" si="44"/>
        <v>1</v>
      </c>
      <c r="Y132" s="64">
        <f t="shared" si="30"/>
        <v>23.298300000000001</v>
      </c>
      <c r="Z132" s="64">
        <f t="shared" si="31"/>
        <v>1.43E-2</v>
      </c>
      <c r="AA132" s="64">
        <f t="shared" si="32"/>
        <v>23.284000000000002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33"/>
        <v>0218-29</v>
      </c>
      <c r="AE132" s="87" t="str">
        <f t="shared" si="34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132" s="84" t="str">
        <f t="shared" si="35"/>
        <v>"C:\Program Files (x86)\AstroGrep\AstroGrep.exe" /spath="%USERPROFILE%\AppData\Local\Temp\OnboardLogs" /stypes="app*4026*20170130*" /stext=" 02:.+((SYSTEM_STATE.+slice.+state.+changed )|(ment ac)|(multiple cpu faults)|(system.+state.+changed )|(\[timeout)|(PRM\|1\|D)|(kpr)|(kdp)|(\|lc)|(penalty))" /e /r /s</v>
      </c>
      <c r="AG132" s="1" t="str">
        <f t="shared" si="36"/>
        <v>EC</v>
      </c>
      <c r="AH132" s="88" t="str">
        <f t="shared" si="37"/>
        <v>"%USERPROFILE%\Documents\GitHub\eaglep3\Utilities\RefineRTDCRunTimes.py" --tripid 218-29 --locoid 4026 --swversion DE.1.0.8.0 --startMP 204:232983 --initTime 2017-01-29T18:58:54 --startdatetime 2017-01-29T19:11:20 --delay 1 --endMP 204:143 --enddatetime 2017-01-29T19:49:58 --enforcementcount 0 &gt;&gt;C:\Users\stu\Documents\GitHub\eaglep3-reporting\EC\2017-01-29-refined-times.txt</v>
      </c>
      <c r="AI132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{"issue":{"subject":"","project_id":79,"tracker_id":40,"status_id":1,"priority_id":2,"assigned_to_id":23,"start_date":"2017-01-29","description":"","custom_fields":[{"id":1,"name":"Subdivision","value":"EC"},{"id":4,"name":"Milepost","value":"0.0143"},{"id":17,"name":"Train ID","value":"218-29"},{"id":16,"name":"Locomotive ID","value":"4026"},{"id":130,"name":"Impact","value":""},{"id":150,"name":"Time of Event (Mountain Time)","value":"19:49:58"},{"id":151,"name":"Denver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9"/>
        <v>start /low /b %USERPROFILE%\Documents\GitHub\eaglep3\Utilities\DownloadLogsFromS3.py --loco 4026 --day 2017-01-29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"%USERPROFILE%\AppData\Local\Temp\OnboardLogs"\RTDC4026\*4026*20170130* | grep -SE "(Enforcement Action)|(\[TIMEOUT)|(CHR.+\|PRM\|1\|D.+(SWITCH|SIGNAL).+UNKNOWN)" - &gt;&gt; 2017-01-29-UncaughtWiMAX.txt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621</v>
      </c>
      <c r="B133" s="7">
        <v>4011</v>
      </c>
      <c r="C133" s="22" t="s">
        <v>193</v>
      </c>
      <c r="D133" s="22" t="s">
        <v>770</v>
      </c>
      <c r="E133" s="13">
        <v>42764.764849537038</v>
      </c>
      <c r="F133" s="13">
        <v>42764.771168981482</v>
      </c>
      <c r="G133" s="7">
        <v>1</v>
      </c>
      <c r="H133" s="22" t="s">
        <v>771</v>
      </c>
      <c r="I133" s="13">
        <v>42764.79546296296</v>
      </c>
      <c r="J133" s="7">
        <v>0</v>
      </c>
      <c r="K133" s="105" t="str">
        <f t="shared" si="24"/>
        <v>4011/4012</v>
      </c>
      <c r="L133" s="22" t="str">
        <f>VLOOKUP(A133,'Trips&amp;Operators'!$C$1:$G$99999,5,FALSE)</f>
        <v>STAMBAUGH JAMES</v>
      </c>
      <c r="M133" s="6">
        <f t="shared" si="25"/>
        <v>2.4293981477967463E-2</v>
      </c>
      <c r="N133" s="7">
        <f t="shared" si="45"/>
        <v>34.983333328273147</v>
      </c>
      <c r="O133" s="7"/>
      <c r="P133" s="7"/>
      <c r="Q133" s="23"/>
      <c r="R133" s="23"/>
      <c r="S133" s="32">
        <f t="shared" si="46"/>
        <v>1</v>
      </c>
      <c r="T133" s="47" t="str">
        <f t="shared" si="26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7"/>
        <v>https://d0f6bd738d7f1b3e5a7ca70fe4ff75f0.us-east-1.aws.found.io/app/kibana#/discover/Steve-Slow-Train-Analysis-(2080s-and-2083s)?_g=(refreshInterval:(display:Off,pause:!f,section:0,value:0),time:(from:'2017-01-29T17:21:23-0700',mode:absolute,to:'2017-01-29T20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3" s="49" t="str">
        <f t="shared" si="28"/>
        <v>N</v>
      </c>
      <c r="X133" s="170">
        <f t="shared" si="44"/>
        <v>1</v>
      </c>
      <c r="Y133" s="64">
        <f t="shared" si="30"/>
        <v>4.2000000000000003E-2</v>
      </c>
      <c r="Z133" s="64">
        <f t="shared" si="31"/>
        <v>23.332000000000001</v>
      </c>
      <c r="AA133" s="64">
        <f t="shared" si="32"/>
        <v>23.29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3"/>
        <v>0219-29</v>
      </c>
      <c r="AE133" s="87" t="str">
        <f t="shared" si="34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133" s="84" t="str">
        <f t="shared" si="35"/>
        <v>"C:\Program Files (x86)\AstroGrep\AstroGrep.exe" /spath="%USERPROFILE%\AppData\Local\Temp\OnboardLogs" /stypes="app*4011*20170130*" /stext=" 02:.+((SYSTEM_STATE.+slice.+state.+changed )|(ment ac)|(multiple cpu faults)|(system.+state.+changed )|(\[timeout)|(PRM\|1\|D)|(kpr)|(kdp)|(\|lc)|(penalty))" /e /r /s</v>
      </c>
      <c r="AG133" s="1" t="str">
        <f t="shared" si="36"/>
        <v>EC</v>
      </c>
      <c r="AH133" s="88" t="str">
        <f t="shared" si="37"/>
        <v>"%USERPROFILE%\Documents\GitHub\eaglep3\Utilities\RefineRTDCRunTimes.py" --tripid 219-29 --locoid 4011 --swversion DE.1.0.8.0 --startMP 204:420 --initTime 2017-01-29T18:21:23 --startdatetime 2017-01-29T18:30:29 --delay 1 --endMP 204:233320 --enddatetime 2017-01-29T19:05:28 --enforcementcount 0 &gt;&gt;C:\Users\stu\Documents\GitHub\eaglep3-reporting\EC\2017-01-29-refined-times.txt</v>
      </c>
      <c r="AI133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{"issue":{"subject":"","project_id":79,"tracker_id":40,"status_id":1,"priority_id":2,"assigned_to_id":23,"start_date":"2017-01-29","description":"","custom_fields":[{"id":1,"name":"Subdivision","value":"EC"},{"id":4,"name":"Milepost","value":"23.332"},{"id":17,"name":"Train ID","value":"219-29"},{"id":16,"name":"Locomotive ID","value":"4011"},{"id":130,"name":"Impact","value":""},{"id":150,"name":"Time of Event (Mountain Time)","value":"19:05:28"},{"id":151,"name":"Denver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9"/>
        <v>start /low /b %USERPROFILE%\Documents\GitHub\eaglep3\Utilities\DownloadLogsFromS3.py --loco 4011 --day 2017-01-29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"%USERPROFILE%\AppData\Local\Temp\OnboardLogs"\RTDC4011\*4011*20170130* | grep -SE "(Enforcement Action)|(\[TIMEOUT)|(CHR.+\|PRM\|1\|D.+(SWITCH|SIGNAL).+UNKNOWN)" - &gt;&gt; 2017-01-29-UncaughtWiMAX.txt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629</v>
      </c>
      <c r="B134" s="7">
        <v>4012</v>
      </c>
      <c r="C134" s="22" t="s">
        <v>193</v>
      </c>
      <c r="D134" s="22" t="s">
        <v>422</v>
      </c>
      <c r="E134" s="13">
        <v>42764.802870370368</v>
      </c>
      <c r="F134" s="13">
        <v>42764.810324074075</v>
      </c>
      <c r="G134" s="7">
        <v>1</v>
      </c>
      <c r="H134" s="22" t="s">
        <v>383</v>
      </c>
      <c r="I134" s="13">
        <v>42764.835706018515</v>
      </c>
      <c r="J134" s="7">
        <v>0</v>
      </c>
      <c r="K134" s="105" t="str">
        <f t="shared" si="24"/>
        <v>4011/4012</v>
      </c>
      <c r="L134" s="22" t="str">
        <f>VLOOKUP(A134,'Trips&amp;Operators'!$C$1:$G$99999,5,FALSE)</f>
        <v>STAMBAUGH JAMES</v>
      </c>
      <c r="M134" s="6">
        <f t="shared" si="25"/>
        <v>2.5381944440596271E-2</v>
      </c>
      <c r="N134" s="7">
        <f t="shared" si="45"/>
        <v>36.549999994458631</v>
      </c>
      <c r="O134" s="7"/>
      <c r="P134" s="7"/>
      <c r="Q134" s="23"/>
      <c r="R134" s="23"/>
      <c r="S134" s="32">
        <f t="shared" si="46"/>
        <v>1</v>
      </c>
      <c r="T134" s="47" t="str">
        <f t="shared" si="26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7"/>
        <v>https://d0f6bd738d7f1b3e5a7ca70fe4ff75f0.us-east-1.aws.found.io/app/kibana#/discover/Steve-Slow-Train-Analysis-(2080s-and-2083s)?_g=(refreshInterval:(display:Off,pause:!f,section:0,value:0),time:(from:'2017-01-29T18:16:08-0700',mode:absolute,to:'2017-01-29T21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4" s="49" t="str">
        <f t="shared" si="28"/>
        <v>N</v>
      </c>
      <c r="X134" s="170">
        <f t="shared" si="44"/>
        <v>1</v>
      </c>
      <c r="Y134" s="64">
        <f t="shared" si="30"/>
        <v>23.3017</v>
      </c>
      <c r="Z134" s="64">
        <f t="shared" si="31"/>
        <v>1.6899999999999998E-2</v>
      </c>
      <c r="AA134" s="64">
        <f t="shared" si="32"/>
        <v>23.284800000000001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3"/>
        <v>0220-29</v>
      </c>
      <c r="AE134" s="87" t="str">
        <f t="shared" si="34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134" s="84" t="str">
        <f t="shared" si="35"/>
        <v>"C:\Program Files (x86)\AstroGrep\AstroGrep.exe" /spath="%USERPROFILE%\AppData\Local\Temp\OnboardLogs" /stypes="app*4012*20170130*" /stext=" 03:.+((SYSTEM_STATE.+slice.+state.+changed )|(ment ac)|(multiple cpu faults)|(system.+state.+changed )|(\[timeout)|(PRM\|1\|D)|(kpr)|(kdp)|(\|lc)|(penalty))" /e /r /s</v>
      </c>
      <c r="AG134" s="1" t="str">
        <f t="shared" si="36"/>
        <v>EC</v>
      </c>
      <c r="AH134" s="88" t="str">
        <f t="shared" si="37"/>
        <v>"%USERPROFILE%\Documents\GitHub\eaglep3\Utilities\RefineRTDCRunTimes.py" --tripid 220-29 --locoid 4012 --swversion DE.1.0.8.0 --startMP 204:233017 --initTime 2017-01-29T19:16:08 --startdatetime 2017-01-29T19:26:52 --delay 1 --endMP 204:169 --enddatetime 2017-01-29T20:03:25 --enforcementcount 0 &gt;&gt;C:\Users\stu\Documents\GitHub\eaglep3-reporting\EC\2017-01-29-refined-times.txt</v>
      </c>
      <c r="AI134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{"issue":{"subject":"","project_id":79,"tracker_id":40,"status_id":1,"priority_id":2,"assigned_to_id":23,"start_date":"2017-01-29","description":"","custom_fields":[{"id":1,"name":"Subdivision","value":"EC"},{"id":4,"name":"Milepost","value":"0.0169"},{"id":17,"name":"Train ID","value":"220-29"},{"id":16,"name":"Locomotive ID","value":"4012"},{"id":130,"name":"Impact","value":""},{"id":150,"name":"Time of Event (Mountain Time)","value":"20:03:25"},{"id":151,"name":"Denver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9"/>
        <v>start /low /b %USERPROFILE%\Documents\GitHub\eaglep3\Utilities\DownloadLogsFromS3.py --loco 4012 --day 2017-01-29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"%USERPROFILE%\AppData\Local\Temp\OnboardLogs"\RTDC4012\*4012*20170130* | grep -SE "(Enforcement Action)|(\[TIMEOUT)|(CHR.+\|PRM\|1\|D.+(SWITCH|SIGNAL).+UNKNOWN)" - &gt;&gt; 2017-01-29-UncaughtWiMAX.txt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626</v>
      </c>
      <c r="B135" s="7">
        <v>4007</v>
      </c>
      <c r="C135" s="22" t="s">
        <v>193</v>
      </c>
      <c r="D135" s="22" t="s">
        <v>244</v>
      </c>
      <c r="E135" s="13">
        <v>42764.790046296293</v>
      </c>
      <c r="F135" s="13">
        <v>42764.792037037034</v>
      </c>
      <c r="G135" s="7">
        <v>1</v>
      </c>
      <c r="H135" s="22" t="s">
        <v>772</v>
      </c>
      <c r="I135" s="13">
        <v>42764.816747685189</v>
      </c>
      <c r="J135" s="7">
        <v>0</v>
      </c>
      <c r="K135" s="105" t="str">
        <f t="shared" si="24"/>
        <v>4007/4008</v>
      </c>
      <c r="L135" s="22" t="str">
        <f>VLOOKUP(A135,'Trips&amp;Operators'!$C$1:$G$99999,5,FALSE)</f>
        <v>CHANDLER KELVIN</v>
      </c>
      <c r="M135" s="6">
        <f t="shared" si="25"/>
        <v>2.4710648154723458E-2</v>
      </c>
      <c r="N135" s="7">
        <f t="shared" si="45"/>
        <v>35.58333334280178</v>
      </c>
      <c r="O135" s="7"/>
      <c r="P135" s="7"/>
      <c r="Q135" s="23"/>
      <c r="R135" s="23"/>
      <c r="S135" s="32">
        <f t="shared" si="46"/>
        <v>1</v>
      </c>
      <c r="T135" s="47" t="str">
        <f t="shared" si="26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7"/>
        <v>https://d0f6bd738d7f1b3e5a7ca70fe4ff75f0.us-east-1.aws.found.io/app/kibana#/discover/Steve-Slow-Train-Analysis-(2080s-and-2083s)?_g=(refreshInterval:(display:Off,pause:!f,section:0,value:0),time:(from:'2017-01-29T17:57:40-0700',mode:absolute,to:'2017-01-29T20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5" s="49" t="str">
        <f t="shared" si="28"/>
        <v>N</v>
      </c>
      <c r="X135" s="170">
        <f t="shared" si="44"/>
        <v>1</v>
      </c>
      <c r="Y135" s="64">
        <f t="shared" si="30"/>
        <v>4.6600000000000003E-2</v>
      </c>
      <c r="Z135" s="64">
        <f t="shared" si="31"/>
        <v>23.327999999999999</v>
      </c>
      <c r="AA135" s="64">
        <f t="shared" si="32"/>
        <v>23.281399999999998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3"/>
        <v>0221-29</v>
      </c>
      <c r="AE135" s="87" t="str">
        <f t="shared" si="34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135" s="84" t="str">
        <f t="shared" si="35"/>
        <v>"C:\Program Files (x86)\AstroGrep\AstroGrep.exe" /spath="%USERPROFILE%\AppData\Local\Temp\OnboardLogs" /stypes="app*4007*20170130*" /stext=" 02:.+((SYSTEM_STATE.+slice.+state.+changed )|(ment ac)|(multiple cpu faults)|(system.+state.+changed )|(\[timeout)|(PRM\|1\|D)|(kpr)|(kdp)|(\|lc)|(penalty))" /e /r /s</v>
      </c>
      <c r="AG135" s="1" t="str">
        <f t="shared" si="36"/>
        <v>EC</v>
      </c>
      <c r="AH135" s="88" t="str">
        <f t="shared" si="37"/>
        <v>"%USERPROFILE%\Documents\GitHub\eaglep3\Utilities\RefineRTDCRunTimes.py" --tripid 221-29 --locoid 4007 --swversion DE.1.0.8.0 --startMP 204:466 --initTime 2017-01-29T18:57:40 --startdatetime 2017-01-29T19:00:32 --delay 1 --endMP 204:233280 --enddatetime 2017-01-29T19:36:07 --enforcementcount 0 &gt;&gt;C:\Users\stu\Documents\GitHub\eaglep3-reporting\EC\2017-01-29-refined-times.txt</v>
      </c>
      <c r="AI135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{"issue":{"subject":"","project_id":79,"tracker_id":40,"status_id":1,"priority_id":2,"assigned_to_id":23,"start_date":"2017-01-29","description":"","custom_fields":[{"id":1,"name":"Subdivision","value":"EC"},{"id":4,"name":"Milepost","value":"23.328"},{"id":17,"name":"Train ID","value":"221-29"},{"id":16,"name":"Locomotive ID","value":"4007"},{"id":130,"name":"Impact","value":""},{"id":150,"name":"Time of Event (Mountain Time)","value":"19:36:07"},{"id":151,"name":"Denver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9"/>
        <v>start /low /b %USERPROFILE%\Documents\GitHub\eaglep3\Utilities\DownloadLogsFromS3.py --loco 4007 --day 2017-01-29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"%USERPROFILE%\AppData\Local\Temp\OnboardLogs"\RTDC4007\*4007*20170130* | grep -SE "(Enforcement Action)|(\[TIMEOUT)|(CHR.+\|PRM\|1\|D.+(SWITCH|SIGNAL).+UNKNOWN)" - &gt;&gt; 2017-01-29-UncaughtWiMAX.txt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635</v>
      </c>
      <c r="B136" s="7">
        <v>4008</v>
      </c>
      <c r="C136" s="22" t="s">
        <v>193</v>
      </c>
      <c r="D136" s="22" t="s">
        <v>773</v>
      </c>
      <c r="E136" s="13">
        <v>42764.82917824074</v>
      </c>
      <c r="F136" s="13">
        <v>42764.830810185187</v>
      </c>
      <c r="G136" s="7">
        <v>1</v>
      </c>
      <c r="H136" s="22" t="s">
        <v>216</v>
      </c>
      <c r="I136" s="13">
        <v>42764.858043981483</v>
      </c>
      <c r="J136" s="7">
        <v>0</v>
      </c>
      <c r="K136" s="105" t="str">
        <f t="shared" si="24"/>
        <v>4007/4008</v>
      </c>
      <c r="L136" s="22" t="str">
        <f>VLOOKUP(A136,'Trips&amp;Operators'!$C$1:$G$99999,5,FALSE)</f>
        <v>CHANDLER KELVIN</v>
      </c>
      <c r="M136" s="6">
        <f t="shared" si="25"/>
        <v>2.7233796296059154E-2</v>
      </c>
      <c r="N136" s="7">
        <f t="shared" si="45"/>
        <v>39.216666666325182</v>
      </c>
      <c r="O136" s="7"/>
      <c r="P136" s="7"/>
      <c r="Q136" s="23"/>
      <c r="R136" s="23"/>
      <c r="S136" s="32">
        <f t="shared" si="46"/>
        <v>1</v>
      </c>
      <c r="T136" s="47" t="str">
        <f t="shared" si="26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7"/>
        <v>https://d0f6bd738d7f1b3e5a7ca70fe4ff75f0.us-east-1.aws.found.io/app/kibana#/discover/Steve-Slow-Train-Analysis-(2080s-and-2083s)?_g=(refreshInterval:(display:Off,pause:!f,section:0,value:0),time:(from:'2017-01-29T18:54:01-0700',mode:absolute,to:'2017-01-29T21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6" s="49" t="str">
        <f t="shared" si="28"/>
        <v>N</v>
      </c>
      <c r="X136" s="170">
        <f t="shared" si="44"/>
        <v>1</v>
      </c>
      <c r="Y136" s="64">
        <f t="shared" si="30"/>
        <v>23.297599999999999</v>
      </c>
      <c r="Z136" s="64">
        <f t="shared" si="31"/>
        <v>1.5800000000000002E-2</v>
      </c>
      <c r="AA136" s="64">
        <f t="shared" si="32"/>
        <v>23.2818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3"/>
        <v>0222-29</v>
      </c>
      <c r="AE136" s="87" t="str">
        <f t="shared" si="34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136" s="84" t="str">
        <f t="shared" si="35"/>
        <v>"C:\Program Files (x86)\AstroGrep\AstroGrep.exe" /spath="%USERPROFILE%\AppData\Local\Temp\OnboardLogs" /stypes="app*4008*20170130*" /stext=" 03:.+((SYSTEM_STATE.+slice.+state.+changed )|(ment ac)|(multiple cpu faults)|(system.+state.+changed )|(\[timeout)|(PRM\|1\|D)|(kpr)|(kdp)|(\|lc)|(penalty))" /e /r /s</v>
      </c>
      <c r="AG136" s="1" t="str">
        <f t="shared" si="36"/>
        <v>EC</v>
      </c>
      <c r="AH136" s="88" t="str">
        <f t="shared" si="37"/>
        <v>"%USERPROFILE%\Documents\GitHub\eaglep3\Utilities\RefineRTDCRunTimes.py" --tripid 222-29 --locoid 4008 --swversion DE.1.0.8.0 --startMP 204:232976 --initTime 2017-01-29T19:54:01 --startdatetime 2017-01-29T19:56:22 --delay 1 --endMP 204:158 --enddatetime 2017-01-29T20:35:35 --enforcementcount 0 &gt;&gt;C:\Users\stu\Documents\GitHub\eaglep3-reporting\EC\2017-01-29-refined-times.txt</v>
      </c>
      <c r="AI136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{"issue":{"subject":"","project_id":79,"tracker_id":40,"status_id":1,"priority_id":2,"assigned_to_id":23,"start_date":"2017-01-29","description":"","custom_fields":[{"id":1,"name":"Subdivision","value":"EC"},{"id":4,"name":"Milepost","value":"0.0158"},{"id":17,"name":"Train ID","value":"222-29"},{"id":16,"name":"Locomotive ID","value":"4008"},{"id":130,"name":"Impact","value":""},{"id":150,"name":"Time of Event (Mountain Time)","value":"20:35:35"},{"id":151,"name":"Denver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9"/>
        <v>start /low /b %USERPROFILE%\Documents\GitHub\eaglep3\Utilities\DownloadLogsFromS3.py --loco 4008 --day 2017-01-29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"%USERPROFILE%\AppData\Local\Temp\OnboardLogs"\RTDC4008\*4008*20170130* | grep -SE "(Enforcement Action)|(\[TIMEOUT)|(CHR.+\|PRM\|1\|D.+(SWITCH|SIGNAL).+UNKNOWN)" - &gt;&gt; 2017-01-29-UncaughtWiMAX.txt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631</v>
      </c>
      <c r="B137" s="7">
        <v>4038</v>
      </c>
      <c r="C137" s="22" t="s">
        <v>193</v>
      </c>
      <c r="D137" s="22" t="s">
        <v>698</v>
      </c>
      <c r="E137" s="13">
        <v>42764.806018518517</v>
      </c>
      <c r="F137" s="13">
        <v>42764.812662037039</v>
      </c>
      <c r="G137" s="7">
        <v>1</v>
      </c>
      <c r="H137" s="22" t="s">
        <v>301</v>
      </c>
      <c r="I137" s="13">
        <v>42764.837245370371</v>
      </c>
      <c r="J137" s="7">
        <v>0</v>
      </c>
      <c r="K137" s="105" t="str">
        <f t="shared" si="24"/>
        <v>4037/4038</v>
      </c>
      <c r="L137" s="22" t="str">
        <f>VLOOKUP(A137,'Trips&amp;Operators'!$C$1:$G$99999,5,FALSE)</f>
        <v>NEWELL JAMES</v>
      </c>
      <c r="M137" s="6">
        <f t="shared" si="25"/>
        <v>2.4583333331975155E-2</v>
      </c>
      <c r="N137" s="7">
        <f t="shared" si="45"/>
        <v>35.399999998044223</v>
      </c>
      <c r="O137" s="7"/>
      <c r="P137" s="7"/>
      <c r="Q137" s="23"/>
      <c r="R137" s="23"/>
      <c r="S137" s="32">
        <f t="shared" si="46"/>
        <v>1</v>
      </c>
      <c r="T137" s="47" t="str">
        <f t="shared" si="26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7"/>
        <v>https://d0f6bd738d7f1b3e5a7ca70fe4ff75f0.us-east-1.aws.found.io/app/kibana#/discover/Steve-Slow-Train-Analysis-(2080s-and-2083s)?_g=(refreshInterval:(display:Off,pause:!f,section:0,value:0),time:(from:'2017-01-29T18:20:40-0700',mode:absolute,to:'2017-01-29T21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7" s="49" t="str">
        <f t="shared" si="28"/>
        <v>N</v>
      </c>
      <c r="X137" s="170">
        <f t="shared" si="44"/>
        <v>1</v>
      </c>
      <c r="Y137" s="64">
        <f t="shared" si="30"/>
        <v>4.3700000000000003E-2</v>
      </c>
      <c r="Z137" s="64">
        <f t="shared" si="31"/>
        <v>23.331199999999999</v>
      </c>
      <c r="AA137" s="64">
        <f t="shared" si="32"/>
        <v>23.287499999999998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33"/>
        <v>0223-29</v>
      </c>
      <c r="AE137" s="87" t="str">
        <f t="shared" si="34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137" s="84" t="str">
        <f t="shared" si="35"/>
        <v>"C:\Program Files (x86)\AstroGrep\AstroGrep.exe" /spath="%USERPROFILE%\AppData\Local\Temp\OnboardLogs" /stypes="app*4038*20170130*" /stext=" 03:.+((SYSTEM_STATE.+slice.+state.+changed )|(ment ac)|(multiple cpu faults)|(system.+state.+changed )|(\[timeout)|(PRM\|1\|D)|(kpr)|(kdp)|(\|lc)|(penalty))" /e /r /s</v>
      </c>
      <c r="AG137" s="1" t="str">
        <f t="shared" si="36"/>
        <v>EC</v>
      </c>
      <c r="AH137" s="88" t="str">
        <f t="shared" si="37"/>
        <v>"%USERPROFILE%\Documents\GitHub\eaglep3\Utilities\RefineRTDCRunTimes.py" --tripid 223-29 --locoid 4038 --swversion DE.1.0.8.0 --startMP 204:437 --initTime 2017-01-29T19:20:40 --startdatetime 2017-01-29T19:30:14 --delay 1 --endMP 204:233312 --enddatetime 2017-01-29T20:05:38 --enforcementcount 0 &gt;&gt;C:\Users\stu\Documents\GitHub\eaglep3-reporting\EC\2017-01-29-refined-times.txt</v>
      </c>
      <c r="AI137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{"issue":{"subject":"","project_id":79,"tracker_id":40,"status_id":1,"priority_id":2,"assigned_to_id":23,"start_date":"2017-01-29","description":"","custom_fields":[{"id":1,"name":"Subdivision","value":"EC"},{"id":4,"name":"Milepost","value":"23.3312"},{"id":17,"name":"Train ID","value":"223-29"},{"id":16,"name":"Locomotive ID","value":"4038"},{"id":130,"name":"Impact","value":""},{"id":150,"name":"Time of Event (Mountain Time)","value":"20:05:38"},{"id":151,"name":"Denver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9"/>
        <v>start /low /b %USERPROFILE%\Documents\GitHub\eaglep3\Utilities\DownloadLogsFromS3.py --loco 4038 --day 2017-01-29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"%USERPROFILE%\AppData\Local\Temp\OnboardLogs"\RTDC4038\*4038*20170130* | grep -SE "(Enforcement Action)|(\[TIMEOUT)|(CHR.+\|PRM\|1\|D.+(SWITCH|SIGNAL).+UNKNOWN)" - &gt;&gt; 2017-01-29-UncaughtWiMAX.txt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638</v>
      </c>
      <c r="B138" s="7">
        <v>4037</v>
      </c>
      <c r="C138" s="22" t="s">
        <v>193</v>
      </c>
      <c r="D138" s="22" t="s">
        <v>424</v>
      </c>
      <c r="E138" s="13">
        <v>42764.847256944442</v>
      </c>
      <c r="F138" s="13">
        <v>42764.851550925923</v>
      </c>
      <c r="G138" s="7">
        <v>1</v>
      </c>
      <c r="H138" s="22" t="s">
        <v>380</v>
      </c>
      <c r="I138" s="13">
        <v>42764.877187500002</v>
      </c>
      <c r="J138" s="7">
        <v>0</v>
      </c>
      <c r="K138" s="105" t="str">
        <f t="shared" si="24"/>
        <v>4037/4038</v>
      </c>
      <c r="L138" s="22" t="str">
        <f>VLOOKUP(A138,'Trips&amp;Operators'!$C$1:$G$99999,5,FALSE)</f>
        <v>NEWELL JAMES</v>
      </c>
      <c r="M138" s="6">
        <f t="shared" si="25"/>
        <v>2.5636574078816921E-2</v>
      </c>
      <c r="N138" s="7">
        <f t="shared" si="45"/>
        <v>36.916666673496366</v>
      </c>
      <c r="O138" s="7"/>
      <c r="P138" s="7"/>
      <c r="Q138" s="23"/>
      <c r="R138" s="23"/>
      <c r="S138" s="32">
        <f t="shared" si="46"/>
        <v>1</v>
      </c>
      <c r="T138" s="47" t="str">
        <f t="shared" si="26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7"/>
        <v>https://d0f6bd738d7f1b3e5a7ca70fe4ff75f0.us-east-1.aws.found.io/app/kibana#/discover/Steve-Slow-Train-Analysis-(2080s-and-2083s)?_g=(refreshInterval:(display:Off,pause:!f,section:0,value:0),time:(from:'2017-01-29T19:20:03-0700',mode:absolute,to:'2017-01-29T22:03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8" s="49" t="str">
        <f t="shared" si="28"/>
        <v>N</v>
      </c>
      <c r="X138" s="170">
        <f t="shared" si="44"/>
        <v>1</v>
      </c>
      <c r="Y138" s="64">
        <f t="shared" si="30"/>
        <v>23.299800000000001</v>
      </c>
      <c r="Z138" s="64">
        <f t="shared" si="31"/>
        <v>1.6500000000000001E-2</v>
      </c>
      <c r="AA138" s="64">
        <f t="shared" si="32"/>
        <v>23.283300000000001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3"/>
        <v>0224-29</v>
      </c>
      <c r="AE138" s="87" t="str">
        <f t="shared" si="34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138" s="84" t="str">
        <f t="shared" si="35"/>
        <v>"C:\Program Files (x86)\AstroGrep\AstroGrep.exe" /spath="%USERPROFILE%\AppData\Local\Temp\OnboardLogs" /stypes="app*4037*20170130*" /stext=" 04:.+((SYSTEM_STATE.+slice.+state.+changed )|(ment ac)|(multiple cpu faults)|(system.+state.+changed )|(\[timeout)|(PRM\|1\|D)|(kpr)|(kdp)|(\|lc)|(penalty))" /e /r /s</v>
      </c>
      <c r="AG138" s="1" t="str">
        <f t="shared" si="36"/>
        <v>EC</v>
      </c>
      <c r="AH138" s="88" t="str">
        <f t="shared" si="37"/>
        <v>"%USERPROFILE%\Documents\GitHub\eaglep3\Utilities\RefineRTDCRunTimes.py" --tripid 224-29 --locoid 4037 --swversion DE.1.0.8.0 --startMP 204:232998 --initTime 2017-01-29T20:20:03 --startdatetime 2017-01-29T20:26:14 --delay 1 --endMP 204:165 --enddatetime 2017-01-29T21:03:09 --enforcementcount 0 &gt;&gt;C:\Users\stu\Documents\GitHub\eaglep3-reporting\EC\2017-01-29-refined-times.txt</v>
      </c>
      <c r="AI138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{"issue":{"subject":"","project_id":79,"tracker_id":40,"status_id":1,"priority_id":2,"assigned_to_id":23,"start_date":"2017-01-29","description":"","custom_fields":[{"id":1,"name":"Subdivision","value":"EC"},{"id":4,"name":"Milepost","value":"0.0165"},{"id":17,"name":"Train ID","value":"224-29"},{"id":16,"name":"Locomotive ID","value":"4037"},{"id":130,"name":"Impact","value":""},{"id":150,"name":"Time of Event (Mountain Time)","value":"21:03:09"},{"id":151,"name":"Denver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9"/>
        <v>start /low /b %USERPROFILE%\Documents\GitHub\eaglep3\Utilities\DownloadLogsFromS3.py --loco 4037 --day 2017-01-29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"%USERPROFILE%\AppData\Local\Temp\OnboardLogs"\RTDC4037\*4037*20170130* | grep -SE "(Enforcement Action)|(\[TIMEOUT)|(CHR.+\|PRM\|1\|D.+(SWITCH|SIGNAL).+UNKNOWN)" - &gt;&gt; 2017-01-29-UncaughtWiMAX.txt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634</v>
      </c>
      <c r="B139" s="7">
        <v>4025</v>
      </c>
      <c r="C139" s="22" t="s">
        <v>193</v>
      </c>
      <c r="D139" s="22" t="s">
        <v>232</v>
      </c>
      <c r="E139" s="13">
        <v>42764.828506944446</v>
      </c>
      <c r="F139" s="13">
        <v>42764.833796296298</v>
      </c>
      <c r="G139" s="7">
        <v>1</v>
      </c>
      <c r="H139" s="22" t="s">
        <v>301</v>
      </c>
      <c r="I139" s="13">
        <v>42764.858611111114</v>
      </c>
      <c r="J139" s="7">
        <v>0</v>
      </c>
      <c r="K139" s="105" t="str">
        <f t="shared" si="24"/>
        <v>4025/4026</v>
      </c>
      <c r="L139" s="22" t="str">
        <f>VLOOKUP(A139,'Trips&amp;Operators'!$C$1:$G$99999,5,FALSE)</f>
        <v>SMITH MICHAEL</v>
      </c>
      <c r="M139" s="6">
        <f t="shared" si="25"/>
        <v>2.4814814816636499E-2</v>
      </c>
      <c r="N139" s="7">
        <f t="shared" si="45"/>
        <v>35.733333335956559</v>
      </c>
      <c r="O139" s="7"/>
      <c r="P139" s="7"/>
      <c r="Q139" s="23"/>
      <c r="R139" s="23"/>
      <c r="S139" s="32">
        <f t="shared" si="46"/>
        <v>1</v>
      </c>
      <c r="T139" s="47" t="str">
        <f t="shared" si="26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7"/>
        <v>https://d0f6bd738d7f1b3e5a7ca70fe4ff75f0.us-east-1.aws.found.io/app/kibana#/discover/Steve-Slow-Train-Analysis-(2080s-and-2083s)?_g=(refreshInterval:(display:Off,pause:!f,section:0,value:0),time:(from:'2017-01-29T18:53:03-0700',mode:absolute,to:'2017-01-29T21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49" t="str">
        <f t="shared" si="28"/>
        <v>N</v>
      </c>
      <c r="X139" s="170">
        <f t="shared" si="44"/>
        <v>1</v>
      </c>
      <c r="Y139" s="64">
        <f t="shared" si="30"/>
        <v>4.58E-2</v>
      </c>
      <c r="Z139" s="64">
        <f t="shared" si="31"/>
        <v>23.331199999999999</v>
      </c>
      <c r="AA139" s="64">
        <f t="shared" si="32"/>
        <v>23.285399999999999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3"/>
        <v>0225-29</v>
      </c>
      <c r="AE139" s="87" t="str">
        <f t="shared" si="34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139" s="84" t="str">
        <f t="shared" si="35"/>
        <v>"C:\Program Files (x86)\AstroGrep\AstroGrep.exe" /spath="%USERPROFILE%\AppData\Local\Temp\OnboardLogs" /stypes="app*4025*20170130*" /stext=" 03:.+((SYSTEM_STATE.+slice.+state.+changed )|(ment ac)|(multiple cpu faults)|(system.+state.+changed )|(\[timeout)|(PRM\|1\|D)|(kpr)|(kdp)|(\|lc)|(penalty))" /e /r /s</v>
      </c>
      <c r="AG139" s="1" t="str">
        <f t="shared" si="36"/>
        <v>EC</v>
      </c>
      <c r="AH139" s="88" t="str">
        <f t="shared" si="37"/>
        <v>"%USERPROFILE%\Documents\GitHub\eaglep3\Utilities\RefineRTDCRunTimes.py" --tripid 225-29 --locoid 4025 --swversion DE.1.0.8.0 --startMP 204:458 --initTime 2017-01-29T19:53:03 --startdatetime 2017-01-29T20:00:40 --delay 1 --endMP 204:233312 --enddatetime 2017-01-29T20:36:24 --enforcementcount 0 &gt;&gt;C:\Users\stu\Documents\GitHub\eaglep3-reporting\EC\2017-01-29-refined-times.txt</v>
      </c>
      <c r="AI139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{"issue":{"subject":"","project_id":79,"tracker_id":40,"status_id":1,"priority_id":2,"assigned_to_id":23,"start_date":"2017-01-29","description":"","custom_fields":[{"id":1,"name":"Subdivision","value":"EC"},{"id":4,"name":"Milepost","value":"23.3312"},{"id":17,"name":"Train ID","value":"225-29"},{"id":16,"name":"Locomotive ID","value":"4025"},{"id":130,"name":"Impact","value":""},{"id":150,"name":"Time of Event (Mountain Time)","value":"20:36:24"},{"id":151,"name":"Denver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9"/>
        <v>start /low /b %USERPROFILE%\Documents\GitHub\eaglep3\Utilities\DownloadLogsFromS3.py --loco 4025 --day 2017-01-29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"%USERPROFILE%\AppData\Local\Temp\OnboardLogs"\RTDC4025\*4025*20170130* | grep -SE "(Enforcement Action)|(\[TIMEOUT)|(CHR.+\|PRM\|1\|D.+(SWITCH|SIGNAL).+UNKNOWN)" - &gt;&gt; 2017-01-29-UncaughtWiMAX.txt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640</v>
      </c>
      <c r="B140" s="7">
        <v>4026</v>
      </c>
      <c r="C140" s="22" t="s">
        <v>193</v>
      </c>
      <c r="D140" s="22" t="s">
        <v>331</v>
      </c>
      <c r="E140" s="13">
        <v>42764.863240740742</v>
      </c>
      <c r="F140" s="13">
        <v>42764.872615740744</v>
      </c>
      <c r="G140" s="7">
        <v>1</v>
      </c>
      <c r="H140" s="22" t="s">
        <v>326</v>
      </c>
      <c r="I140" s="13">
        <v>42764.899259259262</v>
      </c>
      <c r="J140" s="7">
        <v>0</v>
      </c>
      <c r="K140" s="105" t="str">
        <f t="shared" si="24"/>
        <v>4025/4026</v>
      </c>
      <c r="L140" s="22" t="str">
        <f>VLOOKUP(A140,'Trips&amp;Operators'!$C$1:$G$99999,5,FALSE)</f>
        <v>SMITH MICHAEL</v>
      </c>
      <c r="M140" s="6">
        <f t="shared" si="25"/>
        <v>2.6643518518540077E-2</v>
      </c>
      <c r="N140" s="7">
        <f t="shared" si="45"/>
        <v>38.366666666697711</v>
      </c>
      <c r="O140" s="7"/>
      <c r="P140" s="7"/>
      <c r="Q140" s="23"/>
      <c r="R140" s="23"/>
      <c r="S140" s="32">
        <f t="shared" si="46"/>
        <v>1</v>
      </c>
      <c r="T140" s="47" t="str">
        <f t="shared" si="26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7"/>
        <v>https://d0f6bd738d7f1b3e5a7ca70fe4ff75f0.us-east-1.aws.found.io/app/kibana#/discover/Steve-Slow-Train-Analysis-(2080s-and-2083s)?_g=(refreshInterval:(display:Off,pause:!f,section:0,value:0),time:(from:'2017-01-29T19:43:04-0700',mode:absolute,to:'2017-01-29T22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49" t="str">
        <f t="shared" si="28"/>
        <v>N</v>
      </c>
      <c r="X140" s="170">
        <f t="shared" si="44"/>
        <v>1</v>
      </c>
      <c r="Y140" s="64">
        <f t="shared" si="30"/>
        <v>23.298100000000002</v>
      </c>
      <c r="Z140" s="64">
        <f t="shared" si="31"/>
        <v>1.5599999999999999E-2</v>
      </c>
      <c r="AA140" s="64">
        <f t="shared" si="32"/>
        <v>23.282500000000002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33"/>
        <v>0226-29</v>
      </c>
      <c r="AE140" s="87" t="str">
        <f t="shared" si="34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140" s="84" t="str">
        <f t="shared" si="35"/>
        <v>"C:\Program Files (x86)\AstroGrep\AstroGrep.exe" /spath="%USERPROFILE%\AppData\Local\Temp\OnboardLogs" /stypes="app*4026*20170130*" /stext=" 04:.+((SYSTEM_STATE.+slice.+state.+changed )|(ment ac)|(multiple cpu faults)|(system.+state.+changed )|(\[timeout)|(PRM\|1\|D)|(kpr)|(kdp)|(\|lc)|(penalty))" /e /r /s</v>
      </c>
      <c r="AG140" s="1" t="str">
        <f t="shared" si="36"/>
        <v>EC</v>
      </c>
      <c r="AH140" s="88" t="str">
        <f t="shared" si="37"/>
        <v>"%USERPROFILE%\Documents\GitHub\eaglep3\Utilities\RefineRTDCRunTimes.py" --tripid 226-29 --locoid 4026 --swversion DE.1.0.8.0 --startMP 204:232981 --initTime 2017-01-29T20:43:04 --startdatetime 2017-01-29T20:56:34 --delay 1 --endMP 204:156 --enddatetime 2017-01-29T21:34:56 --enforcementcount 0 &gt;&gt;C:\Users\stu\Documents\GitHub\eaglep3-reporting\EC\2017-01-29-refined-times.txt</v>
      </c>
      <c r="AI140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{"issue":{"subject":"","project_id":79,"tracker_id":40,"status_id":1,"priority_id":2,"assigned_to_id":23,"start_date":"2017-01-29","description":"","custom_fields":[{"id":1,"name":"Subdivision","value":"EC"},{"id":4,"name":"Milepost","value":"0.0156"},{"id":17,"name":"Train ID","value":"226-29"},{"id":16,"name":"Locomotive ID","value":"4026"},{"id":130,"name":"Impact","value":""},{"id":150,"name":"Time of Event (Mountain Time)","value":"21:34:56"},{"id":151,"name":"Denver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9"/>
        <v>start /low /b %USERPROFILE%\Documents\GitHub\eaglep3\Utilities\DownloadLogsFromS3.py --loco 4026 --day 2017-01-29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"%USERPROFILE%\AppData\Local\Temp\OnboardLogs"\RTDC4026\*4026*20170130* | grep -SE "(Enforcement Action)|(\[TIMEOUT)|(CHR.+\|PRM\|1\|D.+(SWITCH|SIGNAL).+UNKNOWN)" - &gt;&gt; 2017-01-29-UncaughtWiMAX.txt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636</v>
      </c>
      <c r="B141" s="7">
        <v>4011</v>
      </c>
      <c r="C141" s="22" t="s">
        <v>193</v>
      </c>
      <c r="D141" s="22" t="s">
        <v>232</v>
      </c>
      <c r="E141" s="13">
        <v>42764.837812500002</v>
      </c>
      <c r="F141" s="13">
        <v>42764.854733796295</v>
      </c>
      <c r="G141" s="7">
        <v>1</v>
      </c>
      <c r="H141" s="22" t="s">
        <v>774</v>
      </c>
      <c r="I141" s="13">
        <v>42764.878900462965</v>
      </c>
      <c r="J141" s="7">
        <v>0</v>
      </c>
      <c r="K141" s="105" t="str">
        <f t="shared" ref="K141:K204" si="47">IF(ISEVEN(B141),(B141-1)&amp;"/"&amp;B141,B141&amp;"/"&amp;(B141+1))</f>
        <v>4011/4012</v>
      </c>
      <c r="L141" s="22" t="str">
        <f>VLOOKUP(A141,'Trips&amp;Operators'!$C$1:$G$99999,5,FALSE)</f>
        <v>STAMBAUGH JAMES</v>
      </c>
      <c r="M141" s="6">
        <f t="shared" ref="M141:M204" si="48">I141-F141</f>
        <v>2.4166666669771075E-2</v>
      </c>
      <c r="N141" s="7">
        <f t="shared" si="45"/>
        <v>34.800000004470348</v>
      </c>
      <c r="O141" s="7"/>
      <c r="P141" s="7"/>
      <c r="Q141" s="23"/>
      <c r="R141" s="23"/>
      <c r="S141" s="32">
        <f t="shared" si="46"/>
        <v>1</v>
      </c>
      <c r="T141" s="47" t="str">
        <f t="shared" ref="T141:T204" si="49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-29T19:06:27-0700',mode:absolute,to:'2017-01-29T22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1" s="49" t="str">
        <f t="shared" ref="W141:W204" si="51">IF(AA141&lt;IF(AG141="EC",23,5.65),"Y","N")</f>
        <v>N</v>
      </c>
      <c r="X141" s="170">
        <f t="shared" ref="X141:X159" si="52">VALUE(LEFT(AD141,4))-VALUE(LEFT(AD140,4))</f>
        <v>1</v>
      </c>
      <c r="Y141" s="64">
        <f t="shared" ref="Y141:Y204" si="53">RIGHT(D141,LEN(D141)-4)/10000</f>
        <v>4.58E-2</v>
      </c>
      <c r="Z141" s="64">
        <f t="shared" ref="Z141:Z204" si="54">RIGHT(H141,LEN(H141)-4)/10000</f>
        <v>23.339700000000001</v>
      </c>
      <c r="AA141" s="64">
        <f t="shared" ref="AA141:AA204" si="55">ABS(Z141-Y141)</f>
        <v>23.293900000000001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4" si="56">IF(LEN(A141)=6,"0"&amp;A141,A141)</f>
        <v>0227-29</v>
      </c>
      <c r="AE141" s="87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141" s="84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/stypes="app*4011*20170130*" /stext=" 04:.+((SYSTEM_STATE.+slice.+state.+changed )|(ment ac)|(multiple cpu faults)|(system.+state.+changed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88" t="str">
        <f t="shared" si="37"/>
        <v>"%USERPROFILE%\Documents\GitHub\eaglep3\Utilities\RefineRTDCRunTimes.py" --tripid 227-29 --locoid 4011 --swversion DE.1.0.8.0 --startMP 204:458 --initTime 2017-01-29T20:06:27 --startdatetime 2017-01-29T20:30:49 --delay 1 --endMP 204:233397 --enddatetime 2017-01-29T21:05:37 --enforcementcount 0 &gt;&gt;C:\Users\stu\Documents\GitHub\eaglep3-reporting\EC\2017-01-29-refined-times.txt</v>
      </c>
      <c r="AI141" s="115" t="str">
        <f t="shared" si="38"/>
        <v>echo {"issue":{"subject":"","project_id":79,"tracker_id":40,"status_id":1,"priority_id":2,"assigned_to_id":23,"start_date":"2017-01-29","description":"","custom_fields":[{"id":1,"name":"Subdivision","value":"EC"},{"id":4,"name":"Milepost","value":"23.3397"},{"id":17,"name":"Train ID","value":"227-29"},{"id":16,"name":"Locomotive ID","value":"4011"},{"id":130,"name":"Impact","value":""},{"id":150,"name":"Time of Event (Mountain Time)","value":"21:05:37"},{"id":151,"name":"Denver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39"/>
        <v>start /low /b %USERPROFILE%\Documents\GitHub\eaglep3\Utilities\DownloadLogsFromS3.py --loco 4011 --day 2017-01-29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"%USERPROFILE%\AppData\Local\Temp\OnboardLogs"\RTDC4011\*4011*20170130* | grep -SE "(Enforcement Action)|(\[TIMEOUT)|(CHR.+\|PRM\|1\|D.+(SWITCH|SIGNAL).+UNKNOWN)" - &gt;&gt; 2017-01-29-UncaughtWiMAX.txt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643</v>
      </c>
      <c r="B142" s="7">
        <v>4012</v>
      </c>
      <c r="C142" s="22" t="s">
        <v>193</v>
      </c>
      <c r="D142" s="22" t="s">
        <v>452</v>
      </c>
      <c r="E142" s="13">
        <v>42764.890277777777</v>
      </c>
      <c r="F142" s="13">
        <v>42764.893958333334</v>
      </c>
      <c r="G142" s="7">
        <v>1</v>
      </c>
      <c r="H142" s="22" t="s">
        <v>326</v>
      </c>
      <c r="I142" s="13">
        <v>42764.919456018521</v>
      </c>
      <c r="J142" s="7">
        <v>0</v>
      </c>
      <c r="K142" s="105" t="str">
        <f t="shared" si="47"/>
        <v>4011/4012</v>
      </c>
      <c r="L142" s="22" t="str">
        <f>VLOOKUP(A142,'Trips&amp;Operators'!$C$1:$G$99999,5,FALSE)</f>
        <v>STAMBAUGH JAMES</v>
      </c>
      <c r="M142" s="6">
        <f t="shared" si="48"/>
        <v>2.5497685186564922E-2</v>
      </c>
      <c r="N142" s="7">
        <f t="shared" si="45"/>
        <v>36.716666668653488</v>
      </c>
      <c r="O142" s="7"/>
      <c r="P142" s="7"/>
      <c r="Q142" s="23"/>
      <c r="R142" s="23"/>
      <c r="S142" s="32">
        <f t="shared" si="46"/>
        <v>1</v>
      </c>
      <c r="T142" s="47" t="str">
        <f t="shared" si="49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0"/>
        <v>https://d0f6bd738d7f1b3e5a7ca70fe4ff75f0.us-east-1.aws.found.io/app/kibana#/discover/Steve-Slow-Train-Analysis-(2080s-and-2083s)?_g=(refreshInterval:(display:Off,pause:!f,section:0,value:0),time:(from:'2017-01-29T20:22:00-0700',mode:absolute,to:'2017-01-29T23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2" s="49" t="str">
        <f t="shared" si="51"/>
        <v>N</v>
      </c>
      <c r="X142" s="170">
        <f t="shared" si="52"/>
        <v>1</v>
      </c>
      <c r="Y142" s="64">
        <f t="shared" si="53"/>
        <v>23.308499999999999</v>
      </c>
      <c r="Z142" s="64">
        <f t="shared" si="54"/>
        <v>1.5599999999999999E-2</v>
      </c>
      <c r="AA142" s="64">
        <f t="shared" si="55"/>
        <v>23.292899999999999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56"/>
        <v>0228-29</v>
      </c>
      <c r="AE142" s="87" t="str">
        <f t="shared" si="57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142" s="84" t="str">
        <f t="shared" si="58"/>
        <v>"C:\Program Files (x86)\AstroGrep\AstroGrep.exe" /spath="%USERPROFILE%\AppData\Local\Temp\OnboardLogs" /stypes="app*4012*20170130*" /stext=" 05:.+((SYSTEM_STATE.+slice.+state.+changed )|(ment ac)|(multiple cpu faults)|(system.+state.+changed )|(\[timeout)|(PRM\|1\|D)|(kpr)|(kdp)|(\|lc)|(penalty))" /e /r /s</v>
      </c>
      <c r="AG142" s="1" t="str">
        <f t="shared" si="59"/>
        <v>EC</v>
      </c>
      <c r="AH142" s="88" t="str">
        <f t="shared" ref="AH142:AH204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228-29 --locoid 4012 --swversion DE.1.0.8.0 --startMP 204:233085 --initTime 2017-01-29T21:22:00 --startdatetime 2017-01-29T21:27:18 --delay 1 --endMP 204:156 --enddatetime 2017-01-29T22:04:01 --enforcementcount 0 &gt;&gt;C:\Users\stu\Documents\GitHub\eaglep3-reporting\EC\2017-01-29-refined-times.txt</v>
      </c>
      <c r="AI142" s="115" t="str">
        <f t="shared" ref="AI142:AI204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{"issue":{"subject":"","project_id":79,"tracker_id":40,"status_id":1,"priority_id":2,"assigned_to_id":23,"start_date":"2017-01-29","description":"","custom_fields":[{"id":1,"name":"Subdivision","value":"EC"},{"id":4,"name":"Milepost","value":"0.0156"},{"id":17,"name":"Train ID","value":"228-29"},{"id":16,"name":"Locomotive ID","value":"4012"},{"id":130,"name":"Impact","value":""},{"id":150,"name":"Time of Event (Mountain Time)","value":"22:04:01"},{"id":151,"name":"Denver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4" si="62">"start /low /b "&amp;dls3logs&amp;" --loco "&amp;B142&amp;" --day "&amp;TEXT(F142,"YYYY-MM-DD")</f>
        <v>start /low /b %USERPROFILE%\Documents\GitHub\eaglep3\Utilities\DownloadLogsFromS3.py --loco 4012 --day 2017-01-29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"%USERPROFILE%\AppData\Local\Temp\OnboardLogs"\RTDC4012\*4012*20170130* | grep -SE "(Enforcement Action)|(\[TIMEOUT)|(CHR.+\|PRM\|1\|D.+(SWITCH|SIGNAL).+UNKNOWN)" - &gt;&gt; 2017-01-29-UncaughtWiMAX.txt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641</v>
      </c>
      <c r="B143" s="7">
        <v>4007</v>
      </c>
      <c r="C143" s="22" t="s">
        <v>193</v>
      </c>
      <c r="D143" s="22" t="s">
        <v>312</v>
      </c>
      <c r="E143" s="13">
        <v>42764.872719907406</v>
      </c>
      <c r="F143" s="13">
        <v>42764.875300925924</v>
      </c>
      <c r="G143" s="7">
        <v>1</v>
      </c>
      <c r="H143" s="22" t="s">
        <v>775</v>
      </c>
      <c r="I143" s="13">
        <v>42764.900300925925</v>
      </c>
      <c r="J143" s="7">
        <v>0</v>
      </c>
      <c r="K143" s="105" t="str">
        <f t="shared" si="47"/>
        <v>4007/4008</v>
      </c>
      <c r="L143" s="22" t="str">
        <f>VLOOKUP(A143,'Trips&amp;Operators'!$C$1:$G$99999,5,FALSE)</f>
        <v>CHANDLER KELVIN</v>
      </c>
      <c r="M143" s="6">
        <f t="shared" si="48"/>
        <v>2.5000000001455192E-2</v>
      </c>
      <c r="N143" s="7">
        <f t="shared" si="45"/>
        <v>36.000000002095476</v>
      </c>
      <c r="O143" s="7"/>
      <c r="P143" s="7"/>
      <c r="Q143" s="23"/>
      <c r="R143" s="23"/>
      <c r="S143" s="32">
        <f t="shared" si="46"/>
        <v>1</v>
      </c>
      <c r="T143" s="47" t="str">
        <f t="shared" si="49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0"/>
        <v>https://d0f6bd738d7f1b3e5a7ca70fe4ff75f0.us-east-1.aws.found.io/app/kibana#/discover/Steve-Slow-Train-Analysis-(2080s-and-2083s)?_g=(refreshInterval:(display:Off,pause:!f,section:0,value:0),time:(from:'2017-01-29T19:56:43-0700',mode:absolute,to:'2017-01-29T22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3" s="49" t="str">
        <f t="shared" si="51"/>
        <v>N</v>
      </c>
      <c r="X143" s="170">
        <f t="shared" si="52"/>
        <v>1</v>
      </c>
      <c r="Y143" s="64">
        <f t="shared" si="53"/>
        <v>4.6699999999999998E-2</v>
      </c>
      <c r="Z143" s="64">
        <f t="shared" si="54"/>
        <v>23.328499999999998</v>
      </c>
      <c r="AA143" s="64">
        <f t="shared" si="55"/>
        <v>23.281799999999997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56"/>
        <v>0229-29</v>
      </c>
      <c r="AE143" s="87" t="str">
        <f t="shared" si="57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143" s="84" t="str">
        <f t="shared" si="58"/>
        <v>"C:\Program Files (x86)\AstroGrep\AstroGrep.exe" /spath="%USERPROFILE%\AppData\Local\Temp\OnboardLogs" /stypes="app*4007*20170130*" /stext=" 04:.+((SYSTEM_STATE.+slice.+state.+changed )|(ment ac)|(multiple cpu faults)|(system.+state.+changed )|(\[timeout)|(PRM\|1\|D)|(kpr)|(kdp)|(\|lc)|(penalty))" /e /r /s</v>
      </c>
      <c r="AG143" s="1" t="str">
        <f t="shared" si="59"/>
        <v>EC</v>
      </c>
      <c r="AH143" s="88" t="str">
        <f t="shared" si="60"/>
        <v>"%USERPROFILE%\Documents\GitHub\eaglep3\Utilities\RefineRTDCRunTimes.py" --tripid 229-29 --locoid 4007 --swversion DE.1.0.8.0 --startMP 204:467 --initTime 2017-01-29T20:56:43 --startdatetime 2017-01-29T21:00:26 --delay 1 --endMP 204:233285 --enddatetime 2017-01-29T21:36:26 --enforcementcount 0 &gt;&gt;C:\Users\stu\Documents\GitHub\eaglep3-reporting\EC\2017-01-29-refined-times.txt</v>
      </c>
      <c r="AI143" s="115" t="str">
        <f t="shared" si="61"/>
        <v>echo {"issue":{"subject":"","project_id":79,"tracker_id":40,"status_id":1,"priority_id":2,"assigned_to_id":23,"start_date":"2017-01-29","description":"","custom_fields":[{"id":1,"name":"Subdivision","value":"EC"},{"id":4,"name":"Milepost","value":"23.3285"},{"id":17,"name":"Train ID","value":"229-29"},{"id":16,"name":"Locomotive ID","value":"4007"},{"id":130,"name":"Impact","value":""},{"id":150,"name":"Time of Event (Mountain Time)","value":"21:36:26"},{"id":151,"name":"Denver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62"/>
        <v>start /low /b %USERPROFILE%\Documents\GitHub\eaglep3\Utilities\DownloadLogsFromS3.py --loco 4007 --day 2017-01-29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"%USERPROFILE%\AppData\Local\Temp\OnboardLogs"\RTDC4007\*4007*20170130* | grep -SE "(Enforcement Action)|(\[TIMEOUT)|(CHR.+\|PRM\|1\|D.+(SWITCH|SIGNAL).+UNKNOWN)" - &gt;&gt; 2017-01-29-UncaughtWiMAX.txt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647</v>
      </c>
      <c r="B144" s="7">
        <v>4008</v>
      </c>
      <c r="C144" s="22" t="s">
        <v>193</v>
      </c>
      <c r="D144" s="22" t="s">
        <v>776</v>
      </c>
      <c r="E144" s="13">
        <v>42764.911979166667</v>
      </c>
      <c r="F144" s="13">
        <v>42764.914201388892</v>
      </c>
      <c r="G144" s="7">
        <v>0</v>
      </c>
      <c r="H144" s="22" t="s">
        <v>215</v>
      </c>
      <c r="I144" s="13">
        <v>42764.942118055558</v>
      </c>
      <c r="J144" s="7">
        <v>0</v>
      </c>
      <c r="K144" s="105" t="str">
        <f t="shared" si="47"/>
        <v>4007/4008</v>
      </c>
      <c r="L144" s="22" t="str">
        <f>VLOOKUP(A144,'Trips&amp;Operators'!$C$1:$G$99999,5,FALSE)</f>
        <v>CHANDLER KELVIN</v>
      </c>
      <c r="M144" s="6">
        <f t="shared" si="48"/>
        <v>2.7916666665987577E-2</v>
      </c>
      <c r="N144" s="7">
        <f t="shared" si="45"/>
        <v>40.199999999022111</v>
      </c>
      <c r="O144" s="7"/>
      <c r="P144" s="7"/>
      <c r="Q144" s="23"/>
      <c r="R144" s="23"/>
      <c r="S144" s="32">
        <f t="shared" si="46"/>
        <v>1</v>
      </c>
      <c r="T144" s="47" t="str">
        <f t="shared" si="49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0"/>
        <v>https://d0f6bd738d7f1b3e5a7ca70fe4ff75f0.us-east-1.aws.found.io/app/kibana#/discover/Steve-Slow-Train-Analysis-(2080s-and-2083s)?_g=(refreshInterval:(display:Off,pause:!f,section:0,value:0),time:(from:'2017-01-29T20:53:15-0700',mode:absolute,to:'2017-01-29T23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4" s="49" t="str">
        <f t="shared" si="51"/>
        <v>N</v>
      </c>
      <c r="X144" s="170">
        <f t="shared" si="52"/>
        <v>1</v>
      </c>
      <c r="Y144" s="64">
        <f t="shared" si="53"/>
        <v>23.296800000000001</v>
      </c>
      <c r="Z144" s="64">
        <f t="shared" si="54"/>
        <v>1.52E-2</v>
      </c>
      <c r="AA144" s="64">
        <f t="shared" si="55"/>
        <v>23.281600000000001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56"/>
        <v>0230-29</v>
      </c>
      <c r="AE144" s="87" t="str">
        <f t="shared" si="57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144" s="84" t="str">
        <f t="shared" si="58"/>
        <v>"C:\Program Files (x86)\AstroGrep\AstroGrep.exe" /spath="%USERPROFILE%\AppData\Local\Temp\OnboardLogs" /stypes="app*4008*20170130*" /stext=" 05:.+((SYSTEM_STATE.+slice.+state.+changed )|(ment ac)|(multiple cpu faults)|(system.+state.+changed )|(\[timeout)|(PRM\|1\|D)|(kpr)|(kdp)|(\|lc)|(penalty))" /e /r /s</v>
      </c>
      <c r="AG144" s="1" t="str">
        <f t="shared" si="59"/>
        <v>EC</v>
      </c>
      <c r="AH144" s="88" t="str">
        <f t="shared" si="60"/>
        <v>"%USERPROFILE%\Documents\GitHub\eaglep3\Utilities\RefineRTDCRunTimes.py" --tripid 230-29 --locoid 4008 --swversion DE.1.0.8.0 --startMP 204:232968 --initTime 2017-01-29T21:53:15 --startdatetime 2017-01-29T21:56:27 --delay 0 --endMP 204:152 --enddatetime 2017-01-29T22:36:39 --enforcementcount 0 &gt;&gt;C:\Users\stu\Documents\GitHub\eaglep3-reporting\EC\2017-01-29-refined-times.txt</v>
      </c>
      <c r="AI144" s="115" t="str">
        <f t="shared" si="61"/>
        <v>echo {"issue":{"subject":"","project_id":79,"tracker_id":40,"status_id":1,"priority_id":2,"assigned_to_id":23,"start_date":"2017-01-29","description":"","custom_fields":[{"id":1,"name":"Subdivision","value":"EC"},{"id":4,"name":"Milepost","value":"0.0152"},{"id":17,"name":"Train ID","value":"230-29"},{"id":16,"name":"Locomotive ID","value":"4008"},{"id":130,"name":"Impact","value":""},{"id":150,"name":"Time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62"/>
        <v>start /low /b %USERPROFILE%\Documents\GitHub\eaglep3\Utilities\DownloadLogsFromS3.py --loco 4008 --day 2017-01-29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"%USERPROFILE%\AppData\Local\Temp\OnboardLogs"\RTDC4008\*4008*20170130* | grep -SE "(Enforcement Action)|(\[TIMEOUT)|(CHR.+\|PRM\|1\|D.+(SWITCH|SIGNAL).+UNKNOWN)" - &gt;&gt; 2017-01-29-UncaughtWiMAX.txt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644</v>
      </c>
      <c r="B145" s="7">
        <v>4038</v>
      </c>
      <c r="C145" s="22" t="s">
        <v>193</v>
      </c>
      <c r="D145" s="22" t="s">
        <v>777</v>
      </c>
      <c r="E145" s="13">
        <v>42764.891099537039</v>
      </c>
      <c r="F145" s="13">
        <v>42764.896006944444</v>
      </c>
      <c r="G145" s="7">
        <v>1</v>
      </c>
      <c r="H145" s="22" t="s">
        <v>231</v>
      </c>
      <c r="I145" s="13">
        <v>42764.920347222222</v>
      </c>
      <c r="J145" s="7">
        <v>0</v>
      </c>
      <c r="K145" s="105" t="str">
        <f t="shared" si="47"/>
        <v>4037/4038</v>
      </c>
      <c r="L145" s="22" t="str">
        <f>VLOOKUP(A145,'Trips&amp;Operators'!$C$1:$G$99999,5,FALSE)</f>
        <v>NEWELL JAMES</v>
      </c>
      <c r="M145" s="6">
        <f t="shared" si="48"/>
        <v>2.4340277777810115E-2</v>
      </c>
      <c r="N145" s="7">
        <f t="shared" si="45"/>
        <v>35.050000000046566</v>
      </c>
      <c r="O145" s="7"/>
      <c r="P145" s="7"/>
      <c r="Q145" s="23"/>
      <c r="R145" s="23"/>
      <c r="S145" s="32">
        <f t="shared" si="46"/>
        <v>1</v>
      </c>
      <c r="T145" s="47" t="str">
        <f t="shared" si="49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0"/>
        <v>https://d0f6bd738d7f1b3e5a7ca70fe4ff75f0.us-east-1.aws.found.io/app/kibana#/discover/Steve-Slow-Train-Analysis-(2080s-and-2083s)?_g=(refreshInterval:(display:Off,pause:!f,section:0,value:0),time:(from:'2017-01-29T20:23:11-0700',mode:absolute,to:'2017-01-29T23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5" s="49" t="str">
        <f t="shared" si="51"/>
        <v>N</v>
      </c>
      <c r="X145" s="170">
        <f t="shared" si="52"/>
        <v>1</v>
      </c>
      <c r="Y145" s="64">
        <f t="shared" si="53"/>
        <v>4.7800000000000002E-2</v>
      </c>
      <c r="Z145" s="64">
        <f t="shared" si="54"/>
        <v>23.329699999999999</v>
      </c>
      <c r="AA145" s="64">
        <f t="shared" si="55"/>
        <v>23.2819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56"/>
        <v>0231-29</v>
      </c>
      <c r="AE145" s="87" t="str">
        <f t="shared" si="57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145" s="84" t="str">
        <f t="shared" si="58"/>
        <v>"C:\Program Files (x86)\AstroGrep\AstroGrep.exe" /spath="%USERPROFILE%\AppData\Local\Temp\OnboardLogs" /stypes="app*4038*20170130*" /stext=" 05:.+((SYSTEM_STATE.+slice.+state.+changed )|(ment ac)|(multiple cpu faults)|(system.+state.+changed )|(\[timeout)|(PRM\|1\|D)|(kpr)|(kdp)|(\|lc)|(penalty))" /e /r /s</v>
      </c>
      <c r="AG145" s="1" t="str">
        <f t="shared" si="59"/>
        <v>EC</v>
      </c>
      <c r="AH145" s="88" t="str">
        <f t="shared" si="60"/>
        <v>"%USERPROFILE%\Documents\GitHub\eaglep3\Utilities\RefineRTDCRunTimes.py" --tripid 231-29 --locoid 4038 --swversion DE.1.0.8.0 --startMP 204:478 --initTime 2017-01-29T21:23:11 --startdatetime 2017-01-29T21:30:15 --delay 1 --endMP 204:233297 --enddatetime 2017-01-29T22:05:18 --enforcementcount 0 &gt;&gt;C:\Users\stu\Documents\GitHub\eaglep3-reporting\EC\2017-01-29-refined-times.txt</v>
      </c>
      <c r="AI145" s="115" t="str">
        <f t="shared" si="61"/>
        <v>echo {"issue":{"subject":"","project_id":79,"tracker_id":40,"status_id":1,"priority_id":2,"assigned_to_id":23,"start_date":"2017-01-29","description":"","custom_fields":[{"id":1,"name":"Subdivision","value":"EC"},{"id":4,"name":"Milepost","value":"23.3297"},{"id":17,"name":"Train ID","value":"231-29"},{"id":16,"name":"Locomotive ID","value":"4038"},{"id":130,"name":"Impact","value":""},{"id":150,"name":"Time of Event (Mountain Time)","value":"22:05:18"},{"id":151,"name":"Denver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62"/>
        <v>start /low /b %USERPROFILE%\Documents\GitHub\eaglep3\Utilities\DownloadLogsFromS3.py --loco 4038 --day 2017-01-29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"%USERPROFILE%\AppData\Local\Temp\OnboardLogs"\RTDC4038\*4038*20170130* | grep -SE "(Enforcement Action)|(\[TIMEOUT)|(CHR.+\|PRM\|1\|D.+(SWITCH|SIGNAL).+UNKNOWN)" - &gt;&gt; 2017-01-29-UncaughtWiMAX.txt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649</v>
      </c>
      <c r="B146" s="7">
        <v>4037</v>
      </c>
      <c r="C146" s="22" t="s">
        <v>193</v>
      </c>
      <c r="D146" s="22" t="s">
        <v>327</v>
      </c>
      <c r="E146" s="13">
        <v>42764.932199074072</v>
      </c>
      <c r="F146" s="13">
        <v>42764.934884259259</v>
      </c>
      <c r="G146" s="7">
        <v>3</v>
      </c>
      <c r="H146" s="22" t="s">
        <v>197</v>
      </c>
      <c r="I146" s="13">
        <v>42764.960590277777</v>
      </c>
      <c r="J146" s="7">
        <v>0</v>
      </c>
      <c r="K146" s="105" t="str">
        <f t="shared" si="47"/>
        <v>4037/4038</v>
      </c>
      <c r="L146" s="22" t="str">
        <f>VLOOKUP(A146,'Trips&amp;Operators'!$C$1:$G$99999,5,FALSE)</f>
        <v>NEWELL JAMES</v>
      </c>
      <c r="M146" s="6">
        <f t="shared" si="48"/>
        <v>2.5706018517666962E-2</v>
      </c>
      <c r="N146" s="7">
        <f t="shared" si="45"/>
        <v>37.016666665440425</v>
      </c>
      <c r="O146" s="7"/>
      <c r="P146" s="7"/>
      <c r="Q146" s="23"/>
      <c r="R146" s="23"/>
      <c r="S146" s="32">
        <f t="shared" si="46"/>
        <v>1</v>
      </c>
      <c r="T146" s="47" t="str">
        <f t="shared" si="49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50"/>
        <v>https://d0f6bd738d7f1b3e5a7ca70fe4ff75f0.us-east-1.aws.found.io/app/kibana#/discover/Steve-Slow-Train-Analysis-(2080s-and-2083s)?_g=(refreshInterval:(display:Off,pause:!f,section:0,value:0),time:(from:'2017-01-29T21:22:22-0700',mode:absolute,to:'2017-01-30T00:03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6" s="49" t="str">
        <f t="shared" si="51"/>
        <v>N</v>
      </c>
      <c r="X146" s="170">
        <f t="shared" si="52"/>
        <v>1</v>
      </c>
      <c r="Y146" s="64">
        <f t="shared" si="53"/>
        <v>23.2989</v>
      </c>
      <c r="Z146" s="64">
        <f t="shared" si="54"/>
        <v>1.4999999999999999E-2</v>
      </c>
      <c r="AA146" s="64">
        <f t="shared" si="55"/>
        <v>23.283899999999999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56"/>
        <v>0232-29</v>
      </c>
      <c r="AE146" s="87" t="str">
        <f t="shared" si="57"/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AF146" s="84" t="str">
        <f t="shared" si="58"/>
        <v>"C:\Program Files (x86)\AstroGrep\AstroGrep.exe" /spath="%USERPROFILE%\AppData\Local\Temp\OnboardLogs" /stypes="app*4037*20170130*" /stext=" 06:.+((SYSTEM_STATE.+slice.+state.+changed )|(ment ac)|(multiple cpu faults)|(system.+state.+changed )|(\[timeout)|(PRM\|1\|D)|(kpr)|(kdp)|(\|lc)|(penalty))" /e /r /s</v>
      </c>
      <c r="AG146" s="1" t="str">
        <f t="shared" si="59"/>
        <v>EC</v>
      </c>
      <c r="AH146" s="88" t="str">
        <f t="shared" si="60"/>
        <v>"%USERPROFILE%\Documents\GitHub\eaglep3\Utilities\RefineRTDCRunTimes.py" --tripid 232-29 --locoid 4037 --swversion DE.1.0.8.0 --startMP 204:232989 --initTime 2017-01-29T22:22:22 --startdatetime 2017-01-29T22:26:14 --delay 3 --endMP 204:150 --enddatetime 2017-01-29T23:03:15 --enforcementcount 0 &gt;&gt;C:\Users\stu\Documents\GitHub\eaglep3-reporting\EC\2017-01-29-refined-times.txt</v>
      </c>
      <c r="AI146" s="115" t="str">
        <f t="shared" si="61"/>
        <v>echo {"issue":{"subject":"","project_id":79,"tracker_id":40,"status_id":1,"priority_id":2,"assigned_to_id":23,"start_date":"2017-01-29","description":"","custom_fields":[{"id":1,"name":"Subdivision","value":"EC"},{"id":4,"name":"Milepost","value":"0.015"},{"id":17,"name":"Train ID","value":"232-29"},{"id":16,"name":"Locomotive ID","value":"4037"},{"id":130,"name":"Impact","value":""},{"id":150,"name":"Time of Event (Mountain Time)","value":"23:03:15"},{"id":151,"name":"Denver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62"/>
        <v>start /low /b %USERPROFILE%\Documents\GitHub\eaglep3\Utilities\DownloadLogsFromS3.py --loco 4037 --day 2017-01-29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"%USERPROFILE%\AppData\Local\Temp\OnboardLogs"\RTDC4037\*4037*20170130* | grep -SE "(Enforcement Action)|(\[TIMEOUT)|(CHR.+\|PRM\|1\|D.+(SWITCH|SIGNAL).+UNKNOWN)" - &gt;&gt; 2017-01-29-UncaughtWiMAX.txt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646</v>
      </c>
      <c r="B147" s="7">
        <v>4025</v>
      </c>
      <c r="C147" s="22" t="s">
        <v>193</v>
      </c>
      <c r="D147" s="22" t="s">
        <v>683</v>
      </c>
      <c r="E147" s="13">
        <v>42764.904074074075</v>
      </c>
      <c r="F147" s="13">
        <v>42764.916851851849</v>
      </c>
      <c r="G147" s="7">
        <v>2</v>
      </c>
      <c r="H147" s="22" t="s">
        <v>415</v>
      </c>
      <c r="I147" s="13">
        <v>42764.941840277781</v>
      </c>
      <c r="J147" s="7">
        <v>0</v>
      </c>
      <c r="K147" s="105" t="str">
        <f t="shared" si="47"/>
        <v>4025/4026</v>
      </c>
      <c r="L147" s="22" t="str">
        <f>VLOOKUP(A147,'Trips&amp;Operators'!$C$1:$G$99999,5,FALSE)</f>
        <v>SMITH MICHAEL</v>
      </c>
      <c r="M147" s="6">
        <f t="shared" si="48"/>
        <v>2.4988425931951497E-2</v>
      </c>
      <c r="N147" s="7">
        <f t="shared" si="45"/>
        <v>35.983333342010155</v>
      </c>
      <c r="O147" s="7"/>
      <c r="P147" s="7"/>
      <c r="Q147" s="23"/>
      <c r="R147" s="23"/>
      <c r="S147" s="32">
        <f t="shared" si="46"/>
        <v>1</v>
      </c>
      <c r="T147" s="47" t="str">
        <f t="shared" si="49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0"/>
        <v>https://d0f6bd738d7f1b3e5a7ca70fe4ff75f0.us-east-1.aws.found.io/app/kibana#/discover/Steve-Slow-Train-Analysis-(2080s-and-2083s)?_g=(refreshInterval:(display:Off,pause:!f,section:0,value:0),time:(from:'2017-01-29T20:41:52-0700',mode:absolute,to:'2017-01-29T23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49" t="str">
        <f t="shared" si="51"/>
        <v>N</v>
      </c>
      <c r="X147" s="170">
        <f t="shared" si="52"/>
        <v>1</v>
      </c>
      <c r="Y147" s="64">
        <f t="shared" si="53"/>
        <v>4.7500000000000001E-2</v>
      </c>
      <c r="Z147" s="64">
        <f t="shared" si="54"/>
        <v>23.333600000000001</v>
      </c>
      <c r="AA147" s="64">
        <f t="shared" si="55"/>
        <v>23.286100000000001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56"/>
        <v>0233-29</v>
      </c>
      <c r="AE147" s="87" t="str">
        <f t="shared" si="57"/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AF147" s="84" t="str">
        <f t="shared" si="58"/>
        <v>"C:\Program Files (x86)\AstroGrep\AstroGrep.exe" /spath="%USERPROFILE%\AppData\Local\Temp\OnboardLogs" /stypes="app*4025*20170130*" /stext=" 05:.+((SYSTEM_STATE.+slice.+state.+changed )|(ment ac)|(multiple cpu faults)|(system.+state.+changed )|(\[timeout)|(PRM\|1\|D)|(kpr)|(kdp)|(\|lc)|(penalty))" /e /r /s</v>
      </c>
      <c r="AG147" s="1" t="str">
        <f t="shared" si="59"/>
        <v>EC</v>
      </c>
      <c r="AH147" s="88" t="str">
        <f t="shared" si="60"/>
        <v>"%USERPROFILE%\Documents\GitHub\eaglep3\Utilities\RefineRTDCRunTimes.py" --tripid 233-29 --locoid 4025 --swversion DE.1.0.8.0 --startMP 204:475 --initTime 2017-01-29T21:41:52 --startdatetime 2017-01-29T22:00:16 --delay 2 --endMP 204:233336 --enddatetime 2017-01-29T22:36:15 --enforcementcount 0 &gt;&gt;C:\Users\stu\Documents\GitHub\eaglep3-reporting\EC\2017-01-29-refined-times.txt</v>
      </c>
      <c r="AI147" s="115" t="str">
        <f t="shared" si="61"/>
        <v>echo {"issue":{"subject":"","project_id":79,"tracker_id":40,"status_id":1,"priority_id":2,"assigned_to_id":23,"start_date":"2017-01-29","description":"","custom_fields":[{"id":1,"name":"Subdivision","value":"EC"},{"id":4,"name":"Milepost","value":"23.3336"},{"id":17,"name":"Train ID","value":"233-29"},{"id":16,"name":"Locomotive ID","value":"4025"},{"id":130,"name":"Impact","value":""},{"id":150,"name":"Time of Event (Mountain Time)","value":"22:36:15"},{"id":151,"name":"Denver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62"/>
        <v>start /low /b %USERPROFILE%\Documents\GitHub\eaglep3\Utilities\DownloadLogsFromS3.py --loco 4025 --day 2017-01-29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"%USERPROFILE%\AppData\Local\Temp\OnboardLogs"\RTDC4025\*4025*20170130* | grep -SE "(Enforcement Action)|(\[TIMEOUT)|(CHR.+\|PRM\|1\|D.+(SWITCH|SIGNAL).+UNKNOWN)" - &gt;&gt; 2017-01-29-UncaughtWiMAX.txt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652</v>
      </c>
      <c r="B148" s="7">
        <v>4026</v>
      </c>
      <c r="C148" s="22" t="s">
        <v>193</v>
      </c>
      <c r="D148" s="22" t="s">
        <v>299</v>
      </c>
      <c r="E148" s="13">
        <v>42764.947453703702</v>
      </c>
      <c r="F148" s="13">
        <v>42764.955810185187</v>
      </c>
      <c r="G148" s="7">
        <v>1</v>
      </c>
      <c r="H148" s="22" t="s">
        <v>230</v>
      </c>
      <c r="I148" s="13">
        <v>42764.982847222222</v>
      </c>
      <c r="J148" s="7">
        <v>0</v>
      </c>
      <c r="K148" s="105" t="str">
        <f t="shared" si="47"/>
        <v>4025/4026</v>
      </c>
      <c r="L148" s="22" t="str">
        <f>VLOOKUP(A148,'Trips&amp;Operators'!$C$1:$G$99999,5,FALSE)</f>
        <v>SMITH MICHAEL</v>
      </c>
      <c r="M148" s="6">
        <f t="shared" si="48"/>
        <v>2.7037037034460809E-2</v>
      </c>
      <c r="N148" s="7">
        <f t="shared" si="45"/>
        <v>38.933333329623565</v>
      </c>
      <c r="O148" s="7"/>
      <c r="P148" s="7"/>
      <c r="Q148" s="23"/>
      <c r="R148" s="23"/>
      <c r="S148" s="32">
        <f t="shared" si="46"/>
        <v>1</v>
      </c>
      <c r="T148" s="47" t="str">
        <f t="shared" si="49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0"/>
        <v>https://d0f6bd738d7f1b3e5a7ca70fe4ff75f0.us-east-1.aws.found.io/app/kibana#/discover/Steve-Slow-Train-Analysis-(2080s-and-2083s)?_g=(refreshInterval:(display:Off,pause:!f,section:0,value:0),time:(from:'2017-01-29T21:44:20-0700',mode:absolute,to:'2017-01-30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49" t="str">
        <f t="shared" si="51"/>
        <v>N</v>
      </c>
      <c r="X148" s="170">
        <f t="shared" si="52"/>
        <v>1</v>
      </c>
      <c r="Y148" s="64">
        <f t="shared" si="53"/>
        <v>23.3002</v>
      </c>
      <c r="Z148" s="64">
        <f t="shared" si="54"/>
        <v>1.54E-2</v>
      </c>
      <c r="AA148" s="64">
        <f t="shared" si="55"/>
        <v>23.284800000000001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56"/>
        <v>0234-29</v>
      </c>
      <c r="AE148" s="87" t="str">
        <f t="shared" si="57"/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AF148" s="84" t="str">
        <f t="shared" si="58"/>
        <v>"C:\Program Files (x86)\AstroGrep\AstroGrep.exe" /spath="%USERPROFILE%\AppData\Local\Temp\OnboardLogs" /stypes="app*4026*20170130*" /stext=" 06:.+((SYSTEM_STATE.+slice.+state.+changed )|(ment ac)|(multiple cpu faults)|(system.+state.+changed )|(\[timeout)|(PRM\|1\|D)|(kpr)|(kdp)|(\|lc)|(penalty))" /e /r /s</v>
      </c>
      <c r="AG148" s="1" t="str">
        <f t="shared" si="59"/>
        <v>EC</v>
      </c>
      <c r="AH148" s="88" t="str">
        <f t="shared" si="60"/>
        <v>"%USERPROFILE%\Documents\GitHub\eaglep3\Utilities\RefineRTDCRunTimes.py" --tripid 234-29 --locoid 4026 --swversion DE.1.0.8.0 --startMP 204:233002 --initTime 2017-01-29T22:44:20 --startdatetime 2017-01-29T22:56:22 --delay 1 --endMP 204:154 --enddatetime 2017-01-29T23:35:18 --enforcementcount 0 &gt;&gt;C:\Users\stu\Documents\GitHub\eaglep3-reporting\EC\2017-01-29-refined-times.txt</v>
      </c>
      <c r="AI148" s="115" t="str">
        <f t="shared" si="61"/>
        <v>echo {"issue":{"subject":"","project_id":79,"tracker_id":40,"status_id":1,"priority_id":2,"assigned_to_id":23,"start_date":"2017-01-29","description":"","custom_fields":[{"id":1,"name":"Subdivision","value":"EC"},{"id":4,"name":"Milepost","value":"0.0154"},{"id":17,"name":"Train ID","value":"234-29"},{"id":16,"name":"Locomotive ID","value":"4026"},{"id":130,"name":"Impact","value":""},{"id":150,"name":"Time of Event (Mountain Time)","value":"23:35:18"},{"id":151,"name":"Denver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62"/>
        <v>start /low /b %USERPROFILE%\Documents\GitHub\eaglep3\Utilities\DownloadLogsFromS3.py --loco 4026 --day 2017-01-29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"%USERPROFILE%\AppData\Local\Temp\OnboardLogs"\RTDC4026\*4026*20170130* | grep -SE "(Enforcement Action)|(\[TIMEOUT)|(CHR.+\|PRM\|1\|D.+(SWITCH|SIGNAL).+UNKNOWN)" - &gt;&gt; 2017-01-29-UncaughtWiMAX.txt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648</v>
      </c>
      <c r="B149" s="7">
        <v>4011</v>
      </c>
      <c r="C149" s="22" t="s">
        <v>193</v>
      </c>
      <c r="D149" s="22" t="s">
        <v>253</v>
      </c>
      <c r="E149" s="13">
        <v>42764.921747685185</v>
      </c>
      <c r="F149" s="13">
        <v>42764.938252314816</v>
      </c>
      <c r="G149" s="7">
        <v>1</v>
      </c>
      <c r="H149" s="22" t="s">
        <v>667</v>
      </c>
      <c r="I149" s="13">
        <v>42764.962372685186</v>
      </c>
      <c r="J149" s="7">
        <v>0</v>
      </c>
      <c r="K149" s="105" t="str">
        <f t="shared" si="47"/>
        <v>4011/4012</v>
      </c>
      <c r="L149" s="22" t="str">
        <f>VLOOKUP(A149,'Trips&amp;Operators'!$C$1:$G$99999,5,FALSE)</f>
        <v>STAMBAUGH JAMES</v>
      </c>
      <c r="M149" s="6">
        <f t="shared" si="48"/>
        <v>2.4120370369928423E-2</v>
      </c>
      <c r="N149" s="7">
        <f t="shared" si="45"/>
        <v>34.73333333269693</v>
      </c>
      <c r="O149" s="7"/>
      <c r="P149" s="7"/>
      <c r="Q149" s="23"/>
      <c r="R149" s="23"/>
      <c r="S149" s="32">
        <f t="shared" si="46"/>
        <v>1</v>
      </c>
      <c r="T149" s="47" t="str">
        <f t="shared" si="49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0"/>
        <v>https://d0f6bd738d7f1b3e5a7ca70fe4ff75f0.us-east-1.aws.found.io/app/kibana#/discover/Steve-Slow-Train-Analysis-(2080s-and-2083s)?_g=(refreshInterval:(display:Off,pause:!f,section:0,value:0),time:(from:'2017-01-29T21:07:19-0700',mode:absolute,to:'2017-01-30T00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9" s="49" t="str">
        <f t="shared" si="51"/>
        <v>N</v>
      </c>
      <c r="X149" s="170">
        <f t="shared" si="52"/>
        <v>1</v>
      </c>
      <c r="Y149" s="64">
        <f t="shared" si="53"/>
        <v>4.5999999999999999E-2</v>
      </c>
      <c r="Z149" s="64">
        <f t="shared" si="54"/>
        <v>23.334199999999999</v>
      </c>
      <c r="AA149" s="64">
        <f t="shared" si="55"/>
        <v>23.2882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56"/>
        <v>0235-29</v>
      </c>
      <c r="AE149" s="87" t="str">
        <f t="shared" si="57"/>
        <v>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 &amp; 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</v>
      </c>
      <c r="AF149" s="84" t="str">
        <f t="shared" si="58"/>
        <v>"C:\Program Files (x86)\AstroGrep\AstroGrep.exe" /spath="%USERPROFILE%\AppData\Local\Temp\OnboardLogs" /stypes="app*4011*20170130*" /stext=" 06:.+((SYSTEM_STATE.+slice.+state.+changed )|(ment ac)|(multiple cpu faults)|(system.+state.+changed )|(\[timeout)|(PRM\|1\|D)|(kpr)|(kdp)|(\|lc)|(penalty))" /e /r /s</v>
      </c>
      <c r="AG149" s="1" t="str">
        <f t="shared" si="59"/>
        <v>EC</v>
      </c>
      <c r="AH149" s="88" t="str">
        <f t="shared" si="60"/>
        <v>"%USERPROFILE%\Documents\GitHub\eaglep3\Utilities\RefineRTDCRunTimes.py" --tripid 235-29 --locoid 4011 --swversion DE.1.0.8.0 --startMP 204:460 --initTime 2017-01-29T22:07:19 --startdatetime 2017-01-29T22:31:05 --delay 1 --endMP 204:233342 --enddatetime 2017-01-29T23:05:49 --enforcementcount 0 &gt;&gt;C:\Users\stu\Documents\GitHub\eaglep3-reporting\EC\2017-01-29-refined-times.txt</v>
      </c>
      <c r="AI149" s="115" t="str">
        <f t="shared" si="61"/>
        <v>echo {"issue":{"subject":"","project_id":79,"tracker_id":40,"status_id":1,"priority_id":2,"assigned_to_id":23,"start_date":"2017-01-29","description":"","custom_fields":[{"id":1,"name":"Subdivision","value":"EC"},{"id":4,"name":"Milepost","value":"23.3342"},{"id":17,"name":"Train ID","value":"235-29"},{"id":16,"name":"Locomotive ID","value":"4011"},{"id":130,"name":"Impact","value":""},{"id":150,"name":"Time of Event (Mountain Time)","value":"23:05:49"},{"id":151,"name":"Denver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62"/>
        <v>start /low /b %USERPROFILE%\Documents\GitHub\eaglep3\Utilities\DownloadLogsFromS3.py --loco 4011 --day 2017-01-29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"%USERPROFILE%\AppData\Local\Temp\OnboardLogs"\RTDC4011\*4011*20170130* | grep -SE "(Enforcement Action)|(\[TIMEOUT)|(CHR.+\|PRM\|1\|D.+(SWITCH|SIGNAL).+UNKNOWN)" - &gt;&gt; 2017-01-29-UncaughtWiMAX.txt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474</v>
      </c>
      <c r="B150" s="7">
        <v>4012</v>
      </c>
      <c r="C150" s="22" t="s">
        <v>193</v>
      </c>
      <c r="D150" s="22" t="s">
        <v>778</v>
      </c>
      <c r="E150" s="13">
        <v>42764.974918981483</v>
      </c>
      <c r="F150" s="13">
        <v>42764.976539351854</v>
      </c>
      <c r="G150" s="7">
        <v>1</v>
      </c>
      <c r="H150" s="22" t="s">
        <v>230</v>
      </c>
      <c r="I150" s="13">
        <v>42765.002384259256</v>
      </c>
      <c r="J150" s="7">
        <v>0</v>
      </c>
      <c r="K150" s="105" t="str">
        <f t="shared" si="47"/>
        <v>4011/4012</v>
      </c>
      <c r="L150" s="22" t="str">
        <f>VLOOKUP(A150,'Trips&amp;Operators'!$C$1:$G$99999,5,FALSE)</f>
        <v>STAMBAUGH JAMES</v>
      </c>
      <c r="M150" s="6">
        <f t="shared" si="48"/>
        <v>2.5844907402643003E-2</v>
      </c>
      <c r="N150" s="7">
        <f t="shared" si="45"/>
        <v>37.216666659805924</v>
      </c>
      <c r="O150" s="7"/>
      <c r="P150" s="7"/>
      <c r="Q150" s="23"/>
      <c r="R150" s="23"/>
      <c r="S150" s="32">
        <f t="shared" si="46"/>
        <v>1</v>
      </c>
      <c r="T150" s="47" t="str">
        <f t="shared" si="49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0"/>
        <v>https://d0f6bd738d7f1b3e5a7ca70fe4ff75f0.us-east-1.aws.found.io/app/kibana#/discover/Steve-Slow-Train-Analysis-(2080s-and-2083s)?_g=(refreshInterval:(display:Off,pause:!f,section:0,value:0),time:(from:'2017-01-29T22:23:53-0700',mode:absolute,to:'2017-01-30T01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0" s="49" t="str">
        <f t="shared" si="51"/>
        <v>N</v>
      </c>
      <c r="X150" s="170">
        <f t="shared" si="52"/>
        <v>1</v>
      </c>
      <c r="Y150" s="64">
        <f t="shared" si="53"/>
        <v>23.302099999999999</v>
      </c>
      <c r="Z150" s="64">
        <f t="shared" si="54"/>
        <v>1.54E-2</v>
      </c>
      <c r="AA150" s="64">
        <f t="shared" si="55"/>
        <v>23.2867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56"/>
        <v>0236-29</v>
      </c>
      <c r="AE150" s="87" t="str">
        <f t="shared" si="57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150" s="84" t="str">
        <f t="shared" si="58"/>
        <v>"C:\Program Files (x86)\AstroGrep\AstroGrep.exe" /spath="%USERPROFILE%\AppData\Local\Temp\OnboardLogs" /stypes="app*4012*20170130*" /stext=" 07:.+((SYSTEM_STATE.+slice.+state.+changed )|(ment ac)|(multiple cpu faults)|(system.+state.+changed )|(\[timeout)|(PRM\|1\|D)|(kpr)|(kdp)|(\|lc)|(penalty))" /e /r /s</v>
      </c>
      <c r="AG150" s="1" t="str">
        <f t="shared" si="59"/>
        <v>EC</v>
      </c>
      <c r="AH150" s="88" t="str">
        <f t="shared" si="60"/>
        <v>"%USERPROFILE%\Documents\GitHub\eaglep3\Utilities\RefineRTDCRunTimes.py" --tripid 236-29 --locoid 4012 --swversion DE.1.0.8.0 --startMP 204:233021 --initTime 2017-01-29T23:23:53 --startdatetime 2017-01-29T23:26:13 --delay 1 --endMP 204:154 --enddatetime 2017-01-30T00:03:26 --enforcementcount 0 &gt;&gt;C:\Users\stu\Documents\GitHub\eaglep3-reporting\EC\2017-01-29-refined-times.txt</v>
      </c>
      <c r="AI150" s="115" t="str">
        <f t="shared" si="61"/>
        <v>echo {"issue":{"subject":"","project_id":79,"tracker_id":40,"status_id":1,"priority_id":2,"assigned_to_id":23,"start_date":"2017-01-30","description":"","custom_fields":[{"id":1,"name":"Subdivision","value":"EC"},{"id":4,"name":"Milepost","value":"0.0154"},{"id":17,"name":"Train ID","value":"236-29"},{"id":16,"name":"Locomotive ID","value":"4012"},{"id":130,"name":"Impact","value":""},{"id":150,"name":"Time of Event (Mountain Time)","value":"00:03:26"},{"id":151,"name":"Denver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62"/>
        <v>start /low /b %USERPROFILE%\Documents\GitHub\eaglep3\Utilities\DownloadLogsFromS3.py --loco 4012 --day 2017-01-29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"%USERPROFILE%\AppData\Local\Temp\OnboardLogs"\RTDC4012\*4012*20170130* | grep -SE "(Enforcement Action)|(\[TIMEOUT)|(CHR.+\|PRM\|1\|D.+(SWITCH|SIGNAL).+UNKNOWN)" - &gt;&gt; 2017-01-29-UncaughtWiMAX.txt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473</v>
      </c>
      <c r="B151" s="7">
        <v>4007</v>
      </c>
      <c r="C151" s="22" t="s">
        <v>193</v>
      </c>
      <c r="D151" s="22" t="s">
        <v>244</v>
      </c>
      <c r="E151" s="13">
        <v>42764.955104166664</v>
      </c>
      <c r="F151" s="13">
        <v>42764.958599537036</v>
      </c>
      <c r="G151" s="7">
        <v>1</v>
      </c>
      <c r="H151" s="22" t="s">
        <v>779</v>
      </c>
      <c r="I151" s="13">
        <v>42764.984675925924</v>
      </c>
      <c r="J151" s="7">
        <v>0</v>
      </c>
      <c r="K151" s="105" t="str">
        <f t="shared" si="47"/>
        <v>4007/4008</v>
      </c>
      <c r="L151" s="22" t="str">
        <f>VLOOKUP(A151,'Trips&amp;Operators'!$C$1:$G$99999,5,FALSE)</f>
        <v>CHANDLER KELVIN</v>
      </c>
      <c r="M151" s="6">
        <f t="shared" si="48"/>
        <v>2.6076388887304347E-2</v>
      </c>
      <c r="N151" s="7">
        <f t="shared" si="45"/>
        <v>37.54999999771826</v>
      </c>
      <c r="O151" s="7"/>
      <c r="P151" s="7"/>
      <c r="Q151" s="23"/>
      <c r="R151" s="23"/>
      <c r="S151" s="32">
        <f t="shared" si="46"/>
        <v>1</v>
      </c>
      <c r="T151" s="47" t="str">
        <f t="shared" si="49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0"/>
        <v>https://d0f6bd738d7f1b3e5a7ca70fe4ff75f0.us-east-1.aws.found.io/app/kibana#/discover/Steve-Slow-Train-Analysis-(2080s-and-2083s)?_g=(refreshInterval:(display:Off,pause:!f,section:0,value:0),time:(from:'2017-01-29T21:55:21-0700',mode:absolute,to:'2017-01-30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1" s="49" t="str">
        <f t="shared" si="51"/>
        <v>N</v>
      </c>
      <c r="X151" s="170">
        <f t="shared" si="52"/>
        <v>1</v>
      </c>
      <c r="Y151" s="64">
        <f t="shared" si="53"/>
        <v>4.6600000000000003E-2</v>
      </c>
      <c r="Z151" s="64">
        <f t="shared" si="54"/>
        <v>23.328299999999999</v>
      </c>
      <c r="AA151" s="64">
        <f t="shared" si="55"/>
        <v>23.281699999999997</v>
      </c>
      <c r="AB151" s="61" t="str">
        <f>VLOOKUP(A151,Enforcements!$C$7:$K$16,8,0)</f>
        <v>Track device (7)</v>
      </c>
      <c r="AC151" s="57" t="str">
        <f>VLOOKUP(A151,Enforcements!$C$7:$E$16,3,0)</f>
        <v>SWITCH UNKNOWN</v>
      </c>
      <c r="AD151" s="58" t="str">
        <f t="shared" si="56"/>
        <v>0237-29</v>
      </c>
      <c r="AE151" s="87" t="str">
        <f t="shared" si="57"/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AF151" s="84" t="str">
        <f t="shared" si="58"/>
        <v>"C:\Program Files (x86)\AstroGrep\AstroGrep.exe" /spath="%USERPROFILE%\AppData\Local\Temp\OnboardLogs" /stypes="app*4007*20170130*" /stext=" 06:.+((SYSTEM_STATE.+slice.+state.+changed )|(ment ac)|(multiple cpu faults)|(system.+state.+changed )|(\[timeout)|(PRM\|1\|D)|(kpr)|(kdp)|(\|lc)|(penalty))" /e /r /s</v>
      </c>
      <c r="AG151" s="1" t="str">
        <f t="shared" si="59"/>
        <v>EC</v>
      </c>
      <c r="AH151" s="88" t="str">
        <f t="shared" si="60"/>
        <v>"%USERPROFILE%\Documents\GitHub\eaglep3\Utilities\RefineRTDCRunTimes.py" --tripid 237-29 --locoid 4007 --swversion DE.1.0.8.0 --startMP 204:466 --initTime 2017-01-29T22:55:21 --startdatetime 2017-01-29T23:00:23 --delay 1 --endMP 204:233283 --enddatetime 2017-01-29T23:37:56 --enforcementcount 0 &gt;&gt;C:\Users\stu\Documents\GitHub\eaglep3-reporting\EC\2017-01-29-refined-times.txt</v>
      </c>
      <c r="AI151" s="115" t="str">
        <f t="shared" si="61"/>
        <v>echo {"issue":{"subject":"","project_id":79,"tracker_id":40,"status_id":1,"priority_id":2,"assigned_to_id":23,"start_date":"2017-01-29","description":"","custom_fields":[{"id":1,"name":"Subdivision","value":"EC"},{"id":4,"name":"Milepost","value":"23.3283"},{"id":17,"name":"Train ID","value":"237-29"},{"id":16,"name":"Locomotive ID","value":"4007"},{"id":130,"name":"Impact","value":""},{"id":150,"name":"Time of Event (Mountain Time)","value":"23:37:56"},{"id":151,"name":"Denver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62"/>
        <v>start /low /b %USERPROFILE%\Documents\GitHub\eaglep3\Utilities\DownloadLogsFromS3.py --loco 4007 --day 2017-01-29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"%USERPROFILE%\AppData\Local\Temp\OnboardLogs"\RTDC4007\*4007*20170130* | grep -SE "(Enforcement Action)|(\[TIMEOUT)|(CHR.+\|PRM\|1\|D.+(SWITCH|SIGNAL).+UNKNOWN)" - &gt;&gt; 2017-01-29-UncaughtWiMAX.txt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476</v>
      </c>
      <c r="B152" s="7">
        <v>4008</v>
      </c>
      <c r="C152" s="22" t="s">
        <v>193</v>
      </c>
      <c r="D152" s="22" t="s">
        <v>780</v>
      </c>
      <c r="E152" s="13">
        <v>42764.994525462964</v>
      </c>
      <c r="F152" s="13">
        <v>42764.997453703705</v>
      </c>
      <c r="G152" s="7">
        <v>1</v>
      </c>
      <c r="H152" s="22" t="s">
        <v>781</v>
      </c>
      <c r="I152" s="13">
        <v>42765.025706018518</v>
      </c>
      <c r="J152" s="7">
        <v>0</v>
      </c>
      <c r="K152" s="105" t="str">
        <f t="shared" si="47"/>
        <v>4007/4008</v>
      </c>
      <c r="L152" s="22" t="str">
        <f>VLOOKUP(A152,'Trips&amp;Operators'!$C$1:$G$99999,5,FALSE)</f>
        <v>CHANDLER KELVIN</v>
      </c>
      <c r="M152" s="6">
        <f t="shared" si="48"/>
        <v>2.8252314812561963E-2</v>
      </c>
      <c r="N152" s="7">
        <f t="shared" si="45"/>
        <v>40.683333330089226</v>
      </c>
      <c r="O152" s="7"/>
      <c r="P152" s="7"/>
      <c r="Q152" s="23"/>
      <c r="R152" s="23"/>
      <c r="S152" s="32">
        <f t="shared" si="46"/>
        <v>1</v>
      </c>
      <c r="T152" s="47" t="str">
        <f t="shared" si="49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0"/>
        <v>https://d0f6bd738d7f1b3e5a7ca70fe4ff75f0.us-east-1.aws.found.io/app/kibana#/discover/Steve-Slow-Train-Analysis-(2080s-and-2083s)?_g=(refreshInterval:(display:Off,pause:!f,section:0,value:0),time:(from:'2017-01-29T22:52:07-0700',mode:absolute,to:'2017-01-30T01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2" s="49" t="str">
        <f t="shared" si="51"/>
        <v>N</v>
      </c>
      <c r="X152" s="170">
        <f t="shared" si="52"/>
        <v>1</v>
      </c>
      <c r="Y152" s="64">
        <f t="shared" si="53"/>
        <v>23.295999999999999</v>
      </c>
      <c r="Z152" s="64">
        <f t="shared" si="54"/>
        <v>9.2999999999999992E-3</v>
      </c>
      <c r="AA152" s="64">
        <f t="shared" si="55"/>
        <v>23.2867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56"/>
        <v>0238-29</v>
      </c>
      <c r="AE152" s="87" t="str">
        <f t="shared" si="57"/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AF152" s="84" t="str">
        <f t="shared" si="58"/>
        <v>"C:\Program Files (x86)\AstroGrep\AstroGrep.exe" /spath="%USERPROFILE%\AppData\Local\Temp\OnboardLogs" /stypes="app*4008*20170130*" /stext=" 07:.+((SYSTEM_STATE.+slice.+state.+changed )|(ment ac)|(multiple cpu faults)|(system.+state.+changed )|(\[timeout)|(PRM\|1\|D)|(kpr)|(kdp)|(\|lc)|(penalty))" /e /r /s</v>
      </c>
      <c r="AG152" s="1" t="str">
        <f t="shared" si="59"/>
        <v>EC</v>
      </c>
      <c r="AH152" s="88" t="str">
        <f t="shared" si="60"/>
        <v>"%USERPROFILE%\Documents\GitHub\eaglep3\Utilities\RefineRTDCRunTimes.py" --tripid 238-29 --locoid 4008 --swversion DE.1.0.8.0 --startMP 204:232960 --initTime 2017-01-29T23:52:07 --startdatetime 2017-01-29T23:56:20 --delay 1 --endMP 204:93 --enddatetime 2017-01-30T00:37:01 --enforcementcount 0 &gt;&gt;C:\Users\stu\Documents\GitHub\eaglep3-reporting\EC\2017-01-29-refined-times.txt</v>
      </c>
      <c r="AI152" s="115" t="str">
        <f t="shared" si="61"/>
        <v>echo {"issue":{"subject":"","project_id":79,"tracker_id":40,"status_id":1,"priority_id":2,"assigned_to_id":23,"start_date":"2017-01-30","description":"","custom_fields":[{"id":1,"name":"Subdivision","value":"EC"},{"id":4,"name":"Milepost","value":"0.0093"},{"id":17,"name":"Train ID","value":"238-29"},{"id":16,"name":"Locomotive ID","value":"4008"},{"id":130,"name":"Impact","value":""},{"id":150,"name":"Time of Event (Mountain Time)","value":"00:37:01"},{"id":151,"name":"Denver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62"/>
        <v>start /low /b %USERPROFILE%\Documents\GitHub\eaglep3\Utilities\DownloadLogsFromS3.py --loco 4008 --day 2017-01-29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"%USERPROFILE%\AppData\Local\Temp\OnboardLogs"\RTDC4008\*4008*20170130* | grep -SE "(Enforcement Action)|(\[TIMEOUT)|(CHR.+\|PRM\|1\|D.+(SWITCH|SIGNAL).+UNKNOWN)" - &gt;&gt; 2017-01-29-UncaughtWiMAX.txt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653</v>
      </c>
      <c r="B153" s="7">
        <v>4038</v>
      </c>
      <c r="C153" s="22" t="s">
        <v>193</v>
      </c>
      <c r="D153" s="22" t="s">
        <v>244</v>
      </c>
      <c r="E153" s="13">
        <v>42764.962650462963</v>
      </c>
      <c r="F153" s="13">
        <v>42764.979328703703</v>
      </c>
      <c r="G153" s="7">
        <v>1</v>
      </c>
      <c r="H153" s="22" t="s">
        <v>279</v>
      </c>
      <c r="I153" s="13">
        <v>42765.003877314812</v>
      </c>
      <c r="J153" s="7">
        <v>0</v>
      </c>
      <c r="K153" s="105" t="str">
        <f t="shared" si="47"/>
        <v>4037/4038</v>
      </c>
      <c r="L153" s="22" t="str">
        <f>VLOOKUP(A153,'Trips&amp;Operators'!$C$1:$G$99999,5,FALSE)</f>
        <v>NEWELL JAMES</v>
      </c>
      <c r="M153" s="6">
        <f t="shared" si="48"/>
        <v>2.4548611108912155E-2</v>
      </c>
      <c r="N153" s="7">
        <f t="shared" si="45"/>
        <v>35.349999996833503</v>
      </c>
      <c r="O153" s="7"/>
      <c r="P153" s="7"/>
      <c r="Q153" s="23"/>
      <c r="R153" s="23"/>
      <c r="S153" s="32">
        <f t="shared" si="46"/>
        <v>1</v>
      </c>
      <c r="T153" s="47" t="str">
        <f t="shared" si="49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0"/>
        <v>https://d0f6bd738d7f1b3e5a7ca70fe4ff75f0.us-east-1.aws.found.io/app/kibana#/discover/Steve-Slow-Train-Analysis-(2080s-and-2083s)?_g=(refreshInterval:(display:Off,pause:!f,section:0,value:0),time:(from:'2017-01-29T22:06:13-0700',mode:absolute,to:'2017-01-30T01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3" s="49" t="str">
        <f t="shared" si="51"/>
        <v>N</v>
      </c>
      <c r="X153" s="170">
        <f t="shared" si="52"/>
        <v>1</v>
      </c>
      <c r="Y153" s="64">
        <f t="shared" si="53"/>
        <v>4.6600000000000003E-2</v>
      </c>
      <c r="Z153" s="64">
        <f t="shared" si="54"/>
        <v>23.331</v>
      </c>
      <c r="AA153" s="64">
        <f t="shared" si="55"/>
        <v>23.284399999999998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56"/>
        <v>0239-29</v>
      </c>
      <c r="AE153" s="87" t="str">
        <f t="shared" si="57"/>
        <v>aws s3 cp s3://rtdc.mdm.uploadarchive.raw/RTDC4038/ "%USERPROFILE%\AppData\Local\Temp\OnboardLogs"\RTDC4038\2017-01-29 --exclude "*" --recursive --include "*20170129*" &amp; "%USERPROFILE%\Documents\GitHub\mrs-test-scripts\Headless Mode &amp; Sideloading\WalkAndUnGZ.bat" "%USERPROFILE%\AppData\Local\Temp\OnboardLogs"\RTDC4038\2017-01-29 &amp; aws s3 cp s3://rtdc.mdm.uploadarchive.raw/RTDC4038/ "%USERPROFILE%\AppData\Local\Temp\OnboardLogs"\RTDC4038\2017-01-30 --exclude "*" --recursive --include "*20170130*" &amp; "%USERPROFILE%\Documents\GitHub\mrs-test-scripts\Headless Mode &amp; Sideloading\WalkAndUnGZ.bat" "%USERPROFILE%\AppData\Local\Temp\OnboardLogs"\RTDC4038\2017-01-30</v>
      </c>
      <c r="AF153" s="84" t="str">
        <f t="shared" si="58"/>
        <v>"C:\Program Files (x86)\AstroGrep\AstroGrep.exe" /spath="%USERPROFILE%\AppData\Local\Temp\OnboardLogs" /stypes="app*4038*20170130*" /stext=" 07:.+((SYSTEM_STATE.+slice.+state.+changed )|(ment ac)|(multiple cpu faults)|(system.+state.+changed )|(\[timeout)|(PRM\|1\|D)|(kpr)|(kdp)|(\|lc)|(penalty))" /e /r /s</v>
      </c>
      <c r="AG153" s="1" t="str">
        <f t="shared" si="59"/>
        <v>EC</v>
      </c>
      <c r="AH153" s="88" t="str">
        <f t="shared" si="60"/>
        <v>"%USERPROFILE%\Documents\GitHub\eaglep3\Utilities\RefineRTDCRunTimes.py" --tripid 239-29 --locoid 4038 --swversion DE.1.0.8.0 --startMP 204:466 --initTime 2017-01-29T23:06:13 --startdatetime 2017-01-29T23:30:14 --delay 1 --endMP 204:233310 --enddatetime 2017-01-30T00:05:35 --enforcementcount 0 &gt;&gt;C:\Users\stu\Documents\GitHub\eaglep3-reporting\EC\2017-01-29-refined-times.txt</v>
      </c>
      <c r="AI153" s="115" t="str">
        <f t="shared" si="61"/>
        <v>echo {"issue":{"subject":"","project_id":79,"tracker_id":40,"status_id":1,"priority_id":2,"assigned_to_id":23,"start_date":"2017-01-30","description":"","custom_fields":[{"id":1,"name":"Subdivision","value":"EC"},{"id":4,"name":"Milepost","value":"23.331"},{"id":17,"name":"Train ID","value":"239-29"},{"id":16,"name":"Locomotive ID","value":"4038"},{"id":130,"name":"Impact","value":""},{"id":150,"name":"Time of Event (Mountain Time)","value":"00:05:35"},{"id":151,"name":"Denver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62"/>
        <v>start /low /b %USERPROFILE%\Documents\GitHub\eaglep3\Utilities\DownloadLogsFromS3.py --loco 4038 --day 2017-01-29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"%USERPROFILE%\AppData\Local\Temp\OnboardLogs"\RTDC4038\*4038*20170130* | grep -SE "(Enforcement Action)|(\[TIMEOUT)|(CHR.+\|PRM\|1\|D.+(SWITCH|SIGNAL).+UNKNOWN)" - &gt;&gt; 2017-01-29-UncaughtWiMAX.txt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656</v>
      </c>
      <c r="B154" s="7">
        <v>4037</v>
      </c>
      <c r="C154" s="22" t="s">
        <v>193</v>
      </c>
      <c r="D154" s="22" t="s">
        <v>311</v>
      </c>
      <c r="E154" s="13">
        <v>42765.014999999999</v>
      </c>
      <c r="F154" s="13">
        <v>42765.015914351854</v>
      </c>
      <c r="G154" s="7">
        <v>1</v>
      </c>
      <c r="H154" s="22" t="s">
        <v>782</v>
      </c>
      <c r="I154" s="13">
        <v>42765.027638888889</v>
      </c>
      <c r="J154" s="7">
        <v>0</v>
      </c>
      <c r="K154" s="105" t="str">
        <f t="shared" si="47"/>
        <v>4037/4038</v>
      </c>
      <c r="L154" s="22" t="str">
        <f>VLOOKUP(A154,'Trips&amp;Operators'!$C$1:$G$99999,5,FALSE)</f>
        <v>NEWELL JAMES</v>
      </c>
      <c r="M154" s="6">
        <f t="shared" si="48"/>
        <v>1.1724537034751847E-2</v>
      </c>
      <c r="N154" s="7"/>
      <c r="O154" s="7"/>
      <c r="P154" s="7">
        <f>24*60*SUM($M154:$M155)</f>
        <v>36.249999997671694</v>
      </c>
      <c r="Q154" s="23"/>
      <c r="R154" s="23" t="s">
        <v>833</v>
      </c>
      <c r="S154" s="32">
        <f>SUM(U154:U155)/IF(AG154="EC",12,1)</f>
        <v>0.83333333333333337</v>
      </c>
      <c r="T154" s="47" t="str">
        <f t="shared" si="49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4" t="str">
        <f t="shared" si="50"/>
        <v>https://d0f6bd738d7f1b3e5a7ca70fe4ff75f0.us-east-1.aws.found.io/app/kibana#/discover/Steve-Slow-Train-Analysis-(2080s-and-2083s)?_g=(refreshInterval:(display:Off,pause:!f,section:0,value:0),time:(from:'2017-01-29T23:21:36-0700',mode:absolute,to:'2017-01-30T01:39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4" s="49" t="str">
        <f t="shared" si="51"/>
        <v>Y</v>
      </c>
      <c r="X154" s="170">
        <f t="shared" si="52"/>
        <v>1</v>
      </c>
      <c r="Y154" s="64">
        <f t="shared" si="53"/>
        <v>23.299399999999999</v>
      </c>
      <c r="Z154" s="64">
        <f t="shared" si="54"/>
        <v>12.786300000000001</v>
      </c>
      <c r="AA154" s="64">
        <f t="shared" si="55"/>
        <v>10.513099999999998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56"/>
        <v>0240-29</v>
      </c>
      <c r="AE154" s="87" t="str">
        <f t="shared" si="57"/>
        <v>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 &amp; 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</v>
      </c>
      <c r="AF154" s="84" t="str">
        <f t="shared" si="58"/>
        <v>"C:\Program Files (x86)\AstroGrep\AstroGrep.exe" /spath="%USERPROFILE%\AppData\Local\Temp\OnboardLogs" /stypes="app*4037*20170130*" /stext=" 07:.+((SYSTEM_STATE.+slice.+state.+changed )|(ment ac)|(multiple cpu faults)|(system.+state.+changed )|(\[timeout)|(PRM\|1\|D)|(kpr)|(kdp)|(\|lc)|(penalty))" /e /r /s</v>
      </c>
      <c r="AG154" s="1" t="str">
        <f t="shared" si="59"/>
        <v>EC</v>
      </c>
      <c r="AH154" s="88" t="str">
        <f t="shared" si="60"/>
        <v>"%USERPROFILE%\Documents\GitHub\eaglep3\Utilities\RefineRTDCRunTimes.py" --tripid 240-29 --locoid 4037 --swversion DE.1.0.8.0 --startMP 204:232994 --initTime 2017-01-30T00:21:36 --startdatetime 2017-01-30T00:22:55 --delay 1 --endMP 204:127863 --enddatetime 2017-01-30T00:39:48 --enforcementcount 0 &gt;&gt;C:\Users\stu\Documents\GitHub\eaglep3-reporting\EC\2017-01-29-refined-times.txt</v>
      </c>
      <c r="AI154" s="115" t="str">
        <f t="shared" si="61"/>
        <v>echo {"issue":{"subject":"Onboard in-route failure","project_id":79,"tracker_id":40,"status_id":1,"priority_id":2,"assigned_to_id":23,"start_date":"2017-01-30","description":"","custom_fields":[{"id":1,"name":"Subdivision","value":"EC"},{"id":4,"name":"Milepost","value":"12.7863"},{"id":17,"name":"Train ID","value":"240-29"},{"id":16,"name":"Locomotive ID","value":"4037"},{"id":130,"name":"Impact","value":""},{"id":150,"name":"Time of Event (Mountain Time)","value":"00:39:48"},{"id":151,"name":"Denver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62"/>
        <v>start /low /b %USERPROFILE%\Documents\GitHub\eaglep3\Utilities\DownloadLogsFromS3.py --loco 4037 --day 2017-01-30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"%USERPROFILE%\AppData\Local\Temp\OnboardLogs"\RTDC4037\*4037*20170130* | grep -SE "(Enforcement Action)|(\[TIMEOUT)|(CHR.+\|PRM\|1\|D.+(SWITCH|SIGNAL).+UNKNOWN)" - &gt;&gt; 2017-01-29-UncaughtWiMAX.txt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656</v>
      </c>
      <c r="B155" s="7">
        <v>4037</v>
      </c>
      <c r="C155" s="22" t="s">
        <v>193</v>
      </c>
      <c r="D155" s="22" t="s">
        <v>783</v>
      </c>
      <c r="E155" s="13">
        <v>42765.032546296294</v>
      </c>
      <c r="F155" s="13">
        <v>42765.03329861111</v>
      </c>
      <c r="G155" s="7">
        <v>1</v>
      </c>
      <c r="H155" s="22" t="s">
        <v>202</v>
      </c>
      <c r="I155" s="13">
        <v>42765.046747685185</v>
      </c>
      <c r="J155" s="7">
        <v>0</v>
      </c>
      <c r="K155" s="105" t="str">
        <f t="shared" si="47"/>
        <v>4037/4038</v>
      </c>
      <c r="L155" s="22" t="str">
        <f>VLOOKUP(A155,'Trips&amp;Operators'!$C$1:$G$99999,5,FALSE)</f>
        <v>NEWELL JAMES</v>
      </c>
      <c r="M155" s="6">
        <f t="shared" si="48"/>
        <v>1.3449074074742384E-2</v>
      </c>
      <c r="N155" s="7"/>
      <c r="O155" s="7"/>
      <c r="P155" s="7"/>
      <c r="Q155" s="23"/>
      <c r="R155" s="23"/>
      <c r="S155" s="32"/>
      <c r="T155" s="47" t="str">
        <f t="shared" si="49"/>
        <v>Southbound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10</v>
      </c>
      <c r="V155" s="94" t="str">
        <f t="shared" si="50"/>
        <v>https://d0f6bd738d7f1b3e5a7ca70fe4ff75f0.us-east-1.aws.found.io/app/kibana#/discover/Steve-Slow-Train-Analysis-(2080s-and-2083s)?_g=(refreshInterval:(display:Off,pause:!f,section:0,value:0),time:(from:'2017-01-29T23:46:52-0700',mode:absolute,to:'2017-01-30T02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5" s="49" t="str">
        <f t="shared" si="51"/>
        <v>Y</v>
      </c>
      <c r="X155" s="170">
        <f t="shared" si="52"/>
        <v>0</v>
      </c>
      <c r="Y155" s="64">
        <f t="shared" si="53"/>
        <v>8.6353000000000009</v>
      </c>
      <c r="Z155" s="64">
        <f t="shared" si="54"/>
        <v>1.4500000000000001E-2</v>
      </c>
      <c r="AA155" s="64">
        <f t="shared" si="55"/>
        <v>8.6208000000000009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56"/>
        <v>0240-29</v>
      </c>
      <c r="AE155" s="87" t="str">
        <f t="shared" si="57"/>
        <v>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 &amp; 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</v>
      </c>
      <c r="AF155" s="84" t="str">
        <f t="shared" si="58"/>
        <v>"C:\Program Files (x86)\AstroGrep\AstroGrep.exe" /spath="%USERPROFILE%\AppData\Local\Temp\OnboardLogs" /stypes="app*4037*20170130*" /stext=" 08:.+((SYSTEM_STATE.+slice.+state.+changed )|(ment ac)|(multiple cpu faults)|(system.+state.+changed )|(\[timeout)|(PRM\|1\|D)|(kpr)|(kdp)|(\|lc)|(penalty))" /e /r /s</v>
      </c>
      <c r="AG155" s="1" t="str">
        <f t="shared" si="59"/>
        <v>EC</v>
      </c>
      <c r="AH155" s="88" t="str">
        <f t="shared" si="60"/>
        <v>"%USERPROFILE%\Documents\GitHub\eaglep3\Utilities\RefineRTDCRunTimes.py" --tripid 240-29 --locoid 4037 --swversion DE.1.0.8.0 --startMP 204:86353 --initTime 2017-01-30T00:46:52 --startdatetime 2017-01-30T00:47:57 --delay 1 --endMP 204:145 --enddatetime 2017-01-30T01:07:19 --enforcementcount 0 &gt;&gt;C:\Users\stu\Documents\GitHub\eaglep3-reporting\EC\2017-01-29-refined-times.txt</v>
      </c>
      <c r="AI155" s="115" t="str">
        <f t="shared" si="61"/>
        <v>echo {"issue":{"subject":"","project_id":79,"tracker_id":40,"status_id":1,"priority_id":2,"assigned_to_id":23,"start_date":"2017-01-30","description":"","custom_fields":[{"id":1,"name":"Subdivision","value":"EC"},{"id":4,"name":"Milepost","value":"0.0145"},{"id":17,"name":"Train ID","value":"240-29"},{"id":16,"name":"Locomotive ID","value":"4037"},{"id":130,"name":"Impact","value":""},{"id":150,"name":"Time of Event (Mountain Time)","value":"01:07:19"},{"id":151,"name":"Denver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62"/>
        <v>start /low /b %USERPROFILE%\Documents\GitHub\eaglep3\Utilities\DownloadLogsFromS3.py --loco 4037 --day 2017-01-30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"%USERPROFILE%\AppData\Local\Temp\OnboardLogs"\RTDC4037\*4037*20170130* | grep -SE "(Enforcement Action)|(\[TIMEOUT)|(CHR.+\|PRM\|1\|D.+(SWITCH|SIGNAL).+UNKNOWN)" - &gt;&gt; 2017-01-29-UncaughtWiMAX.txt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654</v>
      </c>
      <c r="B156" s="7">
        <v>4025</v>
      </c>
      <c r="C156" s="22" t="s">
        <v>193</v>
      </c>
      <c r="D156" s="22" t="s">
        <v>260</v>
      </c>
      <c r="E156" s="13">
        <v>42764.991018518522</v>
      </c>
      <c r="F156" s="13">
        <v>42765.000196759262</v>
      </c>
      <c r="G156" s="7">
        <v>1</v>
      </c>
      <c r="H156" s="22" t="s">
        <v>702</v>
      </c>
      <c r="I156" s="13">
        <v>42765.025671296295</v>
      </c>
      <c r="J156" s="7">
        <v>0</v>
      </c>
      <c r="K156" s="105" t="str">
        <f t="shared" si="47"/>
        <v>4025/4026</v>
      </c>
      <c r="L156" s="22" t="str">
        <f>VLOOKUP(A156,'Trips&amp;Operators'!$C$1:$G$99999,5,FALSE)</f>
        <v>SMITH MICHAEL</v>
      </c>
      <c r="M156" s="6">
        <f t="shared" si="48"/>
        <v>2.5474537033005618E-2</v>
      </c>
      <c r="N156" s="7">
        <f t="shared" ref="N156:N187" si="63">24*60*SUM($M156:$M156)</f>
        <v>36.683333327528089</v>
      </c>
      <c r="O156" s="7"/>
      <c r="P156" s="7"/>
      <c r="Q156" s="23"/>
      <c r="R156" s="23"/>
      <c r="S156" s="32">
        <f t="shared" ref="S156:S187" si="64">SUM(U156:U156)/IF(AG156="EC",12,1)</f>
        <v>1</v>
      </c>
      <c r="T156" s="47" t="str">
        <f t="shared" si="49"/>
        <v>NorthBound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0"/>
        <v>https://d0f6bd738d7f1b3e5a7ca70fe4ff75f0.us-east-1.aws.found.io/app/kibana#/discover/Steve-Slow-Train-Analysis-(2080s-and-2083s)?_g=(refreshInterval:(display:Off,pause:!f,section:0,value:0),time:(from:'2017-01-29T22:47:04-0700',mode:absolute,to:'2017-01-30T01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6" s="49" t="str">
        <f t="shared" si="51"/>
        <v>N</v>
      </c>
      <c r="X156" s="170">
        <f t="shared" si="52"/>
        <v>1</v>
      </c>
      <c r="Y156" s="64">
        <f t="shared" si="53"/>
        <v>4.4400000000000002E-2</v>
      </c>
      <c r="Z156" s="64">
        <f t="shared" si="54"/>
        <v>23.3293</v>
      </c>
      <c r="AA156" s="64">
        <f t="shared" si="55"/>
        <v>23.2849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56"/>
        <v>0241-29</v>
      </c>
      <c r="AE156" s="87" t="str">
        <f t="shared" si="57"/>
        <v>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 &amp; 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</v>
      </c>
      <c r="AF156" s="84" t="str">
        <f t="shared" si="58"/>
        <v>"C:\Program Files (x86)\AstroGrep\AstroGrep.exe" /spath="%USERPROFILE%\AppData\Local\Temp\OnboardLogs" /stypes="app*4025*20170130*" /stext=" 07:.+((SYSTEM_STATE.+slice.+state.+changed )|(ment ac)|(multiple cpu faults)|(system.+state.+changed )|(\[timeout)|(PRM\|1\|D)|(kpr)|(kdp)|(\|lc)|(penalty))" /e /r /s</v>
      </c>
      <c r="AG156" s="1" t="str">
        <f t="shared" si="59"/>
        <v>EC</v>
      </c>
      <c r="AH156" s="88" t="str">
        <f t="shared" si="60"/>
        <v>"%USERPROFILE%\Documents\GitHub\eaglep3\Utilities\RefineRTDCRunTimes.py" --tripid 241-29 --locoid 4025 --swversion DE.1.0.8.0 --startMP 204:444 --initTime 2017-01-29T23:47:04 --startdatetime 2017-01-30T00:00:17 --delay 1 --endMP 204:233293 --enddatetime 2017-01-30T00:36:58 --enforcementcount 0 &gt;&gt;C:\Users\stu\Documents\GitHub\eaglep3-reporting\EC\2017-01-29-refined-times.txt</v>
      </c>
      <c r="AI156" s="115" t="str">
        <f t="shared" si="61"/>
        <v>echo {"issue":{"subject":"","project_id":79,"tracker_id":40,"status_id":1,"priority_id":2,"assigned_to_id":23,"start_date":"2017-01-30","description":"","custom_fields":[{"id":1,"name":"Subdivision","value":"EC"},{"id":4,"name":"Milepost","value":"23.3293"},{"id":17,"name":"Train ID","value":"241-29"},{"id":16,"name":"Locomotive ID","value":"4025"},{"id":130,"name":"Impact","value":""},{"id":150,"name":"Time of Event (Mountain Time)","value":"00:36:58"},{"id":151,"name":"Denver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62"/>
        <v>start /low /b %USERPROFILE%\Documents\GitHub\eaglep3\Utilities\DownloadLogsFromS3.py --loco 4025 --day 2017-01-30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"%USERPROFILE%\AppData\Local\Temp\OnboardLogs"\RTDC4025\*4025*20170130* | grep -SE "(Enforcement Action)|(\[TIMEOUT)|(CHR.+\|PRM\|1\|D.+(SWITCH|SIGNAL).+UNKNOWN)" - &gt;&gt; 2017-01-29-UncaughtWiMAX.txt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658</v>
      </c>
      <c r="B157" s="7">
        <v>4026</v>
      </c>
      <c r="C157" s="22" t="s">
        <v>193</v>
      </c>
      <c r="D157" s="22" t="s">
        <v>692</v>
      </c>
      <c r="E157" s="13">
        <v>42765.029016203705</v>
      </c>
      <c r="F157" s="13">
        <v>42765.039074074077</v>
      </c>
      <c r="G157" s="7">
        <v>1</v>
      </c>
      <c r="H157" s="22" t="s">
        <v>230</v>
      </c>
      <c r="I157" s="13">
        <v>42765.065821759257</v>
      </c>
      <c r="J157" s="7">
        <v>0</v>
      </c>
      <c r="K157" s="105" t="str">
        <f t="shared" si="47"/>
        <v>4025/4026</v>
      </c>
      <c r="L157" s="22" t="str">
        <f>VLOOKUP(A157,'Trips&amp;Operators'!$C$1:$G$99999,5,FALSE)</f>
        <v>SMITH MICHAEL</v>
      </c>
      <c r="M157" s="6">
        <f t="shared" si="48"/>
        <v>2.6747685180453118E-2</v>
      </c>
      <c r="N157" s="7">
        <f t="shared" si="63"/>
        <v>38.51666665985249</v>
      </c>
      <c r="O157" s="7"/>
      <c r="P157" s="7"/>
      <c r="Q157" s="23"/>
      <c r="R157" s="23"/>
      <c r="S157" s="32">
        <f t="shared" si="64"/>
        <v>1</v>
      </c>
      <c r="T157" s="47" t="str">
        <f t="shared" si="49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50"/>
        <v>https://d0f6bd738d7f1b3e5a7ca70fe4ff75f0.us-east-1.aws.found.io/app/kibana#/discover/Steve-Slow-Train-Analysis-(2080s-and-2083s)?_g=(refreshInterval:(display:Off,pause:!f,section:0,value:0),time:(from:'2017-01-29T23:41:47-0700',mode:absolute,to:'2017-01-30T02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49" t="str">
        <f t="shared" si="51"/>
        <v>N</v>
      </c>
      <c r="X157" s="170">
        <f t="shared" si="52"/>
        <v>1</v>
      </c>
      <c r="Y157" s="64">
        <f t="shared" si="53"/>
        <v>23.302700000000002</v>
      </c>
      <c r="Z157" s="64">
        <f t="shared" si="54"/>
        <v>1.54E-2</v>
      </c>
      <c r="AA157" s="64">
        <f t="shared" si="55"/>
        <v>23.287300000000002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56"/>
        <v>0242-29</v>
      </c>
      <c r="AE157" s="87" t="str">
        <f t="shared" si="57"/>
        <v>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 &amp; 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</v>
      </c>
      <c r="AF157" s="84" t="str">
        <f t="shared" si="58"/>
        <v>"C:\Program Files (x86)\AstroGrep\AstroGrep.exe" /spath="%USERPROFILE%\AppData\Local\Temp\OnboardLogs" /stypes="app*4026*20170130*" /stext=" 08:.+((SYSTEM_STATE.+slice.+state.+changed )|(ment ac)|(multiple cpu faults)|(system.+state.+changed )|(\[timeout)|(PRM\|1\|D)|(kpr)|(kdp)|(\|lc)|(penalty))" /e /r /s</v>
      </c>
      <c r="AG157" s="1" t="str">
        <f t="shared" si="59"/>
        <v>EC</v>
      </c>
      <c r="AH157" s="88" t="str">
        <f t="shared" si="60"/>
        <v>"%USERPROFILE%\Documents\GitHub\eaglep3\Utilities\RefineRTDCRunTimes.py" --tripid 242-29 --locoid 4026 --swversion DE.1.0.8.0 --startMP 204:233027 --initTime 2017-01-30T00:41:47 --startdatetime 2017-01-30T00:56:16 --delay 1 --endMP 204:154 --enddatetime 2017-01-30T01:34:47 --enforcementcount 0 &gt;&gt;C:\Users\stu\Documents\GitHub\eaglep3-reporting\EC\2017-01-29-refined-times.txt</v>
      </c>
      <c r="AI157" s="115" t="str">
        <f t="shared" si="61"/>
        <v>echo {"issue":{"subject":"","project_id":79,"tracker_id":40,"status_id":1,"priority_id":2,"assigned_to_id":23,"start_date":"2017-01-30","description":"","custom_fields":[{"id":1,"name":"Subdivision","value":"EC"},{"id":4,"name":"Milepost","value":"0.0154"},{"id":17,"name":"Train ID","value":"242-29"},{"id":16,"name":"Locomotive ID","value":"4026"},{"id":130,"name":"Impact","value":""},{"id":150,"name":"Time of Event (Mountain Time)","value":"01:34:47"},{"id":151,"name":"Denver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62"/>
        <v>start /low /b %USERPROFILE%\Documents\GitHub\eaglep3\Utilities\DownloadLogsFromS3.py --loco 4026 --day 2017-01-30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"%USERPROFILE%\AppData\Local\Temp\OnboardLogs"\RTDC4026\*4026*20170130* | grep -SE "(Enforcement Action)|(\[TIMEOUT)|(CHR.+\|PRM\|1\|D.+(SWITCH|SIGNAL).+UNKNOWN)" - &gt;&gt; 2017-01-29-UncaughtWiMAX.txt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655</v>
      </c>
      <c r="B158" s="7">
        <v>4011</v>
      </c>
      <c r="C158" s="22" t="s">
        <v>193</v>
      </c>
      <c r="D158" s="22" t="s">
        <v>293</v>
      </c>
      <c r="E158" s="13">
        <v>42765.004178240742</v>
      </c>
      <c r="F158" s="13">
        <v>42765.021157407406</v>
      </c>
      <c r="G158" s="7">
        <v>1</v>
      </c>
      <c r="H158" s="22" t="s">
        <v>784</v>
      </c>
      <c r="I158" s="13">
        <v>42765.045902777776</v>
      </c>
      <c r="J158" s="7">
        <v>0</v>
      </c>
      <c r="K158" s="105" t="str">
        <f t="shared" si="47"/>
        <v>4011/4012</v>
      </c>
      <c r="L158" s="22" t="str">
        <f>VLOOKUP(A158,'Trips&amp;Operators'!$C$1:$G$99999,5,FALSE)</f>
        <v>STAMBAUGH JAMES</v>
      </c>
      <c r="M158" s="6">
        <f t="shared" si="48"/>
        <v>2.47453703705105E-2</v>
      </c>
      <c r="N158" s="7">
        <f t="shared" si="63"/>
        <v>35.63333333353512</v>
      </c>
      <c r="O158" s="7"/>
      <c r="P158" s="7"/>
      <c r="Q158" s="23"/>
      <c r="R158" s="23"/>
      <c r="S158" s="32">
        <f t="shared" si="64"/>
        <v>1</v>
      </c>
      <c r="T158" s="47" t="str">
        <f t="shared" si="49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50"/>
        <v>https://d0f6bd738d7f1b3e5a7ca70fe4ff75f0.us-east-1.aws.found.io/app/kibana#/discover/Steve-Slow-Train-Analysis-(2080s-and-2083s)?_g=(refreshInterval:(display:Off,pause:!f,section:0,value:0),time:(from:'2017-01-29T23:06:01-0700',mode:absolute,to:'2017-01-30T02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49" t="str">
        <f t="shared" si="51"/>
        <v>N</v>
      </c>
      <c r="X158" s="170">
        <f t="shared" si="52"/>
        <v>1</v>
      </c>
      <c r="Y158" s="64">
        <f t="shared" si="53"/>
        <v>4.53E-2</v>
      </c>
      <c r="Z158" s="64">
        <f t="shared" si="54"/>
        <v>23.336099999999998</v>
      </c>
      <c r="AA158" s="64">
        <f t="shared" si="55"/>
        <v>23.290799999999997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56"/>
        <v>0243-29</v>
      </c>
      <c r="AE158" s="87" t="str">
        <f t="shared" si="57"/>
        <v>aws s3 cp s3://rtdc.mdm.uploadarchive.raw/RTDC4011/ "%USERPROFILE%\AppData\Local\Temp\OnboardLogs"\RTDC4011\2017-01-30 --exclude "*" --recursive --include "*20170130*" &amp; "%USERPROFILE%\Documents\GitHub\mrs-test-scripts\Headless Mode &amp; Sideloading\WalkAndUnGZ.bat" "%USERPROFILE%\AppData\Local\Temp\OnboardLogs"\RTDC4011\2017-01-30 &amp; aws s3 cp s3://rtdc.mdm.uploadarchive.raw/RTDC4011/ "%USERPROFILE%\AppData\Local\Temp\OnboardLogs"\RTDC4011\2017-01-31 --exclude "*" --recursive --include "*20170131*" &amp; "%USERPROFILE%\Documents\GitHub\mrs-test-scripts\Headless Mode &amp; Sideloading\WalkAndUnGZ.bat" "%USERPROFILE%\AppData\Local\Temp\OnboardLogs"\RTDC4011\2017-01-31</v>
      </c>
      <c r="AF158" s="84" t="str">
        <f t="shared" si="58"/>
        <v>"C:\Program Files (x86)\AstroGrep\AstroGrep.exe" /spath="%USERPROFILE%\AppData\Local\Temp\OnboardLogs" /stypes="app*4011*20170130*" /stext=" 08:.+((SYSTEM_STATE.+slice.+state.+changed )|(ment ac)|(multiple cpu faults)|(system.+state.+changed )|(\[timeout)|(PRM\|1\|D)|(kpr)|(kdp)|(\|lc)|(penalty))" /e /r /s</v>
      </c>
      <c r="AG158" s="1" t="str">
        <f t="shared" si="59"/>
        <v>EC</v>
      </c>
      <c r="AH158" s="88" t="str">
        <f t="shared" si="60"/>
        <v>"%USERPROFILE%\Documents\GitHub\eaglep3\Utilities\RefineRTDCRunTimes.py" --tripid 243-29 --locoid 4011 --swversion DE.1.0.8.0 --startMP 204:453 --initTime 2017-01-30T00:06:01 --startdatetime 2017-01-30T00:30:28 --delay 1 --endMP 204:233361 --enddatetime 2017-01-30T01:06:06 --enforcementcount 0 &gt;&gt;C:\Users\stu\Documents\GitHub\eaglep3-reporting\EC\2017-01-29-refined-times.txt</v>
      </c>
      <c r="AI158" s="115" t="str">
        <f t="shared" si="61"/>
        <v>echo {"issue":{"subject":"","project_id":79,"tracker_id":40,"status_id":1,"priority_id":2,"assigned_to_id":23,"start_date":"2017-01-30","description":"","custom_fields":[{"id":1,"name":"Subdivision","value":"EC"},{"id":4,"name":"Milepost","value":"23.3361"},{"id":17,"name":"Train ID","value":"243-29"},{"id":16,"name":"Locomotive ID","value":"4011"},{"id":130,"name":"Impact","value":""},{"id":150,"name":"Time of Event (Mountain Time)","value":"01:06:06"},{"id":151,"name":"Denver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62"/>
        <v>start /low /b %USERPROFILE%\Documents\GitHub\eaglep3\Utilities\DownloadLogsFromS3.py --loco 4011 --day 2017-01-30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"%USERPROFILE%\AppData\Local\Temp\OnboardLogs"\RTDC4011\*4011*20170130* | grep -SE "(Enforcement Action)|(\[TIMEOUT)|(CHR.+\|PRM\|1\|D.+(SWITCH|SIGNAL).+UNKNOWN)" - &gt;&gt; 2017-01-29-UncaughtWiMAX.txt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660</v>
      </c>
      <c r="B159" s="7">
        <v>4012</v>
      </c>
      <c r="C159" s="22" t="s">
        <v>193</v>
      </c>
      <c r="D159" s="22" t="s">
        <v>785</v>
      </c>
      <c r="E159" s="13">
        <v>42765.058807870373</v>
      </c>
      <c r="F159" s="13">
        <v>42765.060254629629</v>
      </c>
      <c r="G159" s="7">
        <v>1</v>
      </c>
      <c r="H159" s="22" t="s">
        <v>229</v>
      </c>
      <c r="I159" s="13">
        <v>42765.085810185185</v>
      </c>
      <c r="J159" s="7">
        <v>0</v>
      </c>
      <c r="K159" s="105" t="str">
        <f t="shared" si="47"/>
        <v>4011/4012</v>
      </c>
      <c r="L159" s="22" t="str">
        <f>VLOOKUP(A159,'Trips&amp;Operators'!$C$1:$G$99999,5,FALSE)</f>
        <v>STAMBAUGH JAMES</v>
      </c>
      <c r="M159" s="6">
        <f t="shared" si="48"/>
        <v>2.5555555555911269E-2</v>
      </c>
      <c r="N159" s="7">
        <f t="shared" si="63"/>
        <v>36.800000000512227</v>
      </c>
      <c r="O159" s="7"/>
      <c r="P159" s="7"/>
      <c r="Q159" s="23"/>
      <c r="R159" s="23"/>
      <c r="S159" s="32">
        <f t="shared" si="64"/>
        <v>1</v>
      </c>
      <c r="T159" s="47" t="str">
        <f t="shared" si="49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50"/>
        <v>https://d0f6bd738d7f1b3e5a7ca70fe4ff75f0.us-east-1.aws.found.io/app/kibana#/discover/Steve-Slow-Train-Analysis-(2080s-and-2083s)?_g=(refreshInterval:(display:Off,pause:!f,section:0,value:0),time:(from:'2017-01-30T00:24:41-0700',mode:absolute,to:'2017-01-30T03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49" t="str">
        <f t="shared" si="51"/>
        <v>N</v>
      </c>
      <c r="X159" s="170">
        <f t="shared" si="52"/>
        <v>1</v>
      </c>
      <c r="Y159" s="64">
        <f t="shared" si="53"/>
        <v>23.304300000000001</v>
      </c>
      <c r="Z159" s="64">
        <f t="shared" si="54"/>
        <v>1.6299999999999999E-2</v>
      </c>
      <c r="AA159" s="64">
        <f t="shared" si="55"/>
        <v>23.288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56"/>
        <v>0244-29</v>
      </c>
      <c r="AE159" s="87" t="str">
        <f t="shared" si="57"/>
        <v>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 &amp; 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</v>
      </c>
      <c r="AF159" s="84" t="str">
        <f t="shared" si="58"/>
        <v>"C:\Program Files (x86)\AstroGrep\AstroGrep.exe" /spath="%USERPROFILE%\AppData\Local\Temp\OnboardLogs" /stypes="app*4012*20170130*" /stext=" 09:.+((SYSTEM_STATE.+slice.+state.+changed )|(ment ac)|(multiple cpu faults)|(system.+state.+changed )|(\[timeout)|(PRM\|1\|D)|(kpr)|(kdp)|(\|lc)|(penalty))" /e /r /s</v>
      </c>
      <c r="AG159" s="1" t="str">
        <f t="shared" si="59"/>
        <v>EC</v>
      </c>
      <c r="AH159" s="88" t="str">
        <f t="shared" si="60"/>
        <v>"%USERPROFILE%\Documents\GitHub\eaglep3\Utilities\RefineRTDCRunTimes.py" --tripid 244-29 --locoid 4012 --swversion DE.1.0.8.0 --startMP 204:233043 --initTime 2017-01-30T01:24:41 --startdatetime 2017-01-30T01:26:46 --delay 1 --endMP 204:163 --enddatetime 2017-01-30T02:03:34 --enforcementcount 0 &gt;&gt;C:\Users\stu\Documents\GitHub\eaglep3-reporting\EC\2017-01-29-refined-times.txt</v>
      </c>
      <c r="AI159" s="115" t="str">
        <f t="shared" si="61"/>
        <v>echo {"issue":{"subject":"","project_id":79,"tracker_id":40,"status_id":1,"priority_id":2,"assigned_to_id":23,"start_date":"2017-01-30","description":"","custom_fields":[{"id":1,"name":"Subdivision","value":"EC"},{"id":4,"name":"Milepost","value":"0.0163"},{"id":17,"name":"Train ID","value":"244-29"},{"id":16,"name":"Locomotive ID","value":"4012"},{"id":130,"name":"Impact","value":""},{"id":150,"name":"Time of Event (Mountain Time)","value":"02:03:34"},{"id":151,"name":"Denver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62"/>
        <v>start /low /b %USERPROFILE%\Documents\GitHub\eaglep3\Utilities\DownloadLogsFromS3.py --loco 4012 --day 2017-01-30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"%USERPROFILE%\AppData\Local\Temp\OnboardLogs"\RTDC4012\*4012*20170130* | grep -SE "(Enforcement Action)|(\[TIMEOUT)|(CHR.+\|PRM\|1\|D.+(SWITCH|SIGNAL).+UNKNOWN)" - &gt;&gt; 2017-01-29-UncaughtWiMAX.txt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497</v>
      </c>
      <c r="B160" s="7">
        <v>4041</v>
      </c>
      <c r="C160" s="22" t="s">
        <v>193</v>
      </c>
      <c r="D160" s="22" t="s">
        <v>332</v>
      </c>
      <c r="E160" s="13">
        <v>42764.229849537034</v>
      </c>
      <c r="F160" s="13">
        <v>42764.237199074072</v>
      </c>
      <c r="G160" s="7">
        <v>1</v>
      </c>
      <c r="H160" s="22" t="s">
        <v>427</v>
      </c>
      <c r="I160" s="13">
        <v>42764.246400462966</v>
      </c>
      <c r="J160" s="7">
        <v>0</v>
      </c>
      <c r="K160" s="105" t="str">
        <f t="shared" si="47"/>
        <v>4041/4042</v>
      </c>
      <c r="L160" s="22" t="str">
        <f>VLOOKUP(A160,'Trips&amp;Operators'!$C$1:$G$99999,5,FALSE)</f>
        <v>YORK EDGAR</v>
      </c>
      <c r="M160" s="6">
        <f t="shared" si="48"/>
        <v>9.2013888934161514E-3</v>
      </c>
      <c r="N160" s="7">
        <f t="shared" si="63"/>
        <v>13.250000006519258</v>
      </c>
      <c r="O160" s="7"/>
      <c r="P160" s="7"/>
      <c r="Q160" s="23"/>
      <c r="R160" s="23"/>
      <c r="S160" s="32">
        <f t="shared" si="64"/>
        <v>1</v>
      </c>
      <c r="T160" s="47" t="str">
        <f t="shared" si="49"/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50"/>
        <v>https://d0f6bd738d7f1b3e5a7ca70fe4ff75f0.us-east-1.aws.found.io/app/kibana#/discover/Steve-Slow-Train-Analysis-(2080s-and-2083s)?_g=(refreshInterval:(display:Off,pause:!f,section:0,value:0),time:(from:'2017-01-29T04:30:59-0700',mode:absolute,to:'2017-01-29T06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0" s="49" t="str">
        <f t="shared" si="51"/>
        <v>N</v>
      </c>
      <c r="X160" s="170">
        <f t="shared" ref="X160:X161" si="65">VALUE(LEFT(AD160,4))-VALUE(LEFT(AD159,4))</f>
        <v>1556</v>
      </c>
      <c r="Y160" s="64">
        <f t="shared" si="53"/>
        <v>5.8625999999999996</v>
      </c>
      <c r="Z160" s="64">
        <f t="shared" si="54"/>
        <v>7.3599999999999999E-2</v>
      </c>
      <c r="AA160" s="64">
        <f t="shared" si="55"/>
        <v>5.7889999999999997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56"/>
        <v>1800-29</v>
      </c>
      <c r="AE160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60" s="84" t="str">
        <f t="shared" si="58"/>
        <v>"C:\Program Files (x86)\AstroGrep\AstroGrep.exe" /spath="%USERPROFILE%\AppData\Local\Temp\OnboardLogs" /stypes="app*4041*20170129*" /stext=" 12:.+((SYSTEM_STATE.+slice.+state.+changed )|(ment ac)|(multiple cpu faults)|(system.+state.+changed )|(\[timeout)|(PRM\|1\|D)|(kpr)|(kdp)|(\|lc)|(penalty))" /e /r /s</v>
      </c>
      <c r="AG160" s="1" t="str">
        <f t="shared" si="59"/>
        <v>NW</v>
      </c>
      <c r="AH160" s="88" t="str">
        <f t="shared" si="60"/>
        <v>"%USERPROFILE%\Documents\GitHub\eaglep3\Utilities\RefineRTDCRunTimes.py" --tripid 1800-29 --locoid 4041 --swversion DE.1.0.8.0 --startMP 300:58626 --initTime 2017-01-29T05:30:59 --startdatetime 2017-01-29T05:41:34 --delay 1 --endMP 204:736 --enddatetime 2017-01-29T05:54:49 --enforcementcount 0 &gt;&gt;C:\Users\stu\Documents\GitHub\eaglep3-reporting\EC\2017-01-29-refined-times.txt</v>
      </c>
      <c r="AI160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{"issue":{"subject":"","project_id":79,"tracker_id":40,"status_id":1,"priority_id":2,"assigned_to_id":23,"start_date":"2017-01-29","description":"","custom_fields":[{"id":1,"name":"Subdivision","value":"NW"},{"id":4,"name":"Milepost","value":"0.0736"},{"id":17,"name":"Train ID","value":"1800-29"},{"id":16,"name":"Locomotive ID","value":"4041"},{"id":130,"name":"Impact","value":""},{"id":150,"name":"Time of Event (Mountain Time)","value":"05:54:49"},{"id":151,"name":"Denver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62"/>
        <v>start /low /b %USERPROFILE%\Documents\GitHub\eaglep3\Utilities\DownloadLogsFromS3.py --loco 4041 --day 2017-01-29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500</v>
      </c>
      <c r="B161" s="7">
        <v>4042</v>
      </c>
      <c r="C161" s="22" t="s">
        <v>193</v>
      </c>
      <c r="D161" s="22" t="s">
        <v>713</v>
      </c>
      <c r="E161" s="13">
        <v>42764.247719907406</v>
      </c>
      <c r="F161" s="13">
        <v>42764.265023148146</v>
      </c>
      <c r="G161" s="7">
        <v>1</v>
      </c>
      <c r="H161" s="22" t="s">
        <v>714</v>
      </c>
      <c r="I161" s="13">
        <v>42764.274618055555</v>
      </c>
      <c r="J161" s="7">
        <v>0</v>
      </c>
      <c r="K161" s="105" t="str">
        <f t="shared" si="47"/>
        <v>4041/4042</v>
      </c>
      <c r="L161" s="22" t="str">
        <f>VLOOKUP(A161,'Trips&amp;Operators'!$C$1:$G$99999,5,FALSE)</f>
        <v>YORK EDGAR</v>
      </c>
      <c r="M161" s="6">
        <f t="shared" si="48"/>
        <v>9.5949074093368836E-3</v>
      </c>
      <c r="N161" s="7">
        <f t="shared" si="63"/>
        <v>13.816666669445112</v>
      </c>
      <c r="O161" s="7"/>
      <c r="P161" s="7"/>
      <c r="Q161" s="23"/>
      <c r="R161" s="23"/>
      <c r="S161" s="32">
        <f t="shared" si="64"/>
        <v>1</v>
      </c>
      <c r="T161" s="47" t="str">
        <f t="shared" si="49"/>
        <v>NorthBound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0"/>
        <v>https://d0f6bd738d7f1b3e5a7ca70fe4ff75f0.us-east-1.aws.found.io/app/kibana#/discover/Steve-Slow-Train-Analysis-(2080s-and-2083s)?_g=(refreshInterval:(display:Off,pause:!f,section:0,value:0),time:(from:'2017-01-29T04:56:43-0700',mode:absolute,to:'2017-01-29T07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1" s="49" t="str">
        <f t="shared" si="51"/>
        <v>N</v>
      </c>
      <c r="X161" s="170">
        <f t="shared" si="65"/>
        <v>1</v>
      </c>
      <c r="Y161" s="64">
        <f t="shared" si="53"/>
        <v>0.1016</v>
      </c>
      <c r="Z161" s="64">
        <f t="shared" si="54"/>
        <v>5.8929</v>
      </c>
      <c r="AA161" s="64">
        <f t="shared" si="55"/>
        <v>5.7912999999999997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56"/>
        <v>1801-29</v>
      </c>
      <c r="AE161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61" s="84" t="str">
        <f t="shared" si="58"/>
        <v>"C:\Program Files (x86)\AstroGrep\AstroGrep.exe" /spath="%USERPROFILE%\AppData\Local\Temp\OnboardLogs" /stypes="app*4042*20170129*" /stext=" 13:.+((SYSTEM_STATE.+slice.+state.+changed )|(ment ac)|(multiple cpu faults)|(system.+state.+changed )|(\[timeout)|(PRM\|1\|D)|(kpr)|(kdp)|(\|lc)|(penalty))" /e /r /s</v>
      </c>
      <c r="AG161" s="1" t="str">
        <f t="shared" si="59"/>
        <v>NW</v>
      </c>
      <c r="AH161" s="88" t="str">
        <f t="shared" si="60"/>
        <v>"%USERPROFILE%\Documents\GitHub\eaglep3\Utilities\RefineRTDCRunTimes.py" --tripid 1801-29 --locoid 4042 --swversion DE.1.0.8.0 --startMP 204:1016 --initTime 2017-01-29T05:56:43 --startdatetime 2017-01-29T06:21:38 --delay 1 --endMP 300:58929 --enddatetime 2017-01-29T06:35:27 --enforcementcount 0 &gt;&gt;C:\Users\stu\Documents\GitHub\eaglep3-reporting\EC\2017-01-29-refined-times.txt</v>
      </c>
      <c r="AI161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{"issue":{"subject":"","project_id":79,"tracker_id":40,"status_id":1,"priority_id":2,"assigned_to_id":23,"start_date":"2017-01-29","description":"","custom_fields":[{"id":1,"name":"Subdivision","value":"NW"},{"id":4,"name":"Milepost","value":"5.8929"},{"id":17,"name":"Train ID","value":"1801-29"},{"id":16,"name":"Locomotive ID","value":"4042"},{"id":130,"name":"Impact","value":""},{"id":150,"name":"Time of Event (Mountain Time)","value":"06:35:27"},{"id":151,"name":"Denver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62"/>
        <v>start /low /b %USERPROFILE%\Documents\GitHub\eaglep3\Utilities\DownloadLogsFromS3.py --loco 4042 --day 2017-01-29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4" t="s">
        <v>508</v>
      </c>
      <c r="B162" s="7">
        <v>4041</v>
      </c>
      <c r="C162" s="22" t="s">
        <v>193</v>
      </c>
      <c r="D162" s="22" t="s">
        <v>332</v>
      </c>
      <c r="E162" s="13">
        <v>42764.276979166665</v>
      </c>
      <c r="F162" s="13">
        <v>42764.278460648151</v>
      </c>
      <c r="G162" s="7">
        <v>1</v>
      </c>
      <c r="H162" s="22" t="s">
        <v>715</v>
      </c>
      <c r="I162" s="13">
        <v>42764.287974537037</v>
      </c>
      <c r="J162" s="7">
        <v>0</v>
      </c>
      <c r="K162" s="105" t="str">
        <f t="shared" si="47"/>
        <v>4041/4042</v>
      </c>
      <c r="L162" s="22" t="str">
        <f>VLOOKUP(A162,'Trips&amp;Operators'!$C$1:$G$99999,5,FALSE)</f>
        <v>YORK EDGAR</v>
      </c>
      <c r="M162" s="6">
        <f t="shared" si="48"/>
        <v>9.5138888864312321E-3</v>
      </c>
      <c r="N162" s="7">
        <f t="shared" si="63"/>
        <v>13.699999996460974</v>
      </c>
      <c r="O162" s="7"/>
      <c r="P162" s="7"/>
      <c r="Q162" s="23"/>
      <c r="R162" s="23"/>
      <c r="S162" s="32">
        <f t="shared" si="64"/>
        <v>1</v>
      </c>
      <c r="T162" s="47" t="str">
        <f t="shared" si="49"/>
        <v>Southbound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0"/>
        <v>https://d0f6bd738d7f1b3e5a7ca70fe4ff75f0.us-east-1.aws.found.io/app/kibana#/discover/Steve-Slow-Train-Analysis-(2080s-and-2083s)?_g=(refreshInterval:(display:Off,pause:!f,section:0,value:0),time:(from:'2017-01-29T05:38:51-0700',mode:absolute,to:'2017-01-29T07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2" s="49" t="str">
        <f t="shared" si="51"/>
        <v>N</v>
      </c>
      <c r="X162" s="170">
        <f t="shared" ref="X162:X193" si="66">VALUE(LEFT(AD162,4))-VALUE(LEFT(AD161,4))</f>
        <v>1</v>
      </c>
      <c r="Y162" s="64">
        <f t="shared" si="53"/>
        <v>5.8625999999999996</v>
      </c>
      <c r="Z162" s="64">
        <f t="shared" si="54"/>
        <v>7.2400000000000006E-2</v>
      </c>
      <c r="AA162" s="64">
        <f t="shared" si="55"/>
        <v>5.7901999999999996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56"/>
        <v>1802-29</v>
      </c>
      <c r="AE162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62" s="84" t="str">
        <f t="shared" si="58"/>
        <v>"C:\Program Files (x86)\AstroGrep\AstroGrep.exe" /spath="%USERPROFILE%\AppData\Local\Temp\OnboardLogs" /stypes="app*4041*20170129*" /stext=" 13:.+((SYSTEM_STATE.+slice.+state.+changed )|(ment ac)|(multiple cpu faults)|(system.+state.+changed )|(\[timeout)|(PRM\|1\|D)|(kpr)|(kdp)|(\|lc)|(penalty))" /e /r /s</v>
      </c>
      <c r="AG162" s="1" t="str">
        <f t="shared" si="59"/>
        <v>NW</v>
      </c>
      <c r="AH162" s="88" t="str">
        <f t="shared" si="60"/>
        <v>"%USERPROFILE%\Documents\GitHub\eaglep3\Utilities\RefineRTDCRunTimes.py" --tripid 1802-29 --locoid 4041 --swversion DE.1.0.8.0 --startMP 300:58626 --initTime 2017-01-29T06:38:51 --startdatetime 2017-01-29T06:40:59 --delay 1 --endMP 204:724 --enddatetime 2017-01-29T06:54:41 --enforcementcount 0 &gt;&gt;C:\Users\stu\Documents\GitHub\eaglep3-reporting\EC\2017-01-29-refined-times.txt</v>
      </c>
      <c r="AI162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{"issue":{"subject":"","project_id":79,"tracker_id":40,"status_id":1,"priority_id":2,"assigned_to_id":23,"start_date":"2017-01-29","description":"","custom_fields":[{"id":1,"name":"Subdivision","value":"NW"},{"id":4,"name":"Milepost","value":"0.0724"},{"id":17,"name":"Train ID","value":"1802-29"},{"id":16,"name":"Locomotive ID","value":"4041"},{"id":130,"name":"Impact","value":""},{"id":150,"name":"Time of Event (Mountain Time)","value":"06:54:41"},{"id":151,"name":"Denver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62"/>
        <v>start /low /b %USERPROFILE%\Documents\GitHub\eaglep3\Utilities\DownloadLogsFromS3.py --loco 4041 --day 2017-01-29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</row>
    <row r="163" spans="1:91" s="21" customFormat="1" x14ac:dyDescent="0.25">
      <c r="A163" s="34" t="s">
        <v>512</v>
      </c>
      <c r="B163" s="7">
        <v>4042</v>
      </c>
      <c r="C163" s="22" t="s">
        <v>193</v>
      </c>
      <c r="D163" s="22" t="s">
        <v>716</v>
      </c>
      <c r="E163" s="13">
        <v>42764.289282407408</v>
      </c>
      <c r="F163" s="13">
        <v>42764.306701388887</v>
      </c>
      <c r="G163" s="7">
        <v>1</v>
      </c>
      <c r="H163" s="22" t="s">
        <v>333</v>
      </c>
      <c r="I163" s="13">
        <v>42764.315844907411</v>
      </c>
      <c r="J163" s="7">
        <v>0</v>
      </c>
      <c r="K163" s="105" t="str">
        <f t="shared" si="47"/>
        <v>4041/4042</v>
      </c>
      <c r="L163" s="22" t="str">
        <f>VLOOKUP(A163,'Trips&amp;Operators'!$C$1:$G$99999,5,FALSE)</f>
        <v>YORK EDGAR</v>
      </c>
      <c r="M163" s="6">
        <f t="shared" si="48"/>
        <v>9.1435185240698047E-3</v>
      </c>
      <c r="N163" s="7">
        <f t="shared" si="63"/>
        <v>13.166666674660519</v>
      </c>
      <c r="O163" s="7"/>
      <c r="P163" s="7"/>
      <c r="Q163" s="23"/>
      <c r="R163" s="23"/>
      <c r="S163" s="32">
        <f t="shared" si="64"/>
        <v>1</v>
      </c>
      <c r="T163" s="47" t="str">
        <f t="shared" si="49"/>
        <v>NorthBound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0"/>
        <v>https://d0f6bd738d7f1b3e5a7ca70fe4ff75f0.us-east-1.aws.found.io/app/kibana#/discover/Steve-Slow-Train-Analysis-(2080s-and-2083s)?_g=(refreshInterval:(display:Off,pause:!f,section:0,value:0),time:(from:'2017-01-29T05:56:34-0700',mode:absolute,to:'2017-01-29T08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3" s="49" t="str">
        <f t="shared" si="51"/>
        <v>N</v>
      </c>
      <c r="X163" s="170">
        <f t="shared" si="66"/>
        <v>1</v>
      </c>
      <c r="Y163" s="64">
        <f t="shared" si="53"/>
        <v>0.10059999999999999</v>
      </c>
      <c r="Z163" s="64">
        <f t="shared" si="54"/>
        <v>5.8939000000000004</v>
      </c>
      <c r="AA163" s="64">
        <f t="shared" si="55"/>
        <v>5.7933000000000003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56"/>
        <v>1803-29</v>
      </c>
      <c r="AE163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63" s="84" t="str">
        <f t="shared" si="58"/>
        <v>"C:\Program Files (x86)\AstroGrep\AstroGrep.exe" /spath="%USERPROFILE%\AppData\Local\Temp\OnboardLogs" /stypes="app*4042*20170129*" /stext=" 14:.+((SYSTEM_STATE.+slice.+state.+changed )|(ment ac)|(multiple cpu faults)|(system.+state.+changed )|(\[timeout)|(PRM\|1\|D)|(kpr)|(kdp)|(\|lc)|(penalty))" /e /r /s</v>
      </c>
      <c r="AG163" s="1" t="str">
        <f t="shared" si="59"/>
        <v>NW</v>
      </c>
      <c r="AH163" s="88" t="str">
        <f t="shared" si="60"/>
        <v>"%USERPROFILE%\Documents\GitHub\eaglep3\Utilities\RefineRTDCRunTimes.py" --tripid 1803-29 --locoid 4042 --swversion DE.1.0.8.0 --startMP 204:1006 --initTime 2017-01-29T06:56:34 --startdatetime 2017-01-29T07:21:39 --delay 1 --endMP 300:58939 --enddatetime 2017-01-29T07:34:49 --enforcementcount 0 &gt;&gt;C:\Users\stu\Documents\GitHub\eaglep3-reporting\EC\2017-01-29-refined-times.txt</v>
      </c>
      <c r="AI163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{"issue":{"subject":"","project_id":79,"tracker_id":40,"status_id":1,"priority_id":2,"assigned_to_id":23,"start_date":"2017-01-29","description":"","custom_fields":[{"id":1,"name":"Subdivision","value":"NW"},{"id":4,"name":"Milepost","value":"5.8939"},{"id":17,"name":"Train ID","value":"1803-29"},{"id":16,"name":"Locomotive ID","value":"4042"},{"id":130,"name":"Impact","value":""},{"id":150,"name":"Time of Event (Mountain Time)","value":"07:34:49"},{"id":151,"name":"Denver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62"/>
        <v>start /low /b %USERPROFILE%\Documents\GitHub\eaglep3\Utilities\DownloadLogsFromS3.py --loco 4042 --day 2017-01-29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519</v>
      </c>
      <c r="B164" s="7">
        <v>4041</v>
      </c>
      <c r="C164" s="22" t="s">
        <v>193</v>
      </c>
      <c r="D164" s="22" t="s">
        <v>717</v>
      </c>
      <c r="E164" s="13">
        <v>42764.317280092589</v>
      </c>
      <c r="F164" s="13">
        <v>42764.318923611114</v>
      </c>
      <c r="G164" s="7">
        <v>1</v>
      </c>
      <c r="H164" s="22" t="s">
        <v>718</v>
      </c>
      <c r="I164" s="13">
        <v>42764.329629629632</v>
      </c>
      <c r="J164" s="7">
        <v>0</v>
      </c>
      <c r="K164" s="105" t="str">
        <f t="shared" si="47"/>
        <v>4041/4042</v>
      </c>
      <c r="L164" s="22" t="str">
        <f>VLOOKUP(A164,'Trips&amp;Operators'!$C$1:$G$99999,5,FALSE)</f>
        <v>YORK EDGAR</v>
      </c>
      <c r="M164" s="6">
        <f t="shared" si="48"/>
        <v>1.0706018518249039E-2</v>
      </c>
      <c r="N164" s="7">
        <f t="shared" si="63"/>
        <v>15.416666666278616</v>
      </c>
      <c r="O164" s="7"/>
      <c r="P164" s="7"/>
      <c r="Q164" s="23"/>
      <c r="R164" s="23"/>
      <c r="S164" s="32">
        <f t="shared" si="64"/>
        <v>1</v>
      </c>
      <c r="T164" s="47" t="str">
        <f t="shared" si="49"/>
        <v>Southbound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0"/>
        <v>https://d0f6bd738d7f1b3e5a7ca70fe4ff75f0.us-east-1.aws.found.io/app/kibana#/discover/Steve-Slow-Train-Analysis-(2080s-and-2083s)?_g=(refreshInterval:(display:Off,pause:!f,section:0,value:0),time:(from:'2017-01-29T06:36:53-0700',mode:absolute,to:'2017-01-29T08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4" s="49" t="str">
        <f t="shared" si="51"/>
        <v>N</v>
      </c>
      <c r="X164" s="170">
        <f t="shared" si="66"/>
        <v>1</v>
      </c>
      <c r="Y164" s="64">
        <f t="shared" si="53"/>
        <v>5.8620999999999999</v>
      </c>
      <c r="Z164" s="64">
        <f t="shared" si="54"/>
        <v>7.1499999999999994E-2</v>
      </c>
      <c r="AA164" s="64">
        <f t="shared" si="55"/>
        <v>5.7905999999999995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56"/>
        <v>1804-29</v>
      </c>
      <c r="AE164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64" s="84" t="str">
        <f t="shared" si="58"/>
        <v>"C:\Program Files (x86)\AstroGrep\AstroGrep.exe" /spath="%USERPROFILE%\AppData\Local\Temp\OnboardLogs" /stypes="app*4041*20170129*" /stext=" 14:.+((SYSTEM_STATE.+slice.+state.+changed )|(ment ac)|(multiple cpu faults)|(system.+state.+changed )|(\[timeout)|(PRM\|1\|D)|(kpr)|(kdp)|(\|lc)|(penalty))" /e /r /s</v>
      </c>
      <c r="AG164" s="1" t="str">
        <f t="shared" si="59"/>
        <v>NW</v>
      </c>
      <c r="AH164" s="88" t="str">
        <f t="shared" si="60"/>
        <v>"%USERPROFILE%\Documents\GitHub\eaglep3\Utilities\RefineRTDCRunTimes.py" --tripid 1804-29 --locoid 4041 --swversion DE.1.0.8.0 --startMP 300:58621 --initTime 2017-01-29T07:36:53 --startdatetime 2017-01-29T07:39:15 --delay 1 --endMP 204:715 --enddatetime 2017-01-29T07:54:40 --enforcementcount 0 &gt;&gt;C:\Users\stu\Documents\GitHub\eaglep3-reporting\EC\2017-01-29-refined-times.txt</v>
      </c>
      <c r="AI164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{"issue":{"subject":"","project_id":79,"tracker_id":40,"status_id":1,"priority_id":2,"assigned_to_id":23,"start_date":"2017-01-29","description":"","custom_fields":[{"id":1,"name":"Subdivision","value":"NW"},{"id":4,"name":"Milepost","value":"0.0715"},{"id":17,"name":"Train ID","value":"1804-29"},{"id":16,"name":"Locomotive ID","value":"4041"},{"id":130,"name":"Impact","value":""},{"id":150,"name":"Time of Event (Mountain Time)","value":"07:54:40"},{"id":151,"name":"Denver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62"/>
        <v>start /low /b %USERPROFILE%\Documents\GitHub\eaglep3\Utilities\DownloadLogsFromS3.py --loco 4041 --day 2017-01-29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</row>
    <row r="165" spans="1:91" s="21" customFormat="1" x14ac:dyDescent="0.25">
      <c r="A165" s="34" t="s">
        <v>521</v>
      </c>
      <c r="B165" s="7">
        <v>4042</v>
      </c>
      <c r="C165" s="22" t="s">
        <v>193</v>
      </c>
      <c r="D165" s="22" t="s">
        <v>384</v>
      </c>
      <c r="E165" s="13">
        <v>42764.330972222226</v>
      </c>
      <c r="F165" s="13">
        <v>42764.348483796297</v>
      </c>
      <c r="G165" s="7">
        <v>0</v>
      </c>
      <c r="H165" s="22" t="s">
        <v>333</v>
      </c>
      <c r="I165" s="13">
        <v>42764.357916666668</v>
      </c>
      <c r="J165" s="7">
        <v>0</v>
      </c>
      <c r="K165" s="105" t="str">
        <f t="shared" si="47"/>
        <v>4041/4042</v>
      </c>
      <c r="L165" s="22" t="str">
        <f>VLOOKUP(A165,'Trips&amp;Operators'!$C$1:$G$99999,5,FALSE)</f>
        <v>YORK EDGAR</v>
      </c>
      <c r="M165" s="6">
        <f t="shared" si="48"/>
        <v>9.4328703708015382E-3</v>
      </c>
      <c r="N165" s="7">
        <f t="shared" si="63"/>
        <v>13.583333333954215</v>
      </c>
      <c r="O165" s="7"/>
      <c r="P165" s="7"/>
      <c r="Q165" s="23"/>
      <c r="R165" s="23"/>
      <c r="S165" s="32">
        <f t="shared" si="64"/>
        <v>1</v>
      </c>
      <c r="T165" s="47" t="str">
        <f t="shared" si="49"/>
        <v>NorthBound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0"/>
        <v>https://d0f6bd738d7f1b3e5a7ca70fe4ff75f0.us-east-1.aws.found.io/app/kibana#/discover/Steve-Slow-Train-Analysis-(2080s-and-2083s)?_g=(refreshInterval:(display:Off,pause:!f,section:0,value:0),time:(from:'2017-01-29T06:56:36-0700',mode:absolute,to:'2017-01-29T09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5" s="49" t="str">
        <f t="shared" si="51"/>
        <v>N</v>
      </c>
      <c r="X165" s="170">
        <f t="shared" si="66"/>
        <v>1</v>
      </c>
      <c r="Y165" s="64">
        <f t="shared" si="53"/>
        <v>0.1011</v>
      </c>
      <c r="Z165" s="64">
        <f t="shared" si="54"/>
        <v>5.8939000000000004</v>
      </c>
      <c r="AA165" s="64">
        <f t="shared" si="55"/>
        <v>5.7928000000000006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56"/>
        <v>1805-29</v>
      </c>
      <c r="AE165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65" s="84" t="str">
        <f t="shared" si="58"/>
        <v>"C:\Program Files (x86)\AstroGrep\AstroGrep.exe" /spath="%USERPROFILE%\AppData\Local\Temp\OnboardLogs" /stypes="app*4042*20170129*" /stext=" 15:.+((SYSTEM_STATE.+slice.+state.+changed )|(ment ac)|(multiple cpu faults)|(system.+state.+changed )|(\[timeout)|(PRM\|1\|D)|(kpr)|(kdp)|(\|lc)|(penalty))" /e /r /s</v>
      </c>
      <c r="AG165" s="1" t="str">
        <f t="shared" si="59"/>
        <v>NW</v>
      </c>
      <c r="AH165" s="88" t="str">
        <f t="shared" si="60"/>
        <v>"%USERPROFILE%\Documents\GitHub\eaglep3\Utilities\RefineRTDCRunTimes.py" --tripid 1805-29 --locoid 4042 --swversion DE.1.0.8.0 --startMP 204:1011 --initTime 2017-01-29T07:56:36 --startdatetime 2017-01-29T08:21:49 --delay 0 --endMP 300:58939 --enddatetime 2017-01-29T08:35:24 --enforcementcount 0 &gt;&gt;C:\Users\stu\Documents\GitHub\eaglep3-reporting\EC\2017-01-29-refined-times.txt</v>
      </c>
      <c r="AI165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{"issue":{"subject":"","project_id":79,"tracker_id":40,"status_id":1,"priority_id":2,"assigned_to_id":23,"start_date":"2017-01-29","description":"","custom_fields":[{"id":1,"name":"Subdivision","value":"NW"},{"id":4,"name":"Milepost","value":"5.8939"},{"id":17,"name":"Train ID","value":"1805-29"},{"id":16,"name":"Locomotive ID","value":"4042"},{"id":130,"name":"Impact","value":""},{"id":150,"name":"Time of Event (Mountain Time)","value":"08:35:24"},{"id":151,"name":"Denver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62"/>
        <v>start /low /b %USERPROFILE%\Documents\GitHub\eaglep3\Utilities\DownloadLogsFromS3.py --loco 4042 --day 2017-01-29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526</v>
      </c>
      <c r="B166" s="7">
        <v>4041</v>
      </c>
      <c r="C166" s="22" t="s">
        <v>193</v>
      </c>
      <c r="D166" s="22" t="s">
        <v>717</v>
      </c>
      <c r="E166" s="13">
        <v>42764.358877314815</v>
      </c>
      <c r="F166" s="13">
        <v>42764.361192129632</v>
      </c>
      <c r="G166" s="7">
        <v>1</v>
      </c>
      <c r="H166" s="22" t="s">
        <v>435</v>
      </c>
      <c r="I166" s="13">
        <v>42764.371342592596</v>
      </c>
      <c r="J166" s="7">
        <v>0</v>
      </c>
      <c r="K166" s="105" t="str">
        <f t="shared" si="47"/>
        <v>4041/4042</v>
      </c>
      <c r="L166" s="22" t="str">
        <f>VLOOKUP(A166,'Trips&amp;Operators'!$C$1:$G$99999,5,FALSE)</f>
        <v>YORK EDGAR</v>
      </c>
      <c r="M166" s="6">
        <f t="shared" si="48"/>
        <v>1.0150462963792961E-2</v>
      </c>
      <c r="N166" s="7">
        <f t="shared" si="63"/>
        <v>14.616666667861864</v>
      </c>
      <c r="O166" s="7"/>
      <c r="P166" s="7"/>
      <c r="Q166" s="23"/>
      <c r="R166" s="23"/>
      <c r="S166" s="32">
        <f t="shared" si="64"/>
        <v>1</v>
      </c>
      <c r="T166" s="47" t="str">
        <f t="shared" si="49"/>
        <v>Southbound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0"/>
        <v>https://d0f6bd738d7f1b3e5a7ca70fe4ff75f0.us-east-1.aws.found.io/app/kibana#/discover/Steve-Slow-Train-Analysis-(2080s-and-2083s)?_g=(refreshInterval:(display:Off,pause:!f,section:0,value:0),time:(from:'2017-01-29T07:36:47-0700',mode:absolute,to:'2017-01-29T09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6" s="49" t="str">
        <f t="shared" si="51"/>
        <v>N</v>
      </c>
      <c r="X166" s="170">
        <f t="shared" si="66"/>
        <v>1</v>
      </c>
      <c r="Y166" s="64">
        <f t="shared" si="53"/>
        <v>5.8620999999999999</v>
      </c>
      <c r="Z166" s="64">
        <f t="shared" si="54"/>
        <v>7.1900000000000006E-2</v>
      </c>
      <c r="AA166" s="64">
        <f t="shared" si="55"/>
        <v>5.7901999999999996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56"/>
        <v>1806-29</v>
      </c>
      <c r="AE166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66" s="84" t="str">
        <f t="shared" si="58"/>
        <v>"C:\Program Files (x86)\AstroGrep\AstroGrep.exe" /spath="%USERPROFILE%\AppData\Local\Temp\OnboardLogs" /stypes="app*4041*20170129*" /stext=" 15:.+((SYSTEM_STATE.+slice.+state.+changed )|(ment ac)|(multiple cpu faults)|(system.+state.+changed )|(\[timeout)|(PRM\|1\|D)|(kpr)|(kdp)|(\|lc)|(penalty))" /e /r /s</v>
      </c>
      <c r="AG166" s="1" t="str">
        <f t="shared" si="59"/>
        <v>NW</v>
      </c>
      <c r="AH166" s="88" t="str">
        <f t="shared" si="60"/>
        <v>"%USERPROFILE%\Documents\GitHub\eaglep3\Utilities\RefineRTDCRunTimes.py" --tripid 1806-29 --locoid 4041 --swversion DE.1.0.8.0 --startMP 300:58621 --initTime 2017-01-29T08:36:47 --startdatetime 2017-01-29T08:40:07 --delay 1 --endMP 204:719 --enddatetime 2017-01-29T08:54:44 --enforcementcount 0 &gt;&gt;C:\Users\stu\Documents\GitHub\eaglep3-reporting\EC\2017-01-29-refined-times.txt</v>
      </c>
      <c r="AI166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{"issue":{"subject":"","project_id":79,"tracker_id":40,"status_id":1,"priority_id":2,"assigned_to_id":23,"start_date":"2017-01-29","description":"","custom_fields":[{"id":1,"name":"Subdivision","value":"NW"},{"id":4,"name":"Milepost","value":"0.0719"},{"id":17,"name":"Train ID","value":"1806-29"},{"id":16,"name":"Locomotive ID","value":"4041"},{"id":130,"name":"Impact","value":""},{"id":150,"name":"Time of Event (Mountain Time)","value":"08:54:44"},{"id":151,"name":"Denver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62"/>
        <v>start /low /b %USERPROFILE%\Documents\GitHub\eaglep3\Utilities\DownloadLogsFromS3.py --loco 4041 --day 2017-01-29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530</v>
      </c>
      <c r="B167" s="7">
        <v>4042</v>
      </c>
      <c r="C167" s="22" t="s">
        <v>193</v>
      </c>
      <c r="D167" s="22" t="s">
        <v>719</v>
      </c>
      <c r="E167" s="13">
        <v>42764.372743055559</v>
      </c>
      <c r="F167" s="13">
        <v>42764.389791666668</v>
      </c>
      <c r="G167" s="7">
        <v>1</v>
      </c>
      <c r="H167" s="22" t="s">
        <v>720</v>
      </c>
      <c r="I167" s="13">
        <v>42764.39912037037</v>
      </c>
      <c r="J167" s="7">
        <v>0</v>
      </c>
      <c r="K167" s="105" t="str">
        <f t="shared" si="47"/>
        <v>4041/4042</v>
      </c>
      <c r="L167" s="22" t="str">
        <f>VLOOKUP(A167,'Trips&amp;Operators'!$C$1:$G$99999,5,FALSE)</f>
        <v>YORK EDGAR</v>
      </c>
      <c r="M167" s="6">
        <f t="shared" si="48"/>
        <v>9.3287037016125396E-3</v>
      </c>
      <c r="N167" s="7">
        <f t="shared" si="63"/>
        <v>13.433333330322057</v>
      </c>
      <c r="O167" s="7"/>
      <c r="P167" s="7"/>
      <c r="Q167" s="23"/>
      <c r="R167" s="23"/>
      <c r="S167" s="32">
        <f t="shared" si="64"/>
        <v>1</v>
      </c>
      <c r="T167" s="47" t="str">
        <f t="shared" si="49"/>
        <v>NorthBound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0"/>
        <v>https://d0f6bd738d7f1b3e5a7ca70fe4ff75f0.us-east-1.aws.found.io/app/kibana#/discover/Steve-Slow-Train-Analysis-(2080s-and-2083s)?_g=(refreshInterval:(display:Off,pause:!f,section:0,value:0),time:(from:'2017-01-29T07:56:45-0700',mode:absolute,to:'2017-01-29T10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49" t="str">
        <f t="shared" si="51"/>
        <v>N</v>
      </c>
      <c r="X167" s="170">
        <f t="shared" si="66"/>
        <v>1</v>
      </c>
      <c r="Y167" s="64">
        <f t="shared" si="53"/>
        <v>0.1004</v>
      </c>
      <c r="Z167" s="64">
        <f t="shared" si="54"/>
        <v>5.8924000000000003</v>
      </c>
      <c r="AA167" s="64">
        <f t="shared" si="55"/>
        <v>5.7920000000000007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56"/>
        <v>1807-29</v>
      </c>
      <c r="AE167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67" s="84" t="str">
        <f t="shared" si="58"/>
        <v>"C:\Program Files (x86)\AstroGrep\AstroGrep.exe" /spath="%USERPROFILE%\AppData\Local\Temp\OnboardLogs" /stypes="app*4042*20170129*" /stext=" 16:.+((SYSTEM_STATE.+slice.+state.+changed )|(ment ac)|(multiple cpu faults)|(system.+state.+changed )|(\[timeout)|(PRM\|1\|D)|(kpr)|(kdp)|(\|lc)|(penalty))" /e /r /s</v>
      </c>
      <c r="AG167" s="1" t="str">
        <f t="shared" si="59"/>
        <v>NW</v>
      </c>
      <c r="AH167" s="88" t="str">
        <f t="shared" si="60"/>
        <v>"%USERPROFILE%\Documents\GitHub\eaglep3\Utilities\RefineRTDCRunTimes.py" --tripid 1807-29 --locoid 4042 --swversion DE.1.0.8.0 --startMP 204:1004 --initTime 2017-01-29T08:56:45 --startdatetime 2017-01-29T09:21:18 --delay 1 --endMP 300:58924 --enddatetime 2017-01-29T09:34:44 --enforcementcount 0 &gt;&gt;C:\Users\stu\Documents\GitHub\eaglep3-reporting\EC\2017-01-29-refined-times.txt</v>
      </c>
      <c r="AI167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{"issue":{"subject":"","project_id":79,"tracker_id":40,"status_id":1,"priority_id":2,"assigned_to_id":23,"start_date":"2017-01-29","description":"","custom_fields":[{"id":1,"name":"Subdivision","value":"NW"},{"id":4,"name":"Milepost","value":"5.8924"},{"id":17,"name":"Train ID","value":"1807-29"},{"id":16,"name":"Locomotive ID","value":"4042"},{"id":130,"name":"Impact","value":""},{"id":150,"name":"Time of Event (Mountain Time)","value":"09:34:44"},{"id":151,"name":"Denver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62"/>
        <v>start /low /b %USERPROFILE%\Documents\GitHub\eaglep3\Utilities\DownloadLogsFromS3.py --loco 4042 --day 2017-01-29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459</v>
      </c>
      <c r="B168" s="7">
        <v>4041</v>
      </c>
      <c r="C168" s="22" t="s">
        <v>193</v>
      </c>
      <c r="D168" s="22" t="s">
        <v>721</v>
      </c>
      <c r="E168" s="13">
        <v>42764.401365740741</v>
      </c>
      <c r="F168" s="13">
        <v>42764.403171296297</v>
      </c>
      <c r="G168" s="7">
        <v>1</v>
      </c>
      <c r="H168" s="22" t="s">
        <v>437</v>
      </c>
      <c r="I168" s="13">
        <v>42764.41337962963</v>
      </c>
      <c r="J168" s="7">
        <v>0</v>
      </c>
      <c r="K168" s="105" t="str">
        <f t="shared" si="47"/>
        <v>4041/4042</v>
      </c>
      <c r="L168" s="22" t="str">
        <f>VLOOKUP(A168,'Trips&amp;Operators'!$C$1:$G$99999,5,FALSE)</f>
        <v>YORK EDGAR</v>
      </c>
      <c r="M168" s="6">
        <f t="shared" si="48"/>
        <v>1.0208333333139308E-2</v>
      </c>
      <c r="N168" s="7">
        <f t="shared" si="63"/>
        <v>14.699999999720603</v>
      </c>
      <c r="O168" s="7"/>
      <c r="P168" s="7"/>
      <c r="Q168" s="23"/>
      <c r="R168" s="23"/>
      <c r="S168" s="32">
        <f t="shared" si="64"/>
        <v>1</v>
      </c>
      <c r="T168" s="47" t="str">
        <f t="shared" si="49"/>
        <v>Southbound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0"/>
        <v>https://d0f6bd738d7f1b3e5a7ca70fe4ff75f0.us-east-1.aws.found.io/app/kibana#/discover/Steve-Slow-Train-Analysis-(2080s-and-2083s)?_g=(refreshInterval:(display:Off,pause:!f,section:0,value:0),time:(from:'2017-01-29T08:37:58-0700',mode:absolute,to:'2017-01-29T10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8" s="49" t="str">
        <f t="shared" si="51"/>
        <v>N</v>
      </c>
      <c r="X168" s="170">
        <f t="shared" si="66"/>
        <v>1</v>
      </c>
      <c r="Y168" s="64">
        <f t="shared" si="53"/>
        <v>5.8608000000000002</v>
      </c>
      <c r="Z168" s="64">
        <f t="shared" si="54"/>
        <v>7.1999999999999995E-2</v>
      </c>
      <c r="AA168" s="64">
        <f t="shared" si="55"/>
        <v>5.7888000000000002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56"/>
        <v>1808-29</v>
      </c>
      <c r="AE168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68" s="84" t="str">
        <f t="shared" si="58"/>
        <v>"C:\Program Files (x86)\AstroGrep\AstroGrep.exe" /spath="%USERPROFILE%\AppData\Local\Temp\OnboardLogs" /stypes="app*4041*20170129*" /stext=" 16:.+((SYSTEM_STATE.+slice.+state.+changed )|(ment ac)|(multiple cpu faults)|(system.+state.+changed )|(\[timeout)|(PRM\|1\|D)|(kpr)|(kdp)|(\|lc)|(penalty))" /e /r /s</v>
      </c>
      <c r="AG168" s="1" t="str">
        <f t="shared" si="59"/>
        <v>NW</v>
      </c>
      <c r="AH168" s="88" t="str">
        <f t="shared" si="60"/>
        <v>"%USERPROFILE%\Documents\GitHub\eaglep3\Utilities\RefineRTDCRunTimes.py" --tripid 1808-29 --locoid 4041 --swversion DE.1.0.8.0 --startMP 300:58608 --initTime 2017-01-29T09:37:58 --startdatetime 2017-01-29T09:40:34 --delay 1 --endMP 204:720 --enddatetime 2017-01-29T09:55:16 --enforcementcount 0 &gt;&gt;C:\Users\stu\Documents\GitHub\eaglep3-reporting\EC\2017-01-29-refined-times.txt</v>
      </c>
      <c r="AI168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{"issue":{"subject":"","project_id":79,"tracker_id":40,"status_id":1,"priority_id":2,"assigned_to_id":23,"start_date":"2017-01-29","description":"","custom_fields":[{"id":1,"name":"Subdivision","value":"NW"},{"id":4,"name":"Milepost","value":"0.072"},{"id":17,"name":"Train ID","value":"1808-29"},{"id":16,"name":"Locomotive ID","value":"4041"},{"id":130,"name":"Impact","value":""},{"id":150,"name":"Time of Event (Mountain Time)","value":"09:55:16"},{"id":151,"name":"Denver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62"/>
        <v>start /low /b %USERPROFILE%\Documents\GitHub\eaglep3\Utilities\DownloadLogsFromS3.py --loco 4041 --day 2017-01-29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539</v>
      </c>
      <c r="B169" s="7">
        <v>4042</v>
      </c>
      <c r="C169" s="22" t="s">
        <v>193</v>
      </c>
      <c r="D169" s="22" t="s">
        <v>722</v>
      </c>
      <c r="E169" s="13">
        <v>42764.415405092594</v>
      </c>
      <c r="F169" s="13">
        <v>42764.431423611109</v>
      </c>
      <c r="G169" s="7">
        <v>0</v>
      </c>
      <c r="H169" s="22" t="s">
        <v>723</v>
      </c>
      <c r="I169" s="13">
        <v>42764.440833333334</v>
      </c>
      <c r="J169" s="7">
        <v>0</v>
      </c>
      <c r="K169" s="105" t="str">
        <f t="shared" si="47"/>
        <v>4041/4042</v>
      </c>
      <c r="L169" s="22" t="str">
        <f>VLOOKUP(A169,'Trips&amp;Operators'!$C$1:$G$99999,5,FALSE)</f>
        <v>YORK EDGAR</v>
      </c>
      <c r="M169" s="6">
        <f t="shared" si="48"/>
        <v>9.4097222245181911E-3</v>
      </c>
      <c r="N169" s="7">
        <f t="shared" si="63"/>
        <v>13.550000003306195</v>
      </c>
      <c r="O169" s="7"/>
      <c r="P169" s="7"/>
      <c r="Q169" s="23"/>
      <c r="R169" s="23"/>
      <c r="S169" s="32">
        <f t="shared" si="64"/>
        <v>1</v>
      </c>
      <c r="T169" s="47" t="str">
        <f t="shared" si="49"/>
        <v>NorthBound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0"/>
        <v>https://d0f6bd738d7f1b3e5a7ca70fe4ff75f0.us-east-1.aws.found.io/app/kibana#/discover/Steve-Slow-Train-Analysis-(2080s-and-2083s)?_g=(refreshInterval:(display:Off,pause:!f,section:0,value:0),time:(from:'2017-01-29T08:58:11-0700',mode:absolute,to:'2017-01-29T11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9" s="49" t="str">
        <f t="shared" si="51"/>
        <v>N</v>
      </c>
      <c r="X169" s="170">
        <f t="shared" si="66"/>
        <v>1</v>
      </c>
      <c r="Y169" s="64">
        <f t="shared" si="53"/>
        <v>9.9900000000000003E-2</v>
      </c>
      <c r="Z169" s="64">
        <f t="shared" si="54"/>
        <v>5.8920000000000003</v>
      </c>
      <c r="AA169" s="64">
        <f t="shared" si="55"/>
        <v>5.7921000000000005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56"/>
        <v>1809-29</v>
      </c>
      <c r="AE169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69" s="84" t="str">
        <f t="shared" si="58"/>
        <v>"C:\Program Files (x86)\AstroGrep\AstroGrep.exe" /spath="%USERPROFILE%\AppData\Local\Temp\OnboardLogs" /stypes="app*4042*20170129*" /stext=" 17:.+((SYSTEM_STATE.+slice.+state.+changed )|(ment ac)|(multiple cpu faults)|(system.+state.+changed )|(\[timeout)|(PRM\|1\|D)|(kpr)|(kdp)|(\|lc)|(penalty))" /e /r /s</v>
      </c>
      <c r="AG169" s="1" t="str">
        <f t="shared" si="59"/>
        <v>NW</v>
      </c>
      <c r="AH169" s="88" t="str">
        <f t="shared" si="60"/>
        <v>"%USERPROFILE%\Documents\GitHub\eaglep3\Utilities\RefineRTDCRunTimes.py" --tripid 1809-29 --locoid 4042 --swversion DE.1.0.8.0 --startMP 204:999 --initTime 2017-01-29T09:58:11 --startdatetime 2017-01-29T10:21:15 --delay 0 --endMP 300:58920 --enddatetime 2017-01-29T10:34:48 --enforcementcount 0 &gt;&gt;C:\Users\stu\Documents\GitHub\eaglep3-reporting\EC\2017-01-29-refined-times.txt</v>
      </c>
      <c r="AI169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{"issue":{"subject":"","project_id":79,"tracker_id":40,"status_id":1,"priority_id":2,"assigned_to_id":23,"start_date":"2017-01-29","description":"","custom_fields":[{"id":1,"name":"Subdivision","value":"NW"},{"id":4,"name":"Milepost","value":"5.892"},{"id":17,"name":"Train ID","value":"1809-29"},{"id":16,"name":"Locomotive ID","value":"4042"},{"id":130,"name":"Impact","value":""},{"id":150,"name":"Time of Event (Mountain Time)","value":"10:34:48"},{"id":151,"name":"Denver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62"/>
        <v>start /low /b %USERPROFILE%\Documents\GitHub\eaglep3\Utilities\DownloadLogsFromS3.py --loco 4042 --day 2017-01-29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4" t="s">
        <v>545</v>
      </c>
      <c r="B170" s="7">
        <v>4041</v>
      </c>
      <c r="C170" s="22" t="s">
        <v>193</v>
      </c>
      <c r="D170" s="22" t="s">
        <v>725</v>
      </c>
      <c r="E170" s="13">
        <v>42764.442743055559</v>
      </c>
      <c r="F170" s="13">
        <v>42764.444016203706</v>
      </c>
      <c r="G170" s="7">
        <v>1</v>
      </c>
      <c r="H170" s="22" t="s">
        <v>441</v>
      </c>
      <c r="I170" s="13">
        <v>42764.454652777778</v>
      </c>
      <c r="J170" s="7">
        <v>0</v>
      </c>
      <c r="K170" s="105" t="str">
        <f t="shared" si="47"/>
        <v>4041/4042</v>
      </c>
      <c r="L170" s="22" t="str">
        <f>VLOOKUP(A170,'Trips&amp;Operators'!$C$1:$G$99999,5,FALSE)</f>
        <v>YORK EDGAR</v>
      </c>
      <c r="M170" s="6">
        <f t="shared" si="48"/>
        <v>1.063657407212304E-2</v>
      </c>
      <c r="N170" s="7">
        <f t="shared" si="63"/>
        <v>15.316666663857177</v>
      </c>
      <c r="O170" s="7"/>
      <c r="P170" s="7"/>
      <c r="Q170" s="23"/>
      <c r="R170" s="23"/>
      <c r="S170" s="32">
        <f t="shared" si="64"/>
        <v>1</v>
      </c>
      <c r="T170" s="47" t="str">
        <f t="shared" si="49"/>
        <v>Southbound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0"/>
        <v>https://d0f6bd738d7f1b3e5a7ca70fe4ff75f0.us-east-1.aws.found.io/app/kibana#/discover/Steve-Slow-Train-Analysis-(2080s-and-2083s)?_g=(refreshInterval:(display:Off,pause:!f,section:0,value:0),time:(from:'2017-01-29T09:37:33-0700',mode:absolute,to:'2017-01-29T11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0" s="49" t="str">
        <f t="shared" si="51"/>
        <v>N</v>
      </c>
      <c r="X170" s="170">
        <f t="shared" si="66"/>
        <v>1</v>
      </c>
      <c r="Y170" s="64">
        <f t="shared" si="53"/>
        <v>5.8609</v>
      </c>
      <c r="Z170" s="64">
        <f t="shared" si="54"/>
        <v>7.22E-2</v>
      </c>
      <c r="AA170" s="64">
        <f t="shared" si="55"/>
        <v>5.7887000000000004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56"/>
        <v>1810-29</v>
      </c>
      <c r="AE170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70" s="84" t="str">
        <f t="shared" si="58"/>
        <v>"C:\Program Files (x86)\AstroGrep\AstroGrep.exe" /spath="%USERPROFILE%\AppData\Local\Temp\OnboardLogs" /stypes="app*4041*20170129*" /stext=" 17:.+((SYSTEM_STATE.+slice.+state.+changed )|(ment ac)|(multiple cpu faults)|(system.+state.+changed )|(\[timeout)|(PRM\|1\|D)|(kpr)|(kdp)|(\|lc)|(penalty))" /e /r /s</v>
      </c>
      <c r="AG170" s="1" t="str">
        <f t="shared" si="59"/>
        <v>NW</v>
      </c>
      <c r="AH170" s="88" t="str">
        <f t="shared" si="60"/>
        <v>"%USERPROFILE%\Documents\GitHub\eaglep3\Utilities\RefineRTDCRunTimes.py" --tripid 1810-29 --locoid 4041 --swversion DE.1.0.8.0 --startMP 300:58609 --initTime 2017-01-29T10:37:33 --startdatetime 2017-01-29T10:39:23 --delay 1 --endMP 204:722 --enddatetime 2017-01-29T10:54:42 --enforcementcount 0 &gt;&gt;C:\Users\stu\Documents\GitHub\eaglep3-reporting\EC\2017-01-29-refined-times.txt</v>
      </c>
      <c r="AI170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{"issue":{"subject":"","project_id":79,"tracker_id":40,"status_id":1,"priority_id":2,"assigned_to_id":23,"start_date":"2017-01-29","description":"","custom_fields":[{"id":1,"name":"Subdivision","value":"NW"},{"id":4,"name":"Milepost","value":"0.0722"},{"id":17,"name":"Train ID","value":"1810-29"},{"id":16,"name":"Locomotive ID","value":"4041"},{"id":130,"name":"Impact","value":""},{"id":150,"name":"Time of Event (Mountain Time)","value":"10:54:42"},{"id":151,"name":"Denver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62"/>
        <v>start /low /b %USERPROFILE%\Documents\GitHub\eaglep3\Utilities\DownloadLogsFromS3.py --loco 4041 --day 2017-01-29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</row>
    <row r="171" spans="1:91" s="21" customFormat="1" x14ac:dyDescent="0.25">
      <c r="A171" s="34" t="s">
        <v>548</v>
      </c>
      <c r="B171" s="7">
        <v>4042</v>
      </c>
      <c r="C171" s="22" t="s">
        <v>193</v>
      </c>
      <c r="D171" s="22" t="s">
        <v>442</v>
      </c>
      <c r="E171" s="13">
        <v>42764.455706018518</v>
      </c>
      <c r="F171" s="13">
        <v>42764.473067129627</v>
      </c>
      <c r="G171" s="7">
        <v>0</v>
      </c>
      <c r="H171" s="22" t="s">
        <v>720</v>
      </c>
      <c r="I171" s="13">
        <v>42764.482499999998</v>
      </c>
      <c r="J171" s="7">
        <v>0</v>
      </c>
      <c r="K171" s="105" t="str">
        <f t="shared" si="47"/>
        <v>4041/4042</v>
      </c>
      <c r="L171" s="22" t="str">
        <f>VLOOKUP(A171,'Trips&amp;Operators'!$C$1:$G$99999,5,FALSE)</f>
        <v>YORK EDGAR</v>
      </c>
      <c r="M171" s="6">
        <f t="shared" si="48"/>
        <v>9.4328703708015382E-3</v>
      </c>
      <c r="N171" s="7">
        <f t="shared" si="63"/>
        <v>13.583333333954215</v>
      </c>
      <c r="O171" s="7"/>
      <c r="P171" s="7"/>
      <c r="Q171" s="23"/>
      <c r="R171" s="23"/>
      <c r="S171" s="32">
        <f t="shared" si="64"/>
        <v>1</v>
      </c>
      <c r="T171" s="47" t="str">
        <f t="shared" si="49"/>
        <v>NorthBound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0"/>
        <v>https://d0f6bd738d7f1b3e5a7ca70fe4ff75f0.us-east-1.aws.found.io/app/kibana#/discover/Steve-Slow-Train-Analysis-(2080s-and-2083s)?_g=(refreshInterval:(display:Off,pause:!f,section:0,value:0),time:(from:'2017-01-29T09:56:13-0700',mode:absolute,to:'2017-01-29T12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49" t="str">
        <f t="shared" si="51"/>
        <v>N</v>
      </c>
      <c r="X171" s="170">
        <f t="shared" si="66"/>
        <v>1</v>
      </c>
      <c r="Y171" s="64">
        <f t="shared" si="53"/>
        <v>0.10199999999999999</v>
      </c>
      <c r="Z171" s="64">
        <f t="shared" si="54"/>
        <v>5.8924000000000003</v>
      </c>
      <c r="AA171" s="64">
        <f t="shared" si="55"/>
        <v>5.7904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56"/>
        <v>1811-29</v>
      </c>
      <c r="AE171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71" s="84" t="str">
        <f t="shared" si="58"/>
        <v>"C:\Program Files (x86)\AstroGrep\AstroGrep.exe" /spath="%USERPROFILE%\AppData\Local\Temp\OnboardLogs" /stypes="app*4042*20170129*" /stext=" 18:.+((SYSTEM_STATE.+slice.+state.+changed )|(ment ac)|(multiple cpu faults)|(system.+state.+changed )|(\[timeout)|(PRM\|1\|D)|(kpr)|(kdp)|(\|lc)|(penalty))" /e /r /s</v>
      </c>
      <c r="AG171" s="1" t="str">
        <f t="shared" si="59"/>
        <v>NW</v>
      </c>
      <c r="AH171" s="88" t="str">
        <f t="shared" si="60"/>
        <v>"%USERPROFILE%\Documents\GitHub\eaglep3\Utilities\RefineRTDCRunTimes.py" --tripid 1811-29 --locoid 4042 --swversion DE.1.0.8.0 --startMP 204:1020 --initTime 2017-01-29T10:56:13 --startdatetime 2017-01-29T11:21:13 --delay 0 --endMP 300:58924 --enddatetime 2017-01-29T11:34:48 --enforcementcount 0 &gt;&gt;C:\Users\stu\Documents\GitHub\eaglep3-reporting\EC\2017-01-29-refined-times.txt</v>
      </c>
      <c r="AI171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{"issue":{"subject":"","project_id":79,"tracker_id":40,"status_id":1,"priority_id":2,"assigned_to_id":23,"start_date":"2017-01-29","description":"","custom_fields":[{"id":1,"name":"Subdivision","value":"NW"},{"id":4,"name":"Milepost","value":"5.8924"},{"id":17,"name":"Train ID","value":"1811-29"},{"id":16,"name":"Locomotive ID","value":"4042"},{"id":130,"name":"Impact","value":""},{"id":150,"name":"Time of Event (Mountain Time)","value":"11:34:48"},{"id":151,"name":"Denver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62"/>
        <v>start /low /b %USERPROFILE%\Documents\GitHub\eaglep3\Utilities\DownloadLogsFromS3.py --loco 4042 --day 2017-01-29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554</v>
      </c>
      <c r="B172" s="7">
        <v>4041</v>
      </c>
      <c r="C172" s="22" t="s">
        <v>193</v>
      </c>
      <c r="D172" s="22" t="s">
        <v>726</v>
      </c>
      <c r="E172" s="13">
        <v>42764.483356481483</v>
      </c>
      <c r="F172" s="13">
        <v>42764.484780092593</v>
      </c>
      <c r="G172" s="7">
        <v>1</v>
      </c>
      <c r="H172" s="22" t="s">
        <v>727</v>
      </c>
      <c r="I172" s="13">
        <v>42764.496296296296</v>
      </c>
      <c r="J172" s="7">
        <v>0</v>
      </c>
      <c r="K172" s="105" t="str">
        <f t="shared" si="47"/>
        <v>4041/4042</v>
      </c>
      <c r="L172" s="22" t="str">
        <f>VLOOKUP(A172,'Trips&amp;Operators'!$C$1:$G$99999,5,FALSE)</f>
        <v>YORK EDGAR</v>
      </c>
      <c r="M172" s="6">
        <f t="shared" si="48"/>
        <v>1.1516203703649808E-2</v>
      </c>
      <c r="N172" s="7">
        <f t="shared" si="63"/>
        <v>16.583333333255723</v>
      </c>
      <c r="O172" s="7"/>
      <c r="P172" s="7"/>
      <c r="Q172" s="23"/>
      <c r="R172" s="23"/>
      <c r="S172" s="32">
        <f t="shared" si="64"/>
        <v>1</v>
      </c>
      <c r="T172" s="47" t="str">
        <f t="shared" si="49"/>
        <v>Southbound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0"/>
        <v>https://d0f6bd738d7f1b3e5a7ca70fe4ff75f0.us-east-1.aws.found.io/app/kibana#/discover/Steve-Slow-Train-Analysis-(2080s-and-2083s)?_g=(refreshInterval:(display:Off,pause:!f,section:0,value:0),time:(from:'2017-01-29T10:36:02-0700',mode:absolute,to:'2017-01-29T12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49" t="str">
        <f t="shared" si="51"/>
        <v>N</v>
      </c>
      <c r="X172" s="170">
        <f t="shared" si="66"/>
        <v>1</v>
      </c>
      <c r="Y172" s="64">
        <f t="shared" si="53"/>
        <v>5.8615000000000004</v>
      </c>
      <c r="Z172" s="64">
        <f t="shared" si="54"/>
        <v>7.3300000000000004E-2</v>
      </c>
      <c r="AA172" s="64">
        <f t="shared" si="55"/>
        <v>5.7882000000000007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56"/>
        <v>1812-29</v>
      </c>
      <c r="AE172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72" s="84" t="str">
        <f t="shared" si="58"/>
        <v>"C:\Program Files (x86)\AstroGrep\AstroGrep.exe" /spath="%USERPROFILE%\AppData\Local\Temp\OnboardLogs" /stypes="app*4041*20170129*" /stext=" 18:.+((SYSTEM_STATE.+slice.+state.+changed )|(ment ac)|(multiple cpu faults)|(system.+state.+changed )|(\[timeout)|(PRM\|1\|D)|(kpr)|(kdp)|(\|lc)|(penalty))" /e /r /s</v>
      </c>
      <c r="AG172" s="1" t="str">
        <f t="shared" si="59"/>
        <v>NW</v>
      </c>
      <c r="AH172" s="88" t="str">
        <f t="shared" si="60"/>
        <v>"%USERPROFILE%\Documents\GitHub\eaglep3\Utilities\RefineRTDCRunTimes.py" --tripid 1812-29 --locoid 4041 --swversion DE.1.0.8.0 --startMP 300:58615 --initTime 2017-01-29T11:36:02 --startdatetime 2017-01-29T11:38:05 --delay 1 --endMP 204:733 --enddatetime 2017-01-29T11:54:40 --enforcementcount 0 &gt;&gt;C:\Users\stu\Documents\GitHub\eaglep3-reporting\EC\2017-01-29-refined-times.txt</v>
      </c>
      <c r="AI172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{"issue":{"subject":"","project_id":79,"tracker_id":40,"status_id":1,"priority_id":2,"assigned_to_id":23,"start_date":"2017-01-29","description":"","custom_fields":[{"id":1,"name":"Subdivision","value":"NW"},{"id":4,"name":"Milepost","value":"0.0733"},{"id":17,"name":"Train ID","value":"1812-29"},{"id":16,"name":"Locomotive ID","value":"4041"},{"id":130,"name":"Impact","value":""},{"id":150,"name":"Time of Event (Mountain Time)","value":"11:54:40"},{"id":151,"name":"Denver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62"/>
        <v>start /low /b %USERPROFILE%\Documents\GitHub\eaglep3\Utilities\DownloadLogsFromS3.py --loco 4041 --day 2017-01-29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463</v>
      </c>
      <c r="B173" s="7">
        <v>4042</v>
      </c>
      <c r="C173" s="22" t="s">
        <v>193</v>
      </c>
      <c r="D173" s="22" t="s">
        <v>728</v>
      </c>
      <c r="E173" s="13">
        <v>42764.497499999998</v>
      </c>
      <c r="F173" s="13">
        <v>42764.514849537038</v>
      </c>
      <c r="G173" s="7">
        <v>0</v>
      </c>
      <c r="H173" s="22" t="s">
        <v>313</v>
      </c>
      <c r="I173" s="13">
        <v>42764.523912037039</v>
      </c>
      <c r="J173" s="7">
        <v>0</v>
      </c>
      <c r="K173" s="105" t="str">
        <f t="shared" si="47"/>
        <v>4041/4042</v>
      </c>
      <c r="L173" s="22" t="str">
        <f>VLOOKUP(A173,'Trips&amp;Operators'!$C$1:$G$99999,5,FALSE)</f>
        <v>YORK EDGAR</v>
      </c>
      <c r="M173" s="6">
        <f t="shared" si="48"/>
        <v>9.0625000011641532E-3</v>
      </c>
      <c r="N173" s="7">
        <f t="shared" si="63"/>
        <v>13.050000001676381</v>
      </c>
      <c r="O173" s="7"/>
      <c r="P173" s="7"/>
      <c r="Q173" s="23"/>
      <c r="R173" s="23"/>
      <c r="S173" s="32">
        <f t="shared" si="64"/>
        <v>1</v>
      </c>
      <c r="T173" s="47" t="str">
        <f t="shared" si="49"/>
        <v>NorthBound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0"/>
        <v>https://d0f6bd738d7f1b3e5a7ca70fe4ff75f0.us-east-1.aws.found.io/app/kibana#/discover/Steve-Slow-Train-Analysis-(2080s-and-2083s)?_g=(refreshInterval:(display:Off,pause:!f,section:0,value:0),time:(from:'2017-01-29T10:56:24-0700',mode:absolute,to:'2017-01-29T13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49" t="str">
        <f t="shared" si="51"/>
        <v>N</v>
      </c>
      <c r="X173" s="170">
        <f t="shared" si="66"/>
        <v>1</v>
      </c>
      <c r="Y173" s="64">
        <f t="shared" si="53"/>
        <v>0.1023</v>
      </c>
      <c r="Z173" s="64">
        <f t="shared" si="54"/>
        <v>5.8933</v>
      </c>
      <c r="AA173" s="64">
        <f t="shared" si="55"/>
        <v>5.7910000000000004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56"/>
        <v>1813-29</v>
      </c>
      <c r="AE173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73" s="84" t="str">
        <f t="shared" si="58"/>
        <v>"C:\Program Files (x86)\AstroGrep\AstroGrep.exe" /spath="%USERPROFILE%\AppData\Local\Temp\OnboardLogs" /stypes="app*4042*20170129*" /stext=" 19:.+((SYSTEM_STATE.+slice.+state.+changed )|(ment ac)|(multiple cpu faults)|(system.+state.+changed )|(\[timeout)|(PRM\|1\|D)|(kpr)|(kdp)|(\|lc)|(penalty))" /e /r /s</v>
      </c>
      <c r="AG173" s="1" t="str">
        <f t="shared" si="59"/>
        <v>NW</v>
      </c>
      <c r="AH173" s="88" t="str">
        <f t="shared" si="60"/>
        <v>"%USERPROFILE%\Documents\GitHub\eaglep3\Utilities\RefineRTDCRunTimes.py" --tripid 1813-29 --locoid 4042 --swversion DE.1.0.8.0 --startMP 204:1023 --initTime 2017-01-29T11:56:24 --startdatetime 2017-01-29T12:21:23 --delay 0 --endMP 300:58933 --enddatetime 2017-01-29T12:34:26 --enforcementcount 0 &gt;&gt;C:\Users\stu\Documents\GitHub\eaglep3-reporting\EC\2017-01-29-refined-times.txt</v>
      </c>
      <c r="AI173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{"issue":{"subject":"","project_id":79,"tracker_id":40,"status_id":1,"priority_id":2,"assigned_to_id":23,"start_date":"2017-01-29","description":"","custom_fields":[{"id":1,"name":"Subdivision","value":"NW"},{"id":4,"name":"Milepost","value":"5.8933"},{"id":17,"name":"Train ID","value":"1813-29"},{"id":16,"name":"Locomotive ID","value":"4042"},{"id":130,"name":"Impact","value":""},{"id":150,"name":"Time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62"/>
        <v>start /low /b %USERPROFILE%\Documents\GitHub\eaglep3\Utilities\DownloadLogsFromS3.py --loco 4042 --day 2017-01-29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464</v>
      </c>
      <c r="B174" s="7">
        <v>4041</v>
      </c>
      <c r="C174" s="22" t="s">
        <v>193</v>
      </c>
      <c r="D174" s="22" t="s">
        <v>725</v>
      </c>
      <c r="E174" s="13">
        <v>42764.525324074071</v>
      </c>
      <c r="F174" s="13">
        <v>42764.527708333335</v>
      </c>
      <c r="G174" s="7">
        <v>2</v>
      </c>
      <c r="H174" s="22" t="s">
        <v>417</v>
      </c>
      <c r="I174" s="13">
        <v>42764.537997685184</v>
      </c>
      <c r="J174" s="7">
        <v>0</v>
      </c>
      <c r="K174" s="105" t="str">
        <f t="shared" si="47"/>
        <v>4041/4042</v>
      </c>
      <c r="L174" s="22" t="str">
        <f>VLOOKUP(A174,'Trips&amp;Operators'!$C$1:$G$99999,5,FALSE)</f>
        <v>YORK EDGAR</v>
      </c>
      <c r="M174" s="6">
        <f t="shared" si="48"/>
        <v>1.0289351848769002E-2</v>
      </c>
      <c r="N174" s="7">
        <f t="shared" si="63"/>
        <v>14.816666662227362</v>
      </c>
      <c r="O174" s="7"/>
      <c r="P174" s="7"/>
      <c r="Q174" s="23"/>
      <c r="R174" s="23"/>
      <c r="S174" s="32">
        <f t="shared" si="64"/>
        <v>1</v>
      </c>
      <c r="T174" s="47" t="str">
        <f t="shared" si="49"/>
        <v>Southbound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0"/>
        <v>https://d0f6bd738d7f1b3e5a7ca70fe4ff75f0.us-east-1.aws.found.io/app/kibana#/discover/Steve-Slow-Train-Analysis-(2080s-and-2083s)?_g=(refreshInterval:(display:Off,pause:!f,section:0,value:0),time:(from:'2017-01-29T11:36:28-0700',mode:absolute,to:'2017-01-29T13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49" t="str">
        <f t="shared" si="51"/>
        <v>N</v>
      </c>
      <c r="X174" s="170">
        <f t="shared" si="66"/>
        <v>1</v>
      </c>
      <c r="Y174" s="64">
        <f t="shared" si="53"/>
        <v>5.8609</v>
      </c>
      <c r="Z174" s="64">
        <f t="shared" si="54"/>
        <v>7.17E-2</v>
      </c>
      <c r="AA174" s="64">
        <f t="shared" si="55"/>
        <v>5.7892000000000001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56"/>
        <v>1814-29</v>
      </c>
      <c r="AE174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74" s="84" t="str">
        <f t="shared" si="58"/>
        <v>"C:\Program Files (x86)\AstroGrep\AstroGrep.exe" /spath="%USERPROFILE%\AppData\Local\Temp\OnboardLogs" /stypes="app*4041*20170129*" /stext=" 19:.+((SYSTEM_STATE.+slice.+state.+changed )|(ment ac)|(multiple cpu faults)|(system.+state.+changed )|(\[timeout)|(PRM\|1\|D)|(kpr)|(kdp)|(\|lc)|(penalty))" /e /r /s</v>
      </c>
      <c r="AG174" s="1" t="str">
        <f t="shared" si="59"/>
        <v>NW</v>
      </c>
      <c r="AH174" s="88" t="str">
        <f t="shared" si="60"/>
        <v>"%USERPROFILE%\Documents\GitHub\eaglep3\Utilities\RefineRTDCRunTimes.py" --tripid 1814-29 --locoid 4041 --swversion DE.1.0.8.0 --startMP 300:58609 --initTime 2017-01-29T12:36:28 --startdatetime 2017-01-29T12:39:54 --delay 2 --endMP 204:717 --enddatetime 2017-01-29T12:54:43 --enforcementcount 0 &gt;&gt;C:\Users\stu\Documents\GitHub\eaglep3-reporting\EC\2017-01-29-refined-times.txt</v>
      </c>
      <c r="AI174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{"issue":{"subject":"","project_id":79,"tracker_id":40,"status_id":1,"priority_id":2,"assigned_to_id":23,"start_date":"2017-01-29","description":"","custom_fields":[{"id":1,"name":"Subdivision","value":"NW"},{"id":4,"name":"Milepost","value":"0.0717"},{"id":17,"name":"Train ID","value":"1814-29"},{"id":16,"name":"Locomotive ID","value":"4041"},{"id":130,"name":"Impact","value":""},{"id":150,"name":"Time of Event (Mountain Time)","value":"12:54:43"},{"id":151,"name":"Denver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62"/>
        <v>start /low /b %USERPROFILE%\Documents\GitHub\eaglep3\Utilities\DownloadLogsFromS3.py --loco 4041 --day 2017-01-29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569</v>
      </c>
      <c r="B175" s="7">
        <v>4042</v>
      </c>
      <c r="C175" s="22" t="s">
        <v>193</v>
      </c>
      <c r="D175" s="22" t="s">
        <v>729</v>
      </c>
      <c r="E175" s="13">
        <v>42764.539861111109</v>
      </c>
      <c r="F175" s="13">
        <v>42764.556469907409</v>
      </c>
      <c r="G175" s="7">
        <v>0</v>
      </c>
      <c r="H175" s="22" t="s">
        <v>714</v>
      </c>
      <c r="I175" s="13">
        <v>42764.566030092596</v>
      </c>
      <c r="J175" s="7">
        <v>0</v>
      </c>
      <c r="K175" s="105" t="str">
        <f t="shared" si="47"/>
        <v>4041/4042</v>
      </c>
      <c r="L175" s="22" t="str">
        <f>VLOOKUP(A175,'Trips&amp;Operators'!$C$1:$G$99999,5,FALSE)</f>
        <v>YORK EDGAR</v>
      </c>
      <c r="M175" s="6">
        <f t="shared" si="48"/>
        <v>9.560185186273884E-3</v>
      </c>
      <c r="N175" s="7">
        <f t="shared" si="63"/>
        <v>13.766666668234393</v>
      </c>
      <c r="O175" s="7"/>
      <c r="P175" s="7"/>
      <c r="Q175" s="23"/>
      <c r="R175" s="23"/>
      <c r="S175" s="32">
        <f t="shared" si="64"/>
        <v>1</v>
      </c>
      <c r="T175" s="47" t="str">
        <f t="shared" si="49"/>
        <v>NorthBound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0"/>
        <v>https://d0f6bd738d7f1b3e5a7ca70fe4ff75f0.us-east-1.aws.found.io/app/kibana#/discover/Steve-Slow-Train-Analysis-(2080s-and-2083s)?_g=(refreshInterval:(display:Off,pause:!f,section:0,value:0),time:(from:'2017-01-29T11:57:24-0700',mode:absolute,to:'2017-01-29T14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49" t="str">
        <f t="shared" si="51"/>
        <v>N</v>
      </c>
      <c r="X175" s="170">
        <f t="shared" si="66"/>
        <v>1</v>
      </c>
      <c r="Y175" s="64">
        <f t="shared" si="53"/>
        <v>0.1013</v>
      </c>
      <c r="Z175" s="64">
        <f t="shared" si="54"/>
        <v>5.8929</v>
      </c>
      <c r="AA175" s="64">
        <f t="shared" si="55"/>
        <v>5.7915999999999999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56"/>
        <v>1815-29</v>
      </c>
      <c r="AE175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75" s="84" t="str">
        <f t="shared" si="58"/>
        <v>"C:\Program Files (x86)\AstroGrep\AstroGrep.exe" /spath="%USERPROFILE%\AppData\Local\Temp\OnboardLogs" /stypes="app*4042*20170129*" /stext=" 20:.+((SYSTEM_STATE.+slice.+state.+changed )|(ment ac)|(multiple cpu faults)|(system.+state.+changed )|(\[timeout)|(PRM\|1\|D)|(kpr)|(kdp)|(\|lc)|(penalty))" /e /r /s</v>
      </c>
      <c r="AG175" s="1" t="str">
        <f t="shared" si="59"/>
        <v>NW</v>
      </c>
      <c r="AH175" s="88" t="str">
        <f t="shared" si="60"/>
        <v>"%USERPROFILE%\Documents\GitHub\eaglep3\Utilities\RefineRTDCRunTimes.py" --tripid 1815-29 --locoid 4042 --swversion DE.1.0.8.0 --startMP 204:1013 --initTime 2017-01-29T12:57:24 --startdatetime 2017-01-29T13:21:19 --delay 0 --endMP 300:58929 --enddatetime 2017-01-29T13:35:05 --enforcementcount 0 &gt;&gt;C:\Users\stu\Documents\GitHub\eaglep3-reporting\EC\2017-01-29-refined-times.txt</v>
      </c>
      <c r="AI175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{"issue":{"subject":"","project_id":79,"tracker_id":40,"status_id":1,"priority_id":2,"assigned_to_id":23,"start_date":"2017-01-29","description":"","custom_fields":[{"id":1,"name":"Subdivision","value":"NW"},{"id":4,"name":"Milepost","value":"5.8929"},{"id":17,"name":"Train ID","value":"1815-29"},{"id":16,"name":"Locomotive ID","value":"4042"},{"id":130,"name":"Impact","value":""},{"id":150,"name":"Time of Event (Mountain Time)","value":"13:35:05"},{"id":151,"name":"Denver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62"/>
        <v>start /low /b %USERPROFILE%\Documents\GitHub\eaglep3\Utilities\DownloadLogsFromS3.py --loco 4042 --day 2017-01-29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572</v>
      </c>
      <c r="B176" s="7">
        <v>4041</v>
      </c>
      <c r="C176" s="22" t="s">
        <v>193</v>
      </c>
      <c r="D176" s="22" t="s">
        <v>730</v>
      </c>
      <c r="E176" s="13">
        <v>42764.56690972222</v>
      </c>
      <c r="F176" s="13">
        <v>42764.56832175926</v>
      </c>
      <c r="G176" s="7">
        <v>1</v>
      </c>
      <c r="H176" s="22" t="s">
        <v>731</v>
      </c>
      <c r="I176" s="13">
        <v>42764.579421296294</v>
      </c>
      <c r="J176" s="7">
        <v>0</v>
      </c>
      <c r="K176" s="105" t="str">
        <f t="shared" si="47"/>
        <v>4041/4042</v>
      </c>
      <c r="L176" s="22" t="str">
        <f>VLOOKUP(A176,'Trips&amp;Operators'!$C$1:$G$99999,5,FALSE)</f>
        <v>YORK EDGAR</v>
      </c>
      <c r="M176" s="6">
        <f t="shared" si="48"/>
        <v>1.1099537034169771E-2</v>
      </c>
      <c r="N176" s="7">
        <f t="shared" si="63"/>
        <v>15.98333332920447</v>
      </c>
      <c r="O176" s="7"/>
      <c r="P176" s="7"/>
      <c r="Q176" s="23"/>
      <c r="R176" s="23"/>
      <c r="S176" s="32">
        <f t="shared" si="64"/>
        <v>1</v>
      </c>
      <c r="T176" s="47" t="str">
        <f t="shared" si="49"/>
        <v>Southbound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50"/>
        <v>https://d0f6bd738d7f1b3e5a7ca70fe4ff75f0.us-east-1.aws.found.io/app/kibana#/discover/Steve-Slow-Train-Analysis-(2080s-and-2083s)?_g=(refreshInterval:(display:Off,pause:!f,section:0,value:0),time:(from:'2017-01-29T12:36:21-0700',mode:absolute,to:'2017-01-29T14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49" t="str">
        <f t="shared" si="51"/>
        <v>N</v>
      </c>
      <c r="X176" s="170">
        <f t="shared" si="66"/>
        <v>1</v>
      </c>
      <c r="Y176" s="64">
        <f t="shared" si="53"/>
        <v>5.86</v>
      </c>
      <c r="Z176" s="64">
        <f t="shared" si="54"/>
        <v>7.6899999999999996E-2</v>
      </c>
      <c r="AA176" s="64">
        <f t="shared" si="55"/>
        <v>5.7831000000000001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56"/>
        <v>1816-29</v>
      </c>
      <c r="AE176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76" s="84" t="str">
        <f t="shared" si="58"/>
        <v>"C:\Program Files (x86)\AstroGrep\AstroGrep.exe" /spath="%USERPROFILE%\AppData\Local\Temp\OnboardLogs" /stypes="app*4041*20170129*" /stext=" 20:.+((SYSTEM_STATE.+slice.+state.+changed )|(ment ac)|(multiple cpu faults)|(system.+state.+changed )|(\[timeout)|(PRM\|1\|D)|(kpr)|(kdp)|(\|lc)|(penalty))" /e /r /s</v>
      </c>
      <c r="AG176" s="1" t="str">
        <f t="shared" si="59"/>
        <v>NW</v>
      </c>
      <c r="AH176" s="88" t="str">
        <f t="shared" si="60"/>
        <v>"%USERPROFILE%\Documents\GitHub\eaglep3\Utilities\RefineRTDCRunTimes.py" --tripid 1816-29 --locoid 4041 --swversion DE.1.0.8.0 --startMP 300:58600 --initTime 2017-01-29T13:36:21 --startdatetime 2017-01-29T13:38:23 --delay 1 --endMP 204:769 --enddatetime 2017-01-29T13:54:22 --enforcementcount 0 &gt;&gt;C:\Users\stu\Documents\GitHub\eaglep3-reporting\EC\2017-01-29-refined-times.txt</v>
      </c>
      <c r="AI176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{"issue":{"subject":"","project_id":79,"tracker_id":40,"status_id":1,"priority_id":2,"assigned_to_id":23,"start_date":"2017-01-29","description":"","custom_fields":[{"id":1,"name":"Subdivision","value":"NW"},{"id":4,"name":"Milepost","value":"0.0769"},{"id":17,"name":"Train ID","value":"1816-29"},{"id":16,"name":"Locomotive ID","value":"4041"},{"id":130,"name":"Impact","value":""},{"id":150,"name":"Time of Event (Mountain Time)","value":"13:54:22"},{"id":151,"name":"Denver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62"/>
        <v>start /low /b %USERPROFILE%\Documents\GitHub\eaglep3\Utilities\DownloadLogsFromS3.py --loco 4041 --day 2017-01-29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578</v>
      </c>
      <c r="B177" s="7">
        <v>4042</v>
      </c>
      <c r="C177" s="22" t="s">
        <v>193</v>
      </c>
      <c r="D177" s="22" t="s">
        <v>732</v>
      </c>
      <c r="E177" s="13">
        <v>42764.593842592592</v>
      </c>
      <c r="F177" s="13">
        <v>42764.598576388889</v>
      </c>
      <c r="G177" s="7">
        <v>2</v>
      </c>
      <c r="H177" s="22" t="s">
        <v>313</v>
      </c>
      <c r="I177" s="13">
        <v>42764.608912037038</v>
      </c>
      <c r="J177" s="7">
        <v>0</v>
      </c>
      <c r="K177" s="105" t="str">
        <f t="shared" si="47"/>
        <v>4041/4042</v>
      </c>
      <c r="L177" s="22" t="str">
        <f>VLOOKUP(A177,'Trips&amp;Operators'!$C$1:$G$99999,5,FALSE)</f>
        <v>HELVIE ADAM</v>
      </c>
      <c r="M177" s="6">
        <f t="shared" si="48"/>
        <v>1.0335648148611654E-2</v>
      </c>
      <c r="N177" s="7">
        <f t="shared" si="63"/>
        <v>14.883333334000781</v>
      </c>
      <c r="O177" s="7"/>
      <c r="P177" s="7"/>
      <c r="Q177" s="23"/>
      <c r="R177" s="23"/>
      <c r="S177" s="32">
        <f t="shared" si="64"/>
        <v>1</v>
      </c>
      <c r="T177" s="47" t="str">
        <f t="shared" si="49"/>
        <v>NorthBound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0"/>
        <v>https://d0f6bd738d7f1b3e5a7ca70fe4ff75f0.us-east-1.aws.found.io/app/kibana#/discover/Steve-Slow-Train-Analysis-(2080s-and-2083s)?_g=(refreshInterval:(display:Off,pause:!f,section:0,value:0),time:(from:'2017-01-29T13:15:08-0700',mode:absolute,to:'2017-01-29T15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49" t="str">
        <f t="shared" si="51"/>
        <v>N</v>
      </c>
      <c r="X177" s="170">
        <f t="shared" si="66"/>
        <v>1</v>
      </c>
      <c r="Y177" s="64">
        <f t="shared" si="53"/>
        <v>0.10440000000000001</v>
      </c>
      <c r="Z177" s="64">
        <f t="shared" si="54"/>
        <v>5.8933</v>
      </c>
      <c r="AA177" s="64">
        <f t="shared" si="55"/>
        <v>5.7888999999999999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56"/>
        <v>1817-29</v>
      </c>
      <c r="AE177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77" s="84" t="str">
        <f t="shared" si="58"/>
        <v>"C:\Program Files (x86)\AstroGrep\AstroGrep.exe" /spath="%USERPROFILE%\AppData\Local\Temp\OnboardLogs" /stypes="app*4042*20170129*" /stext=" 21:.+((SYSTEM_STATE.+slice.+state.+changed )|(ment ac)|(multiple cpu faults)|(system.+state.+changed )|(\[timeout)|(PRM\|1\|D)|(kpr)|(kdp)|(\|lc)|(penalty))" /e /r /s</v>
      </c>
      <c r="AG177" s="1" t="str">
        <f t="shared" si="59"/>
        <v>NW</v>
      </c>
      <c r="AH177" s="88" t="str">
        <f t="shared" si="60"/>
        <v>"%USERPROFILE%\Documents\GitHub\eaglep3\Utilities\RefineRTDCRunTimes.py" --tripid 1817-29 --locoid 4042 --swversion DE.1.0.8.0 --startMP 204:1044 --initTime 2017-01-29T14:15:08 --startdatetime 2017-01-29T14:21:57 --delay 2 --endMP 300:58933 --enddatetime 2017-01-29T14:36:50 --enforcementcount 0 &gt;&gt;C:\Users\stu\Documents\GitHub\eaglep3-reporting\EC\2017-01-29-refined-times.txt</v>
      </c>
      <c r="AI177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{"issue":{"subject":"","project_id":79,"tracker_id":40,"status_id":1,"priority_id":2,"assigned_to_id":23,"start_date":"2017-01-29","description":"","custom_fields":[{"id":1,"name":"Subdivision","value":"NW"},{"id":4,"name":"Milepost","value":"5.8933"},{"id":17,"name":"Train ID","value":"1817-29"},{"id":16,"name":"Locomotive ID","value":"4042"},{"id":130,"name":"Impact","value":""},{"id":150,"name":"Time of Event (Mountain Time)","value":"14:36:50"},{"id":151,"name":"Denver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62"/>
        <v>start /low /b %USERPROFILE%\Documents\GitHub\eaglep3\Utilities\DownloadLogsFromS3.py --loco 4042 --day 2017-01-29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583</v>
      </c>
      <c r="B178" s="7">
        <v>4041</v>
      </c>
      <c r="C178" s="22" t="s">
        <v>193</v>
      </c>
      <c r="D178" s="22" t="s">
        <v>733</v>
      </c>
      <c r="E178" s="13">
        <v>42764.610289351855</v>
      </c>
      <c r="F178" s="13">
        <v>42764.611990740741</v>
      </c>
      <c r="G178" s="7">
        <v>2</v>
      </c>
      <c r="H178" s="22" t="s">
        <v>433</v>
      </c>
      <c r="I178" s="13">
        <v>42764.621840277781</v>
      </c>
      <c r="J178" s="7">
        <v>0</v>
      </c>
      <c r="K178" s="105" t="str">
        <f t="shared" si="47"/>
        <v>4041/4042</v>
      </c>
      <c r="L178" s="22" t="str">
        <f>VLOOKUP(A178,'Trips&amp;Operators'!$C$1:$G$99999,5,FALSE)</f>
        <v>HELVIE ADAM</v>
      </c>
      <c r="M178" s="6">
        <f t="shared" si="48"/>
        <v>9.8495370402815752E-3</v>
      </c>
      <c r="N178" s="7">
        <f t="shared" si="63"/>
        <v>14.183333338005468</v>
      </c>
      <c r="O178" s="7"/>
      <c r="P178" s="7"/>
      <c r="Q178" s="23"/>
      <c r="R178" s="23"/>
      <c r="S178" s="32">
        <f t="shared" si="64"/>
        <v>1</v>
      </c>
      <c r="T178" s="47" t="str">
        <f t="shared" si="49"/>
        <v>Southbound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0"/>
        <v>https://d0f6bd738d7f1b3e5a7ca70fe4ff75f0.us-east-1.aws.found.io/app/kibana#/discover/Steve-Slow-Train-Analysis-(2080s-and-2083s)?_g=(refreshInterval:(display:Off,pause:!f,section:0,value:0),time:(from:'2017-01-29T13:38:49-0700',mode:absolute,to:'2017-01-29T15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49" t="str">
        <f t="shared" si="51"/>
        <v>N</v>
      </c>
      <c r="X178" s="170">
        <f t="shared" si="66"/>
        <v>1</v>
      </c>
      <c r="Y178" s="64">
        <f t="shared" si="53"/>
        <v>5.8619000000000003</v>
      </c>
      <c r="Z178" s="64">
        <f t="shared" si="54"/>
        <v>7.4499999999999997E-2</v>
      </c>
      <c r="AA178" s="64">
        <f t="shared" si="55"/>
        <v>5.7874000000000008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56"/>
        <v>1818-29</v>
      </c>
      <c r="AE178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78" s="84" t="str">
        <f t="shared" si="58"/>
        <v>"C:\Program Files (x86)\AstroGrep\AstroGrep.exe" /spath="%USERPROFILE%\AppData\Local\Temp\OnboardLogs" /stypes="app*4041*20170129*" /stext=" 21:.+((SYSTEM_STATE.+slice.+state.+changed )|(ment ac)|(multiple cpu faults)|(system.+state.+changed )|(\[timeout)|(PRM\|1\|D)|(kpr)|(kdp)|(\|lc)|(penalty))" /e /r /s</v>
      </c>
      <c r="AG178" s="1" t="str">
        <f t="shared" si="59"/>
        <v>NW</v>
      </c>
      <c r="AH178" s="88" t="str">
        <f t="shared" si="60"/>
        <v>"%USERPROFILE%\Documents\GitHub\eaglep3\Utilities\RefineRTDCRunTimes.py" --tripid 1818-29 --locoid 4041 --swversion DE.1.0.8.0 --startMP 300:58619 --initTime 2017-01-29T14:38:49 --startdatetime 2017-01-29T14:41:16 --delay 2 --endMP 204:745 --enddatetime 2017-01-29T14:55:27 --enforcementcount 0 &gt;&gt;C:\Users\stu\Documents\GitHub\eaglep3-reporting\EC\2017-01-29-refined-times.txt</v>
      </c>
      <c r="AI178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{"issue":{"subject":"","project_id":79,"tracker_id":40,"status_id":1,"priority_id":2,"assigned_to_id":23,"start_date":"2017-01-29","description":"","custom_fields":[{"id":1,"name":"Subdivision","value":"NW"},{"id":4,"name":"Milepost","value":"0.0745"},{"id":17,"name":"Train ID","value":"1818-29"},{"id":16,"name":"Locomotive ID","value":"4041"},{"id":130,"name":"Impact","value":""},{"id":150,"name":"Time of Event (Mountain Time)","value":"14:55:27"},{"id":151,"name":"Denver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62"/>
        <v>start /low /b %USERPROFILE%\Documents\GitHub\eaglep3\Utilities\DownloadLogsFromS3.py --loco 4041 --day 2017-01-29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4" t="s">
        <v>588</v>
      </c>
      <c r="B179" s="7">
        <v>4042</v>
      </c>
      <c r="C179" s="22" t="s">
        <v>193</v>
      </c>
      <c r="D179" s="22" t="s">
        <v>438</v>
      </c>
      <c r="E179" s="13">
        <v>42764.637488425928</v>
      </c>
      <c r="F179" s="13">
        <v>42764.639872685184</v>
      </c>
      <c r="G179" s="7">
        <v>1</v>
      </c>
      <c r="H179" s="22" t="s">
        <v>734</v>
      </c>
      <c r="I179" s="13">
        <v>42764.650520833333</v>
      </c>
      <c r="J179" s="7">
        <v>0</v>
      </c>
      <c r="K179" s="105" t="str">
        <f t="shared" si="47"/>
        <v>4041/4042</v>
      </c>
      <c r="L179" s="22" t="str">
        <f>VLOOKUP(A179,'Trips&amp;Operators'!$C$1:$G$99999,5,FALSE)</f>
        <v>HELVIE ADAM</v>
      </c>
      <c r="M179" s="6">
        <f t="shared" si="48"/>
        <v>1.0648148148902692E-2</v>
      </c>
      <c r="N179" s="7">
        <f t="shared" si="63"/>
        <v>15.333333334419876</v>
      </c>
      <c r="O179" s="7"/>
      <c r="P179" s="7"/>
      <c r="Q179" s="23"/>
      <c r="R179" s="23"/>
      <c r="S179" s="32">
        <f t="shared" si="64"/>
        <v>1</v>
      </c>
      <c r="T179" s="47" t="str">
        <f t="shared" si="49"/>
        <v>NorthBound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0"/>
        <v>https://d0f6bd738d7f1b3e5a7ca70fe4ff75f0.us-east-1.aws.found.io/app/kibana#/discover/Steve-Slow-Train-Analysis-(2080s-and-2083s)?_g=(refreshInterval:(display:Off,pause:!f,section:0,value:0),time:(from:'2017-01-29T14:17:59-0700',mode:absolute,to:'2017-01-29T16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49" t="str">
        <f t="shared" si="51"/>
        <v>N</v>
      </c>
      <c r="X179" s="170">
        <f t="shared" si="66"/>
        <v>1</v>
      </c>
      <c r="Y179" s="64">
        <f t="shared" si="53"/>
        <v>0.10249999999999999</v>
      </c>
      <c r="Z179" s="64">
        <f t="shared" si="54"/>
        <v>5.8948</v>
      </c>
      <c r="AA179" s="64">
        <f t="shared" si="55"/>
        <v>5.7923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56"/>
        <v>1819-29</v>
      </c>
      <c r="AE179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79" s="84" t="str">
        <f t="shared" si="58"/>
        <v>"C:\Program Files (x86)\AstroGrep\AstroGrep.exe" /spath="%USERPROFILE%\AppData\Local\Temp\OnboardLogs" /stypes="app*4042*20170129*" /stext=" 22:.+((SYSTEM_STATE.+slice.+state.+changed )|(ment ac)|(multiple cpu faults)|(system.+state.+changed )|(\[timeout)|(PRM\|1\|D)|(kpr)|(kdp)|(\|lc)|(penalty))" /e /r /s</v>
      </c>
      <c r="AG179" s="1" t="str">
        <f t="shared" si="59"/>
        <v>NW</v>
      </c>
      <c r="AH179" s="88" t="str">
        <f t="shared" si="60"/>
        <v>"%USERPROFILE%\Documents\GitHub\eaglep3\Utilities\RefineRTDCRunTimes.py" --tripid 1819-29 --locoid 4042 --swversion DE.1.0.8.0 --startMP 204:1025 --initTime 2017-01-29T15:17:59 --startdatetime 2017-01-29T15:21:25 --delay 1 --endMP 300:58948 --enddatetime 2017-01-29T15:36:45 --enforcementcount 0 &gt;&gt;C:\Users\stu\Documents\GitHub\eaglep3-reporting\EC\2017-01-29-refined-times.txt</v>
      </c>
      <c r="AI179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{"issue":{"subject":"","project_id":79,"tracker_id":40,"status_id":1,"priority_id":2,"assigned_to_id":23,"start_date":"2017-01-29","description":"","custom_fields":[{"id":1,"name":"Subdivision","value":"NW"},{"id":4,"name":"Milepost","value":"5.8948"},{"id":17,"name":"Train ID","value":"1819-29"},{"id":16,"name":"Locomotive ID","value":"4042"},{"id":130,"name":"Impact","value":""},{"id":150,"name":"Time of Event (Mountain Time)","value":"15:36:45"},{"id":151,"name":"Denver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62"/>
        <v>start /low /b %USERPROFILE%\Documents\GitHub\eaglep3\Utilities\DownloadLogsFromS3.py --loco 4042 --day 2017-01-29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</row>
    <row r="180" spans="1:91" x14ac:dyDescent="0.25">
      <c r="A180" s="34" t="s">
        <v>593</v>
      </c>
      <c r="B180" s="7">
        <v>4041</v>
      </c>
      <c r="C180" s="22" t="s">
        <v>193</v>
      </c>
      <c r="D180" s="22" t="s">
        <v>439</v>
      </c>
      <c r="E180" s="13">
        <v>42764.652129629627</v>
      </c>
      <c r="F180" s="13">
        <v>42764.653437499997</v>
      </c>
      <c r="G180" s="7">
        <v>1</v>
      </c>
      <c r="H180" s="22" t="s">
        <v>417</v>
      </c>
      <c r="I180" s="13">
        <v>42764.663298611114</v>
      </c>
      <c r="J180" s="7">
        <v>0</v>
      </c>
      <c r="K180" s="105" t="str">
        <f t="shared" si="47"/>
        <v>4041/4042</v>
      </c>
      <c r="L180" s="22" t="str">
        <f>VLOOKUP(A180,'Trips&amp;Operators'!$C$1:$G$99999,5,FALSE)</f>
        <v>HELVIE ADAM</v>
      </c>
      <c r="M180" s="6">
        <f t="shared" si="48"/>
        <v>9.8611111170612276E-3</v>
      </c>
      <c r="N180" s="7">
        <f t="shared" si="63"/>
        <v>14.200000008568168</v>
      </c>
      <c r="O180" s="7"/>
      <c r="P180" s="7"/>
      <c r="Q180" s="23"/>
      <c r="R180" s="23"/>
      <c r="S180" s="32">
        <f t="shared" si="64"/>
        <v>1</v>
      </c>
      <c r="T180" s="47" t="str">
        <f t="shared" si="49"/>
        <v>Southbound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0"/>
        <v>https://d0f6bd738d7f1b3e5a7ca70fe4ff75f0.us-east-1.aws.found.io/app/kibana#/discover/Steve-Slow-Train-Analysis-(2080s-and-2083s)?_g=(refreshInterval:(display:Off,pause:!f,section:0,value:0),time:(from:'2017-01-29T14:39:04-0700',mode:absolute,to:'2017-01-29T16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49" t="str">
        <f t="shared" si="51"/>
        <v>N</v>
      </c>
      <c r="X180" s="170">
        <f t="shared" si="66"/>
        <v>1</v>
      </c>
      <c r="Y180" s="64">
        <f t="shared" si="53"/>
        <v>5.8630000000000004</v>
      </c>
      <c r="Z180" s="64">
        <f t="shared" si="54"/>
        <v>7.17E-2</v>
      </c>
      <c r="AA180" s="64">
        <f t="shared" si="55"/>
        <v>5.7913000000000006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56"/>
        <v>1820-29</v>
      </c>
      <c r="AE180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80" s="84" t="str">
        <f t="shared" si="58"/>
        <v>"C:\Program Files (x86)\AstroGrep\AstroGrep.exe" /spath="%USERPROFILE%\AppData\Local\Temp\OnboardLogs" /stypes="app*4041*20170129*" /stext=" 22:.+((SYSTEM_STATE.+slice.+state.+changed )|(ment ac)|(multiple cpu faults)|(system.+state.+changed )|(\[timeout)|(PRM\|1\|D)|(kpr)|(kdp)|(\|lc)|(penalty))" /e /r /s</v>
      </c>
      <c r="AG180" s="1" t="str">
        <f t="shared" si="59"/>
        <v>NW</v>
      </c>
      <c r="AH180" s="88" t="str">
        <f t="shared" si="60"/>
        <v>"%USERPROFILE%\Documents\GitHub\eaglep3\Utilities\RefineRTDCRunTimes.py" --tripid 1820-29 --locoid 4041 --swversion DE.1.0.8.0 --startMP 300:58630 --initTime 2017-01-29T15:39:04 --startdatetime 2017-01-29T15:40:57 --delay 1 --endMP 204:717 --enddatetime 2017-01-29T15:55:09 --enforcementcount 0 &gt;&gt;C:\Users\stu\Documents\GitHub\eaglep3-reporting\EC\2017-01-29-refined-times.txt</v>
      </c>
      <c r="AI180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{"issue":{"subject":"","project_id":79,"tracker_id":40,"status_id":1,"priority_id":2,"assigned_to_id":23,"start_date":"2017-01-29","description":"","custom_fields":[{"id":1,"name":"Subdivision","value":"NW"},{"id":4,"name":"Milepost","value":"0.0717"},{"id":17,"name":"Train ID","value":"1820-29"},{"id":16,"name":"Locomotive ID","value":"4041"},{"id":130,"name":"Impact","value":""},{"id":150,"name":"Time of Event (Mountain Time)","value":"15:55:09"},{"id":151,"name":"Denver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62"/>
        <v>start /low /b %USERPROFILE%\Documents\GitHub\eaglep3\Utilities\DownloadLogsFromS3.py --loco 4041 --day 2017-01-29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</row>
    <row r="181" spans="1:91" x14ac:dyDescent="0.25">
      <c r="A181" s="34" t="s">
        <v>468</v>
      </c>
      <c r="B181" s="7">
        <v>4042</v>
      </c>
      <c r="C181" s="22" t="s">
        <v>193</v>
      </c>
      <c r="D181" s="22" t="s">
        <v>735</v>
      </c>
      <c r="E181" s="13">
        <v>42764.679456018515</v>
      </c>
      <c r="F181" s="13">
        <v>42764.681435185186</v>
      </c>
      <c r="G181" s="7">
        <v>1</v>
      </c>
      <c r="H181" s="22" t="s">
        <v>736</v>
      </c>
      <c r="I181" s="13">
        <v>42764.691724537035</v>
      </c>
      <c r="J181" s="7">
        <v>0</v>
      </c>
      <c r="K181" s="105" t="str">
        <f t="shared" si="47"/>
        <v>4041/4042</v>
      </c>
      <c r="L181" s="22" t="str">
        <f>VLOOKUP(A181,'Trips&amp;Operators'!$C$1:$G$99999,5,FALSE)</f>
        <v>HELVIE ADAM</v>
      </c>
      <c r="M181" s="6">
        <f t="shared" si="48"/>
        <v>1.0289351848769002E-2</v>
      </c>
      <c r="N181" s="7">
        <f t="shared" si="63"/>
        <v>14.816666662227362</v>
      </c>
      <c r="O181" s="7"/>
      <c r="P181" s="7"/>
      <c r="Q181" s="23"/>
      <c r="R181" s="23"/>
      <c r="S181" s="32">
        <f t="shared" si="64"/>
        <v>1</v>
      </c>
      <c r="T181" s="47" t="str">
        <f t="shared" si="49"/>
        <v>NorthBound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0"/>
        <v>https://d0f6bd738d7f1b3e5a7ca70fe4ff75f0.us-east-1.aws.found.io/app/kibana#/discover/Steve-Slow-Train-Analysis-(2080s-and-2083s)?_g=(refreshInterval:(display:Off,pause:!f,section:0,value:0),time:(from:'2017-01-29T15:18:25-0700',mode:absolute,to:'2017-01-29T17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49" t="str">
        <f t="shared" si="51"/>
        <v>N</v>
      </c>
      <c r="X181" s="170">
        <f t="shared" si="66"/>
        <v>1</v>
      </c>
      <c r="Y181" s="64">
        <f t="shared" si="53"/>
        <v>0.1</v>
      </c>
      <c r="Z181" s="64">
        <f t="shared" si="54"/>
        <v>5.8956</v>
      </c>
      <c r="AA181" s="64">
        <f t="shared" si="55"/>
        <v>5.7956000000000003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56"/>
        <v>1821-29</v>
      </c>
      <c r="AE181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81" s="84" t="str">
        <f t="shared" si="58"/>
        <v>"C:\Program Files (x86)\AstroGrep\AstroGrep.exe" /spath="%USERPROFILE%\AppData\Local\Temp\OnboardLogs" /stypes="app*4042*20170129*" /stext=" 23:.+((SYSTEM_STATE.+slice.+state.+changed )|(ment ac)|(multiple cpu faults)|(system.+state.+changed )|(\[timeout)|(PRM\|1\|D)|(kpr)|(kdp)|(\|lc)|(penalty))" /e /r /s</v>
      </c>
      <c r="AG181" s="1" t="str">
        <f t="shared" si="59"/>
        <v>NW</v>
      </c>
      <c r="AH181" s="88" t="str">
        <f t="shared" si="60"/>
        <v>"%USERPROFILE%\Documents\GitHub\eaglep3\Utilities\RefineRTDCRunTimes.py" --tripid 1821-29 --locoid 4042 --swversion DE.1.0.8.0 --startMP 204:1000 --initTime 2017-01-29T16:18:25 --startdatetime 2017-01-29T16:21:16 --delay 1 --endMP 300:58956 --enddatetime 2017-01-29T16:36:05 --enforcementcount 0 &gt;&gt;C:\Users\stu\Documents\GitHub\eaglep3-reporting\EC\2017-01-29-refined-times.txt</v>
      </c>
      <c r="AI181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{"issue":{"subject":"","project_id":79,"tracker_id":40,"status_id":1,"priority_id":2,"assigned_to_id":23,"start_date":"2017-01-29","description":"","custom_fields":[{"id":1,"name":"Subdivision","value":"NW"},{"id":4,"name":"Milepost","value":"5.8956"},{"id":17,"name":"Train ID","value":"1821-29"},{"id":16,"name":"Locomotive ID","value":"4042"},{"id":130,"name":"Impact","value":""},{"id":150,"name":"Time of Event (Mountain Time)","value":"16:36:05"},{"id":151,"name":"Denver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62"/>
        <v>start /low /b %USERPROFILE%\Documents\GitHub\eaglep3\Utilities\DownloadLogsFromS3.py --loco 4042 --day 2017-01-29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</row>
    <row r="182" spans="1:91" x14ac:dyDescent="0.25">
      <c r="A182" s="34" t="s">
        <v>601</v>
      </c>
      <c r="B182" s="7">
        <v>4041</v>
      </c>
      <c r="C182" s="22" t="s">
        <v>193</v>
      </c>
      <c r="D182" s="22" t="s">
        <v>737</v>
      </c>
      <c r="E182" s="13">
        <v>42764.693194444444</v>
      </c>
      <c r="F182" s="13">
        <v>42764.695416666669</v>
      </c>
      <c r="G182" s="7">
        <v>2</v>
      </c>
      <c r="H182" s="22" t="s">
        <v>738</v>
      </c>
      <c r="I182" s="13">
        <v>42764.705775462964</v>
      </c>
      <c r="J182" s="7">
        <v>0</v>
      </c>
      <c r="K182" s="105" t="str">
        <f t="shared" si="47"/>
        <v>4041/4042</v>
      </c>
      <c r="L182" s="22" t="str">
        <f>VLOOKUP(A182,'Trips&amp;Operators'!$C$1:$G$99999,5,FALSE)</f>
        <v>HELVIE ADAM</v>
      </c>
      <c r="M182" s="6">
        <f t="shared" si="48"/>
        <v>1.0358796294895001E-2</v>
      </c>
      <c r="N182" s="7">
        <f t="shared" si="63"/>
        <v>14.916666664648801</v>
      </c>
      <c r="O182" s="7"/>
      <c r="P182" s="7"/>
      <c r="Q182" s="23"/>
      <c r="R182" s="23"/>
      <c r="S182" s="32">
        <f t="shared" si="64"/>
        <v>1</v>
      </c>
      <c r="T182" s="47" t="str">
        <f t="shared" si="49"/>
        <v>Southbound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0"/>
        <v>https://d0f6bd738d7f1b3e5a7ca70fe4ff75f0.us-east-1.aws.found.io/app/kibana#/discover/Steve-Slow-Train-Analysis-(2080s-and-2083s)?_g=(refreshInterval:(display:Off,pause:!f,section:0,value:0),time:(from:'2017-01-29T15:38:12-0700',mode:absolute,to:'2017-01-29T17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49" t="str">
        <f t="shared" si="51"/>
        <v>N</v>
      </c>
      <c r="X182" s="170">
        <f t="shared" si="66"/>
        <v>1</v>
      </c>
      <c r="Y182" s="64">
        <f t="shared" si="53"/>
        <v>5.8644999999999996</v>
      </c>
      <c r="Z182" s="64">
        <f t="shared" si="54"/>
        <v>8.2400000000000001E-2</v>
      </c>
      <c r="AA182" s="64">
        <f t="shared" si="55"/>
        <v>5.7820999999999998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56"/>
        <v>1822-29</v>
      </c>
      <c r="AE182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82" s="84" t="str">
        <f t="shared" si="58"/>
        <v>"C:\Program Files (x86)\AstroGrep\AstroGrep.exe" /spath="%USERPROFILE%\AppData\Local\Temp\OnboardLogs" /stypes="app*4041*20170129*" /stext=" 23:.+((SYSTEM_STATE.+slice.+state.+changed )|(ment ac)|(multiple cpu faults)|(system.+state.+changed )|(\[timeout)|(PRM\|1\|D)|(kpr)|(kdp)|(\|lc)|(penalty))" /e /r /s</v>
      </c>
      <c r="AG182" s="1" t="str">
        <f t="shared" si="59"/>
        <v>NW</v>
      </c>
      <c r="AH182" s="88" t="str">
        <f t="shared" si="60"/>
        <v>"%USERPROFILE%\Documents\GitHub\eaglep3\Utilities\RefineRTDCRunTimes.py" --tripid 1822-29 --locoid 4041 --swversion DE.1.0.8.0 --startMP 300:58645 --initTime 2017-01-29T16:38:12 --startdatetime 2017-01-29T16:41:24 --delay 2 --endMP 204:824 --enddatetime 2017-01-29T16:56:19 --enforcementcount 0 &gt;&gt;C:\Users\stu\Documents\GitHub\eaglep3-reporting\EC\2017-01-29-refined-times.txt</v>
      </c>
      <c r="AI182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{"issue":{"subject":"","project_id":79,"tracker_id":40,"status_id":1,"priority_id":2,"assigned_to_id":23,"start_date":"2017-01-29","description":"","custom_fields":[{"id":1,"name":"Subdivision","value":"NW"},{"id":4,"name":"Milepost","value":"0.0824"},{"id":17,"name":"Train ID","value":"1822-29"},{"id":16,"name":"Locomotive ID","value":"4041"},{"id":130,"name":"Impact","value":""},{"id":150,"name":"Time of Event (Mountain Time)","value":"16:56:19"},{"id":151,"name":"Denver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62"/>
        <v>start /low /b %USERPROFILE%\Documents\GitHub\eaglep3\Utilities\DownloadLogsFromS3.py --loco 4041 --day 2017-01-29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"%USERPROFILE%\AppData\Local\Temp\OnboardLogs"\RTDC4041\*4041*20170129* | grep -SE "(Enforcement Action)|(\[TIMEOUT)|(CHR.+\|PRM\|1\|D.+(SWITCH|SIGNAL).+UNKNOWN)" - &gt;&gt; 2017-01-29-UncaughtWiMAX.txt</v>
      </c>
    </row>
    <row r="183" spans="1:91" s="21" customFormat="1" x14ac:dyDescent="0.25">
      <c r="A183" s="34" t="s">
        <v>606</v>
      </c>
      <c r="B183" s="7">
        <v>4042</v>
      </c>
      <c r="C183" s="22" t="s">
        <v>193</v>
      </c>
      <c r="D183" s="22" t="s">
        <v>739</v>
      </c>
      <c r="E183" s="13">
        <v>42764.720995370371</v>
      </c>
      <c r="F183" s="13">
        <v>42764.723229166666</v>
      </c>
      <c r="G183" s="7">
        <v>1</v>
      </c>
      <c r="H183" s="22" t="s">
        <v>740</v>
      </c>
      <c r="I183" s="13">
        <v>42764.733368055553</v>
      </c>
      <c r="J183" s="7">
        <v>0</v>
      </c>
      <c r="K183" s="105" t="str">
        <f t="shared" si="47"/>
        <v>4041/4042</v>
      </c>
      <c r="L183" s="22" t="str">
        <f>VLOOKUP(A183,'Trips&amp;Operators'!$C$1:$G$99999,5,FALSE)</f>
        <v>HELVIE ADAM</v>
      </c>
      <c r="M183" s="6">
        <f t="shared" si="48"/>
        <v>1.0138888887013309E-2</v>
      </c>
      <c r="N183" s="7">
        <f t="shared" si="63"/>
        <v>14.599999997299165</v>
      </c>
      <c r="O183" s="7"/>
      <c r="P183" s="7"/>
      <c r="Q183" s="23"/>
      <c r="R183" s="23"/>
      <c r="S183" s="32">
        <f t="shared" si="64"/>
        <v>1</v>
      </c>
      <c r="T183" s="47" t="str">
        <f t="shared" si="49"/>
        <v>NorthBound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0"/>
        <v>https://d0f6bd738d7f1b3e5a7ca70fe4ff75f0.us-east-1.aws.found.io/app/kibana#/discover/Steve-Slow-Train-Analysis-(2080s-and-2083s)?_g=(refreshInterval:(display:Off,pause:!f,section:0,value:0),time:(from:'2017-01-29T16:18:14-0700',mode:absolute,to:'2017-01-29T18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49" t="str">
        <f t="shared" si="51"/>
        <v>N</v>
      </c>
      <c r="X183" s="170">
        <f t="shared" si="66"/>
        <v>1</v>
      </c>
      <c r="Y183" s="64">
        <f t="shared" si="53"/>
        <v>0.1116</v>
      </c>
      <c r="Z183" s="64">
        <f t="shared" si="54"/>
        <v>5.8936999999999999</v>
      </c>
      <c r="AA183" s="64">
        <f t="shared" si="55"/>
        <v>5.7820999999999998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56"/>
        <v>1823-29</v>
      </c>
      <c r="AE183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83" s="84" t="str">
        <f t="shared" si="58"/>
        <v>"C:\Program Files (x86)\AstroGrep\AstroGrep.exe" /spath="%USERPROFILE%\AppData\Local\Temp\OnboardLogs" /stypes="app*4042*20170130*" /stext=" 00:.+((SYSTEM_STATE.+slice.+state.+changed )|(ment ac)|(multiple cpu faults)|(system.+state.+changed )|(\[timeout)|(PRM\|1\|D)|(kpr)|(kdp)|(\|lc)|(penalty))" /e /r /s</v>
      </c>
      <c r="AG183" s="1" t="str">
        <f t="shared" si="59"/>
        <v>NW</v>
      </c>
      <c r="AH183" s="88" t="str">
        <f t="shared" si="60"/>
        <v>"%USERPROFILE%\Documents\GitHub\eaglep3\Utilities\RefineRTDCRunTimes.py" --tripid 1823-29 --locoid 4042 --swversion DE.1.0.8.0 --startMP 204:1116 --initTime 2017-01-29T17:18:14 --startdatetime 2017-01-29T17:21:27 --delay 1 --endMP 300:58937 --enddatetime 2017-01-29T17:36:03 --enforcementcount 0 &gt;&gt;C:\Users\stu\Documents\GitHub\eaglep3-reporting\EC\2017-01-29-refined-times.txt</v>
      </c>
      <c r="AI183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{"issue":{"subject":"","project_id":79,"tracker_id":40,"status_id":1,"priority_id":2,"assigned_to_id":23,"start_date":"2017-01-29","description":"","custom_fields":[{"id":1,"name":"Subdivision","value":"NW"},{"id":4,"name":"Milepost","value":"5.8937"},{"id":17,"name":"Train ID","value":"1823-29"},{"id":16,"name":"Locomotive ID","value":"4042"},{"id":130,"name":"Impact","value":""},{"id":150,"name":"Time of Event (Mountain Time)","value":"17:36:03"},{"id":151,"name":"Denver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62"/>
        <v>start /low /b %USERPROFILE%\Documents\GitHub\eaglep3\Utilities\DownloadLogsFromS3.py --loco 4042 --day 2017-01-29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2017-01-29-UncaughtWiMAX.txt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612</v>
      </c>
      <c r="B184" s="7">
        <v>4041</v>
      </c>
      <c r="C184" s="22" t="s">
        <v>193</v>
      </c>
      <c r="D184" s="22" t="s">
        <v>741</v>
      </c>
      <c r="E184" s="13">
        <v>42764.734270833331</v>
      </c>
      <c r="F184" s="13">
        <v>42764.735844907409</v>
      </c>
      <c r="G184" s="7">
        <v>1</v>
      </c>
      <c r="H184" s="22" t="s">
        <v>742</v>
      </c>
      <c r="I184" s="13">
        <v>42764.747083333335</v>
      </c>
      <c r="J184" s="7">
        <v>0</v>
      </c>
      <c r="K184" s="105" t="str">
        <f t="shared" si="47"/>
        <v>4041/4042</v>
      </c>
      <c r="L184" s="22" t="str">
        <f>VLOOKUP(A184,'Trips&amp;Operators'!$C$1:$G$99999,5,FALSE)</f>
        <v>HELVIE ADAM</v>
      </c>
      <c r="M184" s="6">
        <f t="shared" si="48"/>
        <v>1.1238425926421769E-2</v>
      </c>
      <c r="N184" s="7">
        <f t="shared" si="63"/>
        <v>16.183333334047347</v>
      </c>
      <c r="O184" s="7"/>
      <c r="P184" s="7"/>
      <c r="Q184" s="23"/>
      <c r="R184" s="23"/>
      <c r="S184" s="32">
        <f t="shared" si="64"/>
        <v>1</v>
      </c>
      <c r="T184" s="47" t="str">
        <f t="shared" si="49"/>
        <v>Southbound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0"/>
        <v>https://d0f6bd738d7f1b3e5a7ca70fe4ff75f0.us-east-1.aws.found.io/app/kibana#/discover/Steve-Slow-Train-Analysis-(2080s-and-2083s)?_g=(refreshInterval:(display:Off,pause:!f,section:0,value:0),time:(from:'2017-01-29T16:37:21-0700',mode:absolute,to:'2017-01-29T18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49" t="str">
        <f t="shared" si="51"/>
        <v>N</v>
      </c>
      <c r="X184" s="170">
        <f t="shared" si="66"/>
        <v>1</v>
      </c>
      <c r="Y184" s="64">
        <f t="shared" si="53"/>
        <v>5.8623000000000003</v>
      </c>
      <c r="Z184" s="64">
        <f t="shared" si="54"/>
        <v>7.8700000000000006E-2</v>
      </c>
      <c r="AA184" s="64">
        <f t="shared" si="55"/>
        <v>5.7835999999999999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56"/>
        <v>1824-29</v>
      </c>
      <c r="AE184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84" s="84" t="str">
        <f t="shared" si="58"/>
        <v>"C:\Program Files (x86)\AstroGrep\AstroGrep.exe" /spath="%USERPROFILE%\AppData\Local\Temp\OnboardLogs" /stypes="app*4041*20170130*" /stext=" 00:.+((SYSTEM_STATE.+slice.+state.+changed )|(ment ac)|(multiple cpu faults)|(system.+state.+changed )|(\[timeout)|(PRM\|1\|D)|(kpr)|(kdp)|(\|lc)|(penalty))" /e /r /s</v>
      </c>
      <c r="AG184" s="1" t="str">
        <f t="shared" si="59"/>
        <v>NW</v>
      </c>
      <c r="AH184" s="88" t="str">
        <f t="shared" si="60"/>
        <v>"%USERPROFILE%\Documents\GitHub\eaglep3\Utilities\RefineRTDCRunTimes.py" --tripid 1824-29 --locoid 4041 --swversion DE.1.0.8.0 --startMP 300:58623 --initTime 2017-01-29T17:37:21 --startdatetime 2017-01-29T17:39:37 --delay 1 --endMP 204:787 --enddatetime 2017-01-29T17:55:48 --enforcementcount 0 &gt;&gt;C:\Users\stu\Documents\GitHub\eaglep3-reporting\EC\2017-01-29-refined-times.txt</v>
      </c>
      <c r="AI184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{"issue":{"subject":"","project_id":79,"tracker_id":40,"status_id":1,"priority_id":2,"assigned_to_id":23,"start_date":"2017-01-29","description":"","custom_fields":[{"id":1,"name":"Subdivision","value":"NW"},{"id":4,"name":"Milepost","value":"0.0787"},{"id":17,"name":"Train ID","value":"1824-29"},{"id":16,"name":"Locomotive ID","value":"4041"},{"id":130,"name":"Impact","value":""},{"id":150,"name":"Time of Event (Mountain Time)","value":"17:55:48"},{"id":151,"name":"Denver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62"/>
        <v>start /low /b %USERPROFILE%\Documents\GitHub\eaglep3\Utilities\DownloadLogsFromS3.py --loco 4041 --day 2017-01-29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2017-01-29-UncaughtWiMAX.txt</v>
      </c>
    </row>
    <row r="185" spans="1:91" x14ac:dyDescent="0.25">
      <c r="A185" s="34" t="s">
        <v>619</v>
      </c>
      <c r="B185" s="7">
        <v>4042</v>
      </c>
      <c r="C185" s="22" t="s">
        <v>193</v>
      </c>
      <c r="D185" s="22" t="s">
        <v>743</v>
      </c>
      <c r="E185" s="13">
        <v>42764.763067129628</v>
      </c>
      <c r="F185" s="13">
        <v>42764.764791666668</v>
      </c>
      <c r="G185" s="7">
        <v>1</v>
      </c>
      <c r="H185" s="22" t="s">
        <v>740</v>
      </c>
      <c r="I185" s="13">
        <v>42764.775451388887</v>
      </c>
      <c r="J185" s="7">
        <v>0</v>
      </c>
      <c r="K185" s="105" t="str">
        <f t="shared" si="47"/>
        <v>4041/4042</v>
      </c>
      <c r="L185" s="22" t="str">
        <f>VLOOKUP(A185,'Trips&amp;Operators'!$C$1:$G$99999,5,FALSE)</f>
        <v>HELVIE ADAM</v>
      </c>
      <c r="M185" s="6">
        <f t="shared" si="48"/>
        <v>1.0659722218406387E-2</v>
      </c>
      <c r="N185" s="7">
        <f t="shared" si="63"/>
        <v>15.349999994505197</v>
      </c>
      <c r="O185" s="7"/>
      <c r="P185" s="7"/>
      <c r="Q185" s="23"/>
      <c r="R185" s="23"/>
      <c r="S185" s="32">
        <f t="shared" si="64"/>
        <v>1</v>
      </c>
      <c r="T185" s="47" t="str">
        <f t="shared" si="49"/>
        <v>NorthBound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0"/>
        <v>https://d0f6bd738d7f1b3e5a7ca70fe4ff75f0.us-east-1.aws.found.io/app/kibana#/discover/Steve-Slow-Train-Analysis-(2080s-and-2083s)?_g=(refreshInterval:(display:Off,pause:!f,section:0,value:0),time:(from:'2017-01-29T17:18:49-0700',mode:absolute,to:'2017-01-29T19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5" s="49" t="str">
        <f t="shared" si="51"/>
        <v>N</v>
      </c>
      <c r="X185" s="170">
        <f t="shared" si="66"/>
        <v>1</v>
      </c>
      <c r="Y185" s="64">
        <f t="shared" si="53"/>
        <v>0.1069</v>
      </c>
      <c r="Z185" s="64">
        <f t="shared" si="54"/>
        <v>5.8936999999999999</v>
      </c>
      <c r="AA185" s="64">
        <f t="shared" si="55"/>
        <v>5.7867999999999995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56"/>
        <v>1825-29</v>
      </c>
      <c r="AE185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85" s="84" t="str">
        <f t="shared" si="58"/>
        <v>"C:\Program Files (x86)\AstroGrep\AstroGrep.exe" /spath="%USERPROFILE%\AppData\Local\Temp\OnboardLogs" /stypes="app*4042*20170130*" /stext=" 01:.+((SYSTEM_STATE.+slice.+state.+changed )|(ment ac)|(multiple cpu faults)|(system.+state.+changed )|(\[timeout)|(PRM\|1\|D)|(kpr)|(kdp)|(\|lc)|(penalty))" /e /r /s</v>
      </c>
      <c r="AG185" s="1" t="str">
        <f t="shared" si="59"/>
        <v>NW</v>
      </c>
      <c r="AH185" s="88" t="str">
        <f t="shared" si="60"/>
        <v>"%USERPROFILE%\Documents\GitHub\eaglep3\Utilities\RefineRTDCRunTimes.py" --tripid 1825-29 --locoid 4042 --swversion DE.1.0.8.0 --startMP 204:1069 --initTime 2017-01-29T18:18:49 --startdatetime 2017-01-29T18:21:18 --delay 1 --endMP 300:58937 --enddatetime 2017-01-29T18:36:39 --enforcementcount 0 &gt;&gt;C:\Users\stu\Documents\GitHub\eaglep3-reporting\EC\2017-01-29-refined-times.txt</v>
      </c>
      <c r="AI185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{"issue":{"subject":"","project_id":79,"tracker_id":40,"status_id":1,"priority_id":2,"assigned_to_id":23,"start_date":"2017-01-29","description":"","custom_fields":[{"id":1,"name":"Subdivision","value":"NW"},{"id":4,"name":"Milepost","value":"5.8937"},{"id":17,"name":"Train ID","value":"1825-29"},{"id":16,"name":"Locomotive ID","value":"4042"},{"id":130,"name":"Impact","value":""},{"id":150,"name":"Time of Event (Mountain Time)","value":"18:36:39"},{"id":151,"name":"Denver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62"/>
        <v>start /low /b %USERPROFILE%\Documents\GitHub\eaglep3\Utilities\DownloadLogsFromS3.py --loco 4042 --day 2017-01-29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2017-01-29-UncaughtWiMAX.txt</v>
      </c>
    </row>
    <row r="186" spans="1:91" x14ac:dyDescent="0.25">
      <c r="A186" s="34" t="s">
        <v>625</v>
      </c>
      <c r="B186" s="7">
        <v>4041</v>
      </c>
      <c r="C186" s="22" t="s">
        <v>193</v>
      </c>
      <c r="D186" s="22" t="s">
        <v>434</v>
      </c>
      <c r="E186" s="13">
        <v>42764.778773148151</v>
      </c>
      <c r="F186" s="13">
        <v>42764.779953703706</v>
      </c>
      <c r="G186" s="7">
        <v>1</v>
      </c>
      <c r="H186" s="22" t="s">
        <v>432</v>
      </c>
      <c r="I186" s="13">
        <v>42764.790995370371</v>
      </c>
      <c r="J186" s="7">
        <v>0</v>
      </c>
      <c r="K186" s="105" t="str">
        <f t="shared" si="47"/>
        <v>4041/4042</v>
      </c>
      <c r="L186" s="22" t="str">
        <f>VLOOKUP(A186,'Trips&amp;Operators'!$C$1:$G$99999,5,FALSE)</f>
        <v>HELVIE ADAM</v>
      </c>
      <c r="M186" s="6">
        <f t="shared" si="48"/>
        <v>1.1041666664823424E-2</v>
      </c>
      <c r="N186" s="7">
        <f t="shared" si="63"/>
        <v>15.899999997345731</v>
      </c>
      <c r="O186" s="7"/>
      <c r="P186" s="7"/>
      <c r="Q186" s="23"/>
      <c r="R186" s="23"/>
      <c r="S186" s="32">
        <f t="shared" si="64"/>
        <v>1</v>
      </c>
      <c r="T186" s="47" t="str">
        <f t="shared" si="49"/>
        <v>Southbound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0"/>
        <v>https://d0f6bd738d7f1b3e5a7ca70fe4ff75f0.us-east-1.aws.found.io/app/kibana#/discover/Steve-Slow-Train-Analysis-(2080s-and-2083s)?_g=(refreshInterval:(display:Off,pause:!f,section:0,value:0),time:(from:'2017-01-29T17:41:26-0700',mode:absolute,to:'2017-01-29T19:59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6" s="49" t="str">
        <f t="shared" si="51"/>
        <v>N</v>
      </c>
      <c r="X186" s="170">
        <f t="shared" si="66"/>
        <v>1</v>
      </c>
      <c r="Y186" s="64">
        <f t="shared" si="53"/>
        <v>5.8624000000000001</v>
      </c>
      <c r="Z186" s="64">
        <f t="shared" si="54"/>
        <v>7.7100000000000002E-2</v>
      </c>
      <c r="AA186" s="64">
        <f t="shared" si="55"/>
        <v>5.7853000000000003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56"/>
        <v>1826-29</v>
      </c>
      <c r="AE186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86" s="84" t="str">
        <f t="shared" si="58"/>
        <v>"C:\Program Files (x86)\AstroGrep\AstroGrep.exe" /spath="%USERPROFILE%\AppData\Local\Temp\OnboardLogs" /stypes="app*4041*20170130*" /stext=" 01:.+((SYSTEM_STATE.+slice.+state.+changed )|(ment ac)|(multiple cpu faults)|(system.+state.+changed )|(\[timeout)|(PRM\|1\|D)|(kpr)|(kdp)|(\|lc)|(penalty))" /e /r /s</v>
      </c>
      <c r="AG186" s="1" t="str">
        <f t="shared" si="59"/>
        <v>NW</v>
      </c>
      <c r="AH186" s="88" t="str">
        <f t="shared" si="60"/>
        <v>"%USERPROFILE%\Documents\GitHub\eaglep3\Utilities\RefineRTDCRunTimes.py" --tripid 1826-29 --locoid 4041 --swversion DE.1.0.8.0 --startMP 300:58624 --initTime 2017-01-29T18:41:26 --startdatetime 2017-01-29T18:43:08 --delay 1 --endMP 204:771 --enddatetime 2017-01-29T18:59:02 --enforcementcount 0 &gt;&gt;C:\Users\stu\Documents\GitHub\eaglep3-reporting\EC\2017-01-29-refined-times.txt</v>
      </c>
      <c r="AI186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{"issue":{"subject":"","project_id":79,"tracker_id":40,"status_id":1,"priority_id":2,"assigned_to_id":23,"start_date":"2017-01-29","description":"","custom_fields":[{"id":1,"name":"Subdivision","value":"NW"},{"id":4,"name":"Milepost","value":"0.0771"},{"id":17,"name":"Train ID","value":"1826-29"},{"id":16,"name":"Locomotive ID","value":"4041"},{"id":130,"name":"Impact","value":""},{"id":150,"name":"Time of Event (Mountain Time)","value":"18:59:02"},{"id":151,"name":"Denver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62"/>
        <v>start /low /b %USERPROFILE%\Documents\GitHub\eaglep3\Utilities\DownloadLogsFromS3.py --loco 4041 --day 2017-01-29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2017-01-29-UncaughtWiMAX.txt</v>
      </c>
    </row>
    <row r="187" spans="1:91" x14ac:dyDescent="0.25">
      <c r="A187" s="34" t="s">
        <v>630</v>
      </c>
      <c r="B187" s="7">
        <v>4042</v>
      </c>
      <c r="C187" s="22" t="s">
        <v>193</v>
      </c>
      <c r="D187" s="22" t="s">
        <v>744</v>
      </c>
      <c r="E187" s="13">
        <v>42764.804074074076</v>
      </c>
      <c r="F187" s="13">
        <v>42764.806539351855</v>
      </c>
      <c r="G187" s="7">
        <v>1</v>
      </c>
      <c r="H187" s="22" t="s">
        <v>745</v>
      </c>
      <c r="I187" s="13">
        <v>42764.816851851851</v>
      </c>
      <c r="J187" s="7">
        <v>0</v>
      </c>
      <c r="K187" s="105" t="str">
        <f t="shared" si="47"/>
        <v>4041/4042</v>
      </c>
      <c r="L187" s="22" t="str">
        <f>VLOOKUP(A187,'Trips&amp;Operators'!$C$1:$G$99999,5,FALSE)</f>
        <v>HELVIE ADAM</v>
      </c>
      <c r="M187" s="6">
        <f t="shared" si="48"/>
        <v>1.0312499995052349E-2</v>
      </c>
      <c r="N187" s="7">
        <f t="shared" si="63"/>
        <v>14.849999992875382</v>
      </c>
      <c r="O187" s="7"/>
      <c r="P187" s="7"/>
      <c r="Q187" s="23"/>
      <c r="R187" s="23"/>
      <c r="S187" s="32">
        <f t="shared" si="64"/>
        <v>1</v>
      </c>
      <c r="T187" s="47" t="str">
        <f t="shared" si="49"/>
        <v>NorthBound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0"/>
        <v>https://d0f6bd738d7f1b3e5a7ca70fe4ff75f0.us-east-1.aws.found.io/app/kibana#/discover/Steve-Slow-Train-Analysis-(2080s-and-2083s)?_g=(refreshInterval:(display:Off,pause:!f,section:0,value:0),time:(from:'2017-01-29T18:17:52-0700',mode:absolute,to:'2017-01-29T20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49" t="str">
        <f t="shared" si="51"/>
        <v>N</v>
      </c>
      <c r="X187" s="170">
        <f t="shared" si="66"/>
        <v>1</v>
      </c>
      <c r="Y187" s="64">
        <f t="shared" si="53"/>
        <v>0.1041</v>
      </c>
      <c r="Z187" s="64">
        <f t="shared" si="54"/>
        <v>5.8930999999999996</v>
      </c>
      <c r="AA187" s="64">
        <f t="shared" si="55"/>
        <v>5.7889999999999997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56"/>
        <v>1827-29</v>
      </c>
      <c r="AE187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87" s="84" t="str">
        <f t="shared" si="58"/>
        <v>"C:\Program Files (x86)\AstroGrep\AstroGrep.exe" /spath="%USERPROFILE%\AppData\Local\Temp\OnboardLogs" /stypes="app*4042*20170130*" /stext=" 02:.+((SYSTEM_STATE.+slice.+state.+changed )|(ment ac)|(multiple cpu faults)|(system.+state.+changed )|(\[timeout)|(PRM\|1\|D)|(kpr)|(kdp)|(\|lc)|(penalty))" /e /r /s</v>
      </c>
      <c r="AG187" s="1" t="str">
        <f t="shared" si="59"/>
        <v>NW</v>
      </c>
      <c r="AH187" s="88" t="str">
        <f t="shared" si="60"/>
        <v>"%USERPROFILE%\Documents\GitHub\eaglep3\Utilities\RefineRTDCRunTimes.py" --tripid 1827-29 --locoid 4042 --swversion DE.1.0.8.0 --startMP 204:1041 --initTime 2017-01-29T19:17:52 --startdatetime 2017-01-29T19:21:25 --delay 1 --endMP 300:58931 --enddatetime 2017-01-29T19:36:16 --enforcementcount 0 &gt;&gt;C:\Users\stu\Documents\GitHub\eaglep3-reporting\EC\2017-01-29-refined-times.txt</v>
      </c>
      <c r="AI187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{"issue":{"subject":"","project_id":79,"tracker_id":40,"status_id":1,"priority_id":2,"assigned_to_id":23,"start_date":"2017-01-29","description":"","custom_fields":[{"id":1,"name":"Subdivision","value":"NW"},{"id":4,"name":"Milepost","value":"5.8931"},{"id":17,"name":"Train ID","value":"1827-29"},{"id":16,"name":"Locomotive ID","value":"4042"},{"id":130,"name":"Impact","value":""},{"id":150,"name":"Time of Event (Mountain Time)","value":"19:36:16"},{"id":151,"name":"Denver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62"/>
        <v>start /low /b %USERPROFILE%\Documents\GitHub\eaglep3\Utilities\DownloadLogsFromS3.py --loco 4042 --day 2017-01-29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2017-01-29-UncaughtWiMAX.txt</v>
      </c>
    </row>
    <row r="188" spans="1:91" x14ac:dyDescent="0.25">
      <c r="A188" s="34" t="s">
        <v>632</v>
      </c>
      <c r="B188" s="7">
        <v>4041</v>
      </c>
      <c r="C188" s="22" t="s">
        <v>193</v>
      </c>
      <c r="D188" s="22" t="s">
        <v>436</v>
      </c>
      <c r="E188" s="13">
        <v>42764.817893518521</v>
      </c>
      <c r="F188" s="13">
        <v>42764.819189814814</v>
      </c>
      <c r="G188" s="7">
        <v>1</v>
      </c>
      <c r="H188" s="22" t="s">
        <v>433</v>
      </c>
      <c r="I188" s="13">
        <v>42764.831550925926</v>
      </c>
      <c r="J188" s="7">
        <v>0</v>
      </c>
      <c r="K188" s="105" t="str">
        <f t="shared" si="47"/>
        <v>4041/4042</v>
      </c>
      <c r="L188" s="22" t="str">
        <f>VLOOKUP(A188,'Trips&amp;Operators'!$C$1:$G$99999,5,FALSE)</f>
        <v>HELVIE ADAM</v>
      </c>
      <c r="M188" s="6">
        <f t="shared" si="48"/>
        <v>1.2361111112113576E-2</v>
      </c>
      <c r="N188" s="7">
        <f t="shared" ref="N188:N217" si="67">24*60*SUM($M188:$M188)</f>
        <v>17.80000000144355</v>
      </c>
      <c r="O188" s="7"/>
      <c r="P188" s="7"/>
      <c r="Q188" s="23"/>
      <c r="R188" s="23"/>
      <c r="S188" s="32">
        <f t="shared" ref="S188:S217" si="68">SUM(U188:U188)/IF(AG188="EC",12,1)</f>
        <v>1</v>
      </c>
      <c r="T188" s="47" t="str">
        <f t="shared" si="49"/>
        <v>Southbound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0"/>
        <v>https://d0f6bd738d7f1b3e5a7ca70fe4ff75f0.us-east-1.aws.found.io/app/kibana#/discover/Steve-Slow-Train-Analysis-(2080s-and-2083s)?_g=(refreshInterval:(display:Off,pause:!f,section:0,value:0),time:(from:'2017-01-29T18:37:46-0700',mode:absolute,to:'2017-01-29T20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8" s="49" t="str">
        <f t="shared" si="51"/>
        <v>N</v>
      </c>
      <c r="X188" s="170">
        <f t="shared" si="66"/>
        <v>1</v>
      </c>
      <c r="Y188" s="64">
        <f t="shared" si="53"/>
        <v>5.8611000000000004</v>
      </c>
      <c r="Z188" s="64">
        <f t="shared" si="54"/>
        <v>7.4499999999999997E-2</v>
      </c>
      <c r="AA188" s="64">
        <f t="shared" si="55"/>
        <v>5.7866000000000009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56"/>
        <v>1828-29</v>
      </c>
      <c r="AE188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88" s="84" t="str">
        <f t="shared" si="58"/>
        <v>"C:\Program Files (x86)\AstroGrep\AstroGrep.exe" /spath="%USERPROFILE%\AppData\Local\Temp\OnboardLogs" /stypes="app*4041*20170130*" /stext=" 02:.+((SYSTEM_STATE.+slice.+state.+changed )|(ment ac)|(multiple cpu faults)|(system.+state.+changed )|(\[timeout)|(PRM\|1\|D)|(kpr)|(kdp)|(\|lc)|(penalty))" /e /r /s</v>
      </c>
      <c r="AG188" s="1" t="str">
        <f t="shared" si="59"/>
        <v>NW</v>
      </c>
      <c r="AH188" s="88" t="str">
        <f t="shared" si="60"/>
        <v>"%USERPROFILE%\Documents\GitHub\eaglep3\Utilities\RefineRTDCRunTimes.py" --tripid 1828-29 --locoid 4041 --swversion DE.1.0.8.0 --startMP 300:58611 --initTime 2017-01-29T19:37:46 --startdatetime 2017-01-29T19:39:38 --delay 1 --endMP 204:745 --enddatetime 2017-01-29T19:57:26 --enforcementcount 0 &gt;&gt;C:\Users\stu\Documents\GitHub\eaglep3-reporting\EC\2017-01-29-refined-times.txt</v>
      </c>
      <c r="AI188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{"issue":{"subject":"","project_id":79,"tracker_id":40,"status_id":1,"priority_id":2,"assigned_to_id":23,"start_date":"2017-01-29","description":"","custom_fields":[{"id":1,"name":"Subdivision","value":"NW"},{"id":4,"name":"Milepost","value":"0.0745"},{"id":17,"name":"Train ID","value":"1828-29"},{"id":16,"name":"Locomotive ID","value":"4041"},{"id":130,"name":"Impact","value":""},{"id":150,"name":"Time of Event (Mountain Time)","value":"19:57:26"},{"id":151,"name":"Denver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62"/>
        <v>start /low /b %USERPROFILE%\Documents\GitHub\eaglep3\Utilities\DownloadLogsFromS3.py --loco 4041 --day 2017-01-29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2017-01-29-UncaughtWiMAX.txt</v>
      </c>
    </row>
    <row r="189" spans="1:91" s="21" customFormat="1" x14ac:dyDescent="0.25">
      <c r="A189" s="34" t="s">
        <v>637</v>
      </c>
      <c r="B189" s="7">
        <v>4042</v>
      </c>
      <c r="C189" s="22" t="s">
        <v>193</v>
      </c>
      <c r="D189" s="22" t="s">
        <v>429</v>
      </c>
      <c r="E189" s="13">
        <v>42764.844537037039</v>
      </c>
      <c r="F189" s="13">
        <v>42764.848229166666</v>
      </c>
      <c r="G189" s="7">
        <v>1</v>
      </c>
      <c r="H189" s="22" t="s">
        <v>317</v>
      </c>
      <c r="I189" s="13">
        <v>42764.858518518522</v>
      </c>
      <c r="J189" s="7">
        <v>0</v>
      </c>
      <c r="K189" s="105" t="str">
        <f t="shared" si="47"/>
        <v>4041/4042</v>
      </c>
      <c r="L189" s="22" t="str">
        <f>VLOOKUP(A189,'Trips&amp;Operators'!$C$1:$G$99999,5,FALSE)</f>
        <v>HELVIE ADAM</v>
      </c>
      <c r="M189" s="6">
        <f t="shared" si="48"/>
        <v>1.0289351856044959E-2</v>
      </c>
      <c r="N189" s="7">
        <f t="shared" si="67"/>
        <v>14.816666672704741</v>
      </c>
      <c r="O189" s="7"/>
      <c r="P189" s="7"/>
      <c r="Q189" s="23"/>
      <c r="R189" s="23"/>
      <c r="S189" s="32">
        <f t="shared" si="68"/>
        <v>1</v>
      </c>
      <c r="T189" s="47" t="str">
        <f t="shared" si="49"/>
        <v>NorthBound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0"/>
        <v>https://d0f6bd738d7f1b3e5a7ca70fe4ff75f0.us-east-1.aws.found.io/app/kibana#/discover/Steve-Slow-Train-Analysis-(2080s-and-2083s)?_g=(refreshInterval:(display:Off,pause:!f,section:0,value:0),time:(from:'2017-01-29T19:16:08-0700',mode:absolute,to:'2017-01-29T21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9" s="49" t="str">
        <f t="shared" si="51"/>
        <v>N</v>
      </c>
      <c r="X189" s="170">
        <f t="shared" si="66"/>
        <v>1</v>
      </c>
      <c r="Y189" s="64">
        <f t="shared" si="53"/>
        <v>0.1042</v>
      </c>
      <c r="Z189" s="64">
        <f t="shared" si="54"/>
        <v>5.8935000000000004</v>
      </c>
      <c r="AA189" s="64">
        <f t="shared" si="55"/>
        <v>5.7893000000000008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56"/>
        <v>1829-29</v>
      </c>
      <c r="AE189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89" s="84" t="str">
        <f t="shared" si="58"/>
        <v>"C:\Program Files (x86)\AstroGrep\AstroGrep.exe" /spath="%USERPROFILE%\AppData\Local\Temp\OnboardLogs" /stypes="app*4042*20170130*" /stext=" 03:.+((SYSTEM_STATE.+slice.+state.+changed )|(ment ac)|(multiple cpu faults)|(system.+state.+changed )|(\[timeout)|(PRM\|1\|D)|(kpr)|(kdp)|(\|lc)|(penalty))" /e /r /s</v>
      </c>
      <c r="AG189" s="1" t="str">
        <f t="shared" si="59"/>
        <v>NW</v>
      </c>
      <c r="AH189" s="88" t="str">
        <f t="shared" si="60"/>
        <v>"%USERPROFILE%\Documents\GitHub\eaglep3\Utilities\RefineRTDCRunTimes.py" --tripid 1829-29 --locoid 4042 --swversion DE.1.0.8.0 --startMP 204:1042 --initTime 2017-01-29T20:16:08 --startdatetime 2017-01-29T20:21:27 --delay 1 --endMP 300:58935 --enddatetime 2017-01-29T20:36:16 --enforcementcount 0 &gt;&gt;C:\Users\stu\Documents\GitHub\eaglep3-reporting\EC\2017-01-29-refined-times.txt</v>
      </c>
      <c r="AI189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{"issue":{"subject":"","project_id":79,"tracker_id":40,"status_id":1,"priority_id":2,"assigned_to_id":23,"start_date":"2017-01-29","description":"","custom_fields":[{"id":1,"name":"Subdivision","value":"NW"},{"id":4,"name":"Milepost","value":"5.8935"},{"id":17,"name":"Train ID","value":"1829-29"},{"id":16,"name":"Locomotive ID","value":"4042"},{"id":130,"name":"Impact","value":""},{"id":150,"name":"Time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62"/>
        <v>start /low /b %USERPROFILE%\Documents\GitHub\eaglep3\Utilities\DownloadLogsFromS3.py --loco 4042 --day 2017-01-29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2017-01-29-UncaughtWiMAX.txt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4" t="s">
        <v>639</v>
      </c>
      <c r="B190" s="7">
        <v>4041</v>
      </c>
      <c r="C190" s="22" t="s">
        <v>193</v>
      </c>
      <c r="D190" s="22" t="s">
        <v>746</v>
      </c>
      <c r="E190" s="13">
        <v>42764.859340277777</v>
      </c>
      <c r="F190" s="13">
        <v>42764.860925925925</v>
      </c>
      <c r="G190" s="7">
        <v>1</v>
      </c>
      <c r="H190" s="22" t="s">
        <v>747</v>
      </c>
      <c r="I190" s="13">
        <v>42764.871898148151</v>
      </c>
      <c r="J190" s="7">
        <v>0</v>
      </c>
      <c r="K190" s="105" t="str">
        <f t="shared" si="47"/>
        <v>4041/4042</v>
      </c>
      <c r="L190" s="22" t="str">
        <f>VLOOKUP(A190,'Trips&amp;Operators'!$C$1:$G$99999,5,FALSE)</f>
        <v>HELVIE ADAM</v>
      </c>
      <c r="M190" s="6">
        <f t="shared" si="48"/>
        <v>1.0972222225973383E-2</v>
      </c>
      <c r="N190" s="7">
        <f t="shared" si="67"/>
        <v>15.800000005401671</v>
      </c>
      <c r="O190" s="7"/>
      <c r="P190" s="7"/>
      <c r="Q190" s="23"/>
      <c r="R190" s="23"/>
      <c r="S190" s="32">
        <f t="shared" si="68"/>
        <v>1</v>
      </c>
      <c r="T190" s="47" t="str">
        <f t="shared" si="49"/>
        <v>Southbound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0"/>
        <v>https://d0f6bd738d7f1b3e5a7ca70fe4ff75f0.us-east-1.aws.found.io/app/kibana#/discover/Steve-Slow-Train-Analysis-(2080s-and-2083s)?_g=(refreshInterval:(display:Off,pause:!f,section:0,value:0),time:(from:'2017-01-29T19:37:27-0700',mode:absolute,to:'2017-01-29T21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0" s="49" t="str">
        <f t="shared" si="51"/>
        <v>N</v>
      </c>
      <c r="X190" s="170">
        <f t="shared" si="66"/>
        <v>1</v>
      </c>
      <c r="Y190" s="64">
        <f t="shared" si="53"/>
        <v>5.8616999999999999</v>
      </c>
      <c r="Z190" s="64">
        <f t="shared" si="54"/>
        <v>7.3800000000000004E-2</v>
      </c>
      <c r="AA190" s="64">
        <f t="shared" si="55"/>
        <v>5.7878999999999996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56"/>
        <v>1830-29</v>
      </c>
      <c r="AE190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90" s="84" t="str">
        <f t="shared" si="58"/>
        <v>"C:\Program Files (x86)\AstroGrep\AstroGrep.exe" /spath="%USERPROFILE%\AppData\Local\Temp\OnboardLogs" /stypes="app*4041*20170130*" /stext=" 03:.+((SYSTEM_STATE.+slice.+state.+changed )|(ment ac)|(multiple cpu faults)|(system.+state.+changed )|(\[timeout)|(PRM\|1\|D)|(kpr)|(kdp)|(\|lc)|(penalty))" /e /r /s</v>
      </c>
      <c r="AG190" s="1" t="str">
        <f t="shared" si="59"/>
        <v>NW</v>
      </c>
      <c r="AH190" s="88" t="str">
        <f t="shared" si="60"/>
        <v>"%USERPROFILE%\Documents\GitHub\eaglep3\Utilities\RefineRTDCRunTimes.py" --tripid 1830-29 --locoid 4041 --swversion DE.1.0.8.0 --startMP 300:58617 --initTime 2017-01-29T20:37:27 --startdatetime 2017-01-29T20:39:44 --delay 1 --endMP 204:738 --enddatetime 2017-01-29T20:55:32 --enforcementcount 0 &gt;&gt;C:\Users\stu\Documents\GitHub\eaglep3-reporting\EC\2017-01-29-refined-times.txt</v>
      </c>
      <c r="AI190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{"issue":{"subject":"","project_id":79,"tracker_id":40,"status_id":1,"priority_id":2,"assigned_to_id":23,"start_date":"2017-01-29","description":"","custom_fields":[{"id":1,"name":"Subdivision","value":"NW"},{"id":4,"name":"Milepost","value":"0.0738"},{"id":17,"name":"Train ID","value":"1830-29"},{"id":16,"name":"Locomotive ID","value":"4041"},{"id":130,"name":"Impact","value":""},{"id":150,"name":"Time of Event (Mountain Time)","value":"20:55:32"},{"id":151,"name":"Denver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62"/>
        <v>start /low /b %USERPROFILE%\Documents\GitHub\eaglep3\Utilities\DownloadLogsFromS3.py --loco 4041 --day 2017-01-29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2017-01-29-UncaughtWiMAX.txt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642</v>
      </c>
      <c r="B191" s="7">
        <v>4042</v>
      </c>
      <c r="C191" s="22" t="s">
        <v>193</v>
      </c>
      <c r="D191" s="22" t="s">
        <v>428</v>
      </c>
      <c r="E191" s="13">
        <v>42764.883206018516</v>
      </c>
      <c r="F191" s="13">
        <v>42764.890138888892</v>
      </c>
      <c r="G191" s="7">
        <v>1</v>
      </c>
      <c r="H191" s="22" t="s">
        <v>313</v>
      </c>
      <c r="I191" s="13">
        <v>42764.901493055557</v>
      </c>
      <c r="J191" s="7">
        <v>0</v>
      </c>
      <c r="K191" s="105" t="str">
        <f t="shared" si="47"/>
        <v>4041/4042</v>
      </c>
      <c r="L191" s="22" t="str">
        <f>VLOOKUP(A191,'Trips&amp;Operators'!$C$1:$G$99999,5,FALSE)</f>
        <v>HELVIE ADAM</v>
      </c>
      <c r="M191" s="6">
        <f t="shared" si="48"/>
        <v>1.1354166665114462E-2</v>
      </c>
      <c r="N191" s="7">
        <f t="shared" si="67"/>
        <v>16.349999997764826</v>
      </c>
      <c r="O191" s="7"/>
      <c r="P191" s="7"/>
      <c r="Q191" s="23"/>
      <c r="R191" s="23"/>
      <c r="S191" s="32">
        <f t="shared" si="68"/>
        <v>1</v>
      </c>
      <c r="T191" s="47" t="str">
        <f t="shared" si="49"/>
        <v>NorthBound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0"/>
        <v>https://d0f6bd738d7f1b3e5a7ca70fe4ff75f0.us-east-1.aws.found.io/app/kibana#/discover/Steve-Slow-Train-Analysis-(2080s-and-2083s)?_g=(refreshInterval:(display:Off,pause:!f,section:0,value:0),time:(from:'2017-01-29T20:11:49-0700',mode:absolute,to:'2017-01-29T22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49" t="str">
        <f t="shared" si="51"/>
        <v>N</v>
      </c>
      <c r="X191" s="170">
        <f t="shared" si="66"/>
        <v>1</v>
      </c>
      <c r="Y191" s="64">
        <f t="shared" si="53"/>
        <v>0.10340000000000001</v>
      </c>
      <c r="Z191" s="64">
        <f t="shared" si="54"/>
        <v>5.8933</v>
      </c>
      <c r="AA191" s="64">
        <f t="shared" si="55"/>
        <v>5.7899000000000003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56"/>
        <v>1831-29</v>
      </c>
      <c r="AE191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91" s="84" t="str">
        <f t="shared" si="58"/>
        <v>"C:\Program Files (x86)\AstroGrep\AstroGrep.exe" /spath="%USERPROFILE%\AppData\Local\Temp\OnboardLogs" /stypes="app*4042*20170130*" /stext=" 04:.+((SYSTEM_STATE.+slice.+state.+changed )|(ment ac)|(multiple cpu faults)|(system.+state.+changed )|(\[timeout)|(PRM\|1\|D)|(kpr)|(kdp)|(\|lc)|(penalty))" /e /r /s</v>
      </c>
      <c r="AG191" s="1" t="str">
        <f t="shared" si="59"/>
        <v>NW</v>
      </c>
      <c r="AH191" s="88" t="str">
        <f t="shared" si="60"/>
        <v>"%USERPROFILE%\Documents\GitHub\eaglep3\Utilities\RefineRTDCRunTimes.py" --tripid 1831-29 --locoid 4042 --swversion DE.1.0.8.0 --startMP 204:1034 --initTime 2017-01-29T21:11:49 --startdatetime 2017-01-29T21:21:48 --delay 1 --endMP 300:58933 --enddatetime 2017-01-29T21:38:09 --enforcementcount 0 &gt;&gt;C:\Users\stu\Documents\GitHub\eaglep3-reporting\EC\2017-01-29-refined-times.txt</v>
      </c>
      <c r="AI191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{"issue":{"subject":"","project_id":79,"tracker_id":40,"status_id":1,"priority_id":2,"assigned_to_id":23,"start_date":"2017-01-29","description":"","custom_fields":[{"id":1,"name":"Subdivision","value":"NW"},{"id":4,"name":"Milepost","value":"5.8933"},{"id":17,"name":"Train ID","value":"1831-29"},{"id":16,"name":"Locomotive ID","value":"4042"},{"id":130,"name":"Impact","value":""},{"id":150,"name":"Time of Event (Mountain Time)","value":"21:38:09"},{"id":151,"name":"Denver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62"/>
        <v>start /low /b %USERPROFILE%\Documents\GitHub\eaglep3\Utilities\DownloadLogsFromS3.py --loco 4042 --day 2017-01-29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2017-01-29-UncaughtWiMAX.txt</v>
      </c>
    </row>
    <row r="192" spans="1:91" x14ac:dyDescent="0.25">
      <c r="A192" s="34" t="s">
        <v>645</v>
      </c>
      <c r="B192" s="7">
        <v>4041</v>
      </c>
      <c r="C192" s="22" t="s">
        <v>193</v>
      </c>
      <c r="D192" s="22" t="s">
        <v>332</v>
      </c>
      <c r="E192" s="13">
        <v>42764.90247685185</v>
      </c>
      <c r="F192" s="13">
        <v>42764.90388888889</v>
      </c>
      <c r="G192" s="7">
        <v>1</v>
      </c>
      <c r="H192" s="22" t="s">
        <v>432</v>
      </c>
      <c r="I192" s="13">
        <v>42764.91443287037</v>
      </c>
      <c r="J192" s="7">
        <v>0</v>
      </c>
      <c r="K192" s="105" t="str">
        <f t="shared" si="47"/>
        <v>4041/4042</v>
      </c>
      <c r="L192" s="22" t="str">
        <f>VLOOKUP(A192,'Trips&amp;Operators'!$C$1:$G$99999,5,FALSE)</f>
        <v>HELVIE ADAM</v>
      </c>
      <c r="M192" s="6">
        <f t="shared" si="48"/>
        <v>1.0543981479713693E-2</v>
      </c>
      <c r="N192" s="7">
        <f t="shared" si="67"/>
        <v>15.183333330787718</v>
      </c>
      <c r="O192" s="7"/>
      <c r="P192" s="7"/>
      <c r="Q192" s="23"/>
      <c r="R192" s="23"/>
      <c r="S192" s="32">
        <f t="shared" si="68"/>
        <v>1</v>
      </c>
      <c r="T192" s="47" t="str">
        <f t="shared" si="49"/>
        <v>Southbound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0"/>
        <v>https://d0f6bd738d7f1b3e5a7ca70fe4ff75f0.us-east-1.aws.found.io/app/kibana#/discover/Steve-Slow-Train-Analysis-(2080s-and-2083s)?_g=(refreshInterval:(display:Off,pause:!f,section:0,value:0),time:(from:'2017-01-29T20:39:34-0700',mode:absolute,to:'2017-01-29T22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2" s="49" t="str">
        <f t="shared" si="51"/>
        <v>N</v>
      </c>
      <c r="X192" s="170">
        <f t="shared" si="66"/>
        <v>1</v>
      </c>
      <c r="Y192" s="64">
        <f t="shared" si="53"/>
        <v>5.8625999999999996</v>
      </c>
      <c r="Z192" s="64">
        <f t="shared" si="54"/>
        <v>7.7100000000000002E-2</v>
      </c>
      <c r="AA192" s="64">
        <f t="shared" si="55"/>
        <v>5.7854999999999999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56"/>
        <v>1832-29</v>
      </c>
      <c r="AE192" s="87" t="str">
        <f t="shared" si="57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192" s="84" t="str">
        <f t="shared" si="58"/>
        <v>"C:\Program Files (x86)\AstroGrep\AstroGrep.exe" /spath="%USERPROFILE%\AppData\Local\Temp\OnboardLogs" /stypes="app*4041*20170130*" /stext=" 04:.+((SYSTEM_STATE.+slice.+state.+changed )|(ment ac)|(multiple cpu faults)|(system.+state.+changed )|(\[timeout)|(PRM\|1\|D)|(kpr)|(kdp)|(\|lc)|(penalty))" /e /r /s</v>
      </c>
      <c r="AG192" s="1" t="str">
        <f t="shared" si="59"/>
        <v>NW</v>
      </c>
      <c r="AH192" s="88" t="str">
        <f t="shared" si="60"/>
        <v>"%USERPROFILE%\Documents\GitHub\eaglep3\Utilities\RefineRTDCRunTimes.py" --tripid 1832-29 --locoid 4041 --swversion DE.1.0.8.0 --startMP 300:58626 --initTime 2017-01-29T21:39:34 --startdatetime 2017-01-29T21:41:36 --delay 1 --endMP 204:771 --enddatetime 2017-01-29T21:56:47 --enforcementcount 0 &gt;&gt;C:\Users\stu\Documents\GitHub\eaglep3-reporting\EC\2017-01-29-refined-times.txt</v>
      </c>
      <c r="AI192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{"issue":{"subject":"","project_id":79,"tracker_id":40,"status_id":1,"priority_id":2,"assigned_to_id":23,"start_date":"2017-01-29","description":"","custom_fields":[{"id":1,"name":"Subdivision","value":"NW"},{"id":4,"name":"Milepost","value":"0.0771"},{"id":17,"name":"Train ID","value":"1832-29"},{"id":16,"name":"Locomotive ID","value":"4041"},{"id":130,"name":"Impact","value":""},{"id":150,"name":"Time of Event (Mountain Time)","value":"21:56:47"},{"id":151,"name":"Denver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62"/>
        <v>start /low /b %USERPROFILE%\Documents\GitHub\eaglep3\Utilities\DownloadLogsFromS3.py --loco 4041 --day 2017-01-29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2017-01-29-UncaughtWiMAX.txt</v>
      </c>
    </row>
    <row r="193" spans="1:91" x14ac:dyDescent="0.25">
      <c r="A193" s="34" t="s">
        <v>650</v>
      </c>
      <c r="B193" s="7">
        <v>4042</v>
      </c>
      <c r="C193" s="22" t="s">
        <v>193</v>
      </c>
      <c r="D193" s="22" t="s">
        <v>748</v>
      </c>
      <c r="E193" s="13">
        <v>42764.932256944441</v>
      </c>
      <c r="F193" s="13">
        <v>42764.933611111112</v>
      </c>
      <c r="G193" s="7">
        <v>1</v>
      </c>
      <c r="H193" s="22" t="s">
        <v>714</v>
      </c>
      <c r="I193" s="13">
        <v>42764.942986111113</v>
      </c>
      <c r="J193" s="7">
        <v>0</v>
      </c>
      <c r="K193" s="105" t="str">
        <f t="shared" si="47"/>
        <v>4041/4042</v>
      </c>
      <c r="L193" s="22" t="str">
        <f>VLOOKUP(A193,'Trips&amp;Operators'!$C$1:$G$99999,5,FALSE)</f>
        <v>HELVIE ADAM</v>
      </c>
      <c r="M193" s="6">
        <f t="shared" si="48"/>
        <v>9.3750000014551915E-3</v>
      </c>
      <c r="N193" s="7">
        <f t="shared" si="67"/>
        <v>13.500000002095476</v>
      </c>
      <c r="O193" s="7"/>
      <c r="P193" s="7"/>
      <c r="Q193" s="23"/>
      <c r="R193" s="23"/>
      <c r="S193" s="32">
        <f t="shared" si="68"/>
        <v>1</v>
      </c>
      <c r="T193" s="47" t="str">
        <f t="shared" si="49"/>
        <v>NorthBound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0"/>
        <v>https://d0f6bd738d7f1b3e5a7ca70fe4ff75f0.us-east-1.aws.found.io/app/kibana#/discover/Steve-Slow-Train-Analysis-(2080s-and-2083s)?_g=(refreshInterval:(display:Off,pause:!f,section:0,value:0),time:(from:'2017-01-29T21:22:27-0700',mode:absolute,to:'2017-01-29T23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3" s="49" t="str">
        <f t="shared" si="51"/>
        <v>N</v>
      </c>
      <c r="X193" s="170">
        <f t="shared" si="66"/>
        <v>1</v>
      </c>
      <c r="Y193" s="64">
        <f t="shared" si="53"/>
        <v>0.1055</v>
      </c>
      <c r="Z193" s="64">
        <f t="shared" si="54"/>
        <v>5.8929</v>
      </c>
      <c r="AA193" s="64">
        <f t="shared" si="55"/>
        <v>5.7873999999999999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56"/>
        <v>1833-29</v>
      </c>
      <c r="AE193" s="87" t="str">
        <f t="shared" si="57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193" s="84" t="str">
        <f t="shared" si="58"/>
        <v>"C:\Program Files (x86)\AstroGrep\AstroGrep.exe" /spath="%USERPROFILE%\AppData\Local\Temp\OnboardLogs" /stypes="app*4042*20170130*" /stext=" 05:.+((SYSTEM_STATE.+slice.+state.+changed )|(ment ac)|(multiple cpu faults)|(system.+state.+changed )|(\[timeout)|(PRM\|1\|D)|(kpr)|(kdp)|(\|lc)|(penalty))" /e /r /s</v>
      </c>
      <c r="AG193" s="1" t="str">
        <f t="shared" si="59"/>
        <v>NW</v>
      </c>
      <c r="AH193" s="88" t="str">
        <f t="shared" si="60"/>
        <v>"%USERPROFILE%\Documents\GitHub\eaglep3\Utilities\RefineRTDCRunTimes.py" --tripid 1833-29 --locoid 4042 --swversion DE.1.0.8.0 --startMP 204:1055 --initTime 2017-01-29T22:22:27 --startdatetime 2017-01-29T22:24:24 --delay 1 --endMP 300:58929 --enddatetime 2017-01-29T22:37:54 --enforcementcount 0 &gt;&gt;C:\Users\stu\Documents\GitHub\eaglep3-reporting\EC\2017-01-29-refined-times.txt</v>
      </c>
      <c r="AI193" s="115" t="str">
        <f t="shared" si="61"/>
        <v>echo {"issue":{"subject":"","project_id":79,"tracker_id":40,"status_id":1,"priority_id":2,"assigned_to_id":23,"start_date":"2017-01-29","description":"","custom_fields":[{"id":1,"name":"Subdivision","value":"NW"},{"id":4,"name":"Milepost","value":"5.8929"},{"id":17,"name":"Train ID","value":"1833-29"},{"id":16,"name":"Locomotive ID","value":"4042"},{"id":130,"name":"Impact","value":""},{"id":150,"name":"Time of Event (Mountain Time)","value":"22:37:54"},{"id":151,"name":"Denver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62"/>
        <v>start /low /b %USERPROFILE%\Documents\GitHub\eaglep3\Utilities\DownloadLogsFromS3.py --loco 4042 --day 2017-01-29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2017-01-29-UncaughtWiMAX.txt</v>
      </c>
    </row>
    <row r="194" spans="1:91" s="21" customFormat="1" x14ac:dyDescent="0.25">
      <c r="A194" s="34" t="s">
        <v>477</v>
      </c>
      <c r="B194" s="7">
        <v>4001</v>
      </c>
      <c r="C194" s="22" t="s">
        <v>193</v>
      </c>
      <c r="D194" s="22" t="s">
        <v>786</v>
      </c>
      <c r="E194" s="13">
        <v>42764.120636574073</v>
      </c>
      <c r="F194" s="13">
        <v>42764.123912037037</v>
      </c>
      <c r="G194" s="7">
        <v>4</v>
      </c>
      <c r="H194" s="22" t="s">
        <v>228</v>
      </c>
      <c r="I194" s="13">
        <v>42764.130879629629</v>
      </c>
      <c r="J194" s="7">
        <v>0</v>
      </c>
      <c r="K194" s="105" t="str">
        <f t="shared" si="47"/>
        <v>4001/4002</v>
      </c>
      <c r="L194" s="22" t="str">
        <f>VLOOKUP(A194,'Trips&amp;Operators'!$C$1:$G$99999,5,FALSE)</f>
        <v>OUN ZACK</v>
      </c>
      <c r="M194" s="6">
        <f t="shared" si="48"/>
        <v>6.9675925915362313E-3</v>
      </c>
      <c r="N194" s="7">
        <f t="shared" si="67"/>
        <v>10.033333331812173</v>
      </c>
      <c r="O194" s="7"/>
      <c r="P194" s="7"/>
      <c r="Q194" s="23"/>
      <c r="R194" s="23"/>
      <c r="S194" s="32">
        <f t="shared" si="68"/>
        <v>1</v>
      </c>
      <c r="T194" s="47" t="str">
        <f t="shared" si="49"/>
        <v>Southbound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0"/>
        <v>https://d0f6bd738d7f1b3e5a7ca70fe4ff75f0.us-east-1.aws.found.io/app/kibana#/discover/Steve-Slow-Train-Analysis-(2080s-and-2083s)?_g=(refreshInterval:(display:Off,pause:!f,section:0,value:0),time:(from:'2017-01-29T01:53:43-0700',mode:absolute,to:'2017-01-29T04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49" t="str">
        <f t="shared" si="51"/>
        <v>Y</v>
      </c>
      <c r="X194" s="170">
        <f t="shared" ref="X194:X217" si="69">VALUE(LEFT(AD194,4))-VALUE(LEFT(AD193,4))</f>
        <v>-1531</v>
      </c>
      <c r="Y194" s="64">
        <f t="shared" si="53"/>
        <v>2.3136999999999999</v>
      </c>
      <c r="Z194" s="64">
        <f t="shared" si="54"/>
        <v>1.38E-2</v>
      </c>
      <c r="AA194" s="64">
        <f t="shared" si="55"/>
        <v>2.2999000000000001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56"/>
        <v>0302-29</v>
      </c>
      <c r="AE194" s="87" t="str">
        <f t="shared" si="57"/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AF194" s="84" t="str">
        <f t="shared" si="58"/>
        <v>"C:\Program Files (x86)\AstroGrep\AstroGrep.exe" /spath="%USERPROFILE%\AppData\Local\Temp\OnboardLogs" /stypes="app*4001*20170129*" /stext=" 10:.+((SYSTEM_STATE.+slice.+state.+changed )|(ment ac)|(multiple cpu faults)|(system.+state.+changed )|(\[timeout)|(PRM\|1\|D)|(kpr)|(kdp)|(\|lc)|(penalty))" /e /r /s</v>
      </c>
      <c r="AG194" s="1" t="str">
        <f t="shared" si="59"/>
        <v>Other</v>
      </c>
      <c r="AH194" s="88" t="str">
        <f t="shared" si="60"/>
        <v>"%USERPROFILE%\Documents\GitHub\eaglep3\Utilities\RefineRTDCRunTimes.py" --tripid 302-29 --locoid 4001 --swversion DE.1.0.8.0 --startMP 300:23137 --initTime 2017-01-29T02:53:43 --startdatetime 2017-01-29T02:58:26 --delay 4 --endMP 204:138 --enddatetime 2017-01-29T03:08:28 --enforcementcount 0 &gt;&gt;C:\Users\stu\Documents\GitHub\eaglep3-reporting\EC\2017-01-29-refined-times.txt</v>
      </c>
      <c r="AI194" s="115" t="str">
        <f t="shared" si="61"/>
        <v>echo {"issue":{"subject":"","project_id":79,"tracker_id":40,"status_id":1,"priority_id":2,"assigned_to_id":23,"start_date":"2017-01-29","description":"","custom_fields":[{"id":1,"name":"Subdivision","value":"Other"},{"id":4,"name":"Milepost","value":"0.0138"},{"id":17,"name":"Train ID","value":"302-29"},{"id":16,"name":"Locomotive ID","value":"4001"},{"id":130,"name":"Impact","value":""},{"id":150,"name":"Time of Event (Mountain Time)","value":"03:08:28"},{"id":151,"name":"Denver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62"/>
        <v>start /low /b %USERPROFILE%\Documents\GitHub\eaglep3\Utilities\DownloadLogsFromS3.py --loco 4001 --day 2017-01-29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"%USERPROFILE%\AppData\Local\Temp\OnboardLogs"\RTDC4001\*4001*20170129* | grep -SE "(Enforcement Action)|(\[TIMEOUT)|(CHR.+\|PRM\|1\|D.+(SWITCH|SIGNAL).+UNKNOWN)" - &gt;&gt; 2017-01-29-UncaughtWiMAX.txt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4" t="s">
        <v>624</v>
      </c>
      <c r="B195" s="7">
        <v>4040</v>
      </c>
      <c r="C195" s="22" t="s">
        <v>193</v>
      </c>
      <c r="D195" s="22" t="s">
        <v>244</v>
      </c>
      <c r="E195" s="13">
        <v>42764.775543981479</v>
      </c>
      <c r="F195" s="13">
        <v>25568.708333333332</v>
      </c>
      <c r="G195" s="7">
        <v>1</v>
      </c>
      <c r="H195" s="22" t="s">
        <v>787</v>
      </c>
      <c r="I195" s="13">
        <v>25568.708333333332</v>
      </c>
      <c r="J195" s="7">
        <v>0</v>
      </c>
      <c r="K195" s="105" t="str">
        <f t="shared" si="47"/>
        <v>4039/4040</v>
      </c>
      <c r="L195" s="22" t="str">
        <f>VLOOKUP(A195,'Trips&amp;Operators'!$C$1:$G$99999,5,FALSE)</f>
        <v>BRUDER RICHARD</v>
      </c>
      <c r="M195" s="6">
        <f t="shared" si="48"/>
        <v>0</v>
      </c>
      <c r="N195" s="7">
        <f t="shared" si="67"/>
        <v>0</v>
      </c>
      <c r="O195" s="7"/>
      <c r="P195" s="7"/>
      <c r="Q195" s="23"/>
      <c r="R195" s="23"/>
      <c r="S195" s="32">
        <f t="shared" si="68"/>
        <v>1</v>
      </c>
      <c r="T195" s="47" t="str">
        <f t="shared" si="49"/>
        <v>NorthBound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0"/>
        <v>https://d0f6bd738d7f1b3e5a7ca70fe4ff75f0.us-east-1.aws.found.io/app/kibana#/discover/Steve-Slow-Train-Analysis-(2080s-and-2083s)?_g=(refreshInterval:(display:Off,pause:!f,section:0,value:0),time:(from:'2017-01-29T17:36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5" s="49" t="str">
        <f t="shared" si="51"/>
        <v>Y</v>
      </c>
      <c r="X195" s="170">
        <f t="shared" si="69"/>
        <v>1</v>
      </c>
      <c r="Y195" s="64">
        <f t="shared" si="53"/>
        <v>4.6600000000000003E-2</v>
      </c>
      <c r="Z195" s="64">
        <f t="shared" si="54"/>
        <v>2.3304</v>
      </c>
      <c r="AA195" s="64">
        <f t="shared" si="55"/>
        <v>2.2837999999999998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56"/>
        <v>0303-29</v>
      </c>
      <c r="AE195" s="87" t="str">
        <f t="shared" si="57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195" s="84" t="str">
        <f t="shared" si="58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195" s="1" t="str">
        <f t="shared" si="59"/>
        <v>Other</v>
      </c>
      <c r="AH195" s="88" t="str">
        <f t="shared" si="60"/>
        <v>"%USERPROFILE%\Documents\GitHub\eaglep3\Utilities\RefineRTDCRunTimes.py" --tripid 303-29 --locoid 4040 --swversion DE.1.0.8.0 --startMP 204:466 --initTime 2017-01-29T18:36:47 --startdatetime 1969-12-31T17:00:00 --delay 1 --endMP 300:23304 --enddatetime 1969-12-31T17:00:00 --enforcementcount 0 &gt;&gt;C:\Users\stu\Documents\GitHub\eaglep3-reporting\EC\2017-01-29-refined-times.txt</v>
      </c>
      <c r="AI195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ID","value":"303-29"},{"id":16,"name":"Locomotive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62"/>
        <v>start /low /b %USERPROFILE%\Documents\GitHub\eaglep3\Utilities\DownloadLogsFromS3.py --loco 4040 --day 1969-12-31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2017-01-29-UncaughtWiMAX.txt</v>
      </c>
    </row>
    <row r="196" spans="1:91" x14ac:dyDescent="0.25">
      <c r="A196" s="34" t="s">
        <v>479</v>
      </c>
      <c r="B196" s="7">
        <v>4019</v>
      </c>
      <c r="C196" s="22" t="s">
        <v>193</v>
      </c>
      <c r="D196" s="22" t="s">
        <v>788</v>
      </c>
      <c r="E196" s="13">
        <v>42764.140763888892</v>
      </c>
      <c r="F196" s="13">
        <v>42764.14402777778</v>
      </c>
      <c r="G196" s="7">
        <v>4</v>
      </c>
      <c r="H196" s="22" t="s">
        <v>228</v>
      </c>
      <c r="I196" s="13">
        <v>42764.149409722224</v>
      </c>
      <c r="J196" s="7">
        <v>0</v>
      </c>
      <c r="K196" s="105" t="str">
        <f t="shared" si="47"/>
        <v>4019/4020</v>
      </c>
      <c r="L196" s="22" t="str">
        <f>VLOOKUP(A196,'Trips&amp;Operators'!$C$1:$G$99999,5,FALSE)</f>
        <v>MAELZER KURT</v>
      </c>
      <c r="M196" s="6">
        <f t="shared" si="48"/>
        <v>5.3819444437976927E-3</v>
      </c>
      <c r="N196" s="7">
        <f t="shared" si="67"/>
        <v>7.7499999990686774</v>
      </c>
      <c r="O196" s="7"/>
      <c r="P196" s="7"/>
      <c r="Q196" s="23"/>
      <c r="R196" s="23"/>
      <c r="S196" s="32">
        <f t="shared" si="68"/>
        <v>1</v>
      </c>
      <c r="T196" s="47" t="str">
        <f t="shared" si="49"/>
        <v>Southbound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0"/>
        <v>https://d0f6bd738d7f1b3e5a7ca70fe4ff75f0.us-east-1.aws.found.io/app/kibana#/discover/Steve-Slow-Train-Analysis-(2080s-and-2083s)?_g=(refreshInterval:(display:Off,pause:!f,section:0,value:0),time:(from:'2017-01-29T02:22:42-0700',mode:absolute,to:'2017-01-29T04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49" t="str">
        <f t="shared" si="51"/>
        <v>Y</v>
      </c>
      <c r="X196" s="170">
        <f t="shared" si="69"/>
        <v>1</v>
      </c>
      <c r="Y196" s="64">
        <f t="shared" si="53"/>
        <v>1.9571000000000001</v>
      </c>
      <c r="Z196" s="64">
        <f t="shared" si="54"/>
        <v>1.38E-2</v>
      </c>
      <c r="AA196" s="64">
        <f t="shared" si="55"/>
        <v>1.9433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56"/>
        <v>0304-29</v>
      </c>
      <c r="AE196" s="87" t="str">
        <f t="shared" si="57"/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AF196" s="84" t="str">
        <f t="shared" si="58"/>
        <v>"C:\Program Files (x86)\AstroGrep\AstroGrep.exe" /spath="%USERPROFILE%\AppData\Local\Temp\OnboardLogs" /stypes="app*4019*20170129*" /stext=" 10:.+((SYSTEM_STATE.+slice.+state.+changed )|(ment ac)|(multiple cpu faults)|(system.+state.+changed )|(\[timeout)|(PRM\|1\|D)|(kpr)|(kdp)|(\|lc)|(penalty))" /e /r /s</v>
      </c>
      <c r="AG196" s="1" t="str">
        <f t="shared" si="59"/>
        <v>Other</v>
      </c>
      <c r="AH196" s="88" t="str">
        <f t="shared" si="60"/>
        <v>"%USERPROFILE%\Documents\GitHub\eaglep3\Utilities\RefineRTDCRunTimes.py" --tripid 304-29 --locoid 4019 --swversion DE.1.0.8.0 --startMP 300:19571 --initTime 2017-01-29T03:22:42 --startdatetime 2017-01-29T03:27:24 --delay 4 --endMP 204:138 --enddatetime 2017-01-29T03:35:09 --enforcementcount 0 &gt;&gt;C:\Users\stu\Documents\GitHub\eaglep3-reporting\EC\2017-01-29-refined-times.txt</v>
      </c>
      <c r="AI196" s="115" t="str">
        <f t="shared" si="61"/>
        <v>echo {"issue":{"subject":"","project_id":79,"tracker_id":40,"status_id":1,"priority_id":2,"assigned_to_id":23,"start_date":"2017-01-29","description":"","custom_fields":[{"id":1,"name":"Subdivision","value":"Other"},{"id":4,"name":"Milepost","value":"0.0138"},{"id":17,"name":"Train ID","value":"304-29"},{"id":16,"name":"Locomotive ID","value":"4019"},{"id":130,"name":"Impact","value":""},{"id":150,"name":"Time of Event (Mountain Time)","value":"03:35:09"},{"id":151,"name":"Denver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62"/>
        <v>start /low /b %USERPROFILE%\Documents\GitHub\eaglep3\Utilities\DownloadLogsFromS3.py --loco 4019 --day 2017-01-29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"%USERPROFILE%\AppData\Local\Temp\OnboardLogs"\RTDC4019\*4019*20170129* | grep -SE "(Enforcement Action)|(\[TIMEOUT)|(CHR.+\|PRM\|1\|D.+(SWITCH|SIGNAL).+UNKNOWN)" - &gt;&gt; 2017-01-29-UncaughtWiMAX.txt</v>
      </c>
    </row>
    <row r="197" spans="1:91" x14ac:dyDescent="0.25">
      <c r="A197" s="34" t="s">
        <v>628</v>
      </c>
      <c r="B197" s="7">
        <v>4002</v>
      </c>
      <c r="C197" s="22" t="s">
        <v>193</v>
      </c>
      <c r="D197" s="22" t="s">
        <v>789</v>
      </c>
      <c r="E197" s="13">
        <v>42764.797349537039</v>
      </c>
      <c r="F197" s="13">
        <v>25568.708333333332</v>
      </c>
      <c r="G197" s="7">
        <v>1</v>
      </c>
      <c r="H197" s="22" t="s">
        <v>790</v>
      </c>
      <c r="I197" s="13">
        <v>25568.708333333332</v>
      </c>
      <c r="J197" s="7">
        <v>0</v>
      </c>
      <c r="K197" s="105" t="str">
        <f t="shared" si="47"/>
        <v>4001/4002</v>
      </c>
      <c r="L197" s="22" t="str">
        <f>VLOOKUP(A197,'Trips&amp;Operators'!$C$1:$G$99999,5,FALSE)</f>
        <v>CRAYTON QUNTRELL</v>
      </c>
      <c r="M197" s="6">
        <f t="shared" si="48"/>
        <v>0</v>
      </c>
      <c r="N197" s="7">
        <f t="shared" si="67"/>
        <v>0</v>
      </c>
      <c r="O197" s="7"/>
      <c r="P197" s="7"/>
      <c r="Q197" s="23"/>
      <c r="R197" s="23"/>
      <c r="S197" s="32">
        <f t="shared" si="68"/>
        <v>1</v>
      </c>
      <c r="T197" s="47" t="str">
        <f t="shared" si="49"/>
        <v>NorthBound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0"/>
        <v>https://d0f6bd738d7f1b3e5a7ca70fe4ff75f0.us-east-1.aws.found.io/app/kibana#/discover/Steve-Slow-Train-Analysis-(2080s-and-2083s)?_g=(refreshInterval:(display:Off,pause:!f,section:0,value:0),time:(from:'2017-01-29T18:08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49" t="str">
        <f t="shared" si="51"/>
        <v>Y</v>
      </c>
      <c r="X197" s="170">
        <f t="shared" si="69"/>
        <v>1</v>
      </c>
      <c r="Y197" s="64">
        <f t="shared" si="53"/>
        <v>4.4999999999999998E-2</v>
      </c>
      <c r="Z197" s="64">
        <f t="shared" si="54"/>
        <v>2.3178000000000001</v>
      </c>
      <c r="AA197" s="64">
        <f t="shared" si="55"/>
        <v>2.2728000000000002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56"/>
        <v>0305-29</v>
      </c>
      <c r="AE197" s="87" t="str">
        <f t="shared" si="5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197" s="84" t="str">
        <f t="shared" si="58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197" s="1" t="str">
        <f t="shared" si="59"/>
        <v>Other</v>
      </c>
      <c r="AH197" s="88" t="str">
        <f t="shared" si="60"/>
        <v>"%USERPROFILE%\Documents\GitHub\eaglep3\Utilities\RefineRTDCRunTimes.py" --tripid 305-29 --locoid 4002 --swversion DE.1.0.8.0 --startMP 204:450 --initTime 2017-01-29T19:08:11 --startdatetime 1969-12-31T17:00:00 --delay 1 --endMP 300:23178 --enddatetime 1969-12-31T17:00:00 --enforcementcount 0 &gt;&gt;C:\Users\stu\Documents\GitHub\eaglep3-reporting\EC\2017-01-29-refined-times.txt</v>
      </c>
      <c r="AI197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{"issue":{"subject":"","project_id":79,"tracker_id":40,"status_id":1,"priority_id":2,"assigned_to_id":23,"start_date":"1969-12-31","description":"","custom_fields":[{"id":1,"name":"Subdivision","value":"Other"},{"id":4,"name":"Milepost","value":"2.3178"},{"id":17,"name":"Train ID","value":"305-29"},{"id":16,"name":"Locomotive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62"/>
        <v>start /low /b %USERPROFILE%\Documents\GitHub\eaglep3\Utilities\DownloadLogsFromS3.py --loco 4002 --day 1969-12-31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2017-01-29-UncaughtWiMAX.txt</v>
      </c>
    </row>
    <row r="198" spans="1:91" s="21" customFormat="1" x14ac:dyDescent="0.25">
      <c r="A198" s="34" t="s">
        <v>481</v>
      </c>
      <c r="B198" s="7">
        <v>4028</v>
      </c>
      <c r="C198" s="22" t="s">
        <v>193</v>
      </c>
      <c r="D198" s="22" t="s">
        <v>791</v>
      </c>
      <c r="E198" s="13">
        <v>42764.157465277778</v>
      </c>
      <c r="F198" s="13">
        <v>42764.159375000003</v>
      </c>
      <c r="G198" s="7">
        <v>2</v>
      </c>
      <c r="H198" s="22" t="s">
        <v>382</v>
      </c>
      <c r="I198" s="13">
        <v>42764.165798611109</v>
      </c>
      <c r="J198" s="7">
        <v>0</v>
      </c>
      <c r="K198" s="105" t="str">
        <f t="shared" si="47"/>
        <v>4027/4028</v>
      </c>
      <c r="L198" s="22" t="str">
        <f>VLOOKUP(A198,'Trips&amp;Operators'!$C$1:$G$99999,5,FALSE)</f>
        <v>PERKINS DARREN</v>
      </c>
      <c r="M198" s="6">
        <f t="shared" si="48"/>
        <v>6.4236111065838486E-3</v>
      </c>
      <c r="N198" s="7">
        <f t="shared" si="67"/>
        <v>9.249999993480742</v>
      </c>
      <c r="O198" s="7"/>
      <c r="P198" s="7"/>
      <c r="Q198" s="23"/>
      <c r="R198" s="23"/>
      <c r="S198" s="32">
        <f t="shared" si="68"/>
        <v>1</v>
      </c>
      <c r="T198" s="47" t="str">
        <f t="shared" si="49"/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0"/>
        <v>https://d0f6bd738d7f1b3e5a7ca70fe4ff75f0.us-east-1.aws.found.io/app/kibana#/discover/Steve-Slow-Train-Analysis-(2080s-and-2083s)?_g=(refreshInterval:(display:Off,pause:!f,section:0,value:0),time:(from:'2017-01-29T02:46:45-0700',mode:absolute,to:'2017-01-29T04:58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49" t="str">
        <f t="shared" si="51"/>
        <v>Y</v>
      </c>
      <c r="X198" s="170">
        <f t="shared" si="69"/>
        <v>1</v>
      </c>
      <c r="Y198" s="64">
        <f t="shared" si="53"/>
        <v>2.3212999999999999</v>
      </c>
      <c r="Z198" s="64">
        <f t="shared" si="54"/>
        <v>1.34E-2</v>
      </c>
      <c r="AA198" s="64">
        <f t="shared" si="55"/>
        <v>2.3079000000000001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56"/>
        <v>0306-29</v>
      </c>
      <c r="AE198" s="87" t="str">
        <f t="shared" si="57"/>
        <v>aws s3 cp s3://rtdc.mdm.uploadarchive.raw/RTDC4028/ "%USERPROFILE%\AppData\Local\Temp\OnboardLogs"\RTDC4028\2017-01-29 --exclude "*" --recursive --include "*20170129*" &amp; "%USERPROFILE%\Documents\GitHub\mrs-test-scripts\Headless Mode &amp; Sideloading\WalkAndUnGZ.bat" "%USERPROFILE%\AppData\Local\Temp\OnboardLogs"\RTDC4028\2017-01-29 &amp; 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</v>
      </c>
      <c r="AF198" s="84" t="str">
        <f t="shared" si="58"/>
        <v>"C:\Program Files (x86)\AstroGrep\AstroGrep.exe" /spath="%USERPROFILE%\AppData\Local\Temp\OnboardLogs" /stypes="app*4028*20170129*" /stext=" 10:.+((SYSTEM_STATE.+slice.+state.+changed )|(ment ac)|(multiple cpu faults)|(system.+state.+changed )|(\[timeout)|(PRM\|1\|D)|(kpr)|(kdp)|(\|lc)|(penalty))" /e /r /s</v>
      </c>
      <c r="AG198" s="1" t="str">
        <f t="shared" si="59"/>
        <v>Other</v>
      </c>
      <c r="AH198" s="88" t="str">
        <f t="shared" si="60"/>
        <v>"%USERPROFILE%\Documents\GitHub\eaglep3\Utilities\RefineRTDCRunTimes.py" --tripid 306-29 --locoid 4028 --swversion DE.1.0.8.0 --startMP 300:23213 --initTime 2017-01-29T03:46:45 --startdatetime 2017-01-29T03:49:30 --delay 2 --endMP 204:134 --enddatetime 2017-01-29T03:58:45 --enforcementcount 0 &gt;&gt;C:\Users\stu\Documents\GitHub\eaglep3-reporting\EC\2017-01-29-refined-times.txt</v>
      </c>
      <c r="AI198" s="115" t="str">
        <f t="shared" si="61"/>
        <v>echo {"issue":{"subject":"","project_id":79,"tracker_id":40,"status_id":1,"priority_id":2,"assigned_to_id":23,"start_date":"2017-01-29","description":"","custom_fields":[{"id":1,"name":"Subdivision","value":"Other"},{"id":4,"name":"Milepost","value":"0.0134"},{"id":17,"name":"Train ID","value":"306-29"},{"id":16,"name":"Locomotive ID","value":"4028"},{"id":130,"name":"Impact","value":""},{"id":150,"name":"Time of Event (Mountain Time)","value":"03:58:45"},{"id":151,"name":"Denver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62"/>
        <v>start /low /b %USERPROFILE%\Documents\GitHub\eaglep3\Utilities\DownloadLogsFromS3.py --loco 4028 --day 2017-01-29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"%USERPROFILE%\AppData\Local\Temp\OnboardLogs"\RTDC4028\*4028*20170129* | grep -SE "(Enforcement Action)|(\[TIMEOUT)|(CHR.+\|PRM\|1\|D.+(SWITCH|SIGNAL).+UNKNOWN)" - &gt;&gt; 2017-01-29-UncaughtWiMAX.txt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633</v>
      </c>
      <c r="B199" s="7">
        <v>4027</v>
      </c>
      <c r="C199" s="22" t="s">
        <v>193</v>
      </c>
      <c r="D199" s="22" t="s">
        <v>792</v>
      </c>
      <c r="E199" s="13">
        <v>42764.818344907406</v>
      </c>
      <c r="F199" s="13">
        <v>25568.708333333332</v>
      </c>
      <c r="G199" s="7">
        <v>1</v>
      </c>
      <c r="H199" s="22" t="s">
        <v>250</v>
      </c>
      <c r="I199" s="13">
        <v>25568.708333333332</v>
      </c>
      <c r="J199" s="7">
        <v>0</v>
      </c>
      <c r="K199" s="105" t="str">
        <f t="shared" si="47"/>
        <v>4027/4028</v>
      </c>
      <c r="L199" s="22" t="str">
        <f>VLOOKUP(A199,'Trips&amp;Operators'!$C$1:$G$99999,5,FALSE)</f>
        <v>KILLION DAVID</v>
      </c>
      <c r="M199" s="6">
        <f t="shared" si="48"/>
        <v>0</v>
      </c>
      <c r="N199" s="7">
        <f t="shared" si="67"/>
        <v>0</v>
      </c>
      <c r="O199" s="7"/>
      <c r="P199" s="7"/>
      <c r="Q199" s="23"/>
      <c r="R199" s="23"/>
      <c r="S199" s="32">
        <f t="shared" si="68"/>
        <v>1</v>
      </c>
      <c r="T199" s="47" t="str">
        <f t="shared" si="49"/>
        <v>NorthBound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0"/>
        <v>https://d0f6bd738d7f1b3e5a7ca70fe4ff75f0.us-east-1.aws.found.io/app/kibana#/discover/Steve-Slow-Train-Analysis-(2080s-and-2083s)?_g=(refreshInterval:(display:Off,pause:!f,section:0,value:0),time:(from:'2017-01-29T18:38:25-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49" t="str">
        <f t="shared" si="51"/>
        <v>Y</v>
      </c>
      <c r="X199" s="170">
        <f t="shared" si="69"/>
        <v>1</v>
      </c>
      <c r="Y199" s="64">
        <f t="shared" si="53"/>
        <v>3.8300000000000001E-2</v>
      </c>
      <c r="Z199" s="64">
        <f t="shared" si="54"/>
        <v>2.3346</v>
      </c>
      <c r="AA199" s="64">
        <f t="shared" si="55"/>
        <v>2.2963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56"/>
        <v>0307-29</v>
      </c>
      <c r="AE199" s="87" t="str">
        <f t="shared" si="57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199" s="84" t="str">
        <f t="shared" si="58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199" s="1" t="str">
        <f t="shared" si="59"/>
        <v>Other</v>
      </c>
      <c r="AH199" s="88" t="str">
        <f t="shared" si="60"/>
        <v>"%USERPROFILE%\Documents\GitHub\eaglep3\Utilities\RefineRTDCRunTimes.py" --tripid 307-29 --locoid 4027 --swversion DE.1.0.8.0 --startMP 204:383 --initTime 2017-01-29T19:38:25 --startdatetime 1969-12-31T17:00:00 --delay 1 --endMP 300:23346 --enddatetime 1969-12-31T17:00:00 --enforcementcount 0 &gt;&gt;C:\Users\stu\Documents\GitHub\eaglep3-reporting\EC\2017-01-29-refined-times.txt</v>
      </c>
      <c r="AI199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ID","value":"307-29"},{"id":16,"name":"Locomotive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62"/>
        <v>start /low /b %USERPROFILE%\Documents\GitHub\eaglep3\Utilities\DownloadLogsFromS3.py --loco 4027 --day 1969-12-31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2017-01-29-UncaughtWiMAX.txt</v>
      </c>
    </row>
    <row r="200" spans="1:91" s="21" customFormat="1" x14ac:dyDescent="0.25">
      <c r="A200" s="34" t="s">
        <v>633</v>
      </c>
      <c r="B200" s="7">
        <v>4027</v>
      </c>
      <c r="C200" s="22" t="s">
        <v>193</v>
      </c>
      <c r="D200" s="22" t="s">
        <v>250</v>
      </c>
      <c r="E200" s="13">
        <v>42764.818344907406</v>
      </c>
      <c r="F200" s="13">
        <v>25568.708333333332</v>
      </c>
      <c r="G200" s="7">
        <v>13</v>
      </c>
      <c r="H200" s="22" t="s">
        <v>250</v>
      </c>
      <c r="I200" s="13">
        <v>25568.708333333332</v>
      </c>
      <c r="J200" s="7">
        <v>0</v>
      </c>
      <c r="K200" s="105" t="str">
        <f t="shared" si="47"/>
        <v>4027/4028</v>
      </c>
      <c r="L200" s="22" t="str">
        <f>VLOOKUP(A200,'Trips&amp;Operators'!$C$1:$G$99999,5,FALSE)</f>
        <v>KILLION DAVID</v>
      </c>
      <c r="M200" s="6">
        <f t="shared" si="48"/>
        <v>0</v>
      </c>
      <c r="N200" s="7">
        <f t="shared" si="67"/>
        <v>0</v>
      </c>
      <c r="O200" s="7"/>
      <c r="P200" s="7"/>
      <c r="Q200" s="23"/>
      <c r="R200" s="23"/>
      <c r="S200" s="32">
        <f t="shared" si="68"/>
        <v>0</v>
      </c>
      <c r="T200" s="47" t="str">
        <f t="shared" si="49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4" t="str">
        <f t="shared" si="50"/>
        <v>https://d0f6bd738d7f1b3e5a7ca70fe4ff75f0.us-east-1.aws.found.io/app/kibana#/discover/Steve-Slow-Train-Analysis-(2080s-and-2083s)?_g=(refreshInterval:(display:Off,pause:!f,section:0,value:0),time:(from:'2017-01-29T18:38:25-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0" s="49" t="str">
        <f t="shared" si="51"/>
        <v>Y</v>
      </c>
      <c r="X200" s="170">
        <f t="shared" si="69"/>
        <v>0</v>
      </c>
      <c r="Y200" s="64">
        <f t="shared" si="53"/>
        <v>2.3346</v>
      </c>
      <c r="Z200" s="64">
        <f t="shared" si="54"/>
        <v>2.3346</v>
      </c>
      <c r="AA200" s="64">
        <f t="shared" si="55"/>
        <v>0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56"/>
        <v>0307-29</v>
      </c>
      <c r="AE200" s="87" t="str">
        <f t="shared" si="57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0" s="84" t="str">
        <f t="shared" si="58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0" s="1" t="str">
        <f t="shared" si="59"/>
        <v>Other</v>
      </c>
      <c r="AH200" s="88" t="str">
        <f t="shared" si="60"/>
        <v>"%USERPROFILE%\Documents\GitHub\eaglep3\Utilities\RefineRTDCRunTimes.py" --tripid 307-29 --locoid 4027 --swversion DE.1.0.8.0 --startMP 300:23346 --initTime 2017-01-29T19:38:25 --startdatetime 1969-12-31T17:00:00 --delay 13 --endMP 300:23346 --enddatetime 1969-12-31T17:00:00 --enforcementcount 0 &gt;&gt;C:\Users\stu\Documents\GitHub\eaglep3-reporting\EC\2017-01-29-refined-times.txt</v>
      </c>
      <c r="AI200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ID","value":"307-29"},{"id":16,"name":"Locomotive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62"/>
        <v>start /low /b %USERPROFILE%\Documents\GitHub\eaglep3\Utilities\DownloadLogsFromS3.py --loco 4027 --day 1969-12-31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2017-01-29-UncaughtWiMAX.txt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483</v>
      </c>
      <c r="B201" s="7">
        <v>4012</v>
      </c>
      <c r="C201" s="22" t="s">
        <v>193</v>
      </c>
      <c r="D201" s="22" t="s">
        <v>793</v>
      </c>
      <c r="E201" s="13">
        <v>42764.172395833331</v>
      </c>
      <c r="F201" s="13">
        <v>42764.173854166664</v>
      </c>
      <c r="G201" s="7">
        <v>1</v>
      </c>
      <c r="H201" s="22" t="s">
        <v>277</v>
      </c>
      <c r="I201" s="13">
        <v>42764.180844907409</v>
      </c>
      <c r="J201" s="7">
        <v>0</v>
      </c>
      <c r="K201" s="105" t="str">
        <f t="shared" si="47"/>
        <v>4011/4012</v>
      </c>
      <c r="L201" s="22" t="str">
        <f>VLOOKUP(A201,'Trips&amp;Operators'!$C$1:$G$99999,5,FALSE)</f>
        <v>DAVIS WENDY</v>
      </c>
      <c r="M201" s="6">
        <f t="shared" si="48"/>
        <v>6.9907407450955361E-3</v>
      </c>
      <c r="N201" s="7">
        <f t="shared" si="67"/>
        <v>10.066666672937572</v>
      </c>
      <c r="O201" s="7"/>
      <c r="P201" s="7"/>
      <c r="Q201" s="23"/>
      <c r="R201" s="23"/>
      <c r="S201" s="32">
        <f t="shared" si="68"/>
        <v>1</v>
      </c>
      <c r="T201" s="47" t="str">
        <f t="shared" si="49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0"/>
        <v>https://d0f6bd738d7f1b3e5a7ca70fe4ff75f0.us-east-1.aws.found.io/app/kibana#/discover/Steve-Slow-Train-Analysis-(2080s-and-2083s)?_g=(refreshInterval:(display:Off,pause:!f,section:0,value:0),time:(from:'2017-01-29T03:08:15-0700',mode:absolute,to:'2017-01-29T05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1" s="49" t="str">
        <f t="shared" si="51"/>
        <v>Y</v>
      </c>
      <c r="X201" s="170">
        <f t="shared" si="69"/>
        <v>1</v>
      </c>
      <c r="Y201" s="64">
        <f t="shared" si="53"/>
        <v>2.3374999999999999</v>
      </c>
      <c r="Z201" s="64">
        <f t="shared" si="54"/>
        <v>1.41E-2</v>
      </c>
      <c r="AA201" s="64">
        <f t="shared" si="55"/>
        <v>2.3233999999999999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56"/>
        <v>0308-29</v>
      </c>
      <c r="AE201" s="87" t="str">
        <f t="shared" si="57"/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AF201" s="84" t="str">
        <f t="shared" si="58"/>
        <v>"C:\Program Files (x86)\AstroGrep\AstroGrep.exe" /spath="%USERPROFILE%\AppData\Local\Temp\OnboardLogs" /stypes="app*4012*20170129*" /stext=" 11:.+((SYSTEM_STATE.+slice.+state.+changed )|(ment ac)|(multiple cpu faults)|(system.+state.+changed )|(\[timeout)|(PRM\|1\|D)|(kpr)|(kdp)|(\|lc)|(penalty))" /e /r /s</v>
      </c>
      <c r="AG201" s="1" t="str">
        <f t="shared" si="59"/>
        <v>Other</v>
      </c>
      <c r="AH201" s="88" t="str">
        <f t="shared" si="60"/>
        <v>"%USERPROFILE%\Documents\GitHub\eaglep3\Utilities\RefineRTDCRunTimes.py" --tripid 308-29 --locoid 4012 --swversion DE.1.0.8.0 --startMP 300:23375 --initTime 2017-01-29T04:08:15 --startdatetime 2017-01-29T04:10:21 --delay 1 --endMP 204:141 --enddatetime 2017-01-29T04:20:25 --enforcementcount 0 &gt;&gt;C:\Users\stu\Documents\GitHub\eaglep3-reporting\EC\2017-01-29-refined-times.txt</v>
      </c>
      <c r="AI201" s="115" t="str">
        <f t="shared" si="61"/>
        <v>echo {"issue":{"subject":"","project_id":79,"tracker_id":40,"status_id":1,"priority_id":2,"assigned_to_id":23,"start_date":"2017-01-29","description":"","custom_fields":[{"id":1,"name":"Subdivision","value":"Other"},{"id":4,"name":"Milepost","value":"0.0141"},{"id":17,"name":"Train ID","value":"308-29"},{"id":16,"name":"Locomotive ID","value":"4012"},{"id":130,"name":"Impact","value":""},{"id":150,"name":"Time of Event (Mountain Time)","value":"04:20:25"},{"id":151,"name":"Denver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62"/>
        <v>start /low /b %USERPROFILE%\Documents\GitHub\eaglep3\Utilities\DownloadLogsFromS3.py --loco 4012 --day 2017-01-29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2017-01-29-UncaughtWiMAX.txt</v>
      </c>
    </row>
    <row r="202" spans="1:91" x14ac:dyDescent="0.25">
      <c r="A202" s="34" t="s">
        <v>657</v>
      </c>
      <c r="B202" s="7">
        <v>4007</v>
      </c>
      <c r="C202" s="22" t="s">
        <v>193</v>
      </c>
      <c r="D202" s="22" t="s">
        <v>794</v>
      </c>
      <c r="E202" s="13">
        <v>42765.029872685183</v>
      </c>
      <c r="F202" s="13">
        <v>42765.030729166669</v>
      </c>
      <c r="G202" s="7">
        <v>0</v>
      </c>
      <c r="H202" s="22" t="s">
        <v>795</v>
      </c>
      <c r="I202" s="13">
        <v>42765.036759259259</v>
      </c>
      <c r="J202" s="7">
        <v>0</v>
      </c>
      <c r="K202" s="105" t="str">
        <f t="shared" si="47"/>
        <v>4007/4008</v>
      </c>
      <c r="L202" s="22" t="str">
        <f>VLOOKUP(A202,'Trips&amp;Operators'!$C$1:$G$99999,5,FALSE)</f>
        <v>CHANDLER KELVIN</v>
      </c>
      <c r="M202" s="6">
        <f t="shared" si="48"/>
        <v>6.0300925906631164E-3</v>
      </c>
      <c r="N202" s="7">
        <f t="shared" si="67"/>
        <v>8.6833333305548877</v>
      </c>
      <c r="O202" s="7"/>
      <c r="P202" s="7"/>
      <c r="Q202" s="23"/>
      <c r="R202" s="23"/>
      <c r="S202" s="32">
        <f t="shared" si="68"/>
        <v>1</v>
      </c>
      <c r="T202" s="47" t="str">
        <f t="shared" si="49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50"/>
        <v>https://d0f6bd738d7f1b3e5a7ca70fe4ff75f0.us-east-1.aws.found.io/app/kibana#/discover/Steve-Slow-Train-Analysis-(2080s-and-2083s)?_g=(refreshInterval:(display:Off,pause:!f,section:0,value:0),time:(from:'2017-01-29T23:43:01-0700',mode:absolute,to:'2017-01-30T01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49" t="str">
        <f t="shared" si="51"/>
        <v>Y</v>
      </c>
      <c r="X202" s="170">
        <f t="shared" si="69"/>
        <v>1</v>
      </c>
      <c r="Y202" s="64">
        <f t="shared" si="53"/>
        <v>3.6299999999999999E-2</v>
      </c>
      <c r="Z202" s="64">
        <f t="shared" si="54"/>
        <v>2.2839</v>
      </c>
      <c r="AA202" s="64">
        <f t="shared" si="55"/>
        <v>2.2476000000000003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56"/>
        <v>0309-29</v>
      </c>
      <c r="AE202" s="87" t="str">
        <f t="shared" si="57"/>
        <v>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 &amp; 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</v>
      </c>
      <c r="AF202" s="84" t="str">
        <f t="shared" si="58"/>
        <v>"C:\Program Files (x86)\AstroGrep\AstroGrep.exe" /spath="%USERPROFILE%\AppData\Local\Temp\OnboardLogs" /stypes="app*4007*20170130*" /stext=" 07:.+((SYSTEM_STATE.+slice.+state.+changed )|(ment ac)|(multiple cpu faults)|(system.+state.+changed )|(\[timeout)|(PRM\|1\|D)|(kpr)|(kdp)|(\|lc)|(penalty))" /e /r /s</v>
      </c>
      <c r="AG202" s="1" t="str">
        <f t="shared" si="59"/>
        <v>Other</v>
      </c>
      <c r="AH202" s="88" t="str">
        <f t="shared" si="60"/>
        <v>"%USERPROFILE%\Documents\GitHub\eaglep3\Utilities\RefineRTDCRunTimes.py" --tripid 309-29 --locoid 4007 --swversion DE.1.0.8.0 --startMP 204:363 --initTime 2017-01-30T00:43:01 --startdatetime 2017-01-30T00:44:15 --delay 0 --endMP 300:22839 --enddatetime 2017-01-30T00:52:56 --enforcementcount 0 &gt;&gt;C:\Users\stu\Documents\GitHub\eaglep3-reporting\EC\2017-01-29-refined-times.txt</v>
      </c>
      <c r="AI202" s="115" t="str">
        <f t="shared" si="61"/>
        <v>echo {"issue":{"subject":"","project_id":79,"tracker_id":40,"status_id":1,"priority_id":2,"assigned_to_id":23,"start_date":"2017-01-30","description":"","custom_fields":[{"id":1,"name":"Subdivision","value":"Other"},{"id":4,"name":"Milepost","value":"2.2839"},{"id":17,"name":"Train ID","value":"309-29"},{"id":16,"name":"Locomotive ID","value":"4007"},{"id":130,"name":"Impact","value":""},{"id":150,"name":"Time of Event (Mountain Time)","value":"00:52:56"},{"id":151,"name":"Denver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62"/>
        <v>start /low /b %USERPROFILE%\Documents\GitHub\eaglep3\Utilities\DownloadLogsFromS3.py --loco 4007 --day 2017-01-30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"%USERPROFILE%\AppData\Local\Temp\OnboardLogs"\RTDC4007\*4007*20170130* | grep -SE "(Enforcement Action)|(\[TIMEOUT)|(CHR.+\|PRM\|1\|D.+(SWITCH|SIGNAL).+UNKNOWN)" - &gt;&gt; 2017-01-29-UncaughtWiMAX.txt</v>
      </c>
    </row>
    <row r="203" spans="1:91" x14ac:dyDescent="0.25">
      <c r="A203" s="34" t="s">
        <v>485</v>
      </c>
      <c r="B203" s="7">
        <v>4039</v>
      </c>
      <c r="C203" s="22" t="s">
        <v>193</v>
      </c>
      <c r="D203" s="22" t="s">
        <v>796</v>
      </c>
      <c r="E203" s="13">
        <v>42764.174756944441</v>
      </c>
      <c r="F203" s="13">
        <v>42764.178368055553</v>
      </c>
      <c r="G203" s="7">
        <v>4</v>
      </c>
      <c r="H203" s="22" t="s">
        <v>420</v>
      </c>
      <c r="I203" s="13">
        <v>42764.192187499997</v>
      </c>
      <c r="J203" s="7">
        <v>0</v>
      </c>
      <c r="K203" s="105" t="str">
        <f t="shared" si="47"/>
        <v>4039/4040</v>
      </c>
      <c r="L203" s="22" t="str">
        <f>VLOOKUP(A203,'Trips&amp;Operators'!$C$1:$G$99999,5,FALSE)</f>
        <v>ROBINSON KADDIBA</v>
      </c>
      <c r="M203" s="6">
        <f t="shared" si="48"/>
        <v>1.3819444444379769E-2</v>
      </c>
      <c r="N203" s="7">
        <f t="shared" si="67"/>
        <v>19.899999999906868</v>
      </c>
      <c r="O203" s="7"/>
      <c r="P203" s="7"/>
      <c r="Q203" s="23"/>
      <c r="R203" s="23"/>
      <c r="S203" s="32">
        <f t="shared" si="68"/>
        <v>1</v>
      </c>
      <c r="T203" s="47" t="str">
        <f t="shared" si="49"/>
        <v>Southbound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50"/>
        <v>https://d0f6bd738d7f1b3e5a7ca70fe4ff75f0.us-east-1.aws.found.io/app/kibana#/discover/Steve-Slow-Train-Analysis-(2080s-and-2083s)?_g=(refreshInterval:(display:Off,pause:!f,section:0,value:0),time:(from:'2017-01-29T03:11:39-0700',mode:absolute,to:'2017-01-29T05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3" s="49" t="str">
        <f t="shared" si="51"/>
        <v>Y</v>
      </c>
      <c r="X203" s="170">
        <f t="shared" si="69"/>
        <v>1</v>
      </c>
      <c r="Y203" s="64">
        <f t="shared" si="53"/>
        <v>2.3292000000000002</v>
      </c>
      <c r="Z203" s="64">
        <f t="shared" si="54"/>
        <v>1.3899999999999999E-2</v>
      </c>
      <c r="AA203" s="64">
        <f t="shared" si="55"/>
        <v>2.3153000000000001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56"/>
        <v>0310-29</v>
      </c>
      <c r="AE203" s="87" t="str">
        <f t="shared" si="57"/>
        <v>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 &amp; 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</v>
      </c>
      <c r="AF203" s="84" t="str">
        <f t="shared" si="58"/>
        <v>"C:\Program Files (x86)\AstroGrep\AstroGrep.exe" /spath="%USERPROFILE%\AppData\Local\Temp\OnboardLogs" /stypes="app*4039*20170129*" /stext=" 11:.+((SYSTEM_STATE.+slice.+state.+changed )|(ment ac)|(multiple cpu faults)|(system.+state.+changed )|(\[timeout)|(PRM\|1\|D)|(kpr)|(kdp)|(\|lc)|(penalty))" /e /r /s</v>
      </c>
      <c r="AG203" s="1" t="str">
        <f t="shared" si="59"/>
        <v>Other</v>
      </c>
      <c r="AH203" s="88" t="str">
        <f t="shared" si="60"/>
        <v>"%USERPROFILE%\Documents\GitHub\eaglep3\Utilities\RefineRTDCRunTimes.py" --tripid 310-29 --locoid 4039 --swversion DE.1.0.8.0 --startMP 300:23292 --initTime 2017-01-29T04:11:39 --startdatetime 2017-01-29T04:16:51 --delay 4 --endMP 204:139 --enddatetime 2017-01-29T04:36:45 --enforcementcount 0 &gt;&gt;C:\Users\stu\Documents\GitHub\eaglep3-reporting\EC\2017-01-29-refined-times.txt</v>
      </c>
      <c r="AI203" s="115" t="str">
        <f t="shared" si="61"/>
        <v>echo {"issue":{"subject":"","project_id":79,"tracker_id":40,"status_id":1,"priority_id":2,"assigned_to_id":23,"start_date":"2017-01-29","description":"","custom_fields":[{"id":1,"name":"Subdivision","value":"Other"},{"id":4,"name":"Milepost","value":"0.0139"},{"id":17,"name":"Train ID","value":"310-29"},{"id":16,"name":"Locomotive ID","value":"4039"},{"id":130,"name":"Impact","value":""},{"id":150,"name":"Time of Event (Mountain Time)","value":"04:36:45"},{"id":151,"name":"Denver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62"/>
        <v>start /low /b %USERPROFILE%\Documents\GitHub\eaglep3\Utilities\DownloadLogsFromS3.py --loco 4039 --day 2017-01-29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2017-01-29-UncaughtWiMAX.txt</v>
      </c>
    </row>
    <row r="204" spans="1:91" s="21" customFormat="1" x14ac:dyDescent="0.25">
      <c r="A204" s="34" t="s">
        <v>412</v>
      </c>
      <c r="B204" s="7">
        <v>4022</v>
      </c>
      <c r="C204" s="22" t="s">
        <v>193</v>
      </c>
      <c r="D204" s="22" t="s">
        <v>248</v>
      </c>
      <c r="E204" s="13">
        <v>42764.087754629632</v>
      </c>
      <c r="F204" s="13">
        <v>25568.708333333332</v>
      </c>
      <c r="G204" s="7">
        <v>1</v>
      </c>
      <c r="H204" s="22" t="s">
        <v>453</v>
      </c>
      <c r="I204" s="13">
        <v>25568.708333333332</v>
      </c>
      <c r="J204" s="7">
        <v>0</v>
      </c>
      <c r="K204" s="105" t="str">
        <f t="shared" si="47"/>
        <v>4021/4022</v>
      </c>
      <c r="L204" s="22" t="str">
        <f>VLOOKUP(A204,'Trips&amp;Operators'!$C$1:$G$99999,5,FALSE)</f>
        <v>HILLS DUSTIN</v>
      </c>
      <c r="M204" s="6">
        <f t="shared" si="48"/>
        <v>0</v>
      </c>
      <c r="N204" s="7">
        <f t="shared" si="67"/>
        <v>0</v>
      </c>
      <c r="O204" s="7"/>
      <c r="P204" s="7"/>
      <c r="Q204" s="23"/>
      <c r="R204" s="23"/>
      <c r="S204" s="32">
        <f t="shared" si="68"/>
        <v>1</v>
      </c>
      <c r="T204" s="47" t="str">
        <f t="shared" si="49"/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0"/>
        <v>https://d0f6bd738d7f1b3e5a7ca70fe4ff75f0.us-east-1.aws.found.io/app/kibana#/discover/Steve-Slow-Train-Analysis-(2080s-and-2083s)?_g=(refreshInterval:(display:Off,pause:!f,section:0,value:0),time:(from:'2017-01-29T01:06:22-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49" t="str">
        <f t="shared" si="51"/>
        <v>Y</v>
      </c>
      <c r="X204" s="170">
        <f t="shared" si="69"/>
        <v>3</v>
      </c>
      <c r="Y204" s="64">
        <f t="shared" si="53"/>
        <v>4.5100000000000001E-2</v>
      </c>
      <c r="Z204" s="64">
        <f t="shared" si="54"/>
        <v>2.3292999999999999</v>
      </c>
      <c r="AA204" s="64">
        <f t="shared" si="55"/>
        <v>2.2841999999999998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56"/>
        <v>0313-28</v>
      </c>
      <c r="AE204" s="87" t="str">
        <f t="shared" si="57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4" s="84" t="str">
        <f t="shared" si="58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4" s="1" t="str">
        <f t="shared" si="59"/>
        <v>Other</v>
      </c>
      <c r="AH204" s="88" t="str">
        <f t="shared" si="60"/>
        <v>"%USERPROFILE%\Documents\GitHub\eaglep3\Utilities\RefineRTDCRunTimes.py" --tripid 313-28 --locoid 4022 --swversion DE.1.0.8.0 --startMP 204:451 --initTime 2017-01-29T02:06:22 --startdatetime 1969-12-31T17:00:00 --delay 1 --endMP 300:23293 --enddatetime 1969-12-31T17:00:00 --enforcementcount 0 &gt;&gt;C:\Users\stu\Documents\GitHub\eaglep3-reporting\EC\2017-01-29-refined-times.txt</v>
      </c>
      <c r="AI204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ID","value":"313-28"},{"id":16,"name":"Locomotive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62"/>
        <v>start /low /b %USERPROFILE%\Documents\GitHub\eaglep3\Utilities\DownloadLogsFromS3.py --loco 4022 --day 1969-12-31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2017-01-29-UncaughtWiMAX.txt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4" t="s">
        <v>661</v>
      </c>
      <c r="B205" s="7">
        <v>4025</v>
      </c>
      <c r="C205" s="22" t="s">
        <v>193</v>
      </c>
      <c r="D205" s="22" t="s">
        <v>689</v>
      </c>
      <c r="E205" s="13">
        <v>42765.06763888889</v>
      </c>
      <c r="F205" s="13">
        <v>42765.077418981484</v>
      </c>
      <c r="G205" s="7">
        <v>1</v>
      </c>
      <c r="H205" s="22" t="s">
        <v>797</v>
      </c>
      <c r="I205" s="13">
        <v>42765.082939814813</v>
      </c>
      <c r="J205" s="7">
        <v>0</v>
      </c>
      <c r="K205" s="105" t="str">
        <f t="shared" ref="K205:K217" si="70">IF(ISEVEN(B205),(B205-1)&amp;"/"&amp;B205,B205&amp;"/"&amp;(B205+1))</f>
        <v>4025/4026</v>
      </c>
      <c r="L205" s="22" t="str">
        <f>VLOOKUP(A205,'Trips&amp;Operators'!$C$1:$G$99999,5,FALSE)</f>
        <v>SMITH MICHAEL</v>
      </c>
      <c r="M205" s="6">
        <f t="shared" ref="M205:M217" si="71">I205-F205</f>
        <v>5.5208333287737332E-3</v>
      </c>
      <c r="N205" s="7">
        <f t="shared" si="67"/>
        <v>7.9499999934341758</v>
      </c>
      <c r="O205" s="7"/>
      <c r="P205" s="7"/>
      <c r="Q205" s="23"/>
      <c r="R205" s="23"/>
      <c r="S205" s="32">
        <f t="shared" si="68"/>
        <v>1</v>
      </c>
      <c r="T205" s="47" t="str">
        <f t="shared" ref="T205:T217" si="72">IF(ISEVEN(LEFT(AD205,4)),"Southbound","NorthBound")</f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17" si="7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-30T00:37:24-0700',mode:absolute,to:'2017-01-30T02:59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49" t="str">
        <f t="shared" ref="W205:W217" si="74">IF(AA205&lt;IF(AG205="EC",23,5.65),"Y","N")</f>
        <v>Y</v>
      </c>
      <c r="X205" s="170">
        <f t="shared" si="69"/>
        <v>0</v>
      </c>
      <c r="Y205" s="64">
        <f t="shared" ref="Y205:Y217" si="75">RIGHT(D205,LEN(D205)-4)/10000</f>
        <v>4.3999999999999997E-2</v>
      </c>
      <c r="Z205" s="64">
        <f t="shared" ref="Z205:Z217" si="76">RIGHT(H205,LEN(H205)-4)/10000</f>
        <v>2.2703000000000002</v>
      </c>
      <c r="AA205" s="64">
        <f t="shared" ref="AA205:AA217" si="77">ABS(Z205-Y205)</f>
        <v>2.2263000000000002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ref="AD205:AD217" si="78">IF(LEN(A205)=6,"0"&amp;A205,A205)</f>
        <v>0313-29</v>
      </c>
      <c r="AE205" s="87" t="str">
        <f t="shared" ref="AE205:AE217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 &amp; 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</v>
      </c>
      <c r="AF205" s="84" t="str">
        <f t="shared" ref="AF205:AF217" si="8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/stypes="app*4025*20170130*" /stext=" 08:.+((SYSTEM_STATE.+slice.+state.+changed )|(ment ac)|(multiple cpu faults)|(system.+state.+changed )|(\[timeout)|(PRM\|1\|D)|(kpr)|(kdp)|(\|lc)|(penalty))" /e /r /s</v>
      </c>
      <c r="AG205" s="1" t="str">
        <f t="shared" ref="AG205:AG217" si="81">IFERROR(IF(VALUE(LEFT(AD205,2))&lt;=2,"EC",IF(OR(VALUE(LEFT(AD205,2))=8,VALUE(LEFT(AD205,2))=18),"NW","Other")),"Other")</f>
        <v>Other</v>
      </c>
      <c r="AH205" s="88" t="str">
        <f t="shared" ref="AH205:AH217" si="8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313-29 --locoid 4025 --swversion DE.1.0.8.0 --startMP 204:440 --initTime 2017-01-30T01:37:24 --startdatetime 2017-01-30T01:51:29 --delay 1 --endMP 300:22703 --enddatetime 2017-01-30T01:59:26 --enforcementcount 0 &gt;&gt;C:\Users\stu\Documents\GitHub\eaglep3-reporting\EC\2017-01-29-refined-times.txt</v>
      </c>
      <c r="AI205" s="115" t="str">
        <f t="shared" ref="AI205:AI217" si="8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{"issue":{"subject":"","project_id":79,"tracker_id":40,"status_id":1,"priority_id":2,"assigned_to_id":23,"start_date":"2017-01-30","description":"","custom_fields":[{"id":1,"name":"Subdivision","value":"Other"},{"id":4,"name":"Milepost","value":"2.2703"},{"id":17,"name":"Train ID","value":"313-29"},{"id":16,"name":"Locomotive ID","value":"4025"},{"id":130,"name":"Impact","value":""},{"id":150,"name":"Time of Event (Mountain Time)","value":"01:59:26"},{"id":151,"name":"Denver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ref="AM205:AM217" si="84">"start /low /b "&amp;dls3logs&amp;" --loco "&amp;B205&amp;" --day "&amp;TEXT(F205,"YYYY-MM-DD")</f>
        <v>start /low /b %USERPROFILE%\Documents\GitHub\eaglep3\Utilities\DownloadLogsFromS3.py --loco 4025 --day 2017-01-30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"%USERPROFILE%\AppData\Local\Temp\OnboardLogs"\RTDC4025\*4025*20170130* | grep -SE "(Enforcement Action)|(\[TIMEOUT)|(CHR.+\|PRM\|1\|D.+(SWITCH|SIGNAL).+UNKNOWN)" - &gt;&gt; 2017-01-29-UncaughtWiMAX.txt</v>
      </c>
    </row>
    <row r="206" spans="1:91" s="21" customFormat="1" x14ac:dyDescent="0.25">
      <c r="A206" s="34" t="s">
        <v>413</v>
      </c>
      <c r="B206" s="7">
        <v>4018</v>
      </c>
      <c r="C206" s="22" t="s">
        <v>193</v>
      </c>
      <c r="D206" s="22" t="s">
        <v>232</v>
      </c>
      <c r="E206" s="13">
        <v>42764.110578703701</v>
      </c>
      <c r="F206" s="13">
        <v>25568.708333333332</v>
      </c>
      <c r="G206" s="7">
        <v>1</v>
      </c>
      <c r="H206" s="22" t="s">
        <v>454</v>
      </c>
      <c r="I206" s="13">
        <v>25568.708333333332</v>
      </c>
      <c r="J206" s="7">
        <v>0</v>
      </c>
      <c r="K206" s="105" t="str">
        <f t="shared" si="70"/>
        <v>4017/4018</v>
      </c>
      <c r="L206" s="22" t="str">
        <f>VLOOKUP(A206,'Trips&amp;Operators'!$C$1:$G$99999,5,FALSE)</f>
        <v>BROWN JACOB</v>
      </c>
      <c r="M206" s="6">
        <f t="shared" si="71"/>
        <v>0</v>
      </c>
      <c r="N206" s="7">
        <f t="shared" si="67"/>
        <v>0</v>
      </c>
      <c r="O206" s="7"/>
      <c r="P206" s="7"/>
      <c r="Q206" s="23"/>
      <c r="R206" s="23"/>
      <c r="S206" s="32">
        <f t="shared" si="68"/>
        <v>1</v>
      </c>
      <c r="T206" s="47" t="str">
        <f t="shared" si="72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73"/>
        <v>https://d0f6bd738d7f1b3e5a7ca70fe4ff75f0.us-east-1.aws.found.io/app/kibana#/discover/Steve-Slow-Train-Analysis-(2080s-and-2083s)?_g=(refreshInterval:(display:Off,pause:!f,section:0,value:0),time:(from:'2017-01-29T01:39:14-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49" t="str">
        <f t="shared" si="74"/>
        <v>Y</v>
      </c>
      <c r="X206" s="170">
        <f t="shared" si="69"/>
        <v>2</v>
      </c>
      <c r="Y206" s="64">
        <f t="shared" si="75"/>
        <v>4.58E-2</v>
      </c>
      <c r="Z206" s="64">
        <f t="shared" si="76"/>
        <v>2.3123</v>
      </c>
      <c r="AA206" s="64">
        <f t="shared" si="77"/>
        <v>2.2665000000000002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78"/>
        <v>0315-28</v>
      </c>
      <c r="AE206" s="87" t="str">
        <f t="shared" si="79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6" s="84" t="str">
        <f t="shared" si="80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6" s="1" t="str">
        <f t="shared" si="81"/>
        <v>Other</v>
      </c>
      <c r="AH206" s="88" t="str">
        <f t="shared" si="82"/>
        <v>"%USERPROFILE%\Documents\GitHub\eaglep3\Utilities\RefineRTDCRunTimes.py" --tripid 315-28 --locoid 4018 --swversion DE.1.0.8.0 --startMP 204:458 --initTime 2017-01-29T02:39:14 --startdatetime 1969-12-31T17:00:00 --delay 1 --endMP 300:23123 --enddatetime 1969-12-31T17:00:00 --enforcementcount 0 &gt;&gt;C:\Users\stu\Documents\GitHub\eaglep3-reporting\EC\2017-01-29-refined-times.txt</v>
      </c>
      <c r="AI206" s="115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{"issue":{"subject":"","project_id":79,"tracker_id":40,"status_id":1,"priority_id":2,"assigned_to_id":23,"start_date":"1969-12-31","description":"","custom_fields":[{"id":1,"name":"Subdivision","value":"Other"},{"id":4,"name":"Milepost","value":"2.3123"},{"id":17,"name":"Train ID","value":"315-28"},{"id":16,"name":"Locomotive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84"/>
        <v>start /low /b %USERPROFILE%\Documents\GitHub\eaglep3\Utilities\DownloadLogsFromS3.py --loco 4018 --day 1969-12-31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2017-01-29-UncaughtWiMAX.txt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491</v>
      </c>
      <c r="B207" s="7">
        <v>4042</v>
      </c>
      <c r="C207" s="22" t="s">
        <v>193</v>
      </c>
      <c r="D207" s="22" t="s">
        <v>752</v>
      </c>
      <c r="E207" s="13">
        <v>42764.221759259257</v>
      </c>
      <c r="F207" s="13">
        <v>42764.222916666666</v>
      </c>
      <c r="G207" s="7">
        <v>1</v>
      </c>
      <c r="H207" s="22" t="s">
        <v>313</v>
      </c>
      <c r="I207" s="13">
        <v>42764.227835648147</v>
      </c>
      <c r="J207" s="7">
        <v>0</v>
      </c>
      <c r="K207" s="105" t="str">
        <f t="shared" si="70"/>
        <v>4041/4042</v>
      </c>
      <c r="L207" s="22" t="str">
        <f>VLOOKUP(A207,'Trips&amp;Operators'!$C$1:$G$99999,5,FALSE)</f>
        <v>YORK EDGAR</v>
      </c>
      <c r="M207" s="6">
        <f t="shared" si="71"/>
        <v>4.9189814817509614E-3</v>
      </c>
      <c r="N207" s="7">
        <f t="shared" si="67"/>
        <v>7.0833333337213844</v>
      </c>
      <c r="O207" s="7"/>
      <c r="P207" s="7"/>
      <c r="Q207" s="23"/>
      <c r="R207" s="23"/>
      <c r="S207" s="32">
        <f t="shared" si="68"/>
        <v>0</v>
      </c>
      <c r="T207" s="47" t="str">
        <f t="shared" si="72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73"/>
        <v>https://d0f6bd738d7f1b3e5a7ca70fe4ff75f0.us-east-1.aws.found.io/app/kibana#/discover/Steve-Slow-Train-Analysis-(2080s-and-2083s)?_g=(refreshInterval:(display:Off,pause:!f,section:0,value:0),time:(from:'2017-01-29T04:19:20-0700',mode:absolute,to:'2017-01-29T06:28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49" t="str">
        <f t="shared" si="74"/>
        <v>Y</v>
      </c>
      <c r="X207" s="170">
        <f t="shared" si="69"/>
        <v>1586</v>
      </c>
      <c r="Y207" s="64">
        <f t="shared" si="75"/>
        <v>3.0175999999999998</v>
      </c>
      <c r="Z207" s="64">
        <f t="shared" si="76"/>
        <v>5.8933</v>
      </c>
      <c r="AA207" s="64">
        <f t="shared" si="77"/>
        <v>2.8757000000000001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78"/>
        <v>1901-29</v>
      </c>
      <c r="AE207" s="87" t="str">
        <f t="shared" si="79"/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AF207" s="84" t="str">
        <f t="shared" si="80"/>
        <v>"C:\Program Files (x86)\AstroGrep\AstroGrep.exe" /spath="%USERPROFILE%\AppData\Local\Temp\OnboardLogs" /stypes="app*4042*20170129*" /stext=" 12:.+((SYSTEM_STATE.+slice.+state.+changed )|(ment ac)|(multiple cpu faults)|(system.+state.+changed )|(\[timeout)|(PRM\|1\|D)|(kpr)|(kdp)|(\|lc)|(penalty))" /e /r /s</v>
      </c>
      <c r="AG207" s="1" t="str">
        <f t="shared" si="81"/>
        <v>Other</v>
      </c>
      <c r="AH207" s="88" t="str">
        <f t="shared" si="82"/>
        <v>"%USERPROFILE%\Documents\GitHub\eaglep3\Utilities\RefineRTDCRunTimes.py" --tripid 1901-29 --locoid 4042 --swversion DE.1.0.8.0 --startMP 300:30176 --initTime 2017-01-29T05:19:20 --startdatetime 2017-01-29T05:21:00 --delay 1 --endMP 300:58933 --enddatetime 2017-01-29T05:28:05 --enforcementcount 0 &gt;&gt;C:\Users\stu\Documents\GitHub\eaglep3-reporting\EC\2017-01-29-refined-times.txt</v>
      </c>
      <c r="AI207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{"issue":{"subject":"","project_id":79,"tracker_id":40,"status_id":1,"priority_id":2,"assigned_to_id":23,"start_date":"2017-01-29","description":"","custom_fields":[{"id":1,"name":"Subdivision","value":"Other"},{"id":4,"name":"Milepost","value":"5.8933"},{"id":17,"name":"Train ID","value":"1901-29"},{"id":16,"name":"Locomotive ID","value":"4042"},{"id":130,"name":"Impact","value":""},{"id":150,"name":"Time of Event (Mountain Time)","value":"05:28:05"},{"id":151,"name":"Denver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84"/>
        <v>start /low /b %USERPROFILE%\Documents\GitHub\eaglep3\Utilities\DownloadLogsFromS3.py --loco 4042 --day 2017-01-29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"%USERPROFILE%\AppData\Local\Temp\OnboardLogs"\RTDC4042\*4042*20170129* | grep -SE "(Enforcement Action)|(\[TIMEOUT)|(CHR.+\|PRM\|1\|D.+(SWITCH|SIGNAL).+UNKNOWN)" - &gt;&gt; 2017-01-29-UncaughtWiMAX.txt</v>
      </c>
    </row>
    <row r="208" spans="1:91" x14ac:dyDescent="0.25">
      <c r="A208" s="34" t="s">
        <v>651</v>
      </c>
      <c r="B208" s="7">
        <v>4041</v>
      </c>
      <c r="C208" s="22" t="s">
        <v>193</v>
      </c>
      <c r="D208" s="22" t="s">
        <v>733</v>
      </c>
      <c r="E208" s="13">
        <v>42764.943796296298</v>
      </c>
      <c r="F208" s="13">
        <v>42764.9450462963</v>
      </c>
      <c r="G208" s="7">
        <v>1</v>
      </c>
      <c r="H208" s="22" t="s">
        <v>753</v>
      </c>
      <c r="I208" s="13">
        <v>42764.949502314812</v>
      </c>
      <c r="J208" s="7">
        <v>0</v>
      </c>
      <c r="K208" s="105" t="str">
        <f t="shared" si="70"/>
        <v>4041/4042</v>
      </c>
      <c r="L208" s="22" t="str">
        <f>VLOOKUP(A208,'Trips&amp;Operators'!$C$1:$G$99999,5,FALSE)</f>
        <v>HELVIE ADAM</v>
      </c>
      <c r="M208" s="6">
        <f t="shared" si="71"/>
        <v>4.4560185124282725E-3</v>
      </c>
      <c r="N208" s="7">
        <f t="shared" si="67"/>
        <v>6.4166666578967124</v>
      </c>
      <c r="O208" s="7"/>
      <c r="P208" s="7"/>
      <c r="Q208" s="23"/>
      <c r="R208" s="23"/>
      <c r="S208" s="32">
        <f t="shared" si="68"/>
        <v>0</v>
      </c>
      <c r="T208" s="47" t="str">
        <f t="shared" si="72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73"/>
        <v>https://d0f6bd738d7f1b3e5a7ca70fe4ff75f0.us-east-1.aws.found.io/app/kibana#/discover/Steve-Slow-Train-Analysis-(2080s-and-2083s)?_g=(refreshInterval:(display:Off,pause:!f,section:0,value:0),time:(from:'2017-01-29T21:39:04-0700',mode:absolute,to:'2017-01-29T23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8" s="49" t="str">
        <f t="shared" si="74"/>
        <v>Y</v>
      </c>
      <c r="X208" s="170">
        <f t="shared" si="69"/>
        <v>1</v>
      </c>
      <c r="Y208" s="64">
        <f t="shared" si="75"/>
        <v>5.8619000000000003</v>
      </c>
      <c r="Z208" s="64">
        <f t="shared" si="76"/>
        <v>2.1741999999999999</v>
      </c>
      <c r="AA208" s="64">
        <f t="shared" si="77"/>
        <v>3.6877000000000004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78"/>
        <v>1902-29</v>
      </c>
      <c r="AE208" s="87" t="str">
        <f t="shared" si="79"/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AF208" s="84" t="str">
        <f t="shared" si="80"/>
        <v>"C:\Program Files (x86)\AstroGrep\AstroGrep.exe" /spath="%USERPROFILE%\AppData\Local\Temp\OnboardLogs" /stypes="app*4041*20170130*" /stext=" 05:.+((SYSTEM_STATE.+slice.+state.+changed )|(ment ac)|(multiple cpu faults)|(system.+state.+changed )|(\[timeout)|(PRM\|1\|D)|(kpr)|(kdp)|(\|lc)|(penalty))" /e /r /s</v>
      </c>
      <c r="AG208" s="1" t="str">
        <f t="shared" si="81"/>
        <v>Other</v>
      </c>
      <c r="AH208" s="88" t="str">
        <f t="shared" si="82"/>
        <v>"%USERPROFILE%\Documents\GitHub\eaglep3\Utilities\RefineRTDCRunTimes.py" --tripid 1902-29 --locoid 4041 --swversion DE.1.0.8.0 --startMP 300:58619 --initTime 2017-01-29T22:39:04 --startdatetime 2017-01-29T22:40:52 --delay 1 --endMP 300:21742 --enddatetime 2017-01-29T22:47:17 --enforcementcount 0 &gt;&gt;C:\Users\stu\Documents\GitHub\eaglep3-reporting\EC\2017-01-29-refined-times.txt</v>
      </c>
      <c r="AI208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{"issue":{"subject":"","project_id":79,"tracker_id":40,"status_id":1,"priority_id":2,"assigned_to_id":23,"start_date":"2017-01-29","description":"","custom_fields":[{"id":1,"name":"Subdivision","value":"Other"},{"id":4,"name":"Milepost","value":"2.1742"},{"id":17,"name":"Train ID","value":"1902-29"},{"id":16,"name":"Locomotive ID","value":"4041"},{"id":130,"name":"Impact","value":""},{"id":150,"name":"Time of Event (Mountain Time)","value":"22:47:17"},{"id":151,"name":"Denver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84"/>
        <v>start /low /b %USERPROFILE%\Documents\GitHub\eaglep3\Utilities\DownloadLogsFromS3.py --loco 4041 --day 2017-01-29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2017-01-29-UncaughtWiMAX.txt</v>
      </c>
    </row>
    <row r="209" spans="1:91" x14ac:dyDescent="0.25">
      <c r="A209" s="34" t="s">
        <v>460</v>
      </c>
      <c r="B209" s="7">
        <v>4004</v>
      </c>
      <c r="C209" s="22" t="s">
        <v>193</v>
      </c>
      <c r="D209" s="22" t="s">
        <v>798</v>
      </c>
      <c r="E209" s="13">
        <v>42764.447546296295</v>
      </c>
      <c r="F209" s="13">
        <v>42764.454189814816</v>
      </c>
      <c r="G209" s="7">
        <v>9</v>
      </c>
      <c r="H209" s="22">
        <v>8.5243055555555554</v>
      </c>
      <c r="I209" s="13">
        <v>42764.460138888891</v>
      </c>
      <c r="J209" s="7">
        <v>0</v>
      </c>
      <c r="K209" s="105" t="str">
        <f t="shared" si="70"/>
        <v>4003/4004</v>
      </c>
      <c r="L209" s="22" t="str">
        <f>VLOOKUP(A209,'Trips&amp;Operators'!$C$1:$G$99999,5,FALSE)</f>
        <v>BRUDER RICHARD</v>
      </c>
      <c r="M209" s="6">
        <f t="shared" si="71"/>
        <v>5.9490740750334226E-3</v>
      </c>
      <c r="N209" s="7">
        <f t="shared" si="67"/>
        <v>8.5666666680481285</v>
      </c>
      <c r="O209" s="7"/>
      <c r="P209" s="7"/>
      <c r="Q209" s="23"/>
      <c r="R209" s="23"/>
      <c r="S209" s="32">
        <f t="shared" si="68"/>
        <v>0</v>
      </c>
      <c r="T209" s="47" t="e">
        <f t="shared" si="72"/>
        <v>#VALUE!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73"/>
        <v>https://d0f6bd738d7f1b3e5a7ca70fe4ff75f0.us-east-1.aws.found.io/app/kibana#/discover/Steve-Slow-Train-Analysis-(2080s-and-2083s)?_g=(refreshInterval:(display:Off,pause:!f,section:0,value:0),time:(from:'2017-01-29T09:44:28-0700',mode:absolute,to:'2017-01-29T12:02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9" s="49" t="str">
        <f t="shared" si="74"/>
        <v>N</v>
      </c>
      <c r="X209" s="170" t="e">
        <f t="shared" si="69"/>
        <v>#VALUE!</v>
      </c>
      <c r="Y209" s="64">
        <f t="shared" si="75"/>
        <v>2.1873</v>
      </c>
      <c r="Z209" s="64">
        <f t="shared" si="76"/>
        <v>43055555.555600002</v>
      </c>
      <c r="AA209" s="64">
        <f t="shared" si="77"/>
        <v>43055553.368300006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78"/>
        <v>50-29</v>
      </c>
      <c r="AE209" s="87" t="str">
        <f t="shared" si="79"/>
        <v>aws s3 cp s3://rtdc.mdm.uploadarchive.raw/RTDC4004/ "%USERPROFILE%\AppData\Local\Temp\OnboardLogs"\RTDC4004\2017-01-29 --exclude "*" --recursive --include "*20170129*" &amp; "%USERPROFILE%\Documents\GitHub\mrs-test-scripts\Headless Mode &amp; Sideloading\WalkAndUnGZ.bat" "%USERPROFILE%\AppData\Local\Temp\OnboardLogs"\RTDC4004\2017-01-29 &amp; aws s3 cp s3://rtdc.mdm.uploadarchive.raw/RTDC4004/ "%USERPROFILE%\AppData\Local\Temp\OnboardLogs"\RTDC4004\2017-01-30 --exclude "*" --recursive --include "*20170130*" &amp; "%USERPROFILE%\Documents\GitHub\mrs-test-scripts\Headless Mode &amp; Sideloading\WalkAndUnGZ.bat" "%USERPROFILE%\AppData\Local\Temp\OnboardLogs"\RTDC4004\2017-01-30</v>
      </c>
      <c r="AF209" s="84" t="str">
        <f t="shared" si="80"/>
        <v>"C:\Program Files (x86)\AstroGrep\AstroGrep.exe" /spath="%USERPROFILE%\AppData\Local\Temp\OnboardLogs" /stypes="app*4004*20170129*" /stext=" 18:.+((SYSTEM_STATE.+slice.+state.+changed )|(ment ac)|(multiple cpu faults)|(system.+state.+changed )|(\[timeout)|(PRM\|1\|D)|(kpr)|(kdp)|(\|lc)|(penalty))" /e /r /s</v>
      </c>
      <c r="AG209" s="1" t="str">
        <f t="shared" si="81"/>
        <v>Other</v>
      </c>
      <c r="AH209" s="88" t="str">
        <f t="shared" si="82"/>
        <v>"%USERPROFILE%\Documents\GitHub\eaglep3\Utilities\RefineRTDCRunTimes.py" --tripid 50-29 --locoid 4004 --swversion DE.1.0.8.0 --startMP 300:21873 --initTime 2017-01-29T10:44:28 --startdatetime 2017-01-29T10:54:02 --delay 9 --endMP 8.52430555555556 --enddatetime 2017-01-29T11:02:36 --enforcementcount 0 &gt;&gt;C:\Users\stu\Documents\GitHub\eaglep3-reporting\EC\2017-01-29-refined-times.txt</v>
      </c>
      <c r="AI209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43055555.5556"},{"id":17,"name":"Train ID","value":"50-29"},{"id":16,"name":"Locomotive ID","value":"4004"},{"id":130,"name":"Impact","value":""},{"id":150,"name":"Time of Event (Mountain Time)","value":"11:02:36"},{"id":151,"name":"Denver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84"/>
        <v>start /low /b %USERPROFILE%\Documents\GitHub\eaglep3\Utilities\DownloadLogsFromS3.py --loco 4004 --day 2017-01-29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"%USERPROFILE%\AppData\Local\Temp\OnboardLogs"\RTDC4004\*4004*20170129* | grep -SE "(Enforcement Action)|(\[TIMEOUT)|(CHR.+\|PRM\|1\|D.+(SWITCH|SIGNAL).+UNKNOWN)" - &gt;&gt; 2017-01-29-UncaughtWiMAX.txt</v>
      </c>
    </row>
    <row r="210" spans="1:91" s="21" customFormat="1" x14ac:dyDescent="0.25">
      <c r="A210" s="34" t="s">
        <v>556</v>
      </c>
      <c r="B210" s="7">
        <v>4003</v>
      </c>
      <c r="C210" s="22" t="s">
        <v>193</v>
      </c>
      <c r="D210" s="22" t="s">
        <v>799</v>
      </c>
      <c r="E210" s="13">
        <v>42764.489953703705</v>
      </c>
      <c r="F210" s="13">
        <v>42764.490960648145</v>
      </c>
      <c r="G210" s="7">
        <v>1</v>
      </c>
      <c r="H210" s="22" t="s">
        <v>800</v>
      </c>
      <c r="I210" s="13">
        <v>42764.498113425929</v>
      </c>
      <c r="J210" s="7">
        <v>0</v>
      </c>
      <c r="K210" s="105" t="str">
        <f t="shared" si="70"/>
        <v>4003/4004</v>
      </c>
      <c r="L210" s="22" t="str">
        <f>VLOOKUP(A210,'Trips&amp;Operators'!$C$1:$G$99999,5,FALSE)</f>
        <v>ROBINSON KADDIBA</v>
      </c>
      <c r="M210" s="6">
        <f t="shared" si="71"/>
        <v>7.1527777836308815E-3</v>
      </c>
      <c r="N210" s="7">
        <f t="shared" si="67"/>
        <v>10.300000008428469</v>
      </c>
      <c r="O210" s="7"/>
      <c r="P210" s="7"/>
      <c r="Q210" s="23"/>
      <c r="R210" s="23"/>
      <c r="S210" s="32">
        <f t="shared" si="68"/>
        <v>0</v>
      </c>
      <c r="T210" s="47" t="e">
        <f t="shared" si="72"/>
        <v>#VALUE!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73"/>
        <v>https://d0f6bd738d7f1b3e5a7ca70fe4ff75f0.us-east-1.aws.found.io/app/kibana#/discover/Steve-Slow-Train-Analysis-(2080s-and-2083s)?_g=(refreshInterval:(display:Off,pause:!f,section:0,value:0),time:(from:'2017-01-29T10:45:32-0700',mode:absolute,to:'2017-01-29T12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0" s="49" t="str">
        <f t="shared" si="74"/>
        <v>Y</v>
      </c>
      <c r="X210" s="170" t="e">
        <f t="shared" si="69"/>
        <v>#VALUE!</v>
      </c>
      <c r="Y210" s="64">
        <f t="shared" si="75"/>
        <v>3.1899999999999998E-2</v>
      </c>
      <c r="Z210" s="64">
        <f t="shared" si="76"/>
        <v>2.4289999999999998</v>
      </c>
      <c r="AA210" s="64">
        <f t="shared" si="77"/>
        <v>2.3971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78"/>
        <v>51-29</v>
      </c>
      <c r="AE210" s="87" t="str">
        <f t="shared" si="79"/>
        <v>aws s3 cp s3://rtdc.mdm.uploadarchive.raw/RTDC4003/ "%USERPROFILE%\AppData\Local\Temp\OnboardLogs"\RTDC4003\2017-01-29 --exclude "*" --recursive --include "*20170129*" &amp; "%USERPROFILE%\Documents\GitHub\mrs-test-scripts\Headless Mode &amp; Sideloading\WalkAndUnGZ.bat" "%USERPROFILE%\AppData\Local\Temp\OnboardLogs"\RTDC4003\2017-01-29 &amp; aws s3 cp s3://rtdc.mdm.uploadarchive.raw/RTDC4003/ "%USERPROFILE%\AppData\Local\Temp\OnboardLogs"\RTDC4003\2017-01-30 --exclude "*" --recursive --include "*20170130*" &amp; "%USERPROFILE%\Documents\GitHub\mrs-test-scripts\Headless Mode &amp; Sideloading\WalkAndUnGZ.bat" "%USERPROFILE%\AppData\Local\Temp\OnboardLogs"\RTDC4003\2017-01-30</v>
      </c>
      <c r="AF210" s="84" t="str">
        <f t="shared" si="80"/>
        <v>"C:\Program Files (x86)\AstroGrep\AstroGrep.exe" /spath="%USERPROFILE%\AppData\Local\Temp\OnboardLogs" /stypes="app*4003*20170129*" /stext=" 18:.+((SYSTEM_STATE.+slice.+state.+changed )|(ment ac)|(multiple cpu faults)|(system.+state.+changed )|(\[timeout)|(PRM\|1\|D)|(kpr)|(kdp)|(\|lc)|(penalty))" /e /r /s</v>
      </c>
      <c r="AG210" s="1" t="str">
        <f t="shared" si="81"/>
        <v>Other</v>
      </c>
      <c r="AH210" s="88" t="str">
        <f t="shared" si="82"/>
        <v>"%USERPROFILE%\Documents\GitHub\eaglep3\Utilities\RefineRTDCRunTimes.py" --tripid 51-29 --locoid 4003 --swversion DE.1.0.8.0 --startMP 204:319 --initTime 2017-01-29T11:45:32 --startdatetime 2017-01-29T11:46:59 --delay 1 --endMP 300:24290 --enddatetime 2017-01-29T11:57:17 --enforcementcount 0 &gt;&gt;C:\Users\stu\Documents\GitHub\eaglep3-reporting\EC\2017-01-29-refined-times.txt</v>
      </c>
      <c r="AI210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{"issue":{"subject":"","project_id":79,"tracker_id":40,"status_id":1,"priority_id":2,"assigned_to_id":23,"start_date":"2017-01-29","description":"","custom_fields":[{"id":1,"name":"Subdivision","value":"Other"},{"id":4,"name":"Milepost","value":"2.429"},{"id":17,"name":"Train ID","value":"51-29"},{"id":16,"name":"Locomotive ID","value":"4003"},{"id":130,"name":"Impact","value":""},{"id":150,"name":"Time of Event (Mountain Time)","value":"11:57:17"},{"id":151,"name":"Denver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84"/>
        <v>start /low /b %USERPROFILE%\Documents\GitHub\eaglep3\Utilities\DownloadLogsFromS3.py --loco 4003 --day 2017-01-29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"%USERPROFILE%\AppData\Local\Temp\OnboardLogs"\RTDC4003\*4003*20170129* | grep -SE "(Enforcement Action)|(\[TIMEOUT)|(CHR.+\|PRM\|1\|D.+(SWITCH|SIGNAL).+UNKNOWN)" - &gt;&gt; 2017-01-29-UncaughtWiMAX.txt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4" t="s">
        <v>469</v>
      </c>
      <c r="B211" s="7">
        <v>4004</v>
      </c>
      <c r="C211" s="22" t="s">
        <v>193</v>
      </c>
      <c r="D211" s="22" t="s">
        <v>801</v>
      </c>
      <c r="E211" s="13">
        <v>42764.694467592592</v>
      </c>
      <c r="F211" s="13">
        <v>42764.695659722223</v>
      </c>
      <c r="G211" s="7">
        <v>1</v>
      </c>
      <c r="H211" s="22">
        <v>8.5222222222222221</v>
      </c>
      <c r="I211" s="13">
        <v>42764.702673611115</v>
      </c>
      <c r="J211" s="7">
        <v>0</v>
      </c>
      <c r="K211" s="105" t="str">
        <f t="shared" si="70"/>
        <v>4003/4004</v>
      </c>
      <c r="L211" s="22" t="str">
        <f>VLOOKUP(A211,'Trips&amp;Operators'!$C$1:$G$99999,5,FALSE)</f>
        <v>CHANDLER KELVIN</v>
      </c>
      <c r="M211" s="6">
        <f t="shared" si="71"/>
        <v>7.0138888913788833E-3</v>
      </c>
      <c r="N211" s="7">
        <f t="shared" si="67"/>
        <v>10.100000003585592</v>
      </c>
      <c r="O211" s="7"/>
      <c r="P211" s="7"/>
      <c r="Q211" s="23"/>
      <c r="R211" s="23"/>
      <c r="S211" s="32">
        <f t="shared" si="68"/>
        <v>0</v>
      </c>
      <c r="T211" s="47" t="e">
        <f t="shared" si="72"/>
        <v>#VALUE!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73"/>
        <v>https://d0f6bd738d7f1b3e5a7ca70fe4ff75f0.us-east-1.aws.found.io/app/kibana#/discover/Steve-Slow-Train-Analysis-(2080s-and-2083s)?_g=(refreshInterval:(display:Off,pause:!f,section:0,value:0),time:(from:'2017-01-29T15:40:02-0700',mode:absolute,to:'2017-01-29T17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1" s="49" t="str">
        <f t="shared" si="74"/>
        <v>N</v>
      </c>
      <c r="X211" s="170" t="e">
        <f t="shared" si="69"/>
        <v>#VALUE!</v>
      </c>
      <c r="Y211" s="64">
        <f t="shared" si="75"/>
        <v>2.3132999999999999</v>
      </c>
      <c r="Z211" s="64">
        <f t="shared" si="76"/>
        <v>22222222.222199999</v>
      </c>
      <c r="AA211" s="64">
        <f t="shared" si="77"/>
        <v>22222219.9089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78"/>
        <v>52-29</v>
      </c>
      <c r="AE211" s="87" t="str">
        <f t="shared" si="79"/>
        <v>aws s3 cp s3://rtdc.mdm.uploadarchive.raw/RTDC4004/ "%USERPROFILE%\AppData\Local\Temp\OnboardLogs"\RTDC4004\2017-01-29 --exclude "*" --recursive --include "*20170129*" &amp; "%USERPROFILE%\Documents\GitHub\mrs-test-scripts\Headless Mode &amp; Sideloading\WalkAndUnGZ.bat" "%USERPROFILE%\AppData\Local\Temp\OnboardLogs"\RTDC4004\2017-01-29 &amp; aws s3 cp s3://rtdc.mdm.uploadarchive.raw/RTDC4004/ "%USERPROFILE%\AppData\Local\Temp\OnboardLogs"\RTDC4004\2017-01-30 --exclude "*" --recursive --include "*20170130*" &amp; "%USERPROFILE%\Documents\GitHub\mrs-test-scripts\Headless Mode &amp; Sideloading\WalkAndUnGZ.bat" "%USERPROFILE%\AppData\Local\Temp\OnboardLogs"\RTDC4004\2017-01-30</v>
      </c>
      <c r="AF211" s="84" t="str">
        <f t="shared" si="80"/>
        <v>"C:\Program Files (x86)\AstroGrep\AstroGrep.exe" /spath="%USERPROFILE%\AppData\Local\Temp\OnboardLogs" /stypes="app*4004*20170129*" /stext=" 23:.+((SYSTEM_STATE.+slice.+state.+changed )|(ment ac)|(multiple cpu faults)|(system.+state.+changed )|(\[timeout)|(PRM\|1\|D)|(kpr)|(kdp)|(\|lc)|(penalty))" /e /r /s</v>
      </c>
      <c r="AG211" s="1" t="str">
        <f t="shared" si="81"/>
        <v>Other</v>
      </c>
      <c r="AH211" s="88" t="str">
        <f t="shared" si="82"/>
        <v>"%USERPROFILE%\Documents\GitHub\eaglep3\Utilities\RefineRTDCRunTimes.py" --tripid 52-29 --locoid 4004 --swversion DE.1.0.8.0 --startMP 300:23133 --initTime 2017-01-29T16:40:02 --startdatetime 2017-01-29T16:41:45 --delay 1 --endMP 8.52222222222222 --enddatetime 2017-01-29T16:51:51 --enforcementcount 0 &gt;&gt;C:\Users\stu\Documents\GitHub\eaglep3-reporting\EC\2017-01-29-refined-times.txt</v>
      </c>
      <c r="AI211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22222222.2222"},{"id":17,"name":"Train ID","value":"52-29"},{"id":16,"name":"Locomotive ID","value":"4004"},{"id":130,"name":"Impact","value":""},{"id":150,"name":"Time of Event (Mountain Time)","value":"16:51:51"},{"id":151,"name":"Denver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84"/>
        <v>start /low /b %USERPROFILE%\Documents\GitHub\eaglep3\Utilities\DownloadLogsFromS3.py --loco 4004 --day 2017-01-29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"%USERPROFILE%\AppData\Local\Temp\OnboardLogs"\RTDC4004\*4004*20170129* | grep -SE "(Enforcement Action)|(\[TIMEOUT)|(CHR.+\|PRM\|1\|D.+(SWITCH|SIGNAL).+UNKNOWN)" - &gt;&gt; 2017-01-29-UncaughtWiMAX.txt</v>
      </c>
    </row>
    <row r="212" spans="1:91" s="21" customFormat="1" x14ac:dyDescent="0.25">
      <c r="A212" s="34" t="s">
        <v>610</v>
      </c>
      <c r="B212" s="7">
        <v>4003</v>
      </c>
      <c r="C212" s="22" t="s">
        <v>193</v>
      </c>
      <c r="D212" s="22" t="s">
        <v>802</v>
      </c>
      <c r="E212" s="13">
        <v>42764.725671296299</v>
      </c>
      <c r="F212" s="13">
        <v>42764.727476851855</v>
      </c>
      <c r="G212" s="7">
        <v>1</v>
      </c>
      <c r="H212" s="22" t="s">
        <v>803</v>
      </c>
      <c r="I212" s="13">
        <v>42764.776516203703</v>
      </c>
      <c r="J212" s="7">
        <v>0</v>
      </c>
      <c r="K212" s="105" t="str">
        <f t="shared" si="70"/>
        <v>4003/4004</v>
      </c>
      <c r="L212" s="22" t="str">
        <f>VLOOKUP(A212,'Trips&amp;Operators'!$C$1:$G$99999,5,FALSE)</f>
        <v>ROMERO CHAD</v>
      </c>
      <c r="M212" s="6">
        <f t="shared" si="71"/>
        <v>4.9039351848477963E-2</v>
      </c>
      <c r="N212" s="7">
        <f t="shared" si="67"/>
        <v>70.616666661808267</v>
      </c>
      <c r="O212" s="7"/>
      <c r="P212" s="7"/>
      <c r="Q212" s="23"/>
      <c r="R212" s="23"/>
      <c r="S212" s="32">
        <f t="shared" si="68"/>
        <v>0</v>
      </c>
      <c r="T212" s="47" t="e">
        <f t="shared" si="72"/>
        <v>#VALUE!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73"/>
        <v>https://d0f6bd738d7f1b3e5a7ca70fe4ff75f0.us-east-1.aws.found.io/app/kibana#/discover/Steve-Slow-Train-Analysis-(2080s-and-2083s)?_g=(refreshInterval:(display:Off,pause:!f,section:0,value:0),time:(from:'2017-01-29T16:24:58-0700',mode:absolute,to:'2017-01-29T19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2" s="49" t="str">
        <f t="shared" si="74"/>
        <v>Y</v>
      </c>
      <c r="X212" s="170" t="e">
        <f t="shared" si="69"/>
        <v>#VALUE!</v>
      </c>
      <c r="Y212" s="64">
        <f t="shared" si="75"/>
        <v>3.39E-2</v>
      </c>
      <c r="Z212" s="64">
        <f t="shared" si="76"/>
        <v>2.4211999999999998</v>
      </c>
      <c r="AA212" s="64">
        <f t="shared" si="77"/>
        <v>2.3872999999999998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78"/>
        <v>53-29</v>
      </c>
      <c r="AE212" s="87" t="str">
        <f t="shared" si="79"/>
        <v>aws s3 cp s3://rtdc.mdm.uploadarchive.raw/RTDC4003/ "%USERPROFILE%\AppData\Local\Temp\OnboardLogs"\RTDC4003\2017-01-29 --exclude "*" --recursive --include "*20170129*" &amp; "%USERPROFILE%\Documents\GitHub\mrs-test-scripts\Headless Mode &amp; Sideloading\WalkAndUnGZ.bat" "%USERPROFILE%\AppData\Local\Temp\OnboardLogs"\RTDC4003\2017-01-29 &amp; aws s3 cp s3://rtdc.mdm.uploadarchive.raw/RTDC4003/ "%USERPROFILE%\AppData\Local\Temp\OnboardLogs"\RTDC4003\2017-01-30 --exclude "*" --recursive --include "*20170130*" &amp; "%USERPROFILE%\Documents\GitHub\mrs-test-scripts\Headless Mode &amp; Sideloading\WalkAndUnGZ.bat" "%USERPROFILE%\AppData\Local\Temp\OnboardLogs"\RTDC4003\2017-01-30</v>
      </c>
      <c r="AF212" s="84" t="str">
        <f t="shared" si="80"/>
        <v>"C:\Program Files (x86)\AstroGrep\AstroGrep.exe" /spath="%USERPROFILE%\AppData\Local\Temp\OnboardLogs" /stypes="app*4003*20170130*" /stext=" 01:.+((SYSTEM_STATE.+slice.+state.+changed )|(ment ac)|(multiple cpu faults)|(system.+state.+changed )|(\[timeout)|(PRM\|1\|D)|(kpr)|(kdp)|(\|lc)|(penalty))" /e /r /s</v>
      </c>
      <c r="AG212" s="1" t="str">
        <f t="shared" si="81"/>
        <v>Other</v>
      </c>
      <c r="AH212" s="88" t="str">
        <f t="shared" si="82"/>
        <v>"%USERPROFILE%\Documents\GitHub\eaglep3\Utilities\RefineRTDCRunTimes.py" --tripid 53-29 --locoid 4003 --swversion DE.1.0.8.0 --startMP 204:339 --initTime 2017-01-29T17:24:58 --startdatetime 2017-01-29T17:27:34 --delay 1 --endMP 300:24212 --enddatetime 2017-01-29T18:38:11 --enforcementcount 0 &gt;&gt;C:\Users\stu\Documents\GitHub\eaglep3-reporting\EC\2017-01-29-refined-times.txt</v>
      </c>
      <c r="AI212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{"issue":{"subject":"","project_id":79,"tracker_id":40,"status_id":1,"priority_id":2,"assigned_to_id":23,"start_date":"2017-01-29","description":"","custom_fields":[{"id":1,"name":"Subdivision","value":"Other"},{"id":4,"name":"Milepost","value":"2.4212"},{"id":17,"name":"Train ID","value":"53-29"},{"id":16,"name":"Locomotive ID","value":"4003"},{"id":130,"name":"Impact","value":""},{"id":150,"name":"Time of Event (Mountain Time)","value":"18:38:11"},{"id":151,"name":"Denver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84"/>
        <v>start /low /b %USERPROFILE%\Documents\GitHub\eaglep3\Utilities\DownloadLogsFromS3.py --loco 4003 --day 2017-01-29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"%USERPROFILE%\AppData\Local\Temp\OnboardLogs"\RTDC4003\*4003*20170130* | grep -SE "(Enforcement Action)|(\[TIMEOUT)|(CHR.+\|PRM\|1\|D.+(SWITCH|SIGNAL).+UNKNOWN)" - &gt;&gt; 2017-01-29-UncaughtWiMAX.txt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613</v>
      </c>
      <c r="B213" s="7">
        <v>4015</v>
      </c>
      <c r="C213" s="22" t="s">
        <v>193</v>
      </c>
      <c r="D213" s="22" t="s">
        <v>804</v>
      </c>
      <c r="E213" s="13">
        <v>42764.734363425923</v>
      </c>
      <c r="F213" s="13">
        <v>42764.735972222225</v>
      </c>
      <c r="G213" s="7">
        <v>1</v>
      </c>
      <c r="H213" s="22" t="s">
        <v>805</v>
      </c>
      <c r="I213" s="13">
        <v>42764.742372685185</v>
      </c>
      <c r="J213" s="7">
        <v>0</v>
      </c>
      <c r="K213" s="105" t="str">
        <f t="shared" si="70"/>
        <v>4015/4016</v>
      </c>
      <c r="L213" s="22" t="str">
        <f>VLOOKUP(A213,'Trips&amp;Operators'!$C$1:$G$99999,5,FALSE)</f>
        <v>COMELLA JUSTIN</v>
      </c>
      <c r="M213" s="6">
        <f t="shared" si="71"/>
        <v>6.4004629603005014E-3</v>
      </c>
      <c r="N213" s="7">
        <f t="shared" si="67"/>
        <v>9.2166666628327221</v>
      </c>
      <c r="O213" s="7"/>
      <c r="P213" s="7"/>
      <c r="Q213" s="23"/>
      <c r="R213" s="23"/>
      <c r="S213" s="32">
        <f t="shared" si="68"/>
        <v>0</v>
      </c>
      <c r="T213" s="47" t="e">
        <f t="shared" si="72"/>
        <v>#VALUE!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73"/>
        <v>https://d0f6bd738d7f1b3e5a7ca70fe4ff75f0.us-east-1.aws.found.io/app/kibana#/discover/Steve-Slow-Train-Analysis-(2080s-and-2083s)?_g=(refreshInterval:(display:Off,pause:!f,section:0,value:0),time:(from:'2017-01-29T16:37:29-0700',mode:absolute,to:'2017-01-29T18:49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3" s="49" t="str">
        <f t="shared" si="74"/>
        <v>Y</v>
      </c>
      <c r="X213" s="170" t="e">
        <f t="shared" si="69"/>
        <v>#VALUE!</v>
      </c>
      <c r="Y213" s="64">
        <f t="shared" si="75"/>
        <v>2.1827000000000001</v>
      </c>
      <c r="Z213" s="64">
        <f t="shared" si="76"/>
        <v>9.3700000000000006E-2</v>
      </c>
      <c r="AA213" s="64">
        <f t="shared" si="77"/>
        <v>2.089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78"/>
        <v>54-29</v>
      </c>
      <c r="AE213" s="87" t="str">
        <f t="shared" si="79"/>
        <v>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 &amp; 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</v>
      </c>
      <c r="AF213" s="84" t="str">
        <f t="shared" si="80"/>
        <v>"C:\Program Files (x86)\AstroGrep\AstroGrep.exe" /spath="%USERPROFILE%\AppData\Local\Temp\OnboardLogs" /stypes="app*4015*20170130*" /stext=" 00:.+((SYSTEM_STATE.+slice.+state.+changed )|(ment ac)|(multiple cpu faults)|(system.+state.+changed )|(\[timeout)|(PRM\|1\|D)|(kpr)|(kdp)|(\|lc)|(penalty))" /e /r /s</v>
      </c>
      <c r="AG213" s="1" t="str">
        <f t="shared" si="81"/>
        <v>Other</v>
      </c>
      <c r="AH213" s="88" t="str">
        <f t="shared" si="82"/>
        <v>"%USERPROFILE%\Documents\GitHub\eaglep3\Utilities\RefineRTDCRunTimes.py" --tripid 54-29 --locoid 4015 --swversion DE.1.0.8.0 --startMP 300:21827 --initTime 2017-01-29T17:37:29 --startdatetime 2017-01-29T17:39:48 --delay 1 --endMP 204:937 --enddatetime 2017-01-29T17:49:01 --enforcementcount 0 &gt;&gt;C:\Users\stu\Documents\GitHub\eaglep3-reporting\EC\2017-01-29-refined-times.txt</v>
      </c>
      <c r="AI213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{"issue":{"subject":"","project_id":79,"tracker_id":40,"status_id":1,"priority_id":2,"assigned_to_id":23,"start_date":"2017-01-29","description":"","custom_fields":[{"id":1,"name":"Subdivision","value":"Other"},{"id":4,"name":"Milepost","value":"0.0937"},{"id":17,"name":"Train ID","value":"54-29"},{"id":16,"name":"Locomotive ID","value":"4015"},{"id":130,"name":"Impact","value":""},{"id":150,"name":"Time of Event (Mountain Time)","value":"17:49:01"},{"id":151,"name":"Denver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84"/>
        <v>start /low /b %USERPROFILE%\Documents\GitHub\eaglep3\Utilities\DownloadLogsFromS3.py --loco 4015 --day 2017-01-29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"%USERPROFILE%\AppData\Local\Temp\OnboardLogs"\RTDC4015\*4015*20170130* | grep -SE "(Enforcement Action)|(\[TIMEOUT)|(CHR.+\|PRM\|1\|D.+(SWITCH|SIGNAL).+UNKNOWN)" - &gt;&gt; 2017-01-29-UncaughtWiMAX.txt</v>
      </c>
    </row>
    <row r="214" spans="1:91" x14ac:dyDescent="0.25">
      <c r="A214" s="34" t="s">
        <v>623</v>
      </c>
      <c r="B214" s="7">
        <v>4003</v>
      </c>
      <c r="C214" s="22" t="s">
        <v>193</v>
      </c>
      <c r="D214" s="22" t="s">
        <v>806</v>
      </c>
      <c r="E214" s="13">
        <v>42764.767314814817</v>
      </c>
      <c r="F214" s="13">
        <v>25568.708333333332</v>
      </c>
      <c r="G214" s="7">
        <v>5</v>
      </c>
      <c r="H214" s="22" t="s">
        <v>807</v>
      </c>
      <c r="I214" s="13">
        <v>25568.708333333332</v>
      </c>
      <c r="J214" s="7">
        <v>0</v>
      </c>
      <c r="K214" s="105" t="str">
        <f t="shared" si="70"/>
        <v>4003/4004</v>
      </c>
      <c r="L214" s="22" t="str">
        <f>VLOOKUP(A214,'Trips&amp;Operators'!$C$1:$G$99999,5,FALSE)</f>
        <v>LEVIN SCOTT</v>
      </c>
      <c r="M214" s="6">
        <f t="shared" si="71"/>
        <v>0</v>
      </c>
      <c r="N214" s="7">
        <f t="shared" si="67"/>
        <v>0</v>
      </c>
      <c r="O214" s="7"/>
      <c r="P214" s="7"/>
      <c r="Q214" s="23"/>
      <c r="R214" s="23"/>
      <c r="S214" s="32">
        <f t="shared" si="68"/>
        <v>0</v>
      </c>
      <c r="T214" s="47" t="e">
        <f t="shared" si="72"/>
        <v>#VALUE!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73"/>
        <v>https://d0f6bd738d7f1b3e5a7ca70fe4ff75f0.us-east-1.aws.found.io/app/kibana#/discover/Steve-Slow-Train-Analysis-(2080s-and-2083s)?_g=(refreshInterval:(display:Off,pause:!f,section:0,value:0),time:(from:'2017-01-29T17:24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49" t="str">
        <f t="shared" si="74"/>
        <v>Y</v>
      </c>
      <c r="X214" s="170" t="e">
        <f t="shared" si="69"/>
        <v>#VALUE!</v>
      </c>
      <c r="Y214" s="64">
        <f t="shared" si="75"/>
        <v>4.0599999999999997E-2</v>
      </c>
      <c r="Z214" s="64">
        <f t="shared" si="76"/>
        <v>3.1269</v>
      </c>
      <c r="AA214" s="64">
        <f t="shared" si="77"/>
        <v>3.0863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78"/>
        <v>55-29</v>
      </c>
      <c r="AE214" s="87" t="str">
        <f t="shared" si="79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4" s="84" t="str">
        <f t="shared" si="80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4" s="1" t="str">
        <f t="shared" si="81"/>
        <v>Other</v>
      </c>
      <c r="AH214" s="88" t="str">
        <f t="shared" si="82"/>
        <v>"%USERPROFILE%\Documents\GitHub\eaglep3\Utilities\RefineRTDCRunTimes.py" --tripid 55-29 --locoid 4003 --swversion DE.1.0.8.0 --startMP 204:406 --initTime 2017-01-29T18:24:56 --startdatetime 1969-12-31T17:00:00 --delay 5 --endMP 300:31269 --enddatetime 1969-12-31T17:00:00 --enforcementcount 0 &gt;&gt;C:\Users\stu\Documents\GitHub\eaglep3-reporting\EC\2017-01-29-refined-times.txt</v>
      </c>
      <c r="AI214" s="115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{"issue":{"subject":"","project_id":79,"tracker_id":40,"status_id":1,"priority_id":2,"assigned_to_id":23,"start_date":"1969-12-31","description":"","custom_fields":[{"id":1,"name":"Subdivision","value":"Other"},{"id":4,"name":"Milepost","value":"3.1269"},{"id":17,"name":"Train ID","value":"55-29"},{"id":16,"name":"Locomotive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84"/>
        <v>start /low /b %USERPROFILE%\Documents\GitHub\eaglep3\Utilities\DownloadLogsFromS3.py --loco 4003 --day 1969-12-31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2017-01-29-UncaughtWiMAX.txt</v>
      </c>
    </row>
    <row r="215" spans="1:91" x14ac:dyDescent="0.25">
      <c r="A215" s="34" t="s">
        <v>471</v>
      </c>
      <c r="B215" s="7">
        <v>4004</v>
      </c>
      <c r="C215" s="22" t="s">
        <v>193</v>
      </c>
      <c r="D215" s="22" t="s">
        <v>808</v>
      </c>
      <c r="E215" s="13">
        <v>42764.744814814818</v>
      </c>
      <c r="F215" s="13">
        <v>42764.746423611112</v>
      </c>
      <c r="G215" s="7">
        <v>2</v>
      </c>
      <c r="H215" s="22" t="s">
        <v>809</v>
      </c>
      <c r="I215" s="13">
        <v>42764.746574074074</v>
      </c>
      <c r="J215" s="7">
        <v>0</v>
      </c>
      <c r="K215" s="105" t="str">
        <f t="shared" si="70"/>
        <v>4003/4004</v>
      </c>
      <c r="L215" s="22" t="str">
        <f>VLOOKUP(A215,'Trips&amp;Operators'!$C$1:$G$99999,5,FALSE)</f>
        <v>STAMBAUGH JAMES</v>
      </c>
      <c r="M215" s="6">
        <f t="shared" si="71"/>
        <v>1.5046296175569296E-4</v>
      </c>
      <c r="N215" s="7">
        <f t="shared" si="67"/>
        <v>0.21666666492819786</v>
      </c>
      <c r="O215" s="7"/>
      <c r="P215" s="7"/>
      <c r="Q215" s="23"/>
      <c r="R215" s="23"/>
      <c r="S215" s="32">
        <f t="shared" si="68"/>
        <v>0</v>
      </c>
      <c r="T215" s="47" t="e">
        <f t="shared" si="72"/>
        <v>#VALUE!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73"/>
        <v>https://d0f6bd738d7f1b3e5a7ca70fe4ff75f0.us-east-1.aws.found.io/app/kibana#/discover/Steve-Slow-Train-Analysis-(2080s-and-2083s)?_g=(refreshInterval:(display:Off,pause:!f,section:0,value:0),time:(from:'2017-01-29T16:52:32-0700',mode:absolute,to:'2017-01-29T18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5" s="49" t="str">
        <f t="shared" si="74"/>
        <v>Y</v>
      </c>
      <c r="X215" s="170" t="e">
        <f t="shared" si="69"/>
        <v>#VALUE!</v>
      </c>
      <c r="Y215" s="64">
        <f t="shared" si="75"/>
        <v>2.3757999999999999</v>
      </c>
      <c r="Z215" s="64">
        <f t="shared" si="76"/>
        <v>2.3065000000000002</v>
      </c>
      <c r="AA215" s="64">
        <f t="shared" si="77"/>
        <v>6.9299999999999695E-2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78"/>
        <v>56-29</v>
      </c>
      <c r="AE215" s="87" t="str">
        <f t="shared" si="79"/>
        <v>aws s3 cp s3://rtdc.mdm.uploadarchive.raw/RTDC4004/ "%USERPROFILE%\AppData\Local\Temp\OnboardLogs"\RTDC4004\2017-01-29 --exclude "*" --recursive --include "*20170129*" &amp; "%USERPROFILE%\Documents\GitHub\mrs-test-scripts\Headless Mode &amp; Sideloading\WalkAndUnGZ.bat" "%USERPROFILE%\AppData\Local\Temp\OnboardLogs"\RTDC4004\2017-01-29 &amp; aws s3 cp s3://rtdc.mdm.uploadarchive.raw/RTDC4004/ "%USERPROFILE%\AppData\Local\Temp\OnboardLogs"\RTDC4004\2017-01-30 --exclude "*" --recursive --include "*20170130*" &amp; "%USERPROFILE%\Documents\GitHub\mrs-test-scripts\Headless Mode &amp; Sideloading\WalkAndUnGZ.bat" "%USERPROFILE%\AppData\Local\Temp\OnboardLogs"\RTDC4004\2017-01-30</v>
      </c>
      <c r="AF215" s="84" t="str">
        <f t="shared" si="80"/>
        <v>"C:\Program Files (x86)\AstroGrep\AstroGrep.exe" /spath="%USERPROFILE%\AppData\Local\Temp\OnboardLogs" /stypes="app*4004*20170130*" /stext=" 00:.+((SYSTEM_STATE.+slice.+state.+changed )|(ment ac)|(multiple cpu faults)|(system.+state.+changed )|(\[timeout)|(PRM\|1\|D)|(kpr)|(kdp)|(\|lc)|(penalty))" /e /r /s</v>
      </c>
      <c r="AG215" s="1" t="str">
        <f t="shared" si="81"/>
        <v>Other</v>
      </c>
      <c r="AH215" s="88" t="str">
        <f t="shared" si="82"/>
        <v>"%USERPROFILE%\Documents\GitHub\eaglep3\Utilities\RefineRTDCRunTimes.py" --tripid 56-29 --locoid 4004 --swversion DE.1.0.8.0 --startMP 300:23758 --initTime 2017-01-29T17:52:32 --startdatetime 2017-01-29T17:54:51 --delay 2 --endMP 300:23065 --enddatetime 2017-01-29T17:55:04 --enforcementcount 0 &gt;&gt;C:\Users\stu\Documents\GitHub\eaglep3-reporting\EC\2017-01-29-refined-times.txt</v>
      </c>
      <c r="AI215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{"issue":{"subject":"","project_id":79,"tracker_id":40,"status_id":1,"priority_id":2,"assigned_to_id":23,"start_date":"2017-01-29","description":"","custom_fields":[{"id":1,"name":"Subdivision","value":"Other"},{"id":4,"name":"Milepost","value":"2.3065"},{"id":17,"name":"Train ID","value":"56-29"},{"id":16,"name":"Locomotive ID","value":"4004"},{"id":130,"name":"Impact","value":""},{"id":150,"name":"Time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84"/>
        <v>start /low /b %USERPROFILE%\Documents\GitHub\eaglep3\Utilities\DownloadLogsFromS3.py --loco 4004 --day 2017-01-29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"%USERPROFILE%\AppData\Local\Temp\OnboardLogs"\RTDC4004\*4004*20170130* | grep -SE "(Enforcement Action)|(\[TIMEOUT)|(CHR.+\|PRM\|1\|D.+(SWITCH|SIGNAL).+UNKNOWN)" - &gt;&gt; 2017-01-29-UncaughtWiMAX.txt</v>
      </c>
    </row>
    <row r="216" spans="1:91" x14ac:dyDescent="0.25">
      <c r="A216" s="34" t="s">
        <v>608</v>
      </c>
      <c r="B216" s="7">
        <v>4020</v>
      </c>
      <c r="C216" s="22" t="s">
        <v>193</v>
      </c>
      <c r="D216" s="22" t="s">
        <v>810</v>
      </c>
      <c r="E216" s="13">
        <v>42764.747974537036</v>
      </c>
      <c r="F216" s="13">
        <v>25568.708333333332</v>
      </c>
      <c r="G216" s="7">
        <v>1</v>
      </c>
      <c r="H216" s="22" t="s">
        <v>811</v>
      </c>
      <c r="I216" s="13">
        <v>25568.708333333332</v>
      </c>
      <c r="J216" s="7">
        <v>0</v>
      </c>
      <c r="K216" s="105" t="str">
        <f t="shared" si="70"/>
        <v>4019/4020</v>
      </c>
      <c r="L216" s="22" t="str">
        <f>VLOOKUP(A216,'Trips&amp;Operators'!$C$1:$G$99999,5,FALSE)</f>
        <v>HOLCOMB KAMDEN</v>
      </c>
      <c r="M216" s="6">
        <f t="shared" si="71"/>
        <v>0</v>
      </c>
      <c r="N216" s="7">
        <f t="shared" si="67"/>
        <v>0</v>
      </c>
      <c r="O216" s="7"/>
      <c r="P216" s="7"/>
      <c r="Q216" s="23"/>
      <c r="R216" s="23"/>
      <c r="S216" s="32">
        <f t="shared" si="68"/>
        <v>0</v>
      </c>
      <c r="T216" s="47" t="e">
        <f t="shared" si="72"/>
        <v>#VALUE!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73"/>
        <v>https://d0f6bd738d7f1b3e5a7ca70fe4ff75f0.us-east-1.aws.found.io/app/kibana#/discover/Steve-Slow-Train-Analysis-(2080s-and-2083s)?_g=(refreshInterval:(display:Off,pause:!f,section:0,value:0),time:(from:'2017-01-29T16:57:05-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49" t="str">
        <f t="shared" si="74"/>
        <v>Y</v>
      </c>
      <c r="X216" s="170" t="e">
        <f t="shared" si="69"/>
        <v>#VALUE!</v>
      </c>
      <c r="Y216" s="64">
        <f t="shared" si="75"/>
        <v>0.14810000000000001</v>
      </c>
      <c r="Z216" s="64">
        <f t="shared" si="76"/>
        <v>2.3296999999999999</v>
      </c>
      <c r="AA216" s="64">
        <f t="shared" si="77"/>
        <v>2.1816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78"/>
        <v>65-29</v>
      </c>
      <c r="AE216" s="87" t="str">
        <f t="shared" si="79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6" s="84" t="str">
        <f t="shared" si="80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6" s="1" t="str">
        <f t="shared" si="81"/>
        <v>Other</v>
      </c>
      <c r="AH216" s="88" t="str">
        <f t="shared" si="82"/>
        <v>"%USERPROFILE%\Documents\GitHub\eaglep3\Utilities\RefineRTDCRunTimes.py" --tripid 65-29 --locoid 4020 --swversion DE.1.0.8.0 --startMP 204:1481 --initTime 2017-01-29T17:57:05 --startdatetime 1969-12-31T17:00:00 --delay 1 --endMP 300:23297 --enddatetime 1969-12-31T17:00:00 --enforcementcount 0 &gt;&gt;C:\Users\stu\Documents\GitHub\eaglep3-reporting\EC\2017-01-29-refined-times.txt</v>
      </c>
      <c r="AI216" s="115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ID","value":"65-29"},{"id":16,"name":"Locomotive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84"/>
        <v>start /low /b %USERPROFILE%\Documents\GitHub\eaglep3\Utilities\DownloadLogsFromS3.py --loco 4020 --day 1969-12-31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2017-01-29-UncaughtWiMAX.txt</v>
      </c>
    </row>
    <row r="217" spans="1:91" x14ac:dyDescent="0.25">
      <c r="A217" s="34" t="s">
        <v>608</v>
      </c>
      <c r="B217" s="7">
        <v>4027</v>
      </c>
      <c r="C217" s="22" t="s">
        <v>193</v>
      </c>
      <c r="D217" s="22" t="s">
        <v>810</v>
      </c>
      <c r="E217" s="13">
        <v>42764.724641203706</v>
      </c>
      <c r="F217" s="13">
        <v>42764.750173611108</v>
      </c>
      <c r="G217" s="7">
        <v>1</v>
      </c>
      <c r="H217" s="22" t="s">
        <v>812</v>
      </c>
      <c r="I217" s="13">
        <v>42764.775625000002</v>
      </c>
      <c r="J217" s="7">
        <v>0</v>
      </c>
      <c r="K217" s="105" t="str">
        <f t="shared" si="70"/>
        <v>4027/4028</v>
      </c>
      <c r="L217" s="22" t="str">
        <f>VLOOKUP(A217,'Trips&amp;Operators'!$C$1:$G$99999,5,FALSE)</f>
        <v>HOLCOMB KAMDEN</v>
      </c>
      <c r="M217" s="6">
        <f t="shared" si="71"/>
        <v>2.5451388893998228E-2</v>
      </c>
      <c r="N217" s="7">
        <f t="shared" si="67"/>
        <v>36.650000007357448</v>
      </c>
      <c r="O217" s="7"/>
      <c r="P217" s="7"/>
      <c r="Q217" s="23"/>
      <c r="R217" s="23"/>
      <c r="S217" s="32">
        <f t="shared" si="68"/>
        <v>0</v>
      </c>
      <c r="T217" s="47" t="e">
        <f t="shared" si="72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73"/>
        <v>https://d0f6bd738d7f1b3e5a7ca70fe4ff75f0.us-east-1.aws.found.io/app/kibana#/discover/Steve-Slow-Train-Analysis-(2080s-and-2083s)?_g=(refreshInterval:(display:Off,pause:!f,section:0,value:0),time:(from:'2017-01-29T16:23:29-0700',mode:absolute,to:'2017-01-29T19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49" t="str">
        <f t="shared" si="74"/>
        <v>Y</v>
      </c>
      <c r="X217" s="170" t="e">
        <f t="shared" si="69"/>
        <v>#VALUE!</v>
      </c>
      <c r="Y217" s="64">
        <f t="shared" si="75"/>
        <v>0.14810000000000001</v>
      </c>
      <c r="Z217" s="64">
        <f t="shared" si="76"/>
        <v>0.14879999999999999</v>
      </c>
      <c r="AA217" s="64">
        <f t="shared" si="77"/>
        <v>6.9999999999997842E-4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78"/>
        <v>65-29</v>
      </c>
      <c r="AE217" s="87" t="str">
        <f t="shared" si="79"/>
        <v>aws s3 cp s3://rtdc.mdm.uploadarchive.raw/RTDC4027/ "%USERPROFILE%\AppData\Local\Temp\OnboardLogs"\RTDC4027\2017-01-29 --exclude "*" --recursive --include "*20170129*" &amp; "%USERPROFILE%\Documents\GitHub\mrs-test-scripts\Headless Mode &amp; Sideloading\WalkAndUnGZ.bat" "%USERPROFILE%\AppData\Local\Temp\OnboardLogs"\RTDC4027\2017-01-29 &amp; 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</v>
      </c>
      <c r="AF217" s="84" t="str">
        <f t="shared" si="80"/>
        <v>"C:\Program Files (x86)\AstroGrep\AstroGrep.exe" /spath="%USERPROFILE%\AppData\Local\Temp\OnboardLogs" /stypes="app*4027*20170130*" /stext=" 01:.+((SYSTEM_STATE.+slice.+state.+changed )|(ment ac)|(multiple cpu faults)|(system.+state.+changed )|(\[timeout)|(PRM\|1\|D)|(kpr)|(kdp)|(\|lc)|(penalty))" /e /r /s</v>
      </c>
      <c r="AG217" s="1" t="str">
        <f t="shared" si="81"/>
        <v>Other</v>
      </c>
      <c r="AH217" s="88" t="str">
        <f t="shared" si="82"/>
        <v>"%USERPROFILE%\Documents\GitHub\eaglep3\Utilities\RefineRTDCRunTimes.py" --tripid 65-29 --locoid 4027 --swversion DE.1.0.8.0 --startMP 204:1481 --initTime 2017-01-29T17:23:29 --startdatetime 2017-01-29T18:00:15 --delay 1 --endMP 204:1488 --enddatetime 2017-01-29T18:36:54 --enforcementcount 0 &gt;&gt;C:\Users\stu\Documents\GitHub\eaglep3-reporting\EC\2017-01-29-refined-times.txt</v>
      </c>
      <c r="AI217" s="115" t="str">
        <f t="shared" si="83"/>
        <v>echo {"issue":{"subject":"","project_id":79,"tracker_id":40,"status_id":1,"priority_id":2,"assigned_to_id":23,"start_date":"2017-01-29","description":"","custom_fields":[{"id":1,"name":"Subdivision","value":"Other"},{"id":4,"name":"Milepost","value":"0.1488"},{"id":17,"name":"Train ID","value":"65-29"},{"id":16,"name":"Locomotive ID","value":"4027"},{"id":130,"name":"Impact","value":""},{"id":150,"name":"Time of Event (Mountain Time)","value":"18:36:54"},{"id":151,"name":"Denver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84"/>
        <v>start /low /b %USERPROFILE%\Documents\GitHub\eaglep3\Utilities\DownloadLogsFromS3.py --loco 4027 --day 2017-01-29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2017-01-29-UncaughtWiMAX.txt</v>
      </c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</sheetData>
  <autoFilter ref="A12:AG240">
    <sortState ref="A13:AG241">
      <sortCondition ref="AG13:AG218"/>
      <sortCondition ref="AD13:AD218"/>
    </sortState>
  </autoFilter>
  <sortState ref="A13:AH200">
    <sortCondition ref="AG13:AG200"/>
    <sortCondition ref="AD13:AD200"/>
  </sortState>
  <mergeCells count="1">
    <mergeCell ref="A11:P11"/>
  </mergeCells>
  <conditionalFormatting sqref="W11:W12 W255:X1048576 W13:X217">
    <cfRule type="cellIs" dxfId="10" priority="356" operator="equal">
      <formula>"Y"</formula>
    </cfRule>
  </conditionalFormatting>
  <conditionalFormatting sqref="X255:X1048576 X13:X217">
    <cfRule type="cellIs" dxfId="9" priority="339" operator="greaterThan">
      <formula>1</formula>
    </cfRule>
  </conditionalFormatting>
  <conditionalFormatting sqref="X255:X1048576 X12:X217">
    <cfRule type="cellIs" dxfId="8" priority="336" operator="equal">
      <formula>0</formula>
    </cfRule>
  </conditionalFormatting>
  <conditionalFormatting sqref="A13:S217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AK13:AK217</xm:sqref>
        </x14:dataValidation>
        <x14:dataValidation type="list" allowBlank="1" showInputMessage="1" showErrorMessage="1">
          <x14:formula1>
            <xm:f>'Redmine List Values'!$C$2:$C$15</xm:f>
          </x14:formula1>
          <xm:sqref>AL13:AL217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opLeftCell="A2" zoomScaleNormal="100" workbookViewId="0">
      <selection activeCell="N17" sqref="N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COUNTIF($O$7:$O$324,"=Y")</f>
        <v>3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COUNTA($O$7:$O$324)-O2</f>
        <v>18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- 2017-01-29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153</v>
      </c>
      <c r="J6" s="133" t="s">
        <v>30</v>
      </c>
      <c r="K6" s="133" t="s">
        <v>29</v>
      </c>
      <c r="L6" s="133" t="s">
        <v>28</v>
      </c>
      <c r="M6" s="118" t="s">
        <v>154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173</v>
      </c>
      <c r="AD6" s="126" t="s">
        <v>201</v>
      </c>
      <c r="AE6" s="178" t="s">
        <v>218</v>
      </c>
    </row>
    <row r="7" spans="1:31" s="1" customFormat="1" x14ac:dyDescent="0.25">
      <c r="A7" s="33">
        <v>42764.237800925926</v>
      </c>
      <c r="B7" s="31" t="s">
        <v>239</v>
      </c>
      <c r="C7" s="31" t="s">
        <v>456</v>
      </c>
      <c r="D7" s="31" t="s">
        <v>98</v>
      </c>
      <c r="E7" s="31" t="s">
        <v>203</v>
      </c>
      <c r="F7" s="44">
        <v>110</v>
      </c>
      <c r="G7" s="44">
        <v>162</v>
      </c>
      <c r="H7" s="44">
        <v>27154</v>
      </c>
      <c r="I7" s="44">
        <v>26823</v>
      </c>
      <c r="J7" s="31" t="s">
        <v>204</v>
      </c>
      <c r="K7" s="44">
        <v>27350</v>
      </c>
      <c r="L7" s="150" t="s">
        <v>51</v>
      </c>
      <c r="M7" s="151">
        <f t="shared" ref="M7:M27" si="0">CONVERT((I7-K7)/10000,"mi","ft")*IF(L7="Increasing Mileposts (1)",-1,1)</f>
        <v>-278.25599999999997</v>
      </c>
      <c r="N7" s="152" t="str">
        <f>VLOOKUP(C7,'Trips&amp;Operators'!$C$1:$G$99999,5,FALSE)</f>
        <v>PERKINS DARREN</v>
      </c>
      <c r="O7" s="176" t="s">
        <v>185</v>
      </c>
      <c r="P7" s="153" t="s">
        <v>829</v>
      </c>
      <c r="Q7" s="31"/>
      <c r="R7" s="96" t="str">
        <f>VLOOKUP(C7,'Train Runs'!$A$13:$AE$9978,31,0)</f>
        <v>aws s3 cp s3://rtdc.mdm.uploadarchive.raw/RTDC4028/ "%USERPROFILE%\AppData\Local\Temp\OnboardLogs"\RTDC4028\2017-01-29 --exclude "*" --recursive --include "*20170129*" &amp; "%USERPROFILE%\Documents\GitHub\mrs-test-scripts\Headless Mode &amp; Sideloading\WalkAndUnGZ.bat" "%USERPROFILE%\AppData\Local\Temp\OnboardLogs"\RTDC4028\2017-01-29 &amp; 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</v>
      </c>
      <c r="S7" s="99" t="str">
        <f>VLOOKUP(C7,'Train Runs'!$A$13:$AE$9978,22,0)</f>
        <v>https://d0f6bd738d7f1b3e5a7ca70fe4ff75f0.us-east-1.aws.found.io/app/kibana#/discover/Steve-Slow-Train-Analysis-(2080s-and-2083s)?_g=(refreshInterval:(display:Off,pause:!f,section:0,value:0),time:(from:'2017-01-29T04:05:08-0700',mode:absolute,to:'2017-01-29T06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7" s="101" t="str">
        <f t="shared" ref="T7:T2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/stypes="*4028*201701291*" /stext=" 12:.+((SYSTEM_STATE.+slice.+state.+changed )|(ment ac)|(multiple cpu faults)|(system.+state.+changed )|(\[timeout)|(PRM\|1\|D)|(kpr)|(kdp)|(\|lc)|(penalty))" /e /r /s</v>
      </c>
      <c r="U7" s="9" t="str">
        <f t="shared" ref="U7:U27" si="2">MID(B7,13,4)</f>
        <v>4028</v>
      </c>
      <c r="V7" s="33">
        <f t="shared" ref="V7:V27" si="3">A7-utc_offset/24</f>
        <v>42764.529467592591</v>
      </c>
      <c r="W7" s="47" t="str">
        <f t="shared" ref="W7:W27" si="4">IF(VALUE(LEFT(IF(LEN(C7)=6,"0"&amp;C7,C7),2))&lt;=2,"EC",IF(OR(VALUE(LEFT(IF(LEN(C7)=6,"0"&amp;C7,C7),2))=8,VALUE(LEFT(IF(LEN(C7)=6,"0"&amp;C7,C7),2))=18),"NW","Other"))</f>
        <v>EC</v>
      </c>
      <c r="X7" s="47" t="str">
        <f t="shared" ref="X7:X27" si="5">IF(AND(E7="TRACK WARRANT AUTHORITY",G7&lt;10),"OMIT","KEEP")</f>
        <v>KEEP</v>
      </c>
      <c r="Y7" s="115" t="str">
        <f t="shared" ref="Y7:Y2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arrival","project_id":79,"tracker_id":40,"status_id":1,"priority_id":2,"assigned_to_id":23,"start_date":"2017-01-29","description":"","custom_fields":[{"id":1,"name":"Subdivision","value":"EC"},{"id":4,"name":"Milepost","value":"2.735"},{"id":17,"name":"Train ID","value":"106-29"},{"id":16,"name":"Locomotive ID","value":"4028"},{"id":130,"name":"Impact","value":""},{"id":150,"name":"Time of Event (Mountain Time)","value":"05:42:26"},{"id":151,"name":"Denver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27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"%USERPROFILE%\AppData\Local\Temp\OnboardLogs"\RTDC4028\*4028*201701291*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"%USERPROFILE%\AppData\Local\Temp\OnboardLogs"\RTDC4028\*4028*201701291* &gt;&gt; 2017-01-29-SliceDisagreementCheck.txt</v>
      </c>
      <c r="AE7" s="180" t="str">
        <f t="shared" ref="AE7:AE27" si="8">"start /low /b "&amp;dls3logs&amp;" --loco "&amp;U7&amp;" --day "&amp;TEXT(V7,"YYYY-MM-DD")</f>
        <v>start /low /b %USERPROFILE%\Documents\GitHub\eaglep3\Utilities\DownloadLogsFromS3.py --loco 4028 --day 2017-01-29</v>
      </c>
    </row>
    <row r="8" spans="1:31" s="1" customFormat="1" x14ac:dyDescent="0.25">
      <c r="A8" s="33">
        <v>42764.377280092594</v>
      </c>
      <c r="B8" s="31" t="s">
        <v>227</v>
      </c>
      <c r="C8" s="31" t="s">
        <v>458</v>
      </c>
      <c r="D8" s="31" t="s">
        <v>49</v>
      </c>
      <c r="E8" s="31" t="s">
        <v>203</v>
      </c>
      <c r="F8" s="44">
        <v>100</v>
      </c>
      <c r="G8" s="44">
        <v>469</v>
      </c>
      <c r="H8" s="44">
        <v>66219</v>
      </c>
      <c r="I8" s="44">
        <v>64882</v>
      </c>
      <c r="J8" s="31" t="s">
        <v>204</v>
      </c>
      <c r="K8" s="44">
        <v>63309</v>
      </c>
      <c r="L8" s="150" t="s">
        <v>51</v>
      </c>
      <c r="M8" s="151">
        <f t="shared" si="0"/>
        <v>830.54399999999998</v>
      </c>
      <c r="N8" s="152" t="str">
        <f>VLOOKUP(C8,'Trips&amp;Operators'!$C$1:$G$99999,5,FALSE)</f>
        <v>PERKINS DARREN</v>
      </c>
      <c r="O8" s="176" t="s">
        <v>185</v>
      </c>
      <c r="P8" s="153" t="s">
        <v>829</v>
      </c>
      <c r="Q8" s="31"/>
      <c r="R8" s="96" t="str">
        <f>VLOOKUP(C8,'Train Runs'!$A$13:$AE$9978,31,0)</f>
        <v>aws s3 cp s3://rtdc.mdm.uploadarchive.raw/RTDC4026/ "%USERPROFILE%\AppData\Local\Temp\OnboardLogs"\RTDC4026\2017-01-29 --exclude "*" --recursive --include "*20170129*" &amp; "%USERPROFILE%\Documents\GitHub\mrs-test-scripts\Headless Mode &amp; Sideloading\WalkAndUnGZ.bat" "%USERPROFILE%\AppData\Local\Temp\OnboardLogs"\RTDC4026\2017-01-29 &amp; 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</v>
      </c>
      <c r="S8" s="99" t="str">
        <f>VLOOKUP(C8,'Train Runs'!$A$13:$AE$9978,22,0)</f>
        <v>https://d0f6bd738d7f1b3e5a7ca70fe4ff75f0.us-east-1.aws.found.io/app/kibana#/discover/Steve-Slow-Train-Analysis-(2080s-and-2083s)?_g=(refreshInterval:(display:Off,pause:!f,section:0,value:0),time:(from:'2017-01-29T07:30:33-0700',mode:absolute,to:'2017-01-29T10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101" t="str">
        <f t="shared" si="1"/>
        <v>"C:\Program Files (x86)\AstroGrep\AstroGrep.exe" /spath="%USERPROFILE%\AppData\Local\Temp\OnboardLogs" /stypes="*4026*201701291*" /stext=" 16:.+((SYSTEM_STATE.+slice.+state.+changed )|(ment ac)|(multiple cpu faults)|(system.+state.+changed )|(\[timeout)|(PRM\|1\|D)|(kpr)|(kdp)|(\|lc)|(penalty))" /e /r /s</v>
      </c>
      <c r="U8" s="9" t="str">
        <f t="shared" si="2"/>
        <v>4026</v>
      </c>
      <c r="V8" s="33">
        <f t="shared" si="3"/>
        <v>42764.668946759259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arrival","project_id":79,"tracker_id":40,"status_id":1,"priority_id":2,"assigned_to_id":23,"start_date":"2017-01-29","description":"","custom_fields":[{"id":1,"name":"Subdivision","value":"EC"},{"id":4,"name":"Milepost","value":"6.3309"},{"id":17,"name":"Train ID","value":"134-29"},{"id":16,"name":"Locomotive ID","value":"4026"},{"id":130,"name":"Impact","value":""},{"id":150,"name":"Time of Event (Mountain Time)","value":"09:03:17"},{"id":151,"name":"Denver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"%USERPROFILE%\AppData\Local\Temp\OnboardLogs"\RTDC4026\*4026*201701291*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"%USERPROFILE%\AppData\Local\Temp\OnboardLogs"\RTDC4026\*4026*201701291* &gt;&gt; 2017-01-29-SliceDisagreementCheck.txt</v>
      </c>
      <c r="AE8" s="180" t="str">
        <f t="shared" si="8"/>
        <v>start /low /b %USERPROFILE%\Documents\GitHub\eaglep3\Utilities\DownloadLogsFromS3.py --loco 4026 --day 2017-01-29</v>
      </c>
    </row>
    <row r="9" spans="1:31" s="1" customFormat="1" x14ac:dyDescent="0.25">
      <c r="A9" s="33">
        <v>42764.33253472222</v>
      </c>
      <c r="B9" s="31" t="s">
        <v>318</v>
      </c>
      <c r="C9" s="31" t="s">
        <v>457</v>
      </c>
      <c r="D9" s="31" t="s">
        <v>98</v>
      </c>
      <c r="E9" s="31" t="s">
        <v>222</v>
      </c>
      <c r="F9" s="44">
        <v>350</v>
      </c>
      <c r="G9" s="44">
        <v>400</v>
      </c>
      <c r="H9" s="44">
        <v>226102</v>
      </c>
      <c r="I9" s="44">
        <v>225085</v>
      </c>
      <c r="J9" s="31" t="s">
        <v>223</v>
      </c>
      <c r="K9" s="44">
        <v>228668</v>
      </c>
      <c r="L9" s="150" t="s">
        <v>51</v>
      </c>
      <c r="M9" s="151">
        <f t="shared" si="0"/>
        <v>-1891.8240000000001</v>
      </c>
      <c r="N9" s="152" t="str">
        <f>VLOOKUP(C9,'Trips&amp;Operators'!$C$1:$G$99999,5,FALSE)</f>
        <v>HAITHCOX MICHAEL</v>
      </c>
      <c r="O9" s="176" t="s">
        <v>185</v>
      </c>
      <c r="P9" s="153"/>
      <c r="Q9" s="31"/>
      <c r="R9" s="96" t="str">
        <f>VLOOKUP(C9,'Train Runs'!$A$13:$AE$9978,31,0)</f>
        <v>aws s3 cp s3://rtdc.mdm.uploadarchive.raw/RTDC4001/ "%USERPROFILE%\AppData\Local\Temp\OnboardLogs"\RTDC4001\2017-01-29 --exclude "*" --recursive --include "*20170129*" &amp; "%USERPROFILE%\Documents\GitHub\mrs-test-scripts\Headless Mode &amp; Sideloading\WalkAndUnGZ.bat" "%USERPROFILE%\AppData\Local\Temp\OnboardLogs"\RTDC4001\2017-01-29 &amp; 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</v>
      </c>
      <c r="S9" s="99" t="str">
        <f>VLOOKUP(C9,'Train Runs'!$A$13:$AE$9978,22,0)</f>
        <v>https://d0f6bd738d7f1b3e5a7ca70fe4ff75f0.us-east-1.aws.found.io/app/kibana#/discover/Steve-Slow-Train-Analysis-(2080s-and-2083s)?_g=(refreshInterval:(display:Off,pause:!f,section:0,value:0),time:(from:'2017-01-29T06:49:40-0700',mode:absolute,to:'2017-01-29T09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101" t="str">
        <f t="shared" si="1"/>
        <v>"C:\Program Files (x86)\AstroGrep\AstroGrep.exe" /spath="%USERPROFILE%\AppData\Local\Temp\OnboardLogs" /stypes="*4001*201701291*" /stext=" 14:.+((SYSTEM_STATE.+slice.+state.+changed )|(ment ac)|(multiple cpu faults)|(system.+state.+changed )|(\[timeout)|(PRM\|1\|D)|(kpr)|(kdp)|(\|lc)|(penalty))" /e /r /s</v>
      </c>
      <c r="U9" s="9" t="str">
        <f t="shared" si="2"/>
        <v>4001</v>
      </c>
      <c r="V9" s="33">
        <f t="shared" si="3"/>
        <v>42764.624201388884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{"issue":{"subject":"","project_id":79,"tracker_id":40,"status_id":1,"priority_id":2,"assigned_to_id":23,"start_date":"2017-01-29","description":"","custom_fields":[{"id":1,"name":"Subdivision","value":"EC"},{"id":4,"name":"Milepost","value":"22.8668"},{"id":17,"name":"Train ID","value":"128-29"},{"id":16,"name":"Locomotive ID","value":"4001"},{"id":130,"name":"Impact","value":""},{"id":150,"name":"Time of Event (Mountain Time)","value":"07:58:51"},{"id":151,"name":"Denver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"%USERPROFILE%\AppData\Local\Temp\OnboardLogs"\RTDC4001\*4001*201701291*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"%USERPROFILE%\AppData\Local\Temp\OnboardLogs"\RTDC4001\*4001*201701291* &gt;&gt; 2017-01-29-SliceDisagreementCheck.txt</v>
      </c>
      <c r="AE9" s="180" t="str">
        <f t="shared" si="8"/>
        <v>start /low /b %USERPROFILE%\Documents\GitHub\eaglep3\Utilities\DownloadLogsFromS3.py --loco 4001 --day 2017-01-29</v>
      </c>
    </row>
    <row r="10" spans="1:31" s="1" customFormat="1" x14ac:dyDescent="0.25">
      <c r="A10" s="33">
        <v>42764.515335648146</v>
      </c>
      <c r="B10" s="31" t="s">
        <v>257</v>
      </c>
      <c r="C10" s="31" t="s">
        <v>462</v>
      </c>
      <c r="D10" s="31" t="s">
        <v>49</v>
      </c>
      <c r="E10" s="31" t="s">
        <v>186</v>
      </c>
      <c r="F10" s="44">
        <v>0</v>
      </c>
      <c r="G10" s="44">
        <v>411</v>
      </c>
      <c r="H10" s="44">
        <v>126432</v>
      </c>
      <c r="I10" s="44">
        <v>127839</v>
      </c>
      <c r="J10" s="31" t="s">
        <v>187</v>
      </c>
      <c r="K10" s="44">
        <v>126585</v>
      </c>
      <c r="L10" s="150" t="s">
        <v>50</v>
      </c>
      <c r="M10" s="151">
        <f t="shared" si="0"/>
        <v>-662.11200000000008</v>
      </c>
      <c r="N10" s="152" t="str">
        <f>VLOOKUP(C10,'Trips&amp;Operators'!$C$1:$G$99999,5,FALSE)</f>
        <v>CRAYTON QUNTRELL</v>
      </c>
      <c r="O10" s="176" t="s">
        <v>185</v>
      </c>
      <c r="P10" s="153" t="s">
        <v>830</v>
      </c>
      <c r="Q10" s="31"/>
      <c r="R10" s="96" t="str">
        <f>VLOOKUP(C10,'Train Runs'!$A$13:$AE$9978,31,0)</f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S10" s="99" t="str">
        <f>VLOOKUP(C10,'Train Runs'!$A$13:$AE$9978,22,0)</f>
        <v>https://d0f6bd738d7f1b3e5a7ca70fe4ff75f0.us-east-1.aws.found.io/app/kibana#/discover/Steve-Slow-Train-Analysis-(2080s-and-2083s)?_g=(refreshInterval:(display:Off,pause:!f,section:0,value:0),time:(from:'2017-01-29T11:23:22-0700',mode:absolute,to:'2017-01-29T13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0" s="101" t="str">
        <f t="shared" si="1"/>
        <v>"C:\Program Files (x86)\AstroGrep\AstroGrep.exe" /spath="%USERPROFILE%\AppData\Local\Temp\OnboardLogs" /stypes="*4007*201701291*" /stext=" 19:.+((SYSTEM_STATE.+slice.+state.+changed )|(ment ac)|(multiple cpu faults)|(system.+state.+changed )|(\[timeout)|(PRM\|1\|D)|(kpr)|(kdp)|(\|lc)|(penalty))" /e /r /s</v>
      </c>
      <c r="U10" s="9" t="str">
        <f t="shared" si="2"/>
        <v>4007</v>
      </c>
      <c r="V10" s="33">
        <f t="shared" si="3"/>
        <v>42764.80700231481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{"issue":{"subject":"40th 2N STOP","project_id":79,"tracker_id":40,"status_id":1,"priority_id":2,"assigned_to_id":23,"start_date":"2017-01-29","description":"","custom_fields":[{"id":1,"name":"Subdivision","value":"EC"},{"id":4,"name":"Milepost","value":"12.6585"},{"id":17,"name":"Train ID","value":"167-29"},{"id":16,"name":"Locomotive ID","value":"4007"},{"id":130,"name":"Impact","value":""},{"id":150,"name":"Time of Event (Mountain Time)","value":"12:22:05"},{"id":151,"name":"Denver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"%USERPROFILE%\AppData\Local\Temp\OnboardLogs"\RTDC4007\*4007*201701291*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"%USERPROFILE%\AppData\Local\Temp\OnboardLogs"\RTDC4007\*4007*201701291* &gt;&gt; 2017-01-29-SliceDisagreementCheck.txt</v>
      </c>
      <c r="AE10" s="180" t="str">
        <f t="shared" si="8"/>
        <v>start /low /b %USERPROFILE%\Documents\GitHub\eaglep3\Utilities\DownloadLogsFromS3.py --loco 4007 --day 2017-01-29</v>
      </c>
    </row>
    <row r="11" spans="1:31" s="1" customFormat="1" x14ac:dyDescent="0.25">
      <c r="A11" s="33">
        <v>42764.49664351852</v>
      </c>
      <c r="B11" s="31" t="s">
        <v>200</v>
      </c>
      <c r="C11" s="31" t="s">
        <v>461</v>
      </c>
      <c r="D11" s="31" t="s">
        <v>49</v>
      </c>
      <c r="E11" s="31" t="s">
        <v>186</v>
      </c>
      <c r="F11" s="44">
        <v>0</v>
      </c>
      <c r="G11" s="44">
        <v>530</v>
      </c>
      <c r="H11" s="44">
        <v>135049</v>
      </c>
      <c r="I11" s="44">
        <v>133319</v>
      </c>
      <c r="J11" s="31" t="s">
        <v>187</v>
      </c>
      <c r="K11" s="44">
        <v>133166</v>
      </c>
      <c r="L11" s="150" t="s">
        <v>51</v>
      </c>
      <c r="M11" s="151">
        <f t="shared" si="0"/>
        <v>80.784000000000006</v>
      </c>
      <c r="N11" s="152" t="str">
        <f>VLOOKUP(C11,'Trips&amp;Operators'!$C$1:$G$99999,5,FALSE)</f>
        <v>SHOOK JOHN</v>
      </c>
      <c r="O11" s="176" t="s">
        <v>224</v>
      </c>
      <c r="P11" s="153" t="s">
        <v>831</v>
      </c>
      <c r="Q11" s="31"/>
      <c r="R11" s="96" t="str">
        <f>VLOOKUP(C11,'Train Runs'!$A$13:$AE$9978,31,0)</f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S11" s="99" t="str">
        <f>VLOOKUP(C11,'Train Runs'!$A$13:$AE$9978,22,0)</f>
        <v>https://d0f6bd738d7f1b3e5a7ca70fe4ff75f0.us-east-1.aws.found.io/app/kibana#/discover/Steve-Slow-Train-Analysis-(2080s-and-2083s)?_g=(refreshInterval:(display:Off,pause:!f,section:0,value:0),time:(from:'2017-01-29T10:25:58-0700',mode:absolute,to:'2017-01-29T13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1" s="101" t="str">
        <f t="shared" si="1"/>
        <v>"C:\Program Files (x86)\AstroGrep\AstroGrep.exe" /spath="%USERPROFILE%\AppData\Local\Temp\OnboardLogs" /stypes="*4037*201701291*" /stext=" 18:.+((SYSTEM_STATE.+slice.+state.+changed )|(ment ac)|(multiple cpu faults)|(system.+state.+changed )|(\[timeout)|(PRM\|1\|D)|(kpr)|(kdp)|(\|lc)|(penalty))" /e /r /s</v>
      </c>
      <c r="U11" s="9" t="str">
        <f t="shared" si="2"/>
        <v>4037</v>
      </c>
      <c r="V11" s="33">
        <f t="shared" si="3"/>
        <v>42764.788310185184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{"issue":{"subject":"Wi-MAX data drop","project_id":79,"tracker_id":40,"status_id":1,"priority_id":2,"assigned_to_id":23,"start_date":"2017-01-29","description":"","custom_fields":[{"id":1,"name":"Subdivision","value":"EC"},{"id":4,"name":"Milepost","value":"13.3166"},{"id":17,"name":"Train ID","value":"158-29"},{"id":16,"name":"Locomotive ID","value":"4037"},{"id":130,"name":"Impact","value":""},{"id":150,"name":"Time of Event (Mountain Time)","value":"11:55:10"},{"id":151,"name":"Denver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"%USERPROFILE%\AppData\Local\Temp\OnboardLogs"\RTDC4037\*4037*201701291*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"%USERPROFILE%\AppData\Local\Temp\OnboardLogs"\RTDC4037\*4037*201701291* &gt;&gt; 2017-01-29-SliceDisagreementCheck.txt</v>
      </c>
      <c r="AE11" s="180" t="str">
        <f t="shared" si="8"/>
        <v>start /low /b %USERPROFILE%\Documents\GitHub\eaglep3\Utilities\DownloadLogsFromS3.py --loco 4037 --day 2017-01-29</v>
      </c>
    </row>
    <row r="12" spans="1:31" s="1" customFormat="1" x14ac:dyDescent="0.25">
      <c r="A12" s="33">
        <v>42764.716770833336</v>
      </c>
      <c r="B12" s="31" t="s">
        <v>200</v>
      </c>
      <c r="C12" s="31" t="s">
        <v>470</v>
      </c>
      <c r="D12" s="31" t="s">
        <v>49</v>
      </c>
      <c r="E12" s="31" t="s">
        <v>385</v>
      </c>
      <c r="F12" s="44">
        <v>0</v>
      </c>
      <c r="G12" s="44">
        <v>442</v>
      </c>
      <c r="H12" s="44">
        <v>130067</v>
      </c>
      <c r="I12" s="44">
        <v>128513</v>
      </c>
      <c r="J12" s="31" t="s">
        <v>386</v>
      </c>
      <c r="K12" s="44">
        <v>127587</v>
      </c>
      <c r="L12" s="150" t="s">
        <v>51</v>
      </c>
      <c r="M12" s="151">
        <f t="shared" si="0"/>
        <v>488.928</v>
      </c>
      <c r="N12" s="152" t="str">
        <f>VLOOKUP(C12,'Trips&amp;Operators'!$C$1:$G$99999,5,FALSE)</f>
        <v>KILLION DAVID</v>
      </c>
      <c r="O12" s="176" t="s">
        <v>224</v>
      </c>
      <c r="P12" s="153" t="s">
        <v>831</v>
      </c>
      <c r="Q12" s="31"/>
      <c r="R12" s="96" t="str">
        <f>VLOOKUP(C12,'Train Runs'!$A$13:$AE$9978,31,0)</f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S12" s="99" t="str">
        <f>VLOOKUP(C12,'Train Runs'!$A$13:$AE$9978,22,0)</f>
        <v>https://d0f6bd738d7f1b3e5a7ca70fe4ff75f0.us-east-1.aws.found.io/app/kibana#/discover/Steve-Slow-Train-Analysis-(2080s-and-2083s)?_g=(refreshInterval:(display:Off,pause:!f,section:0,value:0),time:(from:'2017-01-29T15:47:58-0700',mode:absolute,to:'2017-01-29T18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2" s="101" t="str">
        <f t="shared" si="1"/>
        <v>"C:\Program Files (x86)\AstroGrep\AstroGrep.exe" /spath="%USERPROFILE%\AppData\Local\Temp\OnboardLogs" /stypes="*4037*201701300*" /stext=" 00:.+((SYSTEM_STATE.+slice.+state.+changed )|(ment ac)|(multiple cpu faults)|(system.+state.+changed )|(\[timeout)|(PRM\|1\|D)|(kpr)|(kdp)|(\|lc)|(penalty))" /e /r /s</v>
      </c>
      <c r="U12" s="9" t="str">
        <f t="shared" si="2"/>
        <v>4037</v>
      </c>
      <c r="V12" s="33">
        <f t="shared" si="3"/>
        <v>42765.008437500001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{"issue":{"subject":"Wi-MAX data drop","project_id":79,"tracker_id":40,"status_id":1,"priority_id":2,"assigned_to_id":23,"start_date":"2017-01-29","description":"","custom_fields":[{"id":1,"name":"Subdivision","value":"EC"},{"id":4,"name":"Milepost","value":"12.7587"},{"id":17,"name":"Train ID","value":"200-29"},{"id":16,"name":"Locomotive ID","value":"4037"},{"id":130,"name":"Impact","value":""},{"id":150,"name":"Time of Event (Mountain Time)","value":"17:12:09"},{"id":151,"name":"Denver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"%USERPROFILE%\AppData\Local\Temp\OnboardLogs"\RTDC4037\*4037*201701300*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"%USERPROFILE%\AppData\Local\Temp\OnboardLogs"\RTDC4037\*4037*201701300* &gt;&gt; 2017-01-29-SliceDisagreementCheck.txt</v>
      </c>
      <c r="AE12" s="180" t="str">
        <f t="shared" si="8"/>
        <v>start /low /b %USERPROFILE%\Documents\GitHub\eaglep3\Utilities\DownloadLogsFromS3.py --loco 4037 --day 2017-01-30</v>
      </c>
    </row>
    <row r="13" spans="1:31" s="1" customFormat="1" x14ac:dyDescent="0.25">
      <c r="A13" s="33">
        <v>42764.982268518521</v>
      </c>
      <c r="B13" s="31" t="s">
        <v>257</v>
      </c>
      <c r="C13" s="31" t="s">
        <v>473</v>
      </c>
      <c r="D13" s="31" t="s">
        <v>49</v>
      </c>
      <c r="E13" s="31" t="s">
        <v>385</v>
      </c>
      <c r="F13" s="44">
        <v>0</v>
      </c>
      <c r="G13" s="44">
        <v>248</v>
      </c>
      <c r="H13" s="44">
        <v>227381</v>
      </c>
      <c r="I13" s="44">
        <v>228031</v>
      </c>
      <c r="J13" s="31" t="s">
        <v>386</v>
      </c>
      <c r="K13" s="44">
        <v>228572</v>
      </c>
      <c r="L13" s="150" t="s">
        <v>50</v>
      </c>
      <c r="M13" s="151">
        <f t="shared" si="0"/>
        <v>285.64800000000002</v>
      </c>
      <c r="N13" s="152" t="str">
        <f>VLOOKUP(C13,'Trips&amp;Operators'!$C$1:$G$99999,5,FALSE)</f>
        <v>CHANDLER KELVIN</v>
      </c>
      <c r="O13" s="176" t="s">
        <v>224</v>
      </c>
      <c r="P13" s="153" t="s">
        <v>831</v>
      </c>
      <c r="Q13" s="31"/>
      <c r="R13" s="96" t="str">
        <f>VLOOKUP(C13,'Train Runs'!$A$13:$AE$9978,31,0)</f>
        <v>aws s3 cp s3://rtdc.mdm.uploadarchive.raw/RTDC4007/ "%USERPROFILE%\AppData\Local\Temp\OnboardLogs"\RTDC4007\2017-01-29 --exclude "*" --recursive --include "*20170129*" &amp; "%USERPROFILE%\Documents\GitHub\mrs-test-scripts\Headless Mode &amp; Sideloading\WalkAndUnGZ.bat" "%USERPROFILE%\AppData\Local\Temp\OnboardLogs"\RTDC4007\2017-01-29 &amp; aws s3 cp s3://rtdc.mdm.uploadarchive.raw/RTDC4007/ "%USERPROFILE%\AppData\Local\Temp\OnboardLogs"\RTDC4007\2017-01-30 --exclude "*" --recursive --include "*20170130*" &amp; "%USERPROFILE%\Documents\GitHub\mrs-test-scripts\Headless Mode &amp; Sideloading\WalkAndUnGZ.bat" "%USERPROFILE%\AppData\Local\Temp\OnboardLogs"\RTDC4007\2017-01-30</v>
      </c>
      <c r="S13" s="99" t="str">
        <f>VLOOKUP(C13,'Train Runs'!$A$13:$AE$9978,22,0)</f>
        <v>https://d0f6bd738d7f1b3e5a7ca70fe4ff75f0.us-east-1.aws.found.io/app/kibana#/discover/Steve-Slow-Train-Analysis-(2080s-and-2083s)?_g=(refreshInterval:(display:Off,pause:!f,section:0,value:0),time:(from:'2017-01-29T21:55:21-0700',mode:absolute,to:'2017-01-30T00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101" t="str">
        <f t="shared" si="1"/>
        <v>"C:\Program Files (x86)\AstroGrep\AstroGrep.exe" /spath="%USERPROFILE%\AppData\Local\Temp\OnboardLogs" /stypes="*4007*201701300*" /stext=" 06:.+((SYSTEM_STATE.+slice.+state.+changed )|(ment ac)|(multiple cpu faults)|(system.+state.+changed )|(\[timeout)|(PRM\|1\|D)|(kpr)|(kdp)|(\|lc)|(penalty))" /e /r /s</v>
      </c>
      <c r="U13" s="9" t="str">
        <f t="shared" si="2"/>
        <v>4007</v>
      </c>
      <c r="V13" s="33">
        <f t="shared" si="3"/>
        <v>42765.273935185185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{"issue":{"subject":"Wi-MAX data drop","project_id":79,"tracker_id":40,"status_id":1,"priority_id":2,"assigned_to_id":23,"start_date":"2017-01-29","description":"","custom_fields":[{"id":1,"name":"Subdivision","value":"EC"},{"id":4,"name":"Milepost","value":"22.8572"},{"id":17,"name":"Train ID","value":"237-29"},{"id":16,"name":"Locomotive ID","value":"4007"},{"id":130,"name":"Impact","value":""},{"id":150,"name":"Time of Event (Mountain Time)","value":"23:34:28"},{"id":151,"name":"Denver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"%USERPROFILE%\AppData\Local\Temp\OnboardLogs"\RTDC4007\*4007*201701300*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"%USERPROFILE%\AppData\Local\Temp\OnboardLogs"\RTDC4007\*4007*201701300* &gt;&gt; 2017-01-29-SliceDisagreementCheck.txt</v>
      </c>
      <c r="AE13" s="180" t="str">
        <f t="shared" si="8"/>
        <v>start /low /b %USERPROFILE%\Documents\GitHub\eaglep3\Utilities\DownloadLogsFromS3.py --loco 4007 --day 2017-01-30</v>
      </c>
    </row>
    <row r="14" spans="1:31" s="1" customFormat="1" x14ac:dyDescent="0.25">
      <c r="A14" s="33">
        <v>42764.586944444447</v>
      </c>
      <c r="B14" s="31" t="s">
        <v>200</v>
      </c>
      <c r="C14" s="31" t="s">
        <v>465</v>
      </c>
      <c r="D14" s="31" t="s">
        <v>49</v>
      </c>
      <c r="E14" s="31" t="s">
        <v>188</v>
      </c>
      <c r="F14" s="44">
        <v>0</v>
      </c>
      <c r="G14" s="44">
        <v>49</v>
      </c>
      <c r="H14" s="44">
        <v>163</v>
      </c>
      <c r="I14" s="44">
        <v>123</v>
      </c>
      <c r="J14" s="31" t="s">
        <v>189</v>
      </c>
      <c r="K14" s="44">
        <v>1</v>
      </c>
      <c r="L14" s="150" t="s">
        <v>51</v>
      </c>
      <c r="M14" s="151">
        <f t="shared" si="0"/>
        <v>64.415999999999997</v>
      </c>
      <c r="N14" s="152" t="str">
        <f>VLOOKUP(C14,'Trips&amp;Operators'!$C$1:$G$99999,5,FALSE)</f>
        <v>KILLION DAVID</v>
      </c>
      <c r="O14" s="176" t="s">
        <v>185</v>
      </c>
      <c r="P14" s="153"/>
      <c r="Q14" s="31"/>
      <c r="R14" s="96" t="str">
        <f>VLOOKUP(C14,'Train Runs'!$A$13:$AE$9978,31,0)</f>
        <v>aws s3 cp s3://rtdc.mdm.uploadarchive.raw/RTDC4037/ "%USERPROFILE%\AppData\Local\Temp\OnboardLogs"\RTDC4037\2017-01-29 --exclude "*" --recursive --include "*20170129*" &amp; "%USERPROFILE%\Documents\GitHub\mrs-test-scripts\Headless Mode &amp; Sideloading\WalkAndUnGZ.bat" "%USERPROFILE%\AppData\Local\Temp\OnboardLogs"\RTDC4037\2017-01-29 &amp; 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</v>
      </c>
      <c r="S14" s="99" t="str">
        <f>VLOOKUP(C14,'Train Runs'!$A$13:$AE$9978,22,0)</f>
        <v>https://d0f6bd738d7f1b3e5a7ca70fe4ff75f0.us-east-1.aws.found.io/app/kibana#/discover/Steve-Slow-Train-Analysis-(2080s-and-2083s)?_g=(refreshInterval:(display:Off,pause:!f,section:0,value:0),time:(from:'2017-01-29T12:13:19-0700',mode:absolute,to:'2017-01-29T15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4" s="101" t="str">
        <f t="shared" si="1"/>
        <v>"C:\Program Files (x86)\AstroGrep\AstroGrep.exe" /spath="%USERPROFILE%\AppData\Local\Temp\OnboardLogs" /stypes="*4037*201701292*" /stext=" 21:.+((SYSTEM_STATE.+slice.+state.+changed )|(ment ac)|(multiple cpu faults)|(system.+state.+changed )|(\[timeout)|(PRM\|1\|D)|(kpr)|(kdp)|(\|lc)|(penalty))" /e /r /s</v>
      </c>
      <c r="U14" s="9" t="str">
        <f t="shared" si="2"/>
        <v>4037</v>
      </c>
      <c r="V14" s="33">
        <f t="shared" si="3"/>
        <v>42764.878611111111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{"issue":{"subject":"","project_id":79,"tracker_id":40,"status_id":1,"priority_id":2,"assigned_to_id":23,"start_date":"2017-01-29","description":"","custom_fields":[{"id":1,"name":"Subdivision","value":"EC"},{"id":4,"name":"Milepost","value":"0.0001"},{"id":17,"name":"Train ID","value":"172-29"},{"id":16,"name":"Locomotive ID","value":"4037"},{"id":130,"name":"Impact","value":""},{"id":150,"name":"Time of Event (Mountain Time)","value":"14:05:12"},{"id":151,"name":"Denver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"%USERPROFILE%\AppData\Local\Temp\OnboardLogs"\RTDC4037\*4037*201701292*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"%USERPROFILE%\AppData\Local\Temp\OnboardLogs"\RTDC4037\*4037*201701292* &gt;&gt; 2017-01-29-SliceDisagreementCheck.txt</v>
      </c>
      <c r="AE14" s="180" t="str">
        <f t="shared" si="8"/>
        <v>start /low /b %USERPROFILE%\Documents\GitHub\eaglep3\Utilities\DownloadLogsFromS3.py --loco 4037 --day 2017-01-29</v>
      </c>
    </row>
    <row r="15" spans="1:31" s="1" customFormat="1" x14ac:dyDescent="0.25">
      <c r="A15" s="33">
        <v>42764.59652777778</v>
      </c>
      <c r="B15" s="31" t="s">
        <v>466</v>
      </c>
      <c r="C15" s="31" t="s">
        <v>467</v>
      </c>
      <c r="D15" s="31" t="s">
        <v>49</v>
      </c>
      <c r="E15" s="31" t="s">
        <v>188</v>
      </c>
      <c r="F15" s="44">
        <v>0</v>
      </c>
      <c r="G15" s="44">
        <v>150</v>
      </c>
      <c r="H15" s="44">
        <v>695</v>
      </c>
      <c r="I15" s="44">
        <v>519</v>
      </c>
      <c r="J15" s="31" t="s">
        <v>189</v>
      </c>
      <c r="K15" s="44">
        <v>1</v>
      </c>
      <c r="L15" s="150" t="s">
        <v>51</v>
      </c>
      <c r="M15" s="151">
        <f t="shared" si="0"/>
        <v>273.50400000000002</v>
      </c>
      <c r="N15" s="152" t="str">
        <f>VLOOKUP(C15,'Trips&amp;Operators'!$C$1:$G$99999,5,FALSE)</f>
        <v>STEWART MICHAEL</v>
      </c>
      <c r="O15" s="176" t="s">
        <v>185</v>
      </c>
      <c r="P15" s="153"/>
      <c r="Q15" s="31"/>
      <c r="R15" s="96" t="str">
        <f>VLOOKUP(C15,'Train Runs'!$A$13:$AE$9978,31,0)</f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S15" s="99" t="str">
        <f>VLOOKUP(C15,'Train Runs'!$A$13:$AE$9978,22,0)</f>
        <v>https://d0f6bd738d7f1b3e5a7ca70fe4ff75f0.us-east-1.aws.found.io/app/kibana#/discover/Steve-Slow-Train-Analysis-(2080s-and-2083s)?_g=(refreshInterval:(display:Off,pause:!f,section:0,value:0),time:(from:'2017-01-29T12:37:30-0700',mode:absolute,to:'2017-01-29T15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101" t="str">
        <f t="shared" si="1"/>
        <v>"C:\Program Files (x86)\AstroGrep\AstroGrep.exe" /spath="%USERPROFILE%\AppData\Local\Temp\OnboardLogs" /stypes="*4019*201701292*" /stext=" 21:.+((SYSTEM_STATE.+slice.+state.+changed )|(ment ac)|(multiple cpu faults)|(system.+state.+changed )|(\[timeout)|(PRM\|1\|D)|(kpr)|(kdp)|(\|lc)|(penalty))" /e /r /s</v>
      </c>
      <c r="U15" s="9" t="str">
        <f t="shared" si="2"/>
        <v>4019</v>
      </c>
      <c r="V15" s="33">
        <f t="shared" si="3"/>
        <v>42764.888194444444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{"issue":{"subject":"","project_id":79,"tracker_id":40,"status_id":1,"priority_id":2,"assigned_to_id":23,"start_date":"2017-01-29","description":"","custom_fields":[{"id":1,"name":"Subdivision","value":"EC"},{"id":4,"name":"Milepost","value":"0.0001"},{"id":17,"name":"Train ID","value":"174-29"},{"id":16,"name":"Locomotive ID","value":"4019"},{"id":130,"name":"Impact","value":""},{"id":150,"name":"Time of Event (Mountain Time)","value":"14:19:00"},{"id":151,"name":"Denver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"%USERPROFILE%\AppData\Local\Temp\OnboardLogs"\RTDC4019\*4019*201701292*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"%USERPROFILE%\AppData\Local\Temp\OnboardLogs"\RTDC4019\*4019*201701292* &gt;&gt; 2017-01-29-SliceDisagreementCheck.txt</v>
      </c>
      <c r="AE15" s="180" t="str">
        <f t="shared" si="8"/>
        <v>start /low /b %USERPROFILE%\Documents\GitHub\eaglep3\Utilities\DownloadLogsFromS3.py --loco 4019 --day 2017-01-29</v>
      </c>
    </row>
    <row r="16" spans="1:31" s="1" customFormat="1" x14ac:dyDescent="0.25">
      <c r="A16" s="33">
        <v>42764.597037037034</v>
      </c>
      <c r="B16" s="31" t="s">
        <v>466</v>
      </c>
      <c r="C16" s="31" t="s">
        <v>467</v>
      </c>
      <c r="D16" s="31" t="s">
        <v>49</v>
      </c>
      <c r="E16" s="31" t="s">
        <v>188</v>
      </c>
      <c r="F16" s="44">
        <v>0</v>
      </c>
      <c r="G16" s="44">
        <v>74</v>
      </c>
      <c r="H16" s="44">
        <v>236</v>
      </c>
      <c r="I16" s="44">
        <v>169</v>
      </c>
      <c r="J16" s="31" t="s">
        <v>189</v>
      </c>
      <c r="K16" s="44">
        <v>1</v>
      </c>
      <c r="L16" s="150" t="s">
        <v>51</v>
      </c>
      <c r="M16" s="151">
        <f t="shared" si="0"/>
        <v>88.703999999999994</v>
      </c>
      <c r="N16" s="152" t="str">
        <f>VLOOKUP(C16,'Trips&amp;Operators'!$C$1:$G$99999,5,FALSE)</f>
        <v>STEWART MICHAEL</v>
      </c>
      <c r="O16" s="176" t="s">
        <v>185</v>
      </c>
      <c r="P16" s="153"/>
      <c r="Q16" s="31"/>
      <c r="R16" s="96" t="str">
        <f>VLOOKUP(C16,'Train Runs'!$A$13:$AE$9978,31,0)</f>
        <v>aws s3 cp s3://rtdc.mdm.uploadarchive.raw/RTDC4019/ "%USERPROFILE%\AppData\Local\Temp\OnboardLogs"\RTDC4019\2017-01-29 --exclude "*" --recursive --include "*20170129*" &amp; "%USERPROFILE%\Documents\GitHub\mrs-test-scripts\Headless Mode &amp; Sideloading\WalkAndUnGZ.bat" "%USERPROFILE%\AppData\Local\Temp\OnboardLogs"\RTDC4019\2017-01-29 &amp; 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</v>
      </c>
      <c r="S16" s="99" t="str">
        <f>VLOOKUP(C16,'Train Runs'!$A$13:$AE$9978,22,0)</f>
        <v>https://d0f6bd738d7f1b3e5a7ca70fe4ff75f0.us-east-1.aws.found.io/app/kibana#/discover/Steve-Slow-Train-Analysis-(2080s-and-2083s)?_g=(refreshInterval:(display:Off,pause:!f,section:0,value:0),time:(from:'2017-01-29T12:37:30-0700',mode:absolute,to:'2017-01-29T15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101" t="str">
        <f t="shared" si="1"/>
        <v>"C:\Program Files (x86)\AstroGrep\AstroGrep.exe" /spath="%USERPROFILE%\AppData\Local\Temp\OnboardLogs" /stypes="*4019*201701292*" /stext=" 21:.+((SYSTEM_STATE.+slice.+state.+changed )|(ment ac)|(multiple cpu faults)|(system.+state.+changed )|(\[timeout)|(PRM\|1\|D)|(kpr)|(kdp)|(\|lc)|(penalty))" /e /r /s</v>
      </c>
      <c r="U16" s="9" t="str">
        <f t="shared" si="2"/>
        <v>4019</v>
      </c>
      <c r="V16" s="33">
        <f t="shared" si="3"/>
        <v>42764.888703703698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{"issue":{"subject":"","project_id":79,"tracker_id":40,"status_id":1,"priority_id":2,"assigned_to_id":23,"start_date":"2017-01-29","description":"","custom_fields":[{"id":1,"name":"Subdivision","value":"EC"},{"id":4,"name":"Milepost","value":"0.0001"},{"id":17,"name":"Train ID","value":"174-29"},{"id":16,"name":"Locomotive ID","value":"4019"},{"id":130,"name":"Impact","value":""},{"id":150,"name":"Time of Event (Mountain Time)","value":"14:19:44"},{"id":151,"name":"Denver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"%USERPROFILE%\AppData\Local\Temp\OnboardLogs"\RTDC4019\*4019*201701292*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"%USERPROFILE%\AppData\Local\Temp\OnboardLogs"\RTDC4019\*4019*201701292* &gt;&gt; 2017-01-29-SliceDisagreementCheck.txt</v>
      </c>
      <c r="AE16" s="180" t="str">
        <f t="shared" si="8"/>
        <v>start /low /b %USERPROFILE%\Documents\GitHub\eaglep3\Utilities\DownloadLogsFromS3.py --loco 4019 --day 2017-01-29</v>
      </c>
    </row>
    <row r="17" spans="1:32" x14ac:dyDescent="0.25">
      <c r="A17" s="33">
        <v>42764.816354166665</v>
      </c>
      <c r="B17" s="31" t="s">
        <v>239</v>
      </c>
      <c r="C17" s="31" t="s">
        <v>472</v>
      </c>
      <c r="D17" s="31" t="s">
        <v>49</v>
      </c>
      <c r="E17" s="31" t="s">
        <v>188</v>
      </c>
      <c r="F17" s="44">
        <v>0</v>
      </c>
      <c r="G17" s="44">
        <v>26</v>
      </c>
      <c r="H17" s="44">
        <v>57</v>
      </c>
      <c r="I17" s="44">
        <v>35</v>
      </c>
      <c r="J17" s="31" t="s">
        <v>189</v>
      </c>
      <c r="K17" s="44">
        <v>1</v>
      </c>
      <c r="L17" s="150" t="s">
        <v>51</v>
      </c>
      <c r="M17" s="151">
        <f t="shared" si="0"/>
        <v>17.952000000000002</v>
      </c>
      <c r="N17" s="152" t="str">
        <f>VLOOKUP(C17,'Trips&amp;Operators'!$C$1:$G$99999,5,FALSE)</f>
        <v>KILLION DAVID</v>
      </c>
      <c r="O17" s="176" t="s">
        <v>185</v>
      </c>
      <c r="P17" s="153"/>
      <c r="Q17" s="31"/>
      <c r="R17" s="96" t="str">
        <f>VLOOKUP(C17,'Train Runs'!$A$13:$AE$9978,31,0)</f>
        <v>aws s3 cp s3://rtdc.mdm.uploadarchive.raw/RTDC4028/ "%USERPROFILE%\AppData\Local\Temp\OnboardLogs"\RTDC4028\2017-01-29 --exclude "*" --recursive --include "*20170129*" &amp; "%USERPROFILE%\Documents\GitHub\mrs-test-scripts\Headless Mode &amp; Sideloading\WalkAndUnGZ.bat" "%USERPROFILE%\AppData\Local\Temp\OnboardLogs"\RTDC4028\2017-01-29 &amp; 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</v>
      </c>
      <c r="S17" s="99" t="str">
        <f>VLOOKUP(C17,'Train Runs'!$A$13:$AE$9978,22,0)</f>
        <v>https://d0f6bd738d7f1b3e5a7ca70fe4ff75f0.us-east-1.aws.found.io/app/kibana#/discover/Steve-Slow-Train-Analysis-(2080s-and-2083s)?_g=(refreshInterval:(display:Off,pause:!f,section:0,value:0),time:(from:'2017-01-29T17:44:26-0700',mode:absolute,to:'2017-01-29T20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101" t="str">
        <f t="shared" si="1"/>
        <v>"C:\Program Files (x86)\AstroGrep\AstroGrep.exe" /spath="%USERPROFILE%\AppData\Local\Temp\OnboardLogs" /stypes="*4028*201701300*" /stext=" 02:.+((SYSTEM_STATE.+slice.+state.+changed )|(ment ac)|(multiple cpu faults)|(system.+state.+changed )|(\[timeout)|(PRM\|1\|D)|(kpr)|(kdp)|(\|lc)|(penalty))" /e /r /s</v>
      </c>
      <c r="U17" s="9" t="str">
        <f t="shared" si="2"/>
        <v>4028</v>
      </c>
      <c r="V17" s="33">
        <f t="shared" si="3"/>
        <v>42765.10802083333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{"issue":{"subject":"","project_id":79,"tracker_id":40,"status_id":1,"priority_id":2,"assigned_to_id":23,"start_date":"2017-01-29","description":"","custom_fields":[{"id":1,"name":"Subdivision","value":"EC"},{"id":4,"name":"Milepost","value":"0.0001"},{"id":17,"name":"Train ID","value":"216-29"},{"id":16,"name":"Locomotive ID","value":"4028"},{"id":130,"name":"Impact","value":""},{"id":150,"name":"Time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"%USERPROFILE%\AppData\Local\Temp\OnboardLogs"\RTDC4028\*4028*201701300*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"%USERPROFILE%\AppData\Local\Temp\OnboardLogs"\RTDC4028\*4028*201701300* &gt;&gt; 2017-01-29-SliceDisagreementCheck.txt</v>
      </c>
      <c r="AE17" s="180" t="str">
        <f t="shared" si="8"/>
        <v>start /low /b %USERPROFILE%\Documents\GitHub\eaglep3\Utilities\DownloadLogsFromS3.py --loco 4028 --day 2017-01-30</v>
      </c>
      <c r="AF17" s="1"/>
    </row>
    <row r="18" spans="1:32" ht="15" customHeight="1" x14ac:dyDescent="0.25">
      <c r="A18" s="33">
        <v>42765.002395833333</v>
      </c>
      <c r="B18" s="31" t="s">
        <v>196</v>
      </c>
      <c r="C18" s="31" t="s">
        <v>474</v>
      </c>
      <c r="D18" s="31" t="s">
        <v>49</v>
      </c>
      <c r="E18" s="31" t="s">
        <v>188</v>
      </c>
      <c r="F18" s="44">
        <v>0</v>
      </c>
      <c r="G18" s="44">
        <v>51</v>
      </c>
      <c r="H18" s="44">
        <v>176</v>
      </c>
      <c r="I18" s="44">
        <v>125</v>
      </c>
      <c r="J18" s="31" t="s">
        <v>189</v>
      </c>
      <c r="K18" s="44">
        <v>1</v>
      </c>
      <c r="L18" s="150" t="s">
        <v>51</v>
      </c>
      <c r="M18" s="151">
        <f t="shared" si="0"/>
        <v>65.471999999999994</v>
      </c>
      <c r="N18" s="152" t="str">
        <f>VLOOKUP(C18,'Trips&amp;Operators'!$C$1:$G$99999,5,FALSE)</f>
        <v>STAMBAUGH JAMES</v>
      </c>
      <c r="O18" s="176" t="s">
        <v>185</v>
      </c>
      <c r="P18" s="153"/>
      <c r="Q18" s="31"/>
      <c r="R18" s="96" t="str">
        <f>VLOOKUP(C18,'Train Runs'!$A$13:$AE$9978,31,0)</f>
        <v>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 &amp; aws s3 cp s3://rtdc.mdm.uploadarchive.raw/RTDC4012/ "%USERPROFILE%\AppData\Local\Temp\OnboardLogs"\RTDC4012\2017-01-30 --exclude "*" --recursive --include "*20170130*" &amp; "%USERPROFILE%\Documents\GitHub\mrs-test-scripts\Headless Mode &amp; Sideloading\WalkAndUnGZ.bat" "%USERPROFILE%\AppData\Local\Temp\OnboardLogs"\RTDC4012\2017-01-30</v>
      </c>
      <c r="S18" s="99" t="str">
        <f>VLOOKUP(C18,'Train Runs'!$A$13:$AE$9978,22,0)</f>
        <v>https://d0f6bd738d7f1b3e5a7ca70fe4ff75f0.us-east-1.aws.found.io/app/kibana#/discover/Steve-Slow-Train-Analysis-(2080s-and-2083s)?_g=(refreshInterval:(display:Off,pause:!f,section:0,value:0),time:(from:'2017-01-29T22:23:53-0700',mode:absolute,to:'2017-01-30T01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101" t="str">
        <f t="shared" si="1"/>
        <v>"C:\Program Files (x86)\AstroGrep\AstroGrep.exe" /spath="%USERPROFILE%\AppData\Local\Temp\OnboardLogs" /stypes="*4012*201701300*" /stext=" 07:.+((SYSTEM_STATE.+slice.+state.+changed )|(ment ac)|(multiple cpu faults)|(system.+state.+changed )|(\[timeout)|(PRM\|1\|D)|(kpr)|(kdp)|(\|lc)|(penalty))" /e /r /s</v>
      </c>
      <c r="U18" s="9" t="str">
        <f t="shared" si="2"/>
        <v>4012</v>
      </c>
      <c r="V18" s="33">
        <f t="shared" si="3"/>
        <v>42765.294062499997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{"issue":{"subject":"","project_id":79,"tracker_id":40,"status_id":1,"priority_id":2,"assigned_to_id":23,"start_date":"2017-01-30","description":"","custom_fields":[{"id":1,"name":"Subdivision","value":"EC"},{"id":4,"name":"Milepost","value":"0.0001"},{"id":17,"name":"Train ID","value":"236-29"},{"id":16,"name":"Locomotive ID","value":"4012"},{"id":130,"name":"Impact","value":""},{"id":150,"name":"Time of Event (Mountain Time)","value":"00:03:27"},{"id":151,"name":"Denver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"%USERPROFILE%\AppData\Local\Temp\OnboardLogs"\RTDC4012\*4012*201701300*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"%USERPROFILE%\AppData\Local\Temp\OnboardLogs"\RTDC4012\*4012*201701300* &gt;&gt; 2017-01-29-SliceDisagreementCheck.txt</v>
      </c>
      <c r="AE18" s="180" t="str">
        <f t="shared" si="8"/>
        <v>start /low /b %USERPROFILE%\Documents\GitHub\eaglep3\Utilities\DownloadLogsFromS3.py --loco 4012 --day 2017-01-30</v>
      </c>
      <c r="AF18" s="1"/>
    </row>
    <row r="19" spans="1:32" x14ac:dyDescent="0.25">
      <c r="A19" s="33">
        <v>42765.026030092595</v>
      </c>
      <c r="B19" s="31" t="s">
        <v>475</v>
      </c>
      <c r="C19" s="31" t="s">
        <v>476</v>
      </c>
      <c r="D19" s="31" t="s">
        <v>49</v>
      </c>
      <c r="E19" s="31" t="s">
        <v>188</v>
      </c>
      <c r="F19" s="44">
        <v>0</v>
      </c>
      <c r="G19" s="44">
        <v>16</v>
      </c>
      <c r="H19" s="44">
        <v>12</v>
      </c>
      <c r="I19" s="44">
        <v>39</v>
      </c>
      <c r="J19" s="31" t="s">
        <v>189</v>
      </c>
      <c r="K19" s="44">
        <v>1</v>
      </c>
      <c r="L19" s="150" t="s">
        <v>51</v>
      </c>
      <c r="M19" s="151">
        <f t="shared" si="0"/>
        <v>20.064</v>
      </c>
      <c r="N19" s="152" t="str">
        <f>VLOOKUP(C19,'Trips&amp;Operators'!$C$1:$G$99999,5,FALSE)</f>
        <v>CHANDLER KELVIN</v>
      </c>
      <c r="O19" s="176" t="s">
        <v>185</v>
      </c>
      <c r="P19" s="153"/>
      <c r="Q19" s="31"/>
      <c r="R19" s="96" t="str">
        <f>VLOOKUP(C19,'Train Runs'!$A$13:$AE$9978,31,0)</f>
        <v>aws s3 cp s3://rtdc.mdm.uploadarchive.raw/RTDC4008/ "%USERPROFILE%\AppData\Local\Temp\OnboardLogs"\RTDC4008\2017-01-29 --exclude "*" --recursive --include "*20170129*" &amp; "%USERPROFILE%\Documents\GitHub\mrs-test-scripts\Headless Mode &amp; Sideloading\WalkAndUnGZ.bat" "%USERPROFILE%\AppData\Local\Temp\OnboardLogs"\RTDC4008\2017-01-29 &amp; aws s3 cp s3://rtdc.mdm.uploadarchive.raw/RTDC4008/ "%USERPROFILE%\AppData\Local\Temp\OnboardLogs"\RTDC4008\2017-01-30 --exclude "*" --recursive --include "*20170130*" &amp; "%USERPROFILE%\Documents\GitHub\mrs-test-scripts\Headless Mode &amp; Sideloading\WalkAndUnGZ.bat" "%USERPROFILE%\AppData\Local\Temp\OnboardLogs"\RTDC4008\2017-01-30</v>
      </c>
      <c r="S19" s="99" t="str">
        <f>VLOOKUP(C19,'Train Runs'!$A$13:$AE$9978,22,0)</f>
        <v>https://d0f6bd738d7f1b3e5a7ca70fe4ff75f0.us-east-1.aws.found.io/app/kibana#/discover/Steve-Slow-Train-Analysis-(2080s-and-2083s)?_g=(refreshInterval:(display:Off,pause:!f,section:0,value:0),time:(from:'2017-01-29T22:52:07-0700',mode:absolute,to:'2017-01-30T01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9" s="101" t="str">
        <f t="shared" si="1"/>
        <v>"C:\Program Files (x86)\AstroGrep\AstroGrep.exe" /spath="%USERPROFILE%\AppData\Local\Temp\OnboardLogs" /stypes="*4008*201701300*" /stext=" 07:.+((SYSTEM_STATE.+slice.+state.+changed )|(ment ac)|(multiple cpu faults)|(system.+state.+changed )|(\[timeout)|(PRM\|1\|D)|(kpr)|(kdp)|(\|lc)|(penalty))" /e /r /s</v>
      </c>
      <c r="U19" s="9" t="str">
        <f t="shared" si="2"/>
        <v>4008</v>
      </c>
      <c r="V19" s="33">
        <f t="shared" si="3"/>
        <v>42765.317696759259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{"issue":{"subject":"","project_id":79,"tracker_id":40,"status_id":1,"priority_id":2,"assigned_to_id":23,"start_date":"2017-01-30","description":"","custom_fields":[{"id":1,"name":"Subdivision","value":"EC"},{"id":4,"name":"Milepost","value":"0.0001"},{"id":17,"name":"Train ID","value":"238-29"},{"id":16,"name":"Locomotive ID","value":"4008"},{"id":130,"name":"Impact","value":""},{"id":150,"name":"Time of Event (Mountain Time)","value":"00:37:29"},{"id":151,"name":"Denver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"%USERPROFILE%\AppData\Local\Temp\OnboardLogs"\RTDC4008\*4008*201701300*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"%USERPROFILE%\AppData\Local\Temp\OnboardLogs"\RTDC4008\*4008*201701300* &gt;&gt; 2017-01-29-SliceDisagreementCheck.txt</v>
      </c>
      <c r="AE19" s="180" t="str">
        <f t="shared" si="8"/>
        <v>start /low /b %USERPROFILE%\Documents\GitHub\eaglep3\Utilities\DownloadLogsFromS3.py --loco 4008 --day 2017-01-30</v>
      </c>
      <c r="AF19" s="1"/>
    </row>
    <row r="20" spans="1:32" x14ac:dyDescent="0.25">
      <c r="A20" s="33">
        <v>42764.20349537037</v>
      </c>
      <c r="B20" s="31" t="s">
        <v>261</v>
      </c>
      <c r="C20" s="31" t="s">
        <v>455</v>
      </c>
      <c r="D20" s="31" t="s">
        <v>49</v>
      </c>
      <c r="E20" s="31" t="s">
        <v>188</v>
      </c>
      <c r="F20" s="44">
        <v>0</v>
      </c>
      <c r="G20" s="44">
        <v>69</v>
      </c>
      <c r="H20" s="44">
        <v>233213</v>
      </c>
      <c r="I20" s="44">
        <v>233283</v>
      </c>
      <c r="J20" s="31" t="s">
        <v>189</v>
      </c>
      <c r="K20" s="44">
        <v>233491</v>
      </c>
      <c r="L20" s="150" t="s">
        <v>50</v>
      </c>
      <c r="M20" s="151">
        <f t="shared" si="0"/>
        <v>109.824</v>
      </c>
      <c r="N20" s="152" t="str">
        <f>VLOOKUP(C20,'Trips&amp;Operators'!$C$1:$G$99999,5,FALSE)</f>
        <v>PERKINS DARREN</v>
      </c>
      <c r="O20" s="176" t="s">
        <v>185</v>
      </c>
      <c r="P20" s="153"/>
      <c r="Q20" s="31"/>
      <c r="R20" s="96" t="str">
        <f>VLOOKUP(C20,'Train Runs'!$A$13:$AE$9978,31,0)</f>
        <v>aws s3 cp s3://rtdc.mdm.uploadarchive.raw/RTDC4025/ "%USERPROFILE%\AppData\Local\Temp\OnboardLogs"\RTDC4025\2017-01-29 --exclude "*" --recursive --include "*20170129*" &amp; "%USERPROFILE%\Documents\GitHub\mrs-test-scripts\Headless Mode &amp; Sideloading\WalkAndUnGZ.bat" "%USERPROFILE%\AppData\Local\Temp\OnboardLogs"\RTDC4025\2017-01-29 &amp; 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</v>
      </c>
      <c r="S20" s="99" t="str">
        <f>VLOOKUP(C20,'Train Runs'!$A$13:$AE$9978,22,0)</f>
        <v>https://d0f6bd738d7f1b3e5a7ca70fe4ff75f0.us-east-1.aws.found.io/app/kibana#/discover/Steve-Slow-Train-Analysis-(2080s-and-2083s)?_g=(refreshInterval:(display:Off,pause:!f,section:0,value:0),time:(from:'2017-01-29T03:04:22-0700',mode:absolute,to:'2017-01-29T05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101" t="str">
        <f t="shared" si="1"/>
        <v>"C:\Program Files (x86)\AstroGrep\AstroGrep.exe" /spath="%USERPROFILE%\AppData\Local\Temp\OnboardLogs" /stypes="*4025*201701291*" /stext=" 11:.+((SYSTEM_STATE.+slice.+state.+changed )|(ment ac)|(multiple cpu faults)|(system.+state.+changed )|(\[timeout)|(PRM\|1\|D)|(kpr)|(kdp)|(\|lc)|(penalty))" /e /r /s</v>
      </c>
      <c r="U20" s="9" t="str">
        <f t="shared" si="2"/>
        <v>4025</v>
      </c>
      <c r="V20" s="33">
        <f t="shared" si="3"/>
        <v>42764.495162037034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{"issue":{"subject":"","project_id":79,"tracker_id":40,"status_id":1,"priority_id":2,"assigned_to_id":23,"start_date":"2017-01-29","description":"","custom_fields":[{"id":1,"name":"Subdivision","value":"EC"},{"id":4,"name":"Milepost","value":"23.3491"},{"id":17,"name":"Train ID","value":"105-29"},{"id":16,"name":"Locomotive ID","value":"4025"},{"id":130,"name":"Impact","value":""},{"id":150,"name":"Time of Event (Mountain Time)","value":"04:53:02"},{"id":151,"name":"Denver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"%USERPROFILE%\AppData\Local\Temp\OnboardLogs"\RTDC4025\*4025*201701291*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"%USERPROFILE%\AppData\Local\Temp\OnboardLogs"\RTDC4025\*4025*201701291* &gt;&gt; 2017-01-29-SliceDisagreementCheck.txt</v>
      </c>
      <c r="AE20" s="180" t="str">
        <f t="shared" si="8"/>
        <v>start /low /b %USERPROFILE%\Documents\GitHub\eaglep3\Utilities\DownloadLogsFromS3.py --loco 4025 --day 2017-01-29</v>
      </c>
      <c r="AF20" s="1"/>
    </row>
    <row r="21" spans="1:32" x14ac:dyDescent="0.25">
      <c r="A21" s="33">
        <v>42764.405173611114</v>
      </c>
      <c r="B21" s="31" t="s">
        <v>302</v>
      </c>
      <c r="C21" s="31" t="s">
        <v>459</v>
      </c>
      <c r="D21" s="31" t="s">
        <v>98</v>
      </c>
      <c r="E21" s="31" t="s">
        <v>222</v>
      </c>
      <c r="F21" s="44">
        <v>150</v>
      </c>
      <c r="G21" s="44">
        <v>201</v>
      </c>
      <c r="H21" s="44">
        <v>56959</v>
      </c>
      <c r="I21" s="44">
        <v>56600</v>
      </c>
      <c r="J21" s="31" t="s">
        <v>223</v>
      </c>
      <c r="K21" s="44">
        <v>59050</v>
      </c>
      <c r="L21" s="150" t="s">
        <v>51</v>
      </c>
      <c r="M21" s="151">
        <f t="shared" si="0"/>
        <v>-1293.5999999999999</v>
      </c>
      <c r="N21" s="152" t="str">
        <f>VLOOKUP(C21,'Trips&amp;Operators'!$C$1:$G$99999,5,FALSE)</f>
        <v>YORK EDGAR</v>
      </c>
      <c r="O21" s="176" t="s">
        <v>185</v>
      </c>
      <c r="P21" s="153"/>
      <c r="Q21" s="31"/>
      <c r="R21" s="96" t="str">
        <f>VLOOKUP(C21,'Train Runs'!$A$13:$AE$9978,31,0)</f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S21" s="99" t="str">
        <f>VLOOKUP(C21,'Train Runs'!$A$13:$AE$9978,22,0)</f>
        <v>https://d0f6bd738d7f1b3e5a7ca70fe4ff75f0.us-east-1.aws.found.io/app/kibana#/discover/Steve-Slow-Train-Analysis-(2080s-and-2083s)?_g=(refreshInterval:(display:Off,pause:!f,section:0,value:0),time:(from:'2017-01-29T08:37:58-0700',mode:absolute,to:'2017-01-29T10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101" t="str">
        <f t="shared" si="1"/>
        <v>"C:\Program Files (x86)\AstroGrep\AstroGrep.exe" /spath="%USERPROFILE%\AppData\Local\Temp\OnboardLogs" /stypes="*4041*201701291*" /stext=" 16:.+((SYSTEM_STATE.+slice.+state.+changed )|(ment ac)|(multiple cpu faults)|(system.+state.+changed )|(\[timeout)|(PRM\|1\|D)|(kpr)|(kdp)|(\|lc)|(penalty))" /e /r /s</v>
      </c>
      <c r="U21" s="9" t="str">
        <f t="shared" si="2"/>
        <v>4041</v>
      </c>
      <c r="V21" s="33">
        <f t="shared" si="3"/>
        <v>42764.696840277778</v>
      </c>
      <c r="W21" s="47" t="str">
        <f t="shared" si="4"/>
        <v>NW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{"issue":{"subject":"","project_id":79,"tracker_id":40,"status_id":1,"priority_id":2,"assigned_to_id":23,"start_date":"2017-01-29","description":"","custom_fields":[{"id":1,"name":"Subdivision","value":"NW"},{"id":4,"name":"Milepost","value":"5.905"},{"id":17,"name":"Train ID","value":"1808-29"},{"id":16,"name":"Locomotive ID","value":"4041"},{"id":130,"name":"Impact","value":""},{"id":150,"name":"Time of Event (Mountain Time)","value":"09:43:27"},{"id":151,"name":"Denver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"%USERPROFILE%\AppData\Local\Temp\OnboardLogs"\RTDC4041\*4041*201701291*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"%USERPROFILE%\AppData\Local\Temp\OnboardLogs"\RTDC4041\*4041*201701291* &gt;&gt; 2017-01-29-SliceDisagreementCheck.txt</v>
      </c>
      <c r="AE21" s="180" t="str">
        <f t="shared" si="8"/>
        <v>start /low /b %USERPROFILE%\Documents\GitHub\eaglep3\Utilities\DownloadLogsFromS3.py --loco 4041 --day 2017-01-29</v>
      </c>
      <c r="AF21" s="1"/>
    </row>
    <row r="22" spans="1:32" ht="15" customHeight="1" x14ac:dyDescent="0.25">
      <c r="A22" s="33">
        <v>42764.537997685184</v>
      </c>
      <c r="B22" s="31" t="s">
        <v>302</v>
      </c>
      <c r="C22" s="31" t="s">
        <v>464</v>
      </c>
      <c r="D22" s="31" t="s">
        <v>49</v>
      </c>
      <c r="E22" s="31" t="s">
        <v>188</v>
      </c>
      <c r="F22" s="44">
        <v>0</v>
      </c>
      <c r="G22" s="44">
        <v>41</v>
      </c>
      <c r="H22" s="44">
        <v>712</v>
      </c>
      <c r="I22" s="44">
        <v>691</v>
      </c>
      <c r="J22" s="31" t="s">
        <v>189</v>
      </c>
      <c r="K22" s="44">
        <v>575</v>
      </c>
      <c r="L22" s="150" t="s">
        <v>51</v>
      </c>
      <c r="M22" s="151">
        <f t="shared" si="0"/>
        <v>61.247999999999998</v>
      </c>
      <c r="N22" s="152" t="str">
        <f>VLOOKUP(C22,'Trips&amp;Operators'!$C$1:$G$99999,5,FALSE)</f>
        <v>YORK EDGAR</v>
      </c>
      <c r="O22" s="176" t="s">
        <v>185</v>
      </c>
      <c r="P22" s="153"/>
      <c r="Q22" s="31"/>
      <c r="R22" s="96" t="str">
        <f>VLOOKUP(C22,'Train Runs'!$A$13:$AE$9978,31,0)</f>
        <v>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 &amp; 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</v>
      </c>
      <c r="S22" s="99" t="str">
        <f>VLOOKUP(C22,'Train Runs'!$A$13:$AE$9978,22,0)</f>
        <v>https://d0f6bd738d7f1b3e5a7ca70fe4ff75f0.us-east-1.aws.found.io/app/kibana#/discover/Steve-Slow-Train-Analysis-(2080s-and-2083s)?_g=(refreshInterval:(display:Off,pause:!f,section:0,value:0),time:(from:'2017-01-29T11:36:28-0700',mode:absolute,to:'2017-01-29T13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101" t="str">
        <f t="shared" si="1"/>
        <v>"C:\Program Files (x86)\AstroGrep\AstroGrep.exe" /spath="%USERPROFILE%\AppData\Local\Temp\OnboardLogs" /stypes="*4041*201701291*" /stext=" 19:.+((SYSTEM_STATE.+slice.+state.+changed )|(ment ac)|(multiple cpu faults)|(system.+state.+changed )|(\[timeout)|(PRM\|1\|D)|(kpr)|(kdp)|(\|lc)|(penalty))" /e /r /s</v>
      </c>
      <c r="U22" s="9" t="str">
        <f t="shared" si="2"/>
        <v>4041</v>
      </c>
      <c r="V22" s="33">
        <f t="shared" si="3"/>
        <v>42764.829664351848</v>
      </c>
      <c r="W22" s="47" t="str">
        <f t="shared" si="4"/>
        <v>NW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{"issue":{"subject":"","project_id":79,"tracker_id":40,"status_id":1,"priority_id":2,"assigned_to_id":23,"start_date":"2017-01-29","description":"","custom_fields":[{"id":1,"name":"Subdivision","value":"NW"},{"id":4,"name":"Milepost","value":"0.0575"},{"id":17,"name":"Train ID","value":"1814-29"},{"id":16,"name":"Locomotive ID","value":"4041"},{"id":130,"name":"Impact","value":""},{"id":150,"name":"Time of Event (Mountain Time)","value":"12:54:43"},{"id":151,"name":"Denver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"%USERPROFILE%\AppData\Local\Temp\OnboardLogs"\RTDC4041\*4041*201701291*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"%USERPROFILE%\AppData\Local\Temp\OnboardLogs"\RTDC4041\*4041*201701291* &gt;&gt; 2017-01-29-SliceDisagreementCheck.txt</v>
      </c>
      <c r="AE22" s="180" t="str">
        <f t="shared" si="8"/>
        <v>start /low /b %USERPROFILE%\Documents\GitHub\eaglep3\Utilities\DownloadLogsFromS3.py --loco 4041 --day 2017-01-29</v>
      </c>
      <c r="AF22" s="1"/>
    </row>
    <row r="23" spans="1:32" x14ac:dyDescent="0.25">
      <c r="A23" s="33">
        <v>42764.523912037039</v>
      </c>
      <c r="B23" s="31" t="s">
        <v>304</v>
      </c>
      <c r="C23" s="31" t="s">
        <v>463</v>
      </c>
      <c r="D23" s="31" t="s">
        <v>49</v>
      </c>
      <c r="E23" s="31" t="s">
        <v>188</v>
      </c>
      <c r="F23" s="44">
        <v>0</v>
      </c>
      <c r="G23" s="44">
        <v>48</v>
      </c>
      <c r="H23" s="44">
        <v>58928</v>
      </c>
      <c r="I23" s="44">
        <v>58965</v>
      </c>
      <c r="J23" s="31" t="s">
        <v>189</v>
      </c>
      <c r="K23" s="44">
        <v>59048</v>
      </c>
      <c r="L23" s="150" t="s">
        <v>50</v>
      </c>
      <c r="M23" s="151">
        <f t="shared" si="0"/>
        <v>43.823999999999998</v>
      </c>
      <c r="N23" s="152" t="str">
        <f>VLOOKUP(C23,'Trips&amp;Operators'!$C$1:$G$99999,5,FALSE)</f>
        <v>YORK EDGAR</v>
      </c>
      <c r="O23" s="176" t="s">
        <v>185</v>
      </c>
      <c r="P23" s="153"/>
      <c r="Q23" s="31"/>
      <c r="R23" s="96" t="str">
        <f>VLOOKUP(C23,'Train Runs'!$A$13:$AE$9978,31,0)</f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S23" s="99" t="str">
        <f>VLOOKUP(C23,'Train Runs'!$A$13:$AE$9978,22,0)</f>
        <v>https://d0f6bd738d7f1b3e5a7ca70fe4ff75f0.us-east-1.aws.found.io/app/kibana#/discover/Steve-Slow-Train-Analysis-(2080s-and-2083s)?_g=(refreshInterval:(display:Off,pause:!f,section:0,value:0),time:(from:'2017-01-29T10:56:24-0700',mode:absolute,to:'2017-01-29T13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3" s="101" t="str">
        <f t="shared" si="1"/>
        <v>"C:\Program Files (x86)\AstroGrep\AstroGrep.exe" /spath="%USERPROFILE%\AppData\Local\Temp\OnboardLogs" /stypes="*4042*201701291*" /stext=" 19:.+((SYSTEM_STATE.+slice.+state.+changed )|(ment ac)|(multiple cpu faults)|(system.+state.+changed )|(\[timeout)|(PRM\|1\|D)|(kpr)|(kdp)|(\|lc)|(penalty))" /e /r /s</v>
      </c>
      <c r="U23" s="9" t="str">
        <f t="shared" si="2"/>
        <v>4042</v>
      </c>
      <c r="V23" s="33">
        <f t="shared" si="3"/>
        <v>42764.815578703703</v>
      </c>
      <c r="W23" s="47" t="str">
        <f t="shared" si="4"/>
        <v>NW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{"issue":{"subject":"","project_id":79,"tracker_id":40,"status_id":1,"priority_id":2,"assigned_to_id":23,"start_date":"2017-01-29","description":"","custom_fields":[{"id":1,"name":"Subdivision","value":"NW"},{"id":4,"name":"Milepost","value":"5.9048"},{"id":17,"name":"Train ID","value":"1813-29"},{"id":16,"name":"Locomotive ID","value":"4042"},{"id":130,"name":"Impact","value":""},{"id":150,"name":"Time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"%USERPROFILE%\AppData\Local\Temp\OnboardLogs"\RTDC4042\*4042*201701291*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"%USERPROFILE%\AppData\Local\Temp\OnboardLogs"\RTDC4042\*4042*201701291* &gt;&gt; 2017-01-29-SliceDisagreementCheck.txt</v>
      </c>
      <c r="AE23" s="180" t="str">
        <f t="shared" si="8"/>
        <v>start /low /b %USERPROFILE%\Documents\GitHub\eaglep3\Utilities\DownloadLogsFromS3.py --loco 4042 --day 2017-01-29</v>
      </c>
      <c r="AF23" s="1"/>
    </row>
    <row r="24" spans="1:32" x14ac:dyDescent="0.25">
      <c r="A24" s="33">
        <v>42764.691724537035</v>
      </c>
      <c r="B24" s="31" t="s">
        <v>304</v>
      </c>
      <c r="C24" s="31" t="s">
        <v>468</v>
      </c>
      <c r="D24" s="31" t="s">
        <v>49</v>
      </c>
      <c r="E24" s="31" t="s">
        <v>188</v>
      </c>
      <c r="F24" s="44">
        <v>0</v>
      </c>
      <c r="G24" s="44">
        <v>45</v>
      </c>
      <c r="H24" s="44">
        <v>58954</v>
      </c>
      <c r="I24" s="44">
        <v>58988</v>
      </c>
      <c r="J24" s="31" t="s">
        <v>189</v>
      </c>
      <c r="K24" s="44">
        <v>59048</v>
      </c>
      <c r="L24" s="150" t="s">
        <v>50</v>
      </c>
      <c r="M24" s="151">
        <f t="shared" si="0"/>
        <v>31.68</v>
      </c>
      <c r="N24" s="152" t="str">
        <f>VLOOKUP(C24,'Trips&amp;Operators'!$C$1:$G$99999,5,FALSE)</f>
        <v>HELVIE ADAM</v>
      </c>
      <c r="O24" s="176" t="s">
        <v>185</v>
      </c>
      <c r="P24" s="153"/>
      <c r="Q24" s="31"/>
      <c r="R24" s="96" t="str">
        <f>VLOOKUP(C24,'Train Runs'!$A$13:$AE$9978,31,0)</f>
        <v>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 &amp; 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</v>
      </c>
      <c r="S24" s="99" t="str">
        <f>VLOOKUP(C24,'Train Runs'!$A$13:$AE$9978,22,0)</f>
        <v>https://d0f6bd738d7f1b3e5a7ca70fe4ff75f0.us-east-1.aws.found.io/app/kibana#/discover/Steve-Slow-Train-Analysis-(2080s-and-2083s)?_g=(refreshInterval:(display:Off,pause:!f,section:0,value:0),time:(from:'2017-01-29T15:18:25-0700',mode:absolute,to:'2017-01-29T17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4" s="101" t="str">
        <f t="shared" si="1"/>
        <v>"C:\Program Files (x86)\AstroGrep\AstroGrep.exe" /spath="%USERPROFILE%\AppData\Local\Temp\OnboardLogs" /stypes="*4042*201701292*" /stext=" 23:.+((SYSTEM_STATE.+slice.+state.+changed )|(ment ac)|(multiple cpu faults)|(system.+state.+changed )|(\[timeout)|(PRM\|1\|D)|(kpr)|(kdp)|(\|lc)|(penalty))" /e /r /s</v>
      </c>
      <c r="U24" s="9" t="str">
        <f t="shared" si="2"/>
        <v>4042</v>
      </c>
      <c r="V24" s="33">
        <f t="shared" si="3"/>
        <v>42764.983391203699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{"issue":{"subject":"","project_id":79,"tracker_id":40,"status_id":1,"priority_id":2,"assigned_to_id":23,"start_date":"2017-01-29","description":"","custom_fields":[{"id":1,"name":"Subdivision","value":"NW"},{"id":4,"name":"Milepost","value":"5.9048"},{"id":17,"name":"Train ID","value":"1821-29"},{"id":16,"name":"Locomotive ID","value":"4042"},{"id":130,"name":"Impact","value":""},{"id":150,"name":"Time of Event (Mountain Time)","value":"16:36:05"},{"id":151,"name":"Denver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"%USERPROFILE%\AppData\Local\Temp\OnboardLogs"\RTDC4042\*4042*201701292*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"%USERPROFILE%\AppData\Local\Temp\OnboardLogs"\RTDC4042\*4042*201701292* &gt;&gt; 2017-01-29-SliceDisagreementCheck.txt</v>
      </c>
      <c r="AE24" s="180" t="str">
        <f t="shared" si="8"/>
        <v>start /low /b %USERPROFILE%\Documents\GitHub\eaglep3\Utilities\DownloadLogsFromS3.py --loco 4042 --day 2017-01-29</v>
      </c>
      <c r="AF24" s="1"/>
    </row>
    <row r="25" spans="1:32" x14ac:dyDescent="0.25">
      <c r="A25" s="33">
        <v>42764.746574074074</v>
      </c>
      <c r="B25" s="31" t="s">
        <v>296</v>
      </c>
      <c r="C25" s="31" t="s">
        <v>471</v>
      </c>
      <c r="D25" s="31" t="s">
        <v>98</v>
      </c>
      <c r="E25" s="31" t="s">
        <v>186</v>
      </c>
      <c r="F25" s="44">
        <v>0</v>
      </c>
      <c r="G25" s="44">
        <v>149</v>
      </c>
      <c r="H25" s="44">
        <v>23194</v>
      </c>
      <c r="I25" s="44">
        <v>23033</v>
      </c>
      <c r="J25" s="31" t="s">
        <v>187</v>
      </c>
      <c r="K25" s="44">
        <v>24161</v>
      </c>
      <c r="L25" s="150" t="s">
        <v>51</v>
      </c>
      <c r="M25" s="151">
        <f t="shared" si="0"/>
        <v>-595.58399999999995</v>
      </c>
      <c r="N25" s="152" t="str">
        <f>VLOOKUP(C25,'Trips&amp;Operators'!$C$1:$G$99999,5,FALSE)</f>
        <v>STAMBAUGH JAMES</v>
      </c>
      <c r="O25" s="176" t="s">
        <v>185</v>
      </c>
      <c r="P25" s="153"/>
      <c r="Q25" s="31"/>
      <c r="R25" s="96" t="str">
        <f>VLOOKUP(C25,'Train Runs'!$A$13:$AE$9978,31,0)</f>
        <v>aws s3 cp s3://rtdc.mdm.uploadarchive.raw/RTDC4004/ "%USERPROFILE%\AppData\Local\Temp\OnboardLogs"\RTDC4004\2017-01-29 --exclude "*" --recursive --include "*20170129*" &amp; "%USERPROFILE%\Documents\GitHub\mrs-test-scripts\Headless Mode &amp; Sideloading\WalkAndUnGZ.bat" "%USERPROFILE%\AppData\Local\Temp\OnboardLogs"\RTDC4004\2017-01-29 &amp; aws s3 cp s3://rtdc.mdm.uploadarchive.raw/RTDC4004/ "%USERPROFILE%\AppData\Local\Temp\OnboardLogs"\RTDC4004\2017-01-30 --exclude "*" --recursive --include "*20170130*" &amp; "%USERPROFILE%\Documents\GitHub\mrs-test-scripts\Headless Mode &amp; Sideloading\WalkAndUnGZ.bat" "%USERPROFILE%\AppData\Local\Temp\OnboardLogs"\RTDC4004\2017-01-30</v>
      </c>
      <c r="S25" s="99" t="str">
        <f>VLOOKUP(C25,'Train Runs'!$A$13:$AE$9978,22,0)</f>
        <v>https://d0f6bd738d7f1b3e5a7ca70fe4ff75f0.us-east-1.aws.found.io/app/kibana#/discover/Steve-Slow-Train-Analysis-(2080s-and-2083s)?_g=(refreshInterval:(display:Off,pause:!f,section:0,value:0),time:(from:'2017-01-29T16:52:32-0700',mode:absolute,to:'2017-01-29T18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101" t="str">
        <f t="shared" si="1"/>
        <v>"C:\Program Files (x86)\AstroGrep\AstroGrep.exe" /spath="%USERPROFILE%\AppData\Local\Temp\OnboardLogs" /stypes="*4004*201701300*" /stext=" 00:.+((SYSTEM_STATE.+slice.+state.+changed )|(ment ac)|(multiple cpu faults)|(system.+state.+changed )|(\[timeout)|(PRM\|1\|D)|(kpr)|(kdp)|(\|lc)|(penalty))" /e /r /s</v>
      </c>
      <c r="U25" s="9" t="str">
        <f t="shared" si="2"/>
        <v>4004</v>
      </c>
      <c r="V25" s="33">
        <f t="shared" si="3"/>
        <v>42765.038240740738</v>
      </c>
      <c r="W25" s="47" t="str">
        <f t="shared" si="4"/>
        <v>Other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{"issue":{"subject":"","project_id":79,"tracker_id":40,"status_id":1,"priority_id":2,"assigned_to_id":23,"start_date":"2017-01-29","description":"","custom_fields":[{"id":1,"name":"Subdivision","value":"Other"},{"id":4,"name":"Milepost","value":"2.4161"},{"id":17,"name":"Train ID","value":"56-29"},{"id":16,"name":"Locomotive ID","value":"4004"},{"id":130,"name":"Impact","value":""},{"id":150,"name":"Time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"%USERPROFILE%\AppData\Local\Temp\OnboardLogs"\RTDC4004\*4004*201701300*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"%USERPROFILE%\AppData\Local\Temp\OnboardLogs"\RTDC4004\*4004*201701300* &gt;&gt; 2017-01-29-SliceDisagreementCheck.txt</v>
      </c>
      <c r="AE25" s="180" t="str">
        <f t="shared" si="8"/>
        <v>start /low /b %USERPROFILE%\Documents\GitHub\eaglep3\Utilities\DownloadLogsFromS3.py --loco 4004 --day 2017-01-30</v>
      </c>
      <c r="AF25" s="1"/>
    </row>
    <row r="26" spans="1:32" x14ac:dyDescent="0.25">
      <c r="A26" s="33">
        <v>42764.460138888891</v>
      </c>
      <c r="B26" s="31" t="s">
        <v>296</v>
      </c>
      <c r="C26" s="31" t="s">
        <v>460</v>
      </c>
      <c r="D26" s="31" t="s">
        <v>98</v>
      </c>
      <c r="E26" s="31" t="s">
        <v>188</v>
      </c>
      <c r="F26" s="44">
        <v>0</v>
      </c>
      <c r="G26" s="44">
        <v>9</v>
      </c>
      <c r="H26" s="44">
        <v>1</v>
      </c>
      <c r="I26" s="44">
        <v>0</v>
      </c>
      <c r="J26" s="31" t="s">
        <v>189</v>
      </c>
      <c r="K26" s="44">
        <v>1</v>
      </c>
      <c r="L26" s="150" t="s">
        <v>51</v>
      </c>
      <c r="M26" s="151">
        <f t="shared" si="0"/>
        <v>-0.52800000000000002</v>
      </c>
      <c r="N26" s="152" t="str">
        <f>VLOOKUP(C26,'Trips&amp;Operators'!$C$1:$G$99999,5,FALSE)</f>
        <v>BRUDER RICHARD</v>
      </c>
      <c r="O26" s="176" t="s">
        <v>185</v>
      </c>
      <c r="P26" s="153"/>
      <c r="Q26" s="31"/>
      <c r="R26" s="96" t="str">
        <f>VLOOKUP(C26,'Train Runs'!$A$13:$AE$9978,31,0)</f>
        <v>aws s3 cp s3://rtdc.mdm.uploadarchive.raw/RTDC4004/ "%USERPROFILE%\AppData\Local\Temp\OnboardLogs"\RTDC4004\2017-01-29 --exclude "*" --recursive --include "*20170129*" &amp; "%USERPROFILE%\Documents\GitHub\mrs-test-scripts\Headless Mode &amp; Sideloading\WalkAndUnGZ.bat" "%USERPROFILE%\AppData\Local\Temp\OnboardLogs"\RTDC4004\2017-01-29 &amp; aws s3 cp s3://rtdc.mdm.uploadarchive.raw/RTDC4004/ "%USERPROFILE%\AppData\Local\Temp\OnboardLogs"\RTDC4004\2017-01-30 --exclude "*" --recursive --include "*20170130*" &amp; "%USERPROFILE%\Documents\GitHub\mrs-test-scripts\Headless Mode &amp; Sideloading\WalkAndUnGZ.bat" "%USERPROFILE%\AppData\Local\Temp\OnboardLogs"\RTDC4004\2017-01-30</v>
      </c>
      <c r="S26" s="99" t="str">
        <f>VLOOKUP(C26,'Train Runs'!$A$13:$AE$9978,22,0)</f>
        <v>https://d0f6bd738d7f1b3e5a7ca70fe4ff75f0.us-east-1.aws.found.io/app/kibana#/discover/Steve-Slow-Train-Analysis-(2080s-and-2083s)?_g=(refreshInterval:(display:Off,pause:!f,section:0,value:0),time:(from:'2017-01-29T09:44:28-0700',mode:absolute,to:'2017-01-29T12:02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6" s="101" t="str">
        <f t="shared" si="1"/>
        <v>"C:\Program Files (x86)\AstroGrep\AstroGrep.exe" /spath="%USERPROFILE%\AppData\Local\Temp\OnboardLogs" /stypes="*4004*201701291*" /stext=" 18:.+((SYSTEM_STATE.+slice.+state.+changed )|(ment ac)|(multiple cpu faults)|(system.+state.+changed )|(\[timeout)|(PRM\|1\|D)|(kpr)|(kdp)|(\|lc)|(penalty))" /e /r /s</v>
      </c>
      <c r="U26" s="9" t="str">
        <f t="shared" si="2"/>
        <v>4004</v>
      </c>
      <c r="V26" s="33">
        <f t="shared" si="3"/>
        <v>42764.751805555556</v>
      </c>
      <c r="W26" s="47" t="str">
        <f t="shared" si="4"/>
        <v>Other</v>
      </c>
      <c r="X26" s="47" t="str">
        <f t="shared" si="5"/>
        <v>OMIT</v>
      </c>
      <c r="Y26" s="115" t="str">
        <f t="shared" si="6"/>
        <v>echo {"issue":{"subject":"","project_id":79,"tracker_id":40,"status_id":1,"priority_id":2,"assigned_to_id":23,"start_date":"2017-01-29","description":"","custom_fields":[{"id":1,"name":"Subdivision","value":"Other"},{"id":4,"name":"Milepost","value":"0.0001"},{"id":17,"name":"Train ID","value":"50-29"},{"id":16,"name":"Locomotive ID","value":"4004"},{"id":130,"name":"Impact","value":""},{"id":150,"name":"Time of Event (Mountain Time)","value":"11:02:36"},{"id":151,"name":"Denver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"%USERPROFILE%\AppData\Local\Temp\OnboardLogs"\RTDC4004\*4004*201701291*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"%USERPROFILE%\AppData\Local\Temp\OnboardLogs"\RTDC4004\*4004*201701291* &gt;&gt; 2017-01-29-SliceDisagreementCheck.txt</v>
      </c>
      <c r="AE26" s="180" t="str">
        <f t="shared" si="8"/>
        <v>start /low /b %USERPROFILE%\Documents\GitHub\eaglep3\Utilities\DownloadLogsFromS3.py --loco 4004 --day 2017-01-29</v>
      </c>
      <c r="AF26" s="1"/>
    </row>
    <row r="27" spans="1:32" x14ac:dyDescent="0.25">
      <c r="A27" s="33">
        <v>42764.702719907407</v>
      </c>
      <c r="B27" s="31" t="s">
        <v>296</v>
      </c>
      <c r="C27" s="31" t="s">
        <v>469</v>
      </c>
      <c r="D27" s="31" t="s">
        <v>98</v>
      </c>
      <c r="E27" s="31" t="s">
        <v>188</v>
      </c>
      <c r="F27" s="44">
        <v>0</v>
      </c>
      <c r="G27" s="44">
        <v>6</v>
      </c>
      <c r="H27" s="44">
        <v>1</v>
      </c>
      <c r="I27" s="44">
        <v>0</v>
      </c>
      <c r="J27" s="31" t="s">
        <v>189</v>
      </c>
      <c r="K27" s="44">
        <v>1</v>
      </c>
      <c r="L27" s="150" t="s">
        <v>51</v>
      </c>
      <c r="M27" s="151">
        <f t="shared" si="0"/>
        <v>-0.52800000000000002</v>
      </c>
      <c r="N27" s="152" t="str">
        <f>VLOOKUP(C27,'Trips&amp;Operators'!$C$1:$G$99999,5,FALSE)</f>
        <v>CHANDLER KELVIN</v>
      </c>
      <c r="O27" s="176" t="s">
        <v>185</v>
      </c>
      <c r="P27" s="153"/>
      <c r="Q27" s="31"/>
      <c r="R27" s="96" t="str">
        <f>VLOOKUP(C27,'Train Runs'!$A$13:$AE$9978,31,0)</f>
        <v>aws s3 cp s3://rtdc.mdm.uploadarchive.raw/RTDC4004/ "%USERPROFILE%\AppData\Local\Temp\OnboardLogs"\RTDC4004\2017-01-29 --exclude "*" --recursive --include "*20170129*" &amp; "%USERPROFILE%\Documents\GitHub\mrs-test-scripts\Headless Mode &amp; Sideloading\WalkAndUnGZ.bat" "%USERPROFILE%\AppData\Local\Temp\OnboardLogs"\RTDC4004\2017-01-29 &amp; aws s3 cp s3://rtdc.mdm.uploadarchive.raw/RTDC4004/ "%USERPROFILE%\AppData\Local\Temp\OnboardLogs"\RTDC4004\2017-01-30 --exclude "*" --recursive --include "*20170130*" &amp; "%USERPROFILE%\Documents\GitHub\mrs-test-scripts\Headless Mode &amp; Sideloading\WalkAndUnGZ.bat" "%USERPROFILE%\AppData\Local\Temp\OnboardLogs"\RTDC4004\2017-01-30</v>
      </c>
      <c r="S27" s="99" t="str">
        <f>VLOOKUP(C27,'Train Runs'!$A$13:$AE$9978,22,0)</f>
        <v>https://d0f6bd738d7f1b3e5a7ca70fe4ff75f0.us-east-1.aws.found.io/app/kibana#/discover/Steve-Slow-Train-Analysis-(2080s-and-2083s)?_g=(refreshInterval:(display:Off,pause:!f,section:0,value:0),time:(from:'2017-01-29T15:40:02-0700',mode:absolute,to:'2017-01-29T17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101" t="str">
        <f t="shared" si="1"/>
        <v>"C:\Program Files (x86)\AstroGrep\AstroGrep.exe" /spath="%USERPROFILE%\AppData\Local\Temp\OnboardLogs" /stypes="*4004*201701292*" /stext=" 23:.+((SYSTEM_STATE.+slice.+state.+changed )|(ment ac)|(multiple cpu faults)|(system.+state.+changed )|(\[timeout)|(PRM\|1\|D)|(kpr)|(kdp)|(\|lc)|(penalty))" /e /r /s</v>
      </c>
      <c r="U27" s="9" t="str">
        <f t="shared" si="2"/>
        <v>4004</v>
      </c>
      <c r="V27" s="33">
        <f t="shared" si="3"/>
        <v>42764.994386574072</v>
      </c>
      <c r="W27" s="47" t="str">
        <f t="shared" si="4"/>
        <v>Other</v>
      </c>
      <c r="X27" s="47" t="str">
        <f t="shared" si="5"/>
        <v>OMIT</v>
      </c>
      <c r="Y27" s="115" t="str">
        <f t="shared" si="6"/>
        <v>echo {"issue":{"subject":"","project_id":79,"tracker_id":40,"status_id":1,"priority_id":2,"assigned_to_id":23,"start_date":"2017-01-29","description":"","custom_fields":[{"id":1,"name":"Subdivision","value":"Other"},{"id":4,"name":"Milepost","value":"0.0001"},{"id":17,"name":"Train ID","value":"52-29"},{"id":16,"name":"Locomotive ID","value":"4004"},{"id":130,"name":"Impact","value":""},{"id":150,"name":"Time of Event (Mountain Time)","value":"16:51:55"},{"id":151,"name":"Denver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"%USERPROFILE%\AppData\Local\Temp\OnboardLogs"\RTDC4004\*4004*201701292*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"%USERPROFILE%\AppData\Local\Temp\OnboardLogs"\RTDC4004\*4004*201701292* &gt;&gt; 2017-01-29-SliceDisagreementCheck.txt</v>
      </c>
      <c r="AE27" s="180" t="str">
        <f t="shared" si="8"/>
        <v>start /low /b %USERPROFILE%\Documents\GitHub\eaglep3\Utilities\DownloadLogsFromS3.py --loco 4004 --day 2017-01-29</v>
      </c>
      <c r="AF27" s="1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</sheetData>
  <autoFilter ref="A6:AC36">
    <sortState ref="A7:AC36">
      <sortCondition ref="V6:V36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66:O1048576 O7:O2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7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1"/>
  <sheetViews>
    <sheetView workbookViewId="0">
      <selection activeCell="A3" sqref="A3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2017-01-29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/>
      <c r="B3" s="44" t="str">
        <f>A3&amp;"-"&amp;IF(DAY(Variables!$A$2)&lt;10,0,"")&amp;DAY(Variables!$A$2)</f>
        <v>-29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1" t="e">
        <f>VLOOKUP(B3,'Train Runs'!$A$13:$A$99975,1,FALSE)</f>
        <v>#N/A</v>
      </c>
    </row>
    <row r="4" spans="1:10" x14ac:dyDescent="0.25">
      <c r="A4" s="164"/>
      <c r="B4" s="44" t="str">
        <f>A4&amp;"-"&amp;IF(DAY(Variables!$A$2)&lt;10,0,"")&amp;DAY(Variables!$A$2)</f>
        <v>-29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1" t="e">
        <f>VLOOKUP(B4,'Train Runs'!$A$13:$A$99975,1,FALSE)</f>
        <v>#N/A</v>
      </c>
    </row>
    <row r="5" spans="1:10" x14ac:dyDescent="0.25">
      <c r="A5" s="164"/>
      <c r="B5" s="44" t="str">
        <f>A5&amp;"-"&amp;IF(DAY(Variables!$A$2)&lt;10,0,"")&amp;DAY(Variables!$A$2)</f>
        <v>-29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1" t="e">
        <f>VLOOKUP(B5,'Train Runs'!$A$13:$A$99975,1,FALSE)</f>
        <v>#N/A</v>
      </c>
    </row>
    <row r="6" spans="1:10" x14ac:dyDescent="0.25">
      <c r="A6" s="164"/>
      <c r="B6" s="44" t="str">
        <f>A6&amp;"-"&amp;IF(DAY(Variables!$A$2)&lt;10,0,"")&amp;DAY(Variables!$A$2)</f>
        <v>-29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1" t="e">
        <f>VLOOKUP(B6,'Train Runs'!$A$13:$A$99975,1,FALSE)</f>
        <v>#N/A</v>
      </c>
    </row>
    <row r="7" spans="1:10" x14ac:dyDescent="0.25">
      <c r="A7" s="164"/>
      <c r="B7" s="44" t="str">
        <f>A7&amp;"-"&amp;IF(DAY(Variables!$A$2)&lt;10,0,"")&amp;DAY(Variables!$A$2)</f>
        <v>-29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1" t="e">
        <f>VLOOKUP(B7,'Train Runs'!$A$13:$A$99975,1,FALSE)</f>
        <v>#N/A</v>
      </c>
    </row>
    <row r="8" spans="1:10" x14ac:dyDescent="0.25">
      <c r="A8" s="164"/>
      <c r="B8" s="44" t="str">
        <f>A8&amp;"-"&amp;IF(DAY(Variables!$A$2)&lt;10,0,"")&amp;DAY(Variables!$A$2)</f>
        <v>-29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1" t="e">
        <f>VLOOKUP(B8,'Train Runs'!$A$13:$A$99975,1,FALSE)</f>
        <v>#N/A</v>
      </c>
    </row>
    <row r="9" spans="1:10" x14ac:dyDescent="0.25">
      <c r="A9" s="164"/>
      <c r="B9" s="44" t="str">
        <f>A9&amp;"-"&amp;IF(DAY(Variables!$A$2)&lt;10,0,"")&amp;DAY(Variables!$A$2)</f>
        <v>-29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1" t="e">
        <f>VLOOKUP(B9,'Train Runs'!$A$13:$A$99975,1,FALSE)</f>
        <v>#N/A</v>
      </c>
    </row>
    <row r="10" spans="1:10" x14ac:dyDescent="0.25">
      <c r="A10" s="164"/>
      <c r="B10" s="44" t="str">
        <f>A10&amp;"-"&amp;IF(DAY(Variables!$A$2)&lt;10,0,"")&amp;DAY(Variables!$A$2)</f>
        <v>-29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1" t="e">
        <f>VLOOKUP(B10,'Train Runs'!$A$13:$A$99975,1,FALSE)</f>
        <v>#N/A</v>
      </c>
    </row>
    <row r="11" spans="1:10" x14ac:dyDescent="0.25">
      <c r="A11" s="164"/>
      <c r="B11" s="44" t="str">
        <f>A11&amp;"-"&amp;IF(DAY(Variables!$A$2)&lt;10,0,"")&amp;DAY(Variables!$A$2)</f>
        <v>-29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1" t="e">
        <f>VLOOKUP(B11,'Train Runs'!$A$13:$A$99975,1,FALSE)</f>
        <v>#N/A</v>
      </c>
    </row>
    <row r="12" spans="1:10" x14ac:dyDescent="0.25">
      <c r="A12" s="164"/>
      <c r="B12" s="44" t="str">
        <f>A12&amp;"-"&amp;IF(DAY(Variables!$A$2)&lt;10,0,"")&amp;DAY(Variables!$A$2)</f>
        <v>-29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1" t="e">
        <f>VLOOKUP(B12,'Train Runs'!$A$13:$A$99975,1,FALSE)</f>
        <v>#N/A</v>
      </c>
    </row>
    <row r="13" spans="1:10" x14ac:dyDescent="0.25">
      <c r="A13" s="164"/>
      <c r="B13" s="44" t="str">
        <f>A13&amp;"-"&amp;IF(DAY(Variables!$A$2)&lt;10,0,"")&amp;DAY(Variables!$A$2)</f>
        <v>-29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1" t="e">
        <f>VLOOKUP(B13,'Train Runs'!$A$13:$A$99975,1,FALSE)</f>
        <v>#N/A</v>
      </c>
    </row>
    <row r="14" spans="1:10" x14ac:dyDescent="0.25">
      <c r="A14" s="164"/>
      <c r="B14" s="44" t="str">
        <f>A14&amp;"-"&amp;IF(DAY(Variables!$A$2)&lt;10,0,"")&amp;DAY(Variables!$A$2)</f>
        <v>-29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1" t="e">
        <f>VLOOKUP(B14,'Train Runs'!$A$13:$A$99975,1,FALSE)</f>
        <v>#N/A</v>
      </c>
    </row>
    <row r="15" spans="1:10" x14ac:dyDescent="0.25">
      <c r="A15" s="164"/>
      <c r="B15" s="44" t="str">
        <f>A15&amp;"-"&amp;IF(DAY(Variables!$A$2)&lt;10,0,"")&amp;DAY(Variables!$A$2)</f>
        <v>-29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1" t="e">
        <f>VLOOKUP(B15,'Train Runs'!$A$13:$A$99975,1,FALSE)</f>
        <v>#N/A</v>
      </c>
    </row>
    <row r="16" spans="1:10" x14ac:dyDescent="0.25">
      <c r="A16" s="164"/>
      <c r="B16" s="44" t="str">
        <f>A16&amp;"-"&amp;IF(DAY(Variables!$A$2)&lt;10,0,"")&amp;DAY(Variables!$A$2)</f>
        <v>-29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1" t="e">
        <f>VLOOKUP(B16,'Train Runs'!$A$13:$A$99975,1,FALSE)</f>
        <v>#N/A</v>
      </c>
    </row>
    <row r="17" spans="1:10" x14ac:dyDescent="0.25">
      <c r="A17" s="164"/>
      <c r="B17" s="44" t="str">
        <f>A17&amp;"-"&amp;IF(DAY(Variables!$A$2)&lt;10,0,"")&amp;DAY(Variables!$A$2)</f>
        <v>-29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1" t="e">
        <f>VLOOKUP(B17,'Train Runs'!$A$13:$A$99975,1,FALSE)</f>
        <v>#N/A</v>
      </c>
    </row>
    <row r="18" spans="1:10" x14ac:dyDescent="0.25">
      <c r="A18" s="164"/>
      <c r="B18" s="44" t="str">
        <f>A18&amp;"-"&amp;IF(DAY(Variables!$A$2)&lt;10,0,"")&amp;DAY(Variables!$A$2)</f>
        <v>-29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1" t="e">
        <f>VLOOKUP(B18,'Train Runs'!$A$13:$A$99975,1,FALSE)</f>
        <v>#N/A</v>
      </c>
    </row>
    <row r="19" spans="1:10" x14ac:dyDescent="0.25">
      <c r="A19" s="164"/>
      <c r="B19" s="44" t="str">
        <f>A19&amp;"-"&amp;IF(DAY(Variables!$A$2)&lt;10,0,"")&amp;DAY(Variables!$A$2)</f>
        <v>-29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9" s="31" t="e">
        <f>VLOOKUP(B19,'Train Runs'!$A$13:$A$99975,1,FALSE)</f>
        <v>#N/A</v>
      </c>
    </row>
    <row r="20" spans="1:10" x14ac:dyDescent="0.25">
      <c r="A20" s="164"/>
      <c r="B20" s="44" t="str">
        <f>A20&amp;"-"&amp;IF(DAY(Variables!$A$2)&lt;10,0,"")&amp;DAY(Variables!$A$2)</f>
        <v>-29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0" s="31" t="e">
        <f>VLOOKUP(B20,'Train Runs'!$A$13:$A$99975,1,FALSE)</f>
        <v>#N/A</v>
      </c>
    </row>
    <row r="21" spans="1:10" x14ac:dyDescent="0.25">
      <c r="A21" s="164"/>
      <c r="B21" s="44" t="str">
        <f>A21&amp;"-"&amp;IF(DAY(Variables!$A$2)&lt;10,0,"")&amp;DAY(Variables!$A$2)</f>
        <v>-29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1" s="31" t="e">
        <f>VLOOKUP(B21,'Train Runs'!$A$13:$A$99975,1,FALSE)</f>
        <v>#N/A</v>
      </c>
    </row>
    <row r="22" spans="1:10" x14ac:dyDescent="0.25">
      <c r="A22" s="164"/>
      <c r="B22" s="44" t="str">
        <f>A22&amp;"-"&amp;IF(DAY(Variables!$A$2)&lt;10,0,"")&amp;DAY(Variables!$A$2)</f>
        <v>-29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2" s="31" t="e">
        <f>VLOOKUP(B22,'Train Runs'!$A$13:$A$99975,1,FALSE)</f>
        <v>#N/A</v>
      </c>
    </row>
    <row r="23" spans="1:10" x14ac:dyDescent="0.25">
      <c r="A23" s="164"/>
      <c r="B23" s="44" t="str">
        <f>A23&amp;"-"&amp;IF(DAY(Variables!$A$2)&lt;10,0,"")&amp;DAY(Variables!$A$2)</f>
        <v>-29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3" s="31" t="e">
        <f>VLOOKUP(B23,'Train Runs'!$A$13:$A$99975,1,FALSE)</f>
        <v>#N/A</v>
      </c>
    </row>
    <row r="24" spans="1:10" x14ac:dyDescent="0.25">
      <c r="A24" s="164"/>
      <c r="B24" s="44" t="str">
        <f>A24&amp;"-"&amp;IF(DAY(Variables!$A$2)&lt;10,0,"")&amp;DAY(Variables!$A$2)</f>
        <v>-29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4" s="31" t="e">
        <f>VLOOKUP(B24,'Train Runs'!$A$13:$A$99975,1,FALSE)</f>
        <v>#N/A</v>
      </c>
    </row>
    <row r="25" spans="1:10" x14ac:dyDescent="0.25">
      <c r="A25" s="164"/>
      <c r="B25" s="44" t="str">
        <f>A25&amp;"-"&amp;IF(DAY(Variables!$A$2)&lt;10,0,"")&amp;DAY(Variables!$A$2)</f>
        <v>-29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5" s="31" t="e">
        <f>VLOOKUP(B25,'Train Runs'!$A$13:$A$99975,1,FALSE)</f>
        <v>#N/A</v>
      </c>
    </row>
    <row r="26" spans="1:10" x14ac:dyDescent="0.25">
      <c r="A26" s="164"/>
      <c r="B26" s="44" t="str">
        <f>A26&amp;"-"&amp;IF(DAY(Variables!$A$2)&lt;10,0,"")&amp;DAY(Variables!$A$2)</f>
        <v>-29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6" s="31" t="e">
        <f>VLOOKUP(B26,'Train Runs'!$A$13:$A$99975,1,FALSE)</f>
        <v>#N/A</v>
      </c>
    </row>
    <row r="27" spans="1:10" x14ac:dyDescent="0.25">
      <c r="A27" s="164"/>
      <c r="B27" s="44" t="str">
        <f>A27&amp;"-"&amp;IF(DAY(Variables!$A$2)&lt;10,0,"")&amp;DAY(Variables!$A$2)</f>
        <v>-29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7" s="31" t="e">
        <f>VLOOKUP(B27,'Train Runs'!$A$13:$A$99975,1,FALSE)</f>
        <v>#N/A</v>
      </c>
    </row>
    <row r="28" spans="1:10" x14ac:dyDescent="0.25">
      <c r="A28" s="164"/>
      <c r="B28" s="44" t="str">
        <f>A28&amp;"-"&amp;IF(DAY(Variables!$A$2)&lt;10,0,"")&amp;DAY(Variables!$A$2)</f>
        <v>-29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8" s="31" t="e">
        <f>VLOOKUP(B28,'Train Runs'!$A$13:$A$99975,1,FALSE)</f>
        <v>#N/A</v>
      </c>
    </row>
    <row r="29" spans="1:10" x14ac:dyDescent="0.25">
      <c r="A29" s="164"/>
      <c r="B29" s="44" t="str">
        <f>A29&amp;"-"&amp;IF(DAY(Variables!$A$2)&lt;10,0,"")&amp;DAY(Variables!$A$2)</f>
        <v>-29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9" s="31" t="e">
        <f>VLOOKUP(B29,'Train Runs'!$A$13:$A$99975,1,FALSE)</f>
        <v>#N/A</v>
      </c>
    </row>
    <row r="30" spans="1:10" x14ac:dyDescent="0.25">
      <c r="A30" s="164"/>
      <c r="B30" s="44" t="str">
        <f>A30&amp;"-"&amp;IF(DAY(Variables!$A$2)&lt;10,0,"")&amp;DAY(Variables!$A$2)</f>
        <v>-29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0" s="31" t="e">
        <f>VLOOKUP(B30,'Train Runs'!$A$13:$A$99975,1,FALSE)</f>
        <v>#N/A</v>
      </c>
    </row>
    <row r="31" spans="1:10" x14ac:dyDescent="0.25">
      <c r="A31" s="164"/>
      <c r="B31" s="44" t="str">
        <f>A31&amp;"-"&amp;IF(DAY(Variables!$A$2)&lt;10,0,"")&amp;DAY(Variables!$A$2)</f>
        <v>-29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1" s="31" t="e">
        <f>VLOOKUP(B31,'Train Runs'!$A$13:$A$99975,1,FALSE)</f>
        <v>#N/A</v>
      </c>
    </row>
    <row r="32" spans="1:10" x14ac:dyDescent="0.25">
      <c r="A32" s="164"/>
      <c r="B32" s="44" t="str">
        <f>A32&amp;"-"&amp;IF(DAY(Variables!$A$2)&lt;10,0,"")&amp;DAY(Variables!$A$2)</f>
        <v>-29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2" s="31" t="e">
        <f>VLOOKUP(B32,'Train Runs'!$A$13:$A$99975,1,FALSE)</f>
        <v>#N/A</v>
      </c>
    </row>
    <row r="33" spans="1:10" x14ac:dyDescent="0.25">
      <c r="A33" s="164"/>
      <c r="B33" s="44" t="str">
        <f>A33&amp;"-"&amp;IF(DAY(Variables!$A$2)&lt;10,0,"")&amp;DAY(Variables!$A$2)</f>
        <v>-29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3" s="31" t="e">
        <f>VLOOKUP(B33,'Train Runs'!$A$13:$A$99975,1,FALSE)</f>
        <v>#N/A</v>
      </c>
    </row>
    <row r="34" spans="1:10" x14ac:dyDescent="0.25">
      <c r="A34" s="164"/>
      <c r="B34" s="44" t="str">
        <f>A34&amp;"-"&amp;IF(DAY(Variables!$A$2)&lt;10,0,"")&amp;DAY(Variables!$A$2)</f>
        <v>-29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4" s="31" t="e">
        <f>VLOOKUP(B34,'Train Runs'!$A$13:$A$99975,1,FALSE)</f>
        <v>#N/A</v>
      </c>
    </row>
    <row r="35" spans="1:10" x14ac:dyDescent="0.25">
      <c r="A35" s="164"/>
      <c r="B35" s="44" t="str">
        <f>A35&amp;"-"&amp;IF(DAY(Variables!$A$2)&lt;10,0,"")&amp;DAY(Variables!$A$2)</f>
        <v>-29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5" s="31" t="e">
        <f>VLOOKUP(B35,'Train Runs'!$A$13:$A$99975,1,FALSE)</f>
        <v>#N/A</v>
      </c>
    </row>
    <row r="36" spans="1:10" x14ac:dyDescent="0.25">
      <c r="A36" s="164"/>
      <c r="B36" s="44" t="str">
        <f>A36&amp;"-"&amp;IF(DAY(Variables!$A$2)&lt;10,0,"")&amp;DAY(Variables!$A$2)</f>
        <v>-29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6" s="31" t="e">
        <f>VLOOKUP(B36,'Train Runs'!$A$13:$A$99975,1,FALSE)</f>
        <v>#N/A</v>
      </c>
    </row>
    <row r="37" spans="1:10" x14ac:dyDescent="0.25">
      <c r="A37" s="164"/>
      <c r="B37" s="44" t="str">
        <f>A37&amp;"-"&amp;IF(DAY(Variables!$A$2)&lt;10,0,"")&amp;DAY(Variables!$A$2)</f>
        <v>-29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7" s="31" t="e">
        <f>VLOOKUP(B37,'Train Runs'!$A$13:$A$99975,1,FALSE)</f>
        <v>#N/A</v>
      </c>
    </row>
    <row r="38" spans="1:10" x14ac:dyDescent="0.25">
      <c r="A38" s="164"/>
      <c r="B38" s="44" t="str">
        <f>A38&amp;"-"&amp;IF(DAY(Variables!$A$2)&lt;10,0,"")&amp;DAY(Variables!$A$2)</f>
        <v>-29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8" s="31" t="e">
        <f>VLOOKUP(B38,'Train Runs'!$A$13:$A$99975,1,FALSE)</f>
        <v>#N/A</v>
      </c>
    </row>
    <row r="39" spans="1:10" x14ac:dyDescent="0.25">
      <c r="A39" s="164"/>
      <c r="B39" s="44" t="str">
        <f>A39&amp;"-"&amp;IF(DAY(Variables!$A$2)&lt;10,0,"")&amp;DAY(Variables!$A$2)</f>
        <v>-29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9" s="31" t="e">
        <f>VLOOKUP(B39,'Train Runs'!$A$13:$A$99975,1,FALSE)</f>
        <v>#N/A</v>
      </c>
    </row>
    <row r="40" spans="1:10" x14ac:dyDescent="0.25">
      <c r="A40" s="164"/>
      <c r="B40" s="44" t="str">
        <f>A40&amp;"-"&amp;IF(DAY(Variables!$A$2)&lt;10,0,"")&amp;DAY(Variables!$A$2)</f>
        <v>-29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0" s="31" t="e">
        <f>VLOOKUP(B40,'Train Runs'!$A$13:$A$99975,1,FALSE)</f>
        <v>#N/A</v>
      </c>
    </row>
    <row r="41" spans="1:10" x14ac:dyDescent="0.25">
      <c r="A41" s="164"/>
      <c r="B41" s="44" t="str">
        <f>A41&amp;"-"&amp;IF(DAY(Variables!$A$2)&lt;10,0,"")&amp;DAY(Variables!$A$2)</f>
        <v>-29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1" s="31" t="e">
        <f>VLOOKUP(B41,'Train Runs'!$A$13:$A$99975,1,FALSE)</f>
        <v>#N/A</v>
      </c>
    </row>
    <row r="42" spans="1:10" x14ac:dyDescent="0.25">
      <c r="A42" s="164"/>
      <c r="B42" s="44" t="str">
        <f>A42&amp;"-"&amp;IF(DAY(Variables!$A$2)&lt;10,0,"")&amp;DAY(Variables!$A$2)</f>
        <v>-29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2" s="31" t="e">
        <f>VLOOKUP(B42,'Train Runs'!$A$13:$A$99975,1,FALSE)</f>
        <v>#N/A</v>
      </c>
    </row>
    <row r="43" spans="1:10" x14ac:dyDescent="0.25">
      <c r="A43" s="164"/>
      <c r="B43" s="44" t="str">
        <f>A43&amp;"-"&amp;IF(DAY(Variables!$A$2)&lt;10,0,"")&amp;DAY(Variables!$A$2)</f>
        <v>-29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3" s="31" t="e">
        <f>VLOOKUP(B43,'Train Runs'!$A$13:$A$99975,1,FALSE)</f>
        <v>#N/A</v>
      </c>
    </row>
    <row r="44" spans="1:10" x14ac:dyDescent="0.25">
      <c r="A44" s="164"/>
      <c r="B44" s="44" t="str">
        <f>A44&amp;"-"&amp;IF(DAY(Variables!$A$2)&lt;10,0,"")&amp;DAY(Variables!$A$2)</f>
        <v>-29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4" s="31" t="e">
        <f>VLOOKUP(B44,'Train Runs'!$A$13:$A$99975,1,FALSE)</f>
        <v>#N/A</v>
      </c>
    </row>
    <row r="45" spans="1:10" x14ac:dyDescent="0.25">
      <c r="A45" s="164"/>
      <c r="B45" s="44" t="str">
        <f>A45&amp;"-"&amp;IF(DAY(Variables!$A$2)&lt;10,0,"")&amp;DAY(Variables!$A$2)</f>
        <v>-29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5" s="31" t="e">
        <f>VLOOKUP(B45,'Train Runs'!$A$13:$A$99975,1,FALSE)</f>
        <v>#N/A</v>
      </c>
    </row>
    <row r="46" spans="1:10" x14ac:dyDescent="0.25">
      <c r="A46" s="164"/>
      <c r="B46" s="44" t="str">
        <f>A46&amp;"-"&amp;IF(DAY(Variables!$A$2)&lt;10,0,"")&amp;DAY(Variables!$A$2)</f>
        <v>-29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6" s="31" t="e">
        <f>VLOOKUP(B46,'Train Runs'!$A$13:$A$99975,1,FALSE)</f>
        <v>#N/A</v>
      </c>
    </row>
    <row r="47" spans="1:10" x14ac:dyDescent="0.25">
      <c r="A47" s="164"/>
      <c r="B47" s="44" t="str">
        <f>A47&amp;"-"&amp;IF(DAY(Variables!$A$2)&lt;10,0,"")&amp;DAY(Variables!$A$2)</f>
        <v>-29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7" s="31" t="e">
        <f>VLOOKUP(B47,'Train Runs'!$A$13:$A$99975,1,FALSE)</f>
        <v>#N/A</v>
      </c>
    </row>
    <row r="48" spans="1:10" x14ac:dyDescent="0.25">
      <c r="A48" s="164"/>
      <c r="B48" s="44" t="str">
        <f>A48&amp;"-"&amp;IF(DAY(Variables!$A$2)&lt;10,0,"")&amp;DAY(Variables!$A$2)</f>
        <v>-29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8" s="31" t="e">
        <f>VLOOKUP(B48,'Train Runs'!$A$13:$A$99975,1,FALSE)</f>
        <v>#N/A</v>
      </c>
    </row>
    <row r="49" spans="1:10" x14ac:dyDescent="0.25">
      <c r="A49" s="164"/>
      <c r="B49" s="44" t="str">
        <f>A49&amp;"-"&amp;IF(DAY(Variables!$A$2)&lt;10,0,"")&amp;DAY(Variables!$A$2)</f>
        <v>-29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9" s="31" t="e">
        <f>VLOOKUP(B49,'Train Runs'!$A$13:$A$99975,1,FALSE)</f>
        <v>#N/A</v>
      </c>
    </row>
    <row r="50" spans="1:10" x14ac:dyDescent="0.25">
      <c r="A50" s="164"/>
      <c r="B50" s="44" t="str">
        <f>A50&amp;"-"&amp;IF(DAY(Variables!$A$2)&lt;10,0,"")&amp;DAY(Variables!$A$2)</f>
        <v>-29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0" s="31" t="e">
        <f>VLOOKUP(B50,'Train Runs'!$A$13:$A$99975,1,FALSE)</f>
        <v>#N/A</v>
      </c>
    </row>
    <row r="51" spans="1:10" x14ac:dyDescent="0.25">
      <c r="A51" s="164"/>
      <c r="B51" s="44" t="str">
        <f>A51&amp;"-"&amp;IF(DAY(Variables!$A$2)&lt;10,0,"")&amp;DAY(Variables!$A$2)</f>
        <v>-29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1" s="31" t="e">
        <f>VLOOKUP(B51,'Train Runs'!$A$13:$A$99975,1,FALSE)</f>
        <v>#N/A</v>
      </c>
    </row>
    <row r="52" spans="1:10" x14ac:dyDescent="0.25">
      <c r="A52" s="164"/>
      <c r="B52" s="44" t="str">
        <f>A52&amp;"-"&amp;IF(DAY(Variables!$A$2)&lt;10,0,"")&amp;DAY(Variables!$A$2)</f>
        <v>-29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2" s="31" t="e">
        <f>VLOOKUP(B52,'Train Runs'!$A$13:$A$99975,1,FALSE)</f>
        <v>#N/A</v>
      </c>
    </row>
    <row r="53" spans="1:10" x14ac:dyDescent="0.25">
      <c r="A53" s="164"/>
      <c r="B53" s="44" t="str">
        <f>A53&amp;"-"&amp;IF(DAY(Variables!$A$2)&lt;10,0,"")&amp;DAY(Variables!$A$2)</f>
        <v>-29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3" s="31" t="e">
        <f>VLOOKUP(B53,'Train Runs'!$A$13:$A$99975,1,FALSE)</f>
        <v>#N/A</v>
      </c>
    </row>
    <row r="54" spans="1:10" x14ac:dyDescent="0.25">
      <c r="A54" s="164"/>
      <c r="B54" s="44" t="str">
        <f>A54&amp;"-"&amp;IF(DAY(Variables!$A$2)&lt;10,0,"")&amp;DAY(Variables!$A$2)</f>
        <v>-29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4" s="31" t="e">
        <f>VLOOKUP(B54,'Train Runs'!$A$13:$A$99975,1,FALSE)</f>
        <v>#N/A</v>
      </c>
    </row>
    <row r="55" spans="1:10" x14ac:dyDescent="0.25">
      <c r="A55" s="164"/>
      <c r="B55" s="44" t="str">
        <f>A55&amp;"-"&amp;IF(DAY(Variables!$A$2)&lt;10,0,"")&amp;DAY(Variables!$A$2)</f>
        <v>-29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5" s="31" t="e">
        <f>VLOOKUP(B55,'Train Runs'!$A$13:$A$99975,1,FALSE)</f>
        <v>#N/A</v>
      </c>
    </row>
    <row r="56" spans="1:10" x14ac:dyDescent="0.25">
      <c r="A56" s="164"/>
      <c r="B56" s="44" t="str">
        <f>A56&amp;"-"&amp;IF(DAY(Variables!$A$2)&lt;10,0,"")&amp;DAY(Variables!$A$2)</f>
        <v>-29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6" s="31" t="e">
        <f>VLOOKUP(B56,'Train Runs'!$A$13:$A$99975,1,FALSE)</f>
        <v>#N/A</v>
      </c>
    </row>
    <row r="57" spans="1:10" x14ac:dyDescent="0.25">
      <c r="A57" s="164"/>
      <c r="B57" s="44" t="str">
        <f>A57&amp;"-"&amp;IF(DAY(Variables!$A$2)&lt;10,0,"")&amp;DAY(Variables!$A$2)</f>
        <v>-29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7" s="31" t="e">
        <f>VLOOKUP(B57,'Train Runs'!$A$13:$A$99975,1,FALSE)</f>
        <v>#N/A</v>
      </c>
    </row>
    <row r="58" spans="1:10" x14ac:dyDescent="0.25">
      <c r="A58" s="164"/>
      <c r="B58" s="44" t="str">
        <f>A58&amp;"-"&amp;IF(DAY(Variables!$A$2)&lt;10,0,"")&amp;DAY(Variables!$A$2)</f>
        <v>-29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8" s="31" t="e">
        <f>VLOOKUP(B58,'Train Runs'!$A$13:$A$99975,1,FALSE)</f>
        <v>#N/A</v>
      </c>
    </row>
    <row r="59" spans="1:10" x14ac:dyDescent="0.25">
      <c r="A59" s="164"/>
      <c r="B59" s="44" t="str">
        <f>A59&amp;"-"&amp;IF(DAY(Variables!$A$2)&lt;10,0,"")&amp;DAY(Variables!$A$2)</f>
        <v>-29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9" s="31" t="e">
        <f>VLOOKUP(B59,'Train Runs'!$A$13:$A$99975,1,FALSE)</f>
        <v>#N/A</v>
      </c>
    </row>
    <row r="60" spans="1:10" x14ac:dyDescent="0.25">
      <c r="A60" s="164"/>
      <c r="B60" s="44" t="str">
        <f>A60&amp;"-"&amp;IF(DAY(Variables!$A$2)&lt;10,0,"")&amp;DAY(Variables!$A$2)</f>
        <v>-29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0" s="31" t="e">
        <f>VLOOKUP(B60,'Train Runs'!$A$13:$A$99975,1,FALSE)</f>
        <v>#N/A</v>
      </c>
    </row>
    <row r="61" spans="1:10" x14ac:dyDescent="0.25">
      <c r="A61" s="164"/>
      <c r="B61" s="44" t="str">
        <f>A61&amp;"-"&amp;IF(DAY(Variables!$A$2)&lt;10,0,"")&amp;DAY(Variables!$A$2)</f>
        <v>-29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ref="I61:I12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1" s="31" t="e">
        <f>VLOOKUP(B61,'Train Runs'!$A$13:$A$99975,1,FALSE)</f>
        <v>#N/A</v>
      </c>
    </row>
    <row r="62" spans="1:10" x14ac:dyDescent="0.25">
      <c r="A62" s="164"/>
      <c r="B62" s="44" t="str">
        <f>A62&amp;"-"&amp;IF(DAY(Variables!$A$2)&lt;10,0,"")&amp;DAY(Variables!$A$2)</f>
        <v>-29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2" s="31" t="e">
        <f>VLOOKUP(B62,'Train Runs'!$A$13:$A$99975,1,FALSE)</f>
        <v>#N/A</v>
      </c>
    </row>
    <row r="63" spans="1:10" x14ac:dyDescent="0.25">
      <c r="A63" s="164"/>
      <c r="B63" s="44" t="str">
        <f>A63&amp;"-"&amp;IF(DAY(Variables!$A$2)&lt;10,0,"")&amp;DAY(Variables!$A$2)</f>
        <v>-29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3" s="31" t="e">
        <f>VLOOKUP(B63,'Train Runs'!$A$13:$A$99975,1,FALSE)</f>
        <v>#N/A</v>
      </c>
    </row>
    <row r="64" spans="1:10" x14ac:dyDescent="0.25">
      <c r="A64" s="164"/>
      <c r="B64" s="44" t="str">
        <f>A64&amp;"-"&amp;IF(DAY(Variables!$A$2)&lt;10,0,"")&amp;DAY(Variables!$A$2)</f>
        <v>-29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4" s="31" t="e">
        <f>VLOOKUP(B64,'Train Runs'!$A$13:$A$99975,1,FALSE)</f>
        <v>#N/A</v>
      </c>
    </row>
    <row r="65" spans="1:10" x14ac:dyDescent="0.25">
      <c r="A65" s="164"/>
      <c r="B65" s="44" t="str">
        <f>A65&amp;"-"&amp;IF(DAY(Variables!$A$2)&lt;10,0,"")&amp;DAY(Variables!$A$2)</f>
        <v>-29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5" s="31" t="e">
        <f>VLOOKUP(B65,'Train Runs'!$A$13:$A$99975,1,FALSE)</f>
        <v>#N/A</v>
      </c>
    </row>
    <row r="66" spans="1:10" x14ac:dyDescent="0.25">
      <c r="A66" s="164"/>
      <c r="B66" s="44" t="str">
        <f>A66&amp;"-"&amp;IF(DAY(Variables!$A$2)&lt;10,0,"")&amp;DAY(Variables!$A$2)</f>
        <v>-29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6" s="31" t="e">
        <f>VLOOKUP(B66,'Train Runs'!$A$13:$A$99975,1,FALSE)</f>
        <v>#N/A</v>
      </c>
    </row>
    <row r="67" spans="1:10" x14ac:dyDescent="0.25">
      <c r="A67" s="164"/>
      <c r="B67" s="44" t="str">
        <f>A67&amp;"-"&amp;IF(DAY(Variables!$A$2)&lt;10,0,"")&amp;DAY(Variables!$A$2)</f>
        <v>-29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7" s="31" t="e">
        <f>VLOOKUP(B67,'Train Runs'!$A$13:$A$99975,1,FALSE)</f>
        <v>#N/A</v>
      </c>
    </row>
    <row r="68" spans="1:10" x14ac:dyDescent="0.25">
      <c r="A68" s="164"/>
      <c r="B68" s="44" t="str">
        <f>A68&amp;"-"&amp;IF(DAY(Variables!$A$2)&lt;10,0,"")&amp;DAY(Variables!$A$2)</f>
        <v>-29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8" s="31" t="e">
        <f>VLOOKUP(B68,'Train Runs'!$A$13:$A$99975,1,FALSE)</f>
        <v>#N/A</v>
      </c>
    </row>
    <row r="69" spans="1:10" x14ac:dyDescent="0.25">
      <c r="A69" s="164"/>
      <c r="B69" s="44" t="str">
        <f>A69&amp;"-"&amp;IF(DAY(Variables!$A$2)&lt;10,0,"")&amp;DAY(Variables!$A$2)</f>
        <v>-29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9" s="31" t="e">
        <f>VLOOKUP(B69,'Train Runs'!$A$13:$A$99975,1,FALSE)</f>
        <v>#N/A</v>
      </c>
    </row>
    <row r="70" spans="1:10" x14ac:dyDescent="0.25">
      <c r="A70" s="164"/>
      <c r="B70" s="44" t="str">
        <f>A70&amp;"-"&amp;IF(DAY(Variables!$A$2)&lt;10,0,"")&amp;DAY(Variables!$A$2)</f>
        <v>-29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0" s="31" t="e">
        <f>VLOOKUP(B70,'Train Runs'!$A$13:$A$99975,1,FALSE)</f>
        <v>#N/A</v>
      </c>
    </row>
    <row r="71" spans="1:10" x14ac:dyDescent="0.25">
      <c r="A71" s="164"/>
      <c r="B71" s="44" t="str">
        <f>A71&amp;"-"&amp;IF(DAY(Variables!$A$2)&lt;10,0,"")&amp;DAY(Variables!$A$2)</f>
        <v>-29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1" s="31" t="e">
        <f>VLOOKUP(B71,'Train Runs'!$A$13:$A$99975,1,FALSE)</f>
        <v>#N/A</v>
      </c>
    </row>
    <row r="72" spans="1:10" x14ac:dyDescent="0.25">
      <c r="A72" s="164"/>
      <c r="B72" s="44" t="str">
        <f>A72&amp;"-"&amp;IF(DAY(Variables!$A$2)&lt;10,0,"")&amp;DAY(Variables!$A$2)</f>
        <v>-29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2" s="31" t="e">
        <f>VLOOKUP(B72,'Train Runs'!$A$13:$A$99975,1,FALSE)</f>
        <v>#N/A</v>
      </c>
    </row>
    <row r="73" spans="1:10" x14ac:dyDescent="0.25">
      <c r="A73" s="164"/>
      <c r="B73" s="44" t="str">
        <f>A73&amp;"-"&amp;IF(DAY(Variables!$A$2)&lt;10,0,"")&amp;DAY(Variables!$A$2)</f>
        <v>-29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3" s="31" t="e">
        <f>VLOOKUP(B73,'Train Runs'!$A$13:$A$99975,1,FALSE)</f>
        <v>#N/A</v>
      </c>
    </row>
    <row r="74" spans="1:10" x14ac:dyDescent="0.25">
      <c r="A74" s="164"/>
      <c r="B74" s="44" t="str">
        <f>A74&amp;"-"&amp;IF(DAY(Variables!$A$2)&lt;10,0,"")&amp;DAY(Variables!$A$2)</f>
        <v>-29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4" s="31" t="e">
        <f>VLOOKUP(B74,'Train Runs'!$A$13:$A$99975,1,FALSE)</f>
        <v>#N/A</v>
      </c>
    </row>
    <row r="75" spans="1:10" x14ac:dyDescent="0.25">
      <c r="A75" s="164"/>
      <c r="B75" s="44" t="str">
        <f>A75&amp;"-"&amp;IF(DAY(Variables!$A$2)&lt;10,0,"")&amp;DAY(Variables!$A$2)</f>
        <v>-29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5" s="31" t="e">
        <f>VLOOKUP(B75,'Train Runs'!$A$13:$A$99975,1,FALSE)</f>
        <v>#N/A</v>
      </c>
    </row>
    <row r="76" spans="1:10" x14ac:dyDescent="0.25">
      <c r="A76" s="164"/>
      <c r="B76" s="44" t="str">
        <f>A76&amp;"-"&amp;IF(DAY(Variables!$A$2)&lt;10,0,"")&amp;DAY(Variables!$A$2)</f>
        <v>-29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6" s="31" t="e">
        <f>VLOOKUP(B76,'Train Runs'!$A$13:$A$99975,1,FALSE)</f>
        <v>#N/A</v>
      </c>
    </row>
    <row r="77" spans="1:10" x14ac:dyDescent="0.25">
      <c r="A77" s="164"/>
      <c r="B77" s="44" t="str">
        <f>A77&amp;"-"&amp;IF(DAY(Variables!$A$2)&lt;10,0,"")&amp;DAY(Variables!$A$2)</f>
        <v>-29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7" s="31" t="e">
        <f>VLOOKUP(B77,'Train Runs'!$A$13:$A$99975,1,FALSE)</f>
        <v>#N/A</v>
      </c>
    </row>
    <row r="78" spans="1:10" x14ac:dyDescent="0.25">
      <c r="A78" s="164"/>
      <c r="B78" s="44" t="str">
        <f>A78&amp;"-"&amp;IF(DAY(Variables!$A$2)&lt;10,0,"")&amp;DAY(Variables!$A$2)</f>
        <v>-29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8" s="31" t="e">
        <f>VLOOKUP(B78,'Train Runs'!$A$13:$A$99975,1,FALSE)</f>
        <v>#N/A</v>
      </c>
    </row>
    <row r="79" spans="1:10" x14ac:dyDescent="0.25">
      <c r="A79" s="164"/>
      <c r="B79" s="44" t="str">
        <f>A79&amp;"-"&amp;IF(DAY(Variables!$A$2)&lt;10,0,"")&amp;DAY(Variables!$A$2)</f>
        <v>-29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9" s="31" t="e">
        <f>VLOOKUP(B79,'Train Runs'!$A$13:$A$99975,1,FALSE)</f>
        <v>#N/A</v>
      </c>
    </row>
    <row r="80" spans="1:10" x14ac:dyDescent="0.25">
      <c r="A80" s="164"/>
      <c r="B80" s="44" t="str">
        <f>A80&amp;"-"&amp;IF(DAY(Variables!$A$2)&lt;10,0,"")&amp;DAY(Variables!$A$2)</f>
        <v>-29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0" s="31" t="e">
        <f>VLOOKUP(B80,'Train Runs'!$A$13:$A$99975,1,FALSE)</f>
        <v>#N/A</v>
      </c>
    </row>
    <row r="81" spans="1:10" x14ac:dyDescent="0.25">
      <c r="A81" s="164"/>
      <c r="B81" s="44" t="str">
        <f>A81&amp;"-"&amp;IF(DAY(Variables!$A$2)&lt;10,0,"")&amp;DAY(Variables!$A$2)</f>
        <v>-29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1" s="31" t="e">
        <f>VLOOKUP(B81,'Train Runs'!$A$13:$A$99975,1,FALSE)</f>
        <v>#N/A</v>
      </c>
    </row>
    <row r="82" spans="1:10" x14ac:dyDescent="0.25">
      <c r="A82" s="164"/>
      <c r="B82" s="44" t="str">
        <f>A82&amp;"-"&amp;IF(DAY(Variables!$A$2)&lt;10,0,"")&amp;DAY(Variables!$A$2)</f>
        <v>-29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2" s="31" t="e">
        <f>VLOOKUP(B82,'Train Runs'!$A$13:$A$99975,1,FALSE)</f>
        <v>#N/A</v>
      </c>
    </row>
    <row r="83" spans="1:10" x14ac:dyDescent="0.25">
      <c r="A83" s="164"/>
      <c r="B83" s="44" t="str">
        <f>A83&amp;"-"&amp;IF(DAY(Variables!$A$2)&lt;10,0,"")&amp;DAY(Variables!$A$2)</f>
        <v>-29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3" s="31" t="e">
        <f>VLOOKUP(B83,'Train Runs'!$A$13:$A$99975,1,FALSE)</f>
        <v>#N/A</v>
      </c>
    </row>
    <row r="84" spans="1:10" x14ac:dyDescent="0.25">
      <c r="A84" s="164"/>
      <c r="B84" s="44" t="str">
        <f>A84&amp;"-"&amp;IF(DAY(Variables!$A$2)&lt;10,0,"")&amp;DAY(Variables!$A$2)</f>
        <v>-29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4" s="31" t="e">
        <f>VLOOKUP(B84,'Train Runs'!$A$13:$A$99975,1,FALSE)</f>
        <v>#N/A</v>
      </c>
    </row>
    <row r="85" spans="1:10" x14ac:dyDescent="0.25">
      <c r="A85" s="164"/>
      <c r="B85" s="44" t="str">
        <f>A85&amp;"-"&amp;IF(DAY(Variables!$A$2)&lt;10,0,"")&amp;DAY(Variables!$A$2)</f>
        <v>-29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5" s="31" t="e">
        <f>VLOOKUP(B85,'Train Runs'!$A$13:$A$99975,1,FALSE)</f>
        <v>#N/A</v>
      </c>
    </row>
    <row r="86" spans="1:10" x14ac:dyDescent="0.25">
      <c r="A86" s="164"/>
      <c r="B86" s="44" t="str">
        <f>A86&amp;"-"&amp;IF(DAY(Variables!$A$2)&lt;10,0,"")&amp;DAY(Variables!$A$2)</f>
        <v>-29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6" s="31" t="e">
        <f>VLOOKUP(B86,'Train Runs'!$A$13:$A$99975,1,FALSE)</f>
        <v>#N/A</v>
      </c>
    </row>
    <row r="87" spans="1:10" x14ac:dyDescent="0.25">
      <c r="A87" s="164"/>
      <c r="B87" s="44" t="str">
        <f>A87&amp;"-"&amp;IF(DAY(Variables!$A$2)&lt;10,0,"")&amp;DAY(Variables!$A$2)</f>
        <v>-29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7" s="31" t="e">
        <f>VLOOKUP(B87,'Train Runs'!$A$13:$A$99975,1,FALSE)</f>
        <v>#N/A</v>
      </c>
    </row>
    <row r="88" spans="1:10" x14ac:dyDescent="0.25">
      <c r="A88" s="164"/>
      <c r="B88" s="44" t="str">
        <f>A88&amp;"-"&amp;IF(DAY(Variables!$A$2)&lt;10,0,"")&amp;DAY(Variables!$A$2)</f>
        <v>-29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8" s="31" t="e">
        <f>VLOOKUP(B88,'Train Runs'!$A$13:$A$99975,1,FALSE)</f>
        <v>#N/A</v>
      </c>
    </row>
    <row r="89" spans="1:10" x14ac:dyDescent="0.25">
      <c r="A89" s="164"/>
      <c r="B89" s="44" t="str">
        <f>A89&amp;"-"&amp;IF(DAY(Variables!$A$2)&lt;10,0,"")&amp;DAY(Variables!$A$2)</f>
        <v>-29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9" s="31" t="e">
        <f>VLOOKUP(B89,'Train Runs'!$A$13:$A$99975,1,FALSE)</f>
        <v>#N/A</v>
      </c>
    </row>
    <row r="90" spans="1:10" x14ac:dyDescent="0.25">
      <c r="A90" s="164"/>
      <c r="B90" s="44" t="str">
        <f>A90&amp;"-"&amp;IF(DAY(Variables!$A$2)&lt;10,0,"")&amp;DAY(Variables!$A$2)</f>
        <v>-29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0" s="31" t="e">
        <f>VLOOKUP(B90,'Train Runs'!$A$13:$A$99975,1,FALSE)</f>
        <v>#N/A</v>
      </c>
    </row>
    <row r="91" spans="1:10" x14ac:dyDescent="0.25">
      <c r="A91" s="164"/>
      <c r="B91" s="44" t="str">
        <f>A91&amp;"-"&amp;IF(DAY(Variables!$A$2)&lt;10,0,"")&amp;DAY(Variables!$A$2)</f>
        <v>-29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1" s="31" t="e">
        <f>VLOOKUP(B91,'Train Runs'!$A$13:$A$99975,1,FALSE)</f>
        <v>#N/A</v>
      </c>
    </row>
    <row r="92" spans="1:10" x14ac:dyDescent="0.25">
      <c r="A92" s="164"/>
      <c r="B92" s="44" t="str">
        <f>A92&amp;"-"&amp;IF(DAY(Variables!$A$2)&lt;10,0,"")&amp;DAY(Variables!$A$2)</f>
        <v>-29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2" s="31" t="e">
        <f>VLOOKUP(B92,'Train Runs'!$A$13:$A$99975,1,FALSE)</f>
        <v>#N/A</v>
      </c>
    </row>
    <row r="93" spans="1:10" x14ac:dyDescent="0.25">
      <c r="A93" s="164"/>
      <c r="B93" s="44" t="str">
        <f>A93&amp;"-"&amp;IF(DAY(Variables!$A$2)&lt;10,0,"")&amp;DAY(Variables!$A$2)</f>
        <v>-29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3" s="31" t="e">
        <f>VLOOKUP(B93,'Train Runs'!$A$13:$A$99975,1,FALSE)</f>
        <v>#N/A</v>
      </c>
    </row>
    <row r="94" spans="1:10" x14ac:dyDescent="0.25">
      <c r="A94" s="164"/>
      <c r="B94" s="44" t="str">
        <f>A94&amp;"-"&amp;IF(DAY(Variables!$A$2)&lt;10,0,"")&amp;DAY(Variables!$A$2)</f>
        <v>-29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4" s="31" t="e">
        <f>VLOOKUP(B94,'Train Runs'!$A$13:$A$99975,1,FALSE)</f>
        <v>#N/A</v>
      </c>
    </row>
    <row r="95" spans="1:10" x14ac:dyDescent="0.25">
      <c r="A95" s="164"/>
      <c r="B95" s="44" t="str">
        <f>A95&amp;"-"&amp;IF(DAY(Variables!$A$2)&lt;10,0,"")&amp;DAY(Variables!$A$2)</f>
        <v>-29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5" s="31" t="e">
        <f>VLOOKUP(B95,'Train Runs'!$A$13:$A$99975,1,FALSE)</f>
        <v>#N/A</v>
      </c>
    </row>
    <row r="96" spans="1:10" x14ac:dyDescent="0.25">
      <c r="A96" s="164"/>
      <c r="B96" s="44" t="str">
        <f>A96&amp;"-"&amp;IF(DAY(Variables!$A$2)&lt;10,0,"")&amp;DAY(Variables!$A$2)</f>
        <v>-29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6" s="31" t="e">
        <f>VLOOKUP(B96,'Train Runs'!$A$13:$A$99975,1,FALSE)</f>
        <v>#N/A</v>
      </c>
    </row>
    <row r="97" spans="1:10" x14ac:dyDescent="0.25">
      <c r="A97" s="164"/>
      <c r="B97" s="44" t="str">
        <f>A97&amp;"-"&amp;IF(DAY(Variables!$A$2)&lt;10,0,"")&amp;DAY(Variables!$A$2)</f>
        <v>-29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7" s="31" t="e">
        <f>VLOOKUP(B97,'Train Runs'!$A$13:$A$99975,1,FALSE)</f>
        <v>#N/A</v>
      </c>
    </row>
    <row r="98" spans="1:10" x14ac:dyDescent="0.25">
      <c r="A98" s="164"/>
      <c r="B98" s="44" t="str">
        <f>A98&amp;"-"&amp;IF(DAY(Variables!$A$2)&lt;10,0,"")&amp;DAY(Variables!$A$2)</f>
        <v>-29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8" s="31" t="e">
        <f>VLOOKUP(B98,'Train Runs'!$A$13:$A$99975,1,FALSE)</f>
        <v>#N/A</v>
      </c>
    </row>
    <row r="99" spans="1:10" x14ac:dyDescent="0.25">
      <c r="A99" s="164"/>
      <c r="B99" s="44" t="str">
        <f>A99&amp;"-"&amp;IF(DAY(Variables!$A$2)&lt;10,0,"")&amp;DAY(Variables!$A$2)</f>
        <v>-29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9" s="31" t="e">
        <f>VLOOKUP(B99,'Train Runs'!$A$13:$A$99975,1,FALSE)</f>
        <v>#N/A</v>
      </c>
    </row>
    <row r="100" spans="1:10" x14ac:dyDescent="0.25">
      <c r="A100" s="164"/>
      <c r="B100" s="44" t="str">
        <f>A100&amp;"-"&amp;IF(DAY(Variables!$A$2)&lt;10,0,"")&amp;DAY(Variables!$A$2)</f>
        <v>-29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0" s="31" t="e">
        <f>VLOOKUP(B100,'Train Runs'!$A$13:$A$99975,1,FALSE)</f>
        <v>#N/A</v>
      </c>
    </row>
    <row r="101" spans="1:10" x14ac:dyDescent="0.25">
      <c r="A101" s="164"/>
      <c r="B101" s="44" t="str">
        <f>A101&amp;"-"&amp;IF(DAY(Variables!$A$2)&lt;10,0,"")&amp;DAY(Variables!$A$2)</f>
        <v>-29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1" s="31" t="e">
        <f>VLOOKUP(B101,'Train Runs'!$A$13:$A$99975,1,FALSE)</f>
        <v>#N/A</v>
      </c>
    </row>
    <row r="102" spans="1:10" x14ac:dyDescent="0.25">
      <c r="A102" s="164"/>
      <c r="B102" s="44" t="str">
        <f>A102&amp;"-"&amp;IF(DAY(Variables!$A$2)&lt;10,0,"")&amp;DAY(Variables!$A$2)</f>
        <v>-29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2" s="31" t="e">
        <f>VLOOKUP(B102,'Train Runs'!$A$13:$A$99975,1,FALSE)</f>
        <v>#N/A</v>
      </c>
    </row>
    <row r="103" spans="1:10" x14ac:dyDescent="0.25">
      <c r="A103" s="164"/>
      <c r="B103" s="44" t="str">
        <f>A103&amp;"-"&amp;IF(DAY(Variables!$A$2)&lt;10,0,"")&amp;DAY(Variables!$A$2)</f>
        <v>-29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3" s="31" t="e">
        <f>VLOOKUP(B103,'Train Runs'!$A$13:$A$99975,1,FALSE)</f>
        <v>#N/A</v>
      </c>
    </row>
    <row r="104" spans="1:10" x14ac:dyDescent="0.25">
      <c r="A104" s="164"/>
      <c r="B104" s="44" t="str">
        <f>A104&amp;"-"&amp;IF(DAY(Variables!$A$2)&lt;10,0,"")&amp;DAY(Variables!$A$2)</f>
        <v>-29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4" s="31" t="e">
        <f>VLOOKUP(B104,'Train Runs'!$A$13:$A$99975,1,FALSE)</f>
        <v>#N/A</v>
      </c>
    </row>
    <row r="105" spans="1:10" x14ac:dyDescent="0.25">
      <c r="A105" s="164"/>
      <c r="B105" s="44" t="str">
        <f>A105&amp;"-"&amp;IF(DAY(Variables!$A$2)&lt;10,0,"")&amp;DAY(Variables!$A$2)</f>
        <v>-29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5" s="31" t="e">
        <f>VLOOKUP(B105,'Train Runs'!$A$13:$A$99975,1,FALSE)</f>
        <v>#N/A</v>
      </c>
    </row>
    <row r="106" spans="1:10" x14ac:dyDescent="0.25">
      <c r="A106" s="164"/>
      <c r="B106" s="44" t="str">
        <f>A106&amp;"-"&amp;IF(DAY(Variables!$A$2)&lt;10,0,"")&amp;DAY(Variables!$A$2)</f>
        <v>-29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6" s="31" t="e">
        <f>VLOOKUP(B106,'Train Runs'!$A$13:$A$99975,1,FALSE)</f>
        <v>#N/A</v>
      </c>
    </row>
    <row r="107" spans="1:10" x14ac:dyDescent="0.25">
      <c r="A107" s="164"/>
      <c r="B107" s="44" t="str">
        <f>A107&amp;"-"&amp;IF(DAY(Variables!$A$2)&lt;10,0,"")&amp;DAY(Variables!$A$2)</f>
        <v>-29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7" s="31" t="e">
        <f>VLOOKUP(B107,'Train Runs'!$A$13:$A$99975,1,FALSE)</f>
        <v>#N/A</v>
      </c>
    </row>
    <row r="108" spans="1:10" x14ac:dyDescent="0.25">
      <c r="A108" s="164"/>
      <c r="B108" s="44" t="str">
        <f>A108&amp;"-"&amp;IF(DAY(Variables!$A$2)&lt;10,0,"")&amp;DAY(Variables!$A$2)</f>
        <v>-29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8" s="31" t="e">
        <f>VLOOKUP(B108,'Train Runs'!$A$13:$A$99975,1,FALSE)</f>
        <v>#N/A</v>
      </c>
    </row>
    <row r="109" spans="1:10" x14ac:dyDescent="0.25">
      <c r="A109" s="164"/>
      <c r="B109" s="44" t="str">
        <f>A109&amp;"-"&amp;IF(DAY(Variables!$A$2)&lt;10,0,"")&amp;DAY(Variables!$A$2)</f>
        <v>-29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9" s="31" t="e">
        <f>VLOOKUP(B109,'Train Runs'!$A$13:$A$99975,1,FALSE)</f>
        <v>#N/A</v>
      </c>
    </row>
    <row r="110" spans="1:10" x14ac:dyDescent="0.25">
      <c r="A110" s="164"/>
      <c r="B110" s="44" t="str">
        <f>A110&amp;"-"&amp;IF(DAY(Variables!$A$2)&lt;10,0,"")&amp;DAY(Variables!$A$2)</f>
        <v>-29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0" s="31" t="e">
        <f>VLOOKUP(B110,'Train Runs'!$A$13:$A$99975,1,FALSE)</f>
        <v>#N/A</v>
      </c>
    </row>
    <row r="111" spans="1:10" x14ac:dyDescent="0.25">
      <c r="A111" s="164"/>
      <c r="B111" s="44" t="str">
        <f>A111&amp;"-"&amp;IF(DAY(Variables!$A$2)&lt;10,0,"")&amp;DAY(Variables!$A$2)</f>
        <v>-29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1" s="31" t="e">
        <f>VLOOKUP(B111,'Train Runs'!$A$13:$A$99975,1,FALSE)</f>
        <v>#N/A</v>
      </c>
    </row>
    <row r="112" spans="1:10" x14ac:dyDescent="0.25">
      <c r="A112" s="164"/>
      <c r="B112" s="44" t="str">
        <f>A112&amp;"-"&amp;IF(DAY(Variables!$A$2)&lt;10,0,"")&amp;DAY(Variables!$A$2)</f>
        <v>-29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2" s="31" t="e">
        <f>VLOOKUP(B112,'Train Runs'!$A$13:$A$99975,1,FALSE)</f>
        <v>#N/A</v>
      </c>
    </row>
    <row r="113" spans="1:10" x14ac:dyDescent="0.25">
      <c r="A113" s="164"/>
      <c r="B113" s="44" t="str">
        <f>A113&amp;"-"&amp;IF(DAY(Variables!$A$2)&lt;10,0,"")&amp;DAY(Variables!$A$2)</f>
        <v>-29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3" s="31" t="e">
        <f>VLOOKUP(B113,'Train Runs'!$A$13:$A$99975,1,FALSE)</f>
        <v>#N/A</v>
      </c>
    </row>
    <row r="114" spans="1:10" x14ac:dyDescent="0.25">
      <c r="A114" s="164"/>
      <c r="B114" s="44" t="str">
        <f>A114&amp;"-"&amp;IF(DAY(Variables!$A$2)&lt;10,0,"")&amp;DAY(Variables!$A$2)</f>
        <v>-29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4" s="31" t="e">
        <f>VLOOKUP(B114,'Train Runs'!$A$13:$A$99975,1,FALSE)</f>
        <v>#N/A</v>
      </c>
    </row>
    <row r="115" spans="1:10" x14ac:dyDescent="0.25">
      <c r="A115" s="164"/>
      <c r="B115" s="44" t="str">
        <f>A115&amp;"-"&amp;IF(DAY(Variables!$A$2)&lt;10,0,"")&amp;DAY(Variables!$A$2)</f>
        <v>-29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5" s="31" t="e">
        <f>VLOOKUP(B115,'Train Runs'!$A$13:$A$99975,1,FALSE)</f>
        <v>#N/A</v>
      </c>
    </row>
    <row r="116" spans="1:10" x14ac:dyDescent="0.25">
      <c r="A116" s="164"/>
      <c r="B116" s="44" t="str">
        <f>A116&amp;"-"&amp;IF(DAY(Variables!$A$2)&lt;10,0,"")&amp;DAY(Variables!$A$2)</f>
        <v>-29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6" s="31" t="e">
        <f>VLOOKUP(B116,'Train Runs'!$A$13:$A$99975,1,FALSE)</f>
        <v>#N/A</v>
      </c>
    </row>
    <row r="117" spans="1:10" x14ac:dyDescent="0.25">
      <c r="A117" s="164"/>
      <c r="B117" s="44" t="str">
        <f>A117&amp;"-"&amp;IF(DAY(Variables!$A$2)&lt;10,0,"")&amp;DAY(Variables!$A$2)</f>
        <v>-29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7" s="31" t="e">
        <f>VLOOKUP(B117,'Train Runs'!$A$13:$A$99975,1,FALSE)</f>
        <v>#N/A</v>
      </c>
    </row>
    <row r="118" spans="1:10" x14ac:dyDescent="0.25">
      <c r="A118" s="164"/>
      <c r="B118" s="44" t="str">
        <f>A118&amp;"-"&amp;IF(DAY(Variables!$A$2)&lt;10,0,"")&amp;DAY(Variables!$A$2)</f>
        <v>-29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8" s="31" t="e">
        <f>VLOOKUP(B118,'Train Runs'!$A$13:$A$99975,1,FALSE)</f>
        <v>#N/A</v>
      </c>
    </row>
    <row r="119" spans="1:10" x14ac:dyDescent="0.25">
      <c r="A119" s="164"/>
      <c r="B119" s="44" t="str">
        <f>A119&amp;"-"&amp;IF(DAY(Variables!$A$2)&lt;10,0,"")&amp;DAY(Variables!$A$2)</f>
        <v>-29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9" s="31" t="e">
        <f>VLOOKUP(B119,'Train Runs'!$A$13:$A$99975,1,FALSE)</f>
        <v>#N/A</v>
      </c>
    </row>
    <row r="120" spans="1:10" x14ac:dyDescent="0.25">
      <c r="A120" s="164"/>
      <c r="B120" s="44" t="str">
        <f>A120&amp;"-"&amp;IF(DAY(Variables!$A$2)&lt;10,0,"")&amp;DAY(Variables!$A$2)</f>
        <v>-29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0" s="31" t="e">
        <f>VLOOKUP(B120,'Train Runs'!$A$13:$A$99975,1,FALSE)</f>
        <v>#N/A</v>
      </c>
    </row>
    <row r="121" spans="1:10" x14ac:dyDescent="0.25">
      <c r="A121" s="164"/>
      <c r="B121" s="44" t="str">
        <f>A121&amp;"-"&amp;IF(DAY(Variables!$A$2)&lt;10,0,"")&amp;DAY(Variables!$A$2)</f>
        <v>-29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1" s="31" t="e">
        <f>VLOOKUP(B121,'Train Runs'!$A$13:$A$99975,1,FALSE)</f>
        <v>#N/A</v>
      </c>
    </row>
    <row r="122" spans="1:10" x14ac:dyDescent="0.25">
      <c r="A122" s="164"/>
      <c r="B122" s="44" t="str">
        <f>A122&amp;"-"&amp;IF(DAY(Variables!$A$2)&lt;10,0,"")&amp;DAY(Variables!$A$2)</f>
        <v>-29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2" s="31" t="e">
        <f>VLOOKUP(B122,'Train Runs'!$A$13:$A$99975,1,FALSE)</f>
        <v>#N/A</v>
      </c>
    </row>
    <row r="123" spans="1:10" x14ac:dyDescent="0.25">
      <c r="A123" s="164"/>
      <c r="B123" s="44" t="str">
        <f>A123&amp;"-"&amp;IF(DAY(Variables!$A$2)&lt;10,0,"")&amp;DAY(Variables!$A$2)</f>
        <v>-29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3" s="31" t="e">
        <f>VLOOKUP(B123,'Train Runs'!$A$13:$A$99975,1,FALSE)</f>
        <v>#N/A</v>
      </c>
    </row>
    <row r="124" spans="1:10" x14ac:dyDescent="0.25">
      <c r="A124" s="164"/>
      <c r="B124" s="44" t="str">
        <f>A124&amp;"-"&amp;IF(DAY(Variables!$A$2)&lt;10,0,"")&amp;DAY(Variables!$A$2)</f>
        <v>-29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4" s="31" t="e">
        <f>VLOOKUP(B124,'Train Runs'!$A$13:$A$99975,1,FALSE)</f>
        <v>#N/A</v>
      </c>
    </row>
    <row r="125" spans="1:10" x14ac:dyDescent="0.25">
      <c r="A125" s="164"/>
      <c r="B125" s="44" t="str">
        <f>A125&amp;"-"&amp;IF(DAY(Variables!$A$2)&lt;10,0,"")&amp;DAY(Variables!$A$2)</f>
        <v>-29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ref="I125:I131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5" s="31" t="e">
        <f>VLOOKUP(B125,'Train Runs'!$A$13:$A$99975,1,FALSE)</f>
        <v>#N/A</v>
      </c>
    </row>
    <row r="126" spans="1:10" x14ac:dyDescent="0.25">
      <c r="A126" s="164"/>
      <c r="B126" s="44" t="str">
        <f>A126&amp;"-"&amp;IF(DAY(Variables!$A$2)&lt;10,0,"")&amp;DAY(Variables!$A$2)</f>
        <v>-29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6" s="31" t="e">
        <f>VLOOKUP(B126,'Train Runs'!$A$13:$A$99975,1,FALSE)</f>
        <v>#N/A</v>
      </c>
    </row>
    <row r="127" spans="1:10" x14ac:dyDescent="0.25">
      <c r="A127" s="164"/>
      <c r="B127" s="44" t="str">
        <f>A127&amp;"-"&amp;IF(DAY(Variables!$A$2)&lt;10,0,"")&amp;DAY(Variables!$A$2)</f>
        <v>-29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7" s="31" t="e">
        <f>VLOOKUP(B127,'Train Runs'!$A$13:$A$99975,1,FALSE)</f>
        <v>#N/A</v>
      </c>
    </row>
    <row r="128" spans="1:10" x14ac:dyDescent="0.25">
      <c r="A128" s="164"/>
      <c r="B128" s="44" t="str">
        <f>A128&amp;"-"&amp;IF(DAY(Variables!$A$2)&lt;10,0,"")&amp;DAY(Variables!$A$2)</f>
        <v>-29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8" s="31" t="e">
        <f>VLOOKUP(B128,'Train Runs'!$A$13:$A$99975,1,FALSE)</f>
        <v>#N/A</v>
      </c>
    </row>
    <row r="129" spans="1:10" x14ac:dyDescent="0.25">
      <c r="A129" s="164"/>
      <c r="B129" s="44" t="str">
        <f>A129&amp;"-"&amp;IF(DAY(Variables!$A$2)&lt;10,0,"")&amp;DAY(Variables!$A$2)</f>
        <v>-29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9" s="31" t="e">
        <f>VLOOKUP(B129,'Train Runs'!$A$13:$A$99975,1,FALSE)</f>
        <v>#N/A</v>
      </c>
    </row>
    <row r="130" spans="1:10" x14ac:dyDescent="0.25">
      <c r="A130" s="164"/>
      <c r="B130" s="44" t="str">
        <f>A130&amp;"-"&amp;IF(DAY(Variables!$A$2)&lt;10,0,"")&amp;DAY(Variables!$A$2)</f>
        <v>-29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0" s="31" t="e">
        <f>VLOOKUP(B130,'Train Runs'!$A$13:$A$99975,1,FALSE)</f>
        <v>#N/A</v>
      </c>
    </row>
    <row r="131" spans="1:10" x14ac:dyDescent="0.25">
      <c r="A131" s="164"/>
      <c r="B131" s="44" t="str">
        <f>A131&amp;"-"&amp;IF(DAY(Variables!$A$2)&lt;10,0,"")&amp;DAY(Variables!$A$2)</f>
        <v>-29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1" s="31" t="e">
        <f>VLOOKUP(B131,'Train Runs'!$A$13:$A$99975,1,FALSE)</f>
        <v>#N/A</v>
      </c>
    </row>
  </sheetData>
  <autoFilter ref="A2:J131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174</v>
      </c>
      <c r="B1" s="21" t="s">
        <v>175</v>
      </c>
      <c r="C1" s="21" t="s">
        <v>0</v>
      </c>
      <c r="D1" s="157" t="s">
        <v>176</v>
      </c>
      <c r="E1" s="21" t="s">
        <v>177</v>
      </c>
      <c r="F1" s="21" t="s">
        <v>207</v>
      </c>
      <c r="G1" s="8" t="s">
        <v>206</v>
      </c>
    </row>
    <row r="2" spans="1:7" x14ac:dyDescent="0.25">
      <c r="A2" s="8">
        <v>42764.036400462966</v>
      </c>
      <c r="B2" s="21" t="s">
        <v>236</v>
      </c>
      <c r="C2" s="21" t="s">
        <v>407</v>
      </c>
      <c r="D2" s="157">
        <v>2000000</v>
      </c>
      <c r="E2" s="21" t="s">
        <v>283</v>
      </c>
      <c r="F2" s="21" t="s">
        <v>205</v>
      </c>
      <c r="G2" s="8" t="str">
        <f>E2&amp;" "&amp;F2</f>
        <v>STAMBAUGH JAMES</v>
      </c>
    </row>
    <row r="3" spans="1:7" x14ac:dyDescent="0.25">
      <c r="A3" s="8">
        <v>42764.047372685185</v>
      </c>
      <c r="B3" s="21" t="s">
        <v>303</v>
      </c>
      <c r="C3" s="21" t="s">
        <v>408</v>
      </c>
      <c r="D3" s="157">
        <v>2230000</v>
      </c>
      <c r="E3" s="21" t="s">
        <v>282</v>
      </c>
      <c r="F3" s="21" t="s">
        <v>209</v>
      </c>
      <c r="G3" s="8" t="str">
        <f t="shared" ref="G3:G66" si="0">E3&amp;" "&amp;F3</f>
        <v>SMITH MICHAEL</v>
      </c>
    </row>
    <row r="4" spans="1:7" x14ac:dyDescent="0.25">
      <c r="A4" s="8">
        <v>42764.049537037034</v>
      </c>
      <c r="B4" s="21" t="s">
        <v>237</v>
      </c>
      <c r="C4" s="21" t="s">
        <v>409</v>
      </c>
      <c r="D4" s="157">
        <v>2220000</v>
      </c>
      <c r="E4" s="21" t="s">
        <v>233</v>
      </c>
      <c r="F4" s="21" t="s">
        <v>234</v>
      </c>
      <c r="G4" s="8" t="str">
        <f t="shared" si="0"/>
        <v>HILLS DUSTIN</v>
      </c>
    </row>
    <row r="5" spans="1:7" x14ac:dyDescent="0.25">
      <c r="A5" s="8">
        <v>42764.06821759259</v>
      </c>
      <c r="B5" s="21" t="s">
        <v>235</v>
      </c>
      <c r="C5" s="21" t="s">
        <v>410</v>
      </c>
      <c r="D5" s="157">
        <v>2000000</v>
      </c>
      <c r="E5" s="21" t="s">
        <v>283</v>
      </c>
      <c r="F5" s="21" t="s">
        <v>205</v>
      </c>
      <c r="G5" s="8" t="str">
        <f t="shared" si="0"/>
        <v>STAMBAUGH JAMES</v>
      </c>
    </row>
    <row r="6" spans="1:7" x14ac:dyDescent="0.25">
      <c r="A6" s="8">
        <v>42764.076423611114</v>
      </c>
      <c r="B6" s="21" t="s">
        <v>314</v>
      </c>
      <c r="C6" s="21" t="s">
        <v>411</v>
      </c>
      <c r="D6" s="157">
        <v>2270000</v>
      </c>
      <c r="E6" s="21" t="s">
        <v>258</v>
      </c>
      <c r="F6" s="21" t="s">
        <v>259</v>
      </c>
      <c r="G6" s="8" t="str">
        <f t="shared" si="0"/>
        <v>BROWN JACOB</v>
      </c>
    </row>
    <row r="7" spans="1:7" x14ac:dyDescent="0.25">
      <c r="A7" s="8">
        <v>42764.088090277779</v>
      </c>
      <c r="B7" s="21" t="s">
        <v>198</v>
      </c>
      <c r="C7" s="21" t="s">
        <v>412</v>
      </c>
      <c r="D7" s="157">
        <v>2220000</v>
      </c>
      <c r="E7" s="21" t="s">
        <v>233</v>
      </c>
      <c r="F7" s="21" t="s">
        <v>234</v>
      </c>
      <c r="G7" s="8" t="str">
        <f t="shared" si="0"/>
        <v>HILLS DUSTIN</v>
      </c>
    </row>
    <row r="8" spans="1:7" x14ac:dyDescent="0.25">
      <c r="A8" s="8">
        <v>42764.110914351855</v>
      </c>
      <c r="B8" s="21" t="s">
        <v>315</v>
      </c>
      <c r="C8" s="21" t="s">
        <v>413</v>
      </c>
      <c r="D8" s="157">
        <v>2270000</v>
      </c>
      <c r="E8" s="21" t="s">
        <v>258</v>
      </c>
      <c r="F8" s="21" t="s">
        <v>259</v>
      </c>
      <c r="G8" s="8" t="str">
        <f t="shared" si="0"/>
        <v>BROWN JACOB</v>
      </c>
    </row>
    <row r="9" spans="1:7" ht="15.75" thickBot="1" x14ac:dyDescent="0.3">
      <c r="A9" s="25">
        <v>42764.122939814813</v>
      </c>
      <c r="B9" s="21" t="s">
        <v>318</v>
      </c>
      <c r="C9" s="21" t="s">
        <v>477</v>
      </c>
      <c r="D9" s="157">
        <v>2110000</v>
      </c>
      <c r="E9" s="21" t="s">
        <v>390</v>
      </c>
      <c r="F9" s="21" t="s">
        <v>391</v>
      </c>
      <c r="G9" s="8" t="str">
        <f t="shared" si="0"/>
        <v>OUN ZACK</v>
      </c>
    </row>
    <row r="10" spans="1:7" x14ac:dyDescent="0.25">
      <c r="A10" s="8">
        <v>42764.134097222224</v>
      </c>
      <c r="B10" s="21" t="s">
        <v>257</v>
      </c>
      <c r="C10" s="21" t="s">
        <v>478</v>
      </c>
      <c r="D10" s="157">
        <v>2110000</v>
      </c>
      <c r="E10" s="21" t="s">
        <v>390</v>
      </c>
      <c r="F10" s="21" t="s">
        <v>391</v>
      </c>
      <c r="G10" s="8" t="str">
        <f t="shared" si="0"/>
        <v>OUN ZACK</v>
      </c>
    </row>
    <row r="11" spans="1:7" x14ac:dyDescent="0.25">
      <c r="A11" s="8">
        <v>42764.141261574077</v>
      </c>
      <c r="B11" s="21" t="s">
        <v>466</v>
      </c>
      <c r="C11" s="21" t="s">
        <v>479</v>
      </c>
      <c r="D11" s="157">
        <v>2010000</v>
      </c>
      <c r="E11" s="21" t="s">
        <v>388</v>
      </c>
      <c r="F11" s="21" t="s">
        <v>389</v>
      </c>
      <c r="G11" s="8" t="str">
        <f t="shared" si="0"/>
        <v>MAELZER KURT</v>
      </c>
    </row>
    <row r="12" spans="1:7" x14ac:dyDescent="0.25">
      <c r="A12" s="8">
        <v>42764.152743055558</v>
      </c>
      <c r="B12" s="21" t="s">
        <v>199</v>
      </c>
      <c r="C12" s="21" t="s">
        <v>480</v>
      </c>
      <c r="D12" s="157">
        <v>2010000</v>
      </c>
      <c r="E12" s="21" t="s">
        <v>388</v>
      </c>
      <c r="F12" s="21" t="s">
        <v>389</v>
      </c>
      <c r="G12" s="8" t="str">
        <f t="shared" si="0"/>
        <v>MAELZER KURT</v>
      </c>
    </row>
    <row r="13" spans="1:7" x14ac:dyDescent="0.25">
      <c r="A13" s="8">
        <v>42764.158113425925</v>
      </c>
      <c r="B13" s="21" t="s">
        <v>239</v>
      </c>
      <c r="C13" s="21" t="s">
        <v>481</v>
      </c>
      <c r="D13" s="157">
        <v>2620000</v>
      </c>
      <c r="E13" s="21" t="s">
        <v>319</v>
      </c>
      <c r="F13" s="21" t="s">
        <v>320</v>
      </c>
      <c r="G13" s="8" t="str">
        <f t="shared" si="0"/>
        <v>PERKINS DARREN</v>
      </c>
    </row>
    <row r="14" spans="1:7" x14ac:dyDescent="0.25">
      <c r="A14" s="8">
        <v>42764.168229166666</v>
      </c>
      <c r="B14" s="21" t="s">
        <v>318</v>
      </c>
      <c r="C14" s="21" t="s">
        <v>482</v>
      </c>
      <c r="D14" s="157">
        <v>2110000</v>
      </c>
      <c r="E14" s="21" t="s">
        <v>390</v>
      </c>
      <c r="F14" s="21" t="s">
        <v>391</v>
      </c>
      <c r="G14" s="8" t="str">
        <f t="shared" si="0"/>
        <v>OUN ZACK</v>
      </c>
    </row>
    <row r="15" spans="1:7" x14ac:dyDescent="0.25">
      <c r="A15" s="8">
        <v>42764.171087962961</v>
      </c>
      <c r="B15" s="21" t="s">
        <v>261</v>
      </c>
      <c r="C15" s="21" t="s">
        <v>455</v>
      </c>
      <c r="D15" s="157">
        <v>2620000</v>
      </c>
      <c r="E15" s="21" t="s">
        <v>319</v>
      </c>
      <c r="F15" s="21" t="s">
        <v>320</v>
      </c>
      <c r="G15" s="8" t="str">
        <f t="shared" si="0"/>
        <v>PERKINS DARREN</v>
      </c>
    </row>
    <row r="16" spans="1:7" x14ac:dyDescent="0.25">
      <c r="A16" s="8">
        <v>42764.173101851855</v>
      </c>
      <c r="B16" s="21" t="s">
        <v>196</v>
      </c>
      <c r="C16" s="21" t="s">
        <v>483</v>
      </c>
      <c r="D16" s="157">
        <v>1990000</v>
      </c>
      <c r="E16" s="21" t="s">
        <v>395</v>
      </c>
      <c r="F16" s="21" t="s">
        <v>484</v>
      </c>
      <c r="G16" s="8" t="str">
        <f t="shared" si="0"/>
        <v>DAVIS WENDY</v>
      </c>
    </row>
    <row r="17" spans="1:7" x14ac:dyDescent="0.25">
      <c r="A17" s="8">
        <v>42764.177627314813</v>
      </c>
      <c r="B17" s="21" t="s">
        <v>256</v>
      </c>
      <c r="C17" s="21" t="s">
        <v>485</v>
      </c>
      <c r="D17" s="157">
        <v>2140000</v>
      </c>
      <c r="E17" s="21" t="s">
        <v>344</v>
      </c>
      <c r="F17" s="21" t="s">
        <v>345</v>
      </c>
      <c r="G17" s="8" t="str">
        <f t="shared" si="0"/>
        <v>ROBINSON KADDIBA</v>
      </c>
    </row>
    <row r="18" spans="1:7" x14ac:dyDescent="0.25">
      <c r="A18" s="8">
        <v>42764.184201388889</v>
      </c>
      <c r="B18" s="21" t="s">
        <v>192</v>
      </c>
      <c r="C18" s="21" t="s">
        <v>486</v>
      </c>
      <c r="D18" s="157">
        <v>1990000</v>
      </c>
      <c r="E18" s="21" t="s">
        <v>395</v>
      </c>
      <c r="F18" s="21" t="s">
        <v>484</v>
      </c>
      <c r="G18" s="8" t="str">
        <f t="shared" si="0"/>
        <v>DAVIS WENDY</v>
      </c>
    </row>
    <row r="19" spans="1:7" x14ac:dyDescent="0.25">
      <c r="A19" s="8">
        <v>42764.188807870371</v>
      </c>
      <c r="B19" s="21" t="s">
        <v>466</v>
      </c>
      <c r="C19" s="21" t="s">
        <v>487</v>
      </c>
      <c r="D19" s="157">
        <v>2010000</v>
      </c>
      <c r="E19" s="21" t="s">
        <v>388</v>
      </c>
      <c r="F19" s="21" t="s">
        <v>389</v>
      </c>
      <c r="G19" s="8" t="str">
        <f t="shared" si="0"/>
        <v>MAELZER KURT</v>
      </c>
    </row>
    <row r="20" spans="1:7" x14ac:dyDescent="0.25">
      <c r="A20" s="8">
        <v>42764.194814814815</v>
      </c>
      <c r="B20" s="21" t="s">
        <v>194</v>
      </c>
      <c r="C20" s="21" t="s">
        <v>488</v>
      </c>
      <c r="D20" s="157">
        <v>2140000</v>
      </c>
      <c r="E20" s="21" t="s">
        <v>344</v>
      </c>
      <c r="F20" s="21" t="s">
        <v>345</v>
      </c>
      <c r="G20" s="8" t="str">
        <f t="shared" si="0"/>
        <v>ROBINSON KADDIBA</v>
      </c>
    </row>
    <row r="21" spans="1:7" x14ac:dyDescent="0.25">
      <c r="A21" s="8">
        <v>42764.205324074072</v>
      </c>
      <c r="B21" s="21" t="s">
        <v>257</v>
      </c>
      <c r="C21" s="21" t="s">
        <v>489</v>
      </c>
      <c r="D21" s="157">
        <v>1100000</v>
      </c>
      <c r="E21" s="21" t="s">
        <v>321</v>
      </c>
      <c r="F21" s="21" t="s">
        <v>322</v>
      </c>
      <c r="G21" s="8" t="str">
        <f t="shared" si="0"/>
        <v>GEBRETEKLE DAGNEW</v>
      </c>
    </row>
    <row r="22" spans="1:7" x14ac:dyDescent="0.25">
      <c r="A22" s="27">
        <v>42764.210949074077</v>
      </c>
      <c r="B22" s="21" t="s">
        <v>323</v>
      </c>
      <c r="C22" s="21" t="s">
        <v>490</v>
      </c>
      <c r="D22" s="157">
        <v>2110000</v>
      </c>
      <c r="E22" s="21" t="s">
        <v>390</v>
      </c>
      <c r="F22" s="21" t="s">
        <v>391</v>
      </c>
      <c r="G22" s="8" t="str">
        <f t="shared" si="0"/>
        <v>OUN ZACK</v>
      </c>
    </row>
    <row r="23" spans="1:7" x14ac:dyDescent="0.25">
      <c r="A23" s="8">
        <v>42764.212326388886</v>
      </c>
      <c r="B23" s="21" t="s">
        <v>239</v>
      </c>
      <c r="C23" s="21" t="s">
        <v>456</v>
      </c>
      <c r="D23" s="157">
        <v>2620000</v>
      </c>
      <c r="E23" s="21" t="s">
        <v>319</v>
      </c>
      <c r="F23" s="21" t="s">
        <v>320</v>
      </c>
      <c r="G23" s="8" t="str">
        <f t="shared" si="0"/>
        <v>PERKINS DARREN</v>
      </c>
    </row>
    <row r="24" spans="1:7" x14ac:dyDescent="0.25">
      <c r="A24" s="8">
        <v>42764.222175925926</v>
      </c>
      <c r="B24" s="21" t="s">
        <v>304</v>
      </c>
      <c r="C24" s="21" t="s">
        <v>491</v>
      </c>
      <c r="D24" s="157">
        <v>1830000</v>
      </c>
      <c r="E24" s="21" t="s">
        <v>492</v>
      </c>
      <c r="F24" s="21" t="s">
        <v>493</v>
      </c>
      <c r="G24" s="8" t="str">
        <f t="shared" si="0"/>
        <v>YORK EDGAR</v>
      </c>
    </row>
    <row r="25" spans="1:7" x14ac:dyDescent="0.25">
      <c r="A25" s="8">
        <v>42764.225011574075</v>
      </c>
      <c r="B25" s="21" t="s">
        <v>196</v>
      </c>
      <c r="C25" s="21" t="s">
        <v>494</v>
      </c>
      <c r="D25" s="157">
        <v>1990000</v>
      </c>
      <c r="E25" s="21" t="s">
        <v>395</v>
      </c>
      <c r="F25" s="21" t="s">
        <v>484</v>
      </c>
      <c r="G25" s="8" t="str">
        <f t="shared" si="0"/>
        <v>DAVIS WENDY</v>
      </c>
    </row>
    <row r="26" spans="1:7" x14ac:dyDescent="0.25">
      <c r="A26" s="8">
        <v>42764.225868055553</v>
      </c>
      <c r="B26" s="21" t="s">
        <v>199</v>
      </c>
      <c r="C26" s="21" t="s">
        <v>495</v>
      </c>
      <c r="D26" s="157">
        <v>2020000</v>
      </c>
      <c r="E26" s="21" t="s">
        <v>346</v>
      </c>
      <c r="F26" s="21" t="s">
        <v>347</v>
      </c>
      <c r="G26" s="8" t="str">
        <f t="shared" si="0"/>
        <v>SHOOK JOHN</v>
      </c>
    </row>
    <row r="27" spans="1:7" x14ac:dyDescent="0.25">
      <c r="A27" s="8">
        <v>42764.226527777777</v>
      </c>
      <c r="B27" s="21" t="s">
        <v>387</v>
      </c>
      <c r="C27" s="21" t="s">
        <v>496</v>
      </c>
      <c r="D27" s="157">
        <v>2010000</v>
      </c>
      <c r="E27" s="21" t="s">
        <v>388</v>
      </c>
      <c r="F27" s="21" t="s">
        <v>389</v>
      </c>
      <c r="G27" s="8" t="str">
        <f t="shared" si="0"/>
        <v>MAELZER KURT</v>
      </c>
    </row>
    <row r="28" spans="1:7" x14ac:dyDescent="0.25">
      <c r="A28" s="8">
        <v>42764.230266203704</v>
      </c>
      <c r="B28" s="21" t="s">
        <v>302</v>
      </c>
      <c r="C28" s="21" t="s">
        <v>497</v>
      </c>
      <c r="D28" s="157">
        <v>1830000</v>
      </c>
      <c r="E28" s="21" t="s">
        <v>492</v>
      </c>
      <c r="F28" s="21" t="s">
        <v>493</v>
      </c>
      <c r="G28" s="8" t="str">
        <f t="shared" si="0"/>
        <v>YORK EDGAR</v>
      </c>
    </row>
    <row r="29" spans="1:7" x14ac:dyDescent="0.25">
      <c r="A29" s="8">
        <v>42764.231898148151</v>
      </c>
      <c r="B29" s="21" t="s">
        <v>256</v>
      </c>
      <c r="C29" s="21" t="s">
        <v>498</v>
      </c>
      <c r="D29" s="157">
        <v>2140000</v>
      </c>
      <c r="E29" s="21" t="s">
        <v>344</v>
      </c>
      <c r="F29" s="21" t="s">
        <v>345</v>
      </c>
      <c r="G29" s="8" t="str">
        <f t="shared" si="0"/>
        <v>ROBINSON KADDIBA</v>
      </c>
    </row>
    <row r="30" spans="1:7" x14ac:dyDescent="0.25">
      <c r="A30" s="8">
        <v>42764.24459490741</v>
      </c>
      <c r="B30" s="21" t="s">
        <v>475</v>
      </c>
      <c r="C30" s="21" t="s">
        <v>499</v>
      </c>
      <c r="D30" s="157">
        <v>1100000</v>
      </c>
      <c r="E30" s="21" t="s">
        <v>321</v>
      </c>
      <c r="F30" s="21" t="s">
        <v>322</v>
      </c>
      <c r="G30" s="8" t="str">
        <f t="shared" si="0"/>
        <v>GEBRETEKLE DAGNEW</v>
      </c>
    </row>
    <row r="31" spans="1:7" x14ac:dyDescent="0.25">
      <c r="A31" s="8">
        <v>42764.247997685183</v>
      </c>
      <c r="B31" s="21" t="s">
        <v>304</v>
      </c>
      <c r="C31" s="21" t="s">
        <v>500</v>
      </c>
      <c r="D31" s="157">
        <v>1830000</v>
      </c>
      <c r="E31" s="21" t="s">
        <v>492</v>
      </c>
      <c r="F31" s="21" t="s">
        <v>493</v>
      </c>
      <c r="G31" s="8" t="str">
        <f t="shared" si="0"/>
        <v>YORK EDGAR</v>
      </c>
    </row>
    <row r="32" spans="1:7" x14ac:dyDescent="0.25">
      <c r="A32" s="8">
        <v>42764.248472222222</v>
      </c>
      <c r="B32" s="21" t="s">
        <v>261</v>
      </c>
      <c r="C32" s="21" t="s">
        <v>501</v>
      </c>
      <c r="D32" s="157">
        <v>2620000</v>
      </c>
      <c r="E32" s="21" t="s">
        <v>319</v>
      </c>
      <c r="F32" s="21" t="s">
        <v>320</v>
      </c>
      <c r="G32" s="8" t="str">
        <f t="shared" si="0"/>
        <v>PERKINS DARREN</v>
      </c>
    </row>
    <row r="33" spans="1:7" x14ac:dyDescent="0.25">
      <c r="A33" s="8">
        <v>42764.254513888889</v>
      </c>
      <c r="B33" s="21" t="s">
        <v>318</v>
      </c>
      <c r="C33" s="21" t="s">
        <v>502</v>
      </c>
      <c r="D33" s="157">
        <v>2110000</v>
      </c>
      <c r="E33" s="21" t="s">
        <v>390</v>
      </c>
      <c r="F33" s="21" t="s">
        <v>391</v>
      </c>
      <c r="G33" s="8" t="str">
        <f t="shared" si="0"/>
        <v>OUN ZACK</v>
      </c>
    </row>
    <row r="34" spans="1:7" x14ac:dyDescent="0.25">
      <c r="A34" s="8">
        <v>42764.256736111114</v>
      </c>
      <c r="B34" s="21" t="s">
        <v>192</v>
      </c>
      <c r="C34" s="21" t="s">
        <v>503</v>
      </c>
      <c r="D34" s="157">
        <v>1990000</v>
      </c>
      <c r="E34" s="21" t="s">
        <v>395</v>
      </c>
      <c r="F34" s="21" t="s">
        <v>484</v>
      </c>
      <c r="G34" s="8" t="str">
        <f t="shared" si="0"/>
        <v>DAVIS WENDY</v>
      </c>
    </row>
    <row r="35" spans="1:7" x14ac:dyDescent="0.25">
      <c r="A35" s="8">
        <v>42764.258240740739</v>
      </c>
      <c r="B35" s="21" t="s">
        <v>200</v>
      </c>
      <c r="C35" s="21" t="s">
        <v>504</v>
      </c>
      <c r="D35" s="157">
        <v>2020000</v>
      </c>
      <c r="E35" s="21" t="s">
        <v>346</v>
      </c>
      <c r="F35" s="21" t="s">
        <v>347</v>
      </c>
      <c r="G35" s="8" t="str">
        <f t="shared" si="0"/>
        <v>SHOOK JOHN</v>
      </c>
    </row>
    <row r="36" spans="1:7" x14ac:dyDescent="0.25">
      <c r="A36" s="8">
        <v>42764.267164351855</v>
      </c>
      <c r="B36" s="21" t="s">
        <v>194</v>
      </c>
      <c r="C36" s="21" t="s">
        <v>505</v>
      </c>
      <c r="D36" s="157">
        <v>2140000</v>
      </c>
      <c r="E36" s="21" t="s">
        <v>344</v>
      </c>
      <c r="F36" s="21" t="s">
        <v>345</v>
      </c>
      <c r="G36" s="8" t="str">
        <f t="shared" si="0"/>
        <v>ROBINSON KADDIBA</v>
      </c>
    </row>
    <row r="37" spans="1:7" x14ac:dyDescent="0.25">
      <c r="A37" s="8">
        <v>42764.274340277778</v>
      </c>
      <c r="B37" s="21" t="s">
        <v>466</v>
      </c>
      <c r="C37" s="21" t="s">
        <v>506</v>
      </c>
      <c r="D37" s="157">
        <v>2010000</v>
      </c>
      <c r="E37" s="21" t="s">
        <v>388</v>
      </c>
      <c r="F37" s="21" t="s">
        <v>389</v>
      </c>
      <c r="G37" s="8" t="str">
        <f t="shared" si="0"/>
        <v>MAELZER KURT</v>
      </c>
    </row>
    <row r="38" spans="1:7" x14ac:dyDescent="0.25">
      <c r="A38" s="8">
        <v>42764.276006944441</v>
      </c>
      <c r="B38" s="21" t="s">
        <v>257</v>
      </c>
      <c r="C38" s="21" t="s">
        <v>507</v>
      </c>
      <c r="D38" s="157">
        <v>1100000</v>
      </c>
      <c r="E38" s="21" t="s">
        <v>321</v>
      </c>
      <c r="F38" s="21" t="s">
        <v>322</v>
      </c>
      <c r="G38" s="8" t="str">
        <f t="shared" si="0"/>
        <v>GEBRETEKLE DAGNEW</v>
      </c>
    </row>
    <row r="39" spans="1:7" x14ac:dyDescent="0.25">
      <c r="A39" s="8">
        <v>42764.277337962965</v>
      </c>
      <c r="B39" s="21" t="s">
        <v>302</v>
      </c>
      <c r="C39" s="21" t="s">
        <v>508</v>
      </c>
      <c r="D39" s="157">
        <v>1830000</v>
      </c>
      <c r="E39" s="21" t="s">
        <v>492</v>
      </c>
      <c r="F39" s="21" t="s">
        <v>493</v>
      </c>
      <c r="G39" s="8" t="str">
        <f t="shared" si="0"/>
        <v>YORK EDGAR</v>
      </c>
    </row>
    <row r="40" spans="1:7" x14ac:dyDescent="0.25">
      <c r="A40" s="8">
        <v>42764.284745370373</v>
      </c>
      <c r="B40" s="26" t="s">
        <v>227</v>
      </c>
      <c r="C40" s="21" t="s">
        <v>509</v>
      </c>
      <c r="D40" s="157">
        <v>2620000</v>
      </c>
      <c r="E40" s="21" t="s">
        <v>319</v>
      </c>
      <c r="F40" s="21" t="s">
        <v>320</v>
      </c>
      <c r="G40" s="8" t="str">
        <f t="shared" si="0"/>
        <v>PERKINS DARREN</v>
      </c>
    </row>
    <row r="41" spans="1:7" x14ac:dyDescent="0.25">
      <c r="A41" s="8">
        <v>42764.287187499998</v>
      </c>
      <c r="B41" s="21" t="s">
        <v>323</v>
      </c>
      <c r="C41" s="21" t="s">
        <v>510</v>
      </c>
      <c r="D41" s="157">
        <v>2090000</v>
      </c>
      <c r="E41" s="21" t="s">
        <v>511</v>
      </c>
      <c r="F41" s="21" t="s">
        <v>209</v>
      </c>
      <c r="G41" s="8" t="str">
        <f t="shared" si="0"/>
        <v>HAITHCOX MICHAEL</v>
      </c>
    </row>
    <row r="42" spans="1:7" x14ac:dyDescent="0.25">
      <c r="A42" s="8">
        <v>42764.289548611108</v>
      </c>
      <c r="B42" s="21" t="s">
        <v>304</v>
      </c>
      <c r="C42" s="21" t="s">
        <v>512</v>
      </c>
      <c r="D42" s="157">
        <v>1830000</v>
      </c>
      <c r="E42" s="21" t="s">
        <v>492</v>
      </c>
      <c r="F42" s="21" t="s">
        <v>493</v>
      </c>
      <c r="G42" s="8" t="str">
        <f t="shared" si="0"/>
        <v>YORK EDGAR</v>
      </c>
    </row>
    <row r="43" spans="1:7" x14ac:dyDescent="0.25">
      <c r="A43" s="8">
        <v>42764.297731481478</v>
      </c>
      <c r="B43" s="21" t="s">
        <v>196</v>
      </c>
      <c r="C43" s="21" t="s">
        <v>513</v>
      </c>
      <c r="D43" s="157">
        <v>1990000</v>
      </c>
      <c r="E43" s="21" t="s">
        <v>395</v>
      </c>
      <c r="F43" s="21" t="s">
        <v>484</v>
      </c>
      <c r="G43" s="8" t="str">
        <f t="shared" si="0"/>
        <v>DAVIS WENDY</v>
      </c>
    </row>
    <row r="44" spans="1:7" x14ac:dyDescent="0.25">
      <c r="A44" s="8">
        <v>42764.298587962963</v>
      </c>
      <c r="B44" s="21" t="s">
        <v>199</v>
      </c>
      <c r="C44" s="21" t="s">
        <v>514</v>
      </c>
      <c r="D44" s="157">
        <v>2020000</v>
      </c>
      <c r="E44" s="21" t="s">
        <v>346</v>
      </c>
      <c r="F44" s="21" t="s">
        <v>347</v>
      </c>
      <c r="G44" s="8" t="str">
        <f t="shared" si="0"/>
        <v>SHOOK JOHN</v>
      </c>
    </row>
    <row r="45" spans="1:7" x14ac:dyDescent="0.25">
      <c r="A45" s="8">
        <v>42764.301574074074</v>
      </c>
      <c r="B45" s="21" t="s">
        <v>256</v>
      </c>
      <c r="C45" s="21" t="s">
        <v>515</v>
      </c>
      <c r="D45" s="157">
        <v>2140000</v>
      </c>
      <c r="E45" s="21" t="s">
        <v>344</v>
      </c>
      <c r="F45" s="21" t="s">
        <v>345</v>
      </c>
      <c r="G45" s="8" t="str">
        <f t="shared" si="0"/>
        <v>ROBINSON KADDIBA</v>
      </c>
    </row>
    <row r="46" spans="1:7" x14ac:dyDescent="0.25">
      <c r="A46" s="8">
        <v>42764.30810185185</v>
      </c>
      <c r="B46" s="21" t="s">
        <v>387</v>
      </c>
      <c r="C46" s="21" t="s">
        <v>516</v>
      </c>
      <c r="D46" s="157">
        <v>2010000</v>
      </c>
      <c r="E46" s="21" t="s">
        <v>388</v>
      </c>
      <c r="F46" s="21" t="s">
        <v>389</v>
      </c>
      <c r="G46" s="8" t="str">
        <f t="shared" si="0"/>
        <v>MAELZER KURT</v>
      </c>
    </row>
    <row r="47" spans="1:7" x14ac:dyDescent="0.25">
      <c r="A47" s="8">
        <v>42764.315393518518</v>
      </c>
      <c r="B47" s="21" t="s">
        <v>475</v>
      </c>
      <c r="C47" s="21" t="s">
        <v>517</v>
      </c>
      <c r="D47" s="157">
        <v>1100000</v>
      </c>
      <c r="E47" s="21" t="s">
        <v>321</v>
      </c>
      <c r="F47" s="21" t="s">
        <v>322</v>
      </c>
      <c r="G47" s="8" t="str">
        <f t="shared" si="0"/>
        <v>GEBRETEKLE DAGNEW</v>
      </c>
    </row>
    <row r="48" spans="1:7" x14ac:dyDescent="0.25">
      <c r="A48" s="8">
        <v>42764.317650462966</v>
      </c>
      <c r="B48" s="21" t="s">
        <v>261</v>
      </c>
      <c r="C48" s="21" t="s">
        <v>518</v>
      </c>
      <c r="D48" s="157">
        <v>2620000</v>
      </c>
      <c r="E48" s="21" t="s">
        <v>319</v>
      </c>
      <c r="F48" s="21" t="s">
        <v>320</v>
      </c>
      <c r="G48" s="8" t="str">
        <f t="shared" si="0"/>
        <v>PERKINS DARREN</v>
      </c>
    </row>
    <row r="49" spans="1:7" x14ac:dyDescent="0.25">
      <c r="A49" s="8">
        <v>42764.318055555559</v>
      </c>
      <c r="B49" s="21" t="s">
        <v>302</v>
      </c>
      <c r="C49" s="21" t="s">
        <v>519</v>
      </c>
      <c r="D49" s="157">
        <v>1830000</v>
      </c>
      <c r="E49" s="21" t="s">
        <v>492</v>
      </c>
      <c r="F49" s="21" t="s">
        <v>493</v>
      </c>
      <c r="G49" s="8" t="str">
        <f t="shared" si="0"/>
        <v>YORK EDGAR</v>
      </c>
    </row>
    <row r="50" spans="1:7" x14ac:dyDescent="0.25">
      <c r="A50" s="8">
        <v>42764.32671296296</v>
      </c>
      <c r="B50" s="21" t="s">
        <v>318</v>
      </c>
      <c r="C50" s="21" t="s">
        <v>457</v>
      </c>
      <c r="D50" s="157">
        <v>2090000</v>
      </c>
      <c r="E50" s="21" t="s">
        <v>511</v>
      </c>
      <c r="F50" s="21" t="s">
        <v>209</v>
      </c>
      <c r="G50" s="8" t="str">
        <f t="shared" si="0"/>
        <v>HAITHCOX MICHAEL</v>
      </c>
    </row>
    <row r="51" spans="1:7" x14ac:dyDescent="0.25">
      <c r="A51" s="8">
        <v>42764.328576388885</v>
      </c>
      <c r="B51" s="21" t="s">
        <v>192</v>
      </c>
      <c r="C51" s="21" t="s">
        <v>520</v>
      </c>
      <c r="D51" s="157">
        <v>1990000</v>
      </c>
      <c r="E51" s="21" t="s">
        <v>395</v>
      </c>
      <c r="F51" s="21" t="s">
        <v>484</v>
      </c>
      <c r="G51" s="8" t="str">
        <f t="shared" si="0"/>
        <v>DAVIS WENDY</v>
      </c>
    </row>
    <row r="52" spans="1:7" x14ac:dyDescent="0.25">
      <c r="A52" s="8">
        <v>42764.33121527778</v>
      </c>
      <c r="B52" s="21" t="s">
        <v>304</v>
      </c>
      <c r="C52" s="21" t="s">
        <v>521</v>
      </c>
      <c r="D52" s="157">
        <v>1830000</v>
      </c>
      <c r="E52" s="21" t="s">
        <v>492</v>
      </c>
      <c r="F52" s="21" t="s">
        <v>493</v>
      </c>
      <c r="G52" s="8" t="str">
        <f t="shared" si="0"/>
        <v>YORK EDGAR</v>
      </c>
    </row>
    <row r="53" spans="1:7" x14ac:dyDescent="0.25">
      <c r="A53" s="8">
        <v>42764.331550925926</v>
      </c>
      <c r="B53" s="21" t="s">
        <v>200</v>
      </c>
      <c r="C53" s="21" t="s">
        <v>522</v>
      </c>
      <c r="D53" s="157">
        <v>2020000</v>
      </c>
      <c r="E53" s="21" t="s">
        <v>346</v>
      </c>
      <c r="F53" s="21" t="s">
        <v>347</v>
      </c>
      <c r="G53" s="8" t="str">
        <f t="shared" si="0"/>
        <v>SHOOK JOHN</v>
      </c>
    </row>
    <row r="54" spans="1:7" x14ac:dyDescent="0.25">
      <c r="A54" s="8">
        <v>42764.33902777778</v>
      </c>
      <c r="B54" s="21" t="s">
        <v>194</v>
      </c>
      <c r="C54" s="21" t="s">
        <v>523</v>
      </c>
      <c r="D54" s="157">
        <v>2140000</v>
      </c>
      <c r="E54" s="21" t="s">
        <v>344</v>
      </c>
      <c r="F54" s="21" t="s">
        <v>345</v>
      </c>
      <c r="G54" s="8" t="str">
        <f t="shared" si="0"/>
        <v>ROBINSON KADDIBA</v>
      </c>
    </row>
    <row r="55" spans="1:7" x14ac:dyDescent="0.25">
      <c r="A55" s="8">
        <v>42764.347083333334</v>
      </c>
      <c r="B55" s="21" t="s">
        <v>466</v>
      </c>
      <c r="C55" s="21" t="s">
        <v>524</v>
      </c>
      <c r="D55" s="157">
        <v>2010000</v>
      </c>
      <c r="E55" s="21" t="s">
        <v>388</v>
      </c>
      <c r="F55" s="21" t="s">
        <v>389</v>
      </c>
      <c r="G55" s="8" t="str">
        <f t="shared" si="0"/>
        <v>MAELZER KURT</v>
      </c>
    </row>
    <row r="56" spans="1:7" x14ac:dyDescent="0.25">
      <c r="A56" s="8">
        <v>42764.349537037036</v>
      </c>
      <c r="B56" s="21" t="s">
        <v>257</v>
      </c>
      <c r="C56" s="21" t="s">
        <v>525</v>
      </c>
      <c r="D56" s="157">
        <v>1100000</v>
      </c>
      <c r="E56" s="21" t="s">
        <v>321</v>
      </c>
      <c r="F56" s="21" t="s">
        <v>322</v>
      </c>
      <c r="G56" s="8" t="str">
        <f t="shared" si="0"/>
        <v>GEBRETEKLE DAGNEW</v>
      </c>
    </row>
    <row r="57" spans="1:7" x14ac:dyDescent="0.25">
      <c r="A57" s="8">
        <v>42764.355115740742</v>
      </c>
      <c r="B57" s="21" t="s">
        <v>227</v>
      </c>
      <c r="C57" s="21" t="s">
        <v>458</v>
      </c>
      <c r="D57" s="157">
        <v>2620000</v>
      </c>
      <c r="E57" s="21" t="s">
        <v>319</v>
      </c>
      <c r="F57" s="21" t="s">
        <v>320</v>
      </c>
      <c r="G57" s="8" t="str">
        <f t="shared" si="0"/>
        <v>PERKINS DARREN</v>
      </c>
    </row>
    <row r="58" spans="1:7" x14ac:dyDescent="0.25">
      <c r="A58" s="8">
        <v>42764.359629629631</v>
      </c>
      <c r="B58" s="21" t="s">
        <v>302</v>
      </c>
      <c r="C58" s="21" t="s">
        <v>526</v>
      </c>
      <c r="D58" s="157">
        <v>1830000</v>
      </c>
      <c r="E58" s="21" t="s">
        <v>492</v>
      </c>
      <c r="F58" s="21" t="s">
        <v>493</v>
      </c>
      <c r="G58" s="8" t="str">
        <f t="shared" si="0"/>
        <v>YORK EDGAR</v>
      </c>
    </row>
    <row r="59" spans="1:7" x14ac:dyDescent="0.25">
      <c r="A59" s="8">
        <v>42764.360567129632</v>
      </c>
      <c r="B59" s="21" t="s">
        <v>323</v>
      </c>
      <c r="C59" s="21" t="s">
        <v>527</v>
      </c>
      <c r="D59" s="157">
        <v>2110000</v>
      </c>
      <c r="E59" s="21" t="s">
        <v>390</v>
      </c>
      <c r="F59" s="21" t="s">
        <v>391</v>
      </c>
      <c r="G59" s="8" t="str">
        <f t="shared" si="0"/>
        <v>OUN ZACK</v>
      </c>
    </row>
    <row r="60" spans="1:7" x14ac:dyDescent="0.25">
      <c r="A60" s="8">
        <v>42764.367858796293</v>
      </c>
      <c r="B60" s="21" t="s">
        <v>196</v>
      </c>
      <c r="C60" s="21" t="s">
        <v>528</v>
      </c>
      <c r="D60" s="157">
        <v>1990000</v>
      </c>
      <c r="E60" s="21" t="s">
        <v>395</v>
      </c>
      <c r="F60" s="21" t="s">
        <v>484</v>
      </c>
      <c r="G60" s="8" t="str">
        <f t="shared" si="0"/>
        <v>DAVIS WENDY</v>
      </c>
    </row>
    <row r="61" spans="1:7" x14ac:dyDescent="0.25">
      <c r="A61" s="8">
        <v>42764.371111111112</v>
      </c>
      <c r="B61" s="21" t="s">
        <v>199</v>
      </c>
      <c r="C61" s="21" t="s">
        <v>529</v>
      </c>
      <c r="D61" s="157">
        <v>2020000</v>
      </c>
      <c r="E61" s="21" t="s">
        <v>346</v>
      </c>
      <c r="F61" s="21" t="s">
        <v>347</v>
      </c>
      <c r="G61" s="8" t="str">
        <f t="shared" si="0"/>
        <v>SHOOK JOHN</v>
      </c>
    </row>
    <row r="62" spans="1:7" x14ac:dyDescent="0.25">
      <c r="A62" s="8">
        <v>42764.373078703706</v>
      </c>
      <c r="B62" s="21" t="s">
        <v>304</v>
      </c>
      <c r="C62" s="21" t="s">
        <v>530</v>
      </c>
      <c r="D62" s="157">
        <v>1830000</v>
      </c>
      <c r="E62" s="21" t="s">
        <v>492</v>
      </c>
      <c r="F62" s="21" t="s">
        <v>493</v>
      </c>
      <c r="G62" s="8" t="str">
        <f t="shared" si="0"/>
        <v>YORK EDGAR</v>
      </c>
    </row>
    <row r="63" spans="1:7" x14ac:dyDescent="0.25">
      <c r="A63" s="8">
        <v>42764.375833333332</v>
      </c>
      <c r="B63" s="21" t="s">
        <v>256</v>
      </c>
      <c r="C63" s="21" t="s">
        <v>531</v>
      </c>
      <c r="D63" s="157">
        <v>2370000</v>
      </c>
      <c r="E63" s="21" t="s">
        <v>400</v>
      </c>
      <c r="F63" s="21" t="s">
        <v>401</v>
      </c>
      <c r="G63" s="8" t="str">
        <f t="shared" si="0"/>
        <v>DELGADO DIANAH</v>
      </c>
    </row>
    <row r="64" spans="1:7" x14ac:dyDescent="0.25">
      <c r="A64" s="27">
        <v>42764.3825462963</v>
      </c>
      <c r="B64" s="21" t="s">
        <v>387</v>
      </c>
      <c r="C64" s="21" t="s">
        <v>532</v>
      </c>
      <c r="D64" s="157">
        <v>2010000</v>
      </c>
      <c r="E64" s="21" t="s">
        <v>388</v>
      </c>
      <c r="F64" s="21" t="s">
        <v>389</v>
      </c>
      <c r="G64" s="8" t="str">
        <f t="shared" si="0"/>
        <v>MAELZER KURT</v>
      </c>
    </row>
    <row r="65" spans="1:7" x14ac:dyDescent="0.25">
      <c r="A65" s="8">
        <v>42764.389120370368</v>
      </c>
      <c r="B65" s="21" t="s">
        <v>475</v>
      </c>
      <c r="C65" s="21" t="s">
        <v>533</v>
      </c>
      <c r="D65" s="157">
        <v>1100000</v>
      </c>
      <c r="E65" s="21" t="s">
        <v>321</v>
      </c>
      <c r="F65" s="21" t="s">
        <v>322</v>
      </c>
      <c r="G65" s="8" t="str">
        <f t="shared" si="0"/>
        <v>GEBRETEKLE DAGNEW</v>
      </c>
    </row>
    <row r="66" spans="1:7" x14ac:dyDescent="0.25">
      <c r="A66" s="8">
        <v>42764.391261574077</v>
      </c>
      <c r="B66" s="21" t="s">
        <v>261</v>
      </c>
      <c r="C66" s="21" t="s">
        <v>534</v>
      </c>
      <c r="D66" s="157">
        <v>2620000</v>
      </c>
      <c r="E66" s="21" t="s">
        <v>319</v>
      </c>
      <c r="F66" s="21" t="s">
        <v>320</v>
      </c>
      <c r="G66" s="8" t="str">
        <f t="shared" si="0"/>
        <v>PERKINS DARREN</v>
      </c>
    </row>
    <row r="67" spans="1:7" x14ac:dyDescent="0.25">
      <c r="A67" s="8">
        <v>42764.399328703701</v>
      </c>
      <c r="B67" s="21" t="s">
        <v>318</v>
      </c>
      <c r="C67" s="21" t="s">
        <v>535</v>
      </c>
      <c r="D67" s="157">
        <v>2110000</v>
      </c>
      <c r="E67" s="21" t="s">
        <v>390</v>
      </c>
      <c r="F67" s="21" t="s">
        <v>391</v>
      </c>
      <c r="G67" s="8" t="str">
        <f t="shared" ref="G67:G130" si="1">E67&amp;" "&amp;F67</f>
        <v>OUN ZACK</v>
      </c>
    </row>
    <row r="68" spans="1:7" x14ac:dyDescent="0.25">
      <c r="A68" s="8">
        <v>42764.40179398148</v>
      </c>
      <c r="B68" s="21" t="s">
        <v>302</v>
      </c>
      <c r="C68" s="21" t="s">
        <v>459</v>
      </c>
      <c r="D68" s="157">
        <v>1830000</v>
      </c>
      <c r="E68" s="21" t="s">
        <v>492</v>
      </c>
      <c r="F68" s="21" t="s">
        <v>493</v>
      </c>
      <c r="G68" s="8" t="str">
        <f t="shared" si="1"/>
        <v>YORK EDGAR</v>
      </c>
    </row>
    <row r="69" spans="1:7" x14ac:dyDescent="0.25">
      <c r="A69" s="8">
        <v>42764.402175925927</v>
      </c>
      <c r="B69" s="21" t="s">
        <v>192</v>
      </c>
      <c r="C69" s="21" t="s">
        <v>536</v>
      </c>
      <c r="D69" s="157">
        <v>1990000</v>
      </c>
      <c r="E69" s="21" t="s">
        <v>395</v>
      </c>
      <c r="F69" s="21" t="s">
        <v>484</v>
      </c>
      <c r="G69" s="8" t="str">
        <f t="shared" si="1"/>
        <v>DAVIS WENDY</v>
      </c>
    </row>
    <row r="70" spans="1:7" x14ac:dyDescent="0.25">
      <c r="A70" s="8">
        <v>42764.404270833336</v>
      </c>
      <c r="B70" s="21" t="s">
        <v>200</v>
      </c>
      <c r="C70" s="21" t="s">
        <v>537</v>
      </c>
      <c r="D70" s="157">
        <v>2020000</v>
      </c>
      <c r="E70" s="21" t="s">
        <v>346</v>
      </c>
      <c r="F70" s="21" t="s">
        <v>347</v>
      </c>
      <c r="G70" s="8" t="str">
        <f t="shared" si="1"/>
        <v>SHOOK JOHN</v>
      </c>
    </row>
    <row r="71" spans="1:7" x14ac:dyDescent="0.25">
      <c r="A71" s="8">
        <v>42764.411238425928</v>
      </c>
      <c r="B71" s="21" t="s">
        <v>194</v>
      </c>
      <c r="C71" s="21" t="s">
        <v>538</v>
      </c>
      <c r="D71" s="157">
        <v>2370000</v>
      </c>
      <c r="E71" s="21" t="s">
        <v>400</v>
      </c>
      <c r="F71" s="21" t="s">
        <v>401</v>
      </c>
      <c r="G71" s="8" t="str">
        <f t="shared" si="1"/>
        <v>DELGADO DIANAH</v>
      </c>
    </row>
    <row r="72" spans="1:7" x14ac:dyDescent="0.25">
      <c r="A72" s="8">
        <v>42764.415659722225</v>
      </c>
      <c r="B72" s="21" t="s">
        <v>304</v>
      </c>
      <c r="C72" s="21" t="s">
        <v>539</v>
      </c>
      <c r="D72" s="157">
        <v>1830000</v>
      </c>
      <c r="E72" s="21" t="s">
        <v>492</v>
      </c>
      <c r="F72" s="21" t="s">
        <v>493</v>
      </c>
      <c r="G72" s="8" t="str">
        <f t="shared" si="1"/>
        <v>YORK EDGAR</v>
      </c>
    </row>
    <row r="73" spans="1:7" x14ac:dyDescent="0.25">
      <c r="A73" s="8">
        <v>42764.41679398148</v>
      </c>
      <c r="B73" s="21" t="s">
        <v>466</v>
      </c>
      <c r="C73" s="21" t="s">
        <v>540</v>
      </c>
      <c r="D73" s="157">
        <v>2010000</v>
      </c>
      <c r="E73" s="21" t="s">
        <v>388</v>
      </c>
      <c r="F73" s="21" t="s">
        <v>389</v>
      </c>
      <c r="G73" s="8" t="str">
        <f t="shared" si="1"/>
        <v>MAELZER KURT</v>
      </c>
    </row>
    <row r="74" spans="1:7" x14ac:dyDescent="0.25">
      <c r="A74" s="8">
        <v>42764.422314814816</v>
      </c>
      <c r="B74" s="21" t="s">
        <v>257</v>
      </c>
      <c r="C74" s="21" t="s">
        <v>541</v>
      </c>
      <c r="D74" s="157">
        <v>1100000</v>
      </c>
      <c r="E74" s="21" t="s">
        <v>321</v>
      </c>
      <c r="F74" s="21" t="s">
        <v>322</v>
      </c>
      <c r="G74" s="8" t="str">
        <f t="shared" si="1"/>
        <v>GEBRETEKLE DAGNEW</v>
      </c>
    </row>
    <row r="75" spans="1:7" x14ac:dyDescent="0.25">
      <c r="A75" s="8">
        <v>42764.428587962961</v>
      </c>
      <c r="B75" s="21" t="s">
        <v>227</v>
      </c>
      <c r="C75" s="21" t="s">
        <v>542</v>
      </c>
      <c r="D75" s="157">
        <v>2620000</v>
      </c>
      <c r="E75" s="21" t="s">
        <v>319</v>
      </c>
      <c r="F75" s="21" t="s">
        <v>320</v>
      </c>
      <c r="G75" s="8" t="str">
        <f t="shared" si="1"/>
        <v>PERKINS DARREN</v>
      </c>
    </row>
    <row r="76" spans="1:7" x14ac:dyDescent="0.25">
      <c r="A76" s="8">
        <v>42764.434895833336</v>
      </c>
      <c r="B76" s="21" t="s">
        <v>323</v>
      </c>
      <c r="C76" s="21" t="s">
        <v>543</v>
      </c>
      <c r="D76" s="157">
        <v>2470000</v>
      </c>
      <c r="E76" s="21" t="s">
        <v>393</v>
      </c>
      <c r="F76" s="21" t="s">
        <v>394</v>
      </c>
      <c r="G76" s="8" t="str">
        <f t="shared" si="1"/>
        <v>ROMERO CHAD</v>
      </c>
    </row>
    <row r="77" spans="1:7" x14ac:dyDescent="0.25">
      <c r="A77" s="8">
        <v>42764.442870370367</v>
      </c>
      <c r="B77" s="21" t="s">
        <v>196</v>
      </c>
      <c r="C77" s="21" t="s">
        <v>544</v>
      </c>
      <c r="D77" s="157">
        <v>1990000</v>
      </c>
      <c r="E77" s="21" t="s">
        <v>395</v>
      </c>
      <c r="F77" s="21" t="s">
        <v>484</v>
      </c>
      <c r="G77" s="8" t="str">
        <f t="shared" si="1"/>
        <v>DAVIS WENDY</v>
      </c>
    </row>
    <row r="78" spans="1:7" x14ac:dyDescent="0.25">
      <c r="A78" s="8">
        <v>42764.443113425928</v>
      </c>
      <c r="B78" s="21" t="s">
        <v>302</v>
      </c>
      <c r="C78" s="21" t="s">
        <v>545</v>
      </c>
      <c r="D78" s="157">
        <v>1830000</v>
      </c>
      <c r="E78" s="21" t="s">
        <v>492</v>
      </c>
      <c r="F78" s="21" t="s">
        <v>493</v>
      </c>
      <c r="G78" s="8" t="str">
        <f t="shared" si="1"/>
        <v>YORK EDGAR</v>
      </c>
    </row>
    <row r="79" spans="1:7" x14ac:dyDescent="0.25">
      <c r="A79" s="8">
        <v>42764.444039351853</v>
      </c>
      <c r="B79" s="21" t="s">
        <v>199</v>
      </c>
      <c r="C79" s="21" t="s">
        <v>546</v>
      </c>
      <c r="D79" s="157">
        <v>2020000</v>
      </c>
      <c r="E79" s="21" t="s">
        <v>346</v>
      </c>
      <c r="F79" s="21" t="s">
        <v>347</v>
      </c>
      <c r="G79" s="8" t="str">
        <f t="shared" si="1"/>
        <v>SHOOK JOHN</v>
      </c>
    </row>
    <row r="80" spans="1:7" x14ac:dyDescent="0.25">
      <c r="A80" s="8">
        <v>42764.448206018518</v>
      </c>
      <c r="B80" s="21" t="s">
        <v>256</v>
      </c>
      <c r="C80" s="21" t="s">
        <v>547</v>
      </c>
      <c r="D80" s="157">
        <v>2370000</v>
      </c>
      <c r="E80" s="21" t="s">
        <v>400</v>
      </c>
      <c r="F80" s="21" t="s">
        <v>401</v>
      </c>
      <c r="G80" s="8" t="str">
        <f t="shared" si="1"/>
        <v>DELGADO DIANAH</v>
      </c>
    </row>
    <row r="81" spans="1:7" x14ac:dyDescent="0.25">
      <c r="A81" s="8">
        <v>42764.449120370373</v>
      </c>
      <c r="B81" s="21" t="s">
        <v>296</v>
      </c>
      <c r="C81" s="21" t="s">
        <v>460</v>
      </c>
      <c r="D81" s="157">
        <v>1770000</v>
      </c>
      <c r="E81" s="21" t="s">
        <v>396</v>
      </c>
      <c r="F81" s="21" t="s">
        <v>397</v>
      </c>
      <c r="G81" s="8" t="str">
        <f t="shared" si="1"/>
        <v>BRUDER RICHARD</v>
      </c>
    </row>
    <row r="82" spans="1:7" x14ac:dyDescent="0.25">
      <c r="A82" s="8">
        <v>42764.456006944441</v>
      </c>
      <c r="B82" s="21" t="s">
        <v>304</v>
      </c>
      <c r="C82" s="21" t="s">
        <v>548</v>
      </c>
      <c r="D82" s="157">
        <v>1830000</v>
      </c>
      <c r="E82" s="21" t="s">
        <v>492</v>
      </c>
      <c r="F82" s="21" t="s">
        <v>493</v>
      </c>
      <c r="G82" s="8" t="str">
        <f t="shared" si="1"/>
        <v>YORK EDGAR</v>
      </c>
    </row>
    <row r="83" spans="1:7" x14ac:dyDescent="0.25">
      <c r="A83" s="8">
        <v>42764.457592592589</v>
      </c>
      <c r="B83" s="21" t="s">
        <v>387</v>
      </c>
      <c r="C83" s="21" t="s">
        <v>549</v>
      </c>
      <c r="D83" s="157">
        <v>880000</v>
      </c>
      <c r="E83" s="21" t="s">
        <v>392</v>
      </c>
      <c r="F83" s="21" t="s">
        <v>209</v>
      </c>
      <c r="G83" s="8" t="str">
        <f t="shared" si="1"/>
        <v>STEWART MICHAEL</v>
      </c>
    </row>
    <row r="84" spans="1:7" x14ac:dyDescent="0.25">
      <c r="A84" s="8">
        <v>42764.461550925924</v>
      </c>
      <c r="B84" s="21" t="s">
        <v>475</v>
      </c>
      <c r="C84" s="21" t="s">
        <v>550</v>
      </c>
      <c r="D84" s="157">
        <v>1100000</v>
      </c>
      <c r="E84" s="21" t="s">
        <v>321</v>
      </c>
      <c r="F84" s="21" t="s">
        <v>322</v>
      </c>
      <c r="G84" s="8" t="str">
        <f t="shared" si="1"/>
        <v>GEBRETEKLE DAGNEW</v>
      </c>
    </row>
    <row r="85" spans="1:7" x14ac:dyDescent="0.25">
      <c r="A85" s="8">
        <v>42764.465462962966</v>
      </c>
      <c r="B85" s="21" t="s">
        <v>261</v>
      </c>
      <c r="C85" s="21" t="s">
        <v>551</v>
      </c>
      <c r="D85" s="157">
        <v>920000</v>
      </c>
      <c r="E85" s="21" t="s">
        <v>395</v>
      </c>
      <c r="F85" s="21" t="s">
        <v>209</v>
      </c>
      <c r="G85" s="8" t="str">
        <f t="shared" si="1"/>
        <v>DAVIS MICHAEL</v>
      </c>
    </row>
    <row r="86" spans="1:7" x14ac:dyDescent="0.25">
      <c r="A86" s="8">
        <v>42764.465520833335</v>
      </c>
      <c r="B86" s="21" t="s">
        <v>318</v>
      </c>
      <c r="C86" s="21" t="s">
        <v>552</v>
      </c>
      <c r="D86" s="157">
        <v>2470000</v>
      </c>
      <c r="E86" s="21" t="s">
        <v>393</v>
      </c>
      <c r="F86" s="21" t="s">
        <v>394</v>
      </c>
      <c r="G86" s="8" t="str">
        <f t="shared" si="1"/>
        <v>ROMERO CHAD</v>
      </c>
    </row>
    <row r="87" spans="1:7" x14ac:dyDescent="0.25">
      <c r="A87" s="8">
        <v>42764.476782407408</v>
      </c>
      <c r="B87" s="21" t="s">
        <v>200</v>
      </c>
      <c r="C87" s="21" t="s">
        <v>461</v>
      </c>
      <c r="D87" s="157">
        <v>2020000</v>
      </c>
      <c r="E87" s="21" t="s">
        <v>346</v>
      </c>
      <c r="F87" s="21" t="s">
        <v>347</v>
      </c>
      <c r="G87" s="8" t="str">
        <f t="shared" si="1"/>
        <v>SHOOK JOHN</v>
      </c>
    </row>
    <row r="88" spans="1:7" x14ac:dyDescent="0.25">
      <c r="A88" s="8">
        <v>42764.478738425925</v>
      </c>
      <c r="B88" s="21" t="s">
        <v>192</v>
      </c>
      <c r="C88" s="21" t="s">
        <v>553</v>
      </c>
      <c r="D88" s="157">
        <v>1300000</v>
      </c>
      <c r="E88" s="21" t="s">
        <v>398</v>
      </c>
      <c r="F88" s="21" t="s">
        <v>399</v>
      </c>
      <c r="G88" s="8" t="str">
        <f t="shared" si="1"/>
        <v>LEVIN SCOTT</v>
      </c>
    </row>
    <row r="89" spans="1:7" x14ac:dyDescent="0.25">
      <c r="A89" s="8">
        <v>42764.483912037038</v>
      </c>
      <c r="B89" s="21" t="s">
        <v>302</v>
      </c>
      <c r="C89" s="21" t="s">
        <v>554</v>
      </c>
      <c r="D89" s="157">
        <v>1830000</v>
      </c>
      <c r="E89" s="21" t="s">
        <v>492</v>
      </c>
      <c r="F89" s="21" t="s">
        <v>493</v>
      </c>
      <c r="G89" s="8" t="str">
        <f t="shared" si="1"/>
        <v>YORK EDGAR</v>
      </c>
    </row>
    <row r="90" spans="1:7" x14ac:dyDescent="0.25">
      <c r="A90" s="8">
        <v>42764.487372685187</v>
      </c>
      <c r="B90" s="21" t="s">
        <v>194</v>
      </c>
      <c r="C90" s="21" t="s">
        <v>555</v>
      </c>
      <c r="D90" s="157">
        <v>1770000</v>
      </c>
      <c r="E90" s="21" t="s">
        <v>396</v>
      </c>
      <c r="F90" s="21" t="s">
        <v>397</v>
      </c>
      <c r="G90" s="8" t="str">
        <f t="shared" si="1"/>
        <v>BRUDER RICHARD</v>
      </c>
    </row>
    <row r="91" spans="1:7" x14ac:dyDescent="0.25">
      <c r="A91" s="8">
        <v>42764.490416666667</v>
      </c>
      <c r="B91" s="21" t="s">
        <v>295</v>
      </c>
      <c r="C91" s="21" t="s">
        <v>556</v>
      </c>
      <c r="D91" s="157">
        <v>2140000</v>
      </c>
      <c r="E91" s="21" t="s">
        <v>344</v>
      </c>
      <c r="F91" s="21" t="s">
        <v>345</v>
      </c>
      <c r="G91" s="8" t="str">
        <f t="shared" si="1"/>
        <v>ROBINSON KADDIBA</v>
      </c>
    </row>
    <row r="92" spans="1:7" x14ac:dyDescent="0.25">
      <c r="A92" s="8">
        <v>42764.496145833335</v>
      </c>
      <c r="B92" s="21" t="s">
        <v>257</v>
      </c>
      <c r="C92" s="21" t="s">
        <v>462</v>
      </c>
      <c r="D92" s="157">
        <v>2250000</v>
      </c>
      <c r="E92" s="21" t="s">
        <v>557</v>
      </c>
      <c r="F92" s="21" t="s">
        <v>558</v>
      </c>
      <c r="G92" s="8" t="str">
        <f t="shared" si="1"/>
        <v>CRAYTON QUNTRELL</v>
      </c>
    </row>
    <row r="93" spans="1:7" x14ac:dyDescent="0.25">
      <c r="A93" s="8">
        <v>42764.496655092589</v>
      </c>
      <c r="B93" s="21" t="s">
        <v>466</v>
      </c>
      <c r="C93" s="21" t="s">
        <v>559</v>
      </c>
      <c r="D93" s="157">
        <v>880000</v>
      </c>
      <c r="E93" s="21" t="s">
        <v>392</v>
      </c>
      <c r="F93" s="21" t="s">
        <v>209</v>
      </c>
      <c r="G93" s="8" t="str">
        <f t="shared" si="1"/>
        <v>STEWART MICHAEL</v>
      </c>
    </row>
    <row r="94" spans="1:7" x14ac:dyDescent="0.25">
      <c r="A94" s="8">
        <v>42764.497766203705</v>
      </c>
      <c r="B94" s="21" t="s">
        <v>304</v>
      </c>
      <c r="C94" s="21" t="s">
        <v>463</v>
      </c>
      <c r="D94" s="157">
        <v>1830000</v>
      </c>
      <c r="E94" s="21" t="s">
        <v>492</v>
      </c>
      <c r="F94" s="21" t="s">
        <v>493</v>
      </c>
      <c r="G94" s="8" t="str">
        <f t="shared" si="1"/>
        <v>YORK EDGAR</v>
      </c>
    </row>
    <row r="95" spans="1:7" x14ac:dyDescent="0.25">
      <c r="A95" s="8">
        <v>42764.504490740743</v>
      </c>
      <c r="B95" s="21" t="s">
        <v>227</v>
      </c>
      <c r="C95" s="21" t="s">
        <v>560</v>
      </c>
      <c r="D95" s="157">
        <v>920000</v>
      </c>
      <c r="E95" s="21" t="s">
        <v>395</v>
      </c>
      <c r="F95" s="21" t="s">
        <v>209</v>
      </c>
      <c r="G95" s="8" t="str">
        <f t="shared" si="1"/>
        <v>DAVIS MICHAEL</v>
      </c>
    </row>
    <row r="96" spans="1:7" x14ac:dyDescent="0.25">
      <c r="A96" s="8">
        <v>42764.506898148145</v>
      </c>
      <c r="B96" s="21" t="s">
        <v>323</v>
      </c>
      <c r="C96" s="21" t="s">
        <v>561</v>
      </c>
      <c r="D96" s="157">
        <v>2470000</v>
      </c>
      <c r="E96" s="21" t="s">
        <v>393</v>
      </c>
      <c r="F96" s="21" t="s">
        <v>394</v>
      </c>
      <c r="G96" s="8" t="str">
        <f t="shared" si="1"/>
        <v>ROMERO CHAD</v>
      </c>
    </row>
    <row r="97" spans="1:7" x14ac:dyDescent="0.25">
      <c r="A97" s="8">
        <v>42764.513136574074</v>
      </c>
      <c r="B97" s="21" t="s">
        <v>196</v>
      </c>
      <c r="C97" s="21" t="s">
        <v>562</v>
      </c>
      <c r="D97" s="157">
        <v>1300000</v>
      </c>
      <c r="E97" s="21" t="s">
        <v>398</v>
      </c>
      <c r="F97" s="21" t="s">
        <v>399</v>
      </c>
      <c r="G97" s="8" t="str">
        <f t="shared" si="1"/>
        <v>LEVIN SCOTT</v>
      </c>
    </row>
    <row r="98" spans="1:7" x14ac:dyDescent="0.25">
      <c r="A98" s="8">
        <v>42764.516458333332</v>
      </c>
      <c r="B98" s="21" t="s">
        <v>257</v>
      </c>
      <c r="C98" s="21" t="s">
        <v>462</v>
      </c>
      <c r="D98" s="157">
        <v>2250000</v>
      </c>
      <c r="E98" s="21" t="s">
        <v>557</v>
      </c>
      <c r="F98" s="21" t="s">
        <v>558</v>
      </c>
      <c r="G98" s="8" t="str">
        <f t="shared" si="1"/>
        <v>CRAYTON QUNTRELL</v>
      </c>
    </row>
    <row r="99" spans="1:7" x14ac:dyDescent="0.25">
      <c r="A99" s="8">
        <v>42764.518368055556</v>
      </c>
      <c r="B99" s="21" t="s">
        <v>199</v>
      </c>
      <c r="C99" s="21" t="s">
        <v>563</v>
      </c>
      <c r="D99" s="157">
        <v>2030000</v>
      </c>
      <c r="E99" s="21" t="s">
        <v>348</v>
      </c>
      <c r="F99" s="21" t="s">
        <v>349</v>
      </c>
      <c r="G99" s="8" t="str">
        <f t="shared" si="1"/>
        <v>KILLION DAVID</v>
      </c>
    </row>
    <row r="100" spans="1:7" x14ac:dyDescent="0.25">
      <c r="A100" s="8">
        <v>42764.526435185187</v>
      </c>
      <c r="B100" s="21" t="s">
        <v>256</v>
      </c>
      <c r="C100" s="21" t="s">
        <v>564</v>
      </c>
      <c r="D100" s="157">
        <v>1770000</v>
      </c>
      <c r="E100" s="21" t="s">
        <v>396</v>
      </c>
      <c r="F100" s="21" t="s">
        <v>397</v>
      </c>
      <c r="G100" s="8" t="str">
        <f t="shared" si="1"/>
        <v>BRUDER RICHARD</v>
      </c>
    </row>
    <row r="101" spans="1:7" x14ac:dyDescent="0.25">
      <c r="A101" s="8">
        <v>42764.526747685188</v>
      </c>
      <c r="B101" s="21" t="s">
        <v>302</v>
      </c>
      <c r="C101" s="21" t="s">
        <v>464</v>
      </c>
      <c r="D101" s="157">
        <v>1830000</v>
      </c>
      <c r="E101" s="21" t="s">
        <v>492</v>
      </c>
      <c r="F101" s="21" t="s">
        <v>493</v>
      </c>
      <c r="G101" s="8" t="str">
        <f t="shared" si="1"/>
        <v>YORK EDGAR</v>
      </c>
    </row>
    <row r="102" spans="1:7" x14ac:dyDescent="0.25">
      <c r="A102" s="8">
        <v>42764.529629629629</v>
      </c>
      <c r="B102" s="21" t="s">
        <v>387</v>
      </c>
      <c r="C102" s="21" t="s">
        <v>565</v>
      </c>
      <c r="D102" s="157">
        <v>880000</v>
      </c>
      <c r="E102" s="21" t="s">
        <v>392</v>
      </c>
      <c r="F102" s="21" t="s">
        <v>209</v>
      </c>
      <c r="G102" s="8" t="str">
        <f t="shared" si="1"/>
        <v>STEWART MICHAEL</v>
      </c>
    </row>
    <row r="103" spans="1:7" x14ac:dyDescent="0.25">
      <c r="A103" s="8">
        <v>42764.532002314816</v>
      </c>
      <c r="B103" s="21" t="s">
        <v>475</v>
      </c>
      <c r="C103" s="21" t="s">
        <v>566</v>
      </c>
      <c r="D103" s="157">
        <v>2250000</v>
      </c>
      <c r="E103" s="21" t="s">
        <v>557</v>
      </c>
      <c r="F103" s="21" t="s">
        <v>558</v>
      </c>
      <c r="G103" s="8" t="str">
        <f t="shared" si="1"/>
        <v>CRAYTON QUNTRELL</v>
      </c>
    </row>
    <row r="104" spans="1:7" x14ac:dyDescent="0.25">
      <c r="A104" s="8">
        <v>42764.537418981483</v>
      </c>
      <c r="B104" s="21" t="s">
        <v>261</v>
      </c>
      <c r="C104" s="21" t="s">
        <v>567</v>
      </c>
      <c r="D104" s="157">
        <v>920000</v>
      </c>
      <c r="E104" s="21" t="s">
        <v>395</v>
      </c>
      <c r="F104" s="21" t="s">
        <v>209</v>
      </c>
      <c r="G104" s="8" t="str">
        <f t="shared" si="1"/>
        <v>DAVIS MICHAEL</v>
      </c>
    </row>
    <row r="105" spans="1:7" x14ac:dyDescent="0.25">
      <c r="A105" s="8">
        <v>42764.53802083333</v>
      </c>
      <c r="B105" s="21" t="s">
        <v>318</v>
      </c>
      <c r="C105" s="21" t="s">
        <v>568</v>
      </c>
      <c r="D105" s="157">
        <v>2470000</v>
      </c>
      <c r="E105" s="21" t="s">
        <v>393</v>
      </c>
      <c r="F105" s="21" t="s">
        <v>394</v>
      </c>
      <c r="G105" s="8" t="str">
        <f t="shared" si="1"/>
        <v>ROMERO CHAD</v>
      </c>
    </row>
    <row r="106" spans="1:7" x14ac:dyDescent="0.25">
      <c r="A106" s="8">
        <v>42764.540196759262</v>
      </c>
      <c r="B106" s="21" t="s">
        <v>304</v>
      </c>
      <c r="C106" s="21" t="s">
        <v>569</v>
      </c>
      <c r="D106" s="157">
        <v>1830000</v>
      </c>
      <c r="E106" s="21" t="s">
        <v>492</v>
      </c>
      <c r="F106" s="21" t="s">
        <v>493</v>
      </c>
      <c r="G106" s="8" t="str">
        <f t="shared" si="1"/>
        <v>YORK EDGAR</v>
      </c>
    </row>
    <row r="107" spans="1:7" x14ac:dyDescent="0.25">
      <c r="A107" s="8">
        <v>42764.549803240741</v>
      </c>
      <c r="B107" s="21" t="s">
        <v>192</v>
      </c>
      <c r="C107" s="21" t="s">
        <v>570</v>
      </c>
      <c r="D107" s="157">
        <v>1300000</v>
      </c>
      <c r="E107" s="21" t="s">
        <v>398</v>
      </c>
      <c r="F107" s="21" t="s">
        <v>399</v>
      </c>
      <c r="G107" s="8" t="str">
        <f t="shared" si="1"/>
        <v>LEVIN SCOTT</v>
      </c>
    </row>
    <row r="108" spans="1:7" x14ac:dyDescent="0.25">
      <c r="A108" s="8">
        <v>42764.551412037035</v>
      </c>
      <c r="B108" s="21" t="s">
        <v>200</v>
      </c>
      <c r="C108" s="21" t="s">
        <v>465</v>
      </c>
      <c r="D108" s="157">
        <v>2030000</v>
      </c>
      <c r="E108" s="21" t="s">
        <v>348</v>
      </c>
      <c r="F108" s="21" t="s">
        <v>349</v>
      </c>
      <c r="G108" s="8" t="str">
        <f t="shared" si="1"/>
        <v>KILLION DAVID</v>
      </c>
    </row>
    <row r="109" spans="1:7" x14ac:dyDescent="0.25">
      <c r="A109" s="8">
        <v>42764.557245370372</v>
      </c>
      <c r="B109" s="21" t="s">
        <v>194</v>
      </c>
      <c r="C109" s="21" t="s">
        <v>571</v>
      </c>
      <c r="D109" s="157">
        <v>1770000</v>
      </c>
      <c r="E109" s="21" t="s">
        <v>396</v>
      </c>
      <c r="F109" s="21" t="s">
        <v>397</v>
      </c>
      <c r="G109" s="8" t="str">
        <f t="shared" si="1"/>
        <v>BRUDER RICHARD</v>
      </c>
    </row>
    <row r="110" spans="1:7" x14ac:dyDescent="0.25">
      <c r="A110" s="8">
        <v>42764.567152777781</v>
      </c>
      <c r="B110" s="21" t="s">
        <v>302</v>
      </c>
      <c r="C110" s="21" t="s">
        <v>572</v>
      </c>
      <c r="D110" s="157">
        <v>1830000</v>
      </c>
      <c r="E110" s="21" t="s">
        <v>492</v>
      </c>
      <c r="F110" s="21" t="s">
        <v>493</v>
      </c>
      <c r="G110" s="8" t="str">
        <f t="shared" si="1"/>
        <v>YORK EDGAR</v>
      </c>
    </row>
    <row r="111" spans="1:7" x14ac:dyDescent="0.25">
      <c r="A111" s="8">
        <v>42764.568124999998</v>
      </c>
      <c r="B111" s="21" t="s">
        <v>466</v>
      </c>
      <c r="C111" s="21" t="s">
        <v>467</v>
      </c>
      <c r="D111" s="157">
        <v>880000</v>
      </c>
      <c r="E111" s="21" t="s">
        <v>392</v>
      </c>
      <c r="F111" s="21" t="s">
        <v>209</v>
      </c>
      <c r="G111" s="8" t="str">
        <f t="shared" si="1"/>
        <v>STEWART MICHAEL</v>
      </c>
    </row>
    <row r="112" spans="1:7" x14ac:dyDescent="0.25">
      <c r="A112" s="8">
        <v>42764.568159722221</v>
      </c>
      <c r="B112" s="21" t="s">
        <v>257</v>
      </c>
      <c r="C112" s="21" t="s">
        <v>573</v>
      </c>
      <c r="D112" s="157">
        <v>2250000</v>
      </c>
      <c r="E112" s="21" t="s">
        <v>557</v>
      </c>
      <c r="F112" s="21" t="s">
        <v>558</v>
      </c>
      <c r="G112" s="8" t="str">
        <f t="shared" si="1"/>
        <v>CRAYTON QUNTRELL</v>
      </c>
    </row>
    <row r="113" spans="1:7" x14ac:dyDescent="0.25">
      <c r="A113" s="8">
        <v>42764.57775462963</v>
      </c>
      <c r="B113" s="21" t="s">
        <v>323</v>
      </c>
      <c r="C113" s="21" t="s">
        <v>574</v>
      </c>
      <c r="D113" s="157">
        <v>2470000</v>
      </c>
      <c r="E113" s="21" t="s">
        <v>393</v>
      </c>
      <c r="F113" s="21" t="s">
        <v>394</v>
      </c>
      <c r="G113" s="8" t="str">
        <f t="shared" si="1"/>
        <v>ROMERO CHAD</v>
      </c>
    </row>
    <row r="114" spans="1:7" x14ac:dyDescent="0.25">
      <c r="A114" s="8">
        <v>42764.578148148146</v>
      </c>
      <c r="B114" s="21" t="s">
        <v>227</v>
      </c>
      <c r="C114" s="21" t="s">
        <v>575</v>
      </c>
      <c r="D114" s="157">
        <v>920000</v>
      </c>
      <c r="E114" s="21" t="s">
        <v>395</v>
      </c>
      <c r="F114" s="21" t="s">
        <v>209</v>
      </c>
      <c r="G114" s="8" t="str">
        <f t="shared" si="1"/>
        <v>DAVIS MICHAEL</v>
      </c>
    </row>
    <row r="115" spans="1:7" x14ac:dyDescent="0.25">
      <c r="A115" s="8">
        <v>42764.586944444447</v>
      </c>
      <c r="B115" s="21" t="s">
        <v>196</v>
      </c>
      <c r="C115" s="21" t="s">
        <v>576</v>
      </c>
      <c r="D115" s="157">
        <v>1300000</v>
      </c>
      <c r="E115" s="21" t="s">
        <v>398</v>
      </c>
      <c r="F115" s="21" t="s">
        <v>399</v>
      </c>
      <c r="G115" s="8" t="str">
        <f t="shared" si="1"/>
        <v>LEVIN SCOTT</v>
      </c>
    </row>
    <row r="116" spans="1:7" x14ac:dyDescent="0.25">
      <c r="A116" s="8">
        <v>42764.590856481482</v>
      </c>
      <c r="B116" s="21" t="s">
        <v>199</v>
      </c>
      <c r="C116" s="21" t="s">
        <v>577</v>
      </c>
      <c r="D116" s="157">
        <v>2030000</v>
      </c>
      <c r="E116" s="21" t="s">
        <v>348</v>
      </c>
      <c r="F116" s="21" t="s">
        <v>349</v>
      </c>
      <c r="G116" s="8" t="str">
        <f t="shared" si="1"/>
        <v>KILLION DAVID</v>
      </c>
    </row>
    <row r="117" spans="1:7" x14ac:dyDescent="0.25">
      <c r="A117" s="8">
        <v>42764.594756944447</v>
      </c>
      <c r="B117" s="21" t="s">
        <v>304</v>
      </c>
      <c r="C117" s="21" t="s">
        <v>578</v>
      </c>
      <c r="D117" s="157">
        <v>1540000</v>
      </c>
      <c r="E117" s="21" t="s">
        <v>402</v>
      </c>
      <c r="F117" s="21" t="s">
        <v>403</v>
      </c>
      <c r="G117" s="8" t="str">
        <f t="shared" si="1"/>
        <v>HELVIE ADAM</v>
      </c>
    </row>
    <row r="118" spans="1:7" x14ac:dyDescent="0.25">
      <c r="A118" s="8">
        <v>42764.597268518519</v>
      </c>
      <c r="B118" s="21" t="s">
        <v>256</v>
      </c>
      <c r="C118" s="21" t="s">
        <v>579</v>
      </c>
      <c r="D118" s="157">
        <v>1770000</v>
      </c>
      <c r="E118" s="21" t="s">
        <v>396</v>
      </c>
      <c r="F118" s="21" t="s">
        <v>397</v>
      </c>
      <c r="G118" s="8" t="str">
        <f t="shared" si="1"/>
        <v>BRUDER RICHARD</v>
      </c>
    </row>
    <row r="119" spans="1:7" x14ac:dyDescent="0.25">
      <c r="A119" s="8">
        <v>42764.60056712963</v>
      </c>
      <c r="B119" s="21" t="s">
        <v>387</v>
      </c>
      <c r="C119" s="21" t="s">
        <v>580</v>
      </c>
      <c r="D119" s="157">
        <v>880000</v>
      </c>
      <c r="E119" s="21" t="s">
        <v>392</v>
      </c>
      <c r="F119" s="21" t="s">
        <v>209</v>
      </c>
      <c r="G119" s="8" t="str">
        <f t="shared" si="1"/>
        <v>STEWART MICHAEL</v>
      </c>
    </row>
    <row r="120" spans="1:7" x14ac:dyDescent="0.25">
      <c r="A120" s="8">
        <v>42764.605150462965</v>
      </c>
      <c r="B120" s="21" t="s">
        <v>475</v>
      </c>
      <c r="C120" s="21" t="s">
        <v>581</v>
      </c>
      <c r="D120" s="157">
        <v>2250000</v>
      </c>
      <c r="E120" s="21" t="s">
        <v>557</v>
      </c>
      <c r="F120" s="21" t="s">
        <v>558</v>
      </c>
      <c r="G120" s="8" t="str">
        <f t="shared" si="1"/>
        <v>CRAYTON QUNTRELL</v>
      </c>
    </row>
    <row r="121" spans="1:7" x14ac:dyDescent="0.25">
      <c r="A121" s="8">
        <v>42764.610729166663</v>
      </c>
      <c r="B121" s="21" t="s">
        <v>318</v>
      </c>
      <c r="C121" s="21" t="s">
        <v>582</v>
      </c>
      <c r="D121" s="157">
        <v>2470000</v>
      </c>
      <c r="E121" s="21" t="s">
        <v>393</v>
      </c>
      <c r="F121" s="21" t="s">
        <v>394</v>
      </c>
      <c r="G121" s="8" t="str">
        <f t="shared" si="1"/>
        <v>ROMERO CHAD</v>
      </c>
    </row>
    <row r="122" spans="1:7" x14ac:dyDescent="0.25">
      <c r="A122" s="8">
        <v>42764.611064814817</v>
      </c>
      <c r="B122" s="26" t="s">
        <v>302</v>
      </c>
      <c r="C122" s="21" t="s">
        <v>583</v>
      </c>
      <c r="D122" s="157">
        <v>1540000</v>
      </c>
      <c r="E122" s="21" t="s">
        <v>402</v>
      </c>
      <c r="F122" s="21" t="s">
        <v>403</v>
      </c>
      <c r="G122" s="8" t="str">
        <f t="shared" si="1"/>
        <v>HELVIE ADAM</v>
      </c>
    </row>
    <row r="123" spans="1:7" x14ac:dyDescent="0.25">
      <c r="A123" s="8">
        <v>42764.612164351849</v>
      </c>
      <c r="B123" s="21" t="s">
        <v>256</v>
      </c>
      <c r="C123" s="21" t="s">
        <v>579</v>
      </c>
      <c r="D123" s="157">
        <v>1770000</v>
      </c>
      <c r="E123" s="21" t="s">
        <v>396</v>
      </c>
      <c r="F123" s="21" t="s">
        <v>397</v>
      </c>
      <c r="G123" s="8" t="str">
        <f t="shared" si="1"/>
        <v>BRUDER RICHARD</v>
      </c>
    </row>
    <row r="124" spans="1:7" x14ac:dyDescent="0.25">
      <c r="A124" s="8">
        <v>42764.614155092589</v>
      </c>
      <c r="B124" s="21" t="s">
        <v>261</v>
      </c>
      <c r="C124" s="21" t="s">
        <v>584</v>
      </c>
      <c r="D124" s="157">
        <v>920000</v>
      </c>
      <c r="E124" s="21" t="s">
        <v>395</v>
      </c>
      <c r="F124" s="21" t="s">
        <v>209</v>
      </c>
      <c r="G124" s="8" t="str">
        <f t="shared" si="1"/>
        <v>DAVIS MICHAEL</v>
      </c>
    </row>
    <row r="125" spans="1:7" x14ac:dyDescent="0.25">
      <c r="A125" s="8">
        <v>42764.623229166667</v>
      </c>
      <c r="B125" s="21" t="s">
        <v>192</v>
      </c>
      <c r="C125" s="21" t="s">
        <v>585</v>
      </c>
      <c r="D125" s="157">
        <v>1300000</v>
      </c>
      <c r="E125" s="21" t="s">
        <v>398</v>
      </c>
      <c r="F125" s="21" t="s">
        <v>399</v>
      </c>
      <c r="G125" s="8" t="str">
        <f t="shared" si="1"/>
        <v>LEVIN SCOTT</v>
      </c>
    </row>
    <row r="126" spans="1:7" x14ac:dyDescent="0.25">
      <c r="A126" s="8">
        <v>42764.624722222223</v>
      </c>
      <c r="B126" s="21" t="s">
        <v>200</v>
      </c>
      <c r="C126" s="21" t="s">
        <v>586</v>
      </c>
      <c r="D126" s="157">
        <v>2030000</v>
      </c>
      <c r="E126" s="21" t="s">
        <v>348</v>
      </c>
      <c r="F126" s="21" t="s">
        <v>349</v>
      </c>
      <c r="G126" s="8" t="str">
        <f t="shared" si="1"/>
        <v>KILLION DAVID</v>
      </c>
    </row>
    <row r="127" spans="1:7" x14ac:dyDescent="0.25">
      <c r="A127" s="8">
        <v>42764.631388888891</v>
      </c>
      <c r="B127" s="21" t="s">
        <v>194</v>
      </c>
      <c r="C127" s="21" t="s">
        <v>587</v>
      </c>
      <c r="D127" s="157">
        <v>1770000</v>
      </c>
      <c r="E127" s="21" t="s">
        <v>396</v>
      </c>
      <c r="F127" s="21" t="s">
        <v>397</v>
      </c>
      <c r="G127" s="8" t="str">
        <f t="shared" si="1"/>
        <v>BRUDER RICHARD</v>
      </c>
    </row>
    <row r="128" spans="1:7" x14ac:dyDescent="0.25">
      <c r="A128" s="8">
        <v>42764.638078703705</v>
      </c>
      <c r="B128" s="21" t="s">
        <v>304</v>
      </c>
      <c r="C128" s="21" t="s">
        <v>588</v>
      </c>
      <c r="D128" s="157">
        <v>1540000</v>
      </c>
      <c r="E128" s="21" t="s">
        <v>402</v>
      </c>
      <c r="F128" s="21" t="s">
        <v>403</v>
      </c>
      <c r="G128" s="8" t="str">
        <f t="shared" si="1"/>
        <v>HELVIE ADAM</v>
      </c>
    </row>
    <row r="129" spans="1:7" x14ac:dyDescent="0.25">
      <c r="A129" s="8">
        <v>42764.641180555554</v>
      </c>
      <c r="B129" s="21" t="s">
        <v>257</v>
      </c>
      <c r="C129" s="21" t="s">
        <v>589</v>
      </c>
      <c r="D129" s="157">
        <v>2250000</v>
      </c>
      <c r="E129" s="21" t="s">
        <v>557</v>
      </c>
      <c r="F129" s="21" t="s">
        <v>558</v>
      </c>
      <c r="G129" s="8" t="str">
        <f t="shared" si="1"/>
        <v>CRAYTON QUNTRELL</v>
      </c>
    </row>
    <row r="130" spans="1:7" x14ac:dyDescent="0.25">
      <c r="A130" s="8">
        <v>42764.642418981479</v>
      </c>
      <c r="B130" s="21" t="s">
        <v>466</v>
      </c>
      <c r="C130" s="21" t="s">
        <v>590</v>
      </c>
      <c r="D130" s="157">
        <v>880000</v>
      </c>
      <c r="E130" s="21" t="s">
        <v>392</v>
      </c>
      <c r="F130" s="21" t="s">
        <v>209</v>
      </c>
      <c r="G130" s="8" t="str">
        <f t="shared" si="1"/>
        <v>STEWART MICHAEL</v>
      </c>
    </row>
    <row r="131" spans="1:7" x14ac:dyDescent="0.25">
      <c r="A131" s="8">
        <v>42764.65011574074</v>
      </c>
      <c r="B131" s="21" t="s">
        <v>227</v>
      </c>
      <c r="C131" s="21" t="s">
        <v>591</v>
      </c>
      <c r="D131" s="157">
        <v>920000</v>
      </c>
      <c r="E131" s="21" t="s">
        <v>395</v>
      </c>
      <c r="F131" s="21" t="s">
        <v>209</v>
      </c>
      <c r="G131" s="8" t="str">
        <f t="shared" ref="G131:G194" si="2">E131&amp;" "&amp;F131</f>
        <v>DAVIS MICHAEL</v>
      </c>
    </row>
    <row r="132" spans="1:7" x14ac:dyDescent="0.25">
      <c r="A132" s="8">
        <v>42764.650914351849</v>
      </c>
      <c r="B132" s="21" t="s">
        <v>323</v>
      </c>
      <c r="C132" s="21" t="s">
        <v>592</v>
      </c>
      <c r="D132" s="157">
        <v>2470000</v>
      </c>
      <c r="E132" s="21" t="s">
        <v>393</v>
      </c>
      <c r="F132" s="21" t="s">
        <v>394</v>
      </c>
      <c r="G132" s="8" t="str">
        <f t="shared" si="2"/>
        <v>ROMERO CHAD</v>
      </c>
    </row>
    <row r="133" spans="1:7" x14ac:dyDescent="0.25">
      <c r="A133" s="8">
        <v>42764.652581018519</v>
      </c>
      <c r="B133" s="21" t="s">
        <v>302</v>
      </c>
      <c r="C133" s="21" t="s">
        <v>593</v>
      </c>
      <c r="D133" s="157">
        <v>1540000</v>
      </c>
      <c r="E133" s="21" t="s">
        <v>402</v>
      </c>
      <c r="F133" s="21" t="s">
        <v>403</v>
      </c>
      <c r="G133" s="8" t="str">
        <f t="shared" si="2"/>
        <v>HELVIE ADAM</v>
      </c>
    </row>
    <row r="134" spans="1:7" x14ac:dyDescent="0.25">
      <c r="A134" s="8">
        <v>42764.66128472222</v>
      </c>
      <c r="B134" s="21" t="s">
        <v>196</v>
      </c>
      <c r="C134" s="21" t="s">
        <v>594</v>
      </c>
      <c r="D134" s="157">
        <v>1300000</v>
      </c>
      <c r="E134" s="21" t="s">
        <v>398</v>
      </c>
      <c r="F134" s="21" t="s">
        <v>399</v>
      </c>
      <c r="G134" s="8" t="str">
        <f t="shared" si="2"/>
        <v>LEVIN SCOTT</v>
      </c>
    </row>
    <row r="135" spans="1:7" x14ac:dyDescent="0.25">
      <c r="A135" s="8">
        <v>42764.662256944444</v>
      </c>
      <c r="B135" s="21" t="s">
        <v>199</v>
      </c>
      <c r="C135" s="21" t="s">
        <v>595</v>
      </c>
      <c r="D135" s="157">
        <v>2030000</v>
      </c>
      <c r="E135" s="21" t="s">
        <v>348</v>
      </c>
      <c r="F135" s="21" t="s">
        <v>349</v>
      </c>
      <c r="G135" s="8" t="str">
        <f t="shared" si="2"/>
        <v>KILLION DAVID</v>
      </c>
    </row>
    <row r="136" spans="1:7" x14ac:dyDescent="0.25">
      <c r="A136" s="8">
        <v>42764.668275462966</v>
      </c>
      <c r="B136" s="21" t="s">
        <v>256</v>
      </c>
      <c r="C136" s="21" t="s">
        <v>596</v>
      </c>
      <c r="D136" s="157">
        <v>1770000</v>
      </c>
      <c r="E136" s="21" t="s">
        <v>396</v>
      </c>
      <c r="F136" s="21" t="s">
        <v>397</v>
      </c>
      <c r="G136" s="8" t="str">
        <f t="shared" si="2"/>
        <v>BRUDER RICHARD</v>
      </c>
    </row>
    <row r="137" spans="1:7" x14ac:dyDescent="0.25">
      <c r="A137" s="8">
        <v>42764.67465277778</v>
      </c>
      <c r="B137" s="21" t="s">
        <v>387</v>
      </c>
      <c r="C137" s="21" t="s">
        <v>597</v>
      </c>
      <c r="D137" s="157">
        <v>880000</v>
      </c>
      <c r="E137" s="21" t="s">
        <v>392</v>
      </c>
      <c r="F137" s="21" t="s">
        <v>209</v>
      </c>
      <c r="G137" s="8" t="str">
        <f t="shared" si="2"/>
        <v>STEWART MICHAEL</v>
      </c>
    </row>
    <row r="138" spans="1:7" x14ac:dyDescent="0.25">
      <c r="A138" s="8">
        <v>42764.679039351853</v>
      </c>
      <c r="B138" s="21" t="s">
        <v>475</v>
      </c>
      <c r="C138" s="21" t="s">
        <v>598</v>
      </c>
      <c r="D138" s="157">
        <v>2250000</v>
      </c>
      <c r="E138" s="21" t="s">
        <v>557</v>
      </c>
      <c r="F138" s="21" t="s">
        <v>558</v>
      </c>
      <c r="G138" s="8" t="str">
        <f t="shared" si="2"/>
        <v>CRAYTON QUNTRELL</v>
      </c>
    </row>
    <row r="139" spans="1:7" x14ac:dyDescent="0.25">
      <c r="A139" s="8">
        <v>42764.679861111108</v>
      </c>
      <c r="B139" s="21" t="s">
        <v>304</v>
      </c>
      <c r="C139" s="21" t="s">
        <v>468</v>
      </c>
      <c r="D139" s="157">
        <v>1540000</v>
      </c>
      <c r="E139" s="21" t="s">
        <v>402</v>
      </c>
      <c r="F139" s="21" t="s">
        <v>403</v>
      </c>
      <c r="G139" s="8" t="str">
        <f t="shared" si="2"/>
        <v>HELVIE ADAM</v>
      </c>
    </row>
    <row r="140" spans="1:7" x14ac:dyDescent="0.25">
      <c r="A140" s="8">
        <v>42764.683564814812</v>
      </c>
      <c r="B140" s="21" t="s">
        <v>318</v>
      </c>
      <c r="C140" s="21" t="s">
        <v>599</v>
      </c>
      <c r="D140" s="157">
        <v>2470000</v>
      </c>
      <c r="E140" s="21" t="s">
        <v>393</v>
      </c>
      <c r="F140" s="21" t="s">
        <v>394</v>
      </c>
      <c r="G140" s="8" t="str">
        <f t="shared" si="2"/>
        <v>ROMERO CHAD</v>
      </c>
    </row>
    <row r="141" spans="1:7" x14ac:dyDescent="0.25">
      <c r="A141" s="8">
        <v>42764.68472222222</v>
      </c>
      <c r="B141" s="21" t="s">
        <v>261</v>
      </c>
      <c r="C141" s="21" t="s">
        <v>600</v>
      </c>
      <c r="D141" s="157">
        <v>920000</v>
      </c>
      <c r="E141" s="21" t="s">
        <v>395</v>
      </c>
      <c r="F141" s="21" t="s">
        <v>209</v>
      </c>
      <c r="G141" s="8" t="str">
        <f t="shared" si="2"/>
        <v>DAVIS MICHAEL</v>
      </c>
    </row>
    <row r="142" spans="1:7" x14ac:dyDescent="0.25">
      <c r="A142" s="8">
        <v>42764.693912037037</v>
      </c>
      <c r="B142" s="21" t="s">
        <v>302</v>
      </c>
      <c r="C142" s="21" t="s">
        <v>601</v>
      </c>
      <c r="D142" s="157">
        <v>1540000</v>
      </c>
      <c r="E142" s="21" t="s">
        <v>402</v>
      </c>
      <c r="F142" s="21" t="s">
        <v>403</v>
      </c>
      <c r="G142" s="8" t="str">
        <f t="shared" si="2"/>
        <v>HELVIE ADAM</v>
      </c>
    </row>
    <row r="143" spans="1:7" x14ac:dyDescent="0.25">
      <c r="A143" s="8">
        <v>42764.694490740738</v>
      </c>
      <c r="B143" s="21" t="s">
        <v>192</v>
      </c>
      <c r="C143" s="21" t="s">
        <v>602</v>
      </c>
      <c r="D143" s="157">
        <v>1300000</v>
      </c>
      <c r="E143" s="21" t="s">
        <v>398</v>
      </c>
      <c r="F143" s="21" t="s">
        <v>399</v>
      </c>
      <c r="G143" s="8" t="str">
        <f t="shared" si="2"/>
        <v>LEVIN SCOTT</v>
      </c>
    </row>
    <row r="144" spans="1:7" x14ac:dyDescent="0.25">
      <c r="A144" s="8">
        <v>42764.694872685184</v>
      </c>
      <c r="B144" s="21" t="s">
        <v>296</v>
      </c>
      <c r="C144" s="21" t="s">
        <v>469</v>
      </c>
      <c r="D144" s="157">
        <v>1800000</v>
      </c>
      <c r="E144" s="21" t="s">
        <v>297</v>
      </c>
      <c r="F144" s="21" t="s">
        <v>298</v>
      </c>
      <c r="G144" s="8" t="str">
        <f t="shared" si="2"/>
        <v>CHANDLER KELVIN</v>
      </c>
    </row>
    <row r="145" spans="1:7" x14ac:dyDescent="0.25">
      <c r="A145" s="8">
        <v>42764.70034722222</v>
      </c>
      <c r="B145" s="21" t="s">
        <v>200</v>
      </c>
      <c r="C145" s="21" t="s">
        <v>470</v>
      </c>
      <c r="D145" s="157">
        <v>2030000</v>
      </c>
      <c r="E145" s="21" t="s">
        <v>348</v>
      </c>
      <c r="F145" s="21" t="s">
        <v>349</v>
      </c>
      <c r="G145" s="8" t="str">
        <f t="shared" si="2"/>
        <v>KILLION DAVID</v>
      </c>
    </row>
    <row r="146" spans="1:7" x14ac:dyDescent="0.25">
      <c r="A146" s="8">
        <v>42764.703773148147</v>
      </c>
      <c r="B146" s="21" t="s">
        <v>194</v>
      </c>
      <c r="C146" s="21" t="s">
        <v>603</v>
      </c>
      <c r="D146" s="157">
        <v>1770000</v>
      </c>
      <c r="E146" s="21" t="s">
        <v>396</v>
      </c>
      <c r="F146" s="21" t="s">
        <v>397</v>
      </c>
      <c r="G146" s="8" t="str">
        <f t="shared" si="2"/>
        <v>BRUDER RICHARD</v>
      </c>
    </row>
    <row r="147" spans="1:7" x14ac:dyDescent="0.25">
      <c r="A147" s="8">
        <v>42764.714155092595</v>
      </c>
      <c r="B147" s="21" t="s">
        <v>466</v>
      </c>
      <c r="C147" s="21" t="s">
        <v>604</v>
      </c>
      <c r="D147" s="157">
        <v>880000</v>
      </c>
      <c r="E147" s="21" t="s">
        <v>392</v>
      </c>
      <c r="F147" s="21" t="s">
        <v>209</v>
      </c>
      <c r="G147" s="8" t="str">
        <f t="shared" si="2"/>
        <v>STEWART MICHAEL</v>
      </c>
    </row>
    <row r="148" spans="1:7" x14ac:dyDescent="0.25">
      <c r="A148" s="8">
        <v>42764.716435185182</v>
      </c>
      <c r="B148" s="21" t="s">
        <v>257</v>
      </c>
      <c r="C148" s="21" t="s">
        <v>605</v>
      </c>
      <c r="D148" s="157">
        <v>1800000</v>
      </c>
      <c r="E148" s="21" t="s">
        <v>297</v>
      </c>
      <c r="F148" s="21" t="s">
        <v>298</v>
      </c>
      <c r="G148" s="8" t="str">
        <f t="shared" si="2"/>
        <v>CHANDLER KELVIN</v>
      </c>
    </row>
    <row r="149" spans="1:7" x14ac:dyDescent="0.25">
      <c r="A149" s="8">
        <v>42764.721342592595</v>
      </c>
      <c r="B149" s="21" t="s">
        <v>304</v>
      </c>
      <c r="C149" s="21" t="s">
        <v>606</v>
      </c>
      <c r="D149" s="157">
        <v>1540000</v>
      </c>
      <c r="E149" s="21" t="s">
        <v>402</v>
      </c>
      <c r="F149" s="21" t="s">
        <v>403</v>
      </c>
      <c r="G149" s="8" t="str">
        <f t="shared" si="2"/>
        <v>HELVIE ADAM</v>
      </c>
    </row>
    <row r="150" spans="1:7" x14ac:dyDescent="0.25">
      <c r="A150" s="8">
        <v>42764.72347222222</v>
      </c>
      <c r="B150" s="21" t="s">
        <v>227</v>
      </c>
      <c r="C150" s="21" t="s">
        <v>607</v>
      </c>
      <c r="D150" s="157">
        <v>920000</v>
      </c>
      <c r="E150" s="21" t="s">
        <v>395</v>
      </c>
      <c r="F150" s="21" t="s">
        <v>209</v>
      </c>
      <c r="G150" s="8" t="str">
        <f t="shared" si="2"/>
        <v>DAVIS MICHAEL</v>
      </c>
    </row>
    <row r="151" spans="1:7" x14ac:dyDescent="0.25">
      <c r="A151" s="8">
        <v>42764.725057870368</v>
      </c>
      <c r="B151" s="21" t="s">
        <v>240</v>
      </c>
      <c r="C151" s="21" t="s">
        <v>608</v>
      </c>
      <c r="D151" s="157">
        <v>2420000</v>
      </c>
      <c r="E151" s="21" t="s">
        <v>404</v>
      </c>
      <c r="F151" s="21" t="s">
        <v>405</v>
      </c>
      <c r="G151" s="8" t="str">
        <f t="shared" si="2"/>
        <v>HOLCOMB KAMDEN</v>
      </c>
    </row>
    <row r="152" spans="1:7" x14ac:dyDescent="0.25">
      <c r="A152" s="8">
        <v>42764.725706018522</v>
      </c>
      <c r="B152" s="21" t="s">
        <v>323</v>
      </c>
      <c r="C152" s="21" t="s">
        <v>609</v>
      </c>
      <c r="D152" s="157">
        <v>2250000</v>
      </c>
      <c r="E152" s="21" t="s">
        <v>557</v>
      </c>
      <c r="F152" s="21" t="s">
        <v>558</v>
      </c>
      <c r="G152" s="8" t="str">
        <f t="shared" si="2"/>
        <v>CRAYTON QUNTRELL</v>
      </c>
    </row>
    <row r="153" spans="1:7" x14ac:dyDescent="0.25">
      <c r="A153" s="8">
        <v>42764.726446759261</v>
      </c>
      <c r="B153" s="21" t="s">
        <v>295</v>
      </c>
      <c r="C153" s="21" t="s">
        <v>610</v>
      </c>
      <c r="D153" s="157">
        <v>2470000</v>
      </c>
      <c r="E153" s="21" t="s">
        <v>393</v>
      </c>
      <c r="F153" s="21" t="s">
        <v>394</v>
      </c>
      <c r="G153" s="8" t="str">
        <f t="shared" si="2"/>
        <v>ROMERO CHAD</v>
      </c>
    </row>
    <row r="154" spans="1:7" x14ac:dyDescent="0.25">
      <c r="A154" s="8">
        <v>42764.733414351853</v>
      </c>
      <c r="B154" s="21" t="s">
        <v>196</v>
      </c>
      <c r="C154" s="21" t="s">
        <v>611</v>
      </c>
      <c r="D154" s="157">
        <v>1300000</v>
      </c>
      <c r="E154" s="21" t="s">
        <v>398</v>
      </c>
      <c r="F154" s="21" t="s">
        <v>399</v>
      </c>
      <c r="G154" s="8" t="str">
        <f t="shared" si="2"/>
        <v>LEVIN SCOTT</v>
      </c>
    </row>
    <row r="155" spans="1:7" x14ac:dyDescent="0.25">
      <c r="A155" s="8">
        <v>42764.7346875</v>
      </c>
      <c r="B155" s="21" t="s">
        <v>302</v>
      </c>
      <c r="C155" s="21" t="s">
        <v>612</v>
      </c>
      <c r="D155" s="157">
        <v>1540000</v>
      </c>
      <c r="E155" s="21" t="s">
        <v>402</v>
      </c>
      <c r="F155" s="21" t="s">
        <v>403</v>
      </c>
      <c r="G155" s="8" t="str">
        <f t="shared" si="2"/>
        <v>HELVIE ADAM</v>
      </c>
    </row>
    <row r="156" spans="1:7" x14ac:dyDescent="0.25">
      <c r="A156" s="8">
        <v>42764.734884259262</v>
      </c>
      <c r="B156" s="21" t="s">
        <v>246</v>
      </c>
      <c r="C156" s="21" t="s">
        <v>613</v>
      </c>
      <c r="D156" s="157">
        <v>2670000</v>
      </c>
      <c r="E156" s="21" t="s">
        <v>270</v>
      </c>
      <c r="F156" s="21" t="s">
        <v>271</v>
      </c>
      <c r="G156" s="8" t="str">
        <f t="shared" si="2"/>
        <v>COMELLA JUSTIN</v>
      </c>
    </row>
    <row r="157" spans="1:7" x14ac:dyDescent="0.25">
      <c r="A157" s="8">
        <v>42764.738287037035</v>
      </c>
      <c r="B157" s="21" t="s">
        <v>199</v>
      </c>
      <c r="C157" s="21" t="s">
        <v>614</v>
      </c>
      <c r="D157" s="157">
        <v>1810000</v>
      </c>
      <c r="E157" s="21" t="s">
        <v>213</v>
      </c>
      <c r="F157" s="21" t="s">
        <v>205</v>
      </c>
      <c r="G157" s="8" t="str">
        <f t="shared" si="2"/>
        <v>NEWELL JAMES</v>
      </c>
    </row>
    <row r="158" spans="1:7" x14ac:dyDescent="0.25">
      <c r="A158" s="8">
        <v>42764.742951388886</v>
      </c>
      <c r="B158" s="21" t="s">
        <v>256</v>
      </c>
      <c r="C158" s="21" t="s">
        <v>615</v>
      </c>
      <c r="D158" s="157">
        <v>1770000</v>
      </c>
      <c r="E158" s="21" t="s">
        <v>396</v>
      </c>
      <c r="F158" s="21" t="s">
        <v>397</v>
      </c>
      <c r="G158" s="8" t="str">
        <f t="shared" si="2"/>
        <v>BRUDER RICHARD</v>
      </c>
    </row>
    <row r="159" spans="1:7" x14ac:dyDescent="0.25">
      <c r="A159" s="8">
        <v>42764.742986111109</v>
      </c>
      <c r="B159" s="21" t="s">
        <v>240</v>
      </c>
      <c r="C159" s="21" t="s">
        <v>616</v>
      </c>
      <c r="D159" s="157">
        <v>2030000</v>
      </c>
      <c r="E159" s="21" t="s">
        <v>348</v>
      </c>
      <c r="F159" s="21" t="s">
        <v>349</v>
      </c>
      <c r="G159" s="8" t="str">
        <f t="shared" si="2"/>
        <v>KILLION DAVID</v>
      </c>
    </row>
    <row r="160" spans="1:7" x14ac:dyDescent="0.25">
      <c r="A160" s="8">
        <v>42764.745347222219</v>
      </c>
      <c r="B160" s="21" t="s">
        <v>296</v>
      </c>
      <c r="C160" s="21" t="s">
        <v>471</v>
      </c>
      <c r="D160" s="157">
        <v>2000000</v>
      </c>
      <c r="E160" s="21" t="s">
        <v>283</v>
      </c>
      <c r="F160" s="21" t="s">
        <v>205</v>
      </c>
      <c r="G160" s="8" t="str">
        <f t="shared" si="2"/>
        <v>STAMBAUGH JAMES</v>
      </c>
    </row>
    <row r="161" spans="1:7" x14ac:dyDescent="0.25">
      <c r="A161" s="8">
        <v>42764.748356481483</v>
      </c>
      <c r="B161" s="21" t="s">
        <v>387</v>
      </c>
      <c r="C161" s="21" t="s">
        <v>608</v>
      </c>
      <c r="D161" s="157">
        <v>2420000</v>
      </c>
      <c r="E161" s="21" t="s">
        <v>404</v>
      </c>
      <c r="F161" s="21" t="s">
        <v>405</v>
      </c>
      <c r="G161" s="8" t="str">
        <f t="shared" si="2"/>
        <v>HOLCOMB KAMDEN</v>
      </c>
    </row>
    <row r="162" spans="1:7" x14ac:dyDescent="0.25">
      <c r="A162" s="8">
        <v>42764.755636574075</v>
      </c>
      <c r="B162" s="21" t="s">
        <v>475</v>
      </c>
      <c r="C162" s="21" t="s">
        <v>617</v>
      </c>
      <c r="D162" s="157">
        <v>1800000</v>
      </c>
      <c r="E162" s="21" t="s">
        <v>297</v>
      </c>
      <c r="F162" s="21" t="s">
        <v>298</v>
      </c>
      <c r="G162" s="8" t="str">
        <f t="shared" si="2"/>
        <v>CHANDLER KELVIN</v>
      </c>
    </row>
    <row r="163" spans="1:7" x14ac:dyDescent="0.25">
      <c r="A163" s="8">
        <v>42764.758090277777</v>
      </c>
      <c r="B163" s="21" t="s">
        <v>261</v>
      </c>
      <c r="C163" s="21" t="s">
        <v>618</v>
      </c>
      <c r="D163" s="157">
        <v>2230000</v>
      </c>
      <c r="E163" s="21" t="s">
        <v>282</v>
      </c>
      <c r="F163" s="21" t="s">
        <v>209</v>
      </c>
      <c r="G163" s="8" t="str">
        <f t="shared" si="2"/>
        <v>SMITH MICHAEL</v>
      </c>
    </row>
    <row r="164" spans="1:7" x14ac:dyDescent="0.25">
      <c r="A164" s="8">
        <v>42764.763495370367</v>
      </c>
      <c r="B164" s="21" t="s">
        <v>304</v>
      </c>
      <c r="C164" s="21" t="s">
        <v>619</v>
      </c>
      <c r="D164" s="157">
        <v>1540000</v>
      </c>
      <c r="E164" s="21" t="s">
        <v>402</v>
      </c>
      <c r="F164" s="21" t="s">
        <v>403</v>
      </c>
      <c r="G164" s="8" t="str">
        <f t="shared" si="2"/>
        <v>HELVIE ADAM</v>
      </c>
    </row>
    <row r="165" spans="1:7" x14ac:dyDescent="0.25">
      <c r="A165" s="8">
        <v>42764.763738425929</v>
      </c>
      <c r="B165" s="21" t="s">
        <v>318</v>
      </c>
      <c r="C165" s="21" t="s">
        <v>620</v>
      </c>
      <c r="D165" s="157">
        <v>2250000</v>
      </c>
      <c r="E165" s="21" t="s">
        <v>557</v>
      </c>
      <c r="F165" s="21" t="s">
        <v>558</v>
      </c>
      <c r="G165" s="8" t="str">
        <f t="shared" si="2"/>
        <v>CRAYTON QUNTRELL</v>
      </c>
    </row>
    <row r="166" spans="1:7" x14ac:dyDescent="0.25">
      <c r="A166" s="8">
        <v>42764.765393518515</v>
      </c>
      <c r="B166" s="21" t="s">
        <v>192</v>
      </c>
      <c r="C166" s="21" t="s">
        <v>621</v>
      </c>
      <c r="D166" s="157">
        <v>2000000</v>
      </c>
      <c r="E166" s="21" t="s">
        <v>283</v>
      </c>
      <c r="F166" s="21" t="s">
        <v>205</v>
      </c>
      <c r="G166" s="8" t="str">
        <f t="shared" si="2"/>
        <v>STAMBAUGH JAMES</v>
      </c>
    </row>
    <row r="167" spans="1:7" x14ac:dyDescent="0.25">
      <c r="A167" s="8">
        <v>42764.769803240742</v>
      </c>
      <c r="B167" s="21" t="s">
        <v>200</v>
      </c>
      <c r="C167" s="21" t="s">
        <v>622</v>
      </c>
      <c r="D167" s="157">
        <v>1810000</v>
      </c>
      <c r="E167" s="21" t="s">
        <v>213</v>
      </c>
      <c r="F167" s="21" t="s">
        <v>205</v>
      </c>
      <c r="G167" s="8" t="str">
        <f t="shared" si="2"/>
        <v>NEWELL JAMES</v>
      </c>
    </row>
    <row r="168" spans="1:7" x14ac:dyDescent="0.25">
      <c r="A168" s="8">
        <v>42764.770532407405</v>
      </c>
      <c r="B168" s="21" t="s">
        <v>295</v>
      </c>
      <c r="C168" s="21" t="s">
        <v>623</v>
      </c>
      <c r="D168" s="157">
        <v>1300000</v>
      </c>
      <c r="E168" s="21" t="s">
        <v>398</v>
      </c>
      <c r="F168" s="21" t="s">
        <v>399</v>
      </c>
      <c r="G168" s="8" t="str">
        <f t="shared" si="2"/>
        <v>LEVIN SCOTT</v>
      </c>
    </row>
    <row r="169" spans="1:7" x14ac:dyDescent="0.25">
      <c r="A169" s="8">
        <v>42764.775960648149</v>
      </c>
      <c r="B169" s="21" t="s">
        <v>194</v>
      </c>
      <c r="C169" s="21" t="s">
        <v>624</v>
      </c>
      <c r="D169" s="157">
        <v>1770000</v>
      </c>
      <c r="E169" s="21" t="s">
        <v>396</v>
      </c>
      <c r="F169" s="21" t="s">
        <v>397</v>
      </c>
      <c r="G169" s="8" t="str">
        <f t="shared" si="2"/>
        <v>BRUDER RICHARD</v>
      </c>
    </row>
    <row r="170" spans="1:7" x14ac:dyDescent="0.25">
      <c r="A170" s="8">
        <v>42764.777962962966</v>
      </c>
      <c r="B170" s="21" t="s">
        <v>296</v>
      </c>
      <c r="C170" s="21" t="s">
        <v>623</v>
      </c>
      <c r="D170" s="157">
        <v>1300000</v>
      </c>
      <c r="E170" s="21" t="s">
        <v>398</v>
      </c>
      <c r="F170" s="21" t="s">
        <v>399</v>
      </c>
      <c r="G170" s="8" t="str">
        <f t="shared" si="2"/>
        <v>LEVIN SCOTT</v>
      </c>
    </row>
    <row r="171" spans="1:7" x14ac:dyDescent="0.25">
      <c r="A171" s="8">
        <v>42764.779166666667</v>
      </c>
      <c r="B171" s="21" t="s">
        <v>302</v>
      </c>
      <c r="C171" s="21" t="s">
        <v>625</v>
      </c>
      <c r="D171" s="157">
        <v>1540000</v>
      </c>
      <c r="E171" s="21" t="s">
        <v>402</v>
      </c>
      <c r="F171" s="21" t="s">
        <v>403</v>
      </c>
      <c r="G171" s="8" t="str">
        <f t="shared" si="2"/>
        <v>HELVIE ADAM</v>
      </c>
    </row>
    <row r="172" spans="1:7" x14ac:dyDescent="0.25">
      <c r="A172" s="8">
        <v>42764.781585648147</v>
      </c>
      <c r="B172" s="21" t="s">
        <v>239</v>
      </c>
      <c r="C172" s="21" t="s">
        <v>472</v>
      </c>
      <c r="D172" s="157">
        <v>2030000</v>
      </c>
      <c r="E172" s="21" t="s">
        <v>348</v>
      </c>
      <c r="F172" s="21" t="s">
        <v>349</v>
      </c>
      <c r="G172" s="8" t="str">
        <f t="shared" si="2"/>
        <v>KILLION DAVID</v>
      </c>
    </row>
    <row r="173" spans="1:7" x14ac:dyDescent="0.25">
      <c r="A173" s="8">
        <v>42764.790358796294</v>
      </c>
      <c r="B173" s="21" t="s">
        <v>257</v>
      </c>
      <c r="C173" s="21" t="s">
        <v>626</v>
      </c>
      <c r="D173" s="157">
        <v>1800000</v>
      </c>
      <c r="E173" s="21" t="s">
        <v>297</v>
      </c>
      <c r="F173" s="21" t="s">
        <v>298</v>
      </c>
      <c r="G173" s="8" t="str">
        <f t="shared" si="2"/>
        <v>CHANDLER KELVIN</v>
      </c>
    </row>
    <row r="174" spans="1:7" x14ac:dyDescent="0.25">
      <c r="A174" s="8">
        <v>42764.791527777779</v>
      </c>
      <c r="B174" s="21" t="s">
        <v>227</v>
      </c>
      <c r="C174" s="21" t="s">
        <v>627</v>
      </c>
      <c r="D174" s="157">
        <v>2230000</v>
      </c>
      <c r="E174" s="21" t="s">
        <v>282</v>
      </c>
      <c r="F174" s="21" t="s">
        <v>209</v>
      </c>
      <c r="G174" s="8" t="str">
        <f t="shared" si="2"/>
        <v>SMITH MICHAEL</v>
      </c>
    </row>
    <row r="175" spans="1:7" x14ac:dyDescent="0.25">
      <c r="A175" s="8">
        <v>42764.797673611109</v>
      </c>
      <c r="B175" s="21" t="s">
        <v>323</v>
      </c>
      <c r="C175" s="21" t="s">
        <v>628</v>
      </c>
      <c r="D175" s="157">
        <v>2250000</v>
      </c>
      <c r="E175" s="21" t="s">
        <v>557</v>
      </c>
      <c r="F175" s="21" t="s">
        <v>558</v>
      </c>
      <c r="G175" s="8" t="str">
        <f t="shared" si="2"/>
        <v>CRAYTON QUNTRELL</v>
      </c>
    </row>
    <row r="176" spans="1:7" x14ac:dyDescent="0.25">
      <c r="A176" s="8">
        <v>42764.803449074076</v>
      </c>
      <c r="B176" s="21" t="s">
        <v>196</v>
      </c>
      <c r="C176" s="21" t="s">
        <v>629</v>
      </c>
      <c r="D176" s="157">
        <v>2000000</v>
      </c>
      <c r="E176" s="21" t="s">
        <v>283</v>
      </c>
      <c r="F176" s="21" t="s">
        <v>205</v>
      </c>
      <c r="G176" s="8" t="str">
        <f t="shared" si="2"/>
        <v>STAMBAUGH JAMES</v>
      </c>
    </row>
    <row r="177" spans="1:7" x14ac:dyDescent="0.25">
      <c r="A177" s="8">
        <v>42764.804386574076</v>
      </c>
      <c r="B177" s="21" t="s">
        <v>304</v>
      </c>
      <c r="C177" s="21" t="s">
        <v>630</v>
      </c>
      <c r="D177" s="157">
        <v>1540000</v>
      </c>
      <c r="E177" s="21" t="s">
        <v>402</v>
      </c>
      <c r="F177" s="21" t="s">
        <v>403</v>
      </c>
      <c r="G177" s="8" t="str">
        <f t="shared" si="2"/>
        <v>HELVIE ADAM</v>
      </c>
    </row>
    <row r="178" spans="1:7" x14ac:dyDescent="0.25">
      <c r="A178" s="8">
        <v>42764.80636574074</v>
      </c>
      <c r="B178" s="21" t="s">
        <v>199</v>
      </c>
      <c r="C178" s="21" t="s">
        <v>631</v>
      </c>
      <c r="D178" s="157">
        <v>1810000</v>
      </c>
      <c r="E178" s="21" t="s">
        <v>213</v>
      </c>
      <c r="F178" s="21" t="s">
        <v>205</v>
      </c>
      <c r="G178" s="8" t="str">
        <f t="shared" si="2"/>
        <v>NEWELL JAMES</v>
      </c>
    </row>
    <row r="179" spans="1:7" x14ac:dyDescent="0.25">
      <c r="A179" s="8">
        <v>42764.818229166667</v>
      </c>
      <c r="B179" s="21" t="s">
        <v>302</v>
      </c>
      <c r="C179" s="21" t="s">
        <v>632</v>
      </c>
      <c r="D179" s="157">
        <v>1540000</v>
      </c>
      <c r="E179" s="21" t="s">
        <v>402</v>
      </c>
      <c r="F179" s="21" t="s">
        <v>403</v>
      </c>
      <c r="G179" s="8" t="str">
        <f t="shared" si="2"/>
        <v>HELVIE ADAM</v>
      </c>
    </row>
    <row r="180" spans="1:7" x14ac:dyDescent="0.25">
      <c r="A180" s="8">
        <v>42764.819039351853</v>
      </c>
      <c r="B180" s="21" t="s">
        <v>240</v>
      </c>
      <c r="C180" s="21" t="s">
        <v>633</v>
      </c>
      <c r="D180" s="157">
        <v>2030000</v>
      </c>
      <c r="E180" s="21" t="s">
        <v>348</v>
      </c>
      <c r="F180" s="21" t="s">
        <v>349</v>
      </c>
      <c r="G180" s="8" t="str">
        <f t="shared" si="2"/>
        <v>KILLION DAVID</v>
      </c>
    </row>
    <row r="181" spans="1:7" x14ac:dyDescent="0.25">
      <c r="A181" s="8">
        <v>42764.829074074078</v>
      </c>
      <c r="B181" s="21" t="s">
        <v>261</v>
      </c>
      <c r="C181" s="21" t="s">
        <v>634</v>
      </c>
      <c r="D181" s="157">
        <v>2230000</v>
      </c>
      <c r="E181" s="21" t="s">
        <v>282</v>
      </c>
      <c r="F181" s="21" t="s">
        <v>209</v>
      </c>
      <c r="G181" s="8" t="str">
        <f t="shared" si="2"/>
        <v>SMITH MICHAEL</v>
      </c>
    </row>
    <row r="182" spans="1:7" x14ac:dyDescent="0.25">
      <c r="A182" s="8">
        <v>42764.829467592594</v>
      </c>
      <c r="B182" s="21" t="s">
        <v>475</v>
      </c>
      <c r="C182" s="21" t="s">
        <v>635</v>
      </c>
      <c r="D182" s="157">
        <v>1800000</v>
      </c>
      <c r="E182" s="21" t="s">
        <v>297</v>
      </c>
      <c r="F182" s="21" t="s">
        <v>298</v>
      </c>
      <c r="G182" s="8" t="str">
        <f t="shared" si="2"/>
        <v>CHANDLER KELVIN</v>
      </c>
    </row>
    <row r="183" spans="1:7" x14ac:dyDescent="0.25">
      <c r="A183" s="8">
        <v>42764.83834490741</v>
      </c>
      <c r="B183" s="21" t="s">
        <v>192</v>
      </c>
      <c r="C183" s="21" t="s">
        <v>636</v>
      </c>
      <c r="D183" s="157">
        <v>2000000</v>
      </c>
      <c r="E183" s="21" t="s">
        <v>283</v>
      </c>
      <c r="F183" s="21" t="s">
        <v>205</v>
      </c>
      <c r="G183" s="8" t="str">
        <f t="shared" si="2"/>
        <v>STAMBAUGH JAMES</v>
      </c>
    </row>
    <row r="184" spans="1:7" x14ac:dyDescent="0.25">
      <c r="A184" s="8">
        <v>42764.845208333332</v>
      </c>
      <c r="B184" s="21" t="s">
        <v>304</v>
      </c>
      <c r="C184" s="21" t="s">
        <v>637</v>
      </c>
      <c r="D184" s="157">
        <v>1540000</v>
      </c>
      <c r="E184" s="21" t="s">
        <v>402</v>
      </c>
      <c r="F184" s="21" t="s">
        <v>403</v>
      </c>
      <c r="G184" s="8" t="str">
        <f t="shared" si="2"/>
        <v>HELVIE ADAM</v>
      </c>
    </row>
    <row r="185" spans="1:7" x14ac:dyDescent="0.25">
      <c r="A185" s="8">
        <v>42764.847800925927</v>
      </c>
      <c r="B185" s="21" t="s">
        <v>200</v>
      </c>
      <c r="C185" s="21" t="s">
        <v>638</v>
      </c>
      <c r="D185" s="157">
        <v>1810000</v>
      </c>
      <c r="E185" s="21" t="s">
        <v>213</v>
      </c>
      <c r="F185" s="21" t="s">
        <v>205</v>
      </c>
      <c r="G185" s="8" t="str">
        <f t="shared" si="2"/>
        <v>NEWELL JAMES</v>
      </c>
    </row>
    <row r="186" spans="1:7" x14ac:dyDescent="0.25">
      <c r="A186" s="8">
        <v>42764.859675925924</v>
      </c>
      <c r="B186" s="21" t="s">
        <v>302</v>
      </c>
      <c r="C186" s="21" t="s">
        <v>639</v>
      </c>
      <c r="D186" s="157">
        <v>1540000</v>
      </c>
      <c r="E186" s="21" t="s">
        <v>402</v>
      </c>
      <c r="F186" s="21" t="s">
        <v>403</v>
      </c>
      <c r="G186" s="8" t="str">
        <f t="shared" si="2"/>
        <v>HELVIE ADAM</v>
      </c>
    </row>
    <row r="187" spans="1:7" x14ac:dyDescent="0.25">
      <c r="A187" s="8">
        <v>42764.863692129627</v>
      </c>
      <c r="B187" s="21" t="s">
        <v>227</v>
      </c>
      <c r="C187" s="21" t="s">
        <v>640</v>
      </c>
      <c r="D187" s="157">
        <v>2230000</v>
      </c>
      <c r="E187" s="21" t="s">
        <v>282</v>
      </c>
      <c r="F187" s="21" t="s">
        <v>209</v>
      </c>
      <c r="G187" s="8" t="str">
        <f t="shared" si="2"/>
        <v>SMITH MICHAEL</v>
      </c>
    </row>
    <row r="188" spans="1:7" x14ac:dyDescent="0.25">
      <c r="A188" s="8">
        <v>42764.873032407406</v>
      </c>
      <c r="B188" s="21" t="s">
        <v>257</v>
      </c>
      <c r="C188" s="21" t="s">
        <v>641</v>
      </c>
      <c r="D188" s="157">
        <v>1800000</v>
      </c>
      <c r="E188" s="21" t="s">
        <v>297</v>
      </c>
      <c r="F188" s="21" t="s">
        <v>298</v>
      </c>
      <c r="G188" s="8" t="str">
        <f t="shared" si="2"/>
        <v>CHANDLER KELVIN</v>
      </c>
    </row>
    <row r="189" spans="1:7" x14ac:dyDescent="0.25">
      <c r="A189" s="8">
        <v>42764.883726851855</v>
      </c>
      <c r="B189" s="21" t="s">
        <v>304</v>
      </c>
      <c r="C189" s="21" t="s">
        <v>642</v>
      </c>
      <c r="D189" s="157">
        <v>1540000</v>
      </c>
      <c r="E189" s="21" t="s">
        <v>402</v>
      </c>
      <c r="F189" s="21" t="s">
        <v>403</v>
      </c>
      <c r="G189" s="8" t="str">
        <f t="shared" si="2"/>
        <v>HELVIE ADAM</v>
      </c>
    </row>
    <row r="190" spans="1:7" x14ac:dyDescent="0.25">
      <c r="A190" s="8">
        <v>42764.890717592592</v>
      </c>
      <c r="B190" s="21" t="s">
        <v>196</v>
      </c>
      <c r="C190" s="21" t="s">
        <v>643</v>
      </c>
      <c r="D190" s="157">
        <v>2000000</v>
      </c>
      <c r="E190" s="21" t="s">
        <v>283</v>
      </c>
      <c r="F190" s="21" t="s">
        <v>205</v>
      </c>
      <c r="G190" s="8" t="str">
        <f t="shared" si="2"/>
        <v>STAMBAUGH JAMES</v>
      </c>
    </row>
    <row r="191" spans="1:7" x14ac:dyDescent="0.25">
      <c r="A191" s="8">
        <v>42764.891562500001</v>
      </c>
      <c r="B191" s="21" t="s">
        <v>199</v>
      </c>
      <c r="C191" s="21" t="s">
        <v>644</v>
      </c>
      <c r="D191" s="157">
        <v>1810000</v>
      </c>
      <c r="E191" s="21" t="s">
        <v>213</v>
      </c>
      <c r="F191" s="21" t="s">
        <v>205</v>
      </c>
      <c r="G191" s="8" t="str">
        <f t="shared" si="2"/>
        <v>NEWELL JAMES</v>
      </c>
    </row>
    <row r="192" spans="1:7" x14ac:dyDescent="0.25">
      <c r="A192" s="8">
        <v>42764.903020833335</v>
      </c>
      <c r="B192" s="21" t="s">
        <v>302</v>
      </c>
      <c r="C192" s="21" t="s">
        <v>645</v>
      </c>
      <c r="D192" s="157">
        <v>1540000</v>
      </c>
      <c r="E192" s="21" t="s">
        <v>402</v>
      </c>
      <c r="F192" s="21" t="s">
        <v>403</v>
      </c>
      <c r="G192" s="8" t="str">
        <f t="shared" si="2"/>
        <v>HELVIE ADAM</v>
      </c>
    </row>
    <row r="193" spans="1:7" x14ac:dyDescent="0.25">
      <c r="A193" s="8">
        <v>42764.904652777775</v>
      </c>
      <c r="B193" s="21" t="s">
        <v>261</v>
      </c>
      <c r="C193" s="21" t="s">
        <v>646</v>
      </c>
      <c r="D193" s="157">
        <v>2230000</v>
      </c>
      <c r="E193" s="21" t="s">
        <v>282</v>
      </c>
      <c r="F193" s="21" t="s">
        <v>209</v>
      </c>
      <c r="G193" s="8" t="str">
        <f t="shared" si="2"/>
        <v>SMITH MICHAEL</v>
      </c>
    </row>
    <row r="194" spans="1:7" x14ac:dyDescent="0.25">
      <c r="A194" s="8">
        <v>42764.912291666667</v>
      </c>
      <c r="B194" s="21" t="s">
        <v>475</v>
      </c>
      <c r="C194" s="21" t="s">
        <v>647</v>
      </c>
      <c r="D194" s="157">
        <v>1800000</v>
      </c>
      <c r="E194" s="21" t="s">
        <v>297</v>
      </c>
      <c r="F194" s="21" t="s">
        <v>298</v>
      </c>
      <c r="G194" s="8" t="str">
        <f t="shared" si="2"/>
        <v>CHANDLER KELVIN</v>
      </c>
    </row>
    <row r="195" spans="1:7" x14ac:dyDescent="0.25">
      <c r="A195" s="8">
        <v>42764.922488425924</v>
      </c>
      <c r="B195" s="21" t="s">
        <v>192</v>
      </c>
      <c r="C195" s="21" t="s">
        <v>648</v>
      </c>
      <c r="D195" s="157">
        <v>2000000</v>
      </c>
      <c r="E195" s="21" t="s">
        <v>283</v>
      </c>
      <c r="F195" s="21" t="s">
        <v>205</v>
      </c>
      <c r="G195" s="8" t="str">
        <f t="shared" ref="G195:G258" si="3">E195&amp;" "&amp;F195</f>
        <v>STAMBAUGH JAMES</v>
      </c>
    </row>
    <row r="196" spans="1:7" x14ac:dyDescent="0.25">
      <c r="A196" s="8">
        <v>42764.932627314818</v>
      </c>
      <c r="B196" s="21" t="s">
        <v>200</v>
      </c>
      <c r="C196" s="21" t="s">
        <v>649</v>
      </c>
      <c r="D196" s="157">
        <v>1810000</v>
      </c>
      <c r="E196" s="21" t="s">
        <v>213</v>
      </c>
      <c r="F196" s="21" t="s">
        <v>205</v>
      </c>
      <c r="G196" s="8" t="str">
        <f t="shared" si="3"/>
        <v>NEWELL JAMES</v>
      </c>
    </row>
    <row r="197" spans="1:7" x14ac:dyDescent="0.25">
      <c r="A197" s="8">
        <v>42764.932812500003</v>
      </c>
      <c r="B197" s="21" t="s">
        <v>304</v>
      </c>
      <c r="C197" s="21" t="s">
        <v>650</v>
      </c>
      <c r="D197" s="157">
        <v>1540000</v>
      </c>
      <c r="E197" s="21" t="s">
        <v>402</v>
      </c>
      <c r="F197" s="21" t="s">
        <v>403</v>
      </c>
      <c r="G197" s="8" t="str">
        <f t="shared" si="3"/>
        <v>HELVIE ADAM</v>
      </c>
    </row>
    <row r="198" spans="1:7" x14ac:dyDescent="0.25">
      <c r="A198" s="8">
        <v>42764.944201388891</v>
      </c>
      <c r="B198" s="21" t="s">
        <v>302</v>
      </c>
      <c r="C198" s="21" t="s">
        <v>651</v>
      </c>
      <c r="D198" s="157">
        <v>1540000</v>
      </c>
      <c r="E198" s="21" t="s">
        <v>402</v>
      </c>
      <c r="F198" s="21" t="s">
        <v>403</v>
      </c>
      <c r="G198" s="8" t="str">
        <f t="shared" si="3"/>
        <v>HELVIE ADAM</v>
      </c>
    </row>
    <row r="199" spans="1:7" x14ac:dyDescent="0.25">
      <c r="A199" s="8">
        <v>42764.947881944441</v>
      </c>
      <c r="B199" s="21" t="s">
        <v>227</v>
      </c>
      <c r="C199" s="21" t="s">
        <v>652</v>
      </c>
      <c r="D199" s="157">
        <v>2230000</v>
      </c>
      <c r="E199" s="21" t="s">
        <v>282</v>
      </c>
      <c r="F199" s="21" t="s">
        <v>209</v>
      </c>
      <c r="G199" s="8" t="str">
        <f t="shared" si="3"/>
        <v>SMITH MICHAEL</v>
      </c>
    </row>
    <row r="200" spans="1:7" x14ac:dyDescent="0.25">
      <c r="A200" s="8">
        <v>42764.95553240741</v>
      </c>
      <c r="B200" s="21" t="s">
        <v>257</v>
      </c>
      <c r="C200" s="21" t="s">
        <v>473</v>
      </c>
      <c r="D200" s="157">
        <v>1800000</v>
      </c>
      <c r="E200" s="21" t="s">
        <v>297</v>
      </c>
      <c r="F200" s="21" t="s">
        <v>298</v>
      </c>
      <c r="G200" s="8" t="str">
        <f t="shared" si="3"/>
        <v>CHANDLER KELVIN</v>
      </c>
    </row>
    <row r="201" spans="1:7" x14ac:dyDescent="0.25">
      <c r="A201" s="8">
        <v>42764.962939814817</v>
      </c>
      <c r="B201" s="21" t="s">
        <v>199</v>
      </c>
      <c r="C201" s="21" t="s">
        <v>653</v>
      </c>
      <c r="D201" s="157">
        <v>1810000</v>
      </c>
      <c r="E201" s="21" t="s">
        <v>213</v>
      </c>
      <c r="F201" s="21" t="s">
        <v>205</v>
      </c>
      <c r="G201" s="8" t="str">
        <f t="shared" si="3"/>
        <v>NEWELL JAMES</v>
      </c>
    </row>
    <row r="202" spans="1:7" x14ac:dyDescent="0.25">
      <c r="A202" s="27">
        <v>42764.975243055553</v>
      </c>
      <c r="B202" s="21" t="s">
        <v>196</v>
      </c>
      <c r="C202" s="21" t="s">
        <v>474</v>
      </c>
      <c r="D202" s="157">
        <v>2000000</v>
      </c>
      <c r="E202" s="21" t="s">
        <v>283</v>
      </c>
      <c r="F202" s="21" t="s">
        <v>205</v>
      </c>
      <c r="G202" s="8" t="str">
        <f t="shared" si="3"/>
        <v>STAMBAUGH JAMES</v>
      </c>
    </row>
    <row r="203" spans="1:7" x14ac:dyDescent="0.25">
      <c r="A203" s="8">
        <v>42764.991493055553</v>
      </c>
      <c r="B203" s="21" t="s">
        <v>261</v>
      </c>
      <c r="C203" s="21" t="s">
        <v>654</v>
      </c>
      <c r="D203" s="157">
        <v>2230000</v>
      </c>
      <c r="E203" s="21" t="s">
        <v>282</v>
      </c>
      <c r="F203" s="21" t="s">
        <v>209</v>
      </c>
      <c r="G203" s="8" t="str">
        <f t="shared" si="3"/>
        <v>SMITH MICHAEL</v>
      </c>
    </row>
    <row r="204" spans="1:7" x14ac:dyDescent="0.25">
      <c r="A204" s="8">
        <v>42764.99490740741</v>
      </c>
      <c r="B204" s="21" t="s">
        <v>475</v>
      </c>
      <c r="C204" s="21" t="s">
        <v>476</v>
      </c>
      <c r="D204" s="157">
        <v>1800000</v>
      </c>
      <c r="E204" s="21" t="s">
        <v>297</v>
      </c>
      <c r="F204" s="21" t="s">
        <v>298</v>
      </c>
      <c r="G204" s="8" t="str">
        <f t="shared" si="3"/>
        <v>CHANDLER KELVIN</v>
      </c>
    </row>
    <row r="205" spans="1:7" x14ac:dyDescent="0.25">
      <c r="A205" s="8">
        <v>42765.004641203705</v>
      </c>
      <c r="B205" s="21" t="s">
        <v>192</v>
      </c>
      <c r="C205" s="21" t="s">
        <v>655</v>
      </c>
      <c r="D205" s="157">
        <v>2000000</v>
      </c>
      <c r="E205" s="21" t="s">
        <v>283</v>
      </c>
      <c r="F205" s="21" t="s">
        <v>205</v>
      </c>
      <c r="G205" s="8" t="str">
        <f t="shared" si="3"/>
        <v>STAMBAUGH JAMES</v>
      </c>
    </row>
    <row r="206" spans="1:7" x14ac:dyDescent="0.25">
      <c r="A206" s="8">
        <v>42765.015370370369</v>
      </c>
      <c r="B206" s="21" t="s">
        <v>200</v>
      </c>
      <c r="C206" s="21" t="s">
        <v>656</v>
      </c>
      <c r="D206" s="157">
        <v>1810000</v>
      </c>
      <c r="E206" s="21" t="s">
        <v>213</v>
      </c>
      <c r="F206" s="21" t="s">
        <v>205</v>
      </c>
      <c r="G206" s="8" t="str">
        <f t="shared" si="3"/>
        <v>NEWELL JAMES</v>
      </c>
    </row>
    <row r="207" spans="1:7" x14ac:dyDescent="0.25">
      <c r="A207" s="8">
        <v>42765.028912037036</v>
      </c>
      <c r="B207" s="21" t="s">
        <v>257</v>
      </c>
      <c r="C207" s="21" t="s">
        <v>657</v>
      </c>
      <c r="D207" s="157">
        <v>1800000</v>
      </c>
      <c r="E207" s="21" t="s">
        <v>297</v>
      </c>
      <c r="F207" s="21" t="s">
        <v>298</v>
      </c>
      <c r="G207" s="8" t="str">
        <f t="shared" si="3"/>
        <v>CHANDLER KELVIN</v>
      </c>
    </row>
    <row r="208" spans="1:7" x14ac:dyDescent="0.25">
      <c r="A208" s="8">
        <v>42765.029652777775</v>
      </c>
      <c r="B208" s="21" t="s">
        <v>227</v>
      </c>
      <c r="C208" s="21" t="s">
        <v>658</v>
      </c>
      <c r="D208" s="157">
        <v>2230000</v>
      </c>
      <c r="E208" s="21" t="s">
        <v>282</v>
      </c>
      <c r="F208" s="21" t="s">
        <v>209</v>
      </c>
      <c r="G208" s="8" t="str">
        <f t="shared" si="3"/>
        <v>SMITH MICHAEL</v>
      </c>
    </row>
    <row r="209" spans="1:7" x14ac:dyDescent="0.25">
      <c r="A209" s="8">
        <v>42765.030150462961</v>
      </c>
      <c r="B209" s="21" t="s">
        <v>257</v>
      </c>
      <c r="C209" s="21" t="s">
        <v>657</v>
      </c>
      <c r="D209" s="157">
        <v>1800000</v>
      </c>
      <c r="E209" s="21" t="s">
        <v>297</v>
      </c>
      <c r="F209" s="21" t="s">
        <v>298</v>
      </c>
      <c r="G209" s="8" t="str">
        <f t="shared" si="3"/>
        <v>CHANDLER KELVIN</v>
      </c>
    </row>
    <row r="210" spans="1:7" x14ac:dyDescent="0.25">
      <c r="A210" s="8">
        <v>42765.032847222225</v>
      </c>
      <c r="B210" s="21" t="s">
        <v>200</v>
      </c>
      <c r="C210" s="21" t="s">
        <v>656</v>
      </c>
      <c r="D210" s="157">
        <v>1810000</v>
      </c>
      <c r="E210" s="21" t="s">
        <v>213</v>
      </c>
      <c r="F210" s="21" t="s">
        <v>205</v>
      </c>
      <c r="G210" s="8" t="str">
        <f t="shared" si="3"/>
        <v>NEWELL JAMES</v>
      </c>
    </row>
    <row r="211" spans="1:7" x14ac:dyDescent="0.25">
      <c r="A211" s="8">
        <v>42765.04965277778</v>
      </c>
      <c r="B211" s="21" t="s">
        <v>199</v>
      </c>
      <c r="C211" s="21" t="s">
        <v>659</v>
      </c>
      <c r="D211" s="157">
        <v>1810000</v>
      </c>
      <c r="E211" s="21" t="s">
        <v>213</v>
      </c>
      <c r="F211" s="21" t="s">
        <v>205</v>
      </c>
      <c r="G211" s="8" t="str">
        <f t="shared" si="3"/>
        <v>NEWELL JAMES</v>
      </c>
    </row>
    <row r="212" spans="1:7" x14ac:dyDescent="0.25">
      <c r="A212" s="8">
        <v>42765.05914351852</v>
      </c>
      <c r="B212" s="21" t="s">
        <v>196</v>
      </c>
      <c r="C212" s="21" t="s">
        <v>660</v>
      </c>
      <c r="D212" s="157">
        <v>2000000</v>
      </c>
      <c r="E212" s="21" t="s">
        <v>283</v>
      </c>
      <c r="F212" s="21" t="s">
        <v>205</v>
      </c>
      <c r="G212" s="8" t="str">
        <f t="shared" si="3"/>
        <v>STAMBAUGH JAMES</v>
      </c>
    </row>
    <row r="213" spans="1:7" x14ac:dyDescent="0.25">
      <c r="A213" s="8">
        <v>42765.068078703705</v>
      </c>
      <c r="B213" s="21" t="s">
        <v>261</v>
      </c>
      <c r="C213" s="21" t="s">
        <v>661</v>
      </c>
      <c r="D213" s="157">
        <v>2230000</v>
      </c>
      <c r="E213" s="21" t="s">
        <v>282</v>
      </c>
      <c r="F213" s="21" t="s">
        <v>209</v>
      </c>
      <c r="G213" s="8" t="str">
        <f t="shared" si="3"/>
        <v>SMITH MICHAEL</v>
      </c>
    </row>
    <row r="214" spans="1:7" x14ac:dyDescent="0.25">
      <c r="A214" s="8">
        <v>42765.087881944448</v>
      </c>
      <c r="B214" s="21" t="s">
        <v>192</v>
      </c>
      <c r="C214" s="21" t="s">
        <v>662</v>
      </c>
      <c r="D214" s="157">
        <v>2000000</v>
      </c>
      <c r="E214" s="21" t="s">
        <v>283</v>
      </c>
      <c r="F214" s="21" t="s">
        <v>205</v>
      </c>
      <c r="G214" s="8" t="str">
        <f t="shared" si="3"/>
        <v>STAMBAUGH JAMES</v>
      </c>
    </row>
    <row r="215" spans="1:7" x14ac:dyDescent="0.25">
      <c r="A215" s="8">
        <v>42765.088437500002</v>
      </c>
      <c r="B215" s="21" t="s">
        <v>192</v>
      </c>
      <c r="C215" s="21" t="s">
        <v>662</v>
      </c>
      <c r="D215" s="157">
        <v>2000000</v>
      </c>
      <c r="E215" s="21" t="s">
        <v>283</v>
      </c>
      <c r="F215" s="21" t="s">
        <v>205</v>
      </c>
      <c r="G215" s="8" t="str">
        <f t="shared" si="3"/>
        <v>STAMBAUGH JAMES</v>
      </c>
    </row>
    <row r="216" spans="1:7" x14ac:dyDescent="0.25">
      <c r="A216" s="8">
        <v>42764.031180555554</v>
      </c>
      <c r="B216" s="21" t="s">
        <v>315</v>
      </c>
      <c r="C216" s="21" t="s">
        <v>406</v>
      </c>
      <c r="D216" s="157">
        <v>2270000</v>
      </c>
      <c r="E216" s="21" t="s">
        <v>258</v>
      </c>
      <c r="F216" s="21" t="s">
        <v>259</v>
      </c>
      <c r="G216" s="8" t="str">
        <f t="shared" si="3"/>
        <v>BROWN JACOB</v>
      </c>
    </row>
    <row r="217" spans="1:7" x14ac:dyDescent="0.25">
      <c r="A217" s="8">
        <v>42764.036400462966</v>
      </c>
      <c r="B217" s="21" t="s">
        <v>236</v>
      </c>
      <c r="C217" s="21" t="s">
        <v>407</v>
      </c>
      <c r="D217" s="157">
        <v>2000000</v>
      </c>
      <c r="E217" s="21" t="s">
        <v>283</v>
      </c>
      <c r="F217" s="21" t="s">
        <v>205</v>
      </c>
      <c r="G217" s="8" t="str">
        <f t="shared" si="3"/>
        <v>STAMBAUGH JAMES</v>
      </c>
    </row>
    <row r="218" spans="1:7" x14ac:dyDescent="0.25">
      <c r="A218" s="8">
        <v>42764.047372685185</v>
      </c>
      <c r="B218" s="21" t="s">
        <v>303</v>
      </c>
      <c r="C218" s="21" t="s">
        <v>408</v>
      </c>
      <c r="D218" s="157">
        <v>2230000</v>
      </c>
      <c r="E218" s="21" t="s">
        <v>282</v>
      </c>
      <c r="F218" s="21" t="s">
        <v>209</v>
      </c>
      <c r="G218" s="8" t="str">
        <f t="shared" si="3"/>
        <v>SMITH MICHAEL</v>
      </c>
    </row>
    <row r="219" spans="1:7" x14ac:dyDescent="0.25">
      <c r="A219" s="8">
        <v>42764.049537037034</v>
      </c>
      <c r="B219" s="21" t="s">
        <v>237</v>
      </c>
      <c r="C219" s="21" t="s">
        <v>409</v>
      </c>
      <c r="D219" s="157">
        <v>2220000</v>
      </c>
      <c r="E219" s="21" t="s">
        <v>233</v>
      </c>
      <c r="F219" s="21" t="s">
        <v>234</v>
      </c>
      <c r="G219" s="8" t="str">
        <f t="shared" si="3"/>
        <v>HILLS DUSTIN</v>
      </c>
    </row>
    <row r="220" spans="1:7" x14ac:dyDescent="0.25">
      <c r="A220" s="8">
        <v>42764.06821759259</v>
      </c>
      <c r="B220" s="21" t="s">
        <v>235</v>
      </c>
      <c r="C220" s="21" t="s">
        <v>410</v>
      </c>
      <c r="D220" s="157">
        <v>2000000</v>
      </c>
      <c r="E220" s="21" t="s">
        <v>283</v>
      </c>
      <c r="F220" s="21" t="s">
        <v>205</v>
      </c>
      <c r="G220" s="8" t="str">
        <f t="shared" si="3"/>
        <v>STAMBAUGH JAMES</v>
      </c>
    </row>
    <row r="221" spans="1:7" x14ac:dyDescent="0.25">
      <c r="A221" s="8">
        <v>42764.076423611114</v>
      </c>
      <c r="B221" s="21" t="s">
        <v>314</v>
      </c>
      <c r="C221" s="21" t="s">
        <v>411</v>
      </c>
      <c r="D221" s="157">
        <v>2270000</v>
      </c>
      <c r="E221" s="21" t="s">
        <v>258</v>
      </c>
      <c r="F221" s="21" t="s">
        <v>259</v>
      </c>
      <c r="G221" s="8" t="str">
        <f t="shared" si="3"/>
        <v>BROWN JACOB</v>
      </c>
    </row>
    <row r="222" spans="1:7" x14ac:dyDescent="0.25">
      <c r="A222" s="8">
        <v>42764.088090277779</v>
      </c>
      <c r="B222" s="21" t="s">
        <v>198</v>
      </c>
      <c r="C222" s="21" t="s">
        <v>412</v>
      </c>
      <c r="D222" s="157">
        <v>2220000</v>
      </c>
      <c r="E222" s="21" t="s">
        <v>233</v>
      </c>
      <c r="F222" s="21" t="s">
        <v>234</v>
      </c>
      <c r="G222" s="8" t="str">
        <f t="shared" si="3"/>
        <v>HILLS DUSTIN</v>
      </c>
    </row>
    <row r="223" spans="1:7" x14ac:dyDescent="0.25">
      <c r="A223" s="8">
        <v>42764.110914351855</v>
      </c>
      <c r="B223" s="21" t="s">
        <v>315</v>
      </c>
      <c r="C223" s="21" t="s">
        <v>413</v>
      </c>
      <c r="D223" s="157">
        <v>2270000</v>
      </c>
      <c r="E223" s="21" t="s">
        <v>258</v>
      </c>
      <c r="F223" s="21" t="s">
        <v>259</v>
      </c>
      <c r="G223" s="8" t="str">
        <f t="shared" si="3"/>
        <v>BROWN JACOB</v>
      </c>
    </row>
    <row r="224" spans="1:7" x14ac:dyDescent="0.25">
      <c r="A224" s="8">
        <v>42761.833935185183</v>
      </c>
      <c r="B224" t="s">
        <v>281</v>
      </c>
      <c r="C224" t="s">
        <v>336</v>
      </c>
      <c r="D224" s="157">
        <v>2480000</v>
      </c>
      <c r="E224" t="s">
        <v>324</v>
      </c>
      <c r="F224" s="21" t="s">
        <v>234</v>
      </c>
      <c r="G224" s="8" t="str">
        <f t="shared" si="3"/>
        <v>WHITED DUSTIN</v>
      </c>
    </row>
    <row r="225" spans="1:7" x14ac:dyDescent="0.25">
      <c r="A225" s="8">
        <v>42761.841331018521</v>
      </c>
      <c r="B225" t="s">
        <v>304</v>
      </c>
      <c r="C225" t="s">
        <v>337</v>
      </c>
      <c r="D225" s="157">
        <v>2220000</v>
      </c>
      <c r="E225" t="s">
        <v>233</v>
      </c>
      <c r="F225" s="21" t="s">
        <v>234</v>
      </c>
      <c r="G225" s="8" t="str">
        <f t="shared" si="3"/>
        <v>HILLS DUSTIN</v>
      </c>
    </row>
    <row r="226" spans="1:7" x14ac:dyDescent="0.25">
      <c r="A226" s="8">
        <v>42761.843356481484</v>
      </c>
      <c r="B226" t="s">
        <v>335</v>
      </c>
      <c r="C226" t="s">
        <v>350</v>
      </c>
      <c r="D226" s="157">
        <v>2540000</v>
      </c>
      <c r="E226" t="s">
        <v>241</v>
      </c>
      <c r="F226" s="21" t="s">
        <v>242</v>
      </c>
      <c r="G226" s="8" t="str">
        <f t="shared" si="3"/>
        <v>MCREYNOLDS KYLE</v>
      </c>
    </row>
    <row r="227" spans="1:7" x14ac:dyDescent="0.25">
      <c r="A227" s="8">
        <v>42761.860208333332</v>
      </c>
      <c r="B227" t="s">
        <v>280</v>
      </c>
      <c r="C227" t="s">
        <v>351</v>
      </c>
      <c r="D227" s="157">
        <v>2480000</v>
      </c>
      <c r="E227" t="s">
        <v>324</v>
      </c>
      <c r="F227" s="21" t="s">
        <v>234</v>
      </c>
      <c r="G227" s="8" t="str">
        <f t="shared" si="3"/>
        <v>WHITED DUSTIN</v>
      </c>
    </row>
    <row r="228" spans="1:7" x14ac:dyDescent="0.25">
      <c r="A228" s="8">
        <v>42761.867106481484</v>
      </c>
      <c r="B228" t="s">
        <v>296</v>
      </c>
      <c r="C228" t="s">
        <v>338</v>
      </c>
      <c r="D228" s="157">
        <v>2270000</v>
      </c>
      <c r="E228" t="s">
        <v>258</v>
      </c>
      <c r="F228" s="21" t="s">
        <v>259</v>
      </c>
      <c r="G228" s="8" t="str">
        <f t="shared" si="3"/>
        <v>BROWN JACOB</v>
      </c>
    </row>
    <row r="229" spans="1:7" x14ac:dyDescent="0.25">
      <c r="A229" s="8">
        <v>42761.874062499999</v>
      </c>
      <c r="B229" t="s">
        <v>235</v>
      </c>
      <c r="C229" t="s">
        <v>352</v>
      </c>
      <c r="D229" s="157">
        <v>1800000</v>
      </c>
      <c r="E229" t="s">
        <v>297</v>
      </c>
      <c r="F229" s="21" t="s">
        <v>298</v>
      </c>
      <c r="G229" s="8" t="str">
        <f t="shared" si="3"/>
        <v>CHANDLER KELVIN</v>
      </c>
    </row>
    <row r="230" spans="1:7" x14ac:dyDescent="0.25">
      <c r="A230" s="8">
        <v>42761.880752314813</v>
      </c>
      <c r="B230" t="s">
        <v>281</v>
      </c>
      <c r="C230" t="s">
        <v>353</v>
      </c>
      <c r="D230" s="157">
        <v>1740000</v>
      </c>
      <c r="E230" t="s">
        <v>251</v>
      </c>
      <c r="F230" s="21" t="s">
        <v>252</v>
      </c>
      <c r="G230" s="8" t="str">
        <f t="shared" si="3"/>
        <v>STORY SAMANTHA</v>
      </c>
    </row>
    <row r="231" spans="1:7" x14ac:dyDescent="0.25">
      <c r="A231" s="8">
        <v>42761.884236111109</v>
      </c>
      <c r="B231" t="s">
        <v>302</v>
      </c>
      <c r="C231" t="s">
        <v>339</v>
      </c>
      <c r="D231" s="157">
        <v>2220000</v>
      </c>
      <c r="E231" t="s">
        <v>233</v>
      </c>
      <c r="F231" s="21" t="s">
        <v>234</v>
      </c>
      <c r="G231" s="8" t="str">
        <f t="shared" si="3"/>
        <v>HILLS DUSTIN</v>
      </c>
    </row>
    <row r="232" spans="1:7" x14ac:dyDescent="0.25">
      <c r="A232" s="8">
        <v>42761.885509259257</v>
      </c>
      <c r="B232" t="s">
        <v>334</v>
      </c>
      <c r="C232" t="s">
        <v>354</v>
      </c>
      <c r="D232" s="157">
        <v>1810000</v>
      </c>
      <c r="E232" t="s">
        <v>213</v>
      </c>
      <c r="F232" s="21" t="s">
        <v>205</v>
      </c>
      <c r="G232" s="8" t="str">
        <f t="shared" si="3"/>
        <v>NEWELL JAMES</v>
      </c>
    </row>
    <row r="233" spans="1:7" x14ac:dyDescent="0.25">
      <c r="A233" s="8">
        <v>42761.903703703705</v>
      </c>
      <c r="B233" t="s">
        <v>280</v>
      </c>
      <c r="C233" t="s">
        <v>355</v>
      </c>
      <c r="D233" s="157">
        <v>1740000</v>
      </c>
      <c r="E233" t="s">
        <v>251</v>
      </c>
      <c r="F233" s="21" t="s">
        <v>252</v>
      </c>
      <c r="G233" s="8" t="str">
        <f t="shared" si="3"/>
        <v>STORY SAMANTHA</v>
      </c>
    </row>
    <row r="234" spans="1:7" x14ac:dyDescent="0.25">
      <c r="A234" s="8">
        <v>42761.913275462961</v>
      </c>
      <c r="B234" t="s">
        <v>236</v>
      </c>
      <c r="C234" t="s">
        <v>356</v>
      </c>
      <c r="D234" s="157">
        <v>1800000</v>
      </c>
      <c r="E234" t="s">
        <v>297</v>
      </c>
      <c r="F234" s="21" t="s">
        <v>298</v>
      </c>
      <c r="G234" s="8" t="str">
        <f t="shared" si="3"/>
        <v>CHANDLER KELVIN</v>
      </c>
    </row>
    <row r="235" spans="1:7" x14ac:dyDescent="0.25">
      <c r="A235" s="8">
        <v>42761.913842592592</v>
      </c>
      <c r="B235" t="s">
        <v>295</v>
      </c>
      <c r="C235" t="s">
        <v>357</v>
      </c>
      <c r="D235" s="157">
        <v>2270000</v>
      </c>
      <c r="E235" t="s">
        <v>258</v>
      </c>
      <c r="F235" s="21" t="s">
        <v>259</v>
      </c>
      <c r="G235" s="8" t="str">
        <f t="shared" si="3"/>
        <v>BROWN JACOB</v>
      </c>
    </row>
    <row r="236" spans="1:7" x14ac:dyDescent="0.25">
      <c r="A236" s="8">
        <v>42761.92255787037</v>
      </c>
      <c r="B236" t="s">
        <v>304</v>
      </c>
      <c r="C236" t="s">
        <v>358</v>
      </c>
      <c r="D236" s="157">
        <v>2220000</v>
      </c>
      <c r="E236" t="s">
        <v>233</v>
      </c>
      <c r="F236" s="21" t="s">
        <v>234</v>
      </c>
      <c r="G236" s="8" t="str">
        <f t="shared" si="3"/>
        <v>HILLS DUSTIN</v>
      </c>
    </row>
    <row r="237" spans="1:7" x14ac:dyDescent="0.25">
      <c r="A237" s="8">
        <v>42761.922650462962</v>
      </c>
      <c r="B237" t="s">
        <v>335</v>
      </c>
      <c r="C237" t="s">
        <v>359</v>
      </c>
      <c r="D237" s="157">
        <v>1810000</v>
      </c>
      <c r="E237" t="s">
        <v>213</v>
      </c>
      <c r="F237" s="21" t="s">
        <v>205</v>
      </c>
      <c r="G237" s="8" t="str">
        <f t="shared" si="3"/>
        <v>NEWELL JAMES</v>
      </c>
    </row>
    <row r="238" spans="1:7" x14ac:dyDescent="0.25">
      <c r="A238" s="8">
        <v>42761.925219907411</v>
      </c>
      <c r="B238" t="s">
        <v>281</v>
      </c>
      <c r="C238" t="s">
        <v>360</v>
      </c>
      <c r="D238" s="157">
        <v>1740000</v>
      </c>
      <c r="E238" t="s">
        <v>251</v>
      </c>
      <c r="F238" s="21" t="s">
        <v>252</v>
      </c>
      <c r="G238" s="8" t="str">
        <f t="shared" si="3"/>
        <v>STORY SAMANTHA</v>
      </c>
    </row>
    <row r="239" spans="1:7" x14ac:dyDescent="0.25">
      <c r="A239" s="8">
        <v>42761.944675925923</v>
      </c>
      <c r="B239" t="s">
        <v>280</v>
      </c>
      <c r="C239" t="s">
        <v>340</v>
      </c>
      <c r="D239" s="157">
        <v>1740000</v>
      </c>
      <c r="E239" t="s">
        <v>251</v>
      </c>
      <c r="F239" s="21" t="s">
        <v>252</v>
      </c>
      <c r="G239" s="8" t="str">
        <f t="shared" si="3"/>
        <v>STORY SAMANTHA</v>
      </c>
    </row>
    <row r="240" spans="1:7" x14ac:dyDescent="0.25">
      <c r="A240" s="8">
        <v>42761.949120370373</v>
      </c>
      <c r="B240" t="s">
        <v>296</v>
      </c>
      <c r="C240" t="s">
        <v>361</v>
      </c>
      <c r="D240" s="157">
        <v>2270000</v>
      </c>
      <c r="E240" t="s">
        <v>258</v>
      </c>
      <c r="F240" s="21" t="s">
        <v>259</v>
      </c>
      <c r="G240" s="8" t="str">
        <f t="shared" si="3"/>
        <v>BROWN JACOB</v>
      </c>
    </row>
    <row r="241" spans="1:7" x14ac:dyDescent="0.25">
      <c r="A241" s="8">
        <v>42761.952407407407</v>
      </c>
      <c r="B241" t="s">
        <v>281</v>
      </c>
      <c r="C241" t="s">
        <v>340</v>
      </c>
      <c r="D241" s="157">
        <v>1740000</v>
      </c>
      <c r="E241" t="s">
        <v>251</v>
      </c>
      <c r="F241" s="21" t="s">
        <v>252</v>
      </c>
      <c r="G241" s="8" t="str">
        <f t="shared" si="3"/>
        <v>STORY SAMANTHA</v>
      </c>
    </row>
    <row r="242" spans="1:7" x14ac:dyDescent="0.25">
      <c r="A242" s="8">
        <v>42761.955081018517</v>
      </c>
      <c r="B242" t="s">
        <v>235</v>
      </c>
      <c r="C242" t="s">
        <v>341</v>
      </c>
      <c r="D242" s="157">
        <v>1800000</v>
      </c>
      <c r="E242" t="s">
        <v>297</v>
      </c>
      <c r="F242" s="21" t="s">
        <v>298</v>
      </c>
      <c r="G242" s="8" t="str">
        <f t="shared" si="3"/>
        <v>CHANDLER KELVIN</v>
      </c>
    </row>
    <row r="243" spans="1:7" x14ac:dyDescent="0.25">
      <c r="A243" s="8">
        <v>42761.964039351849</v>
      </c>
      <c r="B243" t="s">
        <v>302</v>
      </c>
      <c r="C243" t="s">
        <v>362</v>
      </c>
      <c r="D243" s="157">
        <v>2220000</v>
      </c>
      <c r="E243" t="s">
        <v>233</v>
      </c>
      <c r="F243" s="21" t="s">
        <v>234</v>
      </c>
      <c r="G243" s="8" t="str">
        <f t="shared" si="3"/>
        <v>HILLS DUSTIN</v>
      </c>
    </row>
    <row r="244" spans="1:7" x14ac:dyDescent="0.25">
      <c r="A244" s="8">
        <v>42761.974421296298</v>
      </c>
      <c r="B244" t="s">
        <v>334</v>
      </c>
      <c r="C244" t="s">
        <v>363</v>
      </c>
      <c r="D244" s="157">
        <v>1810000</v>
      </c>
      <c r="E244" t="s">
        <v>213</v>
      </c>
      <c r="F244" s="21" t="s">
        <v>205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295</v>
      </c>
      <c r="C245" t="s">
        <v>342</v>
      </c>
      <c r="D245" s="157">
        <v>2270000</v>
      </c>
      <c r="E245" t="s">
        <v>258</v>
      </c>
      <c r="F245" s="21" t="s">
        <v>259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236</v>
      </c>
      <c r="C246" t="s">
        <v>364</v>
      </c>
      <c r="D246" s="157">
        <v>1800000</v>
      </c>
      <c r="E246" t="s">
        <v>297</v>
      </c>
      <c r="F246" s="21" t="s">
        <v>298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304</v>
      </c>
      <c r="C247" t="s">
        <v>365</v>
      </c>
      <c r="D247" s="157">
        <v>2220000</v>
      </c>
      <c r="E247" t="s">
        <v>233</v>
      </c>
      <c r="F247" s="21" t="s">
        <v>234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335</v>
      </c>
      <c r="C248" t="s">
        <v>366</v>
      </c>
      <c r="D248" s="157">
        <v>1810000</v>
      </c>
      <c r="E248" t="s">
        <v>213</v>
      </c>
      <c r="F248" s="21" t="s">
        <v>205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235</v>
      </c>
      <c r="C249" t="s">
        <v>367</v>
      </c>
      <c r="D249" s="157">
        <v>1800000</v>
      </c>
      <c r="E249" t="s">
        <v>297</v>
      </c>
      <c r="F249" s="21" t="s">
        <v>298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296</v>
      </c>
      <c r="C250" t="s">
        <v>343</v>
      </c>
      <c r="D250" s="157">
        <v>2270000</v>
      </c>
      <c r="E250" t="s">
        <v>258</v>
      </c>
      <c r="F250" s="21" t="s">
        <v>259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334</v>
      </c>
      <c r="C251" t="s">
        <v>368</v>
      </c>
      <c r="D251" s="157">
        <v>1810000</v>
      </c>
      <c r="E251" t="s">
        <v>213</v>
      </c>
      <c r="F251" s="21" t="s">
        <v>205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302</v>
      </c>
      <c r="C252" t="s">
        <v>369</v>
      </c>
      <c r="D252" s="157">
        <v>2220000</v>
      </c>
      <c r="E252" t="s">
        <v>233</v>
      </c>
      <c r="F252" s="21" t="s">
        <v>234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302</v>
      </c>
      <c r="C253" t="s">
        <v>369</v>
      </c>
      <c r="D253" s="157">
        <v>2220000</v>
      </c>
      <c r="E253" t="s">
        <v>233</v>
      </c>
      <c r="F253" s="21" t="s">
        <v>234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295</v>
      </c>
      <c r="C254" t="s">
        <v>370</v>
      </c>
      <c r="D254" s="157">
        <v>2270000</v>
      </c>
      <c r="E254" t="s">
        <v>258</v>
      </c>
      <c r="F254" s="21" t="s">
        <v>259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304</v>
      </c>
      <c r="C255" t="s">
        <v>371</v>
      </c>
      <c r="D255" s="157">
        <v>2220000</v>
      </c>
      <c r="E255" t="s">
        <v>233</v>
      </c>
      <c r="F255" s="21" t="s">
        <v>234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217</v>
      </c>
      <c r="C256" t="s">
        <v>284</v>
      </c>
      <c r="D256" s="157">
        <v>2220000</v>
      </c>
      <c r="E256" t="s">
        <v>233</v>
      </c>
      <c r="F256" s="21" t="s">
        <v>234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199</v>
      </c>
      <c r="C257" t="s">
        <v>285</v>
      </c>
      <c r="D257" s="157">
        <v>2000000</v>
      </c>
      <c r="E257" t="s">
        <v>283</v>
      </c>
      <c r="F257" s="21" t="s">
        <v>205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247</v>
      </c>
      <c r="C258" t="s">
        <v>286</v>
      </c>
      <c r="D258" s="157">
        <v>2220000</v>
      </c>
      <c r="E258" t="s">
        <v>233</v>
      </c>
      <c r="F258" s="21" t="s">
        <v>234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280</v>
      </c>
      <c r="C259" t="s">
        <v>287</v>
      </c>
      <c r="D259" s="157">
        <v>1360000</v>
      </c>
      <c r="E259" t="s">
        <v>288</v>
      </c>
      <c r="F259" s="21" t="s">
        <v>289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261</v>
      </c>
      <c r="C260" t="s">
        <v>267</v>
      </c>
      <c r="D260" s="157">
        <v>2450000</v>
      </c>
      <c r="E260" t="s">
        <v>263</v>
      </c>
      <c r="F260" s="21" t="s">
        <v>264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239</v>
      </c>
      <c r="C261" t="s">
        <v>274</v>
      </c>
      <c r="D261" s="157">
        <v>1810000</v>
      </c>
      <c r="E261" t="s">
        <v>213</v>
      </c>
      <c r="F261" s="21" t="s">
        <v>205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268</v>
      </c>
      <c r="C262" t="s">
        <v>272</v>
      </c>
      <c r="D262" s="157">
        <v>2670000</v>
      </c>
      <c r="E262" t="s">
        <v>270</v>
      </c>
      <c r="F262" s="21" t="s">
        <v>271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235</v>
      </c>
      <c r="C263" t="s">
        <v>266</v>
      </c>
      <c r="D263" s="157">
        <v>2540000</v>
      </c>
      <c r="E263" t="s">
        <v>241</v>
      </c>
      <c r="F263" s="21" t="s">
        <v>242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227</v>
      </c>
      <c r="C264" t="s">
        <v>262</v>
      </c>
      <c r="D264" s="157">
        <v>2450000</v>
      </c>
      <c r="E264" t="s">
        <v>263</v>
      </c>
      <c r="F264" s="21" t="s">
        <v>264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257</v>
      </c>
      <c r="C265" t="s">
        <v>275</v>
      </c>
      <c r="D265" s="157">
        <v>2270000</v>
      </c>
      <c r="E265" t="s">
        <v>258</v>
      </c>
      <c r="F265" s="21" t="s">
        <v>259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236</v>
      </c>
      <c r="C266" t="s">
        <v>265</v>
      </c>
      <c r="D266" s="157">
        <v>2540000</v>
      </c>
      <c r="E266" t="s">
        <v>241</v>
      </c>
      <c r="F266" s="21" t="s">
        <v>242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261</v>
      </c>
      <c r="C267" t="s">
        <v>267</v>
      </c>
      <c r="D267" s="157">
        <v>2450000</v>
      </c>
      <c r="E267" t="s">
        <v>263</v>
      </c>
      <c r="F267" s="21" t="s">
        <v>264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257</v>
      </c>
      <c r="C268" t="s">
        <v>275</v>
      </c>
      <c r="D268" s="157">
        <v>2270000</v>
      </c>
      <c r="E268" t="s">
        <v>258</v>
      </c>
      <c r="F268" s="21" t="s">
        <v>259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235</v>
      </c>
      <c r="C269" t="s">
        <v>266</v>
      </c>
      <c r="D269" s="157">
        <v>2540000</v>
      </c>
      <c r="E269" t="s">
        <v>241</v>
      </c>
      <c r="F269" s="21" t="s">
        <v>242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240</v>
      </c>
      <c r="C270" t="s">
        <v>276</v>
      </c>
      <c r="D270" s="157">
        <v>1810000</v>
      </c>
      <c r="E270" t="s">
        <v>213</v>
      </c>
      <c r="F270" s="21" t="s">
        <v>205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273</v>
      </c>
      <c r="C271" t="s">
        <v>269</v>
      </c>
      <c r="D271" s="157">
        <v>2670000</v>
      </c>
      <c r="E271" t="s">
        <v>270</v>
      </c>
      <c r="F271" s="21" t="s">
        <v>271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227</v>
      </c>
      <c r="C272" t="s">
        <v>262</v>
      </c>
      <c r="D272" s="157">
        <v>2450000</v>
      </c>
      <c r="E272" t="s">
        <v>263</v>
      </c>
      <c r="F272" s="21" t="s">
        <v>264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236</v>
      </c>
      <c r="C273" t="s">
        <v>265</v>
      </c>
      <c r="D273" s="157">
        <v>2540000</v>
      </c>
      <c r="E273" t="s">
        <v>241</v>
      </c>
      <c r="F273" s="21" t="s">
        <v>242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162</v>
      </c>
      <c r="B1" s="172" t="s">
        <v>165</v>
      </c>
      <c r="C1" s="172" t="s">
        <v>158</v>
      </c>
      <c r="D1" s="155" t="s">
        <v>170</v>
      </c>
      <c r="E1" s="172" t="s">
        <v>159</v>
      </c>
      <c r="F1" s="172" t="s">
        <v>157</v>
      </c>
      <c r="G1" s="172" t="s">
        <v>155</v>
      </c>
      <c r="H1" s="172" t="s">
        <v>168</v>
      </c>
      <c r="I1" s="172" t="s">
        <v>169</v>
      </c>
      <c r="J1" s="172" t="s">
        <v>163</v>
      </c>
      <c r="K1" s="172" t="s">
        <v>161</v>
      </c>
      <c r="L1" s="172" t="s">
        <v>156</v>
      </c>
      <c r="M1" s="172" t="s">
        <v>166</v>
      </c>
      <c r="N1" s="172" t="s">
        <v>160</v>
      </c>
      <c r="O1" s="172" t="s">
        <v>167</v>
      </c>
      <c r="P1" s="172" t="s">
        <v>164</v>
      </c>
      <c r="Q1"/>
      <c r="R1"/>
    </row>
    <row r="2" spans="1:18" x14ac:dyDescent="0.25">
      <c r="A2" s="162">
        <v>35.83</v>
      </c>
      <c r="B2" s="162">
        <v>0.24</v>
      </c>
      <c r="C2" s="162">
        <v>16.149999999999999</v>
      </c>
      <c r="D2" s="8">
        <v>42764</v>
      </c>
      <c r="E2" s="162">
        <v>0.44</v>
      </c>
      <c r="F2" s="162" t="s">
        <v>663</v>
      </c>
      <c r="G2" s="162">
        <v>312.99</v>
      </c>
      <c r="H2" s="162">
        <v>0</v>
      </c>
      <c r="I2" s="162">
        <v>0</v>
      </c>
      <c r="J2" s="162">
        <v>1030.5899999999999</v>
      </c>
      <c r="K2" s="162" t="s">
        <v>664</v>
      </c>
      <c r="L2" s="162">
        <v>35.83</v>
      </c>
      <c r="M2" s="162">
        <v>1485673200</v>
      </c>
      <c r="N2" s="162">
        <v>1.1000000000000001</v>
      </c>
      <c r="O2" s="162">
        <v>299</v>
      </c>
      <c r="P2" s="162">
        <v>2.17</v>
      </c>
      <c r="Q2"/>
      <c r="R2"/>
    </row>
    <row r="3" spans="1:18" x14ac:dyDescent="0.25">
      <c r="A3" s="162">
        <v>32.909999999999997</v>
      </c>
      <c r="B3" s="162">
        <v>0.23</v>
      </c>
      <c r="C3" s="162">
        <v>17.53</v>
      </c>
      <c r="D3" s="8">
        <v>42764.041666666664</v>
      </c>
      <c r="E3" s="162">
        <v>0.53</v>
      </c>
      <c r="F3" s="162" t="s">
        <v>663</v>
      </c>
      <c r="G3" s="162">
        <v>313.20999999999998</v>
      </c>
      <c r="H3" s="162">
        <v>0</v>
      </c>
      <c r="I3" s="162">
        <v>0</v>
      </c>
      <c r="J3" s="162">
        <v>1031.43</v>
      </c>
      <c r="K3" s="162" t="s">
        <v>664</v>
      </c>
      <c r="L3" s="162">
        <v>32.909999999999997</v>
      </c>
      <c r="M3" s="162">
        <v>1485676800</v>
      </c>
      <c r="N3" s="162">
        <v>1.1000000000000001</v>
      </c>
      <c r="O3" s="162">
        <v>239</v>
      </c>
      <c r="P3" s="162">
        <v>2.6</v>
      </c>
      <c r="Q3"/>
      <c r="R3"/>
    </row>
    <row r="4" spans="1:18" x14ac:dyDescent="0.25">
      <c r="A4" s="162">
        <v>27.75</v>
      </c>
      <c r="B4" s="162">
        <v>0.24</v>
      </c>
      <c r="C4" s="162">
        <v>18.11</v>
      </c>
      <c r="D4" s="8">
        <v>42764.083333333336</v>
      </c>
      <c r="E4" s="162">
        <v>0.56999999999999995</v>
      </c>
      <c r="F4" s="162" t="s">
        <v>663</v>
      </c>
      <c r="G4" s="162">
        <v>313.42</v>
      </c>
      <c r="H4" s="162">
        <v>0</v>
      </c>
      <c r="I4" s="162">
        <v>0</v>
      </c>
      <c r="J4" s="162">
        <v>1032.1099999999999</v>
      </c>
      <c r="K4" s="162" t="s">
        <v>664</v>
      </c>
      <c r="L4" s="162">
        <v>31.57</v>
      </c>
      <c r="M4" s="162">
        <v>1485680400</v>
      </c>
      <c r="N4" s="162">
        <v>1.1000000000000001</v>
      </c>
      <c r="O4" s="162">
        <v>231</v>
      </c>
      <c r="P4" s="162">
        <v>3.85</v>
      </c>
      <c r="Q4"/>
      <c r="R4"/>
    </row>
    <row r="5" spans="1:18" x14ac:dyDescent="0.25">
      <c r="A5" s="162">
        <v>25.6</v>
      </c>
      <c r="B5" s="162">
        <v>0.28999999999999998</v>
      </c>
      <c r="C5" s="162">
        <v>17.34</v>
      </c>
      <c r="D5" s="8">
        <v>42764.125</v>
      </c>
      <c r="E5" s="162">
        <v>0.59</v>
      </c>
      <c r="F5" s="162" t="s">
        <v>663</v>
      </c>
      <c r="G5" s="162">
        <v>313.36</v>
      </c>
      <c r="H5" s="162">
        <v>0</v>
      </c>
      <c r="I5" s="162">
        <v>0</v>
      </c>
      <c r="J5" s="162">
        <v>1031.7</v>
      </c>
      <c r="K5" s="162" t="s">
        <v>664</v>
      </c>
      <c r="L5" s="162">
        <v>29.76</v>
      </c>
      <c r="M5" s="162">
        <v>1485684000</v>
      </c>
      <c r="N5" s="162">
        <v>1.1000000000000001</v>
      </c>
      <c r="O5" s="162">
        <v>228</v>
      </c>
      <c r="P5" s="162">
        <v>3.91</v>
      </c>
      <c r="Q5"/>
      <c r="R5"/>
    </row>
    <row r="6" spans="1:18" x14ac:dyDescent="0.25">
      <c r="A6" s="162">
        <v>25.94</v>
      </c>
      <c r="B6" s="162">
        <v>0.4</v>
      </c>
      <c r="C6" s="162">
        <v>16.78</v>
      </c>
      <c r="D6" s="8">
        <v>42764.166666666664</v>
      </c>
      <c r="E6" s="162">
        <v>0.59</v>
      </c>
      <c r="F6" s="162" t="s">
        <v>663</v>
      </c>
      <c r="G6" s="162">
        <v>313.17</v>
      </c>
      <c r="H6" s="162">
        <v>0</v>
      </c>
      <c r="I6" s="162">
        <v>0</v>
      </c>
      <c r="J6" s="162">
        <v>1030.79</v>
      </c>
      <c r="K6" s="162" t="s">
        <v>664</v>
      </c>
      <c r="L6" s="162">
        <v>29.46</v>
      </c>
      <c r="M6" s="162">
        <v>1485687600</v>
      </c>
      <c r="N6" s="162">
        <v>1.1000000000000001</v>
      </c>
      <c r="O6" s="162">
        <v>232</v>
      </c>
      <c r="P6" s="162">
        <v>3.36</v>
      </c>
      <c r="Q6"/>
      <c r="R6"/>
    </row>
    <row r="7" spans="1:18" x14ac:dyDescent="0.25">
      <c r="A7" s="162">
        <v>26.77</v>
      </c>
      <c r="B7" s="162">
        <v>0.45</v>
      </c>
      <c r="C7" s="162">
        <v>17.11</v>
      </c>
      <c r="D7" s="8">
        <v>42764.208333333336</v>
      </c>
      <c r="E7" s="162">
        <v>0.59</v>
      </c>
      <c r="F7" s="162" t="s">
        <v>663</v>
      </c>
      <c r="G7" s="162">
        <v>313.02999999999997</v>
      </c>
      <c r="H7" s="162">
        <v>0</v>
      </c>
      <c r="I7" s="162">
        <v>0</v>
      </c>
      <c r="J7" s="162">
        <v>1030.06</v>
      </c>
      <c r="K7" s="162" t="s">
        <v>664</v>
      </c>
      <c r="L7" s="162">
        <v>29.75</v>
      </c>
      <c r="M7" s="162">
        <v>1485691200</v>
      </c>
      <c r="N7" s="162">
        <v>1.1000000000000001</v>
      </c>
      <c r="O7" s="162">
        <v>248</v>
      </c>
      <c r="P7" s="162">
        <v>3</v>
      </c>
      <c r="Q7"/>
      <c r="R7"/>
    </row>
    <row r="8" spans="1:18" x14ac:dyDescent="0.25">
      <c r="A8" s="162">
        <v>25.83</v>
      </c>
      <c r="B8" s="162">
        <v>0.44</v>
      </c>
      <c r="C8" s="162">
        <v>17.55</v>
      </c>
      <c r="D8" s="8">
        <v>42764.25</v>
      </c>
      <c r="E8" s="162">
        <v>0.6</v>
      </c>
      <c r="F8" s="162" t="s">
        <v>663</v>
      </c>
      <c r="G8" s="162">
        <v>313.14</v>
      </c>
      <c r="H8" s="162">
        <v>0</v>
      </c>
      <c r="I8" s="162">
        <v>0</v>
      </c>
      <c r="J8" s="162">
        <v>1030.3800000000001</v>
      </c>
      <c r="K8" s="162" t="s">
        <v>664</v>
      </c>
      <c r="L8" s="162">
        <v>29.77</v>
      </c>
      <c r="M8" s="162">
        <v>1485694800</v>
      </c>
      <c r="N8" s="162">
        <v>1.1000000000000001</v>
      </c>
      <c r="O8" s="162">
        <v>241</v>
      </c>
      <c r="P8" s="162">
        <v>3.72</v>
      </c>
      <c r="Q8"/>
      <c r="R8"/>
    </row>
    <row r="9" spans="1:18" x14ac:dyDescent="0.25">
      <c r="A9" s="162">
        <v>25.7</v>
      </c>
      <c r="B9" s="162">
        <v>0.45</v>
      </c>
      <c r="C9" s="162">
        <v>18.41</v>
      </c>
      <c r="D9" s="8">
        <v>42764.291666666664</v>
      </c>
      <c r="E9" s="162">
        <v>0.62</v>
      </c>
      <c r="F9" s="162" t="s">
        <v>290</v>
      </c>
      <c r="G9" s="162">
        <v>313.29000000000002</v>
      </c>
      <c r="H9" s="162">
        <v>0</v>
      </c>
      <c r="I9" s="162">
        <v>0</v>
      </c>
      <c r="J9" s="162">
        <v>1030.99</v>
      </c>
      <c r="K9" s="162" t="s">
        <v>292</v>
      </c>
      <c r="L9" s="162">
        <v>29.88</v>
      </c>
      <c r="M9" s="162">
        <v>1485698400</v>
      </c>
      <c r="N9" s="162"/>
      <c r="O9" s="162">
        <v>219</v>
      </c>
      <c r="P9" s="162">
        <v>3.94</v>
      </c>
      <c r="Q9"/>
      <c r="R9"/>
    </row>
    <row r="10" spans="1:18" x14ac:dyDescent="0.25">
      <c r="A10" s="162">
        <v>27.01</v>
      </c>
      <c r="B10" s="162">
        <v>0.43</v>
      </c>
      <c r="C10" s="162">
        <v>19.239999999999998</v>
      </c>
      <c r="D10" s="8">
        <v>42764.333333333336</v>
      </c>
      <c r="E10" s="162">
        <v>0.62</v>
      </c>
      <c r="F10" s="162" t="s">
        <v>663</v>
      </c>
      <c r="G10" s="162">
        <v>313.02999999999997</v>
      </c>
      <c r="H10" s="162">
        <v>0</v>
      </c>
      <c r="I10" s="162">
        <v>0</v>
      </c>
      <c r="J10" s="162">
        <v>1030.9000000000001</v>
      </c>
      <c r="K10" s="162" t="s">
        <v>664</v>
      </c>
      <c r="L10" s="162">
        <v>30.82</v>
      </c>
      <c r="M10" s="162">
        <v>1485702000</v>
      </c>
      <c r="N10" s="162">
        <v>1.1000000000000001</v>
      </c>
      <c r="O10" s="162">
        <v>224</v>
      </c>
      <c r="P10" s="162">
        <v>3.75</v>
      </c>
      <c r="Q10"/>
      <c r="R10"/>
    </row>
    <row r="11" spans="1:18" x14ac:dyDescent="0.25">
      <c r="A11" s="162">
        <v>33.79</v>
      </c>
      <c r="B11" s="162">
        <v>0.43</v>
      </c>
      <c r="C11" s="162">
        <v>22.19</v>
      </c>
      <c r="D11" s="8">
        <v>42764.375</v>
      </c>
      <c r="E11" s="162">
        <v>0.56000000000000005</v>
      </c>
      <c r="F11" s="162" t="s">
        <v>663</v>
      </c>
      <c r="G11" s="162">
        <v>311.99</v>
      </c>
      <c r="H11" s="162">
        <v>0</v>
      </c>
      <c r="I11" s="162">
        <v>0</v>
      </c>
      <c r="J11" s="162">
        <v>1029.3399999999999</v>
      </c>
      <c r="K11" s="162" t="s">
        <v>664</v>
      </c>
      <c r="L11" s="162">
        <v>36.340000000000003</v>
      </c>
      <c r="M11" s="162">
        <v>1485705600</v>
      </c>
      <c r="N11" s="162">
        <v>1.1000000000000001</v>
      </c>
      <c r="O11" s="162">
        <v>222</v>
      </c>
      <c r="P11" s="162">
        <v>3.36</v>
      </c>
      <c r="Q11"/>
      <c r="R11"/>
    </row>
    <row r="12" spans="1:18" x14ac:dyDescent="0.25">
      <c r="A12" s="162">
        <v>42.61</v>
      </c>
      <c r="B12" s="162">
        <v>0.4</v>
      </c>
      <c r="C12" s="162">
        <v>23.89</v>
      </c>
      <c r="D12" s="8">
        <v>42764.416666666664</v>
      </c>
      <c r="E12" s="162">
        <v>0.47</v>
      </c>
      <c r="F12" s="162" t="s">
        <v>663</v>
      </c>
      <c r="G12" s="162">
        <v>310.52999999999997</v>
      </c>
      <c r="H12" s="162">
        <v>0</v>
      </c>
      <c r="I12" s="162">
        <v>0</v>
      </c>
      <c r="J12" s="162">
        <v>1026.6500000000001</v>
      </c>
      <c r="K12" s="162" t="s">
        <v>664</v>
      </c>
      <c r="L12" s="162">
        <v>42.61</v>
      </c>
      <c r="M12" s="162">
        <v>1485709200</v>
      </c>
      <c r="N12" s="162">
        <v>1.1000000000000001</v>
      </c>
      <c r="O12" s="162">
        <v>219</v>
      </c>
      <c r="P12" s="162">
        <v>2.95</v>
      </c>
      <c r="Q12"/>
      <c r="R12"/>
    </row>
    <row r="13" spans="1:18" x14ac:dyDescent="0.25">
      <c r="A13" s="162">
        <v>50.15</v>
      </c>
      <c r="B13" s="162">
        <v>0.35</v>
      </c>
      <c r="C13" s="162">
        <v>24.5</v>
      </c>
      <c r="D13" s="8">
        <v>42764.458333333336</v>
      </c>
      <c r="E13" s="162">
        <v>0.36</v>
      </c>
      <c r="F13" s="162" t="s">
        <v>663</v>
      </c>
      <c r="G13" s="162">
        <v>309.33</v>
      </c>
      <c r="H13" s="162">
        <v>0</v>
      </c>
      <c r="I13" s="162">
        <v>0</v>
      </c>
      <c r="J13" s="162">
        <v>1025.23</v>
      </c>
      <c r="K13" s="162" t="s">
        <v>664</v>
      </c>
      <c r="L13" s="162">
        <v>50.15</v>
      </c>
      <c r="M13" s="162">
        <v>1485712800</v>
      </c>
      <c r="N13" s="162">
        <v>1.1000000000000001</v>
      </c>
      <c r="O13" s="162">
        <v>227</v>
      </c>
      <c r="P13" s="162">
        <v>3.17</v>
      </c>
      <c r="Q13"/>
      <c r="R13"/>
    </row>
    <row r="14" spans="1:18" x14ac:dyDescent="0.25">
      <c r="A14" s="162">
        <v>55.97</v>
      </c>
      <c r="B14" s="162">
        <v>0.31</v>
      </c>
      <c r="C14" s="162">
        <v>19.13</v>
      </c>
      <c r="D14" s="8">
        <v>42764.5</v>
      </c>
      <c r="E14" s="162">
        <v>0.23</v>
      </c>
      <c r="F14" s="162" t="s">
        <v>663</v>
      </c>
      <c r="G14" s="162">
        <v>308.52999999999997</v>
      </c>
      <c r="H14" s="162">
        <v>0</v>
      </c>
      <c r="I14" s="162">
        <v>0</v>
      </c>
      <c r="J14" s="162">
        <v>1024.6300000000001</v>
      </c>
      <c r="K14" s="162" t="s">
        <v>664</v>
      </c>
      <c r="L14" s="162">
        <v>55.97</v>
      </c>
      <c r="M14" s="162">
        <v>1485716400</v>
      </c>
      <c r="N14" s="162">
        <v>1.1000000000000001</v>
      </c>
      <c r="O14" s="162">
        <v>351</v>
      </c>
      <c r="P14" s="162">
        <v>3.19</v>
      </c>
      <c r="Q14"/>
      <c r="R14"/>
    </row>
    <row r="15" spans="1:18" x14ac:dyDescent="0.25">
      <c r="A15" s="162">
        <v>60.12</v>
      </c>
      <c r="B15" s="162">
        <v>0.28999999999999998</v>
      </c>
      <c r="C15" s="162">
        <v>17.059999999999999</v>
      </c>
      <c r="D15" s="8">
        <v>42764.541666666664</v>
      </c>
      <c r="E15" s="162">
        <v>0.18</v>
      </c>
      <c r="F15" s="162" t="s">
        <v>663</v>
      </c>
      <c r="G15" s="162">
        <v>307.99</v>
      </c>
      <c r="H15" s="162">
        <v>0</v>
      </c>
      <c r="I15" s="162">
        <v>0</v>
      </c>
      <c r="J15" s="162">
        <v>1024.42</v>
      </c>
      <c r="K15" s="162" t="s">
        <v>664</v>
      </c>
      <c r="L15" s="162">
        <v>60.12</v>
      </c>
      <c r="M15" s="162">
        <v>1485720000</v>
      </c>
      <c r="N15" s="162">
        <v>1.1000000000000001</v>
      </c>
      <c r="O15" s="162">
        <v>351</v>
      </c>
      <c r="P15" s="162">
        <v>6.05</v>
      </c>
      <c r="Q15"/>
      <c r="R15"/>
    </row>
    <row r="16" spans="1:18" x14ac:dyDescent="0.25">
      <c r="A16" s="162">
        <v>59.35</v>
      </c>
      <c r="B16" s="162">
        <v>0.27</v>
      </c>
      <c r="C16" s="162">
        <v>15.27</v>
      </c>
      <c r="D16" s="8">
        <v>42764.583333333336</v>
      </c>
      <c r="E16" s="162">
        <v>0.18</v>
      </c>
      <c r="F16" s="162" t="s">
        <v>291</v>
      </c>
      <c r="G16" s="162">
        <v>307.93</v>
      </c>
      <c r="H16" s="162">
        <v>0</v>
      </c>
      <c r="I16" s="162">
        <v>0</v>
      </c>
      <c r="J16" s="162">
        <v>1024.47</v>
      </c>
      <c r="K16" s="162" t="s">
        <v>292</v>
      </c>
      <c r="L16" s="162">
        <v>59.35</v>
      </c>
      <c r="M16" s="162">
        <v>1485723600</v>
      </c>
      <c r="N16" s="162">
        <v>3.09</v>
      </c>
      <c r="O16" s="162">
        <v>339</v>
      </c>
      <c r="P16" s="162">
        <v>6.27</v>
      </c>
      <c r="Q16"/>
      <c r="R16"/>
    </row>
    <row r="17" spans="1:18" x14ac:dyDescent="0.25">
      <c r="A17" s="162">
        <v>58.58</v>
      </c>
      <c r="B17" s="162">
        <v>0.28000000000000003</v>
      </c>
      <c r="C17" s="162">
        <v>16.32</v>
      </c>
      <c r="D17" s="8">
        <v>42764.625</v>
      </c>
      <c r="E17" s="162">
        <v>0.19</v>
      </c>
      <c r="F17" s="162" t="s">
        <v>291</v>
      </c>
      <c r="G17" s="162">
        <v>308.58999999999997</v>
      </c>
      <c r="H17" s="162">
        <v>0</v>
      </c>
      <c r="I17" s="162">
        <v>0</v>
      </c>
      <c r="J17" s="162">
        <v>1023.89</v>
      </c>
      <c r="K17" s="162" t="s">
        <v>292</v>
      </c>
      <c r="L17" s="162">
        <v>58.58</v>
      </c>
      <c r="M17" s="162">
        <v>1485727200</v>
      </c>
      <c r="N17" s="162">
        <v>3.21</v>
      </c>
      <c r="O17" s="162">
        <v>330</v>
      </c>
      <c r="P17" s="162">
        <v>5.52</v>
      </c>
      <c r="Q17"/>
      <c r="R17"/>
    </row>
    <row r="18" spans="1:18" x14ac:dyDescent="0.25">
      <c r="A18" s="162">
        <v>54.87</v>
      </c>
      <c r="B18" s="162">
        <v>0.28000000000000003</v>
      </c>
      <c r="C18" s="162">
        <v>13.64</v>
      </c>
      <c r="D18" s="8">
        <v>42764.666666666664</v>
      </c>
      <c r="E18" s="162">
        <v>0.19</v>
      </c>
      <c r="F18" s="162" t="s">
        <v>291</v>
      </c>
      <c r="G18" s="162">
        <v>309.73</v>
      </c>
      <c r="H18" s="162">
        <v>0</v>
      </c>
      <c r="I18" s="162">
        <v>0</v>
      </c>
      <c r="J18" s="162">
        <v>1023.17</v>
      </c>
      <c r="K18" s="162" t="s">
        <v>292</v>
      </c>
      <c r="L18" s="162">
        <v>54.87</v>
      </c>
      <c r="M18" s="162">
        <v>1485730800</v>
      </c>
      <c r="N18" s="162">
        <v>5.57</v>
      </c>
      <c r="O18" s="162">
        <v>328</v>
      </c>
      <c r="P18" s="162">
        <v>5.17</v>
      </c>
      <c r="Q18"/>
      <c r="R18"/>
    </row>
    <row r="19" spans="1:18" x14ac:dyDescent="0.25">
      <c r="A19" s="162">
        <v>51.4</v>
      </c>
      <c r="B19" s="162">
        <v>0.21</v>
      </c>
      <c r="C19" s="162">
        <v>13.77</v>
      </c>
      <c r="D19" s="8">
        <v>42764.708333333336</v>
      </c>
      <c r="E19" s="162">
        <v>0.22</v>
      </c>
      <c r="F19" s="162" t="s">
        <v>665</v>
      </c>
      <c r="G19" s="162">
        <v>310.83</v>
      </c>
      <c r="H19" s="162">
        <v>0</v>
      </c>
      <c r="I19" s="162">
        <v>0</v>
      </c>
      <c r="J19" s="162">
        <v>1022.97</v>
      </c>
      <c r="K19" s="162" t="s">
        <v>373</v>
      </c>
      <c r="L19" s="162">
        <v>51.4</v>
      </c>
      <c r="M19" s="162">
        <v>1485734400</v>
      </c>
      <c r="N19" s="162">
        <v>6.05</v>
      </c>
      <c r="O19" s="162">
        <v>308</v>
      </c>
      <c r="P19" s="162">
        <v>4.33</v>
      </c>
      <c r="Q19"/>
      <c r="R19"/>
    </row>
    <row r="20" spans="1:18" x14ac:dyDescent="0.25">
      <c r="A20" s="162">
        <v>46.67</v>
      </c>
      <c r="B20" s="162">
        <v>0.27</v>
      </c>
      <c r="C20" s="162">
        <v>12.58</v>
      </c>
      <c r="D20" s="8">
        <v>42764.75</v>
      </c>
      <c r="E20" s="162">
        <v>0.24</v>
      </c>
      <c r="F20" s="162" t="s">
        <v>290</v>
      </c>
      <c r="G20" s="162">
        <v>311.75</v>
      </c>
      <c r="H20" s="162">
        <v>0</v>
      </c>
      <c r="I20" s="162">
        <v>0</v>
      </c>
      <c r="J20" s="162">
        <v>1023.14</v>
      </c>
      <c r="K20" s="162" t="s">
        <v>292</v>
      </c>
      <c r="L20" s="162">
        <v>47.48</v>
      </c>
      <c r="M20" s="162">
        <v>1485738000</v>
      </c>
      <c r="N20" s="162">
        <v>6.91</v>
      </c>
      <c r="O20" s="162">
        <v>280</v>
      </c>
      <c r="P20" s="162">
        <v>3.16</v>
      </c>
      <c r="Q20"/>
      <c r="R20"/>
    </row>
    <row r="21" spans="1:18" x14ac:dyDescent="0.25">
      <c r="A21" s="162">
        <v>43.21</v>
      </c>
      <c r="B21" s="162">
        <v>0.25</v>
      </c>
      <c r="C21" s="162">
        <v>14.76</v>
      </c>
      <c r="D21" s="8">
        <v>42764.791666666664</v>
      </c>
      <c r="E21" s="162">
        <v>0.3</v>
      </c>
      <c r="F21" s="162" t="s">
        <v>290</v>
      </c>
      <c r="G21" s="162">
        <v>312.63</v>
      </c>
      <c r="H21" s="162">
        <v>0</v>
      </c>
      <c r="I21" s="162">
        <v>0</v>
      </c>
      <c r="J21" s="162">
        <v>1023.94</v>
      </c>
      <c r="K21" s="162" t="s">
        <v>292</v>
      </c>
      <c r="L21" s="162">
        <v>44.56</v>
      </c>
      <c r="M21" s="162">
        <v>1485741600</v>
      </c>
      <c r="N21" s="162">
        <v>7.13</v>
      </c>
      <c r="O21" s="162">
        <v>268</v>
      </c>
      <c r="P21" s="162">
        <v>3.31</v>
      </c>
      <c r="Q21"/>
      <c r="R21"/>
    </row>
    <row r="22" spans="1:18" x14ac:dyDescent="0.25">
      <c r="A22" s="162">
        <v>40.770000000000003</v>
      </c>
      <c r="B22" s="162">
        <v>0.23</v>
      </c>
      <c r="C22" s="162">
        <v>14.81</v>
      </c>
      <c r="D22" s="8">
        <v>42764.833333333336</v>
      </c>
      <c r="E22" s="162">
        <v>0.32</v>
      </c>
      <c r="F22" s="162" t="s">
        <v>372</v>
      </c>
      <c r="G22" s="162">
        <v>313.38</v>
      </c>
      <c r="H22" s="162">
        <v>0</v>
      </c>
      <c r="I22" s="162">
        <v>0</v>
      </c>
      <c r="J22" s="162">
        <v>1024.57</v>
      </c>
      <c r="K22" s="162" t="s">
        <v>373</v>
      </c>
      <c r="L22" s="162">
        <v>42.96</v>
      </c>
      <c r="M22" s="162">
        <v>1485745200</v>
      </c>
      <c r="N22" s="162">
        <v>6.1</v>
      </c>
      <c r="O22" s="162">
        <v>262</v>
      </c>
      <c r="P22" s="162">
        <v>3.97</v>
      </c>
      <c r="Q22"/>
      <c r="R22"/>
    </row>
    <row r="23" spans="1:18" x14ac:dyDescent="0.25">
      <c r="A23" s="162">
        <v>38.97</v>
      </c>
      <c r="B23" s="162">
        <v>0.25</v>
      </c>
      <c r="C23" s="162">
        <v>14.83</v>
      </c>
      <c r="D23" s="8">
        <v>42764.875</v>
      </c>
      <c r="E23" s="162">
        <v>0.34</v>
      </c>
      <c r="F23" s="162" t="s">
        <v>290</v>
      </c>
      <c r="G23" s="162">
        <v>314.08999999999997</v>
      </c>
      <c r="H23" s="162">
        <v>0</v>
      </c>
      <c r="I23" s="162">
        <v>0</v>
      </c>
      <c r="J23" s="162">
        <v>1024.74</v>
      </c>
      <c r="K23" s="162" t="s">
        <v>292</v>
      </c>
      <c r="L23" s="162">
        <v>40.770000000000003</v>
      </c>
      <c r="M23" s="162">
        <v>1485748800</v>
      </c>
      <c r="N23" s="162">
        <v>5.33</v>
      </c>
      <c r="O23" s="162">
        <v>248</v>
      </c>
      <c r="P23" s="162">
        <v>3.24</v>
      </c>
      <c r="Q23"/>
      <c r="R23"/>
    </row>
    <row r="24" spans="1:18" x14ac:dyDescent="0.25">
      <c r="A24" s="162">
        <v>36.36</v>
      </c>
      <c r="B24" s="162">
        <v>0.26</v>
      </c>
      <c r="C24" s="162">
        <v>15.52</v>
      </c>
      <c r="D24" s="8">
        <v>42764.916666666664</v>
      </c>
      <c r="E24" s="162">
        <v>0.38</v>
      </c>
      <c r="F24" s="162" t="s">
        <v>290</v>
      </c>
      <c r="G24" s="162">
        <v>314.68</v>
      </c>
      <c r="H24" s="162">
        <v>0</v>
      </c>
      <c r="I24" s="162">
        <v>0</v>
      </c>
      <c r="J24" s="162">
        <v>1024.69</v>
      </c>
      <c r="K24" s="162" t="s">
        <v>292</v>
      </c>
      <c r="L24" s="162">
        <v>38.74</v>
      </c>
      <c r="M24" s="162">
        <v>1485752400</v>
      </c>
      <c r="N24" s="162">
        <v>5.43</v>
      </c>
      <c r="O24" s="162">
        <v>227</v>
      </c>
      <c r="P24" s="162">
        <v>3.51</v>
      </c>
      <c r="Q24"/>
      <c r="R24"/>
    </row>
    <row r="25" spans="1:18" x14ac:dyDescent="0.25">
      <c r="A25" s="162">
        <v>34.31</v>
      </c>
      <c r="B25" s="162">
        <v>0.22</v>
      </c>
      <c r="C25" s="162">
        <v>16.14</v>
      </c>
      <c r="D25" s="8">
        <v>42764.958333333336</v>
      </c>
      <c r="E25" s="162">
        <v>0.42</v>
      </c>
      <c r="F25" s="162" t="s">
        <v>372</v>
      </c>
      <c r="G25" s="162">
        <v>314.77999999999997</v>
      </c>
      <c r="H25" s="162">
        <v>0</v>
      </c>
      <c r="I25" s="162">
        <v>0</v>
      </c>
      <c r="J25" s="162">
        <v>1024.56</v>
      </c>
      <c r="K25" s="162" t="s">
        <v>373</v>
      </c>
      <c r="L25" s="162">
        <v>37.229999999999997</v>
      </c>
      <c r="M25" s="162">
        <v>1485756000</v>
      </c>
      <c r="N25" s="162">
        <v>5.66</v>
      </c>
      <c r="O25" s="162">
        <v>239</v>
      </c>
      <c r="P25" s="162">
        <v>3.81</v>
      </c>
      <c r="Q25"/>
      <c r="R25"/>
    </row>
    <row r="26" spans="1:18" x14ac:dyDescent="0.25">
      <c r="A26" s="162">
        <v>34.549999999999997</v>
      </c>
      <c r="B26" s="162">
        <v>0.28999999999999998</v>
      </c>
      <c r="C26" s="162">
        <v>16.559999999999999</v>
      </c>
      <c r="D26" s="8">
        <v>42765</v>
      </c>
      <c r="E26" s="162">
        <v>0.43</v>
      </c>
      <c r="F26" s="162" t="s">
        <v>290</v>
      </c>
      <c r="G26" s="162">
        <v>313.77999999999997</v>
      </c>
      <c r="H26" s="162">
        <v>0</v>
      </c>
      <c r="I26" s="162">
        <v>0</v>
      </c>
      <c r="J26" s="162">
        <v>1024.3900000000001</v>
      </c>
      <c r="K26" s="162" t="s">
        <v>292</v>
      </c>
      <c r="L26" s="162">
        <v>37.11</v>
      </c>
      <c r="M26" s="162">
        <v>1485759600</v>
      </c>
      <c r="N26" s="162">
        <v>5.88</v>
      </c>
      <c r="O26" s="162">
        <v>233</v>
      </c>
      <c r="P26" s="162">
        <v>3.47</v>
      </c>
      <c r="Q26"/>
      <c r="R26"/>
    </row>
    <row r="27" spans="1:18" x14ac:dyDescent="0.25">
      <c r="A27" s="162">
        <v>33.380000000000003</v>
      </c>
      <c r="B27" s="162">
        <v>0.19</v>
      </c>
      <c r="C27" s="162">
        <v>15.47</v>
      </c>
      <c r="D27" s="8">
        <v>42765.041666666664</v>
      </c>
      <c r="E27" s="162">
        <v>0.42</v>
      </c>
      <c r="F27" s="162" t="s">
        <v>372</v>
      </c>
      <c r="G27" s="162">
        <v>312.77999999999997</v>
      </c>
      <c r="H27" s="162">
        <v>0</v>
      </c>
      <c r="I27" s="162">
        <v>0</v>
      </c>
      <c r="J27" s="162">
        <v>1024.19</v>
      </c>
      <c r="K27" s="162" t="s">
        <v>373</v>
      </c>
      <c r="L27" s="162">
        <v>36.29</v>
      </c>
      <c r="M27" s="162">
        <v>1485763200</v>
      </c>
      <c r="N27" s="162">
        <v>5.92</v>
      </c>
      <c r="O27" s="162">
        <v>241</v>
      </c>
      <c r="P27" s="162">
        <v>3.67</v>
      </c>
      <c r="Q27"/>
      <c r="R27"/>
    </row>
    <row r="28" spans="1:18" x14ac:dyDescent="0.25">
      <c r="A28" s="162">
        <v>32.25</v>
      </c>
      <c r="B28" s="162">
        <v>0.28000000000000003</v>
      </c>
      <c r="C28" s="162">
        <v>16.27</v>
      </c>
      <c r="D28" s="8">
        <v>42765.083333333336</v>
      </c>
      <c r="E28" s="162">
        <v>0.45</v>
      </c>
      <c r="F28" s="162" t="s">
        <v>290</v>
      </c>
      <c r="G28" s="162">
        <v>311.77999999999997</v>
      </c>
      <c r="H28" s="162">
        <v>0</v>
      </c>
      <c r="I28" s="162">
        <v>0</v>
      </c>
      <c r="J28" s="162">
        <v>1023.98</v>
      </c>
      <c r="K28" s="162" t="s">
        <v>292</v>
      </c>
      <c r="L28" s="162">
        <v>35.53</v>
      </c>
      <c r="M28" s="162">
        <v>1485766800</v>
      </c>
      <c r="N28" s="162">
        <v>3.92</v>
      </c>
      <c r="O28" s="162">
        <v>220</v>
      </c>
      <c r="P28" s="162">
        <v>3.91</v>
      </c>
      <c r="Q28"/>
      <c r="R28"/>
    </row>
    <row r="29" spans="1:18" x14ac:dyDescent="0.25">
      <c r="A29" s="162">
        <v>29.55</v>
      </c>
      <c r="B29" s="162">
        <v>0.25</v>
      </c>
      <c r="C29" s="162">
        <v>14.53</v>
      </c>
      <c r="D29" s="8">
        <v>42765.125</v>
      </c>
      <c r="E29" s="162">
        <v>0.44</v>
      </c>
      <c r="F29" s="162" t="s">
        <v>290</v>
      </c>
      <c r="G29" s="162">
        <v>310.52</v>
      </c>
      <c r="H29" s="162">
        <v>0</v>
      </c>
      <c r="I29" s="162">
        <v>0</v>
      </c>
      <c r="J29" s="162">
        <v>1023.56</v>
      </c>
      <c r="K29" s="162" t="s">
        <v>292</v>
      </c>
      <c r="L29" s="162">
        <v>33.86</v>
      </c>
      <c r="M29" s="162">
        <v>1485770400</v>
      </c>
      <c r="N29" s="162">
        <v>6.45</v>
      </c>
      <c r="O29" s="162">
        <v>239</v>
      </c>
      <c r="P29" s="162">
        <v>4.68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190</v>
      </c>
    </row>
    <row r="33" spans="1:1" x14ac:dyDescent="0.25">
      <c r="A33" s="167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2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42764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191</v>
      </c>
      <c r="J17" s="183"/>
      <c r="K17" s="184"/>
      <c r="L17" s="184"/>
    </row>
    <row r="18" spans="3:13" x14ac:dyDescent="0.25">
      <c r="C18" t="s">
        <v>813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814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815</v>
      </c>
      <c r="J20" s="162" t="s">
        <v>87</v>
      </c>
      <c r="M20" s="162" t="s">
        <v>221</v>
      </c>
    </row>
    <row r="21" spans="3:13" x14ac:dyDescent="0.25">
      <c r="C21" t="s">
        <v>816</v>
      </c>
      <c r="J21" s="162" t="s">
        <v>90</v>
      </c>
      <c r="K21" s="162" t="s">
        <v>91</v>
      </c>
      <c r="M21" s="162" t="s">
        <v>178</v>
      </c>
    </row>
    <row r="22" spans="3:13" x14ac:dyDescent="0.25">
      <c r="C22" t="s">
        <v>817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818</v>
      </c>
      <c r="J23" s="185" t="s">
        <v>95</v>
      </c>
      <c r="M23" s="162" t="str">
        <f>"-07"</f>
        <v>-07</v>
      </c>
    </row>
    <row r="24" spans="3:13" x14ac:dyDescent="0.25">
      <c r="C24" t="s">
        <v>819</v>
      </c>
      <c r="J24" s="162" t="s">
        <v>108</v>
      </c>
      <c r="M24" s="162" t="s">
        <v>110</v>
      </c>
    </row>
    <row r="25" spans="3:13" x14ac:dyDescent="0.25">
      <c r="C25" t="s">
        <v>820</v>
      </c>
      <c r="J25" s="162" t="s">
        <v>150</v>
      </c>
      <c r="M25" s="162" t="b">
        <v>1</v>
      </c>
    </row>
    <row r="26" spans="3:13" x14ac:dyDescent="0.25">
      <c r="C26" t="s">
        <v>821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C:\Users\stu\Documents\GitHub\eaglep3-reporting\EC\2017-01-29-refined-times.txt</v>
      </c>
    </row>
    <row r="27" spans="3:13" x14ac:dyDescent="0.25">
      <c r="C27" t="s">
        <v>822</v>
      </c>
      <c r="J27" s="162" t="s">
        <v>180</v>
      </c>
      <c r="M27" s="162" t="str">
        <f>"C:\Users\stu\Documents\GitHub\eaglep3-reporting\EC\"&amp;TEXT(A2,"YYYY-MM-DD")&amp;"-Enforcements.txt"</f>
        <v>C:\Users\stu\Documents\GitHub\eaglep3-reporting\EC\2017-01-29-Enforcements.txt</v>
      </c>
    </row>
    <row r="28" spans="3:13" x14ac:dyDescent="0.25">
      <c r="C28" t="s">
        <v>823</v>
      </c>
      <c r="J28" s="162" t="s">
        <v>181</v>
      </c>
      <c r="M28" s="162" t="str">
        <f>"C:\Users\stu\Documents\GitHub\eaglep3-reporting\EC\"&amp;TEXT(A2,"YYYY-MM-DD")&amp;"-Runs-refined.txt"</f>
        <v>C:\Users\stu\Documents\GitHub\eaglep3-reporting\EC\2017-01-29-Runs-refined.txt</v>
      </c>
    </row>
    <row r="29" spans="3:13" x14ac:dyDescent="0.25">
      <c r="C29" t="s">
        <v>824</v>
      </c>
      <c r="J29" s="162" t="s">
        <v>182</v>
      </c>
      <c r="M29" s="162" t="str">
        <f>"C:\Users\stu\Documents\GitHub\eaglep3-reporting\EC\"&amp;TEXT(A2,"YYYY-MM-DD")&amp;"-Trips.txt"</f>
        <v>C:\Users\stu\Documents\GitHub\eaglep3-reporting\EC\2017-01-29-Trips.txt</v>
      </c>
    </row>
    <row r="30" spans="3:13" x14ac:dyDescent="0.25">
      <c r="C30" t="s">
        <v>825</v>
      </c>
      <c r="J30" s="162" t="s">
        <v>183</v>
      </c>
      <c r="M30" s="162" t="str">
        <f>"C:\Users\stu\Documents\GitHub\eaglep3-reporting\EC\"&amp;TEXT(A2,"YYYY-MM-DD")&amp;"-Weather.txt"</f>
        <v>C:\Users\stu\Documents\GitHub\eaglep3-reporting\EC\2017-01-29-Weather.txt</v>
      </c>
    </row>
    <row r="31" spans="3:13" x14ac:dyDescent="0.25">
      <c r="C31" t="s">
        <v>826</v>
      </c>
      <c r="J31" s="162" t="s">
        <v>219</v>
      </c>
      <c r="M31" s="162" t="s">
        <v>220</v>
      </c>
    </row>
    <row r="32" spans="3:13" x14ac:dyDescent="0.25">
      <c r="C32" t="s">
        <v>827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171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172</v>
      </c>
    </row>
    <row r="15" spans="1:11" x14ac:dyDescent="0.25">
      <c r="C15" s="112" t="s">
        <v>195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834</v>
      </c>
      <c r="B1" t="str">
        <f t="shared" ref="B1:B30" si="0">MID(A1,6,23)</f>
        <v>2017/01/29 11:52:55.843</v>
      </c>
      <c r="C1" t="e">
        <f>ABS(B1-#REF!)</f>
        <v>#REF!</v>
      </c>
    </row>
    <row r="2" spans="1:3" x14ac:dyDescent="0.25">
      <c r="A2" t="s">
        <v>835</v>
      </c>
      <c r="B2" s="21" t="str">
        <f t="shared" si="0"/>
        <v>2017/01/29 11:52:56.113</v>
      </c>
      <c r="C2">
        <f>ABS(B2-B1)</f>
        <v>3.1250019674189389E-6</v>
      </c>
    </row>
    <row r="3" spans="1:3" x14ac:dyDescent="0.25">
      <c r="A3" t="s">
        <v>836</v>
      </c>
      <c r="B3" s="21" t="str">
        <f t="shared" si="0"/>
        <v>2017/01/29 12:42:13.436</v>
      </c>
      <c r="C3" s="21">
        <f t="shared" ref="C3:C30" si="1">ABS(B3-B2)</f>
        <v>3.4228275464556646E-2</v>
      </c>
    </row>
    <row r="4" spans="1:3" x14ac:dyDescent="0.25">
      <c r="A4" t="s">
        <v>837</v>
      </c>
      <c r="B4" s="21" t="str">
        <f t="shared" si="0"/>
        <v>2017/01/29 12:42:13.472</v>
      </c>
      <c r="C4" s="21">
        <f t="shared" si="1"/>
        <v>4.1666498873382807E-7</v>
      </c>
    </row>
    <row r="5" spans="1:3" x14ac:dyDescent="0.25">
      <c r="A5" t="s">
        <v>838</v>
      </c>
      <c r="B5" s="21" t="str">
        <f t="shared" si="0"/>
        <v>2017/01/29 14:58:32.149</v>
      </c>
      <c r="C5" s="21">
        <f t="shared" si="1"/>
        <v>9.4660613423911855E-2</v>
      </c>
    </row>
    <row r="6" spans="1:3" x14ac:dyDescent="0.25">
      <c r="A6" t="s">
        <v>839</v>
      </c>
      <c r="B6" s="21" t="str">
        <f t="shared" si="0"/>
        <v>2017/01/29 14:58:32.233</v>
      </c>
      <c r="C6" s="21">
        <f t="shared" si="1"/>
        <v>9.7222073236480355E-7</v>
      </c>
    </row>
    <row r="7" spans="1:3" x14ac:dyDescent="0.25">
      <c r="A7" t="s">
        <v>840</v>
      </c>
      <c r="B7" s="21" t="str">
        <f t="shared" si="0"/>
        <v>2017/01/29 14:58:32.369</v>
      </c>
      <c r="C7" s="21">
        <f t="shared" si="1"/>
        <v>1.5740806702524424E-6</v>
      </c>
    </row>
    <row r="8" spans="1:3" x14ac:dyDescent="0.25">
      <c r="A8" t="s">
        <v>841</v>
      </c>
      <c r="B8" s="21" t="str">
        <f t="shared" si="0"/>
        <v>2017/01/29 16:02:55.866</v>
      </c>
      <c r="C8" s="21">
        <f t="shared" si="1"/>
        <v>4.4716400458128192E-2</v>
      </c>
    </row>
    <row r="9" spans="1:3" x14ac:dyDescent="0.25">
      <c r="A9" t="s">
        <v>842</v>
      </c>
      <c r="B9" s="21" t="str">
        <f t="shared" si="0"/>
        <v>2017/01/29 16:02:56.266</v>
      </c>
      <c r="C9" s="21">
        <f t="shared" si="1"/>
        <v>4.6296336222440004E-6</v>
      </c>
    </row>
    <row r="10" spans="1:3" x14ac:dyDescent="0.25">
      <c r="A10" t="s">
        <v>843</v>
      </c>
      <c r="B10" s="21" t="str">
        <f t="shared" si="0"/>
        <v>2017/01/29 16:02:56.298</v>
      </c>
      <c r="C10" s="21">
        <f t="shared" si="1"/>
        <v>3.7036807043477893E-7</v>
      </c>
    </row>
    <row r="11" spans="1:3" x14ac:dyDescent="0.25">
      <c r="A11" t="s">
        <v>844</v>
      </c>
      <c r="B11" s="21" t="str">
        <f t="shared" si="0"/>
        <v>2017/01/29 16:43:14.325</v>
      </c>
      <c r="C11" s="21">
        <f t="shared" si="1"/>
        <v>2.7986423614493106E-2</v>
      </c>
    </row>
    <row r="12" spans="1:3" x14ac:dyDescent="0.25">
      <c r="A12" t="s">
        <v>845</v>
      </c>
      <c r="B12" s="21" t="str">
        <f t="shared" si="0"/>
        <v>2017/01/29 16:43:14.387</v>
      </c>
      <c r="C12" s="21">
        <f t="shared" si="1"/>
        <v>7.1759131969884038E-7</v>
      </c>
    </row>
    <row r="13" spans="1:3" x14ac:dyDescent="0.25">
      <c r="A13" t="s">
        <v>846</v>
      </c>
      <c r="B13" s="21" t="str">
        <f t="shared" si="0"/>
        <v>2017/01/29 16:43:14.760</v>
      </c>
      <c r="C13" s="21">
        <f t="shared" si="1"/>
        <v>4.3171312427148223E-6</v>
      </c>
    </row>
    <row r="14" spans="1:3" x14ac:dyDescent="0.25">
      <c r="A14" t="s">
        <v>847</v>
      </c>
      <c r="B14" s="21" t="str">
        <f t="shared" si="0"/>
        <v>2017/01/29 18:54:46.753</v>
      </c>
      <c r="C14" s="21">
        <f t="shared" si="1"/>
        <v>9.1342511572293006E-2</v>
      </c>
    </row>
    <row r="15" spans="1:3" x14ac:dyDescent="0.25">
      <c r="A15" t="s">
        <v>848</v>
      </c>
      <c r="B15" s="21" t="str">
        <f t="shared" si="0"/>
        <v>2017/01/29 18:54:47.734</v>
      </c>
      <c r="C15" s="21">
        <f t="shared" si="1"/>
        <v>1.1354168236721307E-5</v>
      </c>
    </row>
    <row r="16" spans="1:3" x14ac:dyDescent="0.25">
      <c r="A16" t="s">
        <v>849</v>
      </c>
      <c r="B16" s="21" t="str">
        <f t="shared" si="0"/>
        <v>2017/01/29 18:54:48.270</v>
      </c>
      <c r="C16" s="21">
        <f t="shared" si="1"/>
        <v>6.2036997405812144E-6</v>
      </c>
    </row>
    <row r="17" spans="1:3" x14ac:dyDescent="0.25">
      <c r="A17" t="s">
        <v>850</v>
      </c>
      <c r="B17" s="21" t="str">
        <f t="shared" si="0"/>
        <v>2017/01/29 19:21:47.723</v>
      </c>
      <c r="C17" s="21">
        <f t="shared" si="1"/>
        <v>1.8743668981187511E-2</v>
      </c>
    </row>
    <row r="18" spans="1:3" x14ac:dyDescent="0.25">
      <c r="A18" t="s">
        <v>851</v>
      </c>
      <c r="B18" s="21" t="str">
        <f t="shared" si="0"/>
        <v>2017/01/29 19:21:47.922</v>
      </c>
      <c r="C18" s="21">
        <f t="shared" si="1"/>
        <v>2.3032407625578344E-6</v>
      </c>
    </row>
    <row r="19" spans="1:3" x14ac:dyDescent="0.25">
      <c r="A19" t="s">
        <v>852</v>
      </c>
      <c r="B19" s="21" t="str">
        <f t="shared" si="0"/>
        <v>2017/01/29 19:21:48.269</v>
      </c>
      <c r="C19" s="21">
        <f t="shared" si="1"/>
        <v>4.01620491174981E-6</v>
      </c>
    </row>
    <row r="20" spans="1:3" x14ac:dyDescent="0.25">
      <c r="A20" t="s">
        <v>853</v>
      </c>
      <c r="B20" s="21" t="str">
        <f t="shared" si="0"/>
        <v>2017/01/29 19:34:20.151</v>
      </c>
      <c r="C20" s="21">
        <f t="shared" si="1"/>
        <v>8.7023379601305351E-3</v>
      </c>
    </row>
    <row r="21" spans="1:3" x14ac:dyDescent="0.25">
      <c r="A21" t="s">
        <v>854</v>
      </c>
      <c r="B21" s="21" t="str">
        <f t="shared" si="0"/>
        <v>2017/01/29 19:34:20.190</v>
      </c>
      <c r="C21" s="21">
        <f t="shared" si="1"/>
        <v>4.5139313442632556E-7</v>
      </c>
    </row>
    <row r="22" spans="1:3" x14ac:dyDescent="0.25">
      <c r="A22" t="s">
        <v>855</v>
      </c>
      <c r="B22" s="21" t="str">
        <f t="shared" si="0"/>
        <v>2017/01/29 19:34:20.228</v>
      </c>
      <c r="C22" s="21">
        <f t="shared" si="1"/>
        <v>4.3980980990454555E-7</v>
      </c>
    </row>
    <row r="23" spans="1:3" x14ac:dyDescent="0.25">
      <c r="A23" t="s">
        <v>856</v>
      </c>
      <c r="B23" s="21" t="str">
        <f t="shared" si="0"/>
        <v>2017/01/29 21:05:06.278</v>
      </c>
      <c r="C23" s="21">
        <f t="shared" si="1"/>
        <v>6.303298611601349E-2</v>
      </c>
    </row>
    <row r="24" spans="1:3" x14ac:dyDescent="0.25">
      <c r="A24" t="s">
        <v>857</v>
      </c>
      <c r="B24" s="21" t="str">
        <f t="shared" si="0"/>
        <v>2017/01/29 21:05:06.594</v>
      </c>
      <c r="C24" s="21">
        <f t="shared" si="1"/>
        <v>3.6574056139215827E-6</v>
      </c>
    </row>
    <row r="25" spans="1:3" x14ac:dyDescent="0.25">
      <c r="A25" t="s">
        <v>858</v>
      </c>
      <c r="B25" s="21" t="str">
        <f t="shared" si="0"/>
        <v>2017/01/29 21:05:06.739</v>
      </c>
      <c r="C25" s="21">
        <f t="shared" si="1"/>
        <v>1.6782432794570923E-6</v>
      </c>
    </row>
    <row r="26" spans="1:3" x14ac:dyDescent="0.25">
      <c r="A26" t="s">
        <v>859</v>
      </c>
      <c r="B26" s="21" t="str">
        <f t="shared" si="0"/>
        <v>2017/01/29 21:18:51.743</v>
      </c>
      <c r="C26" s="21">
        <f t="shared" si="1"/>
        <v>9.5486574064125307E-3</v>
      </c>
    </row>
    <row r="27" spans="1:3" x14ac:dyDescent="0.25">
      <c r="A27" t="s">
        <v>860</v>
      </c>
      <c r="B27" s="21" t="str">
        <f t="shared" si="0"/>
        <v>2017/01/29 21:18:51.983</v>
      </c>
      <c r="C27" s="21">
        <f t="shared" si="1"/>
        <v>2.7777787181548774E-6</v>
      </c>
    </row>
    <row r="28" spans="1:3" x14ac:dyDescent="0.25">
      <c r="A28" t="s">
        <v>861</v>
      </c>
      <c r="B28" s="21" t="str">
        <f t="shared" si="0"/>
        <v>2017/01/29 21:19:37.539</v>
      </c>
      <c r="C28" s="21">
        <f t="shared" si="1"/>
        <v>5.2726851572515443E-4</v>
      </c>
    </row>
    <row r="29" spans="1:3" x14ac:dyDescent="0.25">
      <c r="A29" t="s">
        <v>862</v>
      </c>
      <c r="B29" s="21" t="str">
        <f t="shared" si="0"/>
        <v>2017/01/29 21:19:37.747</v>
      </c>
      <c r="C29" s="21">
        <f t="shared" si="1"/>
        <v>2.4074106477200985E-6</v>
      </c>
    </row>
    <row r="30" spans="1:3" x14ac:dyDescent="0.25">
      <c r="A30" t="s">
        <v>863</v>
      </c>
      <c r="B30" s="21" t="str">
        <f t="shared" si="0"/>
        <v>2017/01/29 21:19:37.982</v>
      </c>
      <c r="C30" s="21">
        <f t="shared" si="1"/>
        <v>2.7199057512916625E-6</v>
      </c>
    </row>
    <row r="31" spans="1:3" x14ac:dyDescent="0.25">
      <c r="A31" t="s">
        <v>864</v>
      </c>
      <c r="B31" s="21" t="str">
        <f t="shared" ref="B31:B32" si="2">MID(A31,6,23)</f>
        <v>2017/01/29 23:36:00.229</v>
      </c>
      <c r="C31" s="21">
        <f t="shared" ref="C31:C32" si="3">ABS(B31-B30)</f>
        <v>9.4701932866882998E-2</v>
      </c>
    </row>
    <row r="32" spans="1:3" x14ac:dyDescent="0.25">
      <c r="A32" t="s">
        <v>865</v>
      </c>
      <c r="B32" s="21" t="str">
        <f t="shared" si="2"/>
        <v>2017/01/29 23:36:01.156</v>
      </c>
      <c r="C32" s="21">
        <f t="shared" si="3"/>
        <v>1.0729170753620565E-5</v>
      </c>
    </row>
    <row r="33" spans="1:3" x14ac:dyDescent="0.25">
      <c r="A33" t="s">
        <v>866</v>
      </c>
      <c r="B33" s="21" t="str">
        <f t="shared" ref="B33:B49" si="4">MID(A33,6,23)</f>
        <v>2017/01/30 00:11:47.292</v>
      </c>
      <c r="C33" s="21">
        <f t="shared" ref="C33:C49" si="5">ABS(B33-B32)</f>
        <v>2.4839537036314141E-2</v>
      </c>
    </row>
    <row r="34" spans="1:3" x14ac:dyDescent="0.25">
      <c r="A34" t="s">
        <v>867</v>
      </c>
      <c r="B34" s="21" t="str">
        <f t="shared" si="4"/>
        <v>2017/01/30 00:11:47.608</v>
      </c>
      <c r="C34" s="21">
        <f t="shared" si="5"/>
        <v>3.6574056139215827E-6</v>
      </c>
    </row>
    <row r="35" spans="1:3" x14ac:dyDescent="0.25">
      <c r="A35" t="s">
        <v>868</v>
      </c>
      <c r="B35" s="21" t="str">
        <f t="shared" si="4"/>
        <v>2017/01/30 00:11:47.734</v>
      </c>
      <c r="C35" s="21">
        <f t="shared" si="5"/>
        <v>1.4583347365260124E-6</v>
      </c>
    </row>
    <row r="36" spans="1:3" x14ac:dyDescent="0.25">
      <c r="A36" t="s">
        <v>869</v>
      </c>
      <c r="B36" s="21" t="str">
        <f t="shared" si="4"/>
        <v>2017/01/30 02:35:27.420</v>
      </c>
      <c r="C36" s="21">
        <f t="shared" si="5"/>
        <v>9.9764884260366671E-2</v>
      </c>
    </row>
    <row r="37" spans="1:3" x14ac:dyDescent="0.25">
      <c r="A37" t="s">
        <v>870</v>
      </c>
      <c r="B37" s="21" t="str">
        <f t="shared" si="4"/>
        <v>2017/01/30 02:35:27.463</v>
      </c>
      <c r="C37" s="21">
        <f t="shared" si="5"/>
        <v>4.9768277676776052E-7</v>
      </c>
    </row>
    <row r="38" spans="1:3" x14ac:dyDescent="0.25">
      <c r="A38" t="s">
        <v>871</v>
      </c>
      <c r="B38" s="21" t="str">
        <f t="shared" si="4"/>
        <v>2017/01/30 02:35:27.688</v>
      </c>
      <c r="C38" s="21">
        <f t="shared" si="5"/>
        <v>2.6041670935228467E-6</v>
      </c>
    </row>
    <row r="39" spans="1:3" x14ac:dyDescent="0.25">
      <c r="A39" t="s">
        <v>872</v>
      </c>
      <c r="B39" s="21" t="str">
        <f t="shared" si="4"/>
        <v>2017/01/30 06:34:10.889</v>
      </c>
      <c r="C39" s="21">
        <f t="shared" si="5"/>
        <v>0.16577778934879461</v>
      </c>
    </row>
    <row r="40" spans="1:3" x14ac:dyDescent="0.25">
      <c r="A40" t="s">
        <v>873</v>
      </c>
      <c r="B40" s="21" t="str">
        <f t="shared" si="4"/>
        <v>2017/01/30 06:34:10.895</v>
      </c>
      <c r="C40" s="21">
        <f t="shared" si="5"/>
        <v>6.94490154273808E-8</v>
      </c>
    </row>
    <row r="41" spans="1:3" x14ac:dyDescent="0.25">
      <c r="A41" t="s">
        <v>874</v>
      </c>
      <c r="B41" s="21" t="str">
        <f t="shared" si="4"/>
        <v>2017/01/30 06:34:11.200</v>
      </c>
      <c r="C41" s="21">
        <f t="shared" si="5"/>
        <v>3.5300909075886011E-6</v>
      </c>
    </row>
    <row r="42" spans="1:3" x14ac:dyDescent="0.25">
      <c r="A42" t="s">
        <v>875</v>
      </c>
      <c r="B42" s="21" t="str">
        <f t="shared" si="4"/>
        <v>2017/01/30 06:34:11.205</v>
      </c>
      <c r="C42" s="21">
        <f t="shared" si="5"/>
        <v>5.787296686321497E-8</v>
      </c>
    </row>
    <row r="43" spans="1:3" x14ac:dyDescent="0.25">
      <c r="A43" t="s">
        <v>876</v>
      </c>
      <c r="B43" s="21" t="str">
        <f t="shared" si="4"/>
        <v>2017/01/30 06:34:11.721</v>
      </c>
      <c r="C43" s="21">
        <f t="shared" si="5"/>
        <v>5.9722224250435829E-6</v>
      </c>
    </row>
    <row r="44" spans="1:3" x14ac:dyDescent="0.25">
      <c r="A44" t="s">
        <v>877</v>
      </c>
      <c r="B44" s="21" t="str">
        <f t="shared" si="4"/>
        <v>2017/01/30 06:34:11.726</v>
      </c>
      <c r="C44" s="21">
        <f t="shared" si="5"/>
        <v>5.7865690905600786E-8</v>
      </c>
    </row>
    <row r="45" spans="1:3" x14ac:dyDescent="0.25">
      <c r="A45" t="s">
        <v>878</v>
      </c>
      <c r="B45" s="21" t="str">
        <f t="shared" si="4"/>
        <v>2017/01/30 07:03:19.939</v>
      </c>
      <c r="C45" s="21">
        <f t="shared" si="5"/>
        <v>2.0233946765074506E-2</v>
      </c>
    </row>
    <row r="46" spans="1:3" x14ac:dyDescent="0.25">
      <c r="A46" t="s">
        <v>879</v>
      </c>
      <c r="B46" s="21" t="str">
        <f t="shared" si="4"/>
        <v>2017/01/30 07:03:20.106</v>
      </c>
      <c r="C46" s="21">
        <f t="shared" si="5"/>
        <v>1.9328654161654413E-6</v>
      </c>
    </row>
    <row r="47" spans="1:3" x14ac:dyDescent="0.25">
      <c r="A47" t="s">
        <v>880</v>
      </c>
      <c r="B47" s="21" t="str">
        <f t="shared" si="4"/>
        <v>2017/01/30 07:37:18.262</v>
      </c>
      <c r="C47" s="21">
        <f t="shared" si="5"/>
        <v>2.3589768519741483E-2</v>
      </c>
    </row>
    <row r="48" spans="1:3" x14ac:dyDescent="0.25">
      <c r="A48" t="s">
        <v>881</v>
      </c>
      <c r="B48" s="21" t="str">
        <f t="shared" si="4"/>
        <v>2017/01/30 07:37:18.483</v>
      </c>
      <c r="C48" s="21">
        <f t="shared" si="5"/>
        <v>2.5578701752237976E-6</v>
      </c>
    </row>
    <row r="49" spans="1:3" x14ac:dyDescent="0.25">
      <c r="A49" t="s">
        <v>882</v>
      </c>
      <c r="B49" s="21" t="str">
        <f t="shared" si="4"/>
        <v>2017/01/30 07:37:18.794</v>
      </c>
      <c r="C49" s="21">
        <f t="shared" si="5"/>
        <v>3.5995399230159819E-6</v>
      </c>
    </row>
    <row r="50" spans="1:3" x14ac:dyDescent="0.25">
      <c r="B50" s="21"/>
      <c r="C50" s="21"/>
    </row>
    <row r="51" spans="1:3" x14ac:dyDescent="0.25">
      <c r="B51" s="21"/>
      <c r="C51" s="21"/>
    </row>
    <row r="52" spans="1:3" x14ac:dyDescent="0.25">
      <c r="B52" s="21"/>
      <c r="C52" s="21"/>
    </row>
    <row r="53" spans="1:3" x14ac:dyDescent="0.25">
      <c r="B53" s="21"/>
      <c r="C53" s="21"/>
    </row>
    <row r="54" spans="1:3" x14ac:dyDescent="0.25">
      <c r="B54" s="21"/>
      <c r="C54" s="21"/>
    </row>
    <row r="55" spans="1:3" x14ac:dyDescent="0.25">
      <c r="B55" s="21"/>
      <c r="C55" s="21"/>
    </row>
    <row r="56" spans="1:3" x14ac:dyDescent="0.25">
      <c r="B56" s="21"/>
      <c r="C56" s="21"/>
    </row>
    <row r="57" spans="1:3" x14ac:dyDescent="0.25">
      <c r="B57" s="21"/>
      <c r="C57" s="21"/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2017-02-01T16:35:10Z</dcterms:modified>
</cp:coreProperties>
</file>